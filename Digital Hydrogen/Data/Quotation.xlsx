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LalithAI\DHydrogen\Data\"/>
    </mc:Choice>
  </mc:AlternateContent>
  <xr:revisionPtr revIDLastSave="0" documentId="13_ncr:1_{0F089891-740C-4A71-823C-62B0B37C871A}" xr6:coauthVersionLast="47" xr6:coauthVersionMax="47" xr10:uidLastSave="{00000000-0000-0000-0000-000000000000}"/>
  <bookViews>
    <workbookView xWindow="-120" yWindow="-120" windowWidth="20730" windowHeight="11160" activeTab="1" xr2:uid="{20D292D5-4D89-4336-9418-997941E7EC47}"/>
  </bookViews>
  <sheets>
    <sheet name="5657-8081" sheetId="6" r:id="rId1"/>
    <sheet name="Pricing"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408" i="6" l="1"/>
  <c r="I1408" i="6"/>
  <c r="I1405" i="6"/>
  <c r="I1406" i="6"/>
  <c r="I1407" i="6"/>
  <c r="I1409" i="6"/>
  <c r="I1399" i="6" l="1"/>
  <c r="I1400" i="6"/>
  <c r="I1401" i="6"/>
  <c r="I1402" i="6"/>
  <c r="I1403" i="6"/>
  <c r="I1404" i="6"/>
  <c r="I1410" i="6"/>
  <c r="I1396" i="6"/>
  <c r="I1397" i="6"/>
  <c r="I1398" i="6"/>
  <c r="K1398" i="6" s="1"/>
  <c r="L1398" i="6" s="1"/>
  <c r="I1395" i="6"/>
  <c r="L1395" i="6" s="1"/>
  <c r="I1393" i="6"/>
  <c r="L1393" i="6" s="1"/>
  <c r="I1387" i="6"/>
  <c r="I1388" i="6"/>
  <c r="I1389" i="6"/>
  <c r="I1390" i="6"/>
  <c r="I1391" i="6"/>
  <c r="I1392" i="6"/>
  <c r="K1410" i="6" l="1"/>
  <c r="I1383" i="6"/>
  <c r="I1384" i="6"/>
  <c r="I1385" i="6"/>
  <c r="I1386" i="6"/>
  <c r="I1394" i="6"/>
  <c r="H1382" i="6" l="1"/>
  <c r="I1382" i="6" s="1"/>
  <c r="L1382" i="6" s="1"/>
  <c r="I1377" i="6"/>
  <c r="I1378" i="6"/>
  <c r="I1379" i="6"/>
  <c r="I1380" i="6"/>
  <c r="L1380" i="6" s="1"/>
  <c r="I1381" i="6"/>
  <c r="L1381" i="6" s="1"/>
  <c r="I1374" i="6" l="1"/>
  <c r="I1375" i="6"/>
  <c r="I1376" i="6"/>
  <c r="I1368" i="6" l="1"/>
  <c r="I1369" i="6"/>
  <c r="I1370" i="6"/>
  <c r="I1371" i="6"/>
  <c r="I1372" i="6"/>
  <c r="I1373" i="6"/>
  <c r="I1359" i="6" l="1"/>
  <c r="I1360" i="6"/>
  <c r="I1361" i="6"/>
  <c r="I1362" i="6"/>
  <c r="I1363" i="6"/>
  <c r="I1364" i="6"/>
  <c r="I1357" i="6" l="1"/>
  <c r="I1358" i="6"/>
  <c r="I1365" i="6"/>
  <c r="I1366" i="6"/>
  <c r="I1367" i="6"/>
  <c r="I1411" i="6" l="1"/>
  <c r="I1356" i="6"/>
  <c r="I1355" i="6"/>
  <c r="I1354" i="6"/>
  <c r="I1353" i="6"/>
  <c r="I1352" i="6"/>
  <c r="I1351" i="6"/>
  <c r="I1350" i="6"/>
  <c r="I1349" i="6"/>
  <c r="I1348" i="6"/>
  <c r="I1347" i="6"/>
  <c r="I1346" i="6"/>
  <c r="I1345" i="6"/>
  <c r="I1344" i="6"/>
  <c r="I1343" i="6"/>
  <c r="I1342" i="6"/>
  <c r="I1341" i="6"/>
  <c r="I1340" i="6"/>
  <c r="I1339" i="6"/>
  <c r="I1338" i="6"/>
  <c r="K1338" i="6" s="1"/>
  <c r="I1337" i="6"/>
  <c r="I1336" i="6"/>
  <c r="I1335" i="6"/>
  <c r="I1334" i="6"/>
  <c r="I1333" i="6"/>
  <c r="I1332" i="6"/>
  <c r="I1331" i="6"/>
  <c r="I1330" i="6"/>
  <c r="K1330" i="6" s="1"/>
  <c r="I1329" i="6"/>
  <c r="I1328" i="6"/>
  <c r="I1327" i="6"/>
  <c r="I1326" i="6"/>
  <c r="I1325" i="6"/>
  <c r="I1324" i="6"/>
  <c r="I1323" i="6"/>
  <c r="I1322" i="6"/>
  <c r="K1322" i="6" s="1"/>
  <c r="I1321" i="6"/>
  <c r="I1320" i="6"/>
  <c r="I1319" i="6"/>
  <c r="I1318" i="6"/>
  <c r="L1317" i="6"/>
  <c r="I1317" i="6"/>
  <c r="K1317" i="6" s="1"/>
  <c r="I1316" i="6"/>
  <c r="K1316" i="6" s="1"/>
  <c r="L1316" i="6" s="1"/>
  <c r="I1315" i="6"/>
  <c r="I1314" i="6"/>
  <c r="K1313" i="6"/>
  <c r="I1313" i="6"/>
  <c r="I1312" i="6"/>
  <c r="K1311" i="6"/>
  <c r="I1311" i="6"/>
  <c r="K1310" i="6"/>
  <c r="I1310" i="6"/>
  <c r="I1309" i="6"/>
  <c r="I1308" i="6"/>
  <c r="I1307" i="6"/>
  <c r="I1306" i="6"/>
  <c r="I1305" i="6"/>
  <c r="I1304" i="6"/>
  <c r="I1303" i="6"/>
  <c r="I1302" i="6"/>
  <c r="I1301" i="6"/>
  <c r="I1300" i="6"/>
  <c r="I1299" i="6"/>
  <c r="I1298" i="6"/>
  <c r="I1297" i="6"/>
  <c r="I1296" i="6"/>
  <c r="I1295" i="6"/>
  <c r="I1294" i="6"/>
  <c r="I1293" i="6"/>
  <c r="I1292" i="6"/>
  <c r="I1291" i="6"/>
  <c r="I1290" i="6"/>
  <c r="I1289" i="6"/>
  <c r="K1288" i="6"/>
  <c r="I1288" i="6"/>
  <c r="I1287" i="6"/>
  <c r="I1286" i="6"/>
  <c r="K1285" i="6"/>
  <c r="I1285" i="6"/>
  <c r="I1284" i="6"/>
  <c r="I1283" i="6"/>
  <c r="I1282" i="6"/>
  <c r="I1281" i="6"/>
  <c r="I1280" i="6"/>
  <c r="I1279" i="6"/>
  <c r="I1278" i="6"/>
  <c r="I1277" i="6"/>
  <c r="I1276" i="6"/>
  <c r="I1275" i="6"/>
  <c r="I1274" i="6"/>
  <c r="K1274" i="6" s="1"/>
  <c r="I1273" i="6"/>
  <c r="I1272" i="6"/>
  <c r="I1271" i="6"/>
  <c r="I1270" i="6"/>
  <c r="I1269" i="6"/>
  <c r="I1268" i="6"/>
  <c r="I1267" i="6"/>
  <c r="I1266" i="6"/>
  <c r="I1265" i="6"/>
  <c r="I1264" i="6"/>
  <c r="I1263" i="6"/>
  <c r="I1262" i="6"/>
  <c r="L1261" i="6"/>
  <c r="I1261" i="6"/>
  <c r="I1260" i="6"/>
  <c r="L1260" i="6" s="1"/>
  <c r="I1259" i="6"/>
  <c r="I1258" i="6"/>
  <c r="I1257" i="6"/>
  <c r="I1256" i="6"/>
  <c r="I1255" i="6"/>
  <c r="I1254" i="6"/>
  <c r="L1253" i="6"/>
  <c r="I1253" i="6"/>
  <c r="I1252" i="6"/>
  <c r="I1251" i="6"/>
  <c r="I1250" i="6"/>
  <c r="I1249" i="6"/>
  <c r="I1248" i="6"/>
  <c r="I1247" i="6"/>
  <c r="I1246" i="6"/>
  <c r="I1245" i="6"/>
  <c r="I1244" i="6"/>
  <c r="I1243" i="6"/>
  <c r="I1242" i="6"/>
  <c r="I1241" i="6"/>
  <c r="I1240" i="6"/>
  <c r="I1239" i="6"/>
  <c r="I1238" i="6"/>
  <c r="I1237" i="6"/>
  <c r="I1236" i="6"/>
  <c r="I1235" i="6"/>
  <c r="I1234" i="6"/>
  <c r="I1233" i="6"/>
  <c r="I1232" i="6"/>
  <c r="I1231" i="6"/>
  <c r="I1230" i="6"/>
  <c r="I1229" i="6"/>
  <c r="I1228" i="6"/>
  <c r="I1227" i="6"/>
  <c r="I1226" i="6"/>
  <c r="I1225" i="6"/>
  <c r="I1224" i="6"/>
  <c r="I1223" i="6"/>
  <c r="I1222" i="6"/>
  <c r="I1221" i="6"/>
  <c r="I1220" i="6"/>
  <c r="I1219" i="6"/>
  <c r="I1218" i="6"/>
  <c r="I1217" i="6"/>
  <c r="I1216" i="6"/>
  <c r="I1215" i="6"/>
  <c r="I1214" i="6"/>
  <c r="I1213" i="6"/>
  <c r="I1212" i="6"/>
  <c r="I1211" i="6"/>
  <c r="I1210" i="6"/>
  <c r="I1209" i="6"/>
  <c r="I1208" i="6"/>
  <c r="L1207" i="6"/>
  <c r="I1207" i="6"/>
  <c r="I1206" i="6"/>
  <c r="I1205" i="6"/>
  <c r="I1204" i="6"/>
  <c r="I1203" i="6"/>
  <c r="I1202" i="6"/>
  <c r="I1201" i="6"/>
  <c r="I1200" i="6"/>
  <c r="L1200" i="6" s="1"/>
  <c r="I1199" i="6"/>
  <c r="I1198" i="6"/>
  <c r="I1197" i="6"/>
  <c r="I1196" i="6"/>
  <c r="I1195" i="6"/>
  <c r="I1194" i="6"/>
  <c r="I1193" i="6"/>
  <c r="K1193" i="6" s="1"/>
  <c r="I1192" i="6"/>
  <c r="I1191" i="6"/>
  <c r="K1191" i="6" s="1"/>
  <c r="I1190" i="6"/>
  <c r="K1190" i="6" s="1"/>
  <c r="I1189" i="6"/>
  <c r="I1188" i="6"/>
  <c r="K1188" i="6" s="1"/>
  <c r="I1187" i="6"/>
  <c r="I1186" i="6"/>
  <c r="I1185" i="6"/>
  <c r="I1184" i="6"/>
  <c r="I1183" i="6"/>
  <c r="I1182" i="6"/>
  <c r="I1181" i="6"/>
  <c r="I1180" i="6"/>
  <c r="I1179" i="6"/>
  <c r="I1178" i="6"/>
  <c r="I1177" i="6"/>
  <c r="I1176" i="6"/>
  <c r="I1175" i="6"/>
  <c r="I1174" i="6"/>
  <c r="K1173" i="6"/>
  <c r="I1173" i="6"/>
  <c r="I1172" i="6"/>
  <c r="I1171" i="6"/>
  <c r="I1170" i="6"/>
  <c r="L1169" i="6"/>
  <c r="I1169" i="6"/>
  <c r="I1168" i="6"/>
  <c r="I1167" i="6"/>
  <c r="I1166" i="6"/>
  <c r="I1165" i="6"/>
  <c r="I1164" i="6"/>
  <c r="I1163" i="6"/>
  <c r="I1162" i="6"/>
  <c r="I1161" i="6"/>
  <c r="K1160" i="6"/>
  <c r="I1160" i="6"/>
  <c r="I1159" i="6"/>
  <c r="I1158" i="6"/>
  <c r="I1157" i="6"/>
  <c r="I1156" i="6"/>
  <c r="I1155" i="6"/>
  <c r="I1154" i="6"/>
  <c r="I1153" i="6"/>
  <c r="I1152" i="6"/>
  <c r="I1151" i="6"/>
  <c r="I1150" i="6"/>
  <c r="I1149" i="6"/>
  <c r="I1148" i="6"/>
  <c r="I1147" i="6"/>
  <c r="I1146" i="6"/>
  <c r="I1145" i="6"/>
  <c r="I1144" i="6"/>
  <c r="I1143" i="6"/>
  <c r="I1142" i="6"/>
  <c r="I1141" i="6"/>
  <c r="I1140" i="6"/>
  <c r="I1139" i="6"/>
  <c r="I1138" i="6"/>
  <c r="I1137" i="6"/>
  <c r="I1136" i="6"/>
  <c r="I1135" i="6"/>
  <c r="I1134" i="6"/>
  <c r="I1133" i="6"/>
  <c r="I1132" i="6"/>
  <c r="I1131" i="6"/>
  <c r="I1130" i="6"/>
  <c r="I1129" i="6"/>
  <c r="I1128" i="6"/>
  <c r="I1127" i="6"/>
  <c r="I1126" i="6"/>
  <c r="I1125" i="6"/>
  <c r="I1124" i="6"/>
  <c r="I1123" i="6"/>
  <c r="I1122" i="6"/>
  <c r="I1121" i="6"/>
  <c r="I1120" i="6"/>
  <c r="I1119" i="6"/>
  <c r="I1118" i="6"/>
  <c r="L1118" i="6" s="1"/>
  <c r="I1117" i="6"/>
  <c r="I1116" i="6"/>
  <c r="I1115" i="6"/>
  <c r="I1114" i="6"/>
  <c r="K1113" i="6"/>
  <c r="I1113" i="6"/>
  <c r="I1112" i="6"/>
  <c r="I1111" i="6"/>
  <c r="I1110" i="6"/>
  <c r="I1109" i="6"/>
  <c r="I1108" i="6"/>
  <c r="I1107" i="6"/>
  <c r="I1106" i="6"/>
  <c r="I1105" i="6"/>
  <c r="I1104" i="6"/>
  <c r="I1103" i="6"/>
  <c r="I1102" i="6"/>
  <c r="I1101" i="6"/>
  <c r="I1100" i="6"/>
  <c r="I1099" i="6"/>
  <c r="I1098" i="6"/>
  <c r="L1098" i="6" s="1"/>
  <c r="I1097" i="6"/>
  <c r="L1097" i="6" s="1"/>
  <c r="K1096" i="6"/>
  <c r="I1096" i="6"/>
  <c r="L1096" i="6" s="1"/>
  <c r="I1095" i="6"/>
  <c r="L1095" i="6" s="1"/>
  <c r="I1094" i="6"/>
  <c r="I1093" i="6"/>
  <c r="L1093" i="6" s="1"/>
  <c r="I1092" i="6"/>
  <c r="L1092" i="6" s="1"/>
  <c r="I1091" i="6"/>
  <c r="I1090" i="6"/>
  <c r="I1089" i="6"/>
  <c r="I1088" i="6"/>
  <c r="I1087" i="6"/>
  <c r="I1086" i="6"/>
  <c r="I1085" i="6"/>
  <c r="I1084" i="6"/>
  <c r="I1083" i="6"/>
  <c r="I1082" i="6"/>
  <c r="K1082" i="6" s="1"/>
  <c r="I1081" i="6"/>
  <c r="K1081" i="6" s="1"/>
  <c r="I1080" i="6"/>
  <c r="I1079" i="6"/>
  <c r="K1079" i="6" s="1"/>
  <c r="I1078" i="6"/>
  <c r="I1077" i="6"/>
  <c r="K1077" i="6" s="1"/>
  <c r="I1076" i="6"/>
  <c r="K1076" i="6" s="1"/>
  <c r="I1075" i="6"/>
  <c r="I1074" i="6"/>
  <c r="I1073" i="6"/>
  <c r="I1072" i="6"/>
  <c r="I1071" i="6"/>
  <c r="I1070" i="6"/>
  <c r="L1069" i="6"/>
  <c r="K1069" i="6"/>
  <c r="I1069" i="6"/>
  <c r="I1068" i="6"/>
  <c r="I1067" i="6"/>
  <c r="I1066" i="6"/>
  <c r="I1065" i="6"/>
  <c r="I1064" i="6"/>
  <c r="I1063" i="6"/>
  <c r="I1062" i="6"/>
  <c r="L1062" i="6" s="1"/>
  <c r="I1061" i="6"/>
  <c r="I1060" i="6"/>
  <c r="I1059" i="6"/>
  <c r="I1058" i="6"/>
  <c r="I1057" i="6"/>
  <c r="I1056" i="6"/>
  <c r="I1055" i="6"/>
  <c r="I1054" i="6"/>
  <c r="I1053" i="6"/>
  <c r="I1052" i="6"/>
  <c r="L1052" i="6" s="1"/>
  <c r="I1051" i="6"/>
  <c r="L1051" i="6" s="1"/>
  <c r="I1050" i="6"/>
  <c r="L1050" i="6" s="1"/>
  <c r="I1049" i="6"/>
  <c r="I1048" i="6"/>
  <c r="I1047" i="6"/>
  <c r="I1046" i="6"/>
  <c r="I1045" i="6"/>
  <c r="L1045" i="6" s="1"/>
  <c r="I1044" i="6"/>
  <c r="I1043" i="6"/>
  <c r="I1042" i="6"/>
  <c r="I1041" i="6"/>
  <c r="I1040" i="6"/>
  <c r="I1039" i="6"/>
  <c r="I1038" i="6"/>
  <c r="I1037" i="6"/>
  <c r="I1036" i="6"/>
  <c r="I1035" i="6"/>
  <c r="I1034" i="6"/>
  <c r="I1033" i="6"/>
  <c r="I1032" i="6"/>
  <c r="I1031" i="6"/>
  <c r="I1030" i="6"/>
  <c r="I1029" i="6"/>
  <c r="I1028" i="6"/>
  <c r="I1027" i="6"/>
  <c r="I1026" i="6"/>
  <c r="I1025" i="6"/>
  <c r="L1025" i="6" s="1"/>
  <c r="I1024" i="6"/>
  <c r="I1023" i="6"/>
  <c r="L1023" i="6" s="1"/>
  <c r="I1022" i="6"/>
  <c r="L1022" i="6" s="1"/>
  <c r="I1021" i="6"/>
  <c r="I1020" i="6"/>
  <c r="L1020" i="6" s="1"/>
  <c r="I1019" i="6"/>
  <c r="I1018" i="6"/>
  <c r="I1017" i="6"/>
  <c r="I1016" i="6"/>
  <c r="I1015" i="6"/>
  <c r="I1014" i="6"/>
  <c r="I1013" i="6"/>
  <c r="I1012" i="6"/>
  <c r="I1011" i="6"/>
  <c r="I1010" i="6"/>
  <c r="I1009" i="6"/>
  <c r="I1008" i="6"/>
  <c r="I1007" i="6"/>
  <c r="I1006" i="6"/>
  <c r="I1005" i="6"/>
  <c r="I1004" i="6"/>
  <c r="I1003" i="6"/>
  <c r="I1002" i="6"/>
  <c r="I1001" i="6"/>
  <c r="I1000" i="6"/>
  <c r="I999" i="6"/>
  <c r="I998" i="6"/>
  <c r="I997" i="6"/>
  <c r="L997" i="6" s="1"/>
  <c r="I996" i="6"/>
  <c r="K996" i="6" s="1"/>
  <c r="H995" i="6"/>
  <c r="I995" i="6" s="1"/>
  <c r="I994" i="6"/>
  <c r="I993" i="6"/>
  <c r="I992" i="6"/>
  <c r="I991" i="6"/>
  <c r="I990" i="6"/>
  <c r="K989" i="6"/>
  <c r="I989" i="6"/>
  <c r="I988" i="6"/>
  <c r="L988" i="6" s="1"/>
  <c r="I987" i="6"/>
  <c r="L987" i="6" s="1"/>
  <c r="I986" i="6"/>
  <c r="I985" i="6"/>
  <c r="K984" i="6"/>
  <c r="I984" i="6"/>
  <c r="I983" i="6"/>
  <c r="L983" i="6" s="1"/>
  <c r="I982" i="6"/>
  <c r="L982" i="6" s="1"/>
  <c r="I981" i="6"/>
  <c r="I980" i="6"/>
  <c r="K979" i="6"/>
  <c r="I979" i="6"/>
  <c r="I978" i="6"/>
  <c r="L978" i="6" s="1"/>
  <c r="I977" i="6"/>
  <c r="L977" i="6" s="1"/>
  <c r="I976" i="6"/>
  <c r="I975" i="6"/>
  <c r="I974" i="6"/>
  <c r="I973" i="6"/>
  <c r="I972" i="6"/>
  <c r="I971" i="6"/>
  <c r="I970" i="6"/>
  <c r="I969" i="6"/>
  <c r="I968" i="6"/>
  <c r="I967" i="6"/>
  <c r="I966" i="6"/>
  <c r="I965" i="6"/>
  <c r="I964" i="6"/>
  <c r="I963" i="6"/>
  <c r="I962" i="6"/>
  <c r="I961" i="6"/>
  <c r="I960" i="6"/>
  <c r="I959" i="6"/>
  <c r="I958" i="6"/>
  <c r="I957" i="6"/>
  <c r="I956" i="6"/>
  <c r="I955" i="6"/>
  <c r="I954" i="6"/>
  <c r="I953" i="6"/>
  <c r="I952" i="6"/>
  <c r="I951" i="6"/>
  <c r="I950" i="6"/>
  <c r="I949" i="6"/>
  <c r="I948" i="6"/>
  <c r="I947" i="6"/>
  <c r="I946" i="6"/>
  <c r="I945" i="6"/>
  <c r="I944" i="6"/>
  <c r="I943" i="6"/>
  <c r="I942" i="6"/>
  <c r="I941" i="6"/>
  <c r="I940" i="6"/>
  <c r="I939" i="6"/>
  <c r="I938" i="6"/>
  <c r="I937" i="6"/>
  <c r="I936" i="6"/>
  <c r="I935" i="6"/>
  <c r="I934" i="6"/>
  <c r="I933" i="6"/>
  <c r="I932" i="6"/>
  <c r="I931" i="6"/>
  <c r="I930" i="6"/>
  <c r="I929" i="6"/>
  <c r="I928" i="6"/>
  <c r="I927" i="6"/>
  <c r="I926" i="6"/>
  <c r="I925" i="6"/>
  <c r="I924" i="6"/>
  <c r="I923" i="6"/>
  <c r="I922" i="6"/>
  <c r="I921" i="6"/>
  <c r="I920" i="6"/>
  <c r="I919" i="6"/>
  <c r="I918" i="6"/>
  <c r="I917" i="6"/>
  <c r="I916" i="6"/>
  <c r="I915" i="6"/>
  <c r="I914" i="6"/>
  <c r="I913" i="6"/>
  <c r="I912" i="6"/>
  <c r="I911" i="6"/>
  <c r="I910" i="6"/>
  <c r="K909" i="6"/>
  <c r="I909" i="6"/>
  <c r="K908" i="6"/>
  <c r="I908" i="6"/>
  <c r="I907" i="6"/>
  <c r="I906" i="6"/>
  <c r="I905" i="6"/>
  <c r="I904" i="6"/>
  <c r="I903" i="6"/>
  <c r="L903" i="6" s="1"/>
  <c r="I902" i="6"/>
  <c r="I901" i="6"/>
  <c r="I900" i="6"/>
  <c r="I899" i="6"/>
  <c r="I898" i="6"/>
  <c r="I897" i="6"/>
  <c r="I896" i="6"/>
  <c r="I895" i="6"/>
  <c r="I894" i="6"/>
  <c r="I893" i="6"/>
  <c r="I892" i="6"/>
  <c r="I891" i="6"/>
  <c r="I890" i="6"/>
  <c r="I889" i="6"/>
  <c r="I888" i="6"/>
  <c r="L888" i="6" s="1"/>
  <c r="I887" i="6"/>
  <c r="L887" i="6" s="1"/>
  <c r="I886" i="6"/>
  <c r="L886" i="6" s="1"/>
  <c r="I885" i="6"/>
  <c r="L885" i="6" s="1"/>
  <c r="I884" i="6"/>
  <c r="L884" i="6" s="1"/>
  <c r="I883" i="6"/>
  <c r="L883" i="6" s="1"/>
  <c r="I882" i="6"/>
  <c r="I881" i="6"/>
  <c r="I880" i="6"/>
  <c r="I879" i="6"/>
  <c r="I877" i="6"/>
  <c r="I876" i="6"/>
  <c r="I875" i="6"/>
  <c r="I874" i="6"/>
  <c r="I873" i="6"/>
  <c r="I872" i="6"/>
  <c r="I871" i="6"/>
  <c r="I870" i="6"/>
  <c r="I869" i="6"/>
  <c r="I868" i="6"/>
  <c r="I867" i="6"/>
  <c r="I866" i="6"/>
  <c r="I865" i="6"/>
  <c r="I864" i="6"/>
  <c r="I863" i="6"/>
  <c r="I862" i="6"/>
  <c r="I861" i="6"/>
  <c r="I860" i="6"/>
  <c r="I859" i="6"/>
  <c r="I858" i="6"/>
  <c r="I857" i="6"/>
  <c r="I856" i="6"/>
  <c r="I855" i="6"/>
  <c r="I854" i="6"/>
  <c r="I853" i="6"/>
  <c r="I852" i="6"/>
  <c r="I851" i="6"/>
  <c r="I850" i="6"/>
  <c r="I849" i="6"/>
  <c r="I848" i="6"/>
  <c r="I847" i="6"/>
  <c r="I846" i="6"/>
  <c r="I845" i="6"/>
  <c r="I844" i="6"/>
  <c r="I843" i="6"/>
  <c r="I842" i="6"/>
  <c r="I841" i="6"/>
  <c r="I840" i="6"/>
  <c r="I839" i="6"/>
  <c r="I838" i="6"/>
  <c r="I837" i="6"/>
  <c r="I836" i="6"/>
  <c r="I835" i="6"/>
  <c r="I834" i="6"/>
  <c r="I833" i="6"/>
  <c r="I832" i="6"/>
  <c r="I831" i="6"/>
  <c r="I830" i="6"/>
  <c r="I829" i="6"/>
  <c r="I828" i="6"/>
  <c r="I827" i="6"/>
  <c r="I826" i="6"/>
  <c r="I825" i="6"/>
  <c r="I824" i="6"/>
  <c r="I823" i="6"/>
  <c r="I822" i="6"/>
  <c r="I821" i="6"/>
  <c r="I820" i="6"/>
  <c r="I819" i="6"/>
  <c r="I818" i="6"/>
  <c r="I817" i="6"/>
  <c r="I816" i="6"/>
  <c r="I815" i="6"/>
  <c r="I814" i="6"/>
  <c r="I813" i="6"/>
  <c r="I812" i="6"/>
  <c r="I811" i="6"/>
  <c r="I810" i="6"/>
  <c r="I809" i="6"/>
  <c r="I808" i="6"/>
  <c r="I807" i="6"/>
  <c r="I806" i="6"/>
  <c r="I805" i="6"/>
  <c r="I804" i="6"/>
  <c r="I803" i="6"/>
  <c r="I802" i="6"/>
  <c r="I801" i="6"/>
  <c r="I800" i="6"/>
  <c r="I799" i="6"/>
  <c r="I798" i="6"/>
  <c r="I797" i="6"/>
  <c r="I796" i="6"/>
  <c r="I795" i="6"/>
  <c r="I794" i="6"/>
  <c r="I793" i="6"/>
  <c r="I792" i="6"/>
  <c r="I791" i="6"/>
  <c r="I789" i="6"/>
  <c r="I788" i="6"/>
  <c r="I787" i="6"/>
  <c r="I786" i="6"/>
  <c r="I785" i="6"/>
  <c r="I784" i="6"/>
  <c r="I783" i="6"/>
  <c r="I782" i="6"/>
  <c r="I781" i="6"/>
  <c r="I780" i="6"/>
  <c r="I779" i="6"/>
  <c r="I778" i="6"/>
  <c r="I777" i="6"/>
  <c r="I776" i="6"/>
  <c r="I775" i="6"/>
  <c r="I774" i="6"/>
  <c r="I773" i="6"/>
  <c r="I772" i="6"/>
  <c r="I771" i="6"/>
  <c r="I770" i="6"/>
  <c r="I769" i="6"/>
  <c r="I768" i="6"/>
  <c r="I767" i="6"/>
  <c r="I766" i="6"/>
  <c r="I765" i="6"/>
  <c r="I764" i="6"/>
  <c r="I763" i="6"/>
  <c r="I762" i="6"/>
  <c r="I761" i="6"/>
  <c r="I760" i="6"/>
  <c r="I759" i="6"/>
  <c r="I758" i="6"/>
  <c r="I757" i="6"/>
  <c r="I756" i="6"/>
  <c r="I755" i="6"/>
  <c r="I754" i="6"/>
  <c r="I753" i="6"/>
  <c r="I752" i="6"/>
  <c r="I751" i="6"/>
  <c r="I750" i="6"/>
  <c r="I749" i="6"/>
  <c r="I748" i="6"/>
  <c r="I747" i="6"/>
  <c r="I746" i="6"/>
  <c r="I744" i="6"/>
  <c r="I743" i="6"/>
  <c r="I742" i="6"/>
  <c r="I741" i="6"/>
  <c r="I740" i="6"/>
  <c r="I739" i="6"/>
  <c r="I738" i="6"/>
  <c r="I737" i="6"/>
  <c r="I736" i="6"/>
  <c r="I735" i="6"/>
  <c r="I734" i="6"/>
  <c r="I733" i="6"/>
  <c r="I732" i="6"/>
  <c r="I731" i="6"/>
  <c r="I730" i="6"/>
  <c r="I729" i="6"/>
  <c r="I728" i="6"/>
  <c r="I726" i="6"/>
  <c r="I725" i="6"/>
  <c r="I724" i="6"/>
  <c r="I723" i="6"/>
  <c r="I722" i="6"/>
  <c r="I721" i="6"/>
  <c r="I720" i="6"/>
  <c r="I719" i="6"/>
  <c r="I718" i="6"/>
  <c r="I717" i="6"/>
  <c r="I716" i="6"/>
  <c r="I715" i="6"/>
  <c r="I714" i="6"/>
  <c r="I713" i="6"/>
  <c r="I712" i="6"/>
  <c r="I711" i="6"/>
  <c r="I710" i="6"/>
  <c r="I708" i="6"/>
  <c r="I707" i="6"/>
  <c r="I706" i="6"/>
  <c r="I705" i="6"/>
  <c r="I704" i="6"/>
  <c r="I703" i="6"/>
  <c r="I702" i="6"/>
  <c r="I701" i="6"/>
  <c r="I694" i="6"/>
  <c r="I693" i="6"/>
  <c r="I688" i="6"/>
  <c r="I687" i="6"/>
  <c r="I686" i="6"/>
  <c r="I685" i="6"/>
  <c r="I684" i="6"/>
  <c r="I683" i="6"/>
  <c r="I682" i="6"/>
  <c r="I681" i="6"/>
  <c r="I680" i="6"/>
  <c r="I679" i="6"/>
  <c r="I678" i="6"/>
  <c r="I677" i="6"/>
  <c r="I676" i="6"/>
  <c r="I675" i="6"/>
  <c r="I674" i="6"/>
  <c r="I673" i="6"/>
  <c r="I672" i="6"/>
  <c r="I671" i="6"/>
  <c r="I670" i="6"/>
  <c r="I669" i="6"/>
  <c r="I668" i="6"/>
  <c r="I667" i="6"/>
  <c r="I666" i="6"/>
  <c r="I665" i="6"/>
  <c r="I664" i="6"/>
  <c r="I663" i="6"/>
  <c r="I662" i="6"/>
  <c r="I661" i="6"/>
  <c r="I660" i="6"/>
  <c r="I659" i="6"/>
  <c r="I658" i="6"/>
  <c r="I657" i="6"/>
  <c r="I656" i="6"/>
  <c r="I655" i="6"/>
  <c r="I654" i="6"/>
  <c r="I653" i="6"/>
  <c r="I652" i="6"/>
  <c r="I651" i="6"/>
  <c r="I650" i="6"/>
  <c r="I649" i="6"/>
  <c r="I648" i="6"/>
  <c r="I647" i="6"/>
  <c r="I646" i="6"/>
  <c r="I645" i="6"/>
  <c r="I644" i="6"/>
  <c r="I643" i="6"/>
  <c r="I642" i="6"/>
  <c r="I641" i="6"/>
  <c r="I640" i="6"/>
  <c r="I639" i="6"/>
  <c r="I638" i="6"/>
  <c r="I637" i="6"/>
  <c r="I636" i="6"/>
  <c r="I635" i="6"/>
  <c r="I634" i="6"/>
  <c r="I633" i="6"/>
  <c r="I632" i="6"/>
  <c r="I631" i="6"/>
  <c r="I630" i="6"/>
  <c r="I629" i="6"/>
  <c r="I628" i="6"/>
  <c r="I627" i="6"/>
  <c r="I626" i="6"/>
  <c r="I625" i="6"/>
  <c r="I624" i="6"/>
  <c r="I623" i="6"/>
  <c r="I622" i="6"/>
  <c r="I621" i="6"/>
  <c r="I620" i="6"/>
  <c r="I619" i="6"/>
  <c r="I618" i="6"/>
  <c r="I617" i="6"/>
  <c r="I616" i="6"/>
  <c r="I615" i="6"/>
  <c r="I614" i="6"/>
  <c r="I613" i="6"/>
  <c r="I612" i="6"/>
  <c r="I611" i="6"/>
  <c r="I610" i="6"/>
  <c r="I609" i="6"/>
  <c r="I608" i="6"/>
  <c r="I607" i="6"/>
  <c r="I606" i="6"/>
  <c r="I605" i="6"/>
  <c r="I604" i="6"/>
  <c r="I603" i="6"/>
  <c r="I602" i="6"/>
  <c r="I601" i="6"/>
  <c r="I600" i="6"/>
  <c r="I599" i="6"/>
  <c r="I598" i="6"/>
  <c r="I597" i="6"/>
  <c r="I596" i="6"/>
  <c r="I595" i="6"/>
  <c r="I594" i="6"/>
  <c r="I593" i="6"/>
  <c r="I592" i="6"/>
  <c r="I591" i="6"/>
  <c r="I590" i="6"/>
  <c r="I589" i="6"/>
  <c r="I588" i="6"/>
  <c r="I587" i="6"/>
  <c r="I586" i="6"/>
  <c r="I585" i="6"/>
  <c r="I584" i="6"/>
  <c r="I583" i="6"/>
  <c r="I582" i="6"/>
  <c r="I581" i="6"/>
  <c r="I580" i="6"/>
  <c r="I579" i="6"/>
  <c r="I578" i="6"/>
  <c r="I577" i="6"/>
  <c r="K577" i="6" s="1"/>
  <c r="I576" i="6"/>
  <c r="K576" i="6" s="1"/>
  <c r="I575" i="6"/>
  <c r="I574" i="6"/>
  <c r="K574" i="6" s="1"/>
  <c r="I573" i="6"/>
  <c r="K573" i="6" s="1"/>
  <c r="I572" i="6"/>
  <c r="K572" i="6" s="1"/>
  <c r="I571" i="6"/>
  <c r="I570" i="6"/>
  <c r="I569" i="6"/>
  <c r="I568" i="6"/>
  <c r="I567" i="6"/>
  <c r="I566" i="6"/>
  <c r="I565" i="6"/>
  <c r="I564" i="6"/>
  <c r="I563" i="6"/>
  <c r="I562" i="6"/>
  <c r="I561" i="6"/>
  <c r="I560" i="6"/>
  <c r="I559" i="6"/>
  <c r="I558" i="6"/>
  <c r="I557" i="6"/>
  <c r="I556" i="6"/>
  <c r="I555" i="6"/>
  <c r="I554" i="6"/>
  <c r="I553" i="6"/>
  <c r="I552" i="6"/>
  <c r="I551" i="6"/>
  <c r="I550" i="6"/>
  <c r="I549" i="6"/>
  <c r="I548" i="6"/>
  <c r="I547" i="6"/>
  <c r="I546" i="6"/>
  <c r="I545" i="6"/>
  <c r="I544" i="6"/>
  <c r="I543" i="6"/>
  <c r="I542" i="6"/>
  <c r="I541" i="6"/>
  <c r="I540" i="6"/>
  <c r="I539" i="6"/>
  <c r="I538" i="6"/>
  <c r="I537" i="6"/>
  <c r="I536" i="6"/>
  <c r="I535" i="6"/>
  <c r="I534" i="6"/>
  <c r="I533" i="6"/>
  <c r="I532" i="6"/>
  <c r="I531" i="6"/>
  <c r="I530" i="6"/>
  <c r="I529" i="6"/>
  <c r="I528" i="6"/>
  <c r="I527" i="6"/>
  <c r="I526" i="6"/>
  <c r="I525" i="6"/>
  <c r="I524" i="6"/>
  <c r="I523" i="6"/>
  <c r="I522" i="6"/>
  <c r="I521" i="6"/>
  <c r="I520" i="6"/>
  <c r="I519" i="6"/>
  <c r="I518" i="6"/>
  <c r="I517" i="6"/>
  <c r="I516" i="6"/>
  <c r="I515" i="6"/>
  <c r="I514" i="6"/>
  <c r="I513" i="6"/>
  <c r="I512" i="6"/>
  <c r="I511" i="6"/>
  <c r="I510" i="6"/>
  <c r="I509" i="6"/>
  <c r="I508" i="6"/>
  <c r="I507" i="6"/>
  <c r="I506" i="6"/>
  <c r="I505" i="6"/>
  <c r="I504" i="6"/>
  <c r="I503" i="6"/>
  <c r="I502" i="6"/>
  <c r="I501" i="6"/>
  <c r="I500" i="6"/>
  <c r="I499" i="6"/>
  <c r="I498" i="6"/>
  <c r="I497" i="6"/>
  <c r="I496" i="6"/>
  <c r="I495" i="6"/>
  <c r="I494" i="6"/>
  <c r="I493" i="6"/>
  <c r="I492" i="6"/>
  <c r="I491" i="6"/>
  <c r="I490" i="6"/>
  <c r="I489" i="6"/>
  <c r="I488" i="6"/>
  <c r="I487" i="6"/>
  <c r="I486" i="6"/>
  <c r="I485" i="6"/>
  <c r="I484" i="6"/>
  <c r="I483" i="6"/>
  <c r="I482" i="6"/>
  <c r="I481" i="6"/>
  <c r="I480" i="6"/>
  <c r="I479" i="6"/>
  <c r="I478" i="6"/>
  <c r="I477" i="6"/>
  <c r="I476" i="6"/>
  <c r="I475" i="6"/>
  <c r="I474" i="6"/>
  <c r="I473" i="6"/>
  <c r="I472" i="6"/>
  <c r="I471" i="6"/>
  <c r="I470" i="6"/>
  <c r="I469" i="6"/>
  <c r="I468" i="6"/>
  <c r="I467" i="6"/>
  <c r="I466" i="6"/>
  <c r="I465" i="6"/>
  <c r="I464" i="6"/>
  <c r="I463" i="6"/>
  <c r="I462" i="6"/>
  <c r="I461" i="6"/>
  <c r="I460" i="6"/>
  <c r="I459" i="6"/>
  <c r="I458" i="6"/>
  <c r="I457" i="6"/>
  <c r="I456" i="6"/>
  <c r="I455" i="6"/>
  <c r="I454" i="6"/>
  <c r="I453" i="6"/>
  <c r="I452" i="6"/>
  <c r="I451" i="6"/>
  <c r="I450" i="6"/>
  <c r="I449" i="6"/>
  <c r="I448" i="6"/>
  <c r="I447" i="6"/>
  <c r="I446" i="6"/>
  <c r="I445" i="6"/>
  <c r="I444" i="6"/>
  <c r="K444" i="6" s="1"/>
  <c r="I443" i="6"/>
  <c r="K443" i="6" s="1"/>
  <c r="I442" i="6"/>
  <c r="I441" i="6"/>
  <c r="I440" i="6"/>
  <c r="I439" i="6"/>
  <c r="I438" i="6"/>
  <c r="I437" i="6"/>
  <c r="I436" i="6"/>
  <c r="I435" i="6"/>
  <c r="I434" i="6"/>
  <c r="I433" i="6"/>
  <c r="I432" i="6"/>
  <c r="I431" i="6"/>
  <c r="I430" i="6"/>
  <c r="I429" i="6"/>
  <c r="I428" i="6"/>
  <c r="I427" i="6"/>
  <c r="I426" i="6"/>
  <c r="I425" i="6"/>
  <c r="I424" i="6"/>
  <c r="I423" i="6"/>
  <c r="I422" i="6"/>
  <c r="I421" i="6"/>
  <c r="I420" i="6"/>
  <c r="I419" i="6"/>
  <c r="I418" i="6"/>
  <c r="I417" i="6"/>
  <c r="I416" i="6"/>
  <c r="I415" i="6"/>
  <c r="I414" i="6"/>
  <c r="I413" i="6"/>
  <c r="I412" i="6"/>
  <c r="I411" i="6"/>
  <c r="I410" i="6"/>
  <c r="I409" i="6"/>
  <c r="I408" i="6"/>
  <c r="I407" i="6"/>
  <c r="I406" i="6"/>
  <c r="I405" i="6"/>
  <c r="I404" i="6"/>
  <c r="I403" i="6"/>
  <c r="I402" i="6"/>
  <c r="I401" i="6"/>
  <c r="I400" i="6"/>
  <c r="I399" i="6"/>
  <c r="I398" i="6"/>
  <c r="I397" i="6"/>
  <c r="I396" i="6"/>
  <c r="I395" i="6"/>
  <c r="I394" i="6"/>
  <c r="I393" i="6"/>
  <c r="I392" i="6"/>
  <c r="I391" i="6"/>
  <c r="I390" i="6"/>
  <c r="I389" i="6"/>
  <c r="I388" i="6"/>
  <c r="I387" i="6"/>
  <c r="I386" i="6"/>
  <c r="I385" i="6"/>
  <c r="I384" i="6"/>
  <c r="I383" i="6"/>
  <c r="I382" i="6"/>
  <c r="I381" i="6"/>
  <c r="I380" i="6"/>
  <c r="I379" i="6"/>
  <c r="I378" i="6"/>
  <c r="I377" i="6"/>
  <c r="I376" i="6"/>
  <c r="I375" i="6"/>
  <c r="I374" i="6"/>
  <c r="I373" i="6"/>
  <c r="I372" i="6"/>
  <c r="I371" i="6"/>
  <c r="I370" i="6"/>
  <c r="I369" i="6"/>
  <c r="I368" i="6"/>
  <c r="I367" i="6"/>
  <c r="I366" i="6"/>
  <c r="I365" i="6"/>
  <c r="I364" i="6"/>
  <c r="I363" i="6"/>
  <c r="I362" i="6"/>
  <c r="I361" i="6"/>
  <c r="I360" i="6"/>
  <c r="I359" i="6"/>
  <c r="I358" i="6"/>
  <c r="I357" i="6"/>
  <c r="I356" i="6"/>
  <c r="I355" i="6"/>
  <c r="I354" i="6"/>
  <c r="I353" i="6"/>
  <c r="I352" i="6"/>
  <c r="I351" i="6"/>
  <c r="I350" i="6"/>
  <c r="I349" i="6"/>
  <c r="I348" i="6"/>
  <c r="I347" i="6"/>
  <c r="I346" i="6"/>
  <c r="U345" i="6"/>
  <c r="I345" i="6"/>
  <c r="U344" i="6"/>
  <c r="I344" i="6"/>
  <c r="I343" i="6"/>
  <c r="I342" i="6"/>
  <c r="I341" i="6"/>
  <c r="I340" i="6"/>
  <c r="I339" i="6"/>
  <c r="I338" i="6"/>
  <c r="I337" i="6"/>
  <c r="I336" i="6"/>
  <c r="I335" i="6"/>
  <c r="I334" i="6"/>
  <c r="I333" i="6"/>
  <c r="I332" i="6"/>
  <c r="I331" i="6"/>
  <c r="I330" i="6"/>
  <c r="I329" i="6"/>
  <c r="I328" i="6"/>
  <c r="I327" i="6"/>
  <c r="I326" i="6"/>
  <c r="I325" i="6"/>
  <c r="I324" i="6"/>
  <c r="I323" i="6"/>
  <c r="I322" i="6"/>
  <c r="I321" i="6"/>
  <c r="I320" i="6"/>
  <c r="I319" i="6"/>
  <c r="I318" i="6"/>
  <c r="I317" i="6"/>
  <c r="I316" i="6"/>
  <c r="I315" i="6"/>
  <c r="I314" i="6"/>
  <c r="I313" i="6"/>
  <c r="I312" i="6"/>
  <c r="I311" i="6"/>
  <c r="I310" i="6"/>
  <c r="I309" i="6"/>
  <c r="I308" i="6"/>
  <c r="I307" i="6"/>
  <c r="I306" i="6"/>
  <c r="I305" i="6"/>
  <c r="I304" i="6"/>
  <c r="I303" i="6"/>
  <c r="I302" i="6"/>
  <c r="I301" i="6"/>
  <c r="I300" i="6"/>
  <c r="I299" i="6"/>
  <c r="I298" i="6"/>
  <c r="I297" i="6"/>
  <c r="I296" i="6"/>
  <c r="I295" i="6"/>
  <c r="I294" i="6"/>
  <c r="I293" i="6"/>
  <c r="I292" i="6"/>
  <c r="I291" i="6"/>
  <c r="I290" i="6"/>
  <c r="I289" i="6"/>
  <c r="I288" i="6"/>
  <c r="I287" i="6"/>
  <c r="I286" i="6"/>
  <c r="I285" i="6"/>
  <c r="I284" i="6"/>
  <c r="I283" i="6"/>
  <c r="I282" i="6"/>
  <c r="I281" i="6"/>
  <c r="I280" i="6"/>
  <c r="I279" i="6"/>
  <c r="I278" i="6"/>
  <c r="I277" i="6"/>
  <c r="I276" i="6"/>
  <c r="I275" i="6"/>
  <c r="I274" i="6"/>
  <c r="I273" i="6"/>
  <c r="I272" i="6"/>
  <c r="I271" i="6"/>
  <c r="I270" i="6"/>
  <c r="I269" i="6"/>
  <c r="I268" i="6"/>
  <c r="I267" i="6"/>
  <c r="I266" i="6"/>
  <c r="I265" i="6"/>
  <c r="I264" i="6"/>
  <c r="I263" i="6"/>
  <c r="I262" i="6"/>
  <c r="I261" i="6"/>
  <c r="I260" i="6"/>
  <c r="I259" i="6"/>
  <c r="I258" i="6"/>
  <c r="I257" i="6"/>
  <c r="I256" i="6"/>
  <c r="I255" i="6"/>
  <c r="I254" i="6"/>
  <c r="I253" i="6"/>
  <c r="I252" i="6"/>
  <c r="I251" i="6"/>
  <c r="I250" i="6"/>
  <c r="I249" i="6"/>
  <c r="I248" i="6"/>
  <c r="I247" i="6"/>
  <c r="I246" i="6"/>
  <c r="I245" i="6"/>
  <c r="I244" i="6"/>
  <c r="I243" i="6"/>
  <c r="I242" i="6"/>
  <c r="I241" i="6"/>
  <c r="I240" i="6"/>
  <c r="I239" i="6"/>
  <c r="I238" i="6"/>
  <c r="I237" i="6"/>
  <c r="I236" i="6"/>
  <c r="I235" i="6"/>
  <c r="I234" i="6"/>
  <c r="I233" i="6"/>
  <c r="I232" i="6"/>
  <c r="I231" i="6"/>
  <c r="I230" i="6"/>
  <c r="I229" i="6"/>
  <c r="I228" i="6"/>
  <c r="I227" i="6"/>
  <c r="I226" i="6"/>
  <c r="I225" i="6"/>
  <c r="I224" i="6"/>
  <c r="I223" i="6"/>
  <c r="I222" i="6"/>
  <c r="I221" i="6"/>
  <c r="I220" i="6"/>
  <c r="I219" i="6"/>
  <c r="I218" i="6"/>
  <c r="I217" i="6"/>
  <c r="I216" i="6"/>
  <c r="I215" i="6"/>
  <c r="I214" i="6"/>
  <c r="I213" i="6"/>
  <c r="I212" i="6"/>
  <c r="I211" i="6"/>
  <c r="I210" i="6"/>
  <c r="I209" i="6"/>
  <c r="I208" i="6"/>
  <c r="I207" i="6"/>
  <c r="I206" i="6"/>
  <c r="I205" i="6"/>
  <c r="I204" i="6"/>
  <c r="I203" i="6"/>
  <c r="I202" i="6"/>
  <c r="I201" i="6"/>
  <c r="I200" i="6"/>
  <c r="I199" i="6"/>
  <c r="I198" i="6"/>
  <c r="I197" i="6"/>
  <c r="I196" i="6"/>
  <c r="I195" i="6"/>
  <c r="I194" i="6"/>
  <c r="I193" i="6"/>
  <c r="I192" i="6"/>
  <c r="I191" i="6"/>
  <c r="I190" i="6"/>
  <c r="I189" i="6"/>
  <c r="I188" i="6"/>
  <c r="I187" i="6"/>
  <c r="I186" i="6"/>
  <c r="I185" i="6"/>
  <c r="I184" i="6"/>
  <c r="I183" i="6"/>
  <c r="I182" i="6"/>
  <c r="I181" i="6"/>
  <c r="I180" i="6"/>
  <c r="I179" i="6"/>
  <c r="I178" i="6"/>
  <c r="I177" i="6"/>
  <c r="I176" i="6"/>
  <c r="I175" i="6"/>
  <c r="I174" i="6"/>
  <c r="I173" i="6"/>
  <c r="I172" i="6"/>
  <c r="I171" i="6"/>
  <c r="I170" i="6"/>
  <c r="I169" i="6"/>
  <c r="I168" i="6"/>
  <c r="I167" i="6"/>
  <c r="I166" i="6"/>
  <c r="I165" i="6"/>
  <c r="I164" i="6"/>
  <c r="I163" i="6"/>
  <c r="I162" i="6"/>
  <c r="I161" i="6"/>
  <c r="I160" i="6"/>
  <c r="I159" i="6"/>
  <c r="I158" i="6"/>
  <c r="I157" i="6"/>
  <c r="I156" i="6"/>
  <c r="I155" i="6"/>
  <c r="I154" i="6"/>
  <c r="I153" i="6"/>
  <c r="I152" i="6"/>
  <c r="I151" i="6"/>
  <c r="I150" i="6"/>
  <c r="I149" i="6"/>
  <c r="I148" i="6"/>
  <c r="I147" i="6"/>
  <c r="I146" i="6"/>
  <c r="I145" i="6"/>
  <c r="I144" i="6"/>
  <c r="I143" i="6"/>
  <c r="I142" i="6"/>
  <c r="I141" i="6"/>
  <c r="I140" i="6"/>
  <c r="I139" i="6"/>
  <c r="I138" i="6"/>
  <c r="I137" i="6"/>
  <c r="I136" i="6"/>
  <c r="I135" i="6"/>
  <c r="I134" i="6"/>
  <c r="I133" i="6"/>
  <c r="I132" i="6"/>
  <c r="I131" i="6"/>
  <c r="I130" i="6"/>
  <c r="I129" i="6"/>
  <c r="I128" i="6"/>
  <c r="I127" i="6"/>
  <c r="I126" i="6"/>
  <c r="I125" i="6"/>
  <c r="I124" i="6"/>
  <c r="I123" i="6"/>
  <c r="I122" i="6"/>
  <c r="I121" i="6"/>
  <c r="I120" i="6"/>
  <c r="I119" i="6"/>
  <c r="I118" i="6"/>
  <c r="I117" i="6"/>
  <c r="I116" i="6"/>
  <c r="I115" i="6"/>
  <c r="I114" i="6"/>
  <c r="I113" i="6"/>
  <c r="I112" i="6"/>
  <c r="I111" i="6"/>
  <c r="I110" i="6"/>
  <c r="I109" i="6"/>
  <c r="I108" i="6"/>
  <c r="I107" i="6"/>
  <c r="I106" i="6"/>
  <c r="I105" i="6"/>
  <c r="I104" i="6"/>
  <c r="I103" i="6"/>
  <c r="I102" i="6"/>
  <c r="I101" i="6"/>
  <c r="I100" i="6"/>
  <c r="I99" i="6"/>
  <c r="I98" i="6"/>
  <c r="I97" i="6"/>
  <c r="I96" i="6"/>
  <c r="I95" i="6"/>
  <c r="I94" i="6"/>
  <c r="I93" i="6"/>
  <c r="I92" i="6"/>
  <c r="I91" i="6"/>
  <c r="I90" i="6"/>
  <c r="I89" i="6"/>
  <c r="I88" i="6"/>
  <c r="I87" i="6"/>
  <c r="I86" i="6"/>
  <c r="I85" i="6"/>
  <c r="I84" i="6"/>
  <c r="I83" i="6"/>
  <c r="I82" i="6"/>
  <c r="I81" i="6"/>
  <c r="I80" i="6"/>
  <c r="I79" i="6"/>
  <c r="I78" i="6"/>
  <c r="I77" i="6"/>
  <c r="I76" i="6"/>
  <c r="I75" i="6"/>
  <c r="I74" i="6"/>
  <c r="I73" i="6"/>
  <c r="I72" i="6"/>
  <c r="I71" i="6"/>
  <c r="I70" i="6"/>
  <c r="I69" i="6"/>
  <c r="I68" i="6"/>
  <c r="I67" i="6"/>
  <c r="I66" i="6"/>
  <c r="I65" i="6"/>
  <c r="I64" i="6"/>
  <c r="I63" i="6"/>
  <c r="I62" i="6"/>
  <c r="I61" i="6"/>
  <c r="I60" i="6"/>
  <c r="I59" i="6"/>
  <c r="I58" i="6"/>
  <c r="I57" i="6"/>
  <c r="I56" i="6"/>
  <c r="I55" i="6"/>
  <c r="I54" i="6"/>
  <c r="I53" i="6"/>
  <c r="I52" i="6"/>
  <c r="I51" i="6"/>
  <c r="I50" i="6"/>
  <c r="I49" i="6"/>
  <c r="I48" i="6"/>
  <c r="I47" i="6"/>
  <c r="I46" i="6"/>
  <c r="I45" i="6"/>
  <c r="I44" i="6"/>
  <c r="I43" i="6"/>
  <c r="I42" i="6"/>
  <c r="I41" i="6"/>
  <c r="I40" i="6"/>
  <c r="I39" i="6"/>
  <c r="I38" i="6"/>
  <c r="I37" i="6"/>
  <c r="I36" i="6"/>
  <c r="I35" i="6"/>
  <c r="I34" i="6"/>
  <c r="I33" i="6"/>
  <c r="I32" i="6"/>
  <c r="I31" i="6"/>
  <c r="I30" i="6"/>
  <c r="I29" i="6"/>
  <c r="I28" i="6"/>
  <c r="I27" i="6"/>
  <c r="I26" i="6"/>
  <c r="I25" i="6"/>
  <c r="I24" i="6"/>
  <c r="I23" i="6"/>
  <c r="I22" i="6"/>
  <c r="I21" i="6"/>
  <c r="I20" i="6"/>
  <c r="I19" i="6"/>
  <c r="I18" i="6"/>
  <c r="I17" i="6"/>
  <c r="I16" i="6"/>
  <c r="I15" i="6"/>
  <c r="I14" i="6"/>
  <c r="I13" i="6"/>
  <c r="I12" i="6"/>
  <c r="I11" i="6"/>
  <c r="I10" i="6"/>
  <c r="I9" i="6"/>
  <c r="I8" i="6"/>
  <c r="I7" i="6"/>
  <c r="I6" i="6"/>
  <c r="I5" i="6"/>
  <c r="I4" i="6"/>
  <c r="I3" i="6"/>
  <c r="I2" i="6"/>
  <c r="L979" i="6" l="1"/>
  <c r="K1315" i="6"/>
  <c r="L1315" i="6" s="1"/>
  <c r="L989" i="6"/>
  <c r="L984" i="6"/>
  <c r="K1078" i="6"/>
  <c r="L1078"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Noela Bruynseels</author>
    <author>Bruynseels , Noela</author>
  </authors>
  <commentList>
    <comment ref="J647" authorId="0" shapeId="0" xr:uid="{C0FAB352-8C49-450E-AB91-D8E9374DC5CA}">
      <text>
        <r>
          <rPr>
            <sz val="11"/>
            <color theme="1"/>
            <rFont val="Calibri"/>
            <family val="2"/>
            <scheme val="minor"/>
          </rPr>
          <t>Noela Bruynseels:
onderhandeling Nick met Hydep : payment 30 days after invoice date + CIP zonder aanrekening van de verzendkosten en aangepaste prijs :  496,07€/m²</t>
        </r>
      </text>
    </comment>
    <comment ref="J747" authorId="0" shapeId="0" xr:uid="{954C8511-1EF6-4216-B41C-D0106C0FF422}">
      <text>
        <r>
          <rPr>
            <sz val="11"/>
            <color theme="1"/>
            <rFont val="Calibri"/>
            <family val="2"/>
            <scheme val="minor"/>
          </rPr>
          <t>Noela Bruynseels:
onderhandeling Nick met Hydep : payment 30 days after invoice date + CIP zonder aanrekening van de verzendkosten en aangepaste prijs :  496,07€/m²</t>
        </r>
      </text>
    </comment>
    <comment ref="A748" authorId="0" shapeId="0" xr:uid="{97DA54C2-3991-4545-8642-8F5C705F7D41}">
      <text>
        <r>
          <rPr>
            <sz val="11"/>
            <color theme="1"/>
            <rFont val="Calibri"/>
            <family val="2"/>
            <scheme val="minor"/>
          </rPr>
          <t>Noela Bruynseels:
Geen transportkosten : Nick levert deze zelf af in Oevel</t>
        </r>
      </text>
    </comment>
    <comment ref="C769" authorId="0" shapeId="0" xr:uid="{1B26749F-10CB-46EE-AEC3-87D082683E7B}">
      <text>
        <r>
          <rPr>
            <sz val="11"/>
            <color theme="1"/>
            <rFont val="Calibri"/>
            <family val="2"/>
            <scheme val="minor"/>
          </rPr>
          <t>Noela Bruynseels:
Aangekocht via OWL Materials Tech Co. Ltd South#1 Building Longhu Xincheng, Longhu St. Sanshan Economic Development District, China</t>
        </r>
      </text>
    </comment>
    <comment ref="A778" authorId="0" shapeId="0" xr:uid="{28F65B4F-DAE9-4FD1-8F7F-930E0FD4A53A}">
      <text>
        <r>
          <rPr>
            <sz val="11"/>
            <color theme="1"/>
            <rFont val="Calibri"/>
            <family val="2"/>
            <scheme val="minor"/>
          </rPr>
          <t>Noela Bruynseels:
op 25/07/2024 hernieuwde offerte gestuurd</t>
        </r>
      </text>
    </comment>
    <comment ref="J788" authorId="0" shapeId="0" xr:uid="{115914AE-9429-4F62-A7E9-922FED59CDBE}">
      <text>
        <r>
          <rPr>
            <sz val="11"/>
            <color theme="1"/>
            <rFont val="Calibri"/>
            <family val="2"/>
            <scheme val="minor"/>
          </rPr>
          <t>Noela Bruynseels:
Afgesproken met Nick om deze prijs te behouden, was voor Ø380</t>
        </r>
      </text>
    </comment>
    <comment ref="L873" authorId="0" shapeId="0" xr:uid="{1B02FB82-8A79-4164-83A2-7269DF231417}">
      <text>
        <r>
          <rPr>
            <sz val="11"/>
            <color theme="1"/>
            <rFont val="Calibri"/>
            <family val="2"/>
            <scheme val="minor"/>
          </rPr>
          <t>Noela Bruynseels:
10% discount gegeven met akkoord van Nick</t>
        </r>
      </text>
    </comment>
    <comment ref="L874" authorId="0" shapeId="0" xr:uid="{D67BB94D-4C3C-4451-BC8B-9B632F9EC78C}">
      <text>
        <r>
          <rPr>
            <sz val="11"/>
            <color theme="1"/>
            <rFont val="Calibri"/>
            <family val="2"/>
            <scheme val="minor"/>
          </rPr>
          <t>Noela Bruynseels:
10% discount gegeven met akkoord van Nick</t>
        </r>
      </text>
    </comment>
    <comment ref="C875" authorId="0" shapeId="0" xr:uid="{7FBABB5B-0B04-46A6-81F0-0FA73868944D}">
      <text>
        <r>
          <rPr>
            <sz val="11"/>
            <color theme="1"/>
            <rFont val="Calibri"/>
            <family val="2"/>
            <scheme val="minor"/>
          </rPr>
          <t>Noela Bruynseels:
Shanghai Aerotech Trading International  gaat deze aankopen voor Envision</t>
        </r>
      </text>
    </comment>
    <comment ref="L875" authorId="0" shapeId="0" xr:uid="{E29254C9-1D4A-4328-B760-6FAE37F2C250}">
      <text>
        <r>
          <rPr>
            <sz val="11"/>
            <color theme="1"/>
            <rFont val="Calibri"/>
            <family val="2"/>
            <scheme val="minor"/>
          </rPr>
          <t>Noela Bruynseels:
10% discount gegeven met akkoord van Nick</t>
        </r>
      </text>
    </comment>
    <comment ref="C876" authorId="0" shapeId="0" xr:uid="{792A6E30-14DD-40E4-AAF8-123FBA5CE276}">
      <text>
        <r>
          <rPr>
            <sz val="11"/>
            <color theme="1"/>
            <rFont val="Calibri"/>
            <family val="2"/>
            <scheme val="minor"/>
          </rPr>
          <t>Noela Bruynseels:
Shanghai Aerotech Trading International  gaat deze aankopen voor Envision</t>
        </r>
      </text>
    </comment>
    <comment ref="L876" authorId="0" shapeId="0" xr:uid="{94032466-5E7D-4D2B-92A3-DC2B52CF19E5}">
      <text>
        <r>
          <rPr>
            <sz val="11"/>
            <color theme="1"/>
            <rFont val="Calibri"/>
            <family val="2"/>
            <scheme val="minor"/>
          </rPr>
          <t>Noela Bruynseels:
10% discount gegeven met akkoord van Nick</t>
        </r>
      </text>
    </comment>
    <comment ref="J897" authorId="0" shapeId="0" xr:uid="{408E5FC6-5520-4109-BC14-061C49487F97}">
      <text>
        <r>
          <rPr>
            <sz val="11"/>
            <color theme="1"/>
            <rFont val="Calibri"/>
            <family val="2"/>
            <scheme val="minor"/>
          </rPr>
          <t>Noela Bruynseels:
prijzen werden berekend op het totaal van de m²</t>
        </r>
      </text>
    </comment>
    <comment ref="H903" authorId="0" shapeId="0" xr:uid="{AD593347-1DB4-4877-B590-D45C9C8166D0}">
      <text>
        <r>
          <rPr>
            <sz val="11"/>
            <color theme="1"/>
            <rFont val="Calibri"/>
            <family val="2"/>
            <scheme val="minor"/>
          </rPr>
          <t>Noela Bruynseels:
10 sheets with pre-cut flange bolt holes</t>
        </r>
      </text>
    </comment>
    <comment ref="L931" authorId="1" shapeId="0" xr:uid="{EB16BB1C-5200-45D9-B34F-045B7F9BFE6E}">
      <text>
        <r>
          <rPr>
            <b/>
            <sz val="9"/>
            <color indexed="81"/>
            <rFont val="Tahoma"/>
            <family val="2"/>
          </rPr>
          <t>Bruynseels , Noela:</t>
        </r>
        <r>
          <rPr>
            <sz val="9"/>
            <color indexed="81"/>
            <rFont val="Tahoma"/>
            <family val="2"/>
          </rPr>
          <t xml:space="preserve">
met transport naar Dubai</t>
        </r>
      </text>
    </comment>
    <comment ref="N997" authorId="1" shapeId="0" xr:uid="{C3261906-6305-42E9-BE99-CEC98454279C}">
      <text>
        <r>
          <rPr>
            <b/>
            <sz val="9"/>
            <color indexed="81"/>
            <rFont val="Tahoma"/>
            <family val="2"/>
          </rPr>
          <t>Bruynseels , Noela:</t>
        </r>
        <r>
          <rPr>
            <sz val="9"/>
            <color indexed="81"/>
            <rFont val="Tahoma"/>
            <family val="2"/>
          </rPr>
          <t xml:space="preserve">
Op vraag van Nick aanpassing van m² prijs</t>
        </r>
      </text>
    </comment>
    <comment ref="E1000" authorId="1" shapeId="0" xr:uid="{DF7A56A0-3E3F-4C47-AA86-E404557AEFD3}">
      <text>
        <r>
          <rPr>
            <b/>
            <sz val="9"/>
            <color indexed="81"/>
            <rFont val="Tahoma"/>
            <family val="2"/>
          </rPr>
          <t>Bruynseels , Noela:</t>
        </r>
        <r>
          <rPr>
            <sz val="9"/>
            <color indexed="81"/>
            <rFont val="Tahoma"/>
            <family val="2"/>
          </rPr>
          <t xml:space="preserve">
2 samengevoegde offertes voor 2 x 5m² :
 8081-25-055
 8081-25-048 </t>
        </r>
      </text>
    </comment>
    <comment ref="A1027" authorId="1" shapeId="0" xr:uid="{AAD127FC-0937-4811-B21F-A2A8E24EE73D}">
      <text>
        <r>
          <rPr>
            <b/>
            <sz val="9"/>
            <color indexed="81"/>
            <rFont val="Tahoma"/>
            <family val="2"/>
          </rPr>
          <t>Bruynseels , Noela:</t>
        </r>
        <r>
          <rPr>
            <sz val="9"/>
            <color indexed="81"/>
            <rFont val="Tahoma"/>
            <family val="2"/>
          </rPr>
          <t xml:space="preserve">
Inclusief verzending</t>
        </r>
      </text>
    </comment>
    <comment ref="M1039" authorId="1" shapeId="0" xr:uid="{E908BD56-E5C6-4977-A2E1-181D79CC21C8}">
      <text>
        <r>
          <rPr>
            <b/>
            <sz val="9"/>
            <color indexed="81"/>
            <rFont val="Tahoma"/>
            <family val="2"/>
          </rPr>
          <t>Bruynseels , Noela:</t>
        </r>
        <r>
          <rPr>
            <sz val="9"/>
            <color indexed="81"/>
            <rFont val="Tahoma"/>
            <family val="2"/>
          </rPr>
          <t xml:space="preserve">
zelfde m² prijs als hun vorig order van 172,64m² op vraag van Nick</t>
        </r>
      </text>
    </comment>
    <comment ref="N1050" authorId="1" shapeId="0" xr:uid="{9A1335F8-ED60-44E4-B8CA-9D93D952EC15}">
      <text>
        <r>
          <rPr>
            <b/>
            <sz val="9"/>
            <color indexed="81"/>
            <rFont val="Tahoma"/>
            <family val="2"/>
          </rPr>
          <t>Bruynseels , Noela:</t>
        </r>
        <r>
          <rPr>
            <sz val="9"/>
            <color indexed="81"/>
            <rFont val="Tahoma"/>
            <family val="2"/>
          </rPr>
          <t xml:space="preserve">
Met Nick afgesproken te landen aan 275€/m² all in</t>
        </r>
      </text>
    </comment>
    <comment ref="S1054" authorId="1" shapeId="0" xr:uid="{CDE97FE1-6299-4AC4-A12A-6427806A13FB}">
      <text>
        <r>
          <rPr>
            <b/>
            <sz val="9"/>
            <color indexed="81"/>
            <rFont val="Tahoma"/>
            <family val="2"/>
          </rPr>
          <t>Bruynseels , Noela:</t>
        </r>
        <r>
          <rPr>
            <sz val="9"/>
            <color indexed="81"/>
            <rFont val="Tahoma"/>
            <family val="2"/>
          </rPr>
          <t xml:space="preserve">
nieuwe quotatie, recente datum : 07/11</t>
        </r>
      </text>
    </comment>
    <comment ref="F1055" authorId="1" shapeId="0" xr:uid="{F58BA9E6-0D60-40A1-8A38-138438902D47}">
      <text>
        <r>
          <rPr>
            <b/>
            <sz val="9"/>
            <color indexed="81"/>
            <rFont val="Tahoma"/>
            <family val="2"/>
          </rPr>
          <t>Bruynseels , Noela:</t>
        </r>
        <r>
          <rPr>
            <sz val="9"/>
            <color indexed="81"/>
            <rFont val="Tahoma"/>
            <family val="2"/>
          </rPr>
          <t xml:space="preserve">
1050</t>
        </r>
      </text>
    </comment>
    <comment ref="G1055" authorId="1" shapeId="0" xr:uid="{C8F320FB-1B1B-4C56-B0B2-D4D8379F7136}">
      <text>
        <r>
          <rPr>
            <b/>
            <sz val="9"/>
            <color indexed="81"/>
            <rFont val="Tahoma"/>
            <family val="2"/>
          </rPr>
          <t>Bruynseels , Noela:</t>
        </r>
        <r>
          <rPr>
            <sz val="9"/>
            <color indexed="81"/>
            <rFont val="Tahoma"/>
            <family val="2"/>
          </rPr>
          <t xml:space="preserve">
240</t>
        </r>
      </text>
    </comment>
    <comment ref="N1056" authorId="1" shapeId="0" xr:uid="{02C834E9-D45E-4747-8BC2-F696917EBF64}">
      <text>
        <r>
          <rPr>
            <b/>
            <sz val="9"/>
            <color indexed="81"/>
            <rFont val="Tahoma"/>
            <family val="2"/>
          </rPr>
          <t>Bruynseels , Noela:</t>
        </r>
        <r>
          <rPr>
            <sz val="9"/>
            <color indexed="81"/>
            <rFont val="Tahoma"/>
            <family val="2"/>
          </rPr>
          <t xml:space="preserve">
ok voor 15m² + pricing op 265€ + 25€/m² (Nick)</t>
        </r>
      </text>
    </comment>
    <comment ref="C1059" authorId="1" shapeId="0" xr:uid="{D0E7B09D-8459-4842-8C38-98BCDDC3449A}">
      <text>
        <r>
          <rPr>
            <b/>
            <sz val="9"/>
            <color indexed="81"/>
            <rFont val="Tahoma"/>
            <family val="2"/>
          </rPr>
          <t>Bruynseels , Noela:</t>
        </r>
        <r>
          <rPr>
            <sz val="9"/>
            <color indexed="81"/>
            <rFont val="Tahoma"/>
            <family val="2"/>
          </rPr>
          <t xml:space="preserve">
quotatie hernieuwd mbt geldigheidsdatum op 12/05</t>
        </r>
      </text>
    </comment>
    <comment ref="H1060" authorId="1" shapeId="0" xr:uid="{2D10EDD5-CB4E-4AEC-9E3D-BB0F1194D4A4}">
      <text>
        <r>
          <rPr>
            <b/>
            <sz val="9"/>
            <color indexed="81"/>
            <rFont val="Tahoma"/>
            <family val="2"/>
          </rPr>
          <t>Bruynseels , Noela:</t>
        </r>
        <r>
          <rPr>
            <sz val="9"/>
            <color indexed="81"/>
            <rFont val="Tahoma"/>
            <family val="2"/>
          </rPr>
          <t xml:space="preserve">
gewenst aantal nog opgeven</t>
        </r>
      </text>
    </comment>
    <comment ref="N1067" authorId="1" shapeId="0" xr:uid="{1BDA280D-7D2F-4DF1-8E97-5B0C11627BEB}">
      <text>
        <r>
          <rPr>
            <b/>
            <sz val="9"/>
            <color indexed="81"/>
            <rFont val="Tahoma"/>
            <family val="2"/>
          </rPr>
          <t>Bruynseels , Noela:</t>
        </r>
        <r>
          <rPr>
            <sz val="9"/>
            <color indexed="81"/>
            <rFont val="Tahoma"/>
            <family val="2"/>
          </rPr>
          <t xml:space="preserve">
ok om 100€/m² van de prijs af te doen zodat William kan onderhandelen</t>
        </r>
      </text>
    </comment>
    <comment ref="N1068" authorId="1" shapeId="0" xr:uid="{8F0F13CB-097E-43A0-B3D2-F62A6830F152}">
      <text>
        <r>
          <rPr>
            <b/>
            <sz val="9"/>
            <color indexed="81"/>
            <rFont val="Tahoma"/>
            <family val="2"/>
          </rPr>
          <t>Bruynseels , Noela:</t>
        </r>
        <r>
          <rPr>
            <sz val="9"/>
            <color indexed="81"/>
            <rFont val="Tahoma"/>
            <family val="2"/>
          </rPr>
          <t xml:space="preserve">
ok om 100€/m² van de prijs af te doen zodat William kan onderhandelen</t>
        </r>
      </text>
    </comment>
    <comment ref="C1069" authorId="1" shapeId="0" xr:uid="{1BBF21C8-3CFA-4D68-87D1-C14FB02CB82E}">
      <text>
        <r>
          <rPr>
            <b/>
            <sz val="9"/>
            <color indexed="81"/>
            <rFont val="Tahoma"/>
            <family val="2"/>
          </rPr>
          <t>Bruynseels , Noela:</t>
        </r>
        <r>
          <rPr>
            <sz val="9"/>
            <color indexed="81"/>
            <rFont val="Tahoma"/>
            <family val="2"/>
          </rPr>
          <t xml:space="preserve">
samengevoegde quotaties 118 en 119</t>
        </r>
      </text>
    </comment>
    <comment ref="N1077" authorId="1" shapeId="0" xr:uid="{7F97FA46-CC21-44F7-83EC-8062F6573DA1}">
      <text>
        <r>
          <rPr>
            <b/>
            <sz val="9"/>
            <color indexed="81"/>
            <rFont val="Tahoma"/>
            <family val="2"/>
          </rPr>
          <t>Bruynseels , Noela:</t>
        </r>
        <r>
          <rPr>
            <sz val="9"/>
            <color indexed="81"/>
            <rFont val="Tahoma"/>
            <family val="2"/>
          </rPr>
          <t xml:space="preserve">
ok om prijs van vorig jaar voor de toen aangekochte 500 stuks te nemen</t>
        </r>
      </text>
    </comment>
    <comment ref="L1079" authorId="1" shapeId="0" xr:uid="{0A4BAC97-BDC3-4C01-9DC2-751BC64441A7}">
      <text>
        <r>
          <rPr>
            <b/>
            <sz val="9"/>
            <color indexed="81"/>
            <rFont val="Tahoma"/>
            <family val="2"/>
          </rPr>
          <t>Bruynseels , Noela:</t>
        </r>
        <r>
          <rPr>
            <sz val="9"/>
            <color indexed="81"/>
            <rFont val="Tahoma"/>
            <family val="2"/>
          </rPr>
          <t xml:space="preserve">
Discount van 20% op de prijs van de membranen</t>
        </r>
      </text>
    </comment>
    <comment ref="N1079" authorId="1" shapeId="0" xr:uid="{410271E0-4388-41C7-A93C-E65F656E6D93}">
      <text>
        <r>
          <rPr>
            <b/>
            <sz val="9"/>
            <color indexed="81"/>
            <rFont val="Tahoma"/>
            <family val="2"/>
          </rPr>
          <t>Bruynseels , Noela:</t>
        </r>
        <r>
          <rPr>
            <sz val="9"/>
            <color indexed="81"/>
            <rFont val="Tahoma"/>
            <family val="2"/>
          </rPr>
          <t xml:space="preserve">
ok om 20% korting te geven bij voorafbetaling</t>
        </r>
      </text>
    </comment>
    <comment ref="N1092" authorId="1" shapeId="0" xr:uid="{5ED0F745-4740-4F7A-A011-A1897F624556}">
      <text>
        <r>
          <rPr>
            <sz val="9"/>
            <color indexed="81"/>
            <rFont val="Tahoma"/>
            <family val="2"/>
          </rPr>
          <t>Nick en Ruben : vaste prijs per m² : 270€/m²</t>
        </r>
      </text>
    </comment>
    <comment ref="N1093" authorId="1" shapeId="0" xr:uid="{25296B7A-556E-4453-BCCD-967FA86D4469}">
      <text>
        <r>
          <rPr>
            <sz val="9"/>
            <color indexed="81"/>
            <rFont val="Tahoma"/>
            <family val="2"/>
          </rPr>
          <t>Nick en Ruben : vaste prijs per m² : 390€/m²</t>
        </r>
      </text>
    </comment>
    <comment ref="N1095" authorId="1" shapeId="0" xr:uid="{99C9038F-E0F0-4AAA-949F-507E4CCF806E}">
      <text>
        <r>
          <rPr>
            <b/>
            <sz val="9"/>
            <color indexed="81"/>
            <rFont val="Tahoma"/>
            <family val="2"/>
          </rPr>
          <t>Bruynseels , Noela:</t>
        </r>
        <r>
          <rPr>
            <sz val="9"/>
            <color indexed="81"/>
            <rFont val="Tahoma"/>
            <family val="2"/>
          </rPr>
          <t xml:space="preserve">
Nick en Ruben : vaste prijs per m² : 325€/m²</t>
        </r>
      </text>
    </comment>
    <comment ref="N1096" authorId="1" shapeId="0" xr:uid="{BC1F11B5-2597-4631-86B7-68CB484114C5}">
      <text>
        <r>
          <rPr>
            <sz val="9"/>
            <color indexed="81"/>
            <rFont val="Tahoma"/>
            <family val="2"/>
          </rPr>
          <t>Nick en Ruben : vaste prijs per m² : 390€/m²</t>
        </r>
      </text>
    </comment>
    <comment ref="N1097" authorId="1" shapeId="0" xr:uid="{BE679AD4-D53A-42D3-8821-357097145ACB}">
      <text>
        <r>
          <rPr>
            <sz val="9"/>
            <color indexed="81"/>
            <rFont val="Tahoma"/>
            <family val="2"/>
          </rPr>
          <t>Nick en Ruben : vaste prijs per m² : 270€/m²</t>
        </r>
      </text>
    </comment>
    <comment ref="N1098" authorId="1" shapeId="0" xr:uid="{306FD9C5-D984-47EE-B97A-0D2E581674FD}">
      <text>
        <r>
          <rPr>
            <sz val="9"/>
            <color indexed="81"/>
            <rFont val="Tahoma"/>
            <family val="2"/>
          </rPr>
          <t>Nick en Ruben : vaste prijs per m² : 325€/m²</t>
        </r>
      </text>
    </comment>
    <comment ref="C1178" authorId="1" shapeId="0" xr:uid="{2D497BB3-26D0-4202-909B-80D5A8C6076D}">
      <text>
        <r>
          <rPr>
            <b/>
            <sz val="9"/>
            <color indexed="81"/>
            <rFont val="Tahoma"/>
            <family val="2"/>
          </rPr>
          <t>Bruynseels , Noela:</t>
        </r>
        <r>
          <rPr>
            <sz val="9"/>
            <color indexed="81"/>
            <rFont val="Tahoma"/>
            <family val="2"/>
          </rPr>
          <t xml:space="preserve">
Afmeting tekening wijkt af van de gevraagde afmetingen voor de quotatie</t>
        </r>
      </text>
    </comment>
    <comment ref="C1179" authorId="1" shapeId="0" xr:uid="{6EAD59F8-50BC-4921-A8CF-2072723457DC}">
      <text>
        <r>
          <rPr>
            <b/>
            <sz val="9"/>
            <color indexed="81"/>
            <rFont val="Tahoma"/>
            <family val="2"/>
          </rPr>
          <t>Bruynseels , Noela:</t>
        </r>
        <r>
          <rPr>
            <sz val="9"/>
            <color indexed="81"/>
            <rFont val="Tahoma"/>
            <family val="2"/>
          </rPr>
          <t xml:space="preserve">
Afmeting tekening wijkt af van de gevraagde afmetingen voor de quotatie</t>
        </r>
      </text>
    </comment>
    <comment ref="L1199" authorId="1" shapeId="0" xr:uid="{2A92EA66-F7E2-484B-A4B0-57267CF88BA4}">
      <text>
        <r>
          <rPr>
            <b/>
            <sz val="9"/>
            <color indexed="81"/>
            <rFont val="Tahoma"/>
            <family val="2"/>
          </rPr>
          <t>Bruynseels , Noela:</t>
        </r>
        <r>
          <rPr>
            <sz val="9"/>
            <color indexed="81"/>
            <rFont val="Tahoma"/>
            <family val="2"/>
          </rPr>
          <t xml:space="preserve">
Pick up
</t>
        </r>
      </text>
    </comment>
    <comment ref="M1199" authorId="1" shapeId="0" xr:uid="{97CB2654-043E-4135-A86C-8815C0A59882}">
      <text>
        <r>
          <rPr>
            <b/>
            <sz val="9"/>
            <color indexed="81"/>
            <rFont val="Tahoma"/>
            <family val="2"/>
          </rPr>
          <t>Bruynseels , Noela:</t>
        </r>
        <r>
          <rPr>
            <sz val="9"/>
            <color indexed="81"/>
            <rFont val="Tahoma"/>
            <family val="2"/>
          </rPr>
          <t xml:space="preserve">
Pick up</t>
        </r>
      </text>
    </comment>
    <comment ref="M1207" authorId="1" shapeId="0" xr:uid="{5976AD09-8BCD-4F09-8F54-E2C0362B59F3}">
      <text>
        <r>
          <rPr>
            <b/>
            <sz val="9"/>
            <color indexed="81"/>
            <rFont val="Tahoma"/>
            <family val="2"/>
          </rPr>
          <t>Bruynseels , Noela:</t>
        </r>
        <r>
          <rPr>
            <sz val="9"/>
            <color indexed="81"/>
            <rFont val="Tahoma"/>
            <family val="2"/>
          </rPr>
          <t xml:space="preserve">
Transport luchthaven Seoul inbegrepen</t>
        </r>
      </text>
    </comment>
    <comment ref="M1249" authorId="1" shapeId="0" xr:uid="{1A56B180-56CD-4398-AF0D-066E04CD6AFA}">
      <text>
        <r>
          <rPr>
            <b/>
            <sz val="9"/>
            <color indexed="81"/>
            <rFont val="Tahoma"/>
            <family val="2"/>
          </rPr>
          <t>Bruynseels , Noela:</t>
        </r>
        <r>
          <rPr>
            <sz val="9"/>
            <color indexed="81"/>
            <rFont val="Tahoma"/>
            <family val="2"/>
          </rPr>
          <t xml:space="preserve">
Nick : zelfde aangepaste prijs nemen als voorheen voor Air Liquide</t>
        </r>
      </text>
    </comment>
    <comment ref="L1267" authorId="1" shapeId="0" xr:uid="{0E5B49EA-F133-424B-AE66-7E899DA87F23}">
      <text>
        <r>
          <rPr>
            <b/>
            <sz val="9"/>
            <color indexed="81"/>
            <rFont val="Tahoma"/>
            <family val="2"/>
          </rPr>
          <t>Bruynseels , Noela:</t>
        </r>
        <r>
          <rPr>
            <sz val="9"/>
            <color indexed="81"/>
            <rFont val="Tahoma"/>
            <family val="2"/>
          </rPr>
          <t xml:space="preserve">
Order zonder aflevering (is dus nu een pick-up) =&gt; kosten afgetrokken</t>
        </r>
      </text>
    </comment>
    <comment ref="L1268" authorId="1" shapeId="0" xr:uid="{A33192D7-E205-4727-B1D9-F68388894DE6}">
      <text>
        <r>
          <rPr>
            <b/>
            <sz val="9"/>
            <color indexed="81"/>
            <rFont val="Tahoma"/>
            <family val="2"/>
          </rPr>
          <t>Bruynseels , Noela:</t>
        </r>
        <r>
          <rPr>
            <sz val="9"/>
            <color indexed="81"/>
            <rFont val="Tahoma"/>
            <family val="2"/>
          </rPr>
          <t xml:space="preserve">
FCA</t>
        </r>
      </text>
    </comment>
    <comment ref="L1328" authorId="1" shapeId="0" xr:uid="{41061477-F531-4BCD-9509-72A2867CBA93}">
      <text>
        <r>
          <rPr>
            <b/>
            <sz val="9"/>
            <color indexed="81"/>
            <rFont val="Tahoma"/>
            <family val="2"/>
          </rPr>
          <t>Bruynseels , Noela:</t>
        </r>
        <r>
          <rPr>
            <sz val="9"/>
            <color indexed="81"/>
            <rFont val="Tahoma"/>
            <family val="2"/>
          </rPr>
          <t xml:space="preserve">
De verzendingskosten in deze offerte zijn voor deze offerte + de verzending van hun order 105319</t>
        </r>
      </text>
    </comment>
    <comment ref="A1410" authorId="1" shapeId="0" xr:uid="{D1979422-8194-475D-A5CB-BBDCF7BE2FA4}">
      <text>
        <r>
          <rPr>
            <b/>
            <sz val="9"/>
            <color indexed="81"/>
            <rFont val="Tahoma"/>
            <charset val="1"/>
          </rPr>
          <t>Bruynseels , Noela:</t>
        </r>
        <r>
          <rPr>
            <sz val="9"/>
            <color indexed="81"/>
            <rFont val="Tahoma"/>
            <charset val="1"/>
          </rPr>
          <t xml:space="preserve">
In afwachting van transportkost</t>
        </r>
      </text>
    </comment>
  </commentList>
</comments>
</file>

<file path=xl/sharedStrings.xml><?xml version="1.0" encoding="utf-8"?>
<sst xmlns="http://schemas.openxmlformats.org/spreadsheetml/2006/main" count="7580" uniqueCount="2217">
  <si>
    <t>Quotation number</t>
  </si>
  <si>
    <t>Sent date</t>
  </si>
  <si>
    <t xml:space="preserve">Customer </t>
  </si>
  <si>
    <t>Country</t>
  </si>
  <si>
    <t>Type perl</t>
  </si>
  <si>
    <t>Lenght</t>
  </si>
  <si>
    <t>Width</t>
  </si>
  <si>
    <t>qty</t>
  </si>
  <si>
    <t>Total sqm</t>
  </si>
  <si>
    <t>Eur /m2</t>
  </si>
  <si>
    <t>F P H</t>
  </si>
  <si>
    <t>Total amount quote:</t>
  </si>
  <si>
    <t>Standard pricing?</t>
  </si>
  <si>
    <t>Approved</t>
  </si>
  <si>
    <t>Volume request</t>
  </si>
  <si>
    <t>Order</t>
  </si>
  <si>
    <t>Order date</t>
  </si>
  <si>
    <t>DC ok?</t>
  </si>
  <si>
    <t>Remarks</t>
  </si>
  <si>
    <t>Datum update</t>
  </si>
  <si>
    <t>Eur /m²</t>
  </si>
  <si>
    <t>F P H updated pricing</t>
  </si>
  <si>
    <t>Total amount quote:2</t>
  </si>
  <si>
    <t>year</t>
  </si>
  <si>
    <t>5657-23-001</t>
  </si>
  <si>
    <t>Eldora Fresh, South Afrika</t>
  </si>
  <si>
    <t>South Africa</t>
  </si>
  <si>
    <t>UTP500</t>
  </si>
  <si>
    <t>ok</t>
  </si>
  <si>
    <t>5657-23-002</t>
  </si>
  <si>
    <t>Kleo Automation GmbH, Germany</t>
  </si>
  <si>
    <t>Germany</t>
  </si>
  <si>
    <t>UTP220</t>
  </si>
  <si>
    <t>Yes</t>
  </si>
  <si>
    <t>5657-23-003</t>
  </si>
  <si>
    <t>McPhy</t>
  </si>
  <si>
    <t>Italy</t>
  </si>
  <si>
    <t>UTP500+</t>
  </si>
  <si>
    <t>circel, cutting cost: 12.398,40 EUR</t>
  </si>
  <si>
    <t>No</t>
  </si>
  <si>
    <t>5657-23-004</t>
  </si>
  <si>
    <t>John Cockerill</t>
  </si>
  <si>
    <t>Belgium</t>
  </si>
  <si>
    <t>circel, cutting cost: 287,28 EUR</t>
  </si>
  <si>
    <t>5657-23-005</t>
  </si>
  <si>
    <t>Jiangsu Qiucheng Electromechanical Co. Ltd</t>
  </si>
  <si>
    <t>China</t>
  </si>
  <si>
    <t>5657-23-006</t>
  </si>
  <si>
    <t>Vito NV</t>
  </si>
  <si>
    <t>Totaalbedrag: EUR 3.775,-</t>
  </si>
  <si>
    <t>5657-23-007</t>
  </si>
  <si>
    <t>Danmarks Tekniske Universitet</t>
  </si>
  <si>
    <t>Denmark</t>
  </si>
  <si>
    <t>5657-23-008</t>
  </si>
  <si>
    <t>Universität Augsburg</t>
  </si>
  <si>
    <t>5657-23-009</t>
  </si>
  <si>
    <t>Ti Anode Fabricators</t>
  </si>
  <si>
    <t>India</t>
  </si>
  <si>
    <t>5657-23-010</t>
  </si>
  <si>
    <t>G.I.F. sa</t>
  </si>
  <si>
    <t>2 kokers</t>
  </si>
  <si>
    <t>5657-23-011</t>
  </si>
  <si>
    <t>LS Werkstoffverfahrenstechnik,Universität Bayreuth</t>
  </si>
  <si>
    <t>5657-23-012</t>
  </si>
  <si>
    <t>@Nick gemaild</t>
  </si>
  <si>
    <t>cirkel, cutting cost: 12.688,20 EUR</t>
  </si>
  <si>
    <t>5657-23-013</t>
  </si>
  <si>
    <t>cirkel, cutting cost: 2.394,00 EUR</t>
  </si>
  <si>
    <t>5657-23-014</t>
  </si>
  <si>
    <t>Battolyser</t>
  </si>
  <si>
    <t>the Netherlands</t>
  </si>
  <si>
    <t>5657-23-015</t>
  </si>
  <si>
    <t>mag uitzonderlijk minder dan 20 m²  zijn, cutting cost: EUR 440,-</t>
  </si>
  <si>
    <t>5657-23-016</t>
  </si>
  <si>
    <t>Hitachi Zosen</t>
  </si>
  <si>
    <t>Drawing EtG-0000428-Diaphragma</t>
  </si>
  <si>
    <t>5657-23-017</t>
  </si>
  <si>
    <t>Canadian Crystalline Water India ltd</t>
  </si>
  <si>
    <t>5657-23-018</t>
  </si>
  <si>
    <t>Instituto Politécnico Nacional (University) </t>
  </si>
  <si>
    <t>Mexico</t>
  </si>
  <si>
    <t>5657-23-019</t>
  </si>
  <si>
    <t>Lawrence Berkely National Laboratory</t>
  </si>
  <si>
    <t>USA</t>
  </si>
  <si>
    <t>5657-23-020</t>
  </si>
  <si>
    <t>Memfill Tech Private Limited</t>
  </si>
  <si>
    <t>5657-23-021</t>
  </si>
  <si>
    <t>National Sun Yet-Sen University</t>
  </si>
  <si>
    <t>Taiwan</t>
  </si>
  <si>
    <t>5657-23-022</t>
  </si>
  <si>
    <t>King Fahd University of Petroleum and Minerals</t>
  </si>
  <si>
    <t>Saudi Arabia</t>
  </si>
  <si>
    <t>zonder verzendkosten!</t>
  </si>
  <si>
    <t>5657-23-023</t>
  </si>
  <si>
    <t>Element One</t>
  </si>
  <si>
    <t>5657-23-024</t>
  </si>
  <si>
    <t>Oxford nanoSystems Limited</t>
  </si>
  <si>
    <t>United Kingdom</t>
  </si>
  <si>
    <t>5657-23-025</t>
  </si>
  <si>
    <t>EM Solution (Korea)</t>
  </si>
  <si>
    <t>Korea</t>
  </si>
  <si>
    <t>5657-23-026</t>
  </si>
  <si>
    <t>HighChem (Japan)</t>
  </si>
  <si>
    <t>Japan</t>
  </si>
  <si>
    <t>V02 gestuurd</t>
  </si>
  <si>
    <t>5657-23-027</t>
  </si>
  <si>
    <t>Sinotik</t>
  </si>
  <si>
    <t>5657-23-028</t>
  </si>
  <si>
    <t>5657-23-029</t>
  </si>
  <si>
    <t>Industrie De Nora SpA</t>
  </si>
  <si>
    <t>5657-23-030</t>
  </si>
  <si>
    <t>IEC Fabchem</t>
  </si>
  <si>
    <t>5657-23-031</t>
  </si>
  <si>
    <t>Wetsus</t>
  </si>
  <si>
    <t>5657-23-032</t>
  </si>
  <si>
    <t>Thyssen Krupp - Nucera</t>
  </si>
  <si>
    <t>5657-23-033</t>
  </si>
  <si>
    <t>Sinohydo</t>
  </si>
  <si>
    <t>5657-23-034</t>
  </si>
  <si>
    <t>CHN Energy</t>
  </si>
  <si>
    <t>5657-23-035</t>
  </si>
  <si>
    <t>UTP220/UTP500+</t>
  </si>
  <si>
    <t>1000x1000</t>
  </si>
  <si>
    <t>2x5</t>
  </si>
  <si>
    <t>niet verstuurd</t>
  </si>
  <si>
    <t>5657-23-036</t>
  </si>
  <si>
    <t>De Nora Italy S.r.l.</t>
  </si>
  <si>
    <t>cirkel, cutting cost : EUR 1.166,40</t>
  </si>
  <si>
    <t>5657-23-037</t>
  </si>
  <si>
    <t>Duke University</t>
  </si>
  <si>
    <t>5657-23-038</t>
  </si>
  <si>
    <t>5657-23-039</t>
  </si>
  <si>
    <t xml:space="preserve">h2e Power Systems Private Limited </t>
  </si>
  <si>
    <t>5657-23-040</t>
  </si>
  <si>
    <t>Shenzhen Sea Hydrogen Technology</t>
  </si>
  <si>
    <t>5657-23-041</t>
  </si>
  <si>
    <t>5657-23-042</t>
  </si>
  <si>
    <t>SES hydrogen Systems</t>
  </si>
  <si>
    <t>Poland</t>
  </si>
  <si>
    <t>5657-23-043</t>
  </si>
  <si>
    <t>Spektrum Ingenieurgesellschaft GmbH</t>
  </si>
  <si>
    <t>5657-23-044</t>
  </si>
  <si>
    <t>5657-23-045</t>
  </si>
  <si>
    <t>Linatex A/S</t>
  </si>
  <si>
    <t>5657-23-046</t>
  </si>
  <si>
    <t>Redoxme AB</t>
  </si>
  <si>
    <t>Sweden</t>
  </si>
  <si>
    <t>5657-23-047</t>
  </si>
  <si>
    <t>Pratishna Greentech</t>
  </si>
  <si>
    <t>yes</t>
  </si>
  <si>
    <t>5657-23-048</t>
  </si>
  <si>
    <t>Voltiana</t>
  </si>
  <si>
    <t>cirkel, cutting cost: 4.375,-</t>
  </si>
  <si>
    <t>5657-23-049</t>
  </si>
  <si>
    <t>5657-23-050</t>
  </si>
  <si>
    <t>5657-23-051</t>
  </si>
  <si>
    <t>Mervilab S.A. (LANL)</t>
  </si>
  <si>
    <t>Spain</t>
  </si>
  <si>
    <t>Totaalbedrag: EUR 3.925,-</t>
  </si>
  <si>
    <t>5657-23-052</t>
  </si>
  <si>
    <t>Fuel Cell Technologies, Inc. (for LANL)</t>
  </si>
  <si>
    <t>Totaalbedrag: EUR 4.025,-</t>
  </si>
  <si>
    <t>5657-23-053</t>
  </si>
  <si>
    <t>Fundacion Cidaut</t>
  </si>
  <si>
    <t>5657-23-054</t>
  </si>
  <si>
    <t>Gdansk University of Technology</t>
  </si>
  <si>
    <t>5657-23-055</t>
  </si>
  <si>
    <t>5657-23-056</t>
  </si>
  <si>
    <t>5657-23-057</t>
  </si>
  <si>
    <t>Tokuyama (Agfa Japan)</t>
  </si>
  <si>
    <t>5657-23-058</t>
  </si>
  <si>
    <t>WEW</t>
  </si>
  <si>
    <t>5657-23-059</t>
  </si>
  <si>
    <t>5657-23-060</t>
  </si>
  <si>
    <t>5657-23-061</t>
  </si>
  <si>
    <t>Aspilsan Enerjy Sanayi ve Ticaret A.S.</t>
  </si>
  <si>
    <t>Turkiye</t>
  </si>
  <si>
    <t>5657-23-062</t>
  </si>
  <si>
    <t>Hindustan Petroleum Green R&amp;D Centre</t>
  </si>
  <si>
    <t>5657-23-063</t>
  </si>
  <si>
    <t>cirkel, cutting cost: EUR 2.394,-</t>
  </si>
  <si>
    <t>5657-23-064</t>
  </si>
  <si>
    <t>Adani Corporate House</t>
  </si>
  <si>
    <t>5657-23-065</t>
  </si>
  <si>
    <t xml:space="preserve">Wuxi LONGi Hydrogen Technology Co., Ltd. </t>
  </si>
  <si>
    <t>5657-23-066</t>
  </si>
  <si>
    <t>UFU/FEQUI - 1K - Campus Santa Mônica</t>
  </si>
  <si>
    <t>Brasil</t>
  </si>
  <si>
    <t>5657-23-067</t>
  </si>
  <si>
    <t>Carbyne Energy Technologies Private Limited</t>
  </si>
  <si>
    <t>checken met Nick</t>
  </si>
  <si>
    <t>5657-23-068</t>
  </si>
  <si>
    <t>5657-23-069</t>
  </si>
  <si>
    <t>Council on Energy, Environment and Water</t>
  </si>
  <si>
    <t>5657-23-070</t>
  </si>
  <si>
    <t>Tianjin Risby</t>
  </si>
  <si>
    <t>5657-23-071</t>
  </si>
  <si>
    <t>5657-23-072</t>
  </si>
  <si>
    <t>Ayba Celik</t>
  </si>
  <si>
    <t>5657-23-073</t>
  </si>
  <si>
    <t>Nordex Energy Spain</t>
  </si>
  <si>
    <t>5657-23-074</t>
  </si>
  <si>
    <t>Tech Cross (Agfa Korea)</t>
  </si>
  <si>
    <t>5657-23-075</t>
  </si>
  <si>
    <t>Prijzen zijn al met prijsverhoging vanaf juli '23
cirkel, cutting cost : EUR 13.284,-</t>
  </si>
  <si>
    <t>5657-23-076</t>
  </si>
  <si>
    <t>F2N Green Hydrogen</t>
  </si>
  <si>
    <t>cirkel, cutting cost: 27.738,-</t>
  </si>
  <si>
    <t>cirkel, cutting cost: 38.592,-</t>
  </si>
  <si>
    <t>5657-23-077</t>
  </si>
  <si>
    <t>University of Applied Sciences Offenburg</t>
  </si>
  <si>
    <t>5657-23-078</t>
  </si>
  <si>
    <t>5657-23-079</t>
  </si>
  <si>
    <t>5657-23-080</t>
  </si>
  <si>
    <t>Chemio (Agfa Japan)</t>
  </si>
  <si>
    <t>5657-23-081</t>
  </si>
  <si>
    <t>Hosen (Agfa Japan)</t>
  </si>
  <si>
    <t>5657-23-082</t>
  </si>
  <si>
    <t>Miura (Agfa Japan)</t>
  </si>
  <si>
    <t>5657-23-083</t>
  </si>
  <si>
    <t>Advanced Surface Plating A/S (Hydrogen Pro)</t>
  </si>
  <si>
    <t>5657-23-084</t>
  </si>
  <si>
    <t>Thermax Limited</t>
  </si>
  <si>
    <t>5657-23-085</t>
  </si>
  <si>
    <t>V02</t>
  </si>
  <si>
    <t>5657-23-086</t>
  </si>
  <si>
    <t>+5% bovenop de standardpricing omdat dit waarschijnlijk voor Stiesdal is</t>
  </si>
  <si>
    <t>5657-23-087</t>
  </si>
  <si>
    <t>5657-23-088</t>
  </si>
  <si>
    <t>Universidad de Antioquia</t>
  </si>
  <si>
    <t>Columbia</t>
  </si>
  <si>
    <t>5657-23-089</t>
  </si>
  <si>
    <t>5657-23-090</t>
  </si>
  <si>
    <t>NREL</t>
  </si>
  <si>
    <t>Total amount of offer: EUR 4.325,-</t>
  </si>
  <si>
    <t>5657-23-091</t>
  </si>
  <si>
    <t>Avium, LLC</t>
  </si>
  <si>
    <t>5657-23-092</t>
  </si>
  <si>
    <t>Exion Hydrogen</t>
  </si>
  <si>
    <t>5657-23-093</t>
  </si>
  <si>
    <t>5657-23-094</t>
  </si>
  <si>
    <t>met nieuwe pricing tool</t>
  </si>
  <si>
    <t>5657-23-095</t>
  </si>
  <si>
    <t>Toyota Industries (Agfa Japan)</t>
  </si>
  <si>
    <t>5657-23-096</t>
  </si>
  <si>
    <t>5657-23-097</t>
  </si>
  <si>
    <t>5657-23-098</t>
  </si>
  <si>
    <t>Oblasy</t>
  </si>
  <si>
    <t>Czech Republic</t>
  </si>
  <si>
    <t>aan prijzen vorige offerte</t>
  </si>
  <si>
    <t>5657-23-099</t>
  </si>
  <si>
    <t>5657-23-100</t>
  </si>
  <si>
    <t>Hgen</t>
  </si>
  <si>
    <t>zonder vrachtkosten</t>
  </si>
  <si>
    <t>5657-23-101</t>
  </si>
  <si>
    <t>Next Hydrogen</t>
  </si>
  <si>
    <t>Canada</t>
  </si>
  <si>
    <t>cirkel, cutting cost: EUR 854,-</t>
  </si>
  <si>
    <t>5657-23-102</t>
  </si>
  <si>
    <t>Wolfgang Wesner</t>
  </si>
  <si>
    <t>Austria</t>
  </si>
  <si>
    <t>5657-23-103</t>
  </si>
  <si>
    <t>Australian Fortescue Future Industries</t>
  </si>
  <si>
    <t>Australia</t>
  </si>
  <si>
    <t>5657-23-104</t>
  </si>
  <si>
    <t>Nel Hydrogen Electrolyser</t>
  </si>
  <si>
    <t>Norway</t>
  </si>
  <si>
    <t>Tekening  DE-04128.dxf, voor aangepaste offerte is de peer in 2 gedaan voor de m² prijs</t>
  </si>
  <si>
    <t>5657-23-105</t>
  </si>
  <si>
    <t>EBZ SE</t>
  </si>
  <si>
    <t>5657-23-106</t>
  </si>
  <si>
    <t>5657-23-107</t>
  </si>
  <si>
    <t>Longi</t>
  </si>
  <si>
    <t>Nick heeft deze gestuurd</t>
  </si>
  <si>
    <t>5657-23-108</t>
  </si>
  <si>
    <t>Logikko</t>
  </si>
  <si>
    <t>France</t>
  </si>
  <si>
    <t>5657-23-109</t>
  </si>
  <si>
    <t>Bharat Petroleum corporation</t>
  </si>
  <si>
    <t>5657-23-110</t>
  </si>
  <si>
    <t>Magnetocat</t>
  </si>
  <si>
    <t>5657-23-111</t>
  </si>
  <si>
    <t>University of Warwick</t>
  </si>
  <si>
    <t>UK</t>
  </si>
  <si>
    <t>5657-23-112</t>
  </si>
  <si>
    <t>Panasonic (Agfa Japan)</t>
  </si>
  <si>
    <t>5657-23-113</t>
  </si>
  <si>
    <t>5657-23-114</t>
  </si>
  <si>
    <t>5657-23-115</t>
  </si>
  <si>
    <t>Techwin (Agfa Korea)</t>
  </si>
  <si>
    <t>wachten op feedback Yongjin, niet meer aanbieden</t>
  </si>
  <si>
    <t>5657-23-116</t>
  </si>
  <si>
    <t>RTS Business Service</t>
  </si>
  <si>
    <t>10% prijsverhoging vanaf juli al mee in de eenheidsprijs gerekend.</t>
  </si>
  <si>
    <t>5657-23-117</t>
  </si>
  <si>
    <t>Nadoka</t>
  </si>
  <si>
    <t>Armenia</t>
  </si>
  <si>
    <t>Prijzen van India/China toegepast + uplift vanaf juli</t>
  </si>
  <si>
    <t>5657-23-118</t>
  </si>
  <si>
    <t>Nasim Sobh Farda PJS Co.</t>
  </si>
  <si>
    <t>Iran</t>
  </si>
  <si>
    <t>Prijsoplift van juli van 10 % zit al mee in m² prijs</t>
  </si>
  <si>
    <t>5657-23-119</t>
  </si>
  <si>
    <t xml:space="preserve">Politecnico di Torino </t>
  </si>
  <si>
    <t>5657-23-120</t>
  </si>
  <si>
    <t>hte GmbH</t>
  </si>
  <si>
    <t>5657-23-121</t>
  </si>
  <si>
    <t>Bentec GmbH Drilling &amp; Oilfield Systems</t>
  </si>
  <si>
    <t>5657-23-122</t>
  </si>
  <si>
    <t>5657-23-123</t>
  </si>
  <si>
    <t>5657-23-124</t>
  </si>
  <si>
    <t>HighChem (China)</t>
  </si>
  <si>
    <t>Vorige offerte @Highchem was aan Japanse prijzen.  We hebben de peer in 2 gedaan tussen de Japanse en de Chinese prijzen voor deze aanvraag om het prijsverschil met de Chinese prijzen te compenseren.</t>
  </si>
  <si>
    <t>5657-23-125</t>
  </si>
  <si>
    <t>AquaHydrex</t>
  </si>
  <si>
    <t>USD quote</t>
  </si>
  <si>
    <t>5657-23-126</t>
  </si>
  <si>
    <t>5657-23-127</t>
  </si>
  <si>
    <t>aan nieuwe afgesproken prijzen</t>
  </si>
  <si>
    <t>5657-23-128</t>
  </si>
  <si>
    <t>China prijzen nieuwe file + 25EUR/m² voor handling &amp; packaging gebruikt</t>
  </si>
  <si>
    <t>5657-23-129</t>
  </si>
  <si>
    <t>Technique University of Valencia</t>
  </si>
  <si>
    <t>5657-23-130</t>
  </si>
  <si>
    <t>5657-23-131</t>
  </si>
  <si>
    <t>HYDEP</t>
  </si>
  <si>
    <t>5657-23-132</t>
  </si>
  <si>
    <t>Prijsoplift van juli van 10 % zit al mee in m² prijs, levertermijn van 8 maanden opgegeven omwille van tekort aan doek</t>
  </si>
  <si>
    <t>5657-23-133</t>
  </si>
  <si>
    <t xml:space="preserve">Institut des Sciences Chimiques de Rennes </t>
  </si>
  <si>
    <t>5657-23-134</t>
  </si>
  <si>
    <t>Shakti Photon Solutions</t>
  </si>
  <si>
    <t>5657-23-135</t>
  </si>
  <si>
    <t>Forschungszentrum Energiespeichertechnology</t>
  </si>
  <si>
    <t>5657-23-136</t>
  </si>
  <si>
    <t>Stargate Hydrogen</t>
  </si>
  <si>
    <t>Estonia</t>
  </si>
  <si>
    <t>Prijsoplift van juli van 10 % zit al mee in m² prijs, cirkel Cutting cost : EUR 1.900,-</t>
  </si>
  <si>
    <t>5657-23-137</t>
  </si>
  <si>
    <t>5657-23-138</t>
  </si>
  <si>
    <t>China / India prijzen nieuwe file</t>
  </si>
  <si>
    <t>5657-23-139</t>
  </si>
  <si>
    <t>KLK Electromaterials SLU (Red Tactica)</t>
  </si>
  <si>
    <t>verpakking: 3 kokers
Prijsoplift van juli van 10% zit mee in prijs</t>
  </si>
  <si>
    <t>5657-23-140</t>
  </si>
  <si>
    <t>Shanghai Electric</t>
  </si>
  <si>
    <t>China / India prijzen nieuwe file, + 25 EUR/m² handling &amp; packaging cost</t>
  </si>
  <si>
    <t>5657-23-141</t>
  </si>
  <si>
    <t>5657-23-142</t>
  </si>
  <si>
    <t>Prijsoplift van juli van 10% zit al mee in m² prijs</t>
  </si>
  <si>
    <t>5657-23-143</t>
  </si>
  <si>
    <t>Prijsoplift van juli van 10% zit al mee in m² prijs, 1 kist aangerekend</t>
  </si>
  <si>
    <t>5657-23-144</t>
  </si>
  <si>
    <t>Prijsoplift van juli van 10% zit al mee in m² prijs, 25 EUR / m² aangerekend voor handling &amp; packaging</t>
  </si>
  <si>
    <t>5657-23-145</t>
  </si>
  <si>
    <t>Dr. Willem Haverkort (TU Delft)</t>
  </si>
  <si>
    <t>5657-23-146</t>
  </si>
  <si>
    <t>5657-23-147</t>
  </si>
  <si>
    <t>Bibhudatta Malik (Bar Ilan University)</t>
  </si>
  <si>
    <t>Israel</t>
  </si>
  <si>
    <t>5657-23-148</t>
  </si>
  <si>
    <t>Nieuwe prijzen dly vanaf juli</t>
  </si>
  <si>
    <t>5657-23-149</t>
  </si>
  <si>
    <t>Shandong Auyan New Energy Technology Co. Ltd</t>
  </si>
  <si>
    <t>5657-23-150</t>
  </si>
  <si>
    <t>5657-23-151</t>
  </si>
  <si>
    <t>China / India prijzen nieuwe file + 25 EUR/m² handling &amp; packaging charges</t>
  </si>
  <si>
    <t>5657-23-152</t>
  </si>
  <si>
    <t>5657-23-153</t>
  </si>
  <si>
    <t>Sany</t>
  </si>
  <si>
    <t>China / India prijzen nieuwe file, + nieuwe handling &amp; packaging cost</t>
  </si>
  <si>
    <t>5657-23-154</t>
  </si>
  <si>
    <t>5657-23-155</t>
  </si>
  <si>
    <t>Groot Consulting</t>
  </si>
  <si>
    <t>5657-23-156</t>
  </si>
  <si>
    <t>Stanford University</t>
  </si>
  <si>
    <t>5657-23-157</t>
  </si>
  <si>
    <t xml:space="preserve">Hilti Aktiengesellschaft </t>
  </si>
  <si>
    <t>Liechtenstein</t>
  </si>
  <si>
    <t>5657-23-158</t>
  </si>
  <si>
    <t>Engas Global Ltd</t>
  </si>
  <si>
    <t>5657-23-159</t>
  </si>
  <si>
    <t>5657-23-160</t>
  </si>
  <si>
    <t>GT Company</t>
  </si>
  <si>
    <t>5657-23-161</t>
  </si>
  <si>
    <t>5657-23-162</t>
  </si>
  <si>
    <t>5657-23-163</t>
  </si>
  <si>
    <t>5657-23-164</t>
  </si>
  <si>
    <t>5657-23-165</t>
  </si>
  <si>
    <t>Prijs naar EUR 600 gezet omdat de m² prijs voor 20 m² duurder was dan EUR 450</t>
  </si>
  <si>
    <t>5657-23-166</t>
  </si>
  <si>
    <t>Nieuwe prijsfile + handling &amp; packaging charges</t>
  </si>
  <si>
    <t>5657-23-167</t>
  </si>
  <si>
    <t>5657-23-168</t>
  </si>
  <si>
    <t>Suzhou Green Hydrogen Energy</t>
  </si>
  <si>
    <t>cirkel, Nieuwe prijsfile + handling &amp; packaging charges</t>
  </si>
  <si>
    <t>5657-23-169</t>
  </si>
  <si>
    <t>5657-23-170</t>
  </si>
  <si>
    <t>5657-23-171</t>
  </si>
  <si>
    <t>Exrade LLC</t>
  </si>
  <si>
    <t>China India prijzen nieuwe file toegepast (vermoeden vraag via ander kanaal voor Nadoka)</t>
  </si>
  <si>
    <t>5657-23-172</t>
  </si>
  <si>
    <t>Golendus</t>
  </si>
  <si>
    <t>5657-23-173</t>
  </si>
  <si>
    <t>5657-23-174</t>
  </si>
  <si>
    <t>Envision</t>
  </si>
  <si>
    <t>5657-23-175</t>
  </si>
  <si>
    <t>Sungrow</t>
  </si>
  <si>
    <t>5m² pakketprijs *1,1</t>
  </si>
  <si>
    <t>5657-23-176</t>
  </si>
  <si>
    <t>5657-23-177</t>
  </si>
  <si>
    <t>5657-23-178</t>
  </si>
  <si>
    <t>Indox Hydrogen</t>
  </si>
  <si>
    <t>5657-23-179</t>
  </si>
  <si>
    <t>5657-23-180</t>
  </si>
  <si>
    <t>cirkel, nieuwe pricing van Nick</t>
  </si>
  <si>
    <t>5657-23-181</t>
  </si>
  <si>
    <t>National Institute of chemistry</t>
  </si>
  <si>
    <t>Slovenia</t>
  </si>
  <si>
    <t>5657-23-182</t>
  </si>
  <si>
    <t>5657-23-183</t>
  </si>
  <si>
    <t>5657-23-184</t>
  </si>
  <si>
    <t>Institut Photovoltaique d'Ile de France</t>
  </si>
  <si>
    <t>5657-23-185</t>
  </si>
  <si>
    <t>Institute of General and Physical Chemistry</t>
  </si>
  <si>
    <t>Serbia</t>
  </si>
  <si>
    <t>5657-23-186</t>
  </si>
  <si>
    <t>cirkel</t>
  </si>
  <si>
    <t>5657-23-187</t>
  </si>
  <si>
    <t>Magneto special anodes</t>
  </si>
  <si>
    <t>5657-23-188</t>
  </si>
  <si>
    <t>Shanghai Electric Power Japan (SPIC)</t>
  </si>
  <si>
    <t>5657-23-189</t>
  </si>
  <si>
    <t>5657-23-190</t>
  </si>
  <si>
    <t>Helmholtz GmbH</t>
  </si>
  <si>
    <t>5657-23-191</t>
  </si>
  <si>
    <t>cirkel, prijsinfo van Nick</t>
  </si>
  <si>
    <t>5657-23-192</t>
  </si>
  <si>
    <t>5657-23-193</t>
  </si>
  <si>
    <t>RWTH Aachen University</t>
  </si>
  <si>
    <t>tender</t>
  </si>
  <si>
    <t>5657-23-194</t>
  </si>
  <si>
    <t>5657-23-195</t>
  </si>
  <si>
    <t>Green Hydrogen Systems</t>
  </si>
  <si>
    <t>vrachtkosten</t>
  </si>
  <si>
    <t>5657-23-196</t>
  </si>
  <si>
    <t>5657-23-197</t>
  </si>
  <si>
    <t>Muhareb Trd &amp; Cons Ltd.</t>
  </si>
  <si>
    <t>Cyprus</t>
  </si>
  <si>
    <t>no</t>
  </si>
  <si>
    <t>Nadoka (China/India) pricing</t>
  </si>
  <si>
    <t>5657-23-198</t>
  </si>
  <si>
    <t>Italian Institute of Technology</t>
  </si>
  <si>
    <t>5657-23-199</t>
  </si>
  <si>
    <t>5657-23-200</t>
  </si>
  <si>
    <t>5657-23-201</t>
  </si>
  <si>
    <t>5657-23-202</t>
  </si>
  <si>
    <t>5657-23-203</t>
  </si>
  <si>
    <t xml:space="preserve">Madhuchitt Industries LLP. </t>
  </si>
  <si>
    <t>India pricing</t>
  </si>
  <si>
    <t>5657-23-204</t>
  </si>
  <si>
    <t>Adani  New Industries Limited</t>
  </si>
  <si>
    <t>5657-23-205</t>
  </si>
  <si>
    <t>National University of Singapore</t>
  </si>
  <si>
    <t>Singapore</t>
  </si>
  <si>
    <t>5657-23-206</t>
  </si>
  <si>
    <t>Nordex Electrolyzers</t>
  </si>
  <si>
    <t>5657-23-207</t>
  </si>
  <si>
    <t>aan Nick gestuurd</t>
  </si>
  <si>
    <t>5657-23-208</t>
  </si>
  <si>
    <t>CNL Energy (Agfa Korea)</t>
  </si>
  <si>
    <t>5657-23-209</t>
  </si>
  <si>
    <t>5657-23-210</t>
  </si>
  <si>
    <t>5657-23-211</t>
  </si>
  <si>
    <t>LG Chemical (Agfa Korea)</t>
  </si>
  <si>
    <t>5657-23-212</t>
  </si>
  <si>
    <t>5657-23-213</t>
  </si>
  <si>
    <t>waiting for feedback customer</t>
  </si>
  <si>
    <t>wachten op feedback Yongjin</t>
  </si>
  <si>
    <t>5657-23-214</t>
  </si>
  <si>
    <t>5657-23-215</t>
  </si>
  <si>
    <t>Gallantech (Agfa China)</t>
  </si>
  <si>
    <t>5657-23-216</t>
  </si>
  <si>
    <t>5657-23-217</t>
  </si>
  <si>
    <t>5657-23-218</t>
  </si>
  <si>
    <t>5657-23-219</t>
  </si>
  <si>
    <t>5657-23-220</t>
  </si>
  <si>
    <t>Université catholique de Louvain (UCL) - Division of Materials and Process Engineering</t>
  </si>
  <si>
    <t>aantal aangepast naar 20m²</t>
  </si>
  <si>
    <t>5657-23-221</t>
  </si>
  <si>
    <t>Jisung Quality &amp; Tech. Co., Ltd (Agfa Korea)</t>
  </si>
  <si>
    <t>5657-23-222</t>
  </si>
  <si>
    <t>5657-23-223</t>
  </si>
  <si>
    <t>Update 2: komma's en punten van de bedragen aangepast naar ander formaat
Update 3: expiry date aangepast</t>
  </si>
  <si>
    <t>5/7/2023
16/8/2023</t>
  </si>
  <si>
    <t>5657-23-224</t>
  </si>
  <si>
    <t>Meins Consulting</t>
  </si>
  <si>
    <t>5657-23-225</t>
  </si>
  <si>
    <t>Genesal Energy</t>
  </si>
  <si>
    <t>5657-23-226</t>
  </si>
  <si>
    <t>Stargate hydrogen</t>
  </si>
  <si>
    <t>5657-23-227</t>
  </si>
  <si>
    <t>China prijzen</t>
  </si>
  <si>
    <t>5657-23-228</t>
  </si>
  <si>
    <t>Wise Lab (Agfa Korea)</t>
  </si>
  <si>
    <t>5657-23-229</t>
  </si>
  <si>
    <t>Delba Electrical co.</t>
  </si>
  <si>
    <t>5657-23-230</t>
  </si>
  <si>
    <t>Air Liquide Engineering &amp; Construction</t>
  </si>
  <si>
    <t>leadtime kan nog niet worden meegegeven</t>
  </si>
  <si>
    <t>5657-23-231</t>
  </si>
  <si>
    <t>5657-23-232</t>
  </si>
  <si>
    <t>5657-23-233</t>
  </si>
  <si>
    <t>5657-23-234</t>
  </si>
  <si>
    <t>Ariema</t>
  </si>
  <si>
    <t>5657-23-235</t>
  </si>
  <si>
    <t>Ben-Gurion University of the Negev</t>
  </si>
  <si>
    <t>5657-23-236</t>
  </si>
  <si>
    <t>5657-23-237</t>
  </si>
  <si>
    <t>5657-23-238</t>
  </si>
  <si>
    <t>5657-23-239</t>
  </si>
  <si>
    <t>prijzen april +10 toepgepast (nieuwe prijzen doorstreept meegegeven)</t>
  </si>
  <si>
    <t>5657-23-240</t>
  </si>
  <si>
    <t>5657-23-241</t>
  </si>
  <si>
    <t xml:space="preserve">Y-tec </t>
  </si>
  <si>
    <t>Argentina</t>
  </si>
  <si>
    <t>5657-23-242</t>
  </si>
  <si>
    <t>Green Innovation ltd</t>
  </si>
  <si>
    <t>Bulgaria</t>
  </si>
  <si>
    <t>5657-23-243</t>
  </si>
  <si>
    <t>5657-23-244</t>
  </si>
  <si>
    <t>5657-23-245</t>
  </si>
  <si>
    <t>Shenzhen Vicarage Science &amp; Technololgy (voor SANY)</t>
  </si>
  <si>
    <t>5657-23-246</t>
  </si>
  <si>
    <t>Clorar Ingenieria SA</t>
  </si>
  <si>
    <t>5657-23-247</t>
  </si>
  <si>
    <t>5657-23-248</t>
  </si>
  <si>
    <t>5657-23-249</t>
  </si>
  <si>
    <t>5657-23-250</t>
  </si>
  <si>
    <t>Gemiddelde m² prijs april en huidige toegepast</t>
  </si>
  <si>
    <t>5657-23-251</t>
  </si>
  <si>
    <t>Shenzhen Kylin Technology</t>
  </si>
  <si>
    <t>5657-23-252</t>
  </si>
  <si>
    <t>De Nora Permelec (Agfa Japan)</t>
  </si>
  <si>
    <t>5657-23-253</t>
  </si>
  <si>
    <t>UTP500A</t>
  </si>
  <si>
    <t xml:space="preserve">5657-23-254 </t>
  </si>
  <si>
    <t>Universidad Catolica del Norte</t>
  </si>
  <si>
    <t>Chile</t>
  </si>
  <si>
    <t>5657-23-254 2</t>
  </si>
  <si>
    <t>25/07/2024</t>
  </si>
  <si>
    <t>5657-23-255</t>
  </si>
  <si>
    <t>SNU S&amp;T (Agfa Korea)</t>
  </si>
  <si>
    <t>5657-23-256</t>
  </si>
  <si>
    <t>Resco (Agfa Korea)</t>
  </si>
  <si>
    <t>5657-23-257</t>
  </si>
  <si>
    <t>Offenburg University</t>
  </si>
  <si>
    <t>5657-23-258</t>
  </si>
  <si>
    <t>Leiden University</t>
  </si>
  <si>
    <t>5657-23-259</t>
  </si>
  <si>
    <t>18/8 freight cost toegevoegd</t>
  </si>
  <si>
    <t>5657-23-260</t>
  </si>
  <si>
    <t>5657-23-261</t>
  </si>
  <si>
    <t>5657-23-262</t>
  </si>
  <si>
    <t>5657-23-263</t>
  </si>
  <si>
    <t>5657-23-264</t>
  </si>
  <si>
    <t>Sazan Electronic industrial company</t>
  </si>
  <si>
    <t>FCA aangeboden, verzending met Fedex en DHL is niet mogelijk naar Iran</t>
  </si>
  <si>
    <t>5657-23-265</t>
  </si>
  <si>
    <t>5657-23-266</t>
  </si>
  <si>
    <t>Hyojin E&amp;HY (Agfa Korea)</t>
  </si>
  <si>
    <t>5657-23-267</t>
  </si>
  <si>
    <t>5657-23-268</t>
  </si>
  <si>
    <t>Sinoway International</t>
  </si>
  <si>
    <t>5657-23-269</t>
  </si>
  <si>
    <t>Konia</t>
  </si>
  <si>
    <t>5657-23-270</t>
  </si>
  <si>
    <t>5657-23-271</t>
  </si>
  <si>
    <t>5657-23-272</t>
  </si>
  <si>
    <t>Hymeth Aps</t>
  </si>
  <si>
    <t>Validity date aangepast naar 15/12</t>
  </si>
  <si>
    <t>5657-23-273</t>
  </si>
  <si>
    <t>5657-23-274</t>
  </si>
  <si>
    <t>Aantal gewijzigd naar 110 stuks</t>
  </si>
  <si>
    <t>5657-23-275</t>
  </si>
  <si>
    <t>5657-23-276</t>
  </si>
  <si>
    <t>Aantal gewijzigd naar 440 stuks</t>
  </si>
  <si>
    <t>5657-23-277</t>
  </si>
  <si>
    <t>Aantal gewijzigd naar 550 stuks</t>
  </si>
  <si>
    <t>5657-23-278</t>
  </si>
  <si>
    <t>5657-23-279</t>
  </si>
  <si>
    <t>5657-23-280</t>
  </si>
  <si>
    <t>Envision Energy</t>
  </si>
  <si>
    <t>5657-23-281</t>
  </si>
  <si>
    <t>5657-23-282</t>
  </si>
  <si>
    <t>Phin Energy</t>
  </si>
  <si>
    <t>5657-23-283</t>
  </si>
  <si>
    <t>Eisenhuth GmbH</t>
  </si>
  <si>
    <t>5657-23-284</t>
  </si>
  <si>
    <t>homiHydrogen Private Limited</t>
  </si>
  <si>
    <t>5657-23-285</t>
  </si>
  <si>
    <t>5657-23-286</t>
  </si>
  <si>
    <t>5657-23-287</t>
  </si>
  <si>
    <t xml:space="preserve">Top Sky Oil &amp; Petroleum Services Ltd </t>
  </si>
  <si>
    <t>UK (final destination Iraq)</t>
  </si>
  <si>
    <t>5657-23-288</t>
  </si>
  <si>
    <t>Han Tech (Agfa Korea)</t>
  </si>
  <si>
    <t>5657-23-289</t>
  </si>
  <si>
    <t>5657-23-290</t>
  </si>
  <si>
    <t>K-Water Craft (Agfa Korea)</t>
  </si>
  <si>
    <t>5657-23-291</t>
  </si>
  <si>
    <t>5657-23-292</t>
  </si>
  <si>
    <t>The Registrar, SRM University AP</t>
  </si>
  <si>
    <t>5657-23-293</t>
  </si>
  <si>
    <t>5657-23-294</t>
  </si>
  <si>
    <t>5657-23-295</t>
  </si>
  <si>
    <t>5657-23-296</t>
  </si>
  <si>
    <t>5657-23-297</t>
  </si>
  <si>
    <t>5657-23-298</t>
  </si>
  <si>
    <t>5657-23-299</t>
  </si>
  <si>
    <t>Westbaltfinance OÜ</t>
  </si>
  <si>
    <t>5657-23-300</t>
  </si>
  <si>
    <t>5657-23-301</t>
  </si>
  <si>
    <t>5657-23-302</t>
  </si>
  <si>
    <t>5657-23-303</t>
  </si>
  <si>
    <t>5657-23-304</t>
  </si>
  <si>
    <t>5657-23-305</t>
  </si>
  <si>
    <t>5657-23-306</t>
  </si>
  <si>
    <t>5657-23-307</t>
  </si>
  <si>
    <t>Sungwoo Life Science (Agfa Korea)</t>
  </si>
  <si>
    <t>5657-23-308</t>
  </si>
  <si>
    <t>5657-23-309</t>
  </si>
  <si>
    <t xml:space="preserve">WEW </t>
  </si>
  <si>
    <t>5657-23-310</t>
  </si>
  <si>
    <t>5657-23-311</t>
  </si>
  <si>
    <t>5657-23-312</t>
  </si>
  <si>
    <t>5657-23-313</t>
  </si>
  <si>
    <t>5657-23-314</t>
  </si>
  <si>
    <t>Ultrananotech Pvt Ltd</t>
  </si>
  <si>
    <t>5657-23-315</t>
  </si>
  <si>
    <t>15/9 @ Nick</t>
  </si>
  <si>
    <t>5657-23-316</t>
  </si>
  <si>
    <t>5657-23-317</t>
  </si>
  <si>
    <t>Hoeveelheid aangepast naar 10 m²</t>
  </si>
  <si>
    <t>5657-23-318</t>
  </si>
  <si>
    <t>Sansoken (Agfa Japan)</t>
  </si>
  <si>
    <t>5657-23-319</t>
  </si>
  <si>
    <t>5657-23-320</t>
  </si>
  <si>
    <t>5657-23-321</t>
  </si>
  <si>
    <t>Vrachtkost naar Shanghai toegevoegd</t>
  </si>
  <si>
    <t>5657-23-322</t>
  </si>
  <si>
    <t>5657-23-323</t>
  </si>
  <si>
    <t>Honda (Agfa Japan)</t>
  </si>
  <si>
    <t>5657-23-324</t>
  </si>
  <si>
    <t>5657-23-325</t>
  </si>
  <si>
    <t>22/9 wrong mentioned m² price in first quotation</t>
  </si>
  <si>
    <t>5657-23-326</t>
  </si>
  <si>
    <t>Aviral Power Solutions Pvt Ltd</t>
  </si>
  <si>
    <t>5657-23-327</t>
  </si>
  <si>
    <t>5657-23-328</t>
  </si>
  <si>
    <t>TechCross (Agfa Korea)</t>
  </si>
  <si>
    <t>aangepaste hoeveelheid naar 100 stuks</t>
  </si>
  <si>
    <t>5657-23-329</t>
  </si>
  <si>
    <t>5657-23-330</t>
  </si>
  <si>
    <t>Bharat Heavy Electrical Limited</t>
  </si>
  <si>
    <t>5657-23-331</t>
  </si>
  <si>
    <t>Hydep</t>
  </si>
  <si>
    <t>5657-23-332</t>
  </si>
  <si>
    <t xml:space="preserve">Molac Systems Inc. </t>
  </si>
  <si>
    <t>5657-23-333</t>
  </si>
  <si>
    <t>5657-23-334</t>
  </si>
  <si>
    <t>5657-23-335</t>
  </si>
  <si>
    <t>City Brands Ltd</t>
  </si>
  <si>
    <t>5657-23-336</t>
  </si>
  <si>
    <t>5657-23-337</t>
  </si>
  <si>
    <t>TianJin Mainland Hydrogen Equipment Co., Ltd.</t>
  </si>
  <si>
    <t>5657-23-338</t>
  </si>
  <si>
    <t>5657-23-339</t>
  </si>
  <si>
    <t>5657-23-340</t>
  </si>
  <si>
    <t>5657-23-341</t>
  </si>
  <si>
    <t>Central Electromechanical Research Institute (CSIR)</t>
  </si>
  <si>
    <t>5657-23-342</t>
  </si>
  <si>
    <t>King Abdullah University of Science and Technology (KAUST)</t>
  </si>
  <si>
    <t>342 en 343 samengevoegd in 342 02, 15/03: validity date aangepast</t>
  </si>
  <si>
    <t>4/10/2023+15/03/2024</t>
  </si>
  <si>
    <t>identiek gebleven</t>
  </si>
  <si>
    <t>5657-23-343</t>
  </si>
  <si>
    <t>5657-23-344</t>
  </si>
  <si>
    <t>Technische Universität Braunschweig</t>
  </si>
  <si>
    <t>5657-23-345</t>
  </si>
  <si>
    <t>5657-23-346</t>
  </si>
  <si>
    <t>5657-23-347</t>
  </si>
  <si>
    <t>Ukrnichrom</t>
  </si>
  <si>
    <t>Ukraine</t>
  </si>
  <si>
    <t>Hoeveelheid aangepast naar 20 m²</t>
  </si>
  <si>
    <t>5657-23-348</t>
  </si>
  <si>
    <t>5657-23-349</t>
  </si>
  <si>
    <t>5657-23-350</t>
  </si>
  <si>
    <t>ISPT Group</t>
  </si>
  <si>
    <t>Portugal</t>
  </si>
  <si>
    <t>5657-23-351</t>
  </si>
  <si>
    <t>Aangepaste quote voor 316 stuks gemaakt</t>
  </si>
  <si>
    <t>5657-23-352</t>
  </si>
  <si>
    <t>Adana Alparslan Türkes Science and Technology University</t>
  </si>
  <si>
    <t>5657-23-353</t>
  </si>
  <si>
    <t>Avantium Chemicals BV</t>
  </si>
  <si>
    <t>foute vrachtkost vermeld, aanpassing gestuurd</t>
  </si>
  <si>
    <t>5657-23-354</t>
  </si>
  <si>
    <t>Hygenco Green Energies Private Limited</t>
  </si>
  <si>
    <t xml:space="preserve">India </t>
  </si>
  <si>
    <t>5657-23-355</t>
  </si>
  <si>
    <t>Peraglobe Technologies Pvt. Ltd.</t>
  </si>
  <si>
    <t>5657-23-356</t>
  </si>
  <si>
    <t>EEG Elements Energy GmbH</t>
  </si>
  <si>
    <t>5657-23-357</t>
  </si>
  <si>
    <t>Newes Hydrogen</t>
  </si>
  <si>
    <t>5657-23-358</t>
  </si>
  <si>
    <t>Aantal aangepast naar 170 pcs</t>
  </si>
  <si>
    <t>5657-23-359</t>
  </si>
  <si>
    <t>diameter</t>
  </si>
  <si>
    <t>5657-23-360</t>
  </si>
  <si>
    <t>square</t>
  </si>
  <si>
    <t>5657-23-361</t>
  </si>
  <si>
    <t>Sıddıka Özgüven BAŞAR MAKİNA</t>
  </si>
  <si>
    <t>5657-23-362</t>
  </si>
  <si>
    <t>5657-23-363</t>
  </si>
  <si>
    <t>5657-23-364</t>
  </si>
  <si>
    <t>Verdagy</t>
  </si>
  <si>
    <t>5657-23-365</t>
  </si>
  <si>
    <t>5657-23-366</t>
  </si>
  <si>
    <t>5657-23-367</t>
  </si>
  <si>
    <t>5657-23-368</t>
  </si>
  <si>
    <t>5657-23-369</t>
  </si>
  <si>
    <t>Cowtline</t>
  </si>
  <si>
    <t>5657-23-370</t>
  </si>
  <si>
    <t>Hild Electric</t>
  </si>
  <si>
    <t>5657-23-371</t>
  </si>
  <si>
    <t>5657-23-372</t>
  </si>
  <si>
    <t>Jieyang HydrogenCN Technology</t>
  </si>
  <si>
    <t>5657-23-373</t>
  </si>
  <si>
    <t>Cavendish Renewable</t>
  </si>
  <si>
    <t>5657-23-374</t>
  </si>
  <si>
    <t>Newtrace</t>
  </si>
  <si>
    <t>5657-23-375</t>
  </si>
  <si>
    <t>5657-23-376</t>
  </si>
  <si>
    <t>Siemens Energy Global GmbH &amp; Co. KG</t>
  </si>
  <si>
    <t>5657-23-377</t>
  </si>
  <si>
    <t>5657-23-378</t>
  </si>
  <si>
    <t>5657-23-379</t>
  </si>
  <si>
    <t>5657-23-380</t>
  </si>
  <si>
    <t>5657-23-381</t>
  </si>
  <si>
    <t>Tecnicas Reunidas</t>
  </si>
  <si>
    <t>5657-23-382</t>
  </si>
  <si>
    <t>5657-23-383</t>
  </si>
  <si>
    <t>TU Delft</t>
  </si>
  <si>
    <t>Quote enkel voor UTP500 gestuurd</t>
  </si>
  <si>
    <t>5657-23-384</t>
  </si>
  <si>
    <t>Sungrow Deutschland GmbH</t>
  </si>
  <si>
    <t>5657-23-385</t>
  </si>
  <si>
    <t>EBZ</t>
  </si>
  <si>
    <t>5657-23-386</t>
  </si>
  <si>
    <t>5657-23-387</t>
  </si>
  <si>
    <t>Peraglobe Technologies Pvt. Ltd. for BHEL</t>
  </si>
  <si>
    <t>5657-23-388</t>
  </si>
  <si>
    <t>Per DHL buiten gegaan op 8/11</t>
  </si>
  <si>
    <t>5657-23-389</t>
  </si>
  <si>
    <t>8/11 @Nick gestuurd</t>
  </si>
  <si>
    <t>5657-23-390</t>
  </si>
  <si>
    <t>University of Oslo</t>
  </si>
  <si>
    <t>5657-23-391</t>
  </si>
  <si>
    <t>5657-23-392</t>
  </si>
  <si>
    <t xml:space="preserve">Institute of Materials Research and Engineering </t>
  </si>
  <si>
    <t>5657-23-393</t>
  </si>
  <si>
    <t>Ruhr-Universität Bochum</t>
  </si>
  <si>
    <t>Betaalbaar op 30 dagen ok</t>
  </si>
  <si>
    <t>5657-23-394</t>
  </si>
  <si>
    <t>Aangepaste request voor 200 m²</t>
  </si>
  <si>
    <t>5657-23-395</t>
  </si>
  <si>
    <t>5657-23-396</t>
  </si>
  <si>
    <t>Shriram Institute for Industrial Research</t>
  </si>
  <si>
    <t>5657-23-397</t>
  </si>
  <si>
    <t>Lotte Chemical (Agfa Korea)</t>
  </si>
  <si>
    <t>5657-23-398</t>
  </si>
  <si>
    <t>5657-23-399</t>
  </si>
  <si>
    <t>5657-23-400</t>
  </si>
  <si>
    <t>Protora Energy (Agfa Korea)</t>
  </si>
  <si>
    <t>5657-23-401</t>
  </si>
  <si>
    <t>5657-23-402</t>
  </si>
  <si>
    <t>5657-23-403</t>
  </si>
  <si>
    <t>5657-23-404</t>
  </si>
  <si>
    <t>NitroFix</t>
  </si>
  <si>
    <t>5657-23-405</t>
  </si>
  <si>
    <t>5657-23-406</t>
  </si>
  <si>
    <t>Mastech Andrzej Dudek</t>
  </si>
  <si>
    <t>5657-23-407</t>
  </si>
  <si>
    <t>5657-23-408</t>
  </si>
  <si>
    <t>5657-23-409</t>
  </si>
  <si>
    <t>5657-23-410</t>
  </si>
  <si>
    <t>5657-23-411</t>
  </si>
  <si>
    <t xml:space="preserve">Beijing Metals &amp; Minerals Corp (CHN Energy) </t>
  </si>
  <si>
    <t>5657-23-412</t>
  </si>
  <si>
    <t>5657-23-413</t>
  </si>
  <si>
    <t>Bill-to en ship-to aangepast + vrachtkosten naar Sevilla ipv Madrid</t>
  </si>
  <si>
    <t>5657-23-414</t>
  </si>
  <si>
    <t>5657-23-415</t>
  </si>
  <si>
    <t>Max Planck Institute for Chemical Energy Conversion</t>
  </si>
  <si>
    <t>Payment terms aangepast naar open acc. 30 dagen</t>
  </si>
  <si>
    <t>5657-23-416</t>
  </si>
  <si>
    <t>5657-23-417</t>
  </si>
  <si>
    <t>5657-23-418</t>
  </si>
  <si>
    <t>5657-23-419</t>
  </si>
  <si>
    <t>Inctus.earth</t>
  </si>
  <si>
    <t>5657-23-420</t>
  </si>
  <si>
    <t>Powerquell GmbH</t>
  </si>
  <si>
    <t>5657-23-421</t>
  </si>
  <si>
    <t>5657-23-422</t>
  </si>
  <si>
    <t>Dioxycle</t>
  </si>
  <si>
    <t>5657-23-423</t>
  </si>
  <si>
    <t>Institute of Low Temperature and Structural Research</t>
  </si>
  <si>
    <t>twee soorten membraan in 1 offerte aangeboden, prijs ongewijzigd</t>
  </si>
  <si>
    <t>5657-23-424</t>
  </si>
  <si>
    <t>5657-23-425</t>
  </si>
  <si>
    <t>5657-23-426</t>
  </si>
  <si>
    <t>University of Oregon</t>
  </si>
  <si>
    <t>5657-23-427</t>
  </si>
  <si>
    <t>Fortescue</t>
  </si>
  <si>
    <t>5657-23-428</t>
  </si>
  <si>
    <t xml:space="preserve">Green Energy Technologies </t>
  </si>
  <si>
    <t>5657-23-429</t>
  </si>
  <si>
    <t>Aantal aangepast naar 230 stuks</t>
  </si>
  <si>
    <t>5657-23-430</t>
  </si>
  <si>
    <t>5657-23-431</t>
  </si>
  <si>
    <t>Oberland Mangold GmbH</t>
  </si>
  <si>
    <t>5657-23-432</t>
  </si>
  <si>
    <t>5657-23-433</t>
  </si>
  <si>
    <t>5657-23-434</t>
  </si>
  <si>
    <t>5657-23-435</t>
  </si>
  <si>
    <t>5657-23-436</t>
  </si>
  <si>
    <t>5657-23-437</t>
  </si>
  <si>
    <t>Davco farming</t>
  </si>
  <si>
    <t>5657-23-438</t>
  </si>
  <si>
    <t>FCA aangeboden want dichtstbijzijnde luchthaven die wij kunnen aanbieden ligt op een rit van 28 uur verwijderd</t>
  </si>
  <si>
    <t>5657-23-439</t>
  </si>
  <si>
    <t>5657-23-440</t>
  </si>
  <si>
    <t>Dioxycle US</t>
  </si>
  <si>
    <t>5657-23-441</t>
  </si>
  <si>
    <t>5657-23-442</t>
  </si>
  <si>
    <t>m² aangepast in overleg met Nick</t>
  </si>
  <si>
    <t xml:space="preserve">	191.488,01</t>
  </si>
  <si>
    <t>shanghai Electric</t>
  </si>
  <si>
    <t>5657-23-443</t>
  </si>
  <si>
    <t>5657-23-444</t>
  </si>
  <si>
    <t>5657-23-445</t>
  </si>
  <si>
    <t>5657-23-446</t>
  </si>
  <si>
    <t>Hanyang Science</t>
  </si>
  <si>
    <t>5657-23-447</t>
  </si>
  <si>
    <t>King Faisal University</t>
  </si>
  <si>
    <t>5657-23-448</t>
  </si>
  <si>
    <t>Nirvana Solar</t>
  </si>
  <si>
    <t>5657-23-449</t>
  </si>
  <si>
    <t>5657-23-450</t>
  </si>
  <si>
    <t>Kohler</t>
  </si>
  <si>
    <t>5657-23-451</t>
  </si>
  <si>
    <t>Suzhou Sinero Technology Co., Ltd (=klant), ALFA International Supply Chain Man. gaat bestellen voor hen</t>
  </si>
  <si>
    <t>5657-23-452</t>
  </si>
  <si>
    <t>SES hydrogen Enery Sp. z.o.o.</t>
  </si>
  <si>
    <t>5657-24-001</t>
  </si>
  <si>
    <t>5657-24-002</t>
  </si>
  <si>
    <t>5657-24-003</t>
  </si>
  <si>
    <t xml:space="preserve">Livolt </t>
  </si>
  <si>
    <t>5657-24-004</t>
  </si>
  <si>
    <t>5657-24-005</t>
  </si>
  <si>
    <t>Sainergy Fuel Cel India Pvt Ltd</t>
  </si>
  <si>
    <t>5657-24-006</t>
  </si>
  <si>
    <t>5657-24-007</t>
  </si>
  <si>
    <t>Vellore Institute of Technology</t>
  </si>
  <si>
    <t>5657-24-008</t>
  </si>
  <si>
    <t>5657-24-009</t>
  </si>
  <si>
    <t>5657-24-010</t>
  </si>
  <si>
    <t>Kyushu University (Agfa Japan)</t>
  </si>
  <si>
    <t>5657-24-011</t>
  </si>
  <si>
    <t>5657-24-012</t>
  </si>
  <si>
    <t>5657-24-013</t>
  </si>
  <si>
    <t>validity met 1 maand verleng</t>
  </si>
  <si>
    <t>5657-24-014</t>
  </si>
  <si>
    <t>China Xinxing Import and Export Co., Ltd (for Shenzhen Hycean)</t>
  </si>
  <si>
    <t>vrachtkost tot Beijing Daxing International Airport toegevoegd</t>
  </si>
  <si>
    <t>5657-24-015</t>
  </si>
  <si>
    <t>Avantor for Shell Technology Centre Bengaluru</t>
  </si>
  <si>
    <t>ok om aan deze klant UTP220 te verkopen in India, Order gaat via Green Energy Technologies binnen komen en niet Avantor</t>
  </si>
  <si>
    <t>5657-24-016</t>
  </si>
  <si>
    <t>Larsen &amp; Toubro</t>
  </si>
  <si>
    <t>5657-24-017</t>
  </si>
  <si>
    <t>H2Press</t>
  </si>
  <si>
    <t>5657-24-018</t>
  </si>
  <si>
    <t>Global Renewable Solutions -GRS Corporation</t>
  </si>
  <si>
    <t>5657-24-019</t>
  </si>
  <si>
    <t>5657-24-020</t>
  </si>
  <si>
    <t>CSIRO (Commonwealth Scientific and Industrial Research Organisation)</t>
  </si>
  <si>
    <t>5657-24-021</t>
  </si>
  <si>
    <t>5657-24-022</t>
  </si>
  <si>
    <t>5657-24-023</t>
  </si>
  <si>
    <t>VIDJAYA Automação e Tecnologia Ltda</t>
  </si>
  <si>
    <t>5657-24-024</t>
  </si>
  <si>
    <t>Reliance Industries Limited</t>
  </si>
  <si>
    <t>5657-24-025</t>
  </si>
  <si>
    <t>Green Energy Technologies</t>
  </si>
  <si>
    <t>ok om aan deze klant UTP220 te verkopen in India (= Shell)</t>
  </si>
  <si>
    <t>5657-24-026</t>
  </si>
  <si>
    <t>Bluecome</t>
  </si>
  <si>
    <t>Chili</t>
  </si>
  <si>
    <t>5657-24-027</t>
  </si>
  <si>
    <t>5657-24-028</t>
  </si>
  <si>
    <t>5657-24-029</t>
  </si>
  <si>
    <t>5657-24-030</t>
  </si>
  <si>
    <t>Institute of Sustainability for Chemicals, Energy and Environment</t>
  </si>
  <si>
    <t>Datum van offerte verlengd</t>
  </si>
  <si>
    <t>5657-24-031</t>
  </si>
  <si>
    <t>Sookmyoung Univ. (Agfa Korea)</t>
  </si>
  <si>
    <t>5657-24-032</t>
  </si>
  <si>
    <t>Prometheus Fuels</t>
  </si>
  <si>
    <t>5657-24-033</t>
  </si>
  <si>
    <t>5657-24-034</t>
  </si>
  <si>
    <t>Prijzen zoals in Reservation Contract toegepast</t>
  </si>
  <si>
    <t>5657-24-035</t>
  </si>
  <si>
    <t>5657-24-036</t>
  </si>
  <si>
    <t>5657-24-037</t>
  </si>
  <si>
    <t>5657-24-038</t>
  </si>
  <si>
    <t>5657-24-039</t>
  </si>
  <si>
    <t>5657-24-040</t>
  </si>
  <si>
    <t>5657-24-041</t>
  </si>
  <si>
    <t>5657-24-042</t>
  </si>
  <si>
    <t>5657-24-043</t>
  </si>
  <si>
    <t>5657-24-044</t>
  </si>
  <si>
    <t>5657-24-045</t>
  </si>
  <si>
    <t>5657-24-046</t>
  </si>
  <si>
    <t>University of Manchester</t>
  </si>
  <si>
    <t>5657-24-047</t>
  </si>
  <si>
    <t>LUT University</t>
  </si>
  <si>
    <t>Finland</t>
  </si>
  <si>
    <t>5657-24-048</t>
  </si>
  <si>
    <t>Ausi Tehnoloogia OY</t>
  </si>
  <si>
    <t>5657-24-049</t>
  </si>
  <si>
    <t>AEH Power Projects BV</t>
  </si>
  <si>
    <t>5657-24-050</t>
  </si>
  <si>
    <t>5657-24-051</t>
  </si>
  <si>
    <t>Novak Consulting</t>
  </si>
  <si>
    <t>5657-24-052</t>
  </si>
  <si>
    <t>5657-24-053</t>
  </si>
  <si>
    <t>5657-24-054</t>
  </si>
  <si>
    <t>CSIR - Central Electrochemical Research Institute</t>
  </si>
  <si>
    <t>5657-24-055</t>
  </si>
  <si>
    <t>Astris s.r.o.</t>
  </si>
  <si>
    <t>5657-24-056</t>
  </si>
  <si>
    <t>5657-24-057</t>
  </si>
  <si>
    <t>Non Ferrous Materials Technology Development Centre</t>
  </si>
  <si>
    <t>5657-24-058</t>
  </si>
  <si>
    <t>5657-24-059</t>
  </si>
  <si>
    <t>OTH Regensburg</t>
  </si>
  <si>
    <t>5657-24-060</t>
  </si>
  <si>
    <t>5657-24-061</t>
  </si>
  <si>
    <t>5657-24-062</t>
  </si>
  <si>
    <t xml:space="preserve">Quantiam Technologies Inc. </t>
  </si>
  <si>
    <t>5657-24-063</t>
  </si>
  <si>
    <t>5657-24-064</t>
  </si>
  <si>
    <t>Indian Institute of Science (Bengaluru)</t>
  </si>
  <si>
    <t>5657-24-065</t>
  </si>
  <si>
    <t>ENERALL - Energy for all Bolivia</t>
  </si>
  <si>
    <t>Bolivia</t>
  </si>
  <si>
    <t>5657-24-066</t>
  </si>
  <si>
    <t>University of Aveiro</t>
  </si>
  <si>
    <t>5657-24-067</t>
  </si>
  <si>
    <t>Asahi Kasei Corporation (Agfa Japan)</t>
  </si>
  <si>
    <t>5657-24-068</t>
  </si>
  <si>
    <t>Fortescue Future Industries</t>
  </si>
  <si>
    <t>5657-24-069</t>
  </si>
  <si>
    <t>Arcelik A.S.</t>
  </si>
  <si>
    <t>5657-24-070</t>
  </si>
  <si>
    <t>5657-24-071</t>
  </si>
  <si>
    <t>5657-24-072</t>
  </si>
  <si>
    <t>Low Carbon (Agfa Korea)</t>
  </si>
  <si>
    <t>5657-24-073</t>
  </si>
  <si>
    <t>/</t>
  </si>
  <si>
    <t>Ulsan National Institute of Science and Technology (Agfa Korea)</t>
  </si>
  <si>
    <t>Ulsan National Institute of Science and Technology = Unist</t>
  </si>
  <si>
    <t>5657-24-074</t>
  </si>
  <si>
    <t>BGR Tech Limited</t>
  </si>
  <si>
    <t>5657-24-075</t>
  </si>
  <si>
    <t>5657-24-076</t>
  </si>
  <si>
    <t>Forschungszentrum Jülich</t>
  </si>
  <si>
    <t>Update gestuurd op 5/3: totaalbedrag stond fout</t>
  </si>
  <si>
    <t>5657-24-077</t>
  </si>
  <si>
    <t>Wesco Electrode (Agfa Korea)</t>
  </si>
  <si>
    <t>5657-24-078</t>
  </si>
  <si>
    <t>5657-24-079</t>
  </si>
  <si>
    <t>5657-24-080</t>
  </si>
  <si>
    <t>Unist (Agfa Korea)</t>
  </si>
  <si>
    <t>5657-24-081</t>
  </si>
  <si>
    <t>1:03 Prijzen zoals in Reservation Contract toegepast
6:03 tekening aangepast</t>
  </si>
  <si>
    <t>5657-24-082</t>
  </si>
  <si>
    <t>Hindustan Petroleum Corporation</t>
  </si>
  <si>
    <t>5657-24-083</t>
  </si>
  <si>
    <t>5657-24-084</t>
  </si>
  <si>
    <t>Electrogenos Ltd.</t>
  </si>
  <si>
    <t>5657-24-085</t>
  </si>
  <si>
    <t>Alfa Laval Technologies AB</t>
  </si>
  <si>
    <t>5657-24-086</t>
  </si>
  <si>
    <t>H2DT</t>
  </si>
  <si>
    <t>UAE</t>
  </si>
  <si>
    <t>5657-24-087</t>
  </si>
  <si>
    <t>Universitas Gadjah Mada</t>
  </si>
  <si>
    <t>Indonesia</t>
  </si>
  <si>
    <t>5657-24-088</t>
  </si>
  <si>
    <t>5657-24-089</t>
  </si>
  <si>
    <t>5657-24-090</t>
  </si>
  <si>
    <t>5657-24-091</t>
  </si>
  <si>
    <t>5657-24-092</t>
  </si>
  <si>
    <t>5657-24-093</t>
  </si>
  <si>
    <t>5657-24-094</t>
  </si>
  <si>
    <t>WTZ Rosslau GmbH</t>
  </si>
  <si>
    <t>5657-24-095</t>
  </si>
  <si>
    <t>5657-24-096</t>
  </si>
  <si>
    <t xml:space="preserve">Beijing Metals &amp; Minerals Corp (for NICE) </t>
  </si>
  <si>
    <t>Quantity changed to 400 pieces</t>
  </si>
  <si>
    <t>5657-24-097</t>
  </si>
  <si>
    <t>Suso Energen (Agfa Korea)</t>
  </si>
  <si>
    <t>5657-24-098</t>
  </si>
  <si>
    <t>5657-24-099</t>
  </si>
  <si>
    <t>Ineos</t>
  </si>
  <si>
    <t>5657-24-100</t>
  </si>
  <si>
    <t>5657-24-101</t>
  </si>
  <si>
    <t>Lakehead University</t>
  </si>
  <si>
    <t>5657-24-102</t>
  </si>
  <si>
    <t>Helmholtz-Zentrum Dresden - Rosendorf</t>
  </si>
  <si>
    <t>5657-24-103</t>
  </si>
  <si>
    <t>5657-24-104</t>
  </si>
  <si>
    <t>5657-24-105</t>
  </si>
  <si>
    <t>BHI (Agfa Korea)</t>
  </si>
  <si>
    <t>5657-24-106</t>
  </si>
  <si>
    <t>5657-24-107</t>
  </si>
  <si>
    <t>5657-24-108</t>
  </si>
  <si>
    <t>Indefol Solar Joint Stock Company</t>
  </si>
  <si>
    <t>Vietnam</t>
  </si>
  <si>
    <t>5657-24-109</t>
  </si>
  <si>
    <t>5657-24-110</t>
  </si>
  <si>
    <t>5657-24-111</t>
  </si>
  <si>
    <t>5657-24-112</t>
  </si>
  <si>
    <t xml:space="preserve">VDL Hydrogen Systems B.V. </t>
  </si>
  <si>
    <t>5657-24-113</t>
  </si>
  <si>
    <t>5657-24-114</t>
  </si>
  <si>
    <t>5657-24-115</t>
  </si>
  <si>
    <t>Tecnicas Reunidas Internacional S.A.U</t>
  </si>
  <si>
    <t>Update voor 27 stuks</t>
  </si>
  <si>
    <t>5657-24-116</t>
  </si>
  <si>
    <t>Jyväskylän ammattikorkeakoulu</t>
  </si>
  <si>
    <t>5657-24-117</t>
  </si>
  <si>
    <t>Teadit</t>
  </si>
  <si>
    <t>5657-24-118</t>
  </si>
  <si>
    <t>Tekening toegevoegd in offerte</t>
  </si>
  <si>
    <t>5657-24-119</t>
  </si>
  <si>
    <t>5657-24-120</t>
  </si>
  <si>
    <t>UCT Prague - Department of Inorganic Technology</t>
  </si>
  <si>
    <t>5657-24-121</t>
  </si>
  <si>
    <t>@ Nick gestuurd</t>
  </si>
  <si>
    <t>5657-24-122</t>
  </si>
  <si>
    <t>National Physical Laboratory</t>
  </si>
  <si>
    <t>5657-24-123</t>
  </si>
  <si>
    <t>5657-24-124</t>
  </si>
  <si>
    <t>5657-24-125</t>
  </si>
  <si>
    <t>Friedrich-Alexander-Universität Erlangen-Nürnberg</t>
  </si>
  <si>
    <t>5657-24-126</t>
  </si>
  <si>
    <t>5657-24-127</t>
  </si>
  <si>
    <t>@Marion gemaild</t>
  </si>
  <si>
    <t>Collège de France</t>
  </si>
  <si>
    <t>5657-24-128</t>
  </si>
  <si>
    <t>4/4</t>
  </si>
  <si>
    <t>Kobe University (Agfa Japan)</t>
  </si>
  <si>
    <t>5657-24-129</t>
  </si>
  <si>
    <t>Toshiba (Agfa Japan)</t>
  </si>
  <si>
    <t>5657-24-130</t>
  </si>
  <si>
    <t>8081-24-131</t>
  </si>
  <si>
    <t>Euramedics BV</t>
  </si>
  <si>
    <t>5657-24-132</t>
  </si>
  <si>
    <t xml:space="preserve">Dioxycle </t>
  </si>
  <si>
    <t>5657-24-133</t>
  </si>
  <si>
    <t>5657-24-134</t>
  </si>
  <si>
    <t>5657-24-135</t>
  </si>
  <si>
    <t>5657-24-136</t>
  </si>
  <si>
    <t>8081-24-137</t>
  </si>
  <si>
    <t>University of Ottawa</t>
  </si>
  <si>
    <t>5657-24-138</t>
  </si>
  <si>
    <t>8081-24-139</t>
  </si>
  <si>
    <t>Purammon</t>
  </si>
  <si>
    <t>8081-24-140</t>
  </si>
  <si>
    <t>8081-24-141</t>
  </si>
  <si>
    <t>3M Center</t>
  </si>
  <si>
    <t>8081-24-142</t>
  </si>
  <si>
    <t xml:space="preserve">offerte verlengd met een maand </t>
  </si>
  <si>
    <t>5657-24-143</t>
  </si>
  <si>
    <t>SJ Tech (Agfa Korea)</t>
  </si>
  <si>
    <t>5657-24-144</t>
  </si>
  <si>
    <t>V02: vrachtkost toegevoegd in de finishing cost</t>
  </si>
  <si>
    <t>8081-24-145</t>
  </si>
  <si>
    <t xml:space="preserve">Nanomaterials | Catalysis Laboratory, CPMU </t>
  </si>
  <si>
    <t>8081-24-146</t>
  </si>
  <si>
    <t>JEJU National University (Agfa Korea)</t>
  </si>
  <si>
    <t>8081-24-147</t>
  </si>
  <si>
    <t>Godrej &amp; Boyce Mfg</t>
  </si>
  <si>
    <t>5657-24-148</t>
  </si>
  <si>
    <t>8081-24-149</t>
  </si>
  <si>
    <t>H2E Power Systems Private Limited</t>
  </si>
  <si>
    <t>5657-24-150</t>
  </si>
  <si>
    <t>Redox Flow</t>
  </si>
  <si>
    <t>5657-24-151</t>
  </si>
  <si>
    <t>5657-24-152</t>
  </si>
  <si>
    <t>5657-24-153</t>
  </si>
  <si>
    <t>Industrie De Nora</t>
  </si>
  <si>
    <t>5657-24-154</t>
  </si>
  <si>
    <t>Airbus Defence and Space</t>
  </si>
  <si>
    <t>8081-24-155</t>
  </si>
  <si>
    <t>5657-24-156</t>
  </si>
  <si>
    <t>8081-24-157</t>
  </si>
  <si>
    <t>5657-24-158</t>
  </si>
  <si>
    <t>5657-24-159</t>
  </si>
  <si>
    <t>5657-24-160</t>
  </si>
  <si>
    <t>5657-24-161</t>
  </si>
  <si>
    <t>5657-24-162</t>
  </si>
  <si>
    <t>5657-24-163</t>
  </si>
  <si>
    <t>5657-24-164</t>
  </si>
  <si>
    <t>NGK (Agfa Japan)</t>
  </si>
  <si>
    <t>5657-24-165</t>
  </si>
  <si>
    <t>5657-24-166</t>
  </si>
  <si>
    <t>5657-24-167</t>
  </si>
  <si>
    <t>5657-24-168</t>
  </si>
  <si>
    <t>EPFL</t>
  </si>
  <si>
    <t>Switzerland</t>
  </si>
  <si>
    <t>5657-24-169</t>
  </si>
  <si>
    <t>TS Engineering</t>
  </si>
  <si>
    <t>5657-24-170</t>
  </si>
  <si>
    <t>University of Canterbury</t>
  </si>
  <si>
    <t>New Zealand</t>
  </si>
  <si>
    <t>5657-24-171</t>
  </si>
  <si>
    <t>8081-24-172</t>
  </si>
  <si>
    <t>Ternary Kinetics Limited</t>
  </si>
  <si>
    <t>8081-24-173</t>
  </si>
  <si>
    <t>8081-24-174</t>
  </si>
  <si>
    <t>8081-24-175</t>
  </si>
  <si>
    <t>8081-24-176</t>
  </si>
  <si>
    <t>8081-24-177</t>
  </si>
  <si>
    <t>8081-24-178</t>
  </si>
  <si>
    <t>Hydrosonicsenergy</t>
  </si>
  <si>
    <t>5657-24-179</t>
  </si>
  <si>
    <t>5657-24-180</t>
  </si>
  <si>
    <t>5657-24-181</t>
  </si>
  <si>
    <t>5657-24-182</t>
  </si>
  <si>
    <t>VWR</t>
  </si>
  <si>
    <t>for KAUST - Saudi Arabia, fph cost mee in m² van het membraan aangerekend</t>
  </si>
  <si>
    <t>5657-24-183</t>
  </si>
  <si>
    <t>Industry De Nora SpA</t>
  </si>
  <si>
    <t>5657-24-184</t>
  </si>
  <si>
    <t>5657-24-185</t>
  </si>
  <si>
    <t>Kylin Technology Co., Ltd</t>
  </si>
  <si>
    <t>5657-24-186</t>
  </si>
  <si>
    <t>8081-24-187</t>
  </si>
  <si>
    <t>Chiral Energies</t>
  </si>
  <si>
    <t>8081-24-188</t>
  </si>
  <si>
    <t>Light Bridge (Agfa Korea)</t>
  </si>
  <si>
    <t>5657-24-189</t>
  </si>
  <si>
    <t>Lang moeten wachten op uitsluitsel ivm tekening</t>
  </si>
  <si>
    <t>25/m²</t>
  </si>
  <si>
    <t>8081-24-190</t>
  </si>
  <si>
    <t>5657-24-191</t>
  </si>
  <si>
    <t>Fraunhofer (IKTS)</t>
  </si>
  <si>
    <t>5657-24-192</t>
  </si>
  <si>
    <t>5657-24-193</t>
  </si>
  <si>
    <t>5657-24-194</t>
  </si>
  <si>
    <t>5657-24-195</t>
  </si>
  <si>
    <t>5657-24-196</t>
  </si>
  <si>
    <t>22/07 klant vraagt aanpassing :  8081 24 240</t>
  </si>
  <si>
    <t>5657-24-197</t>
  </si>
  <si>
    <t>5657-24-198</t>
  </si>
  <si>
    <t>Tokyo Universtity (Agfa Japan)</t>
  </si>
  <si>
    <t>5657-24-199</t>
  </si>
  <si>
    <t>aan Ruben bezorgd</t>
  </si>
  <si>
    <t>non-committed</t>
  </si>
  <si>
    <t>committed</t>
  </si>
  <si>
    <t>5657-24-200</t>
  </si>
  <si>
    <t>5657-24-201</t>
  </si>
  <si>
    <t>5657-24-202</t>
  </si>
  <si>
    <t>5657-24-203</t>
  </si>
  <si>
    <t>5657-24-204</t>
  </si>
  <si>
    <t>University of Minnesota Duluth</t>
  </si>
  <si>
    <t>5657-24-205</t>
  </si>
  <si>
    <t>5657-24-206</t>
  </si>
  <si>
    <t>Rivan Industries (voormaling City Brands Ltd)</t>
  </si>
  <si>
    <t>8081-24-207</t>
  </si>
  <si>
    <t>KMC (Agfa Japan)</t>
  </si>
  <si>
    <t>8081-24-208</t>
  </si>
  <si>
    <t>SDU University of Southern Denmark</t>
  </si>
  <si>
    <t>Denemarken</t>
  </si>
  <si>
    <t>8081-24-209</t>
  </si>
  <si>
    <t xml:space="preserve">KTITOR Co., Ltd, </t>
  </si>
  <si>
    <t>Noord Macedonia</t>
  </si>
  <si>
    <t>De Nora</t>
  </si>
  <si>
    <t>8081-24-210</t>
  </si>
  <si>
    <t>8081-24-211</t>
  </si>
  <si>
    <t>5657-24-212</t>
  </si>
  <si>
    <t>5657-24-213</t>
  </si>
  <si>
    <t>5657-24-214</t>
  </si>
  <si>
    <t>Oerlikon</t>
  </si>
  <si>
    <t>5657-24-215</t>
  </si>
  <si>
    <t>Trina Solar</t>
  </si>
  <si>
    <t>5657-24-216</t>
  </si>
  <si>
    <t>5657-24-217</t>
  </si>
  <si>
    <t>5657-24-218</t>
  </si>
  <si>
    <t>5657-24-219</t>
  </si>
  <si>
    <t>W3G Marine Ltd</t>
  </si>
  <si>
    <t>Scotland</t>
  </si>
  <si>
    <t>5657-24-220</t>
  </si>
  <si>
    <t>Université de technologie de Belfort Montbéliard (UTBM)</t>
  </si>
  <si>
    <t>8081-24-221</t>
  </si>
  <si>
    <t>Sudu Industrial</t>
  </si>
  <si>
    <t>8081-24-222</t>
  </si>
  <si>
    <t>ZSW  Stuttgart</t>
  </si>
  <si>
    <t>8081-24-223</t>
  </si>
  <si>
    <t xml:space="preserve">Skem A S.r.l. </t>
  </si>
  <si>
    <t>8081-24-224</t>
  </si>
  <si>
    <t>8081-24-225</t>
  </si>
  <si>
    <t>8081-24-226</t>
  </si>
  <si>
    <t>8081-24-227</t>
  </si>
  <si>
    <t>IEC Fabchem Limited</t>
  </si>
  <si>
    <t>8081-24-228</t>
  </si>
  <si>
    <t>Sunfire</t>
  </si>
  <si>
    <t>8081-24-229</t>
  </si>
  <si>
    <t>Cavendish Renewable Development</t>
  </si>
  <si>
    <t>8081-24-230</t>
  </si>
  <si>
    <t>Techcross (Agfa Korea)</t>
  </si>
  <si>
    <t>8081-24-231</t>
  </si>
  <si>
    <t>Puva Insaat</t>
  </si>
  <si>
    <t>8081-24-232</t>
  </si>
  <si>
    <t>8081-24-233</t>
  </si>
  <si>
    <t>Alvaro Romero-Calvo</t>
  </si>
  <si>
    <t>8081-24-234</t>
  </si>
  <si>
    <t>Youngnam Chemical (LGC) (Agfa Korea)</t>
  </si>
  <si>
    <t>8081-24-235</t>
  </si>
  <si>
    <t>8081-24-236</t>
  </si>
  <si>
    <t xml:space="preserve">Madhuchitt Industries </t>
  </si>
  <si>
    <t>8081-24-237</t>
  </si>
  <si>
    <t>The EN (Agfa Korea)</t>
  </si>
  <si>
    <t>8081-24-238</t>
  </si>
  <si>
    <t>8081-24-239</t>
  </si>
  <si>
    <t>University of Sarajevo</t>
  </si>
  <si>
    <t>Bosnia and Herzegovina</t>
  </si>
  <si>
    <t>8081-24-240</t>
  </si>
  <si>
    <t>8081-24-241</t>
  </si>
  <si>
    <t>8081-24-242</t>
  </si>
  <si>
    <t xml:space="preserve">Verdion </t>
  </si>
  <si>
    <t>8081-24-243</t>
  </si>
  <si>
    <t>8081-24-244</t>
  </si>
  <si>
    <t>8081-24-245</t>
  </si>
  <si>
    <t>8081-24-246</t>
  </si>
  <si>
    <t>Inquinat</t>
  </si>
  <si>
    <t>8081-24-247 02</t>
  </si>
  <si>
    <t>Hydep S.r.l.</t>
  </si>
  <si>
    <t>8081-24-248 1</t>
  </si>
  <si>
    <t>Hydrogenics Europe</t>
  </si>
  <si>
    <t>8081-24-248 2</t>
  </si>
  <si>
    <t>8081-24-248 3</t>
  </si>
  <si>
    <t>8081-24-249</t>
  </si>
  <si>
    <t>Rockfin</t>
  </si>
  <si>
    <t>8081-24-250</t>
  </si>
  <si>
    <t>8081-24-251</t>
  </si>
  <si>
    <t>8081-24-252</t>
  </si>
  <si>
    <t>8081-24-253</t>
  </si>
  <si>
    <t>Weizmann</t>
  </si>
  <si>
    <t>8081-24-254</t>
  </si>
  <si>
    <t>8081-24-255</t>
  </si>
  <si>
    <t>8081-24-256</t>
  </si>
  <si>
    <t>H2Next</t>
  </si>
  <si>
    <t>8081-24-257</t>
  </si>
  <si>
    <t xml:space="preserve">De Nora </t>
  </si>
  <si>
    <t>8081-24-258</t>
  </si>
  <si>
    <t>Technotrade</t>
  </si>
  <si>
    <t>8081-24-259</t>
  </si>
  <si>
    <t>Terraform Industries</t>
  </si>
  <si>
    <t>5657-24-260</t>
  </si>
  <si>
    <t>5657-24-261</t>
  </si>
  <si>
    <t>National Chemical Laboratory</t>
  </si>
  <si>
    <t>5657-24-262</t>
  </si>
  <si>
    <t>ZR2 Group</t>
  </si>
  <si>
    <t>5657-24-263</t>
  </si>
  <si>
    <t xml:space="preserve">Adani New Industries Limited </t>
  </si>
  <si>
    <t>8081-24-264</t>
  </si>
  <si>
    <t>University of St. Andrews</t>
  </si>
  <si>
    <t>8081-24-265</t>
  </si>
  <si>
    <t>Fuse Energy</t>
  </si>
  <si>
    <t>8081-24-266</t>
  </si>
  <si>
    <t>Anhui Fueiceel Technology Co Ltd.</t>
  </si>
  <si>
    <t>8081-24-267</t>
  </si>
  <si>
    <t>8081-24-268</t>
  </si>
  <si>
    <t>Materials Mates Italia srl.</t>
  </si>
  <si>
    <t>5657-24-269</t>
  </si>
  <si>
    <t>Grote klant met een potentieel groot order dat er aankomt, aan zelfde prijs als vorig order aangeboden.</t>
  </si>
  <si>
    <t>5657-24-270</t>
  </si>
  <si>
    <t>5657-24-271</t>
  </si>
  <si>
    <t>@Tomas Polanco gestuurd</t>
  </si>
  <si>
    <t>5657-24-272</t>
  </si>
  <si>
    <t>5657-24-273</t>
  </si>
  <si>
    <t>5657-23-225 2</t>
  </si>
  <si>
    <t>8081-24-274</t>
  </si>
  <si>
    <t>University of Connecticut</t>
  </si>
  <si>
    <t>8081-24-275</t>
  </si>
  <si>
    <t>8081-24-276</t>
  </si>
  <si>
    <t>Masmec</t>
  </si>
  <si>
    <t>5657-24-277</t>
  </si>
  <si>
    <t>8081-24-278</t>
  </si>
  <si>
    <t>Universität Bayreuth</t>
  </si>
  <si>
    <t>5657-24-279</t>
  </si>
  <si>
    <t>KLEO Automation Gmbh</t>
  </si>
  <si>
    <t>8081-24-279</t>
  </si>
  <si>
    <t>5657-24-280</t>
  </si>
  <si>
    <t>5657-24-281</t>
  </si>
  <si>
    <t>Vrachtkost toegevoegd</t>
  </si>
  <si>
    <t>V03:</t>
  </si>
  <si>
    <t>5657-24-281 2</t>
  </si>
  <si>
    <t>prijs Ø380 bleef behouden - afspraak Nick (41€ verschil)</t>
  </si>
  <si>
    <t>5657-24-282</t>
  </si>
  <si>
    <t>5657-24-283</t>
  </si>
  <si>
    <t>5657-24-284</t>
  </si>
  <si>
    <t>5657-24-285</t>
  </si>
  <si>
    <t>5657-24-286</t>
  </si>
  <si>
    <t>Liberty International</t>
  </si>
  <si>
    <t>5657-24-287</t>
  </si>
  <si>
    <t>New Float Glass Trade GG LLC</t>
  </si>
  <si>
    <t>Uzbekistan</t>
  </si>
  <si>
    <t>5657-24-288</t>
  </si>
  <si>
    <t>8081-24-289</t>
  </si>
  <si>
    <t>De Nora India Ltd</t>
  </si>
  <si>
    <t>8081-24-290</t>
  </si>
  <si>
    <t>State University of Campinas</t>
  </si>
  <si>
    <t>8081-24-291</t>
  </si>
  <si>
    <t>KOMAG Institute of Mining Technology</t>
  </si>
  <si>
    <t>8081-24-292</t>
  </si>
  <si>
    <t>5657-24-293</t>
  </si>
  <si>
    <t>8081-24-294</t>
  </si>
  <si>
    <t>Aquahara Technology GmbH</t>
  </si>
  <si>
    <t>8081-24-295</t>
  </si>
  <si>
    <t xml:space="preserve">Sagla Metal </t>
  </si>
  <si>
    <t>8081-24-296</t>
  </si>
  <si>
    <t>8081-24-297</t>
  </si>
  <si>
    <t>ZEF B.V.</t>
  </si>
  <si>
    <t>8081-24-298</t>
  </si>
  <si>
    <t>Tecnicas Reunidas Internacional, S.A.U</t>
  </si>
  <si>
    <t>8081-24-299</t>
  </si>
  <si>
    <t>Gdansk university of Techology</t>
  </si>
  <si>
    <t>5657-24-300</t>
  </si>
  <si>
    <t>5657-24-301</t>
  </si>
  <si>
    <t>Offerte voor minder dan 20m² was ok voor Nick</t>
  </si>
  <si>
    <t>8081-24-302</t>
  </si>
  <si>
    <t>5657-24-303</t>
  </si>
  <si>
    <t>Livolt  - Standard Carbon Ltd</t>
  </si>
  <si>
    <t>5657-24-304</t>
  </si>
  <si>
    <t>Tecnoveritas</t>
  </si>
  <si>
    <t>5657-24-305</t>
  </si>
  <si>
    <t>8081-24-306</t>
  </si>
  <si>
    <t>Enpro Industries Pvt Ltd</t>
  </si>
  <si>
    <t>5657-24-307</t>
  </si>
  <si>
    <t>5657-24-308</t>
  </si>
  <si>
    <t>International Advanced Research Centre for Powder Metallurgy and New Materials (ARCI)</t>
  </si>
  <si>
    <t>5657-24-309</t>
  </si>
  <si>
    <t>8081-24-310</t>
  </si>
  <si>
    <t>8081-24-311</t>
  </si>
  <si>
    <t>8081-24-312</t>
  </si>
  <si>
    <t>8081-24-313</t>
  </si>
  <si>
    <t>Institute for Frontier Materials</t>
  </si>
  <si>
    <t>8081-24-314</t>
  </si>
  <si>
    <t>Hanslabtech (Agfa Korea)</t>
  </si>
  <si>
    <t>8081-24-315</t>
  </si>
  <si>
    <t>Digital Sensing</t>
  </si>
  <si>
    <t>8081-24-316</t>
  </si>
  <si>
    <t>8081-24-317</t>
  </si>
  <si>
    <t>8081-24-318</t>
  </si>
  <si>
    <t>Bharat Heavy Electricals Ltd</t>
  </si>
  <si>
    <t>5657-24-319</t>
  </si>
  <si>
    <t>Manufacturing Systems Ltd</t>
  </si>
  <si>
    <t>5657-24-320</t>
  </si>
  <si>
    <t>5657-24-321</t>
  </si>
  <si>
    <t>5657-24-322</t>
  </si>
  <si>
    <t>8081-24-323</t>
  </si>
  <si>
    <t>Italfimet</t>
  </si>
  <si>
    <t>5657-24-324</t>
  </si>
  <si>
    <t>8081-24-325</t>
  </si>
  <si>
    <t>8081-24-326</t>
  </si>
  <si>
    <t>Lapistar (Agfa Korea)</t>
  </si>
  <si>
    <t>8081-24-327</t>
  </si>
  <si>
    <t>8081-24-328</t>
  </si>
  <si>
    <t>8081-24-329</t>
  </si>
  <si>
    <t>5657-24-330</t>
  </si>
  <si>
    <t>8081-24-331</t>
  </si>
  <si>
    <t>8081-24-332</t>
  </si>
  <si>
    <t>Flygaft</t>
  </si>
  <si>
    <t>8081-24-333</t>
  </si>
  <si>
    <t>8081-24-334</t>
  </si>
  <si>
    <t>8081-24-335</t>
  </si>
  <si>
    <t>5657-24-336</t>
  </si>
  <si>
    <t>Tecnicas Reunidas Internacional</t>
  </si>
  <si>
    <t>5657-24-337</t>
  </si>
  <si>
    <t>5657-24-338</t>
  </si>
  <si>
    <t>included</t>
  </si>
  <si>
    <t>5657-24-339</t>
  </si>
  <si>
    <t>8081-24-340</t>
  </si>
  <si>
    <t xml:space="preserve">Flygaft </t>
  </si>
  <si>
    <t>8081-24-341</t>
  </si>
  <si>
    <t>5657-24-342</t>
  </si>
  <si>
    <t>8081-24-343</t>
  </si>
  <si>
    <t>Ecombustible Energy LLC</t>
  </si>
  <si>
    <t>8081-24-344 2</t>
  </si>
  <si>
    <t>Nordex</t>
  </si>
  <si>
    <t>8081-24-345</t>
  </si>
  <si>
    <t>Newes</t>
  </si>
  <si>
    <t>8081-24-346</t>
  </si>
  <si>
    <t>C.H. Tech (Agfa Korea)</t>
  </si>
  <si>
    <t>8081-24-347</t>
  </si>
  <si>
    <t>8081-24-348</t>
  </si>
  <si>
    <t>8081-24-349</t>
  </si>
  <si>
    <t>Envision Energy (Jiangsu) Co. Ltd</t>
  </si>
  <si>
    <t>8081-24-350</t>
  </si>
  <si>
    <t>5657-24-351</t>
  </si>
  <si>
    <t>5657-24-352</t>
  </si>
  <si>
    <t>8081-24-353</t>
  </si>
  <si>
    <t>Deutsches Zentrum für Luft und Raumfahrt e.V.</t>
  </si>
  <si>
    <t>2/12: klant geïnformeerd dat betaling 30 dagen na factuurdatum ok is.</t>
  </si>
  <si>
    <t>5657-24-354</t>
  </si>
  <si>
    <t>Kirloskar Oil Engine Ltd</t>
  </si>
  <si>
    <t>8081-24-355</t>
  </si>
  <si>
    <t>Reliance Industries Ltd</t>
  </si>
  <si>
    <t>8081-24-356</t>
  </si>
  <si>
    <t>8081-24-357</t>
  </si>
  <si>
    <t>Jiangsu Qiucheng</t>
  </si>
  <si>
    <t>8081-24-358</t>
  </si>
  <si>
    <t>De Nora Italy Hydrogen Technologies</t>
  </si>
  <si>
    <t>8081-24-359</t>
  </si>
  <si>
    <t>Elsac Engineering</t>
  </si>
  <si>
    <t>8081-24-360</t>
  </si>
  <si>
    <t>8081-24-361</t>
  </si>
  <si>
    <t>8081-24-362</t>
  </si>
  <si>
    <t>Envision (Agfa China)</t>
  </si>
  <si>
    <t>8081-24-363</t>
  </si>
  <si>
    <r>
      <rPr>
        <sz val="11"/>
        <color rgb="FF000000"/>
        <rFont val="Calibri"/>
        <family val="2"/>
        <scheme val="minor"/>
      </rPr>
      <t xml:space="preserve">8081-24-362 </t>
    </r>
    <r>
      <rPr>
        <sz val="11"/>
        <color rgb="FFFF0000"/>
        <rFont val="Calibri"/>
        <family val="2"/>
        <scheme val="minor"/>
      </rPr>
      <t>2</t>
    </r>
  </si>
  <si>
    <t>Aerotech</t>
  </si>
  <si>
    <r>
      <rPr>
        <sz val="11"/>
        <color rgb="FF000000"/>
        <rFont val="Calibri"/>
        <family val="2"/>
        <scheme val="minor"/>
      </rPr>
      <t xml:space="preserve">8081-24-363 </t>
    </r>
    <r>
      <rPr>
        <sz val="11"/>
        <color rgb="FFFF0000"/>
        <rFont val="Calibri"/>
        <family val="2"/>
        <scheme val="minor"/>
      </rPr>
      <t>2</t>
    </r>
  </si>
  <si>
    <t>8081-24-364</t>
  </si>
  <si>
    <t>The Yellow-SiC Development GmbH</t>
  </si>
  <si>
    <t>8081-24-365</t>
  </si>
  <si>
    <t>Erthos</t>
  </si>
  <si>
    <t>8081-24-366</t>
  </si>
  <si>
    <t>CSIRO</t>
  </si>
  <si>
    <t>8081-24-367</t>
  </si>
  <si>
    <t>8081-24-368</t>
  </si>
  <si>
    <t>National University of Lesotho</t>
  </si>
  <si>
    <t>Lesotho</t>
  </si>
  <si>
    <t>5657-24-369</t>
  </si>
  <si>
    <t>Aantal aangepast naar 9 pak of wel 45 m²</t>
  </si>
  <si>
    <t>8081-24-370</t>
  </si>
  <si>
    <t>8081-24-371</t>
  </si>
  <si>
    <t>5657-24-372</t>
  </si>
  <si>
    <t>8081-24-373</t>
  </si>
  <si>
    <t>5657-24-374</t>
  </si>
  <si>
    <t>8081-24-375</t>
  </si>
  <si>
    <t>Hysata</t>
  </si>
  <si>
    <t>8081-24-376</t>
  </si>
  <si>
    <t>Nitto</t>
  </si>
  <si>
    <t>5657-24-377</t>
  </si>
  <si>
    <t>Tangion S.A.S.</t>
  </si>
  <si>
    <t>Uruguay</t>
  </si>
  <si>
    <t>5657-24-378</t>
  </si>
  <si>
    <t xml:space="preserve">King Abdulaziz city for Science and Technology </t>
  </si>
  <si>
    <t>8081-24-379</t>
  </si>
  <si>
    <t>Nuctech (Agfa China)</t>
  </si>
  <si>
    <t>8081-24-380</t>
  </si>
  <si>
    <t>Ener-Blue SA</t>
  </si>
  <si>
    <t>8081-24-381</t>
  </si>
  <si>
    <t>8081-24-382</t>
  </si>
  <si>
    <t>5657-24-383</t>
  </si>
  <si>
    <t>8081-24-384</t>
  </si>
  <si>
    <t>OU Stargate</t>
  </si>
  <si>
    <t>8081-24-385</t>
  </si>
  <si>
    <t>5657-24-386</t>
  </si>
  <si>
    <t>Aantallen aangepast naar 5 m² elk</t>
  </si>
  <si>
    <t>TP220</t>
  </si>
  <si>
    <t>8081-24-387</t>
  </si>
  <si>
    <t>WESS22 Products</t>
  </si>
  <si>
    <t>5657-24-388</t>
  </si>
  <si>
    <t>Jiangsu Quicheng</t>
  </si>
  <si>
    <t>Is een bijkomende bestelling op hun order van augustus '24</t>
  </si>
  <si>
    <t>8081-24-389</t>
  </si>
  <si>
    <t>Simcasting Gmbh</t>
  </si>
  <si>
    <t>8081-24-390</t>
  </si>
  <si>
    <t>5657-24-391</t>
  </si>
  <si>
    <t>8081-24-392</t>
  </si>
  <si>
    <t>8081-24-393</t>
  </si>
  <si>
    <t>Dioxcycle</t>
  </si>
  <si>
    <t>8081-24-394</t>
  </si>
  <si>
    <t>5657-24-395</t>
  </si>
  <si>
    <t>WENZHOU COCH ENERGY CO.,LTD</t>
  </si>
  <si>
    <t>5657-24-396</t>
  </si>
  <si>
    <t>HyCentA Research GmbH</t>
  </si>
  <si>
    <t>8081-24-397</t>
  </si>
  <si>
    <t>5657-24-398</t>
  </si>
  <si>
    <t>INSTYTUT TECHNIKI GÓRNICZEJ KOMAG</t>
  </si>
  <si>
    <t>5657-24-399</t>
  </si>
  <si>
    <t>5657-24-400</t>
  </si>
  <si>
    <t>Alantum Europe GmbH</t>
  </si>
  <si>
    <t>5657-24-401</t>
  </si>
  <si>
    <t>De Nora Italy</t>
  </si>
  <si>
    <t>5657-24-402</t>
  </si>
  <si>
    <t>5657-24-403</t>
  </si>
  <si>
    <t>5657-24-404</t>
  </si>
  <si>
    <t>Celectis</t>
  </si>
  <si>
    <t>5657-24-405</t>
  </si>
  <si>
    <t>5657-24-406</t>
  </si>
  <si>
    <t>5657-24-407</t>
  </si>
  <si>
    <t>5657-24-408</t>
  </si>
  <si>
    <t>Hydrogenera</t>
  </si>
  <si>
    <t>5657-24-409</t>
  </si>
  <si>
    <t>Form Energy</t>
  </si>
  <si>
    <t>5657-24-410</t>
  </si>
  <si>
    <t>SUDU Specialized Industrial Machinery &amp; Equipment Manufacturing</t>
  </si>
  <si>
    <t>8081-24-411</t>
  </si>
  <si>
    <t>United Arab Emirates</t>
  </si>
  <si>
    <t>8081-25-001</t>
  </si>
  <si>
    <t>Sustainable Envoronenergy Research Lab (SERL)</t>
  </si>
  <si>
    <t>Klanten waar we niet meer aan aanbieden:</t>
  </si>
  <si>
    <t>Suzhou Sinero Technology Co., Ltd of ALFA International Supply Chain Man. (hun importeur)</t>
  </si>
  <si>
    <t>Argentijnse requests voor Y-Tec-YPF</t>
  </si>
  <si>
    <t>Equinat</t>
  </si>
  <si>
    <t>8081-25-002</t>
  </si>
  <si>
    <t>Shakti Photon Solutions Private Limited</t>
  </si>
  <si>
    <t>8081-25-003</t>
  </si>
  <si>
    <t>Loughborough University</t>
  </si>
  <si>
    <t>8081-25-005</t>
  </si>
  <si>
    <t>8081-25-006</t>
  </si>
  <si>
    <t>Hydrogen Ecosystem</t>
  </si>
  <si>
    <t>8081-24-411 2</t>
  </si>
  <si>
    <t>8081-25-004</t>
  </si>
  <si>
    <t>8081-25-007</t>
  </si>
  <si>
    <t>Hanyang Science (Agfa Korea)</t>
  </si>
  <si>
    <t>5657-25-008</t>
  </si>
  <si>
    <t>Beijing Gesiyonson Technologies Development Co,.Ltd.</t>
  </si>
  <si>
    <t>Zij importeren voor Nuc Tech</t>
  </si>
  <si>
    <t>5657-25-009</t>
  </si>
  <si>
    <t>5657-25-010</t>
  </si>
  <si>
    <t>8081-25-011</t>
  </si>
  <si>
    <t>8081-25-012</t>
  </si>
  <si>
    <t>TNO Petten</t>
  </si>
  <si>
    <t>8081-25-013</t>
  </si>
  <si>
    <t>8081-25-014</t>
  </si>
  <si>
    <t>8081-25-015</t>
  </si>
  <si>
    <t>8081-25-016</t>
  </si>
  <si>
    <t>5657-25-017</t>
  </si>
  <si>
    <t>8081-25-012 A</t>
  </si>
  <si>
    <t>5657-25-018</t>
  </si>
  <si>
    <t>HGen</t>
  </si>
  <si>
    <t>5657-25-019</t>
  </si>
  <si>
    <t>8081-25-020</t>
  </si>
  <si>
    <t>Gaft</t>
  </si>
  <si>
    <t>iChemAnalytics</t>
  </si>
  <si>
    <t>5657-25-021</t>
  </si>
  <si>
    <t>8081-25-022</t>
  </si>
  <si>
    <t>DTU Energy</t>
  </si>
  <si>
    <t>8081-25-023</t>
  </si>
  <si>
    <t>Universidad de Malaga</t>
  </si>
  <si>
    <t>8081-25-024</t>
  </si>
  <si>
    <t>8081-25-025</t>
  </si>
  <si>
    <t>University of Surrey</t>
  </si>
  <si>
    <t>8081-25-026</t>
  </si>
  <si>
    <t>8081-25-027</t>
  </si>
  <si>
    <t>J. Cockerill</t>
  </si>
  <si>
    <t>5657-25-028</t>
  </si>
  <si>
    <t>5657-25-029</t>
  </si>
  <si>
    <t>5657-25-030</t>
  </si>
  <si>
    <t>5657-25-031</t>
  </si>
  <si>
    <t>Institute of Low Temperature and Structure Research</t>
  </si>
  <si>
    <t>5657-25-032</t>
  </si>
  <si>
    <t>International Iberian Nanotechnology Laboratory</t>
  </si>
  <si>
    <t>ShinMyoung Science (Agfa Korea)</t>
  </si>
  <si>
    <t>5657-25-033</t>
  </si>
  <si>
    <t>5657-25-034</t>
  </si>
  <si>
    <t>5657-25-035</t>
  </si>
  <si>
    <t>5657-25-036</t>
  </si>
  <si>
    <t>5657-25-037</t>
  </si>
  <si>
    <t>5657-25-038</t>
  </si>
  <si>
    <t>Gradiant International Holdings Pte Ltd</t>
  </si>
  <si>
    <t>5657-25-039</t>
  </si>
  <si>
    <t>5657-25-040</t>
  </si>
  <si>
    <t>8081-25-041</t>
  </si>
  <si>
    <t>Capgemini</t>
  </si>
  <si>
    <t>KEFO</t>
  </si>
  <si>
    <t>Tecno Veritas</t>
  </si>
  <si>
    <t>8081-25-042</t>
  </si>
  <si>
    <t>8081-25-043</t>
  </si>
  <si>
    <t>8081-25-044</t>
  </si>
  <si>
    <t>8081-25-045</t>
  </si>
  <si>
    <t>8081-25-046</t>
  </si>
  <si>
    <t>8081-25-047</t>
  </si>
  <si>
    <t>25,-€/m</t>
  </si>
  <si>
    <t>8081-25-048</t>
  </si>
  <si>
    <t>Institute of Technology, Bombay</t>
  </si>
  <si>
    <t>8081-25-049</t>
  </si>
  <si>
    <t>HDOS Innova</t>
  </si>
  <si>
    <t>8081-25-050</t>
  </si>
  <si>
    <t>College de France</t>
  </si>
  <si>
    <t>8081-25-051</t>
  </si>
  <si>
    <t>8081-25-052</t>
  </si>
  <si>
    <t>8081-25-053</t>
  </si>
  <si>
    <t>8081-25-054</t>
  </si>
  <si>
    <t>8081-25-055</t>
  </si>
  <si>
    <t>8081-25-056</t>
  </si>
  <si>
    <t>Surrey</t>
  </si>
  <si>
    <t>8081-25-057</t>
  </si>
  <si>
    <t>8081-25-058</t>
  </si>
  <si>
    <t>8081-25-059</t>
  </si>
  <si>
    <t>5657-25-060</t>
  </si>
  <si>
    <t>5657-25-061</t>
  </si>
  <si>
    <t>Hugen (Agfa Korea)</t>
  </si>
  <si>
    <t>8081-25-062</t>
  </si>
  <si>
    <t>PT KGC SAINTIFIK</t>
  </si>
  <si>
    <t>8081-25-063</t>
  </si>
  <si>
    <t>RWTH Aachen</t>
  </si>
  <si>
    <t>8081-25-064</t>
  </si>
  <si>
    <t xml:space="preserve">Hgen </t>
  </si>
  <si>
    <t>5657-25-065</t>
  </si>
  <si>
    <t>Permascand</t>
  </si>
  <si>
    <t>5657-25-066</t>
  </si>
  <si>
    <t>8081-25-067</t>
  </si>
  <si>
    <t>8081-25-068</t>
  </si>
  <si>
    <t>ECC Energie-und Antriebstechnik</t>
  </si>
  <si>
    <t>8081-25-069</t>
  </si>
  <si>
    <t>8081-25-070</t>
  </si>
  <si>
    <t>8081-25-071</t>
  </si>
  <si>
    <t>8081-25-072</t>
  </si>
  <si>
    <t>Technische Hochschule Würzburg-Schweinfurt (THWS)</t>
  </si>
  <si>
    <t>8081-25-073</t>
  </si>
  <si>
    <t>8081-25-074</t>
  </si>
  <si>
    <t>8081-25-075</t>
  </si>
  <si>
    <t>8081-25-076</t>
  </si>
  <si>
    <t>8081-25-077</t>
  </si>
  <si>
    <t>8081-25-078</t>
  </si>
  <si>
    <t>8081-25-079</t>
  </si>
  <si>
    <t>Nexthydrogen</t>
  </si>
  <si>
    <t>Anabond Ltd</t>
  </si>
  <si>
    <t>8081-25-080 02</t>
  </si>
  <si>
    <t xml:space="preserve">8081-25-080 </t>
  </si>
  <si>
    <t>8081-25-081</t>
  </si>
  <si>
    <t>Omnitek</t>
  </si>
  <si>
    <t>8081-25-082</t>
  </si>
  <si>
    <t>8081-25-083</t>
  </si>
  <si>
    <t xml:space="preserve">Texas A&amp;M University </t>
  </si>
  <si>
    <t>Qatar</t>
  </si>
  <si>
    <t>Pontraga Suministros de Laboratorio</t>
  </si>
  <si>
    <t>5657-25-084</t>
  </si>
  <si>
    <t>Polestar Teknoloji Sanayi ve Ticaret LTD. ŞTİ</t>
  </si>
  <si>
    <t>5657-25-085</t>
  </si>
  <si>
    <t>5657-25-086</t>
  </si>
  <si>
    <t>CV Lautan Mas Perkasa</t>
  </si>
  <si>
    <t>8081-25-087</t>
  </si>
  <si>
    <t>Adéle Hydrogen</t>
  </si>
  <si>
    <t>8081-25-088</t>
  </si>
  <si>
    <t>8081-25-089</t>
  </si>
  <si>
    <t>8081-25-090</t>
  </si>
  <si>
    <t>8081-25-055 2</t>
  </si>
  <si>
    <t>5657-25-091</t>
  </si>
  <si>
    <t>VVR (Hangzhou) Engineering &amp; Technology</t>
  </si>
  <si>
    <t>8081-25-092</t>
  </si>
  <si>
    <t>5657-25-093</t>
  </si>
  <si>
    <t>BTL HealthCare Technologies a.s.</t>
  </si>
  <si>
    <t>5657-25-094</t>
  </si>
  <si>
    <t>Lukasiewicz Research Network</t>
  </si>
  <si>
    <t>5657-25-095</t>
  </si>
  <si>
    <t>5657-25-096</t>
  </si>
  <si>
    <t>8081-25-097</t>
  </si>
  <si>
    <t xml:space="preserve">Hydrom </t>
  </si>
  <si>
    <t>Oman</t>
  </si>
  <si>
    <t>8081-25-098</t>
  </si>
  <si>
    <t>5657-25-099</t>
  </si>
  <si>
    <t>8081-25-100</t>
  </si>
  <si>
    <t>Hydrogen Pro</t>
  </si>
  <si>
    <t>8081-25-101</t>
  </si>
  <si>
    <t>8081-25-102</t>
  </si>
  <si>
    <t>8081-25-103</t>
  </si>
  <si>
    <t>8081-25-104</t>
  </si>
  <si>
    <t>8081-25-105</t>
  </si>
  <si>
    <t>Pratishna Greentech Private Ltd.</t>
  </si>
  <si>
    <t>5657-25-106</t>
  </si>
  <si>
    <t>8081-25-107</t>
  </si>
  <si>
    <t>8081-25-108</t>
  </si>
  <si>
    <t>8081-25-109</t>
  </si>
  <si>
    <t>Eastern Electrolyser Limited</t>
  </si>
  <si>
    <t>8081-25-110</t>
  </si>
  <si>
    <t>8081-25-111</t>
  </si>
  <si>
    <t>8081-25-112</t>
  </si>
  <si>
    <t>Zearis</t>
  </si>
  <si>
    <t>Georgia</t>
  </si>
  <si>
    <t>8081-25-113</t>
  </si>
  <si>
    <t>Ratnamani</t>
  </si>
  <si>
    <t>8081-25-114</t>
  </si>
  <si>
    <t>Pakistan</t>
  </si>
  <si>
    <t>Nuclear Institute for Agriculture and Biology</t>
  </si>
  <si>
    <t>8081-25-115</t>
  </si>
  <si>
    <t>8081-25-116</t>
  </si>
  <si>
    <t>8081-25-117</t>
  </si>
  <si>
    <t>8081-25-118</t>
  </si>
  <si>
    <t>8081-25-119</t>
  </si>
  <si>
    <t xml:space="preserve">Texas Tech University </t>
  </si>
  <si>
    <t>8081-25-120</t>
  </si>
  <si>
    <t>8081-25-121</t>
  </si>
  <si>
    <t>8081-25-122</t>
  </si>
  <si>
    <t>Texas Tech University</t>
  </si>
  <si>
    <t>Aan Nasim Sobh Farda PJS Co. kunnen we ook niet meer aanbieden, omdat dit een Iraanse firma is. En we kunnen geen geld van Iran meer ontvangen.  Anders hebben we problemen met ING</t>
  </si>
  <si>
    <t>National Renewable Energy Laboratory</t>
  </si>
  <si>
    <t>8081-25-123</t>
  </si>
  <si>
    <t xml:space="preserve">High Energy Batteries </t>
  </si>
  <si>
    <t>5657-25-125</t>
  </si>
  <si>
    <t>Po Quan International Corporation Limited</t>
  </si>
  <si>
    <t>5657-25-126</t>
  </si>
  <si>
    <t>5657-25-127</t>
  </si>
  <si>
    <t>8081-25-128</t>
  </si>
  <si>
    <t xml:space="preserve">Hidronerji </t>
  </si>
  <si>
    <t>8081-25-129</t>
  </si>
  <si>
    <t>8081-25-130</t>
  </si>
  <si>
    <t>8081-25-131</t>
  </si>
  <si>
    <t>8081-25-132</t>
  </si>
  <si>
    <t>8081-25-133</t>
  </si>
  <si>
    <t>Fortescue Hydrogen Systems</t>
  </si>
  <si>
    <t>8081-25-134</t>
  </si>
  <si>
    <t>8081-25-135</t>
  </si>
  <si>
    <t>5657-25-136</t>
  </si>
  <si>
    <t>Lectrolyst</t>
  </si>
  <si>
    <t>5657-25-137</t>
  </si>
  <si>
    <t>5657-25-138</t>
  </si>
  <si>
    <t>5657-25-139</t>
  </si>
  <si>
    <t>KETI (Korea Electronics Technology Institute) (Agfa Korea)</t>
  </si>
  <si>
    <t>5657-25-140</t>
  </si>
  <si>
    <t>5657-25-141</t>
  </si>
  <si>
    <t>Blue Star Chemical Machinery</t>
  </si>
  <si>
    <t>12/5 @Nick gestuurd</t>
  </si>
  <si>
    <t>5657-25-142</t>
  </si>
  <si>
    <t>5657-25-143</t>
  </si>
  <si>
    <t>8081-25-144</t>
  </si>
  <si>
    <t>Institute for Multidisciplinary Research University of Belgrade</t>
  </si>
  <si>
    <t>8081-25-145</t>
  </si>
  <si>
    <t>8081-25-146</t>
  </si>
  <si>
    <t>16/05 nr. Nick</t>
  </si>
  <si>
    <t>5657-25-147</t>
  </si>
  <si>
    <t>8081-25-148</t>
  </si>
  <si>
    <t>8081-25-149</t>
  </si>
  <si>
    <t>8081-25-150</t>
  </si>
  <si>
    <t>8081-25-151</t>
  </si>
  <si>
    <t>20/05 nr. Nick</t>
  </si>
  <si>
    <t>5657-25-152</t>
  </si>
  <si>
    <t>Washington University in St. Louis</t>
  </si>
  <si>
    <t>5657-25-154</t>
  </si>
  <si>
    <t>Beijing Metals &amp; Minerals Corp.</t>
  </si>
  <si>
    <t>5657-25-155</t>
  </si>
  <si>
    <t>5657-25-156</t>
  </si>
  <si>
    <t>5657-25-157</t>
  </si>
  <si>
    <t>5657-25-158</t>
  </si>
  <si>
    <t>Centro Nacional de Pesquisa em Energia e Materiais</t>
  </si>
  <si>
    <t>5657-25-159</t>
  </si>
  <si>
    <t>1ste offerte met eenheidsprijs in stuk</t>
  </si>
  <si>
    <t>5657-25-160</t>
  </si>
  <si>
    <t>Suzhou Qingqiji Technology (Group) Co., Ltd</t>
  </si>
  <si>
    <t>8081-25-153</t>
  </si>
  <si>
    <t>8081-25-161</t>
  </si>
  <si>
    <t>5657-25-162</t>
  </si>
  <si>
    <t>5657-25-163</t>
  </si>
  <si>
    <t>5657-25-164</t>
  </si>
  <si>
    <t>5657-25-165</t>
  </si>
  <si>
    <t>Hyundai (Agfa Korea)</t>
  </si>
  <si>
    <t>8081-25-166</t>
  </si>
  <si>
    <t>Owl Materials (Fueiceel Technology Co Ltd)</t>
  </si>
  <si>
    <t>5657-25-167</t>
  </si>
  <si>
    <t>5657-25-168</t>
  </si>
  <si>
    <t>UCF NanoScience Technology Center</t>
  </si>
  <si>
    <t>5657-25-169</t>
  </si>
  <si>
    <t>EBZ Systec</t>
  </si>
  <si>
    <t>8081-25-170</t>
  </si>
  <si>
    <t>8081-25-171</t>
  </si>
  <si>
    <t>5657-25-172</t>
  </si>
  <si>
    <t>Beijing Metals &amp; Minerals Corp</t>
  </si>
  <si>
    <t>5657-25-173</t>
  </si>
  <si>
    <t>Titan Hydrogen</t>
  </si>
  <si>
    <t>5657-25-174</t>
  </si>
  <si>
    <t>5657-25-175</t>
  </si>
  <si>
    <t>4/06 @William</t>
  </si>
  <si>
    <t>5657-25-176</t>
  </si>
  <si>
    <t>5657-25-177</t>
  </si>
  <si>
    <t>5657-25-178</t>
  </si>
  <si>
    <t>5657-25-179</t>
  </si>
  <si>
    <t>5657-25-180</t>
  </si>
  <si>
    <t>5657-25-181</t>
  </si>
  <si>
    <t>ETH Zürich, HCI E114</t>
  </si>
  <si>
    <t>aantal omgezet naar 25 sheets per pak</t>
  </si>
  <si>
    <t>Antares Electrolysis S.r.l.</t>
  </si>
  <si>
    <t>5657-25-182</t>
  </si>
  <si>
    <t>5657-25-183</t>
  </si>
  <si>
    <t>10m² besteld ipv 5m²</t>
  </si>
  <si>
    <t>5657-25-184</t>
  </si>
  <si>
    <t>Hydronix AS</t>
  </si>
  <si>
    <t>5657-25-185</t>
  </si>
  <si>
    <t>Chosun Univ. (Agfa Korea)</t>
  </si>
  <si>
    <t>5657-25-186</t>
  </si>
  <si>
    <t>5657-25-187</t>
  </si>
  <si>
    <t>15 EUR/m² discount as they have already purchased a considerable amount of m²</t>
  </si>
  <si>
    <t>5657-25-188</t>
  </si>
  <si>
    <t>Sinohydo Hydrogen</t>
  </si>
  <si>
    <t>5657-25-189</t>
  </si>
  <si>
    <t>5657-25-190</t>
  </si>
  <si>
    <t>20/06 @William</t>
  </si>
  <si>
    <t>5657-25-191</t>
  </si>
  <si>
    <t>m² prijs was reeds met FPH included</t>
  </si>
  <si>
    <t>5657-25-192</t>
  </si>
  <si>
    <t>AICIA</t>
  </si>
  <si>
    <t>additioneel order voor Ariema, maar facturatie loopt via AICIA. Hebben vandaar dezelfde m² prijs gekregen voor dit order</t>
  </si>
  <si>
    <t>5657-25-193</t>
  </si>
  <si>
    <t>5657-25-194</t>
  </si>
  <si>
    <t>Benchmark</t>
  </si>
  <si>
    <t>Hochschule Offenburg (University of Applied Sciences Offenburg)</t>
  </si>
  <si>
    <t>5657-25-195</t>
  </si>
  <si>
    <t>Clausthal University of Technology</t>
  </si>
  <si>
    <t>Prijsinfo van Nick, 270 EUR/m² all in</t>
  </si>
  <si>
    <t>5657-25-196</t>
  </si>
  <si>
    <t>5657-25-197</t>
  </si>
  <si>
    <t>Sener Grupo de Ingeniería</t>
  </si>
  <si>
    <t>Hoeveelheden aangepast</t>
  </si>
  <si>
    <t>5657-25-198</t>
  </si>
  <si>
    <t>e-WATTS TECHNOLOGIES SL GROUP</t>
  </si>
  <si>
    <t xml:space="preserve">8081-25-199 </t>
  </si>
  <si>
    <t>8081-25-200</t>
  </si>
  <si>
    <t>Next Hydrogen Corporation</t>
  </si>
  <si>
    <t>5657-25-201</t>
  </si>
  <si>
    <t>wachten feedback klant</t>
  </si>
  <si>
    <t>5657-25-202</t>
  </si>
  <si>
    <t>5657-25-203</t>
  </si>
  <si>
    <t>Fortescue Hydrogen Systems (MI2H)</t>
  </si>
  <si>
    <t>5657-25-204</t>
  </si>
  <si>
    <t>5657-25-205</t>
  </si>
  <si>
    <t>5657-25-206</t>
  </si>
  <si>
    <t>7/7 @George overhandigd</t>
  </si>
  <si>
    <t>8081-25-006 01</t>
  </si>
  <si>
    <t>5657-25-207</t>
  </si>
  <si>
    <t>5657-25-208</t>
  </si>
  <si>
    <t>Dankuk Univ. (Agfa Korea)</t>
  </si>
  <si>
    <t>8081-25-209</t>
  </si>
  <si>
    <t xml:space="preserve">Tecno Veritas </t>
  </si>
  <si>
    <t>5657-25-210</t>
  </si>
  <si>
    <t>5657-25-211</t>
  </si>
  <si>
    <t>Sinotik (voor Suzhou QingQiJi Hydrogen)</t>
  </si>
  <si>
    <t>8081-25-212</t>
  </si>
  <si>
    <t>8081-25-213</t>
  </si>
  <si>
    <t>pricing checken met Nick</t>
  </si>
  <si>
    <t>5657-25-214</t>
  </si>
  <si>
    <t>non-commercial membranes</t>
  </si>
  <si>
    <t>8081-25-215</t>
  </si>
  <si>
    <t>8081-25-216</t>
  </si>
  <si>
    <t>8081-25-217</t>
  </si>
  <si>
    <t>8081-25-218</t>
  </si>
  <si>
    <t xml:space="preserve">BHEL </t>
  </si>
  <si>
    <t>8081-25-219</t>
  </si>
  <si>
    <t>8081-25-220</t>
  </si>
  <si>
    <t>8081-25-221</t>
  </si>
  <si>
    <t>Qingneng</t>
  </si>
  <si>
    <t>8081-25-222</t>
  </si>
  <si>
    <t>Kural Research Technologies LLP</t>
  </si>
  <si>
    <t>8081-25-223</t>
  </si>
  <si>
    <t>University of Delaware</t>
  </si>
  <si>
    <t>8081-25-224</t>
  </si>
  <si>
    <t>8081-25-225</t>
  </si>
  <si>
    <t>8081-25-226</t>
  </si>
  <si>
    <t>Rajesh Power Services Ltd.</t>
  </si>
  <si>
    <t>8081-25-227</t>
  </si>
  <si>
    <t>8081-25-228</t>
  </si>
  <si>
    <t>De nora Italy Hydrogen Technologies</t>
  </si>
  <si>
    <t>8081-25-229</t>
  </si>
  <si>
    <t>8081-25-230</t>
  </si>
  <si>
    <t>8081-25-231</t>
  </si>
  <si>
    <t>Brazilian Center for Research in Energy and Materials (CNPEM)</t>
  </si>
  <si>
    <t>Brazil</t>
  </si>
  <si>
    <t>8081-25-232</t>
  </si>
  <si>
    <t>Nippon India</t>
  </si>
  <si>
    <t>8081-25-233</t>
  </si>
  <si>
    <t>8081-25-234</t>
  </si>
  <si>
    <t>8081-25-235</t>
  </si>
  <si>
    <t xml:space="preserve">Electra Earth </t>
  </si>
  <si>
    <t>UP220</t>
  </si>
  <si>
    <t>8081-25-236</t>
  </si>
  <si>
    <t>Barnhard Taylor</t>
  </si>
  <si>
    <t>8081-25-237</t>
  </si>
  <si>
    <t>8081-25-238</t>
  </si>
  <si>
    <t>8081-25-239</t>
  </si>
  <si>
    <t>8081-25-240</t>
  </si>
  <si>
    <t>8081-25-241</t>
  </si>
  <si>
    <t>8081-25-242</t>
  </si>
  <si>
    <t>Susoenergen (Agfa Korea)</t>
  </si>
  <si>
    <t>8081-25-243</t>
  </si>
  <si>
    <t>8081-25-244</t>
  </si>
  <si>
    <t>Indian Institute of Technology (IIT) Delhi</t>
  </si>
  <si>
    <t>8081-25-245</t>
  </si>
  <si>
    <t>8081-25-246</t>
  </si>
  <si>
    <t>8081-25-247</t>
  </si>
  <si>
    <t>University of California</t>
  </si>
  <si>
    <t>8081-25-248</t>
  </si>
  <si>
    <t>THE</t>
  </si>
  <si>
    <t>8081-25-249</t>
  </si>
  <si>
    <t>8081-25-250</t>
  </si>
  <si>
    <t>Nordex Electrolysers</t>
  </si>
  <si>
    <t>8081-25-251</t>
  </si>
  <si>
    <t>8081-25-252</t>
  </si>
  <si>
    <t>8081-25-253</t>
  </si>
  <si>
    <t xml:space="preserve">H2E Power Systems Private Limited </t>
  </si>
  <si>
    <t>8081-25-254</t>
  </si>
  <si>
    <t>prijsinfo van Nick : 270,-€ m²</t>
  </si>
  <si>
    <t>prijsinfo van Nick : 325,-€ m² + reservatiesysteem</t>
  </si>
  <si>
    <t>8081-25-255</t>
  </si>
  <si>
    <t>UTP 500</t>
  </si>
  <si>
    <t>8081-25-256</t>
  </si>
  <si>
    <t>8081-25-257</t>
  </si>
  <si>
    <t>Forschungscentrum Jülich</t>
  </si>
  <si>
    <t>5657-25-258</t>
  </si>
  <si>
    <t xml:space="preserve">Shenzhen Hycean Tech Co., Ltd. </t>
  </si>
  <si>
    <t>5657-25-259</t>
  </si>
  <si>
    <t>5657-25-260</t>
  </si>
  <si>
    <t>5657-25-261</t>
  </si>
  <si>
    <t>5657-25-262</t>
  </si>
  <si>
    <t>5657-25-263</t>
  </si>
  <si>
    <t>Isymax technology industries sa de cv</t>
  </si>
  <si>
    <t>5657-25-264</t>
  </si>
  <si>
    <t>Peraglobe Technologies Pvt Ltd</t>
  </si>
  <si>
    <t>5657-25-265</t>
  </si>
  <si>
    <t>Electromicrobiology Laboratory</t>
  </si>
  <si>
    <t>5657-25-266</t>
  </si>
  <si>
    <t>5657-25-267</t>
  </si>
  <si>
    <t>5657-25-268</t>
  </si>
  <si>
    <t>5657-25-269</t>
  </si>
  <si>
    <t>5657-25-270</t>
  </si>
  <si>
    <t>Ore Energy B.V.</t>
  </si>
  <si>
    <t>5657-25-271</t>
  </si>
  <si>
    <t>5657-25-272</t>
  </si>
  <si>
    <t>5657-25-273</t>
  </si>
  <si>
    <t>5657-25-274</t>
  </si>
  <si>
    <t>5657-25-275</t>
  </si>
  <si>
    <t>5657-25-276</t>
  </si>
  <si>
    <t>Casale</t>
  </si>
  <si>
    <t>5657-25-277</t>
  </si>
  <si>
    <t>5657-25-278</t>
  </si>
  <si>
    <t>Ju Qing</t>
  </si>
  <si>
    <t>5657-25-279</t>
  </si>
  <si>
    <t>5657-25-280</t>
  </si>
  <si>
    <t>stukprijs ipv m²prijs vermeld</t>
  </si>
  <si>
    <t>5657-25-281</t>
  </si>
  <si>
    <t>Ecoclean GmbH</t>
  </si>
  <si>
    <t>5657-25-282</t>
  </si>
  <si>
    <t>5657-25-283</t>
  </si>
  <si>
    <t>Oblasy CZ</t>
  </si>
  <si>
    <t>5657-25-284</t>
  </si>
  <si>
    <t>12/9: vrachtkost en FPH cost aangepast</t>
  </si>
  <si>
    <t>CECRI</t>
  </si>
  <si>
    <t>5657-25-285</t>
  </si>
  <si>
    <t>8081-25-286</t>
  </si>
  <si>
    <t>8081-25-287</t>
  </si>
  <si>
    <t>5657-25-288</t>
  </si>
  <si>
    <t>LGC (Agfa Korea)</t>
  </si>
  <si>
    <t>5657-25-289</t>
  </si>
  <si>
    <t>8081-25-290</t>
  </si>
  <si>
    <t>Semyung</t>
  </si>
  <si>
    <t>5657-25-291</t>
  </si>
  <si>
    <t>8081-25-292</t>
  </si>
  <si>
    <t>Dentium (Agfa Korea)</t>
  </si>
  <si>
    <t>8081-25-293</t>
  </si>
  <si>
    <t>5657-25-294</t>
  </si>
  <si>
    <t>5657-25-295</t>
  </si>
  <si>
    <t>8081-25-296</t>
  </si>
  <si>
    <t>8081-25-297</t>
  </si>
  <si>
    <t>Hafnia Engineering</t>
  </si>
  <si>
    <t>5657-25-298</t>
  </si>
  <si>
    <t>5657-25-299</t>
  </si>
  <si>
    <t>Argonne National Laboratory</t>
  </si>
  <si>
    <t>5657-25-300</t>
  </si>
  <si>
    <t>5657-25-301</t>
  </si>
  <si>
    <t>Aantal aangepast naar 250 pcs</t>
  </si>
  <si>
    <t>8081-25-302</t>
  </si>
  <si>
    <t>8081-25-303</t>
  </si>
  <si>
    <t>Northwestern University</t>
  </si>
  <si>
    <t>8081-25-304</t>
  </si>
  <si>
    <t>Netherlands</t>
  </si>
  <si>
    <t>formaat werd nog lichtjes aangepast</t>
  </si>
  <si>
    <t>8081-25-305</t>
  </si>
  <si>
    <t>5657-25-306</t>
  </si>
  <si>
    <t>5657-25-307</t>
  </si>
  <si>
    <t>Siemens Energy Global Gmbh &amp; Co KG</t>
  </si>
  <si>
    <t>8081-25-308</t>
  </si>
  <si>
    <t>8081-25-309</t>
  </si>
  <si>
    <t>8081-25-310</t>
  </si>
  <si>
    <t>Mattur</t>
  </si>
  <si>
    <t>5657-25-311</t>
  </si>
  <si>
    <t>8081-25-312</t>
  </si>
  <si>
    <t>5657-25-313</t>
  </si>
  <si>
    <t>5657-25-314</t>
  </si>
  <si>
    <t>5657-25-315</t>
  </si>
  <si>
    <t>King Abdulaziz city for Science and Technology (KACST)</t>
  </si>
  <si>
    <t>5657-25-316</t>
  </si>
  <si>
    <t>8081-25-317</t>
  </si>
  <si>
    <t>Institut Catala d'Investigacio Quimica (ICIQ)</t>
  </si>
  <si>
    <t xml:space="preserve">8081-25-124 </t>
  </si>
  <si>
    <t>8081-25-318</t>
  </si>
  <si>
    <t>5657-25-319</t>
  </si>
  <si>
    <t>5657-25-320</t>
  </si>
  <si>
    <t>5657-25-321</t>
  </si>
  <si>
    <t>Fundacion Cener</t>
  </si>
  <si>
    <t>5657-25-322</t>
  </si>
  <si>
    <t>8081-25-323</t>
  </si>
  <si>
    <t>8081-25-324</t>
  </si>
  <si>
    <t>8081-25-325</t>
  </si>
  <si>
    <t>Helmholtz Berlin</t>
  </si>
  <si>
    <t>5657-25-326</t>
  </si>
  <si>
    <t>Mikro+POLO d.o.o.</t>
  </si>
  <si>
    <t>5657-25-327</t>
  </si>
  <si>
    <t>5657-25-328</t>
  </si>
  <si>
    <t>8081-25-329</t>
  </si>
  <si>
    <t>Lavoid Technologies AB</t>
  </si>
  <si>
    <t>8081-25-330</t>
  </si>
  <si>
    <t>Università degli Studi di Palermo</t>
  </si>
  <si>
    <t>8081-25-331</t>
  </si>
  <si>
    <t>10% korting (Nick)</t>
  </si>
  <si>
    <t>zonder shipment</t>
  </si>
  <si>
    <t>8081-25-332</t>
  </si>
  <si>
    <t>8081-25-333</t>
  </si>
  <si>
    <t>8081-25-334</t>
  </si>
  <si>
    <t>Arvia Technology</t>
  </si>
  <si>
    <t>8081 25 107 02</t>
  </si>
  <si>
    <t>prijs in stuk vermeld ipv in m²</t>
  </si>
  <si>
    <t>8081-25-335</t>
  </si>
  <si>
    <t>DSL</t>
  </si>
  <si>
    <t>GT Innovation (KIER) (Agfa Korea)</t>
  </si>
  <si>
    <t>5657-25-336</t>
  </si>
  <si>
    <t>5657-25-337</t>
  </si>
  <si>
    <t>5657-25-338</t>
  </si>
  <si>
    <t>Alfa Laval Denmark</t>
  </si>
  <si>
    <t xml:space="preserve">Sweden </t>
  </si>
  <si>
    <t>5657-25-339</t>
  </si>
  <si>
    <t>John Cockerill Hydrogen (France)</t>
  </si>
  <si>
    <t>5657-25-340</t>
  </si>
  <si>
    <t>Offerte in USD gemaakt</t>
  </si>
  <si>
    <t>equivalent in USD ingezet</t>
  </si>
  <si>
    <t>5657-25-341</t>
  </si>
  <si>
    <t>5657-25-342</t>
  </si>
  <si>
    <t>Geopura</t>
  </si>
  <si>
    <t>5657-25-343</t>
  </si>
  <si>
    <t>Shanghai Sinotik</t>
  </si>
  <si>
    <t>5657-25-344</t>
  </si>
  <si>
    <t>5657-25-345</t>
  </si>
  <si>
    <t>Robert Bosch GmbH</t>
  </si>
  <si>
    <t>21/11 @ Ruben bezorgd</t>
  </si>
  <si>
    <t>De Nora Japan (Agfa Japan)</t>
  </si>
  <si>
    <t>5657-25-346</t>
  </si>
  <si>
    <t xml:space="preserve">GeoPura </t>
  </si>
  <si>
    <t>Customer</t>
  </si>
  <si>
    <t>Type</t>
  </si>
  <si>
    <t>m² price in EUR</t>
  </si>
  <si>
    <t>5657-25-347</t>
  </si>
  <si>
    <t>5657-25-348</t>
  </si>
  <si>
    <t>8081-25-349</t>
  </si>
  <si>
    <t>8081-25-350</t>
  </si>
  <si>
    <t>8081-25-351</t>
  </si>
  <si>
    <t>AHES (Agfa Korea)</t>
  </si>
  <si>
    <t>5657-25-352</t>
  </si>
  <si>
    <t xml:space="preserve">Shanghai Sinotik </t>
  </si>
  <si>
    <t>8081-25-353</t>
  </si>
  <si>
    <t>Global Bioscience Solutions</t>
  </si>
  <si>
    <t>8081-25-354</t>
  </si>
  <si>
    <t>Matteco</t>
  </si>
  <si>
    <t>8081-25-355</t>
  </si>
  <si>
    <t>8081-25-356</t>
  </si>
  <si>
    <t>Mecrotech</t>
  </si>
  <si>
    <t>8081-25-357</t>
  </si>
  <si>
    <t>8081-25-358</t>
  </si>
  <si>
    <t>8081-25-359</t>
  </si>
  <si>
    <t>Nederland</t>
  </si>
  <si>
    <t>5657-25-360</t>
  </si>
  <si>
    <t>8081-25-361</t>
  </si>
  <si>
    <t>8081-25-362</t>
  </si>
  <si>
    <t>Nth Cycle</t>
  </si>
  <si>
    <t>8081-25-363</t>
  </si>
  <si>
    <t>8081-25-364</t>
  </si>
  <si>
    <t>Huzen (Agfa Korea)</t>
  </si>
  <si>
    <t>8081-25-365</t>
  </si>
  <si>
    <t xml:space="preserve">Inkwazi Energy </t>
  </si>
  <si>
    <t>5657-25-366</t>
  </si>
  <si>
    <t>aantal verdubbeld</t>
  </si>
  <si>
    <t>8081-25-357 2</t>
  </si>
  <si>
    <t>8081-25-357 3</t>
  </si>
  <si>
    <t>8081-25-357 4</t>
  </si>
  <si>
    <t>8081-25-361 2</t>
  </si>
  <si>
    <t>8081-25-357 5</t>
  </si>
  <si>
    <t>8081-25-368</t>
  </si>
  <si>
    <t>8081-25-369</t>
  </si>
  <si>
    <t>Drive Force</t>
  </si>
  <si>
    <t>8081-25-370</t>
  </si>
  <si>
    <t>8081-25-371</t>
  </si>
  <si>
    <t>8081-25-372</t>
  </si>
  <si>
    <t>8081-25-373</t>
  </si>
  <si>
    <t>Kunkook University (Agfa Korea)</t>
  </si>
  <si>
    <t>8081-26-001</t>
  </si>
  <si>
    <t>5657-25-367 2</t>
  </si>
  <si>
    <t>8081-26-002</t>
  </si>
  <si>
    <t>5657-26-003</t>
  </si>
  <si>
    <t>8081-26-004</t>
  </si>
  <si>
    <t>5657-26-005</t>
  </si>
  <si>
    <t>8081-26-006</t>
  </si>
  <si>
    <t>5657-26-007</t>
  </si>
  <si>
    <t>Lawrence Livermore national Lab</t>
  </si>
  <si>
    <t>5657-26-008</t>
  </si>
  <si>
    <t>5657-26-009</t>
  </si>
  <si>
    <t>China National energy group</t>
  </si>
  <si>
    <t>5657-26-010</t>
  </si>
  <si>
    <t>5657-26-011</t>
  </si>
  <si>
    <t>5657-26-012</t>
  </si>
  <si>
    <t>5657-26-013</t>
  </si>
  <si>
    <t>Clean Combustion Ltd</t>
  </si>
  <si>
    <t>8081-26-014</t>
  </si>
  <si>
    <t>5657-26-015</t>
  </si>
  <si>
    <t>5657-26-016</t>
  </si>
  <si>
    <t>5657-26-017</t>
  </si>
  <si>
    <t>5657-26-018</t>
  </si>
  <si>
    <t>SIA Welan</t>
  </si>
  <si>
    <t>Latvia</t>
  </si>
  <si>
    <t>5657-26-019</t>
  </si>
  <si>
    <t>National Institute of chemistry (Kemijski institut)</t>
  </si>
  <si>
    <t>8081-26-020</t>
  </si>
  <si>
    <t>Universiteit Twente</t>
  </si>
  <si>
    <t>5657-26-021</t>
  </si>
  <si>
    <t>5657-26-022</t>
  </si>
  <si>
    <t>5657-26-023</t>
  </si>
  <si>
    <t>5657-26-024</t>
  </si>
  <si>
    <t>5657-26-025</t>
  </si>
  <si>
    <t>5657-26-026</t>
  </si>
  <si>
    <t>5657-26-027</t>
  </si>
  <si>
    <t>5657-26-028</t>
  </si>
  <si>
    <t>5657-26-029</t>
  </si>
  <si>
    <t>wachten op feedback ivm rounded edges vooraleer een offerte te sturen</t>
  </si>
  <si>
    <t>Brise Chemicals Pvt. Ltd.</t>
  </si>
  <si>
    <t>5657-26-030</t>
  </si>
  <si>
    <t>5657-26-031</t>
  </si>
  <si>
    <t>5657-26-032</t>
  </si>
  <si>
    <t>5657-26-033</t>
  </si>
  <si>
    <t xml:space="preserve">John Cockerill </t>
  </si>
  <si>
    <t>Levering voor Q1/Q2 2027</t>
  </si>
  <si>
    <t>Levering voor 2026</t>
  </si>
  <si>
    <t>5657-26-034</t>
  </si>
  <si>
    <t>5657-26-035</t>
  </si>
  <si>
    <t>sent to Rucha on 3/2</t>
  </si>
  <si>
    <t>5657-26-037</t>
  </si>
  <si>
    <t>5657-26-036</t>
  </si>
  <si>
    <t>8081-26-038</t>
  </si>
  <si>
    <t>wachten op feedback Marion</t>
  </si>
  <si>
    <t>5657-26-039</t>
  </si>
  <si>
    <t>5657-26-040</t>
  </si>
  <si>
    <t>8081-26-041</t>
  </si>
  <si>
    <t>8081-26-042</t>
  </si>
  <si>
    <t>5657-26-043</t>
  </si>
  <si>
    <t>Universidade Estadual de Campinas (UNICAMP)</t>
  </si>
  <si>
    <t>5657-26-044</t>
  </si>
  <si>
    <t>5657-26-045</t>
  </si>
  <si>
    <t>8081-26-046</t>
  </si>
  <si>
    <t>8081-26-047</t>
  </si>
  <si>
    <t>8081-26-048</t>
  </si>
  <si>
    <t>8081-26-049</t>
  </si>
  <si>
    <t>Diocycle</t>
  </si>
  <si>
    <t>5657-26-050</t>
  </si>
  <si>
    <t>Leadtime 8 weeks after receipt PO</t>
  </si>
  <si>
    <t>5657-26-051</t>
  </si>
  <si>
    <t>5657-26-053</t>
  </si>
  <si>
    <t>5657-26-054</t>
  </si>
  <si>
    <t>5657-26-055</t>
  </si>
  <si>
    <t>5657-26-056</t>
  </si>
  <si>
    <t>8081-26-052</t>
  </si>
  <si>
    <t>8081-26-057</t>
  </si>
  <si>
    <t>8081-26-058</t>
  </si>
  <si>
    <t xml:space="preserve">Comenius University  Bratislava </t>
  </si>
  <si>
    <t>Slowakije</t>
  </si>
  <si>
    <t>sent to Rucha on 13/2</t>
  </si>
  <si>
    <t>8081-26-059</t>
  </si>
  <si>
    <t>8081-26-060</t>
  </si>
  <si>
    <t>8081-26-061</t>
  </si>
  <si>
    <t>8081-26-062</t>
  </si>
  <si>
    <t>8081-26-063</t>
  </si>
  <si>
    <t>Zero Emmision Fuels</t>
  </si>
  <si>
    <t>8081-26-064</t>
  </si>
  <si>
    <t>8081-26-065</t>
  </si>
  <si>
    <t>8081-26-066</t>
  </si>
  <si>
    <t>8081-26-067</t>
  </si>
  <si>
    <t>Chung-an University</t>
  </si>
  <si>
    <t>8081-26-068</t>
  </si>
  <si>
    <t>5657-26-069</t>
  </si>
  <si>
    <t>ZT220</t>
  </si>
  <si>
    <t>5657-26-070</t>
  </si>
  <si>
    <t>Thyssen pricing</t>
  </si>
  <si>
    <t>8081-26-071</t>
  </si>
  <si>
    <t>Precisyx LLC</t>
  </si>
  <si>
    <t>Trinidad</t>
  </si>
  <si>
    <t>5657-26-072</t>
  </si>
  <si>
    <t>Entrance - Center of Expertise Energy</t>
  </si>
  <si>
    <t>5657-26-073</t>
  </si>
  <si>
    <t>Shanxi Clear Energy Technology</t>
  </si>
  <si>
    <t>8081-26-074</t>
  </si>
  <si>
    <t>5657-26-075</t>
  </si>
  <si>
    <t>8081-26-076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</si>
</sst>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sz val="11"/>
      <color theme="1"/>
      <name val="Calibri"/>
      <family val="2"/>
    </font>
    <font>
      <sz val="11"/>
      <name val="Calibri"/>
      <family val="2"/>
      <scheme val="minor"/>
    </font>
    <font>
      <b/>
      <sz val="11"/>
      <color rgb="FFFF0000"/>
      <name val="Calibri"/>
      <family val="2"/>
      <scheme val="minor"/>
    </font>
    <font>
      <sz val="11"/>
      <color rgb="FFFF0000"/>
      <name val="Calibri"/>
      <family val="2"/>
      <scheme val="minor"/>
    </font>
    <font>
      <sz val="10"/>
      <color rgb="FF242424"/>
      <name val="Calibri"/>
      <family val="2"/>
      <scheme val="minor"/>
    </font>
    <font>
      <b/>
      <sz val="11"/>
      <color theme="0"/>
      <name val="Calibri"/>
      <family val="2"/>
      <scheme val="minor"/>
    </font>
    <font>
      <b/>
      <sz val="11"/>
      <color theme="5" tint="-0.249977111117893"/>
      <name val="Calibri"/>
      <family val="2"/>
      <scheme val="minor"/>
    </font>
    <font>
      <sz val="11"/>
      <color theme="1"/>
      <name val="Aptos"/>
      <family val="2"/>
      <charset val="1"/>
    </font>
    <font>
      <sz val="11"/>
      <color theme="1"/>
      <name val="Calibri"/>
      <family val="2"/>
      <charset val="1"/>
    </font>
    <font>
      <sz val="11"/>
      <color rgb="FF000000"/>
      <name val="Aptos"/>
      <family val="2"/>
    </font>
    <font>
      <sz val="11"/>
      <color rgb="FF000000"/>
      <name val="Calibri"/>
      <family val="2"/>
      <scheme val="minor"/>
    </font>
    <font>
      <sz val="9"/>
      <color indexed="81"/>
      <name val="Tahoma"/>
      <family val="2"/>
    </font>
    <font>
      <b/>
      <sz val="9"/>
      <color indexed="81"/>
      <name val="Tahoma"/>
      <family val="2"/>
    </font>
    <font>
      <sz val="9"/>
      <color indexed="81"/>
      <name val="Tahoma"/>
      <charset val="1"/>
    </font>
    <font>
      <b/>
      <sz val="9"/>
      <color indexed="81"/>
      <name val="Tahoma"/>
      <charset val="1"/>
    </font>
  </fonts>
  <fills count="8">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39997558519241921"/>
        <bgColor indexed="64"/>
      </patternFill>
    </fill>
    <fill>
      <patternFill patternType="solid">
        <fgColor rgb="FF99CCFF"/>
        <bgColor indexed="64"/>
      </patternFill>
    </fill>
  </fills>
  <borders count="17">
    <border>
      <left/>
      <right/>
      <top/>
      <bottom/>
      <diagonal/>
    </border>
    <border>
      <left/>
      <right/>
      <top/>
      <bottom style="double">
        <color rgb="FFFF0000"/>
      </bottom>
      <diagonal/>
    </border>
    <border>
      <left/>
      <right/>
      <top style="double">
        <color rgb="FFFF0000"/>
      </top>
      <bottom/>
      <diagonal/>
    </border>
    <border>
      <left/>
      <right style="thin">
        <color theme="1"/>
      </right>
      <top style="thin">
        <color theme="1"/>
      </top>
      <bottom/>
      <diagonal/>
    </border>
    <border>
      <left style="double">
        <color rgb="FFFF0000"/>
      </left>
      <right/>
      <top style="double">
        <color rgb="FFFF0000"/>
      </top>
      <bottom/>
      <diagonal/>
    </border>
    <border>
      <left/>
      <right style="double">
        <color rgb="FFFF0000"/>
      </right>
      <top style="double">
        <color rgb="FFFF0000"/>
      </top>
      <bottom/>
      <diagonal/>
    </border>
    <border>
      <left style="double">
        <color rgb="FFFF0000"/>
      </left>
      <right/>
      <top/>
      <bottom/>
      <diagonal/>
    </border>
    <border>
      <left/>
      <right style="double">
        <color rgb="FFFF0000"/>
      </right>
      <top/>
      <bottom/>
      <diagonal/>
    </border>
    <border>
      <left style="double">
        <color rgb="FFFF0000"/>
      </left>
      <right/>
      <top/>
      <bottom style="double">
        <color rgb="FFFF0000"/>
      </bottom>
      <diagonal/>
    </border>
    <border>
      <left/>
      <right style="double">
        <color rgb="FFFF0000"/>
      </right>
      <top/>
      <bottom style="double">
        <color rgb="FFFF0000"/>
      </bottom>
      <diagonal/>
    </border>
    <border>
      <left/>
      <right/>
      <top style="thin">
        <color rgb="FF000000"/>
      </top>
      <bottom/>
      <diagonal/>
    </border>
    <border>
      <left/>
      <right/>
      <top/>
      <bottom style="thin">
        <color rgb="FF000000"/>
      </bottom>
      <diagonal/>
    </border>
    <border>
      <left/>
      <right/>
      <top/>
      <bottom style="thin">
        <color auto="1"/>
      </bottom>
      <diagonal/>
    </border>
    <border>
      <left/>
      <right/>
      <top style="thin">
        <color auto="1"/>
      </top>
      <bottom style="double">
        <color rgb="FFFF0000"/>
      </bottom>
      <diagonal/>
    </border>
    <border>
      <left/>
      <right/>
      <top style="double">
        <color indexed="64"/>
      </top>
      <bottom/>
      <diagonal/>
    </border>
    <border>
      <left/>
      <right/>
      <top style="thin">
        <color indexed="64"/>
      </top>
      <bottom/>
      <diagonal/>
    </border>
    <border>
      <left/>
      <right/>
      <top style="thin">
        <color indexed="64"/>
      </top>
      <bottom style="thin">
        <color auto="1"/>
      </bottom>
      <diagonal/>
    </border>
  </borders>
  <cellStyleXfs count="1">
    <xf numFmtId="0" fontId="0" fillId="0" borderId="0"/>
  </cellStyleXfs>
  <cellXfs count="84">
    <xf numFmtId="0" fontId="0" fillId="0" borderId="0" xfId="0"/>
    <xf numFmtId="4" fontId="0" fillId="0" borderId="0" xfId="0" applyNumberFormat="1"/>
    <xf numFmtId="0" fontId="2" fillId="0" borderId="0" xfId="0" applyFont="1"/>
    <xf numFmtId="16" fontId="0" fillId="0" borderId="0" xfId="0" applyNumberFormat="1"/>
    <xf numFmtId="0" fontId="7" fillId="0" borderId="0" xfId="0" applyFont="1"/>
    <xf numFmtId="49" fontId="0" fillId="0" borderId="0" xfId="0" applyNumberFormat="1"/>
    <xf numFmtId="4" fontId="7" fillId="0" borderId="0" xfId="0" applyNumberFormat="1" applyFont="1"/>
    <xf numFmtId="0" fontId="4" fillId="0" borderId="0" xfId="0" applyFont="1" applyAlignment="1">
      <alignment vertical="center"/>
    </xf>
    <xf numFmtId="0" fontId="0" fillId="0" borderId="0" xfId="0" applyAlignment="1">
      <alignment vertical="center"/>
    </xf>
    <xf numFmtId="0" fontId="5" fillId="0" borderId="0" xfId="0" applyFont="1" applyAlignment="1">
      <alignment vertical="center"/>
    </xf>
    <xf numFmtId="0" fontId="6" fillId="0" borderId="0" xfId="0" applyFont="1" applyAlignment="1">
      <alignment wrapText="1"/>
    </xf>
    <xf numFmtId="0" fontId="7" fillId="0" borderId="0" xfId="0" applyFont="1" applyAlignment="1">
      <alignment vertical="center"/>
    </xf>
    <xf numFmtId="0" fontId="0" fillId="0" borderId="0" xfId="0" applyAlignment="1">
      <alignment wrapText="1"/>
    </xf>
    <xf numFmtId="0" fontId="6" fillId="0" borderId="0" xfId="0" applyFont="1"/>
    <xf numFmtId="0" fontId="5" fillId="0" borderId="0" xfId="0" applyFont="1"/>
    <xf numFmtId="4" fontId="0" fillId="2" borderId="0" xfId="0" applyNumberFormat="1" applyFill="1"/>
    <xf numFmtId="0" fontId="8" fillId="0" borderId="0" xfId="0" applyFont="1"/>
    <xf numFmtId="14" fontId="7" fillId="0" borderId="0" xfId="0" applyNumberFormat="1" applyFont="1"/>
    <xf numFmtId="0" fontId="0" fillId="2" borderId="0" xfId="0" applyFill="1"/>
    <xf numFmtId="16" fontId="0" fillId="2" borderId="0" xfId="0" applyNumberFormat="1" applyFill="1"/>
    <xf numFmtId="14" fontId="0" fillId="2" borderId="0" xfId="0" applyNumberFormat="1" applyFill="1"/>
    <xf numFmtId="2" fontId="0" fillId="0" borderId="0" xfId="0" applyNumberFormat="1"/>
    <xf numFmtId="0" fontId="0" fillId="0" borderId="0" xfId="0" applyAlignment="1">
      <alignment horizontal="right"/>
    </xf>
    <xf numFmtId="0" fontId="0" fillId="0" borderId="1" xfId="0" applyBorder="1"/>
    <xf numFmtId="4" fontId="0" fillId="0" borderId="1" xfId="0" applyNumberFormat="1" applyBorder="1"/>
    <xf numFmtId="14" fontId="0" fillId="0" borderId="1" xfId="0" applyNumberFormat="1" applyBorder="1"/>
    <xf numFmtId="0" fontId="0" fillId="0" borderId="2" xfId="0" applyBorder="1"/>
    <xf numFmtId="4" fontId="0" fillId="0" borderId="2" xfId="0" applyNumberFormat="1" applyBorder="1"/>
    <xf numFmtId="14" fontId="0" fillId="0" borderId="2" xfId="0" applyNumberFormat="1" applyBorder="1"/>
    <xf numFmtId="4" fontId="0" fillId="0" borderId="0" xfId="0" applyNumberFormat="1" applyAlignment="1">
      <alignment horizontal="right"/>
    </xf>
    <xf numFmtId="49" fontId="7" fillId="0" borderId="0" xfId="0" applyNumberFormat="1" applyFont="1"/>
    <xf numFmtId="0" fontId="9" fillId="3" borderId="3" xfId="0" applyFont="1" applyFill="1" applyBorder="1"/>
    <xf numFmtId="0" fontId="0" fillId="0" borderId="0" xfId="0" applyAlignment="1">
      <alignment horizontal="center"/>
    </xf>
    <xf numFmtId="0" fontId="0" fillId="4" borderId="0" xfId="0" applyFill="1"/>
    <xf numFmtId="0" fontId="0" fillId="0" borderId="5" xfId="0" applyBorder="1"/>
    <xf numFmtId="0" fontId="0" fillId="0" borderId="7" xfId="0" applyBorder="1"/>
    <xf numFmtId="0" fontId="6" fillId="0" borderId="4" xfId="0" applyFont="1" applyBorder="1"/>
    <xf numFmtId="0" fontId="6" fillId="0" borderId="6" xfId="0" applyFont="1" applyBorder="1"/>
    <xf numFmtId="0" fontId="10" fillId="0" borderId="0" xfId="0" applyFont="1"/>
    <xf numFmtId="0" fontId="11" fillId="0" borderId="0" xfId="0" applyFont="1"/>
    <xf numFmtId="0" fontId="12" fillId="0" borderId="0" xfId="0" applyFont="1"/>
    <xf numFmtId="0" fontId="13" fillId="0" borderId="0" xfId="0" applyFont="1"/>
    <xf numFmtId="0" fontId="1" fillId="0" borderId="0" xfId="0" applyFont="1"/>
    <xf numFmtId="4" fontId="0" fillId="5" borderId="0" xfId="0" applyNumberFormat="1" applyFill="1"/>
    <xf numFmtId="4" fontId="0" fillId="6" borderId="0" xfId="0" applyNumberFormat="1" applyFill="1"/>
    <xf numFmtId="4" fontId="0" fillId="7" borderId="0" xfId="0" applyNumberFormat="1" applyFill="1"/>
    <xf numFmtId="0" fontId="0" fillId="0" borderId="12" xfId="0" applyBorder="1"/>
    <xf numFmtId="4" fontId="0" fillId="0" borderId="12" xfId="0" applyNumberFormat="1" applyBorder="1"/>
    <xf numFmtId="14" fontId="0" fillId="0" borderId="12" xfId="0" applyNumberFormat="1" applyBorder="1"/>
    <xf numFmtId="4" fontId="0" fillId="0" borderId="13" xfId="0" applyNumberFormat="1" applyBorder="1"/>
    <xf numFmtId="14" fontId="0" fillId="0" borderId="13" xfId="0" applyNumberFormat="1" applyBorder="1"/>
    <xf numFmtId="0" fontId="2" fillId="0" borderId="0" xfId="0" applyFont="1" applyAlignment="1">
      <alignment horizontal="center"/>
    </xf>
    <xf numFmtId="16" fontId="0" fillId="0" borderId="0" xfId="0" applyNumberFormat="1" applyAlignment="1">
      <alignment horizontal="center"/>
    </xf>
    <xf numFmtId="49" fontId="0" fillId="0" borderId="0" xfId="0" applyNumberFormat="1" applyAlignment="1">
      <alignment horizontal="center"/>
    </xf>
    <xf numFmtId="0" fontId="7" fillId="0" borderId="0" xfId="0" applyFont="1" applyAlignment="1">
      <alignment horizontal="center"/>
    </xf>
    <xf numFmtId="16" fontId="7" fillId="0" borderId="0" xfId="0" applyNumberFormat="1" applyFont="1" applyAlignment="1">
      <alignment horizontal="center"/>
    </xf>
    <xf numFmtId="16" fontId="0" fillId="0" borderId="0" xfId="0" quotePrefix="1" applyNumberFormat="1" applyAlignment="1">
      <alignment horizontal="center"/>
    </xf>
    <xf numFmtId="16" fontId="0" fillId="2" borderId="0" xfId="0" applyNumberFormat="1" applyFill="1" applyAlignment="1">
      <alignment horizontal="center"/>
    </xf>
    <xf numFmtId="16" fontId="0" fillId="0" borderId="1" xfId="0" applyNumberFormat="1" applyBorder="1" applyAlignment="1">
      <alignment horizontal="center"/>
    </xf>
    <xf numFmtId="16" fontId="0" fillId="0" borderId="2" xfId="0" applyNumberFormat="1" applyBorder="1" applyAlignment="1">
      <alignment horizontal="center"/>
    </xf>
    <xf numFmtId="16" fontId="5" fillId="0" borderId="0" xfId="0" applyNumberFormat="1" applyFont="1" applyAlignment="1">
      <alignment horizontal="center"/>
    </xf>
    <xf numFmtId="0" fontId="0" fillId="0" borderId="2" xfId="0" applyBorder="1" applyAlignment="1">
      <alignment horizontal="center"/>
    </xf>
    <xf numFmtId="14" fontId="0" fillId="0" borderId="0" xfId="0" applyNumberFormat="1"/>
    <xf numFmtId="0" fontId="14" fillId="0" borderId="0" xfId="0" applyFont="1" applyAlignment="1">
      <alignment vertical="center"/>
    </xf>
    <xf numFmtId="4" fontId="0" fillId="0" borderId="16" xfId="0" applyNumberFormat="1" applyBorder="1"/>
    <xf numFmtId="14" fontId="0" fillId="0" borderId="16" xfId="0" applyNumberFormat="1" applyBorder="1"/>
    <xf numFmtId="0" fontId="0" fillId="0" borderId="15" xfId="0" applyBorder="1"/>
    <xf numFmtId="0" fontId="0" fillId="0" borderId="16" xfId="0" applyBorder="1"/>
    <xf numFmtId="0" fontId="0" fillId="0" borderId="14" xfId="0" applyBorder="1"/>
    <xf numFmtId="16" fontId="0" fillId="0" borderId="16" xfId="0" applyNumberFormat="1" applyBorder="1" applyAlignment="1">
      <alignment horizontal="center"/>
    </xf>
    <xf numFmtId="16" fontId="0" fillId="0" borderId="14" xfId="0" applyNumberFormat="1" applyBorder="1" applyAlignment="1">
      <alignment horizontal="center"/>
    </xf>
    <xf numFmtId="4" fontId="0" fillId="0" borderId="14" xfId="0" applyNumberFormat="1" applyBorder="1"/>
    <xf numFmtId="14" fontId="0" fillId="0" borderId="14" xfId="0" applyNumberFormat="1" applyBorder="1"/>
    <xf numFmtId="4" fontId="0" fillId="2" borderId="10" xfId="0" applyNumberFormat="1" applyFill="1" applyBorder="1"/>
    <xf numFmtId="4" fontId="0" fillId="2" borderId="11" xfId="0" applyNumberFormat="1" applyFill="1" applyBorder="1"/>
    <xf numFmtId="16" fontId="0" fillId="0" borderId="12" xfId="0" applyNumberFormat="1" applyBorder="1" applyAlignment="1">
      <alignment horizontal="center"/>
    </xf>
    <xf numFmtId="0" fontId="0" fillId="0" borderId="13" xfId="0" applyBorder="1"/>
    <xf numFmtId="16" fontId="0" fillId="0" borderId="13" xfId="0" applyNumberFormat="1" applyBorder="1" applyAlignment="1">
      <alignment horizontal="center"/>
    </xf>
    <xf numFmtId="4" fontId="0" fillId="6" borderId="13" xfId="0" applyNumberFormat="1" applyFill="1" applyBorder="1"/>
    <xf numFmtId="4" fontId="5" fillId="0" borderId="0" xfId="0" applyNumberFormat="1" applyFont="1"/>
    <xf numFmtId="4" fontId="0" fillId="0" borderId="0" xfId="0" applyNumberFormat="1" applyAlignment="1">
      <alignment horizontal="center"/>
    </xf>
    <xf numFmtId="0" fontId="6" fillId="0" borderId="8" xfId="0" applyFont="1" applyBorder="1" applyAlignment="1">
      <alignment horizontal="center"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cellXfs>
  <cellStyles count="1">
    <cellStyle name="Normal" xfId="0" builtinId="0"/>
  </cellStyles>
  <dxfs count="77">
    <dxf>
      <font>
        <b/>
        <i val="0"/>
        <strike val="0"/>
        <color theme="0"/>
      </font>
      <fill>
        <patternFill>
          <bgColor rgb="FFFF0000"/>
        </patternFill>
      </fill>
    </dxf>
    <dxf>
      <font>
        <b/>
        <i val="0"/>
      </font>
      <fill>
        <patternFill>
          <bgColor theme="9" tint="0.39994506668294322"/>
        </patternFill>
      </fill>
    </dxf>
    <dxf>
      <font>
        <b/>
        <i val="0"/>
        <color theme="0"/>
      </font>
      <fill>
        <patternFill>
          <bgColor rgb="FFFF0000"/>
        </patternFill>
      </fill>
    </dxf>
    <dxf>
      <font>
        <b/>
        <i val="0"/>
        <color theme="0"/>
      </font>
      <fill>
        <patternFill>
          <bgColor rgb="FFFF0000"/>
        </patternFill>
      </fill>
    </dxf>
    <dxf>
      <font>
        <b/>
        <i val="0"/>
      </font>
      <fill>
        <patternFill>
          <bgColor theme="9" tint="0.39994506668294322"/>
        </patternFill>
      </fill>
    </dxf>
    <dxf>
      <font>
        <b/>
        <i val="0"/>
        <color theme="0"/>
      </font>
      <fill>
        <patternFill>
          <bgColor rgb="FFFF0000"/>
        </patternFill>
      </fill>
    </dxf>
    <dxf>
      <font>
        <b/>
        <i val="0"/>
      </font>
      <fill>
        <patternFill>
          <bgColor theme="9" tint="0.39994506668294322"/>
        </patternFill>
      </fill>
    </dxf>
    <dxf>
      <font>
        <b/>
        <i val="0"/>
      </font>
      <fill>
        <patternFill>
          <bgColor theme="9" tint="0.39994506668294322"/>
        </patternFill>
      </fill>
    </dxf>
    <dxf>
      <font>
        <b/>
        <i val="0"/>
        <color theme="0"/>
      </font>
      <fill>
        <patternFill>
          <bgColor rgb="FFFF0000"/>
        </patternFill>
      </fill>
    </dxf>
    <dxf>
      <font>
        <b/>
        <i val="0"/>
      </font>
      <fill>
        <patternFill>
          <bgColor theme="9" tint="0.39994506668294322"/>
        </patternFill>
      </fill>
    </dxf>
    <dxf>
      <font>
        <b/>
        <i val="0"/>
        <color theme="0"/>
      </font>
      <fill>
        <patternFill>
          <bgColor rgb="FFFF0000"/>
        </patternFill>
      </fill>
    </dxf>
    <dxf>
      <font>
        <b/>
        <i val="0"/>
        <color theme="0"/>
      </font>
      <fill>
        <patternFill>
          <bgColor rgb="FFFF0000"/>
        </patternFill>
      </fill>
    </dxf>
    <dxf>
      <font>
        <b/>
        <i val="0"/>
      </font>
      <fill>
        <patternFill>
          <bgColor theme="9" tint="0.39994506668294322"/>
        </patternFill>
      </fill>
    </dxf>
    <dxf>
      <font>
        <b/>
        <i val="0"/>
        <color theme="0"/>
      </font>
      <fill>
        <patternFill>
          <bgColor rgb="FFFF0000"/>
        </patternFill>
      </fill>
    </dxf>
    <dxf>
      <font>
        <b/>
        <i val="0"/>
      </font>
      <fill>
        <patternFill>
          <bgColor theme="9" tint="0.39994506668294322"/>
        </patternFill>
      </fill>
    </dxf>
    <dxf>
      <font>
        <b/>
        <i val="0"/>
      </font>
      <fill>
        <patternFill>
          <bgColor theme="9" tint="0.39994506668294322"/>
        </patternFill>
      </fill>
    </dxf>
    <dxf>
      <font>
        <b/>
        <i val="0"/>
        <color theme="0"/>
      </font>
      <fill>
        <patternFill>
          <bgColor rgb="FFFF0000"/>
        </patternFill>
      </fill>
    </dxf>
    <dxf>
      <font>
        <b/>
        <i val="0"/>
      </font>
      <fill>
        <patternFill>
          <bgColor theme="9" tint="0.39994506668294322"/>
        </patternFill>
      </fill>
    </dxf>
    <dxf>
      <font>
        <b/>
        <i val="0"/>
        <color theme="0"/>
      </font>
      <fill>
        <patternFill>
          <bgColor rgb="FFFF0000"/>
        </patternFill>
      </fill>
    </dxf>
    <dxf>
      <font>
        <b/>
        <i val="0"/>
      </font>
      <fill>
        <patternFill>
          <bgColor theme="9" tint="0.39994506668294322"/>
        </patternFill>
      </fill>
    </dxf>
    <dxf>
      <font>
        <b/>
        <i val="0"/>
        <color theme="0"/>
      </font>
      <fill>
        <patternFill>
          <bgColor rgb="FFFF0000"/>
        </patternFill>
      </fill>
    </dxf>
    <dxf>
      <font>
        <b/>
        <i val="0"/>
        <color theme="0"/>
      </font>
      <fill>
        <patternFill>
          <bgColor rgb="FFFF0000"/>
        </patternFill>
      </fill>
    </dxf>
    <dxf>
      <font>
        <b/>
        <i val="0"/>
      </font>
      <fill>
        <patternFill>
          <bgColor theme="9" tint="0.39994506668294322"/>
        </patternFill>
      </fill>
    </dxf>
    <dxf>
      <font>
        <b/>
        <i val="0"/>
        <color theme="0"/>
      </font>
      <fill>
        <patternFill>
          <bgColor rgb="FFFF0000"/>
        </patternFill>
      </fill>
    </dxf>
    <dxf>
      <font>
        <b/>
        <i val="0"/>
      </font>
      <fill>
        <patternFill>
          <bgColor theme="9" tint="0.39994506668294322"/>
        </patternFill>
      </fill>
    </dxf>
    <dxf>
      <font>
        <b/>
        <i val="0"/>
        <color theme="0"/>
      </font>
      <fill>
        <patternFill>
          <bgColor rgb="FFFF0000"/>
        </patternFill>
      </fill>
    </dxf>
    <dxf>
      <font>
        <b/>
        <i val="0"/>
      </font>
      <fill>
        <patternFill>
          <bgColor theme="9" tint="0.39994506668294322"/>
        </patternFill>
      </fill>
    </dxf>
    <dxf>
      <font>
        <b/>
        <i val="0"/>
      </font>
      <fill>
        <patternFill>
          <bgColor theme="9" tint="0.39994506668294322"/>
        </patternFill>
      </fill>
    </dxf>
    <dxf>
      <font>
        <b/>
        <i val="0"/>
        <color theme="0"/>
      </font>
      <fill>
        <patternFill>
          <bgColor rgb="FFFF0000"/>
        </patternFill>
      </fill>
    </dxf>
    <dxf>
      <font>
        <b/>
        <i val="0"/>
        <color theme="0"/>
      </font>
      <fill>
        <patternFill>
          <bgColor rgb="FFFF0000"/>
        </patternFill>
      </fill>
    </dxf>
    <dxf>
      <font>
        <b/>
        <i val="0"/>
      </font>
      <fill>
        <patternFill>
          <bgColor theme="9" tint="0.39994506668294322"/>
        </patternFill>
      </fill>
    </dxf>
    <dxf>
      <font>
        <b/>
        <i val="0"/>
        <color theme="0"/>
      </font>
      <fill>
        <patternFill>
          <bgColor rgb="FFFF0000"/>
        </patternFill>
      </fill>
    </dxf>
    <dxf>
      <font>
        <b/>
        <i val="0"/>
      </font>
      <fill>
        <patternFill>
          <bgColor theme="9" tint="0.39994506668294322"/>
        </patternFill>
      </fill>
    </dxf>
    <dxf>
      <font>
        <b/>
        <i val="0"/>
        <color theme="0"/>
      </font>
      <fill>
        <patternFill>
          <bgColor rgb="FFFF0000"/>
        </patternFill>
      </fill>
    </dxf>
    <dxf>
      <font>
        <b/>
        <i val="0"/>
      </font>
      <fill>
        <patternFill>
          <bgColor theme="9" tint="0.39994506668294322"/>
        </patternFill>
      </fill>
    </dxf>
    <dxf>
      <font>
        <b/>
        <i val="0"/>
        <color theme="0"/>
      </font>
      <fill>
        <patternFill>
          <bgColor rgb="FFFF0000"/>
        </patternFill>
      </fill>
    </dxf>
    <dxf>
      <font>
        <b/>
        <i val="0"/>
      </font>
      <fill>
        <patternFill>
          <bgColor theme="9" tint="0.39994506668294322"/>
        </patternFill>
      </fill>
    </dxf>
    <dxf>
      <font>
        <b/>
        <i val="0"/>
      </font>
      <fill>
        <patternFill>
          <bgColor theme="9" tint="0.39994506668294322"/>
        </patternFill>
      </fill>
    </dxf>
    <dxf>
      <font>
        <b/>
        <i val="0"/>
        <color theme="0"/>
      </font>
      <fill>
        <patternFill>
          <bgColor rgb="FFFF0000"/>
        </patternFill>
      </fill>
    </dxf>
    <dxf>
      <font>
        <b/>
        <i val="0"/>
        <color theme="0"/>
      </font>
      <fill>
        <patternFill>
          <bgColor rgb="FFFF0000"/>
        </patternFill>
      </fill>
    </dxf>
    <dxf>
      <font>
        <b/>
        <i val="0"/>
      </font>
      <fill>
        <patternFill>
          <bgColor theme="9" tint="0.39994506668294322"/>
        </patternFill>
      </fill>
    </dxf>
    <dxf>
      <font>
        <b/>
        <i val="0"/>
        <color theme="0"/>
      </font>
      <fill>
        <patternFill>
          <bgColor rgb="FFFF0000"/>
        </patternFill>
      </fill>
    </dxf>
    <dxf>
      <font>
        <b/>
        <i val="0"/>
      </font>
      <fill>
        <patternFill>
          <bgColor theme="9" tint="0.39994506668294322"/>
        </patternFill>
      </fill>
    </dxf>
    <dxf>
      <font>
        <b/>
        <i val="0"/>
      </font>
      <fill>
        <patternFill>
          <bgColor theme="9" tint="0.39994506668294322"/>
        </patternFill>
      </fill>
    </dxf>
    <dxf>
      <font>
        <b/>
        <i val="0"/>
        <color theme="0"/>
      </font>
      <fill>
        <patternFill>
          <bgColor rgb="FFFF0000"/>
        </patternFill>
      </fill>
    </dxf>
    <dxf>
      <fill>
        <patternFill patternType="none">
          <fgColor indexed="64"/>
          <bgColor auto="1"/>
        </patternFill>
      </fill>
    </dxf>
    <dxf>
      <fill>
        <patternFill patternType="none">
          <fgColor indexed="64"/>
          <bgColor indexed="65"/>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164" formatCode="d/mm/yyyy"/>
    </dxf>
    <dxf>
      <numFmt numFmtId="164" formatCode="d/mm/yyyy"/>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fill>
        <patternFill patternType="none">
          <fgColor indexed="64"/>
          <bgColor indexed="65"/>
        </patternFill>
      </fill>
    </dxf>
    <dxf>
      <fill>
        <patternFill patternType="none">
          <fgColor indexed="64"/>
          <bgColor auto="1"/>
        </patternFill>
      </fill>
    </dxf>
    <dxf>
      <numFmt numFmtId="4" formatCode="#,##0.00"/>
    </dxf>
    <dxf>
      <fill>
        <patternFill patternType="none">
          <fgColor indexed="64"/>
          <bgColor indexed="65"/>
        </patternFill>
      </fill>
    </dxf>
    <dxf>
      <fill>
        <patternFill patternType="none">
          <fgColor indexed="64"/>
          <bgColor auto="1"/>
        </patternFill>
      </fill>
    </dxf>
    <dxf>
      <numFmt numFmtId="4" formatCode="#,##0.00"/>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alignment horizontal="center" vertical="bottom" textRotation="0" wrapText="0" indent="0" justifyLastLine="0" shrinkToFit="0" readingOrder="0"/>
    </dxf>
    <dxf>
      <fill>
        <patternFill patternType="none">
          <fgColor indexed="64"/>
          <bgColor auto="1"/>
        </patternFill>
      </fill>
      <alignment horizontal="center" textRotation="0" indent="0" justifyLastLine="0" shrinkToFit="0" readingOrder="0"/>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CC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9</xdr:col>
      <xdr:colOff>28575</xdr:colOff>
      <xdr:row>895</xdr:row>
      <xdr:rowOff>133350</xdr:rowOff>
    </xdr:from>
    <xdr:to>
      <xdr:col>9</xdr:col>
      <xdr:colOff>190500</xdr:colOff>
      <xdr:row>898</xdr:row>
      <xdr:rowOff>0</xdr:rowOff>
    </xdr:to>
    <xdr:sp macro="" textlink="">
      <xdr:nvSpPr>
        <xdr:cNvPr id="2" name="Rechteraccolade 1">
          <a:extLst>
            <a:ext uri="{FF2B5EF4-FFF2-40B4-BE49-F238E27FC236}">
              <a16:creationId xmlns:a16="http://schemas.microsoft.com/office/drawing/2014/main" id="{1CCEF048-4A37-4014-9EFE-8678E96DF15C}"/>
            </a:ext>
          </a:extLst>
        </xdr:cNvPr>
        <xdr:cNvSpPr/>
      </xdr:nvSpPr>
      <xdr:spPr>
        <a:xfrm>
          <a:off x="10829925" y="173126400"/>
          <a:ext cx="161925" cy="43815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marL="0" indent="0" algn="l"/>
          <a:endParaRPr lang="en-US" sz="1100">
            <a:solidFill>
              <a:srgbClr val="FF0000"/>
            </a:solidFill>
            <a:latin typeface="+mn-lt"/>
            <a:ea typeface="+mn-lt"/>
            <a:cs typeface="+mn-lt"/>
          </a:endParaRPr>
        </a:p>
      </xdr:txBody>
    </xdr:sp>
    <xdr:clientData/>
  </xdr:twoCellAnchor>
  <xdr:twoCellAnchor>
    <xdr:from>
      <xdr:col>9</xdr:col>
      <xdr:colOff>21166</xdr:colOff>
      <xdr:row>1007</xdr:row>
      <xdr:rowOff>169333</xdr:rowOff>
    </xdr:from>
    <xdr:to>
      <xdr:col>9</xdr:col>
      <xdr:colOff>183091</xdr:colOff>
      <xdr:row>1010</xdr:row>
      <xdr:rowOff>35983</xdr:rowOff>
    </xdr:to>
    <xdr:sp macro="" textlink="">
      <xdr:nvSpPr>
        <xdr:cNvPr id="3" name="Rechteraccolade 2">
          <a:extLst>
            <a:ext uri="{FF2B5EF4-FFF2-40B4-BE49-F238E27FC236}">
              <a16:creationId xmlns:a16="http://schemas.microsoft.com/office/drawing/2014/main" id="{EB6E5A45-2F3A-4236-AC4A-24666A2E8D19}"/>
            </a:ext>
          </a:extLst>
        </xdr:cNvPr>
        <xdr:cNvSpPr/>
      </xdr:nvSpPr>
      <xdr:spPr>
        <a:xfrm>
          <a:off x="10822516" y="194536483"/>
          <a:ext cx="161925" cy="43815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marL="0" indent="0" algn="l"/>
          <a:endParaRPr lang="en-US" sz="1100">
            <a:solidFill>
              <a:srgbClr val="FF0000"/>
            </a:solidFill>
            <a:latin typeface="+mn-lt"/>
            <a:ea typeface="+mn-lt"/>
            <a:cs typeface="+mn-lt"/>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CB521D2-D5DE-4F26-940A-1AFDDE59FBEB}" name="Table13" displayName="Table13" ref="A1:W1412" totalsRowCount="1" headerRowDxfId="76" dataDxfId="75">
  <autoFilter ref="A1:W1411" xr:uid="{1CB521D2-D5DE-4F26-940A-1AFDDE59FBEB}"/>
  <tableColumns count="23">
    <tableColumn id="1" xr3:uid="{AD2A2B6F-21A6-455E-B253-CF9DF4941F77}" name="Quotation number" dataDxfId="74"/>
    <tableColumn id="2" xr3:uid="{34FC5BB0-CD9E-474B-BE1C-E68C0DAF5DCB}" name="Sent date" dataDxfId="73" totalsRowDxfId="72"/>
    <tableColumn id="3" xr3:uid="{554A8DF7-6081-412B-A30F-96E425EE1C18}" name="Customer " dataDxfId="71"/>
    <tableColumn id="4" xr3:uid="{55FA363F-06AC-4428-B4DB-585B7A870F44}" name="Country" dataDxfId="70"/>
    <tableColumn id="5" xr3:uid="{6B9B3A03-C018-4A17-9F38-A38775F7FB00}" name="Type perl" dataDxfId="69"/>
    <tableColumn id="6" xr3:uid="{1670FD36-E96F-454F-8192-C937506A6AE9}" name="Lenght" dataDxfId="68"/>
    <tableColumn id="7" xr3:uid="{6A1BD832-A216-4BDA-81AE-C09E453B63FD}" name="Width" dataDxfId="67"/>
    <tableColumn id="8" xr3:uid="{1896A52C-3521-41DB-9472-108618B814E7}" name="qty" dataDxfId="66"/>
    <tableColumn id="9" xr3:uid="{AEF85A66-015B-40CC-B171-F9D6AA7DAC49}" name="Total sqm" dataDxfId="65">
      <calculatedColumnFormula>$F2*$G2*$H2/1000000</calculatedColumnFormula>
    </tableColumn>
    <tableColumn id="10" xr3:uid="{AB673F90-83DD-4388-B677-DC02283AE20C}" name="Eur /m2" dataDxfId="64"/>
    <tableColumn id="17" xr3:uid="{FA803FC4-D85A-4789-8B2F-2601368E6379}" name="F P H" dataDxfId="63" totalsRowDxfId="62"/>
    <tableColumn id="11" xr3:uid="{11B45383-7CC2-41CF-A95B-040FBAB4B9E3}" name="Total amount quote:" dataDxfId="61"/>
    <tableColumn id="18" xr3:uid="{09AA8779-D248-4171-B9B3-72316E02C34B}" name="Standard pricing?" dataDxfId="60" totalsRowDxfId="59"/>
    <tableColumn id="22" xr3:uid="{4C563C00-6EFE-4BF1-A8F0-BF02786B5412}" name="Approved" dataDxfId="58" totalsRowDxfId="57"/>
    <tableColumn id="23" xr3:uid="{68D19707-3CE4-4671-9C4B-47713646602F}" name="Volume request" dataDxfId="56" totalsRowDxfId="55"/>
    <tableColumn id="19" xr3:uid="{7A5C0F6B-9AB8-4341-BA0B-A59DC2F70E14}" name="Order" dataDxfId="54" totalsRowDxfId="53"/>
    <tableColumn id="21" xr3:uid="{9AF068B8-758B-4DEC-A622-309DD9A59A43}" name="Order date" dataDxfId="52" totalsRowDxfId="51"/>
    <tableColumn id="12" xr3:uid="{EA002CAD-2DD2-497B-909E-E26B48625D5F}" name="DC ok?" dataDxfId="50"/>
    <tableColumn id="13" xr3:uid="{4B8A7023-7E63-47D8-9033-FE8BFBF5E74E}" name="Remarks" dataDxfId="49"/>
    <tableColumn id="14" xr3:uid="{8EE131DD-47CB-4F5B-A514-B60624EB4577}" name="Datum update" dataDxfId="48"/>
    <tableColumn id="15" xr3:uid="{3CA8BCCD-E9A8-4177-93B1-789629D98B6B}" name="Eur /m²" dataDxfId="47"/>
    <tableColumn id="20" xr3:uid="{F2339EC8-CF98-4083-B6C6-5FAF48029606}" name="F P H updated pricing" dataDxfId="46"/>
    <tableColumn id="16" xr3:uid="{7F23CB50-81BC-4512-B667-B43854ED9003}" name="Total amount quote:2" dataDxfId="45"/>
  </tableColumns>
  <tableStyleInfo name="TableStyleLight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895C4-1A4D-40A7-8459-FDDDEFDFC598}">
  <dimension ref="A1:AC1436"/>
  <sheetViews>
    <sheetView workbookViewId="0">
      <selection activeCell="E3" sqref="E3"/>
    </sheetView>
  </sheetViews>
  <sheetFormatPr defaultRowHeight="15" x14ac:dyDescent="0.25"/>
  <cols>
    <col min="1" max="1" width="20" bestFit="1" customWidth="1"/>
    <col min="2" max="2" width="16.140625" style="32" customWidth="1"/>
    <col min="3" max="3" width="48.28515625" customWidth="1"/>
    <col min="4" max="4" width="23.85546875" bestFit="1" customWidth="1"/>
    <col min="5" max="5" width="15.85546875" customWidth="1"/>
    <col min="6" max="6" width="10.140625" customWidth="1"/>
    <col min="7" max="7" width="8.85546875" customWidth="1"/>
    <col min="8" max="8" width="9.42578125" customWidth="1"/>
    <col min="9" max="9" width="11.85546875" customWidth="1"/>
    <col min="10" max="10" width="10.140625" customWidth="1"/>
    <col min="11" max="11" width="12.5703125" bestFit="1" customWidth="1"/>
    <col min="12" max="12" width="21.7109375" customWidth="1"/>
    <col min="13" max="13" width="18.85546875" customWidth="1"/>
    <col min="14" max="14" width="5.5703125" customWidth="1"/>
    <col min="15" max="15" width="6.28515625" customWidth="1"/>
    <col min="16" max="17" width="18.140625" customWidth="1"/>
    <col min="19" max="19" width="18.5703125" customWidth="1"/>
    <col min="20" max="20" width="15.7109375" customWidth="1"/>
    <col min="21" max="22" width="11.42578125" customWidth="1"/>
    <col min="23" max="23" width="22.28515625" customWidth="1"/>
    <col min="28" max="29" width="9.85546875" bestFit="1" customWidth="1"/>
  </cols>
  <sheetData>
    <row r="1" spans="1:25" x14ac:dyDescent="0.25">
      <c r="A1" s="2" t="s">
        <v>0</v>
      </c>
      <c r="B1" s="51"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31" t="s">
        <v>23</v>
      </c>
    </row>
    <row r="2" spans="1:25" x14ac:dyDescent="0.25">
      <c r="A2" t="s">
        <v>24</v>
      </c>
      <c r="B2" s="52">
        <v>44939</v>
      </c>
      <c r="C2" t="s">
        <v>25</v>
      </c>
      <c r="D2" t="s">
        <v>26</v>
      </c>
      <c r="E2" t="s">
        <v>27</v>
      </c>
      <c r="F2">
        <v>1000</v>
      </c>
      <c r="G2">
        <v>1000</v>
      </c>
      <c r="H2">
        <v>5</v>
      </c>
      <c r="I2" s="1">
        <f t="shared" ref="I2:I65" si="0">$F2*$G2*$H2/1000000</f>
        <v>5</v>
      </c>
      <c r="J2">
        <v>340</v>
      </c>
      <c r="L2" s="1">
        <v>2070</v>
      </c>
      <c r="M2" s="1"/>
      <c r="N2" s="1"/>
      <c r="O2" s="1"/>
      <c r="P2" s="1"/>
      <c r="Q2" s="62"/>
      <c r="R2" t="s">
        <v>28</v>
      </c>
      <c r="X2">
        <v>2023</v>
      </c>
    </row>
    <row r="3" spans="1:25" x14ac:dyDescent="0.25">
      <c r="A3" t="s">
        <v>29</v>
      </c>
      <c r="B3" s="52">
        <v>44939</v>
      </c>
      <c r="C3" t="s">
        <v>30</v>
      </c>
      <c r="D3" t="s">
        <v>31</v>
      </c>
      <c r="E3" t="s">
        <v>32</v>
      </c>
      <c r="F3">
        <v>1000</v>
      </c>
      <c r="G3">
        <v>1000</v>
      </c>
      <c r="H3">
        <v>80</v>
      </c>
      <c r="I3" s="1">
        <f t="shared" si="0"/>
        <v>80</v>
      </c>
      <c r="J3">
        <v>358.32</v>
      </c>
      <c r="L3" s="1">
        <v>33265.599999999999</v>
      </c>
      <c r="M3" s="1"/>
      <c r="N3" s="1"/>
      <c r="O3" s="1"/>
      <c r="P3" s="1"/>
      <c r="Q3" s="62"/>
      <c r="R3" t="s">
        <v>28</v>
      </c>
      <c r="X3">
        <v>2023</v>
      </c>
      <c r="Y3" t="s">
        <v>33</v>
      </c>
    </row>
    <row r="4" spans="1:25" x14ac:dyDescent="0.25">
      <c r="A4" t="s">
        <v>34</v>
      </c>
      <c r="B4" s="52">
        <v>44944</v>
      </c>
      <c r="C4" t="s">
        <v>35</v>
      </c>
      <c r="D4" t="s">
        <v>36</v>
      </c>
      <c r="E4" t="s">
        <v>37</v>
      </c>
      <c r="F4">
        <v>855</v>
      </c>
      <c r="G4">
        <v>855</v>
      </c>
      <c r="H4">
        <v>1120</v>
      </c>
      <c r="I4" s="1">
        <f t="shared" si="0"/>
        <v>818.74800000000005</v>
      </c>
      <c r="J4">
        <v>222.59</v>
      </c>
      <c r="L4" s="1">
        <v>208167.67999999999</v>
      </c>
      <c r="M4" s="1"/>
      <c r="N4" s="1"/>
      <c r="O4" s="1"/>
      <c r="P4" s="1"/>
      <c r="Q4" s="62"/>
      <c r="R4" t="s">
        <v>28</v>
      </c>
      <c r="S4" t="s">
        <v>38</v>
      </c>
      <c r="X4">
        <v>2023</v>
      </c>
      <c r="Y4" t="s">
        <v>39</v>
      </c>
    </row>
    <row r="5" spans="1:25" x14ac:dyDescent="0.25">
      <c r="A5" t="s">
        <v>40</v>
      </c>
      <c r="B5" s="52">
        <v>44946</v>
      </c>
      <c r="C5" t="s">
        <v>41</v>
      </c>
      <c r="D5" t="s">
        <v>42</v>
      </c>
      <c r="E5" t="s">
        <v>37</v>
      </c>
      <c r="F5">
        <v>310</v>
      </c>
      <c r="G5">
        <v>310</v>
      </c>
      <c r="H5">
        <v>42</v>
      </c>
      <c r="I5" s="1">
        <f t="shared" si="0"/>
        <v>4.0362</v>
      </c>
      <c r="J5">
        <v>4.04</v>
      </c>
      <c r="L5" s="1">
        <v>2237.15</v>
      </c>
      <c r="M5" s="1"/>
      <c r="N5" s="1"/>
      <c r="O5" s="1"/>
      <c r="P5" s="1"/>
      <c r="Q5" s="62"/>
      <c r="R5" t="s">
        <v>28</v>
      </c>
      <c r="S5" t="s">
        <v>43</v>
      </c>
      <c r="X5">
        <v>2023</v>
      </c>
    </row>
    <row r="6" spans="1:25" x14ac:dyDescent="0.25">
      <c r="A6" t="s">
        <v>44</v>
      </c>
      <c r="B6" s="52">
        <v>44946</v>
      </c>
      <c r="C6" t="s">
        <v>45</v>
      </c>
      <c r="D6" t="s">
        <v>46</v>
      </c>
      <c r="E6" t="s">
        <v>37</v>
      </c>
      <c r="F6">
        <v>410</v>
      </c>
      <c r="G6">
        <v>410</v>
      </c>
      <c r="H6">
        <v>120</v>
      </c>
      <c r="I6" s="1">
        <f t="shared" si="0"/>
        <v>20.172000000000001</v>
      </c>
      <c r="J6">
        <v>315.85000000000002</v>
      </c>
      <c r="L6" s="1">
        <v>6990.69</v>
      </c>
      <c r="M6" s="1"/>
      <c r="N6" s="1"/>
      <c r="O6" s="1"/>
      <c r="P6" s="1"/>
      <c r="Q6" s="62"/>
      <c r="R6" t="s">
        <v>28</v>
      </c>
      <c r="X6">
        <v>2023</v>
      </c>
    </row>
    <row r="7" spans="1:25" x14ac:dyDescent="0.25">
      <c r="A7" t="s">
        <v>47</v>
      </c>
      <c r="B7" s="52">
        <v>44949</v>
      </c>
      <c r="C7" t="s">
        <v>48</v>
      </c>
      <c r="D7" t="s">
        <v>42</v>
      </c>
      <c r="E7" t="s">
        <v>37</v>
      </c>
      <c r="F7">
        <v>1000</v>
      </c>
      <c r="G7">
        <v>1000</v>
      </c>
      <c r="H7">
        <v>5</v>
      </c>
      <c r="I7" s="1">
        <f t="shared" si="0"/>
        <v>5</v>
      </c>
      <c r="J7">
        <v>385</v>
      </c>
      <c r="L7" s="1">
        <v>1925</v>
      </c>
      <c r="M7" s="1"/>
      <c r="N7" s="1"/>
      <c r="O7" s="1"/>
      <c r="P7" s="1"/>
      <c r="Q7" s="62"/>
      <c r="R7" t="s">
        <v>28</v>
      </c>
      <c r="X7">
        <v>2023</v>
      </c>
    </row>
    <row r="8" spans="1:25" x14ac:dyDescent="0.25">
      <c r="B8" s="52"/>
      <c r="C8" t="s">
        <v>48</v>
      </c>
      <c r="D8" t="s">
        <v>42</v>
      </c>
      <c r="E8" t="s">
        <v>27</v>
      </c>
      <c r="F8">
        <v>1000</v>
      </c>
      <c r="G8">
        <v>1000</v>
      </c>
      <c r="H8">
        <v>5</v>
      </c>
      <c r="I8" s="1">
        <f t="shared" si="0"/>
        <v>5</v>
      </c>
      <c r="J8">
        <v>340</v>
      </c>
      <c r="L8" s="1">
        <v>1700</v>
      </c>
      <c r="M8" s="1"/>
      <c r="N8" s="1"/>
      <c r="O8" s="1"/>
      <c r="P8" s="1"/>
      <c r="Q8" s="62"/>
      <c r="S8" s="2" t="s">
        <v>49</v>
      </c>
      <c r="X8">
        <v>2023</v>
      </c>
    </row>
    <row r="9" spans="1:25" x14ac:dyDescent="0.25">
      <c r="A9" t="s">
        <v>50</v>
      </c>
      <c r="B9" s="52">
        <v>44951</v>
      </c>
      <c r="C9" t="s">
        <v>51</v>
      </c>
      <c r="D9" t="s">
        <v>52</v>
      </c>
      <c r="E9" t="s">
        <v>32</v>
      </c>
      <c r="F9">
        <v>1000</v>
      </c>
      <c r="G9">
        <v>1000</v>
      </c>
      <c r="H9">
        <v>5</v>
      </c>
      <c r="I9" s="1">
        <f t="shared" si="0"/>
        <v>5</v>
      </c>
      <c r="J9">
        <v>450</v>
      </c>
      <c r="L9" s="1">
        <v>2400</v>
      </c>
      <c r="M9" s="1"/>
      <c r="N9" s="1"/>
      <c r="O9" s="1"/>
      <c r="P9" s="1"/>
      <c r="Q9" s="62"/>
      <c r="X9">
        <v>2023</v>
      </c>
    </row>
    <row r="10" spans="1:25" x14ac:dyDescent="0.25">
      <c r="A10" t="s">
        <v>53</v>
      </c>
      <c r="B10" s="52">
        <v>44951</v>
      </c>
      <c r="C10" t="s">
        <v>54</v>
      </c>
      <c r="D10" t="s">
        <v>31</v>
      </c>
      <c r="E10" t="s">
        <v>32</v>
      </c>
      <c r="F10">
        <v>1000</v>
      </c>
      <c r="G10">
        <v>1000</v>
      </c>
      <c r="H10">
        <v>5</v>
      </c>
      <c r="I10" s="1">
        <f t="shared" si="0"/>
        <v>5</v>
      </c>
      <c r="J10">
        <v>450</v>
      </c>
      <c r="L10" s="1">
        <v>2400</v>
      </c>
      <c r="M10" s="1"/>
      <c r="N10" s="1"/>
      <c r="O10" s="1"/>
      <c r="P10" s="1"/>
      <c r="Q10" s="62"/>
      <c r="X10">
        <v>2023</v>
      </c>
    </row>
    <row r="11" spans="1:25" x14ac:dyDescent="0.25">
      <c r="A11" t="s">
        <v>55</v>
      </c>
      <c r="B11" s="52">
        <v>44951</v>
      </c>
      <c r="C11" t="s">
        <v>56</v>
      </c>
      <c r="D11" t="s">
        <v>57</v>
      </c>
      <c r="E11" t="s">
        <v>27</v>
      </c>
      <c r="F11">
        <v>1000</v>
      </c>
      <c r="G11">
        <v>1000</v>
      </c>
      <c r="H11">
        <v>100</v>
      </c>
      <c r="I11" s="1">
        <f t="shared" si="0"/>
        <v>100</v>
      </c>
      <c r="J11">
        <v>218.99</v>
      </c>
      <c r="L11" s="1">
        <v>23227.3</v>
      </c>
      <c r="M11" s="1"/>
      <c r="N11" s="1"/>
      <c r="O11" s="1"/>
      <c r="P11" s="1"/>
      <c r="Q11" s="62"/>
      <c r="X11">
        <v>2023</v>
      </c>
    </row>
    <row r="12" spans="1:25" x14ac:dyDescent="0.25">
      <c r="A12" t="s">
        <v>58</v>
      </c>
      <c r="B12" s="52">
        <v>44965</v>
      </c>
      <c r="C12" t="s">
        <v>59</v>
      </c>
      <c r="D12" t="s">
        <v>42</v>
      </c>
      <c r="E12" t="s">
        <v>27</v>
      </c>
      <c r="F12">
        <v>1000</v>
      </c>
      <c r="G12">
        <v>1000</v>
      </c>
      <c r="H12">
        <v>10</v>
      </c>
      <c r="I12" s="1">
        <f t="shared" si="0"/>
        <v>10</v>
      </c>
      <c r="J12">
        <v>293.12</v>
      </c>
      <c r="L12" s="1">
        <v>3156.2</v>
      </c>
      <c r="M12" s="1"/>
      <c r="N12" s="1"/>
      <c r="O12" s="1"/>
      <c r="P12" s="1"/>
      <c r="Q12" s="62"/>
      <c r="S12" t="s">
        <v>60</v>
      </c>
      <c r="X12">
        <v>2023</v>
      </c>
    </row>
    <row r="13" spans="1:25" x14ac:dyDescent="0.25">
      <c r="A13" t="s">
        <v>61</v>
      </c>
      <c r="B13" s="52">
        <v>44951</v>
      </c>
      <c r="C13" t="s">
        <v>62</v>
      </c>
      <c r="D13" t="s">
        <v>31</v>
      </c>
      <c r="E13" t="s">
        <v>27</v>
      </c>
      <c r="F13">
        <v>1000</v>
      </c>
      <c r="G13">
        <v>1000</v>
      </c>
      <c r="H13">
        <v>5</v>
      </c>
      <c r="I13" s="1">
        <f t="shared" si="0"/>
        <v>5</v>
      </c>
      <c r="J13">
        <v>340</v>
      </c>
      <c r="L13" s="1">
        <v>1850</v>
      </c>
      <c r="M13" s="1"/>
      <c r="N13" s="1"/>
      <c r="O13" s="1"/>
      <c r="P13" s="1"/>
      <c r="Q13" s="62"/>
      <c r="X13">
        <v>2023</v>
      </c>
    </row>
    <row r="14" spans="1:25" x14ac:dyDescent="0.25">
      <c r="A14" t="s">
        <v>63</v>
      </c>
      <c r="B14" s="53" t="s">
        <v>64</v>
      </c>
      <c r="C14" t="s">
        <v>41</v>
      </c>
      <c r="D14" t="s">
        <v>42</v>
      </c>
      <c r="E14" t="s">
        <v>37</v>
      </c>
      <c r="F14">
        <v>1668</v>
      </c>
      <c r="G14">
        <v>1668</v>
      </c>
      <c r="H14">
        <v>1855</v>
      </c>
      <c r="I14" s="1">
        <f t="shared" si="0"/>
        <v>5161.0255200000001</v>
      </c>
      <c r="J14">
        <v>235.16</v>
      </c>
      <c r="L14" s="1">
        <v>1244976</v>
      </c>
      <c r="M14" s="1"/>
      <c r="N14" s="1"/>
      <c r="O14" s="1"/>
      <c r="P14" s="1"/>
      <c r="Q14" s="62"/>
      <c r="S14" t="s">
        <v>65</v>
      </c>
      <c r="X14">
        <v>2023</v>
      </c>
    </row>
    <row r="15" spans="1:25" x14ac:dyDescent="0.25">
      <c r="A15" t="s">
        <v>66</v>
      </c>
      <c r="B15" s="53" t="s">
        <v>64</v>
      </c>
      <c r="C15" t="s">
        <v>41</v>
      </c>
      <c r="D15" t="s">
        <v>42</v>
      </c>
      <c r="E15" t="s">
        <v>37</v>
      </c>
      <c r="F15">
        <v>1668</v>
      </c>
      <c r="G15">
        <v>1668</v>
      </c>
      <c r="H15">
        <v>350</v>
      </c>
      <c r="I15" s="1">
        <f t="shared" si="0"/>
        <v>973.77840000000003</v>
      </c>
      <c r="J15">
        <v>243.95</v>
      </c>
      <c r="L15" s="1">
        <v>243867.63</v>
      </c>
      <c r="M15" s="1"/>
      <c r="N15" s="1"/>
      <c r="O15" s="1"/>
      <c r="P15" s="1"/>
      <c r="Q15" s="62"/>
      <c r="S15" t="s">
        <v>67</v>
      </c>
      <c r="X15">
        <v>2023</v>
      </c>
    </row>
    <row r="16" spans="1:25" x14ac:dyDescent="0.25">
      <c r="A16" t="s">
        <v>68</v>
      </c>
      <c r="B16" s="52">
        <v>44957</v>
      </c>
      <c r="C16" t="s">
        <v>69</v>
      </c>
      <c r="D16" t="s">
        <v>70</v>
      </c>
      <c r="E16" t="s">
        <v>27</v>
      </c>
      <c r="F16">
        <v>1020</v>
      </c>
      <c r="G16">
        <v>1020</v>
      </c>
      <c r="H16">
        <v>24</v>
      </c>
      <c r="I16" s="1">
        <f t="shared" si="0"/>
        <v>24.9696</v>
      </c>
      <c r="J16">
        <v>255.25</v>
      </c>
      <c r="L16" s="1">
        <v>7297.59</v>
      </c>
      <c r="M16" s="1"/>
      <c r="N16" s="1"/>
      <c r="O16" s="1"/>
      <c r="P16" s="1"/>
      <c r="Q16" s="62"/>
      <c r="X16">
        <v>2023</v>
      </c>
    </row>
    <row r="17" spans="1:24" x14ac:dyDescent="0.25">
      <c r="A17" t="s">
        <v>71</v>
      </c>
      <c r="B17" s="52">
        <v>44957</v>
      </c>
      <c r="C17" t="s">
        <v>69</v>
      </c>
      <c r="D17" t="s">
        <v>70</v>
      </c>
      <c r="E17" t="s">
        <v>27</v>
      </c>
      <c r="F17">
        <v>570</v>
      </c>
      <c r="G17">
        <v>575</v>
      </c>
      <c r="H17">
        <v>40</v>
      </c>
      <c r="I17" s="1">
        <f t="shared" si="0"/>
        <v>13.11</v>
      </c>
      <c r="J17">
        <v>280.85000000000002</v>
      </c>
      <c r="L17" s="1">
        <v>4916.9399999999996</v>
      </c>
      <c r="M17" s="1"/>
      <c r="N17" s="1"/>
      <c r="O17" s="1"/>
      <c r="P17" s="1"/>
      <c r="Q17" s="62"/>
      <c r="S17" t="s">
        <v>72</v>
      </c>
      <c r="X17">
        <v>2023</v>
      </c>
    </row>
    <row r="18" spans="1:24" x14ac:dyDescent="0.25">
      <c r="A18" t="s">
        <v>73</v>
      </c>
      <c r="B18" s="52">
        <v>44956</v>
      </c>
      <c r="C18" t="s">
        <v>74</v>
      </c>
      <c r="D18" t="s">
        <v>31</v>
      </c>
      <c r="E18" t="s">
        <v>32</v>
      </c>
      <c r="F18">
        <v>894</v>
      </c>
      <c r="G18">
        <v>1061</v>
      </c>
      <c r="H18">
        <v>22</v>
      </c>
      <c r="I18" s="1">
        <f t="shared" si="0"/>
        <v>20.867747999999999</v>
      </c>
      <c r="J18">
        <v>427.3</v>
      </c>
      <c r="L18" s="1">
        <v>10301.59</v>
      </c>
      <c r="M18" s="1"/>
      <c r="N18" s="1"/>
      <c r="O18" s="1"/>
      <c r="P18" s="1"/>
      <c r="Q18" s="62"/>
      <c r="S18" t="s">
        <v>75</v>
      </c>
      <c r="X18">
        <v>2023</v>
      </c>
    </row>
    <row r="19" spans="1:24" x14ac:dyDescent="0.25">
      <c r="A19" t="s">
        <v>76</v>
      </c>
      <c r="B19" s="52">
        <v>44960</v>
      </c>
      <c r="C19" t="s">
        <v>77</v>
      </c>
      <c r="D19" t="s">
        <v>57</v>
      </c>
      <c r="E19" t="s">
        <v>27</v>
      </c>
      <c r="F19">
        <v>1000</v>
      </c>
      <c r="G19">
        <v>1000</v>
      </c>
      <c r="H19">
        <v>20</v>
      </c>
      <c r="I19" s="1">
        <f t="shared" si="0"/>
        <v>20</v>
      </c>
      <c r="J19">
        <v>267.26</v>
      </c>
      <c r="L19" s="1">
        <v>6932.2</v>
      </c>
      <c r="M19" s="1"/>
      <c r="N19" s="1"/>
      <c r="O19" s="1"/>
      <c r="P19" s="1"/>
      <c r="Q19" s="62"/>
      <c r="X19">
        <v>2023</v>
      </c>
    </row>
    <row r="20" spans="1:24" x14ac:dyDescent="0.25">
      <c r="A20" t="s">
        <v>78</v>
      </c>
      <c r="B20" s="52">
        <v>44960</v>
      </c>
      <c r="C20" t="s">
        <v>79</v>
      </c>
      <c r="D20" t="s">
        <v>80</v>
      </c>
      <c r="E20" t="s">
        <v>37</v>
      </c>
      <c r="F20">
        <v>1000</v>
      </c>
      <c r="G20">
        <v>1000</v>
      </c>
      <c r="H20">
        <v>5</v>
      </c>
      <c r="I20" s="1">
        <f t="shared" si="0"/>
        <v>5</v>
      </c>
      <c r="J20">
        <v>385</v>
      </c>
      <c r="L20" s="1">
        <v>2125</v>
      </c>
      <c r="M20" s="1"/>
      <c r="N20" s="1"/>
      <c r="O20" s="1"/>
      <c r="P20" s="1"/>
      <c r="Q20" s="62"/>
      <c r="X20">
        <v>2023</v>
      </c>
    </row>
    <row r="21" spans="1:24" x14ac:dyDescent="0.25">
      <c r="A21" t="s">
        <v>81</v>
      </c>
      <c r="B21" s="52">
        <v>44965</v>
      </c>
      <c r="C21" t="s">
        <v>82</v>
      </c>
      <c r="D21" t="s">
        <v>83</v>
      </c>
      <c r="E21" t="s">
        <v>27</v>
      </c>
      <c r="F21">
        <v>1000</v>
      </c>
      <c r="G21">
        <v>1000</v>
      </c>
      <c r="H21">
        <v>5</v>
      </c>
      <c r="I21" s="1">
        <f t="shared" si="0"/>
        <v>5</v>
      </c>
      <c r="J21">
        <v>340</v>
      </c>
      <c r="L21" s="1">
        <v>1900</v>
      </c>
      <c r="M21" s="1"/>
      <c r="N21" s="1"/>
      <c r="O21" s="1"/>
      <c r="P21" s="1"/>
      <c r="Q21" s="62"/>
      <c r="X21">
        <v>2023</v>
      </c>
    </row>
    <row r="22" spans="1:24" x14ac:dyDescent="0.25">
      <c r="A22" t="s">
        <v>84</v>
      </c>
      <c r="B22" s="52">
        <v>44965</v>
      </c>
      <c r="C22" t="s">
        <v>85</v>
      </c>
      <c r="D22" t="s">
        <v>57</v>
      </c>
      <c r="E22" t="s">
        <v>27</v>
      </c>
      <c r="F22">
        <v>1000</v>
      </c>
      <c r="G22">
        <v>1000</v>
      </c>
      <c r="H22">
        <v>5</v>
      </c>
      <c r="I22" s="1">
        <f t="shared" si="0"/>
        <v>5</v>
      </c>
      <c r="J22">
        <v>340</v>
      </c>
      <c r="L22" s="1">
        <v>1900</v>
      </c>
      <c r="M22" s="1"/>
      <c r="N22" s="1"/>
      <c r="O22" s="1"/>
      <c r="P22" s="1"/>
      <c r="Q22" s="62"/>
      <c r="X22">
        <v>2023</v>
      </c>
    </row>
    <row r="23" spans="1:24" x14ac:dyDescent="0.25">
      <c r="A23" t="s">
        <v>86</v>
      </c>
      <c r="B23" s="52">
        <v>44965</v>
      </c>
      <c r="C23" t="s">
        <v>87</v>
      </c>
      <c r="D23" t="s">
        <v>88</v>
      </c>
      <c r="E23" t="s">
        <v>27</v>
      </c>
      <c r="F23">
        <v>1000</v>
      </c>
      <c r="G23">
        <v>1000</v>
      </c>
      <c r="H23">
        <v>5</v>
      </c>
      <c r="I23" s="1">
        <f t="shared" si="0"/>
        <v>5</v>
      </c>
      <c r="J23">
        <v>340</v>
      </c>
      <c r="L23" s="1">
        <v>1900</v>
      </c>
      <c r="M23" s="1"/>
      <c r="N23" s="1"/>
      <c r="O23" s="1"/>
      <c r="P23" s="1"/>
      <c r="Q23" s="62"/>
      <c r="X23">
        <v>2023</v>
      </c>
    </row>
    <row r="24" spans="1:24" x14ac:dyDescent="0.25">
      <c r="A24" t="s">
        <v>89</v>
      </c>
      <c r="B24" s="52">
        <v>44965</v>
      </c>
      <c r="C24" t="s">
        <v>90</v>
      </c>
      <c r="D24" t="s">
        <v>91</v>
      </c>
      <c r="E24" t="s">
        <v>27</v>
      </c>
      <c r="F24">
        <v>1000</v>
      </c>
      <c r="G24">
        <v>1000</v>
      </c>
      <c r="H24">
        <v>5</v>
      </c>
      <c r="I24" s="1">
        <f t="shared" si="0"/>
        <v>5</v>
      </c>
      <c r="J24">
        <v>340</v>
      </c>
      <c r="L24" s="1">
        <v>1775</v>
      </c>
      <c r="M24" s="1"/>
      <c r="N24" s="1"/>
      <c r="O24" s="1"/>
      <c r="P24" s="1"/>
      <c r="Q24" s="62"/>
      <c r="S24" t="s">
        <v>92</v>
      </c>
      <c r="X24">
        <v>2023</v>
      </c>
    </row>
    <row r="25" spans="1:24" x14ac:dyDescent="0.25">
      <c r="A25" t="s">
        <v>93</v>
      </c>
      <c r="B25" s="52">
        <v>44965</v>
      </c>
      <c r="C25" t="s">
        <v>94</v>
      </c>
      <c r="D25" t="s">
        <v>83</v>
      </c>
      <c r="E25" t="s">
        <v>27</v>
      </c>
      <c r="F25">
        <v>1000</v>
      </c>
      <c r="G25">
        <v>1000</v>
      </c>
      <c r="H25">
        <v>8</v>
      </c>
      <c r="I25" s="1">
        <f t="shared" si="0"/>
        <v>8</v>
      </c>
      <c r="J25">
        <v>306.06</v>
      </c>
      <c r="L25" s="1">
        <v>2723.48</v>
      </c>
      <c r="M25" s="1"/>
      <c r="N25" s="1"/>
      <c r="O25" s="1"/>
      <c r="P25" s="1"/>
      <c r="Q25" s="62"/>
      <c r="S25" t="s">
        <v>60</v>
      </c>
      <c r="X25">
        <v>2023</v>
      </c>
    </row>
    <row r="26" spans="1:24" x14ac:dyDescent="0.25">
      <c r="A26" t="s">
        <v>95</v>
      </c>
      <c r="B26" s="52">
        <v>44965</v>
      </c>
      <c r="C26" t="s">
        <v>96</v>
      </c>
      <c r="D26" t="s">
        <v>97</v>
      </c>
      <c r="E26" t="s">
        <v>32</v>
      </c>
      <c r="F26">
        <v>1000</v>
      </c>
      <c r="G26">
        <v>1000</v>
      </c>
      <c r="H26">
        <v>5</v>
      </c>
      <c r="I26" s="1">
        <f t="shared" si="0"/>
        <v>5</v>
      </c>
      <c r="J26">
        <v>450</v>
      </c>
      <c r="L26" s="1">
        <v>2400</v>
      </c>
      <c r="M26" s="1"/>
      <c r="N26" s="1"/>
      <c r="O26" s="1"/>
      <c r="P26" s="1"/>
      <c r="Q26" s="62"/>
      <c r="X26">
        <v>2023</v>
      </c>
    </row>
    <row r="27" spans="1:24" x14ac:dyDescent="0.25">
      <c r="A27" t="s">
        <v>98</v>
      </c>
      <c r="B27" s="52">
        <v>44967</v>
      </c>
      <c r="C27" t="s">
        <v>99</v>
      </c>
      <c r="D27" t="s">
        <v>100</v>
      </c>
      <c r="E27" t="s">
        <v>27</v>
      </c>
      <c r="F27">
        <v>1200</v>
      </c>
      <c r="G27">
        <v>1200</v>
      </c>
      <c r="H27">
        <v>254</v>
      </c>
      <c r="I27" s="1">
        <f t="shared" si="0"/>
        <v>365.76</v>
      </c>
      <c r="J27">
        <v>197.68</v>
      </c>
      <c r="L27" s="1">
        <v>76549.740000000005</v>
      </c>
      <c r="M27" s="1"/>
      <c r="N27" s="1"/>
      <c r="O27" s="1"/>
      <c r="P27" s="1"/>
      <c r="Q27" s="62"/>
      <c r="X27">
        <v>2023</v>
      </c>
    </row>
    <row r="28" spans="1:24" x14ac:dyDescent="0.25">
      <c r="A28" t="s">
        <v>101</v>
      </c>
      <c r="B28" s="52">
        <v>44967</v>
      </c>
      <c r="C28" t="s">
        <v>102</v>
      </c>
      <c r="D28" t="s">
        <v>103</v>
      </c>
      <c r="E28" t="s">
        <v>27</v>
      </c>
      <c r="F28">
        <v>875</v>
      </c>
      <c r="G28">
        <v>1200</v>
      </c>
      <c r="H28">
        <v>953</v>
      </c>
      <c r="I28" s="1">
        <f t="shared" si="0"/>
        <v>1000.65</v>
      </c>
      <c r="J28">
        <v>187.42</v>
      </c>
      <c r="L28" s="1">
        <v>196441.82</v>
      </c>
      <c r="M28" s="1"/>
      <c r="N28" s="1"/>
      <c r="O28" s="1"/>
      <c r="P28" s="1"/>
      <c r="Q28" s="62"/>
      <c r="R28" t="s">
        <v>104</v>
      </c>
      <c r="T28" s="3">
        <v>45034</v>
      </c>
      <c r="U28">
        <v>187.42</v>
      </c>
      <c r="W28" s="1">
        <v>196441.82</v>
      </c>
      <c r="X28">
        <v>2023</v>
      </c>
    </row>
    <row r="29" spans="1:24" x14ac:dyDescent="0.25">
      <c r="A29" t="s">
        <v>105</v>
      </c>
      <c r="B29" s="52">
        <v>44967</v>
      </c>
      <c r="C29" t="s">
        <v>106</v>
      </c>
      <c r="D29" t="s">
        <v>46</v>
      </c>
      <c r="E29" t="s">
        <v>37</v>
      </c>
      <c r="F29">
        <v>1700</v>
      </c>
      <c r="G29">
        <v>1700</v>
      </c>
      <c r="H29">
        <v>10</v>
      </c>
      <c r="I29" s="1">
        <f t="shared" si="0"/>
        <v>28.9</v>
      </c>
      <c r="J29">
        <v>323.27999999999997</v>
      </c>
      <c r="L29" s="1">
        <v>10322.790000000001</v>
      </c>
      <c r="M29" s="1"/>
      <c r="N29" s="1"/>
      <c r="O29" s="1"/>
      <c r="P29" s="1"/>
      <c r="Q29" s="62"/>
      <c r="X29">
        <v>2023</v>
      </c>
    </row>
    <row r="30" spans="1:24" x14ac:dyDescent="0.25">
      <c r="A30" t="s">
        <v>107</v>
      </c>
      <c r="B30" s="52">
        <v>44967</v>
      </c>
      <c r="C30" t="s">
        <v>1265</v>
      </c>
      <c r="D30" t="s">
        <v>42</v>
      </c>
      <c r="E30" t="s">
        <v>32</v>
      </c>
      <c r="F30">
        <v>379</v>
      </c>
      <c r="G30">
        <v>379</v>
      </c>
      <c r="H30">
        <v>300</v>
      </c>
      <c r="I30" s="1">
        <f t="shared" si="0"/>
        <v>43.092300000000002</v>
      </c>
      <c r="J30">
        <v>379.17</v>
      </c>
      <c r="L30" s="1">
        <v>19311.439999999999</v>
      </c>
      <c r="M30" s="1"/>
      <c r="N30" s="1"/>
      <c r="O30" s="1"/>
      <c r="P30" s="1"/>
      <c r="Q30" s="62"/>
      <c r="X30">
        <v>2023</v>
      </c>
    </row>
    <row r="31" spans="1:24" x14ac:dyDescent="0.25">
      <c r="A31" t="s">
        <v>108</v>
      </c>
      <c r="B31" s="52">
        <v>44974</v>
      </c>
      <c r="C31" t="s">
        <v>109</v>
      </c>
      <c r="D31" t="s">
        <v>36</v>
      </c>
      <c r="E31" t="s">
        <v>37</v>
      </c>
      <c r="F31">
        <v>1000</v>
      </c>
      <c r="G31">
        <v>1000</v>
      </c>
      <c r="H31">
        <v>14</v>
      </c>
      <c r="I31" s="1">
        <f t="shared" si="0"/>
        <v>14</v>
      </c>
      <c r="J31">
        <v>361.85</v>
      </c>
      <c r="L31" s="1">
        <v>6070.9</v>
      </c>
      <c r="M31" s="1"/>
      <c r="N31" s="1"/>
      <c r="O31" s="1"/>
      <c r="P31" s="1"/>
      <c r="Q31" s="62"/>
      <c r="X31">
        <v>2023</v>
      </c>
    </row>
    <row r="32" spans="1:24" x14ac:dyDescent="0.25">
      <c r="A32" t="s">
        <v>110</v>
      </c>
      <c r="B32" s="52">
        <v>44967</v>
      </c>
      <c r="C32" t="s">
        <v>111</v>
      </c>
      <c r="D32" t="s">
        <v>57</v>
      </c>
      <c r="E32" t="s">
        <v>37</v>
      </c>
      <c r="F32">
        <v>1000</v>
      </c>
      <c r="G32">
        <v>1000</v>
      </c>
      <c r="H32">
        <v>5</v>
      </c>
      <c r="I32" s="1">
        <f t="shared" si="0"/>
        <v>5</v>
      </c>
      <c r="J32">
        <v>385</v>
      </c>
      <c r="L32" s="1">
        <v>2125</v>
      </c>
      <c r="M32" s="1"/>
      <c r="N32" s="1"/>
      <c r="O32" s="1"/>
      <c r="P32" s="1"/>
      <c r="Q32" s="62"/>
      <c r="X32">
        <v>2023</v>
      </c>
    </row>
    <row r="33" spans="1:24" x14ac:dyDescent="0.25">
      <c r="A33" t="s">
        <v>112</v>
      </c>
      <c r="B33" s="52">
        <v>44967</v>
      </c>
      <c r="C33" t="s">
        <v>113</v>
      </c>
      <c r="D33" t="s">
        <v>70</v>
      </c>
      <c r="E33" t="s">
        <v>32</v>
      </c>
      <c r="F33">
        <v>1000</v>
      </c>
      <c r="G33">
        <v>1000</v>
      </c>
      <c r="H33">
        <v>10</v>
      </c>
      <c r="I33" s="1">
        <f t="shared" si="0"/>
        <v>10</v>
      </c>
      <c r="J33">
        <v>473.11</v>
      </c>
      <c r="L33" s="1">
        <v>4981.1000000000004</v>
      </c>
      <c r="M33" s="1"/>
      <c r="N33" s="1"/>
      <c r="O33" s="1"/>
      <c r="P33" s="1"/>
      <c r="Q33" s="62"/>
      <c r="R33" t="s">
        <v>28</v>
      </c>
      <c r="X33">
        <v>2023</v>
      </c>
    </row>
    <row r="34" spans="1:24" x14ac:dyDescent="0.25">
      <c r="A34" t="s">
        <v>114</v>
      </c>
      <c r="B34" s="52">
        <v>44970</v>
      </c>
      <c r="C34" t="s">
        <v>115</v>
      </c>
      <c r="D34" t="s">
        <v>31</v>
      </c>
      <c r="E34" t="s">
        <v>32</v>
      </c>
      <c r="F34">
        <v>1237.5</v>
      </c>
      <c r="G34">
        <v>2384.5</v>
      </c>
      <c r="H34">
        <v>15</v>
      </c>
      <c r="I34" s="1">
        <f t="shared" si="0"/>
        <v>44.262281250000001</v>
      </c>
      <c r="J34">
        <v>230</v>
      </c>
      <c r="L34" s="1">
        <v>12614.8</v>
      </c>
      <c r="M34" s="1"/>
      <c r="N34" s="1"/>
      <c r="O34" s="1"/>
      <c r="P34" s="1"/>
      <c r="Q34" s="62"/>
      <c r="R34" t="s">
        <v>28</v>
      </c>
      <c r="X34">
        <v>2023</v>
      </c>
    </row>
    <row r="35" spans="1:24" x14ac:dyDescent="0.25">
      <c r="A35" t="s">
        <v>116</v>
      </c>
      <c r="B35" s="52">
        <v>44971</v>
      </c>
      <c r="C35" t="s">
        <v>117</v>
      </c>
      <c r="D35" t="s">
        <v>46</v>
      </c>
      <c r="E35" t="s">
        <v>27</v>
      </c>
      <c r="F35">
        <v>1900</v>
      </c>
      <c r="G35">
        <v>1300</v>
      </c>
      <c r="H35">
        <v>150</v>
      </c>
      <c r="I35" s="1">
        <f t="shared" si="0"/>
        <v>370.5</v>
      </c>
      <c r="J35">
        <v>197.58</v>
      </c>
      <c r="L35" s="1">
        <v>75303.39</v>
      </c>
      <c r="M35" s="1"/>
      <c r="N35" s="1"/>
      <c r="O35" s="1"/>
      <c r="P35" s="1"/>
      <c r="Q35" s="62"/>
      <c r="R35" t="s">
        <v>28</v>
      </c>
      <c r="X35">
        <v>2023</v>
      </c>
    </row>
    <row r="36" spans="1:24" x14ac:dyDescent="0.25">
      <c r="A36" t="s">
        <v>118</v>
      </c>
      <c r="B36" s="52">
        <v>44971</v>
      </c>
      <c r="C36" t="s">
        <v>119</v>
      </c>
      <c r="D36" t="s">
        <v>46</v>
      </c>
      <c r="E36" t="s">
        <v>37</v>
      </c>
      <c r="F36">
        <v>1000</v>
      </c>
      <c r="G36">
        <v>1000</v>
      </c>
      <c r="H36">
        <v>100</v>
      </c>
      <c r="I36" s="1">
        <f t="shared" si="0"/>
        <v>100</v>
      </c>
      <c r="J36">
        <v>284.68</v>
      </c>
      <c r="L36" s="1">
        <v>29298</v>
      </c>
      <c r="M36" s="1"/>
      <c r="N36" s="1"/>
      <c r="O36" s="1"/>
      <c r="P36" s="1"/>
      <c r="Q36" s="62"/>
      <c r="R36" t="s">
        <v>28</v>
      </c>
      <c r="X36">
        <v>2023</v>
      </c>
    </row>
    <row r="37" spans="1:24" s="4" customFormat="1" x14ac:dyDescent="0.25">
      <c r="A37" s="4" t="s">
        <v>120</v>
      </c>
      <c r="B37" s="54"/>
      <c r="C37" s="4" t="s">
        <v>109</v>
      </c>
      <c r="E37" s="4" t="s">
        <v>121</v>
      </c>
      <c r="F37" s="4" t="s">
        <v>122</v>
      </c>
      <c r="H37" s="4" t="s">
        <v>123</v>
      </c>
      <c r="I37" s="6" t="e">
        <f t="shared" si="0"/>
        <v>#VALUE!</v>
      </c>
      <c r="L37" s="6"/>
      <c r="M37" s="6"/>
      <c r="N37" s="6"/>
      <c r="O37" s="1"/>
      <c r="P37" s="6"/>
      <c r="Q37" s="17"/>
      <c r="S37" s="4" t="s">
        <v>124</v>
      </c>
      <c r="X37" s="4">
        <v>2023</v>
      </c>
    </row>
    <row r="38" spans="1:24" x14ac:dyDescent="0.25">
      <c r="A38" t="s">
        <v>125</v>
      </c>
      <c r="B38" s="52">
        <v>44974</v>
      </c>
      <c r="C38" t="s">
        <v>126</v>
      </c>
      <c r="D38" t="s">
        <v>36</v>
      </c>
      <c r="E38" t="s">
        <v>37</v>
      </c>
      <c r="F38">
        <v>420</v>
      </c>
      <c r="G38">
        <v>420</v>
      </c>
      <c r="H38">
        <v>120</v>
      </c>
      <c r="I38" s="1">
        <f t="shared" si="0"/>
        <v>21.167999999999999</v>
      </c>
      <c r="J38">
        <v>343.1</v>
      </c>
      <c r="L38" s="1">
        <v>10084.83</v>
      </c>
      <c r="M38" s="1"/>
      <c r="N38" s="1"/>
      <c r="O38" s="1"/>
      <c r="P38" s="1"/>
      <c r="Q38" s="62"/>
      <c r="R38" t="s">
        <v>28</v>
      </c>
      <c r="S38" t="s">
        <v>127</v>
      </c>
      <c r="X38">
        <v>2023</v>
      </c>
    </row>
    <row r="39" spans="1:24" x14ac:dyDescent="0.25">
      <c r="A39" t="s">
        <v>128</v>
      </c>
      <c r="B39" s="52">
        <v>44979</v>
      </c>
      <c r="C39" t="s">
        <v>129</v>
      </c>
      <c r="D39" t="s">
        <v>83</v>
      </c>
      <c r="E39" t="s">
        <v>32</v>
      </c>
      <c r="F39">
        <v>1000</v>
      </c>
      <c r="G39">
        <v>1000</v>
      </c>
      <c r="H39">
        <v>5</v>
      </c>
      <c r="I39" s="1">
        <f t="shared" si="0"/>
        <v>5</v>
      </c>
      <c r="J39">
        <v>450</v>
      </c>
      <c r="L39" s="1">
        <v>2450</v>
      </c>
      <c r="M39" s="1"/>
      <c r="N39" s="1"/>
      <c r="O39" s="1"/>
      <c r="P39" s="1"/>
      <c r="Q39" s="62"/>
      <c r="R39" t="s">
        <v>28</v>
      </c>
      <c r="X39">
        <v>2023</v>
      </c>
    </row>
    <row r="40" spans="1:24" x14ac:dyDescent="0.25">
      <c r="A40" t="s">
        <v>130</v>
      </c>
      <c r="B40" s="52">
        <v>44979</v>
      </c>
      <c r="C40" t="s">
        <v>113</v>
      </c>
      <c r="D40" t="s">
        <v>70</v>
      </c>
      <c r="E40" t="s">
        <v>32</v>
      </c>
      <c r="F40">
        <v>1000</v>
      </c>
      <c r="G40">
        <v>1000</v>
      </c>
      <c r="H40">
        <v>5</v>
      </c>
      <c r="I40" s="1">
        <f t="shared" si="0"/>
        <v>5</v>
      </c>
      <c r="J40">
        <v>450</v>
      </c>
      <c r="L40" s="1">
        <v>2400</v>
      </c>
      <c r="M40" s="1"/>
      <c r="N40" s="1"/>
      <c r="O40" s="1"/>
      <c r="P40" s="1"/>
      <c r="Q40" s="62"/>
      <c r="R40" t="s">
        <v>28</v>
      </c>
      <c r="X40">
        <v>2023</v>
      </c>
    </row>
    <row r="41" spans="1:24" x14ac:dyDescent="0.25">
      <c r="A41" t="s">
        <v>131</v>
      </c>
      <c r="B41" s="52">
        <v>44979</v>
      </c>
      <c r="C41" t="s">
        <v>132</v>
      </c>
      <c r="D41" t="s">
        <v>57</v>
      </c>
      <c r="E41" t="s">
        <v>27</v>
      </c>
      <c r="F41">
        <v>1000</v>
      </c>
      <c r="G41">
        <v>1000</v>
      </c>
      <c r="H41">
        <v>5</v>
      </c>
      <c r="I41" s="1">
        <f t="shared" si="0"/>
        <v>5</v>
      </c>
      <c r="J41">
        <v>340</v>
      </c>
      <c r="L41" s="1">
        <v>1900</v>
      </c>
      <c r="M41" s="1"/>
      <c r="N41" s="1"/>
      <c r="O41" s="1"/>
      <c r="P41" s="1"/>
      <c r="Q41" s="62"/>
      <c r="R41" t="s">
        <v>28</v>
      </c>
      <c r="X41">
        <v>2023</v>
      </c>
    </row>
    <row r="42" spans="1:24" x14ac:dyDescent="0.25">
      <c r="A42" t="s">
        <v>133</v>
      </c>
      <c r="B42" s="52">
        <v>44980</v>
      </c>
      <c r="C42" t="s">
        <v>134</v>
      </c>
      <c r="D42" t="s">
        <v>46</v>
      </c>
      <c r="E42" t="s">
        <v>27</v>
      </c>
      <c r="F42">
        <v>1000</v>
      </c>
      <c r="G42">
        <v>1000</v>
      </c>
      <c r="H42">
        <v>200</v>
      </c>
      <c r="I42" s="1">
        <f t="shared" si="0"/>
        <v>200</v>
      </c>
      <c r="J42">
        <v>204.32</v>
      </c>
      <c r="L42" s="1">
        <v>43714</v>
      </c>
      <c r="M42" s="1"/>
      <c r="N42" s="1"/>
      <c r="O42" s="1"/>
      <c r="P42" s="1"/>
      <c r="Q42" s="62"/>
      <c r="R42" t="s">
        <v>28</v>
      </c>
      <c r="X42">
        <v>2023</v>
      </c>
    </row>
    <row r="43" spans="1:24" x14ac:dyDescent="0.25">
      <c r="A43" t="s">
        <v>135</v>
      </c>
      <c r="B43" s="52">
        <v>44986</v>
      </c>
      <c r="C43" t="s">
        <v>134</v>
      </c>
      <c r="D43" t="s">
        <v>46</v>
      </c>
      <c r="E43" t="s">
        <v>37</v>
      </c>
      <c r="F43">
        <v>1000</v>
      </c>
      <c r="G43">
        <v>1000</v>
      </c>
      <c r="H43">
        <v>200</v>
      </c>
      <c r="I43" s="1">
        <f t="shared" si="0"/>
        <v>200</v>
      </c>
      <c r="J43">
        <v>265.62</v>
      </c>
      <c r="L43" s="1">
        <v>56034</v>
      </c>
      <c r="M43" s="1"/>
      <c r="N43" s="1"/>
      <c r="O43" s="1"/>
      <c r="P43" s="1"/>
      <c r="Q43" s="62"/>
      <c r="R43" t="s">
        <v>28</v>
      </c>
      <c r="X43">
        <v>2023</v>
      </c>
    </row>
    <row r="44" spans="1:24" x14ac:dyDescent="0.25">
      <c r="A44" t="s">
        <v>136</v>
      </c>
      <c r="B44" s="52">
        <v>44984</v>
      </c>
      <c r="C44" s="7" t="s">
        <v>137</v>
      </c>
      <c r="D44" s="7" t="s">
        <v>138</v>
      </c>
      <c r="E44" t="s">
        <v>27</v>
      </c>
      <c r="F44">
        <v>1000</v>
      </c>
      <c r="G44">
        <v>1000</v>
      </c>
      <c r="H44">
        <v>5</v>
      </c>
      <c r="I44" s="1">
        <f t="shared" si="0"/>
        <v>5</v>
      </c>
      <c r="J44">
        <v>340</v>
      </c>
      <c r="L44" s="1">
        <v>1850</v>
      </c>
      <c r="M44" s="1"/>
      <c r="N44" s="1"/>
      <c r="O44" s="1"/>
      <c r="P44" s="1"/>
      <c r="Q44" s="62"/>
      <c r="R44" t="s">
        <v>28</v>
      </c>
      <c r="X44">
        <v>2023</v>
      </c>
    </row>
    <row r="45" spans="1:24" x14ac:dyDescent="0.25">
      <c r="A45" t="s">
        <v>139</v>
      </c>
      <c r="B45" s="52">
        <v>44985</v>
      </c>
      <c r="C45" s="8" t="s">
        <v>140</v>
      </c>
      <c r="D45" s="8" t="s">
        <v>31</v>
      </c>
      <c r="E45" t="s">
        <v>32</v>
      </c>
      <c r="F45">
        <v>1000</v>
      </c>
      <c r="G45">
        <v>1000</v>
      </c>
      <c r="H45">
        <v>25</v>
      </c>
      <c r="I45" s="1">
        <f t="shared" si="0"/>
        <v>25</v>
      </c>
      <c r="J45">
        <v>411.88</v>
      </c>
      <c r="L45" s="1">
        <v>11202</v>
      </c>
      <c r="M45" s="1"/>
      <c r="N45" s="1"/>
      <c r="O45" s="1"/>
      <c r="P45" s="1"/>
      <c r="Q45" s="62"/>
      <c r="R45" t="s">
        <v>28</v>
      </c>
      <c r="X45">
        <v>2023</v>
      </c>
    </row>
    <row r="46" spans="1:24" x14ac:dyDescent="0.25">
      <c r="A46" t="s">
        <v>141</v>
      </c>
      <c r="B46" s="52">
        <v>44986</v>
      </c>
      <c r="C46" s="8" t="s">
        <v>45</v>
      </c>
      <c r="D46" s="8" t="s">
        <v>46</v>
      </c>
      <c r="E46" t="s">
        <v>27</v>
      </c>
      <c r="F46">
        <v>1000</v>
      </c>
      <c r="G46">
        <v>1000</v>
      </c>
      <c r="H46">
        <v>200</v>
      </c>
      <c r="I46" s="1">
        <f t="shared" si="0"/>
        <v>200</v>
      </c>
      <c r="J46">
        <v>204.32</v>
      </c>
      <c r="L46" s="1">
        <v>42524</v>
      </c>
      <c r="M46" s="1"/>
      <c r="N46" s="1"/>
      <c r="O46" s="1"/>
      <c r="P46" s="1"/>
      <c r="Q46" s="62"/>
      <c r="R46" t="s">
        <v>28</v>
      </c>
      <c r="X46">
        <v>2023</v>
      </c>
    </row>
    <row r="47" spans="1:24" x14ac:dyDescent="0.25">
      <c r="A47" t="s">
        <v>142</v>
      </c>
      <c r="B47" s="52">
        <v>44986</v>
      </c>
      <c r="C47" s="8" t="s">
        <v>143</v>
      </c>
      <c r="D47" s="8" t="s">
        <v>52</v>
      </c>
      <c r="E47" t="s">
        <v>37</v>
      </c>
      <c r="F47">
        <v>1000</v>
      </c>
      <c r="G47">
        <v>1200</v>
      </c>
      <c r="H47">
        <v>400</v>
      </c>
      <c r="I47" s="1">
        <f t="shared" si="0"/>
        <v>480</v>
      </c>
      <c r="J47">
        <v>254.51</v>
      </c>
      <c r="L47" s="1">
        <v>126134.8</v>
      </c>
      <c r="M47" s="1"/>
      <c r="N47" s="1"/>
      <c r="O47" s="1"/>
      <c r="P47" s="1"/>
      <c r="Q47" s="62"/>
      <c r="R47" t="s">
        <v>28</v>
      </c>
      <c r="X47">
        <v>2023</v>
      </c>
    </row>
    <row r="48" spans="1:24" x14ac:dyDescent="0.25">
      <c r="A48" t="s">
        <v>144</v>
      </c>
      <c r="B48" s="52">
        <v>44986</v>
      </c>
      <c r="C48" s="8" t="s">
        <v>145</v>
      </c>
      <c r="D48" s="8" t="s">
        <v>146</v>
      </c>
      <c r="E48" t="s">
        <v>32</v>
      </c>
      <c r="F48">
        <v>1000</v>
      </c>
      <c r="G48">
        <v>1000</v>
      </c>
      <c r="H48">
        <v>10</v>
      </c>
      <c r="I48" s="1">
        <f t="shared" si="0"/>
        <v>10</v>
      </c>
      <c r="J48">
        <v>450</v>
      </c>
      <c r="L48" s="1">
        <v>4750</v>
      </c>
      <c r="M48" s="1"/>
      <c r="N48" s="1"/>
      <c r="O48" s="1"/>
      <c r="P48" s="1"/>
      <c r="Q48" s="62"/>
      <c r="R48" t="s">
        <v>28</v>
      </c>
      <c r="X48">
        <v>2023</v>
      </c>
    </row>
    <row r="49" spans="1:24" x14ac:dyDescent="0.25">
      <c r="A49" t="s">
        <v>147</v>
      </c>
      <c r="B49" s="52">
        <v>44986</v>
      </c>
      <c r="C49" s="8" t="s">
        <v>148</v>
      </c>
      <c r="D49" s="8" t="s">
        <v>57</v>
      </c>
      <c r="E49" t="s">
        <v>27</v>
      </c>
      <c r="F49">
        <v>870</v>
      </c>
      <c r="G49">
        <v>870</v>
      </c>
      <c r="H49">
        <v>110</v>
      </c>
      <c r="I49" s="1">
        <f t="shared" si="0"/>
        <v>83.259</v>
      </c>
      <c r="J49">
        <v>221.41</v>
      </c>
      <c r="L49" s="1">
        <v>19994.599999999999</v>
      </c>
      <c r="M49" s="1"/>
      <c r="N49" s="1"/>
      <c r="O49" s="1"/>
      <c r="P49" s="1" t="s">
        <v>149</v>
      </c>
      <c r="Q49" s="62">
        <v>45181</v>
      </c>
      <c r="R49" t="s">
        <v>28</v>
      </c>
      <c r="X49">
        <v>2023</v>
      </c>
    </row>
    <row r="50" spans="1:24" x14ac:dyDescent="0.25">
      <c r="A50" t="s">
        <v>150</v>
      </c>
      <c r="B50" s="52">
        <v>44988</v>
      </c>
      <c r="C50" s="8" t="s">
        <v>151</v>
      </c>
      <c r="D50" s="8" t="s">
        <v>36</v>
      </c>
      <c r="E50" t="s">
        <v>27</v>
      </c>
      <c r="F50">
        <v>606</v>
      </c>
      <c r="G50">
        <v>606</v>
      </c>
      <c r="H50">
        <v>250</v>
      </c>
      <c r="I50" s="1">
        <f t="shared" si="0"/>
        <v>91.808999999999997</v>
      </c>
      <c r="J50">
        <v>220.05</v>
      </c>
      <c r="L50" s="1">
        <v>27117.79</v>
      </c>
      <c r="M50" s="1"/>
      <c r="N50" s="1"/>
      <c r="O50" s="1"/>
      <c r="P50" s="1"/>
      <c r="Q50" s="62"/>
      <c r="R50" t="s">
        <v>28</v>
      </c>
      <c r="S50" t="s">
        <v>152</v>
      </c>
      <c r="X50">
        <v>2023</v>
      </c>
    </row>
    <row r="51" spans="1:24" x14ac:dyDescent="0.25">
      <c r="A51" t="s">
        <v>153</v>
      </c>
      <c r="B51" s="52">
        <v>44988</v>
      </c>
      <c r="C51" s="8" t="s">
        <v>151</v>
      </c>
      <c r="D51" s="8" t="s">
        <v>36</v>
      </c>
      <c r="E51" t="s">
        <v>37</v>
      </c>
      <c r="F51">
        <v>606</v>
      </c>
      <c r="G51">
        <v>606</v>
      </c>
      <c r="H51">
        <v>250</v>
      </c>
      <c r="I51" s="1">
        <f t="shared" si="0"/>
        <v>91.808999999999997</v>
      </c>
      <c r="J51">
        <v>286.07</v>
      </c>
      <c r="L51" s="1">
        <v>33179.089999999997</v>
      </c>
      <c r="M51" s="1"/>
      <c r="N51" s="1"/>
      <c r="O51" s="1"/>
      <c r="P51" s="1"/>
      <c r="Q51" s="62"/>
      <c r="S51" t="s">
        <v>152</v>
      </c>
      <c r="X51">
        <v>2023</v>
      </c>
    </row>
    <row r="52" spans="1:24" x14ac:dyDescent="0.25">
      <c r="A52" t="s">
        <v>154</v>
      </c>
      <c r="B52" s="52">
        <v>44988</v>
      </c>
      <c r="C52" s="8" t="s">
        <v>151</v>
      </c>
      <c r="D52" s="8" t="s">
        <v>36</v>
      </c>
      <c r="E52" t="s">
        <v>32</v>
      </c>
      <c r="F52">
        <v>606</v>
      </c>
      <c r="G52">
        <v>606</v>
      </c>
      <c r="H52">
        <v>250</v>
      </c>
      <c r="I52" s="1">
        <f t="shared" si="0"/>
        <v>91.808999999999997</v>
      </c>
      <c r="J52">
        <v>355.18</v>
      </c>
      <c r="L52" s="1">
        <v>38704.080000000002</v>
      </c>
      <c r="M52" s="1"/>
      <c r="N52" s="1"/>
      <c r="O52" s="1"/>
      <c r="P52" s="1"/>
      <c r="Q52" s="62"/>
      <c r="S52" t="s">
        <v>152</v>
      </c>
      <c r="X52">
        <v>2023</v>
      </c>
    </row>
    <row r="53" spans="1:24" x14ac:dyDescent="0.25">
      <c r="A53" t="s">
        <v>155</v>
      </c>
      <c r="B53" s="52">
        <v>44991</v>
      </c>
      <c r="C53" s="8" t="s">
        <v>156</v>
      </c>
      <c r="D53" s="8" t="s">
        <v>157</v>
      </c>
      <c r="E53" t="s">
        <v>27</v>
      </c>
      <c r="F53">
        <v>1000</v>
      </c>
      <c r="G53">
        <v>1000</v>
      </c>
      <c r="H53">
        <v>5</v>
      </c>
      <c r="I53" s="1">
        <f t="shared" si="0"/>
        <v>5</v>
      </c>
      <c r="J53">
        <v>340</v>
      </c>
      <c r="L53" s="1">
        <v>1700</v>
      </c>
      <c r="M53" s="1"/>
      <c r="N53" s="1"/>
      <c r="O53" s="1"/>
      <c r="P53" s="1"/>
      <c r="Q53" s="62"/>
      <c r="R53" t="s">
        <v>28</v>
      </c>
      <c r="X53">
        <v>2023</v>
      </c>
    </row>
    <row r="54" spans="1:24" x14ac:dyDescent="0.25">
      <c r="B54" s="52"/>
      <c r="C54" s="8" t="s">
        <v>156</v>
      </c>
      <c r="D54" s="8" t="s">
        <v>157</v>
      </c>
      <c r="E54" t="s">
        <v>37</v>
      </c>
      <c r="F54">
        <v>1000</v>
      </c>
      <c r="G54">
        <v>1000</v>
      </c>
      <c r="H54">
        <v>5</v>
      </c>
      <c r="I54" s="1">
        <f t="shared" si="0"/>
        <v>5</v>
      </c>
      <c r="J54">
        <v>385</v>
      </c>
      <c r="L54" s="1">
        <v>1925</v>
      </c>
      <c r="M54" s="1"/>
      <c r="N54" s="1"/>
      <c r="O54" s="1"/>
      <c r="P54" s="1"/>
      <c r="Q54" s="62"/>
      <c r="S54" s="2" t="s">
        <v>158</v>
      </c>
      <c r="X54">
        <v>2023</v>
      </c>
    </row>
    <row r="55" spans="1:24" x14ac:dyDescent="0.25">
      <c r="A55" t="s">
        <v>159</v>
      </c>
      <c r="B55" s="52">
        <v>44991</v>
      </c>
      <c r="C55" s="8" t="s">
        <v>160</v>
      </c>
      <c r="D55" s="8" t="s">
        <v>83</v>
      </c>
      <c r="E55" t="s">
        <v>27</v>
      </c>
      <c r="F55">
        <v>1000</v>
      </c>
      <c r="G55">
        <v>1000</v>
      </c>
      <c r="H55">
        <v>5</v>
      </c>
      <c r="I55" s="1">
        <f t="shared" si="0"/>
        <v>5</v>
      </c>
      <c r="J55">
        <v>340</v>
      </c>
      <c r="L55" s="1">
        <v>1700</v>
      </c>
      <c r="M55" s="1"/>
      <c r="N55" s="1"/>
      <c r="O55" s="1"/>
      <c r="P55" s="1"/>
      <c r="Q55" s="62"/>
      <c r="R55" t="s">
        <v>28</v>
      </c>
      <c r="X55">
        <v>2023</v>
      </c>
    </row>
    <row r="56" spans="1:24" x14ac:dyDescent="0.25">
      <c r="B56" s="52"/>
      <c r="C56" s="8" t="s">
        <v>160</v>
      </c>
      <c r="D56" s="8" t="s">
        <v>83</v>
      </c>
      <c r="E56" t="s">
        <v>37</v>
      </c>
      <c r="F56">
        <v>1000</v>
      </c>
      <c r="G56">
        <v>1000</v>
      </c>
      <c r="H56">
        <v>5</v>
      </c>
      <c r="I56" s="1">
        <f t="shared" si="0"/>
        <v>5</v>
      </c>
      <c r="J56">
        <v>385</v>
      </c>
      <c r="L56" s="1">
        <v>1925</v>
      </c>
      <c r="M56" s="1"/>
      <c r="N56" s="1"/>
      <c r="O56" s="1"/>
      <c r="P56" s="1"/>
      <c r="Q56" s="62"/>
      <c r="S56" s="2" t="s">
        <v>161</v>
      </c>
      <c r="X56">
        <v>2023</v>
      </c>
    </row>
    <row r="57" spans="1:24" x14ac:dyDescent="0.25">
      <c r="A57" t="s">
        <v>162</v>
      </c>
      <c r="B57" s="52">
        <v>44992</v>
      </c>
      <c r="C57" s="8" t="s">
        <v>163</v>
      </c>
      <c r="D57" s="8" t="s">
        <v>157</v>
      </c>
      <c r="E57" t="s">
        <v>27</v>
      </c>
      <c r="F57">
        <v>1000</v>
      </c>
      <c r="G57">
        <v>1000</v>
      </c>
      <c r="H57">
        <v>5</v>
      </c>
      <c r="I57" s="1">
        <f t="shared" si="0"/>
        <v>5</v>
      </c>
      <c r="J57">
        <v>340</v>
      </c>
      <c r="L57" s="1">
        <v>1850</v>
      </c>
      <c r="M57" s="1"/>
      <c r="N57" s="1"/>
      <c r="O57" s="1"/>
      <c r="P57" s="1"/>
      <c r="Q57" s="62"/>
      <c r="R57" t="s">
        <v>28</v>
      </c>
      <c r="X57">
        <v>2023</v>
      </c>
    </row>
    <row r="58" spans="1:24" x14ac:dyDescent="0.25">
      <c r="A58" t="s">
        <v>164</v>
      </c>
      <c r="B58" s="52">
        <v>44992</v>
      </c>
      <c r="C58" s="8" t="s">
        <v>165</v>
      </c>
      <c r="D58" s="8" t="s">
        <v>138</v>
      </c>
      <c r="E58" t="s">
        <v>32</v>
      </c>
      <c r="F58">
        <v>1000</v>
      </c>
      <c r="G58">
        <v>1000</v>
      </c>
      <c r="H58">
        <v>5</v>
      </c>
      <c r="I58" s="1">
        <f t="shared" si="0"/>
        <v>5</v>
      </c>
      <c r="J58">
        <v>450</v>
      </c>
      <c r="L58" s="1">
        <v>2400</v>
      </c>
      <c r="M58" s="1"/>
      <c r="N58" s="1"/>
      <c r="O58" s="1"/>
      <c r="P58" s="1"/>
      <c r="Q58" s="62"/>
      <c r="R58" t="s">
        <v>28</v>
      </c>
      <c r="X58">
        <v>2023</v>
      </c>
    </row>
    <row r="59" spans="1:24" x14ac:dyDescent="0.25">
      <c r="A59" t="s">
        <v>166</v>
      </c>
      <c r="B59" s="52">
        <v>44998</v>
      </c>
      <c r="C59" s="8" t="s">
        <v>132</v>
      </c>
      <c r="D59" s="8" t="s">
        <v>57</v>
      </c>
      <c r="E59" t="s">
        <v>27</v>
      </c>
      <c r="F59">
        <v>1020</v>
      </c>
      <c r="G59">
        <v>1020</v>
      </c>
      <c r="H59">
        <v>20</v>
      </c>
      <c r="I59" s="1">
        <f t="shared" si="0"/>
        <v>20.808</v>
      </c>
      <c r="J59">
        <v>264.91000000000003</v>
      </c>
      <c r="L59" s="1">
        <v>6692.78</v>
      </c>
      <c r="M59" s="1"/>
      <c r="N59" s="1"/>
      <c r="O59" s="1"/>
      <c r="P59" s="1"/>
      <c r="Q59" s="62"/>
      <c r="R59" t="s">
        <v>28</v>
      </c>
      <c r="X59">
        <v>2023</v>
      </c>
    </row>
    <row r="60" spans="1:24" x14ac:dyDescent="0.25">
      <c r="A60" t="s">
        <v>167</v>
      </c>
      <c r="B60" s="52">
        <v>44999</v>
      </c>
      <c r="C60" s="8" t="s">
        <v>117</v>
      </c>
      <c r="D60" s="8" t="s">
        <v>46</v>
      </c>
      <c r="E60" t="s">
        <v>37</v>
      </c>
      <c r="F60">
        <v>1300</v>
      </c>
      <c r="G60">
        <v>1800</v>
      </c>
      <c r="H60">
        <v>150</v>
      </c>
      <c r="I60" s="1">
        <f t="shared" si="0"/>
        <v>351</v>
      </c>
      <c r="J60">
        <v>283.17</v>
      </c>
      <c r="L60" s="1">
        <v>101492.67</v>
      </c>
      <c r="M60" s="1"/>
      <c r="N60" s="1"/>
      <c r="O60" s="1"/>
      <c r="P60" s="1"/>
      <c r="Q60" s="62"/>
      <c r="X60">
        <v>2023</v>
      </c>
    </row>
    <row r="61" spans="1:24" x14ac:dyDescent="0.25">
      <c r="A61" t="s">
        <v>168</v>
      </c>
      <c r="B61" s="52">
        <v>45008</v>
      </c>
      <c r="C61" s="8" t="s">
        <v>169</v>
      </c>
      <c r="D61" s="8" t="s">
        <v>103</v>
      </c>
      <c r="E61" t="s">
        <v>27</v>
      </c>
      <c r="F61">
        <v>1477</v>
      </c>
      <c r="G61">
        <v>2370</v>
      </c>
      <c r="H61">
        <v>100</v>
      </c>
      <c r="I61" s="1">
        <f t="shared" si="0"/>
        <v>350.04899999999998</v>
      </c>
      <c r="J61">
        <v>198.04</v>
      </c>
      <c r="L61" s="1">
        <v>74859.899999999994</v>
      </c>
      <c r="M61" s="1"/>
      <c r="N61" s="1"/>
      <c r="O61" s="1"/>
      <c r="P61" s="1"/>
      <c r="Q61" s="62"/>
      <c r="X61">
        <v>2023</v>
      </c>
    </row>
    <row r="62" spans="1:24" x14ac:dyDescent="0.25">
      <c r="A62" t="s">
        <v>170</v>
      </c>
      <c r="B62" s="52">
        <v>45001</v>
      </c>
      <c r="C62" s="8" t="s">
        <v>171</v>
      </c>
      <c r="D62" s="8" t="s">
        <v>31</v>
      </c>
      <c r="E62" t="s">
        <v>27</v>
      </c>
      <c r="F62">
        <v>1002</v>
      </c>
      <c r="G62">
        <v>1222</v>
      </c>
      <c r="H62">
        <v>40</v>
      </c>
      <c r="I62" s="1">
        <f t="shared" si="0"/>
        <v>48.977760000000004</v>
      </c>
      <c r="J62">
        <v>231.56</v>
      </c>
      <c r="L62" s="1">
        <v>12299.81</v>
      </c>
      <c r="M62" s="1"/>
      <c r="N62" s="1"/>
      <c r="O62" s="1"/>
      <c r="P62" s="1"/>
      <c r="Q62" s="62"/>
      <c r="R62" t="s">
        <v>28</v>
      </c>
      <c r="X62">
        <v>2023</v>
      </c>
    </row>
    <row r="63" spans="1:24" x14ac:dyDescent="0.25">
      <c r="A63" t="s">
        <v>172</v>
      </c>
      <c r="B63" s="52">
        <v>45001</v>
      </c>
      <c r="C63" s="8" t="s">
        <v>171</v>
      </c>
      <c r="D63" s="8" t="s">
        <v>31</v>
      </c>
      <c r="E63" t="s">
        <v>27</v>
      </c>
      <c r="F63">
        <v>1002</v>
      </c>
      <c r="G63">
        <v>1222</v>
      </c>
      <c r="H63">
        <v>250</v>
      </c>
      <c r="I63" s="1">
        <f t="shared" si="0"/>
        <v>306.11099999999999</v>
      </c>
      <c r="J63">
        <v>199.24</v>
      </c>
      <c r="L63" s="1">
        <v>63784.36</v>
      </c>
      <c r="M63" s="1"/>
      <c r="N63" s="1"/>
      <c r="O63" s="1"/>
      <c r="P63" s="1"/>
      <c r="Q63" s="62"/>
      <c r="R63" t="s">
        <v>28</v>
      </c>
      <c r="X63">
        <v>2023</v>
      </c>
    </row>
    <row r="64" spans="1:24" x14ac:dyDescent="0.25">
      <c r="A64" t="s">
        <v>173</v>
      </c>
      <c r="B64" s="52">
        <v>45000</v>
      </c>
      <c r="C64" s="8" t="s">
        <v>69</v>
      </c>
      <c r="D64" s="8" t="s">
        <v>70</v>
      </c>
      <c r="E64" t="s">
        <v>27</v>
      </c>
      <c r="F64">
        <v>1020</v>
      </c>
      <c r="G64">
        <v>1020</v>
      </c>
      <c r="H64">
        <v>20</v>
      </c>
      <c r="I64" s="1">
        <f t="shared" si="0"/>
        <v>20.808</v>
      </c>
      <c r="J64">
        <v>264.91000000000003</v>
      </c>
      <c r="L64" s="1">
        <v>6436.78</v>
      </c>
      <c r="M64" s="1"/>
      <c r="N64" s="1"/>
      <c r="O64" s="1"/>
      <c r="P64" s="1"/>
      <c r="Q64" s="62"/>
      <c r="R64" t="s">
        <v>28</v>
      </c>
      <c r="X64">
        <v>2023</v>
      </c>
    </row>
    <row r="65" spans="1:24" x14ac:dyDescent="0.25">
      <c r="A65" t="s">
        <v>174</v>
      </c>
      <c r="B65" s="52">
        <v>45001</v>
      </c>
      <c r="C65" s="8" t="s">
        <v>175</v>
      </c>
      <c r="D65" s="8" t="s">
        <v>176</v>
      </c>
      <c r="E65" t="s">
        <v>27</v>
      </c>
      <c r="F65">
        <v>1000</v>
      </c>
      <c r="G65">
        <v>1000</v>
      </c>
      <c r="H65">
        <v>200</v>
      </c>
      <c r="I65" s="1">
        <f t="shared" si="0"/>
        <v>200</v>
      </c>
      <c r="J65">
        <v>204.32</v>
      </c>
      <c r="L65" s="1">
        <v>42524</v>
      </c>
      <c r="M65" s="1"/>
      <c r="N65" s="1"/>
      <c r="O65" s="1"/>
      <c r="P65" s="1"/>
      <c r="Q65" s="62"/>
      <c r="R65" t="s">
        <v>28</v>
      </c>
      <c r="X65">
        <v>2023</v>
      </c>
    </row>
    <row r="66" spans="1:24" x14ac:dyDescent="0.25">
      <c r="A66" t="s">
        <v>177</v>
      </c>
      <c r="B66" s="52">
        <v>45001</v>
      </c>
      <c r="C66" s="8" t="s">
        <v>178</v>
      </c>
      <c r="D66" s="8" t="s">
        <v>57</v>
      </c>
      <c r="E66" t="s">
        <v>27</v>
      </c>
      <c r="F66">
        <v>1000</v>
      </c>
      <c r="G66">
        <v>1000</v>
      </c>
      <c r="H66">
        <v>25</v>
      </c>
      <c r="I66" s="1">
        <f t="shared" ref="I66:I129" si="1">$F66*$G66*$H66/1000000</f>
        <v>25</v>
      </c>
      <c r="J66">
        <v>280.70999999999998</v>
      </c>
      <c r="L66" s="1">
        <v>7847.75</v>
      </c>
      <c r="M66" s="1"/>
      <c r="N66" s="1"/>
      <c r="O66" s="1"/>
      <c r="P66" s="1"/>
      <c r="Q66" s="62"/>
      <c r="R66" t="s">
        <v>28</v>
      </c>
      <c r="X66">
        <v>2023</v>
      </c>
    </row>
    <row r="67" spans="1:24" x14ac:dyDescent="0.25">
      <c r="A67" t="s">
        <v>179</v>
      </c>
      <c r="B67" s="52">
        <v>45006</v>
      </c>
      <c r="C67" s="8" t="s">
        <v>41</v>
      </c>
      <c r="D67" s="8" t="s">
        <v>42</v>
      </c>
      <c r="E67" t="s">
        <v>27</v>
      </c>
      <c r="F67">
        <v>1668</v>
      </c>
      <c r="G67">
        <v>1668</v>
      </c>
      <c r="H67">
        <v>350</v>
      </c>
      <c r="I67" s="1">
        <f t="shared" si="1"/>
        <v>973.77840000000003</v>
      </c>
      <c r="J67">
        <v>199</v>
      </c>
      <c r="L67" s="1">
        <v>200096.22</v>
      </c>
      <c r="M67" s="1"/>
      <c r="N67" s="1"/>
      <c r="O67" s="1"/>
      <c r="P67" s="1"/>
      <c r="Q67" s="62"/>
      <c r="S67" t="s">
        <v>180</v>
      </c>
      <c r="T67" s="3">
        <v>45043</v>
      </c>
      <c r="U67">
        <v>199</v>
      </c>
      <c r="W67" s="1">
        <v>168876.09</v>
      </c>
      <c r="X67">
        <v>2023</v>
      </c>
    </row>
    <row r="68" spans="1:24" x14ac:dyDescent="0.25">
      <c r="A68" t="s">
        <v>181</v>
      </c>
      <c r="B68" s="52">
        <v>45008</v>
      </c>
      <c r="C68" s="8" t="s">
        <v>182</v>
      </c>
      <c r="D68" s="8" t="s">
        <v>57</v>
      </c>
      <c r="E68" t="s">
        <v>27</v>
      </c>
      <c r="F68">
        <v>1000</v>
      </c>
      <c r="G68">
        <v>1000</v>
      </c>
      <c r="H68">
        <v>10</v>
      </c>
      <c r="I68" s="1">
        <f t="shared" si="1"/>
        <v>10</v>
      </c>
      <c r="J68">
        <v>322.43</v>
      </c>
      <c r="L68" s="1">
        <v>3624.3</v>
      </c>
      <c r="M68" s="1"/>
      <c r="N68" s="1"/>
      <c r="O68" s="1"/>
      <c r="P68" s="1"/>
      <c r="Q68" s="62"/>
      <c r="R68" t="s">
        <v>28</v>
      </c>
      <c r="X68">
        <v>2023</v>
      </c>
    </row>
    <row r="69" spans="1:24" x14ac:dyDescent="0.25">
      <c r="A69" t="s">
        <v>183</v>
      </c>
      <c r="B69" s="52">
        <v>45008</v>
      </c>
      <c r="C69" t="s">
        <v>184</v>
      </c>
      <c r="D69" s="8" t="s">
        <v>46</v>
      </c>
      <c r="E69" t="s">
        <v>37</v>
      </c>
      <c r="F69">
        <v>1000</v>
      </c>
      <c r="G69">
        <v>1000</v>
      </c>
      <c r="H69">
        <v>6</v>
      </c>
      <c r="I69" s="1">
        <f t="shared" si="1"/>
        <v>6</v>
      </c>
      <c r="J69">
        <v>423.5</v>
      </c>
      <c r="L69" s="1">
        <v>2691</v>
      </c>
      <c r="M69" s="1"/>
      <c r="N69" s="1"/>
      <c r="O69" s="1"/>
      <c r="P69" s="1"/>
      <c r="Q69" s="62"/>
      <c r="R69" t="s">
        <v>28</v>
      </c>
      <c r="X69">
        <v>2023</v>
      </c>
    </row>
    <row r="70" spans="1:24" x14ac:dyDescent="0.25">
      <c r="A70" t="s">
        <v>185</v>
      </c>
      <c r="B70" s="52">
        <v>45008</v>
      </c>
      <c r="C70" s="9" t="s">
        <v>186</v>
      </c>
      <c r="D70" s="9" t="s">
        <v>187</v>
      </c>
      <c r="E70" t="s">
        <v>27</v>
      </c>
      <c r="F70">
        <v>1000</v>
      </c>
      <c r="G70">
        <v>1000</v>
      </c>
      <c r="H70">
        <v>5</v>
      </c>
      <c r="I70" s="1">
        <f t="shared" si="1"/>
        <v>5</v>
      </c>
      <c r="J70">
        <v>340</v>
      </c>
      <c r="L70" s="1">
        <v>1900</v>
      </c>
      <c r="M70" s="1"/>
      <c r="N70" s="1"/>
      <c r="O70" s="1"/>
      <c r="P70" s="1"/>
      <c r="Q70" s="62"/>
      <c r="R70" t="s">
        <v>28</v>
      </c>
      <c r="X70">
        <v>2023</v>
      </c>
    </row>
    <row r="71" spans="1:24" x14ac:dyDescent="0.25">
      <c r="A71" t="s">
        <v>188</v>
      </c>
      <c r="B71" s="52">
        <v>45013</v>
      </c>
      <c r="C71" s="8" t="s">
        <v>189</v>
      </c>
      <c r="D71" s="8" t="s">
        <v>57</v>
      </c>
      <c r="E71" t="s">
        <v>27</v>
      </c>
      <c r="F71">
        <v>1000</v>
      </c>
      <c r="G71">
        <v>1000</v>
      </c>
      <c r="H71">
        <v>50</v>
      </c>
      <c r="I71" s="1">
        <f t="shared" si="1"/>
        <v>50</v>
      </c>
      <c r="J71">
        <v>254.16</v>
      </c>
      <c r="L71" s="1">
        <v>13538</v>
      </c>
      <c r="M71" s="1"/>
      <c r="N71" s="1"/>
      <c r="O71" s="1"/>
      <c r="P71" s="1"/>
      <c r="Q71" s="62"/>
      <c r="S71" t="s">
        <v>190</v>
      </c>
      <c r="X71">
        <v>2023</v>
      </c>
    </row>
    <row r="72" spans="1:24" x14ac:dyDescent="0.25">
      <c r="A72" t="s">
        <v>191</v>
      </c>
      <c r="B72" s="52">
        <v>45013</v>
      </c>
      <c r="C72" s="8" t="s">
        <v>189</v>
      </c>
      <c r="D72" s="8" t="s">
        <v>57</v>
      </c>
      <c r="E72" t="s">
        <v>27</v>
      </c>
      <c r="F72">
        <v>1000</v>
      </c>
      <c r="G72">
        <v>1200</v>
      </c>
      <c r="H72">
        <v>42</v>
      </c>
      <c r="I72" s="1">
        <f t="shared" si="1"/>
        <v>50.4</v>
      </c>
      <c r="J72">
        <v>254.16</v>
      </c>
      <c r="L72" s="1">
        <v>13639.66</v>
      </c>
      <c r="M72" s="1"/>
      <c r="N72" s="1"/>
      <c r="O72" s="1"/>
      <c r="P72" s="1"/>
      <c r="Q72" s="62"/>
      <c r="S72" t="s">
        <v>190</v>
      </c>
      <c r="X72">
        <v>2023</v>
      </c>
    </row>
    <row r="73" spans="1:24" x14ac:dyDescent="0.25">
      <c r="A73" t="s">
        <v>192</v>
      </c>
      <c r="B73" s="52">
        <v>45008</v>
      </c>
      <c r="C73" s="8" t="s">
        <v>193</v>
      </c>
      <c r="D73" s="8" t="s">
        <v>57</v>
      </c>
      <c r="E73" t="s">
        <v>27</v>
      </c>
      <c r="F73">
        <v>1000</v>
      </c>
      <c r="G73">
        <v>1000</v>
      </c>
      <c r="H73">
        <v>100</v>
      </c>
      <c r="I73" s="1">
        <f t="shared" si="1"/>
        <v>100</v>
      </c>
      <c r="J73">
        <v>240.89</v>
      </c>
      <c r="L73" s="1">
        <v>24919</v>
      </c>
      <c r="M73" s="1"/>
      <c r="N73" s="1"/>
      <c r="O73" s="1"/>
      <c r="P73" s="1"/>
      <c r="Q73" s="62"/>
      <c r="R73" t="s">
        <v>28</v>
      </c>
      <c r="X73">
        <v>2023</v>
      </c>
    </row>
    <row r="74" spans="1:24" x14ac:dyDescent="0.25">
      <c r="A74" t="s">
        <v>194</v>
      </c>
      <c r="B74" s="52">
        <v>45008</v>
      </c>
      <c r="C74" s="8" t="s">
        <v>195</v>
      </c>
      <c r="D74" s="8" t="s">
        <v>46</v>
      </c>
      <c r="E74" t="s">
        <v>27</v>
      </c>
      <c r="F74">
        <v>1000</v>
      </c>
      <c r="G74">
        <v>1000</v>
      </c>
      <c r="H74">
        <v>200</v>
      </c>
      <c r="I74" s="1">
        <f t="shared" si="1"/>
        <v>200</v>
      </c>
      <c r="J74">
        <v>224.75</v>
      </c>
      <c r="L74" s="1">
        <v>46610</v>
      </c>
      <c r="M74" s="1"/>
      <c r="N74" s="1"/>
      <c r="O74" s="1"/>
      <c r="P74" s="1"/>
      <c r="Q74" s="62"/>
      <c r="R74" t="s">
        <v>28</v>
      </c>
      <c r="X74">
        <v>2023</v>
      </c>
    </row>
    <row r="75" spans="1:24" x14ac:dyDescent="0.25">
      <c r="A75" t="s">
        <v>196</v>
      </c>
      <c r="B75" s="52">
        <v>45008</v>
      </c>
      <c r="C75" s="8" t="s">
        <v>195</v>
      </c>
      <c r="D75" s="8" t="s">
        <v>46</v>
      </c>
      <c r="E75" t="s">
        <v>37</v>
      </c>
      <c r="F75">
        <v>1000</v>
      </c>
      <c r="G75">
        <v>1000</v>
      </c>
      <c r="H75">
        <v>200</v>
      </c>
      <c r="I75" s="1">
        <f t="shared" si="1"/>
        <v>200</v>
      </c>
      <c r="J75">
        <v>292.18</v>
      </c>
      <c r="L75" s="1">
        <v>60096</v>
      </c>
      <c r="M75" s="1"/>
      <c r="N75" s="1"/>
      <c r="O75" s="1"/>
      <c r="P75" s="1"/>
      <c r="Q75" s="62"/>
      <c r="X75">
        <v>2023</v>
      </c>
    </row>
    <row r="76" spans="1:24" x14ac:dyDescent="0.25">
      <c r="A76" t="s">
        <v>197</v>
      </c>
      <c r="B76" s="52">
        <v>45009</v>
      </c>
      <c r="C76" s="8" t="s">
        <v>198</v>
      </c>
      <c r="D76" s="8" t="s">
        <v>176</v>
      </c>
      <c r="E76" t="s">
        <v>27</v>
      </c>
      <c r="F76">
        <v>1000</v>
      </c>
      <c r="G76">
        <v>1000</v>
      </c>
      <c r="H76">
        <v>200</v>
      </c>
      <c r="I76" s="1">
        <f t="shared" si="1"/>
        <v>200</v>
      </c>
      <c r="J76">
        <v>204.32</v>
      </c>
      <c r="L76" s="1">
        <v>42524</v>
      </c>
      <c r="M76" s="1"/>
      <c r="N76" s="1"/>
      <c r="O76" s="1"/>
      <c r="P76" s="1"/>
      <c r="Q76" s="62"/>
      <c r="X76">
        <v>2023</v>
      </c>
    </row>
    <row r="77" spans="1:24" x14ac:dyDescent="0.25">
      <c r="A77" t="s">
        <v>199</v>
      </c>
      <c r="B77" s="52">
        <v>45015</v>
      </c>
      <c r="C77" s="8" t="s">
        <v>200</v>
      </c>
      <c r="D77" s="8" t="s">
        <v>157</v>
      </c>
      <c r="E77" t="s">
        <v>27</v>
      </c>
      <c r="F77">
        <v>530</v>
      </c>
      <c r="G77">
        <v>400</v>
      </c>
      <c r="H77">
        <v>95</v>
      </c>
      <c r="I77" s="1">
        <f t="shared" si="1"/>
        <v>20.14</v>
      </c>
      <c r="J77">
        <v>266.83999999999997</v>
      </c>
      <c r="L77" s="1">
        <v>7000.51</v>
      </c>
      <c r="M77" s="1"/>
      <c r="N77" s="1"/>
      <c r="O77" s="1"/>
      <c r="P77" s="1"/>
      <c r="Q77" s="62"/>
      <c r="T77" s="62">
        <v>45058</v>
      </c>
      <c r="U77">
        <v>275.88</v>
      </c>
      <c r="X77">
        <v>2023</v>
      </c>
    </row>
    <row r="78" spans="1:24" x14ac:dyDescent="0.25">
      <c r="A78" t="s">
        <v>201</v>
      </c>
      <c r="B78" s="52">
        <v>45015</v>
      </c>
      <c r="C78" s="8" t="s">
        <v>202</v>
      </c>
      <c r="D78" s="8" t="s">
        <v>100</v>
      </c>
      <c r="E78" t="s">
        <v>27</v>
      </c>
      <c r="F78">
        <v>1000</v>
      </c>
      <c r="G78">
        <v>1000</v>
      </c>
      <c r="H78">
        <v>100</v>
      </c>
      <c r="I78" s="1">
        <f t="shared" si="1"/>
        <v>100</v>
      </c>
      <c r="J78">
        <v>218.99</v>
      </c>
      <c r="L78" s="1">
        <v>23794</v>
      </c>
      <c r="M78" s="1"/>
      <c r="N78" s="1"/>
      <c r="O78" s="1"/>
      <c r="P78" s="1"/>
      <c r="Q78" s="62"/>
      <c r="X78">
        <v>2023</v>
      </c>
    </row>
    <row r="79" spans="1:24" ht="75" x14ac:dyDescent="0.25">
      <c r="A79" t="s">
        <v>203</v>
      </c>
      <c r="B79" s="52">
        <v>45015</v>
      </c>
      <c r="C79" s="8" t="s">
        <v>35</v>
      </c>
      <c r="D79" s="8" t="s">
        <v>36</v>
      </c>
      <c r="E79" t="s">
        <v>37</v>
      </c>
      <c r="F79">
        <v>855</v>
      </c>
      <c r="G79">
        <v>855</v>
      </c>
      <c r="H79">
        <v>1200</v>
      </c>
      <c r="I79" s="1">
        <f t="shared" si="1"/>
        <v>877.23</v>
      </c>
      <c r="J79">
        <v>269.64</v>
      </c>
      <c r="L79" s="1">
        <v>260545.3</v>
      </c>
      <c r="M79" s="1"/>
      <c r="N79" s="1"/>
      <c r="O79" s="1"/>
      <c r="P79" s="1"/>
      <c r="Q79" s="62"/>
      <c r="S79" s="10" t="s">
        <v>204</v>
      </c>
      <c r="X79">
        <v>2023</v>
      </c>
    </row>
    <row r="80" spans="1:24" x14ac:dyDescent="0.25">
      <c r="A80" t="s">
        <v>205</v>
      </c>
      <c r="B80" s="52">
        <v>45015</v>
      </c>
      <c r="C80" s="8" t="s">
        <v>206</v>
      </c>
      <c r="D80" s="8" t="s">
        <v>36</v>
      </c>
      <c r="E80" t="s">
        <v>27</v>
      </c>
      <c r="F80">
        <v>1020</v>
      </c>
      <c r="G80">
        <v>1020</v>
      </c>
      <c r="H80">
        <v>1150</v>
      </c>
      <c r="I80" s="1">
        <f t="shared" si="1"/>
        <v>1196.46</v>
      </c>
      <c r="J80">
        <v>186.1</v>
      </c>
      <c r="L80" s="1">
        <v>222661.21</v>
      </c>
      <c r="M80" s="1"/>
      <c r="N80" s="1"/>
      <c r="O80" s="1"/>
      <c r="P80" s="1"/>
      <c r="Q80" s="62"/>
      <c r="S80" t="s">
        <v>207</v>
      </c>
      <c r="X80">
        <v>2023</v>
      </c>
    </row>
    <row r="81" spans="1:24" x14ac:dyDescent="0.25">
      <c r="B81" s="52"/>
      <c r="C81" s="8" t="s">
        <v>206</v>
      </c>
      <c r="D81" s="8" t="s">
        <v>36</v>
      </c>
      <c r="E81" t="s">
        <v>37</v>
      </c>
      <c r="F81">
        <v>1020</v>
      </c>
      <c r="G81">
        <v>1020</v>
      </c>
      <c r="H81">
        <v>1150</v>
      </c>
      <c r="I81" s="1">
        <f t="shared" si="1"/>
        <v>1196.46</v>
      </c>
      <c r="J81">
        <v>241.93</v>
      </c>
      <c r="L81" s="1">
        <v>289459.57</v>
      </c>
      <c r="M81" s="1"/>
      <c r="N81" s="1"/>
      <c r="O81" s="1"/>
      <c r="P81" s="1"/>
      <c r="Q81" s="62"/>
      <c r="S81" t="s">
        <v>207</v>
      </c>
      <c r="X81">
        <v>2023</v>
      </c>
    </row>
    <row r="82" spans="1:24" x14ac:dyDescent="0.25">
      <c r="B82" s="52"/>
      <c r="C82" s="8" t="s">
        <v>206</v>
      </c>
      <c r="D82" s="8" t="s">
        <v>36</v>
      </c>
      <c r="E82" t="s">
        <v>32</v>
      </c>
      <c r="F82">
        <v>1020</v>
      </c>
      <c r="G82">
        <v>1020</v>
      </c>
      <c r="H82">
        <v>1150</v>
      </c>
      <c r="I82" s="1">
        <f t="shared" si="1"/>
        <v>1196.46</v>
      </c>
      <c r="J82">
        <v>300.36</v>
      </c>
      <c r="L82" s="1">
        <v>359368.73</v>
      </c>
      <c r="M82" s="1"/>
      <c r="N82" s="1"/>
      <c r="O82" s="1"/>
      <c r="P82" s="1"/>
      <c r="Q82" s="62"/>
      <c r="S82" t="s">
        <v>207</v>
      </c>
      <c r="X82">
        <v>2023</v>
      </c>
    </row>
    <row r="83" spans="1:24" x14ac:dyDescent="0.25">
      <c r="B83" s="52"/>
      <c r="C83" s="8" t="s">
        <v>206</v>
      </c>
      <c r="D83" s="8" t="s">
        <v>36</v>
      </c>
      <c r="E83" t="s">
        <v>27</v>
      </c>
      <c r="F83">
        <v>1020</v>
      </c>
      <c r="G83">
        <v>1020</v>
      </c>
      <c r="H83">
        <v>1600</v>
      </c>
      <c r="I83" s="1">
        <f t="shared" si="1"/>
        <v>1664.64</v>
      </c>
      <c r="J83">
        <v>184.19</v>
      </c>
      <c r="L83" s="1">
        <v>306610.03999999998</v>
      </c>
      <c r="M83" s="1"/>
      <c r="N83" s="1"/>
      <c r="O83" s="1"/>
      <c r="P83" s="1"/>
      <c r="Q83" s="62"/>
      <c r="S83" t="s">
        <v>208</v>
      </c>
      <c r="X83">
        <v>2023</v>
      </c>
    </row>
    <row r="84" spans="1:24" x14ac:dyDescent="0.25">
      <c r="B84" s="52"/>
      <c r="C84" s="8" t="s">
        <v>206</v>
      </c>
      <c r="D84" s="8" t="s">
        <v>36</v>
      </c>
      <c r="E84" t="s">
        <v>37</v>
      </c>
      <c r="F84">
        <v>1020</v>
      </c>
      <c r="G84">
        <v>1020</v>
      </c>
      <c r="H84">
        <v>1600</v>
      </c>
      <c r="I84" s="1">
        <f t="shared" si="1"/>
        <v>1664.64</v>
      </c>
      <c r="J84">
        <v>239.45</v>
      </c>
      <c r="L84" s="1">
        <v>398598.05</v>
      </c>
      <c r="M84" s="1"/>
      <c r="N84" s="1"/>
      <c r="O84" s="1"/>
      <c r="P84" s="1"/>
      <c r="Q84" s="62"/>
      <c r="S84" t="s">
        <v>208</v>
      </c>
      <c r="X84">
        <v>2023</v>
      </c>
    </row>
    <row r="85" spans="1:24" x14ac:dyDescent="0.25">
      <c r="B85" s="52"/>
      <c r="C85" s="8" t="s">
        <v>206</v>
      </c>
      <c r="D85" s="8" t="s">
        <v>36</v>
      </c>
      <c r="E85" t="s">
        <v>32</v>
      </c>
      <c r="F85">
        <v>1020</v>
      </c>
      <c r="G85">
        <v>1020</v>
      </c>
      <c r="H85">
        <v>1600</v>
      </c>
      <c r="I85" s="1">
        <f t="shared" si="1"/>
        <v>1664.64</v>
      </c>
      <c r="J85">
        <v>297.27999999999997</v>
      </c>
      <c r="L85" s="1">
        <v>494864.18</v>
      </c>
      <c r="M85" s="1"/>
      <c r="N85" s="1"/>
      <c r="O85" s="1"/>
      <c r="P85" s="1"/>
      <c r="Q85" s="62"/>
      <c r="S85" t="s">
        <v>208</v>
      </c>
      <c r="X85">
        <v>2023</v>
      </c>
    </row>
    <row r="86" spans="1:24" x14ac:dyDescent="0.25">
      <c r="A86" t="s">
        <v>209</v>
      </c>
      <c r="B86" s="52">
        <v>45009</v>
      </c>
      <c r="C86" t="s">
        <v>210</v>
      </c>
      <c r="D86" s="8" t="s">
        <v>31</v>
      </c>
      <c r="E86" t="s">
        <v>32</v>
      </c>
      <c r="F86">
        <v>1000</v>
      </c>
      <c r="G86">
        <v>1000</v>
      </c>
      <c r="H86">
        <v>5</v>
      </c>
      <c r="I86" s="1">
        <f t="shared" si="1"/>
        <v>5</v>
      </c>
      <c r="J86">
        <v>450</v>
      </c>
      <c r="L86" s="1">
        <v>2400</v>
      </c>
      <c r="M86" s="1"/>
      <c r="N86" s="1"/>
      <c r="O86" s="1"/>
      <c r="P86" s="1"/>
      <c r="Q86" s="62"/>
      <c r="X86">
        <v>2023</v>
      </c>
    </row>
    <row r="87" spans="1:24" x14ac:dyDescent="0.25">
      <c r="A87" t="s">
        <v>211</v>
      </c>
      <c r="B87" s="52">
        <v>45016</v>
      </c>
      <c r="C87" s="8" t="s">
        <v>140</v>
      </c>
      <c r="D87" s="8" t="s">
        <v>31</v>
      </c>
      <c r="E87" t="s">
        <v>32</v>
      </c>
      <c r="F87">
        <v>1000</v>
      </c>
      <c r="G87">
        <v>1000</v>
      </c>
      <c r="H87">
        <v>20</v>
      </c>
      <c r="I87" s="1">
        <f t="shared" si="1"/>
        <v>20</v>
      </c>
      <c r="J87">
        <v>431.37</v>
      </c>
      <c r="L87" s="1">
        <v>9532.4</v>
      </c>
      <c r="M87" s="1"/>
      <c r="N87" s="1"/>
      <c r="O87" s="1"/>
      <c r="P87" s="1"/>
      <c r="Q87" s="62"/>
      <c r="X87">
        <v>2023</v>
      </c>
    </row>
    <row r="88" spans="1:24" x14ac:dyDescent="0.25">
      <c r="A88" t="s">
        <v>212</v>
      </c>
      <c r="B88" s="52">
        <v>45015</v>
      </c>
      <c r="C88" s="8" t="s">
        <v>200</v>
      </c>
      <c r="D88" s="8" t="s">
        <v>157</v>
      </c>
      <c r="E88" t="s">
        <v>27</v>
      </c>
      <c r="F88">
        <v>1000</v>
      </c>
      <c r="G88">
        <v>1000</v>
      </c>
      <c r="H88">
        <v>14</v>
      </c>
      <c r="I88" s="1">
        <f t="shared" si="1"/>
        <v>14</v>
      </c>
      <c r="J88">
        <v>278.35000000000002</v>
      </c>
      <c r="L88" s="1">
        <v>4726.8999999999996</v>
      </c>
      <c r="M88" s="1"/>
      <c r="N88" s="1"/>
      <c r="O88" s="1"/>
      <c r="P88" s="1"/>
      <c r="Q88" s="62"/>
      <c r="T88" s="62">
        <v>45061</v>
      </c>
      <c r="U88">
        <v>275.88</v>
      </c>
      <c r="W88">
        <v>4543.2</v>
      </c>
      <c r="X88">
        <v>2023</v>
      </c>
    </row>
    <row r="89" spans="1:24" x14ac:dyDescent="0.25">
      <c r="A89" t="s">
        <v>213</v>
      </c>
      <c r="B89" s="52">
        <v>45016</v>
      </c>
      <c r="C89" s="8" t="s">
        <v>214</v>
      </c>
      <c r="D89" s="8" t="s">
        <v>103</v>
      </c>
      <c r="E89" t="s">
        <v>27</v>
      </c>
      <c r="F89">
        <v>1000</v>
      </c>
      <c r="G89">
        <v>1000</v>
      </c>
      <c r="H89">
        <v>10</v>
      </c>
      <c r="I89" s="1">
        <f t="shared" si="1"/>
        <v>10</v>
      </c>
      <c r="J89">
        <v>293.12</v>
      </c>
      <c r="L89" s="1">
        <v>3081.2</v>
      </c>
      <c r="M89" s="1"/>
      <c r="N89" s="1"/>
      <c r="O89" s="1"/>
      <c r="P89" s="1"/>
      <c r="Q89" s="62"/>
      <c r="R89" t="s">
        <v>15</v>
      </c>
      <c r="X89">
        <v>2023</v>
      </c>
    </row>
    <row r="90" spans="1:24" x14ac:dyDescent="0.25">
      <c r="A90" t="s">
        <v>215</v>
      </c>
      <c r="B90" s="52">
        <v>45016</v>
      </c>
      <c r="C90" s="8" t="s">
        <v>216</v>
      </c>
      <c r="D90" s="8" t="s">
        <v>103</v>
      </c>
      <c r="E90" t="s">
        <v>27</v>
      </c>
      <c r="F90">
        <v>1000</v>
      </c>
      <c r="G90">
        <v>1000</v>
      </c>
      <c r="H90">
        <v>5</v>
      </c>
      <c r="I90" s="1">
        <f t="shared" si="1"/>
        <v>5</v>
      </c>
      <c r="J90">
        <v>340</v>
      </c>
      <c r="L90" s="1">
        <v>1775</v>
      </c>
      <c r="M90" s="1"/>
      <c r="N90" s="1"/>
      <c r="O90" s="1"/>
      <c r="P90" s="1"/>
      <c r="Q90" s="62"/>
      <c r="R90" t="s">
        <v>15</v>
      </c>
      <c r="X90">
        <v>2023</v>
      </c>
    </row>
    <row r="91" spans="1:24" x14ac:dyDescent="0.25">
      <c r="A91" t="s">
        <v>217</v>
      </c>
      <c r="B91" s="52">
        <v>45016</v>
      </c>
      <c r="C91" s="8" t="s">
        <v>218</v>
      </c>
      <c r="D91" s="8" t="s">
        <v>103</v>
      </c>
      <c r="E91" t="s">
        <v>32</v>
      </c>
      <c r="F91">
        <v>1000</v>
      </c>
      <c r="G91">
        <v>1000</v>
      </c>
      <c r="H91">
        <v>5</v>
      </c>
      <c r="I91" s="1">
        <f t="shared" si="1"/>
        <v>5</v>
      </c>
      <c r="J91">
        <v>450</v>
      </c>
      <c r="L91" s="1">
        <v>2325</v>
      </c>
      <c r="M91" s="1"/>
      <c r="N91" s="1"/>
      <c r="O91" s="1"/>
      <c r="P91" s="1"/>
      <c r="Q91" s="62"/>
      <c r="X91">
        <v>2023</v>
      </c>
    </row>
    <row r="92" spans="1:24" x14ac:dyDescent="0.25">
      <c r="A92" t="s">
        <v>219</v>
      </c>
      <c r="B92" s="52">
        <v>45020</v>
      </c>
      <c r="C92" s="8" t="s">
        <v>220</v>
      </c>
      <c r="D92" s="8" t="s">
        <v>52</v>
      </c>
      <c r="E92" t="s">
        <v>27</v>
      </c>
      <c r="F92">
        <v>1000</v>
      </c>
      <c r="G92">
        <v>1000</v>
      </c>
      <c r="H92">
        <v>5</v>
      </c>
      <c r="I92" s="1">
        <f t="shared" si="1"/>
        <v>5</v>
      </c>
      <c r="J92">
        <v>340</v>
      </c>
      <c r="L92" s="1">
        <v>1850</v>
      </c>
      <c r="M92" s="1"/>
      <c r="N92" s="1"/>
      <c r="O92" s="1"/>
      <c r="P92" s="1"/>
      <c r="Q92" s="62"/>
      <c r="X92">
        <v>2023</v>
      </c>
    </row>
    <row r="93" spans="1:24" x14ac:dyDescent="0.25">
      <c r="B93" s="52"/>
      <c r="C93" s="8" t="s">
        <v>220</v>
      </c>
      <c r="D93" s="8" t="s">
        <v>52</v>
      </c>
      <c r="E93" t="s">
        <v>37</v>
      </c>
      <c r="F93">
        <v>1000</v>
      </c>
      <c r="G93">
        <v>1000</v>
      </c>
      <c r="H93">
        <v>5</v>
      </c>
      <c r="I93" s="1">
        <f t="shared" si="1"/>
        <v>5</v>
      </c>
      <c r="J93">
        <v>385</v>
      </c>
      <c r="L93" s="1">
        <v>2075</v>
      </c>
      <c r="M93" s="1"/>
      <c r="N93" s="1"/>
      <c r="O93" s="1"/>
      <c r="P93" s="1"/>
      <c r="Q93" s="62"/>
      <c r="X93">
        <v>2023</v>
      </c>
    </row>
    <row r="94" spans="1:24" x14ac:dyDescent="0.25">
      <c r="B94" s="52"/>
      <c r="C94" s="8" t="s">
        <v>220</v>
      </c>
      <c r="D94" s="8" t="s">
        <v>52</v>
      </c>
      <c r="E94" t="s">
        <v>32</v>
      </c>
      <c r="F94">
        <v>1000</v>
      </c>
      <c r="G94">
        <v>1000</v>
      </c>
      <c r="H94">
        <v>5</v>
      </c>
      <c r="I94" s="1">
        <f t="shared" si="1"/>
        <v>5</v>
      </c>
      <c r="J94">
        <v>450</v>
      </c>
      <c r="L94" s="1">
        <v>2400</v>
      </c>
      <c r="M94" s="1"/>
      <c r="N94" s="1"/>
      <c r="O94" s="1"/>
      <c r="P94" s="1"/>
      <c r="Q94" s="62"/>
      <c r="X94">
        <v>2023</v>
      </c>
    </row>
    <row r="95" spans="1:24" x14ac:dyDescent="0.25">
      <c r="A95" t="s">
        <v>221</v>
      </c>
      <c r="B95" s="52">
        <v>45020</v>
      </c>
      <c r="C95" s="8" t="s">
        <v>222</v>
      </c>
      <c r="D95" s="8" t="s">
        <v>57</v>
      </c>
      <c r="E95" t="s">
        <v>27</v>
      </c>
      <c r="F95">
        <v>1000</v>
      </c>
      <c r="G95">
        <v>1000</v>
      </c>
      <c r="H95">
        <v>5</v>
      </c>
      <c r="I95" s="1">
        <f t="shared" si="1"/>
        <v>5</v>
      </c>
      <c r="J95">
        <v>374</v>
      </c>
      <c r="L95" s="1">
        <v>2070</v>
      </c>
      <c r="M95" s="1"/>
      <c r="N95" s="1"/>
      <c r="O95" s="1"/>
      <c r="P95" s="1"/>
      <c r="Q95" s="62"/>
      <c r="X95">
        <v>2023</v>
      </c>
    </row>
    <row r="96" spans="1:24" x14ac:dyDescent="0.25">
      <c r="A96" t="s">
        <v>223</v>
      </c>
      <c r="B96" s="52">
        <v>45020</v>
      </c>
      <c r="C96" s="8" t="s">
        <v>35</v>
      </c>
      <c r="D96" s="8" t="s">
        <v>36</v>
      </c>
      <c r="E96" t="s">
        <v>32</v>
      </c>
      <c r="F96">
        <v>855</v>
      </c>
      <c r="G96">
        <v>855</v>
      </c>
      <c r="H96">
        <v>310</v>
      </c>
      <c r="I96" s="1">
        <f t="shared" si="1"/>
        <v>226.61775</v>
      </c>
      <c r="J96">
        <v>327</v>
      </c>
      <c r="L96" s="1">
        <v>79239.44</v>
      </c>
      <c r="M96" s="1"/>
      <c r="N96" s="1"/>
      <c r="O96" s="1"/>
      <c r="P96" s="1"/>
      <c r="Q96" s="62"/>
      <c r="S96" t="s">
        <v>224</v>
      </c>
      <c r="W96" s="1">
        <v>69847.039999999994</v>
      </c>
      <c r="X96">
        <v>2023</v>
      </c>
    </row>
    <row r="97" spans="1:24" x14ac:dyDescent="0.25">
      <c r="A97" t="s">
        <v>225</v>
      </c>
      <c r="B97" s="52">
        <v>45022</v>
      </c>
      <c r="C97" s="8" t="s">
        <v>143</v>
      </c>
      <c r="D97" s="8" t="s">
        <v>52</v>
      </c>
      <c r="E97" t="s">
        <v>37</v>
      </c>
      <c r="F97">
        <v>1000</v>
      </c>
      <c r="G97">
        <v>1200</v>
      </c>
      <c r="H97">
        <v>710</v>
      </c>
      <c r="I97" s="1">
        <f t="shared" si="1"/>
        <v>852</v>
      </c>
      <c r="J97">
        <v>257.75</v>
      </c>
      <c r="L97" s="1">
        <v>227223</v>
      </c>
      <c r="M97" s="1"/>
      <c r="N97" s="1"/>
      <c r="O97" s="1"/>
      <c r="P97" s="1"/>
      <c r="Q97" s="62"/>
      <c r="S97" s="5" t="s">
        <v>226</v>
      </c>
      <c r="X97">
        <v>2023</v>
      </c>
    </row>
    <row r="98" spans="1:24" x14ac:dyDescent="0.25">
      <c r="A98" t="s">
        <v>227</v>
      </c>
      <c r="B98" s="52">
        <v>45022</v>
      </c>
      <c r="C98" s="8" t="s">
        <v>143</v>
      </c>
      <c r="D98" s="8" t="s">
        <v>52</v>
      </c>
      <c r="E98" t="s">
        <v>37</v>
      </c>
      <c r="F98">
        <v>1000</v>
      </c>
      <c r="G98">
        <v>1200</v>
      </c>
      <c r="H98">
        <v>2130</v>
      </c>
      <c r="I98" s="1">
        <f t="shared" si="1"/>
        <v>2556</v>
      </c>
      <c r="J98">
        <v>249.1</v>
      </c>
      <c r="L98" s="1">
        <v>657479.6</v>
      </c>
      <c r="M98" s="1"/>
      <c r="N98" s="1"/>
      <c r="O98" s="1"/>
      <c r="P98" s="1"/>
      <c r="Q98" s="62"/>
      <c r="S98" s="5" t="s">
        <v>226</v>
      </c>
      <c r="X98">
        <v>2023</v>
      </c>
    </row>
    <row r="99" spans="1:24" x14ac:dyDescent="0.25">
      <c r="A99" t="s">
        <v>228</v>
      </c>
      <c r="B99" s="52">
        <v>45020</v>
      </c>
      <c r="C99" s="8" t="s">
        <v>229</v>
      </c>
      <c r="D99" s="8" t="s">
        <v>230</v>
      </c>
      <c r="E99" t="s">
        <v>32</v>
      </c>
      <c r="F99">
        <v>1000</v>
      </c>
      <c r="G99">
        <v>1000</v>
      </c>
      <c r="H99">
        <v>5</v>
      </c>
      <c r="I99" s="1">
        <f t="shared" si="1"/>
        <v>5</v>
      </c>
      <c r="J99">
        <v>450</v>
      </c>
      <c r="L99" s="1">
        <v>2450</v>
      </c>
      <c r="M99" s="1"/>
      <c r="N99" s="1"/>
      <c r="O99" s="1"/>
      <c r="P99" s="1"/>
      <c r="Q99" s="62"/>
      <c r="X99">
        <v>2023</v>
      </c>
    </row>
    <row r="100" spans="1:24" x14ac:dyDescent="0.25">
      <c r="A100" t="s">
        <v>231</v>
      </c>
      <c r="B100" s="52">
        <v>45020</v>
      </c>
      <c r="C100" s="8" t="s">
        <v>229</v>
      </c>
      <c r="D100" s="8" t="s">
        <v>230</v>
      </c>
      <c r="E100" t="s">
        <v>27</v>
      </c>
      <c r="F100">
        <v>1000</v>
      </c>
      <c r="G100">
        <v>1000</v>
      </c>
      <c r="H100">
        <v>5</v>
      </c>
      <c r="I100" s="1">
        <f t="shared" si="1"/>
        <v>5</v>
      </c>
      <c r="J100">
        <v>340</v>
      </c>
      <c r="L100" s="1">
        <v>1900</v>
      </c>
      <c r="M100" s="1"/>
      <c r="N100" s="1"/>
      <c r="O100" s="1"/>
      <c r="P100" s="1"/>
      <c r="Q100" s="62"/>
      <c r="X100">
        <v>2023</v>
      </c>
    </row>
    <row r="101" spans="1:24" x14ac:dyDescent="0.25">
      <c r="A101" t="s">
        <v>232</v>
      </c>
      <c r="B101" s="52">
        <v>45020</v>
      </c>
      <c r="C101" s="8" t="s">
        <v>233</v>
      </c>
      <c r="D101" s="8" t="s">
        <v>83</v>
      </c>
      <c r="E101" t="s">
        <v>27</v>
      </c>
      <c r="F101">
        <v>1000</v>
      </c>
      <c r="G101">
        <v>1000</v>
      </c>
      <c r="H101">
        <v>5</v>
      </c>
      <c r="I101" s="1">
        <f t="shared" si="1"/>
        <v>5</v>
      </c>
      <c r="J101">
        <v>340</v>
      </c>
      <c r="L101" s="1">
        <v>1700</v>
      </c>
      <c r="M101" s="1"/>
      <c r="N101" s="1"/>
      <c r="O101" s="1"/>
      <c r="P101" s="1"/>
      <c r="Q101" s="62"/>
      <c r="X101">
        <v>2023</v>
      </c>
    </row>
    <row r="102" spans="1:24" x14ac:dyDescent="0.25">
      <c r="B102" s="52"/>
      <c r="C102" s="8" t="s">
        <v>233</v>
      </c>
      <c r="D102" s="8" t="s">
        <v>83</v>
      </c>
      <c r="E102" t="s">
        <v>32</v>
      </c>
      <c r="F102">
        <v>1000</v>
      </c>
      <c r="G102">
        <v>1000</v>
      </c>
      <c r="H102">
        <v>5</v>
      </c>
      <c r="I102" s="1">
        <f t="shared" si="1"/>
        <v>5</v>
      </c>
      <c r="J102">
        <v>450</v>
      </c>
      <c r="L102" s="1">
        <v>2250</v>
      </c>
      <c r="M102" s="1"/>
      <c r="N102" s="1"/>
      <c r="O102" s="1"/>
      <c r="P102" s="1"/>
      <c r="Q102" s="62"/>
      <c r="S102" s="2" t="s">
        <v>234</v>
      </c>
      <c r="X102">
        <v>2023</v>
      </c>
    </row>
    <row r="103" spans="1:24" x14ac:dyDescent="0.25">
      <c r="A103" t="s">
        <v>235</v>
      </c>
      <c r="B103" s="52">
        <v>45028</v>
      </c>
      <c r="C103" s="8" t="s">
        <v>236</v>
      </c>
      <c r="D103" s="8" t="s">
        <v>83</v>
      </c>
      <c r="E103" t="s">
        <v>37</v>
      </c>
      <c r="F103">
        <v>1000</v>
      </c>
      <c r="G103">
        <v>1000</v>
      </c>
      <c r="H103">
        <v>25</v>
      </c>
      <c r="I103" s="1">
        <f t="shared" si="1"/>
        <v>25</v>
      </c>
      <c r="J103">
        <v>331.75</v>
      </c>
      <c r="L103" s="1">
        <v>9843.75</v>
      </c>
      <c r="M103" s="1"/>
      <c r="N103" s="1"/>
      <c r="O103" s="1"/>
      <c r="P103" s="1"/>
      <c r="Q103" s="62"/>
      <c r="X103">
        <v>2023</v>
      </c>
    </row>
    <row r="104" spans="1:24" x14ac:dyDescent="0.25">
      <c r="A104" t="s">
        <v>237</v>
      </c>
      <c r="B104" s="52">
        <v>45022</v>
      </c>
      <c r="C104" s="8" t="s">
        <v>238</v>
      </c>
      <c r="D104" s="8" t="s">
        <v>138</v>
      </c>
      <c r="E104" t="s">
        <v>37</v>
      </c>
      <c r="F104">
        <v>603</v>
      </c>
      <c r="G104">
        <v>489</v>
      </c>
      <c r="H104">
        <v>150</v>
      </c>
      <c r="I104" s="1">
        <f t="shared" si="1"/>
        <v>44.230049999999999</v>
      </c>
      <c r="J104">
        <v>304.45999999999998</v>
      </c>
      <c r="L104" s="1">
        <v>16032.27</v>
      </c>
      <c r="M104" s="1"/>
      <c r="N104" s="1"/>
      <c r="O104" s="1"/>
      <c r="P104" s="1"/>
      <c r="Q104" s="62"/>
      <c r="X104">
        <v>2023</v>
      </c>
    </row>
    <row r="105" spans="1:24" x14ac:dyDescent="0.25">
      <c r="A105" t="s">
        <v>239</v>
      </c>
      <c r="B105" s="52">
        <v>45028</v>
      </c>
      <c r="C105" s="8" t="s">
        <v>202</v>
      </c>
      <c r="D105" s="8" t="s">
        <v>100</v>
      </c>
      <c r="E105" t="s">
        <v>37</v>
      </c>
      <c r="F105">
        <v>570</v>
      </c>
      <c r="G105">
        <v>530</v>
      </c>
      <c r="H105">
        <v>67</v>
      </c>
      <c r="I105" s="1">
        <f t="shared" si="1"/>
        <v>20.2407</v>
      </c>
      <c r="J105">
        <v>346.51</v>
      </c>
      <c r="L105" s="1">
        <v>8328.36</v>
      </c>
      <c r="M105" s="1"/>
      <c r="N105" s="1"/>
      <c r="O105" s="1"/>
      <c r="P105" s="1"/>
      <c r="Q105" s="62"/>
      <c r="X105">
        <v>2023</v>
      </c>
    </row>
    <row r="106" spans="1:24" x14ac:dyDescent="0.25">
      <c r="A106" t="s">
        <v>240</v>
      </c>
      <c r="B106" s="52">
        <v>45035</v>
      </c>
      <c r="C106" s="8" t="s">
        <v>117</v>
      </c>
      <c r="D106" s="8" t="s">
        <v>46</v>
      </c>
      <c r="E106" t="s">
        <v>37</v>
      </c>
      <c r="F106">
        <v>1260</v>
      </c>
      <c r="G106">
        <v>2160</v>
      </c>
      <c r="H106">
        <v>130</v>
      </c>
      <c r="I106" s="1">
        <f t="shared" si="1"/>
        <v>353.80799999999999</v>
      </c>
      <c r="J106">
        <v>381.44</v>
      </c>
      <c r="L106" s="1">
        <v>143802.54</v>
      </c>
      <c r="M106" s="1"/>
      <c r="N106" s="1"/>
      <c r="O106" s="1"/>
      <c r="P106" s="1"/>
      <c r="Q106" s="62"/>
      <c r="S106" t="s">
        <v>241</v>
      </c>
      <c r="T106" s="62">
        <v>45051</v>
      </c>
      <c r="U106">
        <v>332.31</v>
      </c>
      <c r="W106" s="1">
        <v>126419.85</v>
      </c>
      <c r="X106">
        <v>2023</v>
      </c>
    </row>
    <row r="107" spans="1:24" x14ac:dyDescent="0.25">
      <c r="A107" t="s">
        <v>242</v>
      </c>
      <c r="B107" s="52">
        <v>45029</v>
      </c>
      <c r="C107" s="8" t="s">
        <v>243</v>
      </c>
      <c r="D107" s="8" t="s">
        <v>103</v>
      </c>
      <c r="E107" t="s">
        <v>27</v>
      </c>
      <c r="F107">
        <v>1000</v>
      </c>
      <c r="G107">
        <v>1000</v>
      </c>
      <c r="H107">
        <v>5</v>
      </c>
      <c r="I107" s="1">
        <f t="shared" si="1"/>
        <v>5</v>
      </c>
      <c r="J107">
        <v>340</v>
      </c>
      <c r="L107" s="1">
        <v>1775</v>
      </c>
      <c r="M107" s="1"/>
      <c r="N107" s="1"/>
      <c r="O107" s="1"/>
      <c r="P107" s="1"/>
      <c r="Q107" s="62"/>
      <c r="R107" t="s">
        <v>15</v>
      </c>
      <c r="X107">
        <v>2023</v>
      </c>
    </row>
    <row r="108" spans="1:24" x14ac:dyDescent="0.25">
      <c r="A108" t="s">
        <v>244</v>
      </c>
      <c r="B108" s="52">
        <v>45034</v>
      </c>
      <c r="C108" s="8" t="s">
        <v>160</v>
      </c>
      <c r="D108" s="8" t="s">
        <v>83</v>
      </c>
      <c r="E108" t="s">
        <v>32</v>
      </c>
      <c r="F108">
        <v>1000</v>
      </c>
      <c r="G108">
        <v>1000</v>
      </c>
      <c r="H108">
        <v>5</v>
      </c>
      <c r="I108" s="1">
        <f t="shared" si="1"/>
        <v>5</v>
      </c>
      <c r="J108">
        <v>450</v>
      </c>
      <c r="L108" s="1">
        <v>2400</v>
      </c>
      <c r="M108" s="1"/>
      <c r="N108" s="1"/>
      <c r="O108" s="1"/>
      <c r="P108" s="1"/>
      <c r="Q108" s="62"/>
      <c r="X108">
        <v>2023</v>
      </c>
    </row>
    <row r="109" spans="1:24" x14ac:dyDescent="0.25">
      <c r="A109" t="s">
        <v>245</v>
      </c>
      <c r="B109" s="52">
        <v>45035</v>
      </c>
      <c r="C109" s="8" t="s">
        <v>117</v>
      </c>
      <c r="D109" s="8" t="s">
        <v>46</v>
      </c>
      <c r="E109" t="s">
        <v>27</v>
      </c>
      <c r="F109">
        <v>2160</v>
      </c>
      <c r="G109">
        <v>1260</v>
      </c>
      <c r="H109">
        <v>130</v>
      </c>
      <c r="I109" s="1">
        <f t="shared" si="1"/>
        <v>353.80799999999999</v>
      </c>
      <c r="J109">
        <v>293.41000000000003</v>
      </c>
      <c r="L109" s="1">
        <v>112656.64</v>
      </c>
      <c r="M109" s="1"/>
      <c r="N109" s="1"/>
      <c r="O109" s="1"/>
      <c r="P109" s="1"/>
      <c r="Q109" s="62"/>
      <c r="S109" t="s">
        <v>241</v>
      </c>
      <c r="X109">
        <v>2023</v>
      </c>
    </row>
    <row r="110" spans="1:24" x14ac:dyDescent="0.25">
      <c r="A110" t="s">
        <v>246</v>
      </c>
      <c r="B110" s="52">
        <v>45035</v>
      </c>
      <c r="C110" s="8" t="s">
        <v>247</v>
      </c>
      <c r="D110" s="8" t="s">
        <v>248</v>
      </c>
      <c r="E110" t="s">
        <v>27</v>
      </c>
      <c r="F110">
        <v>800</v>
      </c>
      <c r="G110">
        <v>1200</v>
      </c>
      <c r="H110">
        <v>390</v>
      </c>
      <c r="I110" s="1">
        <f t="shared" si="1"/>
        <v>374.4</v>
      </c>
      <c r="J110">
        <v>195.54</v>
      </c>
      <c r="L110" s="1">
        <v>76235.179999999993</v>
      </c>
      <c r="M110" s="1"/>
      <c r="N110" s="1"/>
      <c r="O110" s="1"/>
      <c r="P110" s="1"/>
      <c r="Q110" s="62"/>
      <c r="S110" t="s">
        <v>249</v>
      </c>
      <c r="X110">
        <v>2023</v>
      </c>
    </row>
    <row r="111" spans="1:24" x14ac:dyDescent="0.25">
      <c r="A111" t="s">
        <v>250</v>
      </c>
      <c r="B111" s="52">
        <v>45035</v>
      </c>
      <c r="C111" s="8" t="s">
        <v>247</v>
      </c>
      <c r="D111" s="8" t="s">
        <v>248</v>
      </c>
      <c r="E111" t="s">
        <v>27</v>
      </c>
      <c r="F111">
        <v>800</v>
      </c>
      <c r="G111">
        <v>1600</v>
      </c>
      <c r="H111">
        <v>125</v>
      </c>
      <c r="I111" s="1">
        <f t="shared" si="1"/>
        <v>160</v>
      </c>
      <c r="J111">
        <v>207.99</v>
      </c>
      <c r="L111" s="1">
        <v>35513.4</v>
      </c>
      <c r="M111" s="1"/>
      <c r="N111" s="1"/>
      <c r="O111" s="1"/>
      <c r="P111" s="1"/>
      <c r="Q111" s="62"/>
      <c r="X111">
        <v>2023</v>
      </c>
    </row>
    <row r="112" spans="1:24" x14ac:dyDescent="0.25">
      <c r="A112" t="s">
        <v>251</v>
      </c>
      <c r="B112" s="52">
        <v>45035</v>
      </c>
      <c r="C112" s="8" t="s">
        <v>252</v>
      </c>
      <c r="D112" s="8" t="s">
        <v>83</v>
      </c>
      <c r="E112" t="s">
        <v>32</v>
      </c>
      <c r="F112">
        <v>1000</v>
      </c>
      <c r="G112">
        <v>1000</v>
      </c>
      <c r="H112">
        <v>20</v>
      </c>
      <c r="I112" s="1">
        <f t="shared" si="1"/>
        <v>20</v>
      </c>
      <c r="J112">
        <v>431.37</v>
      </c>
      <c r="L112" s="1">
        <v>9457.4</v>
      </c>
      <c r="M112" s="1"/>
      <c r="N112" s="1"/>
      <c r="O112" s="1"/>
      <c r="P112" s="1"/>
      <c r="Q112" s="62"/>
      <c r="S112" t="s">
        <v>253</v>
      </c>
      <c r="X112">
        <v>2023</v>
      </c>
    </row>
    <row r="113" spans="1:24" x14ac:dyDescent="0.25">
      <c r="A113" t="s">
        <v>254</v>
      </c>
      <c r="B113" s="52">
        <v>45035</v>
      </c>
      <c r="C113" s="8" t="s">
        <v>255</v>
      </c>
      <c r="D113" s="8" t="s">
        <v>256</v>
      </c>
      <c r="E113" t="s">
        <v>32</v>
      </c>
      <c r="F113">
        <v>945</v>
      </c>
      <c r="G113">
        <v>945</v>
      </c>
      <c r="H113">
        <v>100</v>
      </c>
      <c r="I113" s="1">
        <f t="shared" si="1"/>
        <v>89.302499999999995</v>
      </c>
      <c r="J113">
        <v>355.78</v>
      </c>
      <c r="L113" s="1">
        <v>33455.15</v>
      </c>
      <c r="M113" s="1"/>
      <c r="N113" s="1"/>
      <c r="O113" s="1"/>
      <c r="P113" s="1"/>
      <c r="Q113" s="62"/>
      <c r="S113" t="s">
        <v>257</v>
      </c>
      <c r="X113">
        <v>2023</v>
      </c>
    </row>
    <row r="114" spans="1:24" x14ac:dyDescent="0.25">
      <c r="A114" t="s">
        <v>258</v>
      </c>
      <c r="B114" s="52">
        <v>45035</v>
      </c>
      <c r="C114" s="8" t="s">
        <v>259</v>
      </c>
      <c r="D114" s="8" t="s">
        <v>260</v>
      </c>
      <c r="E114" t="s">
        <v>27</v>
      </c>
      <c r="F114">
        <v>1000</v>
      </c>
      <c r="G114">
        <v>1000</v>
      </c>
      <c r="H114">
        <v>5</v>
      </c>
      <c r="I114" s="1">
        <f t="shared" si="1"/>
        <v>5</v>
      </c>
      <c r="J114">
        <v>340</v>
      </c>
      <c r="L114" s="1">
        <v>1850</v>
      </c>
      <c r="M114" s="1"/>
      <c r="N114" s="1"/>
      <c r="O114" s="1"/>
      <c r="P114" s="1"/>
      <c r="Q114" s="62"/>
      <c r="X114">
        <v>2023</v>
      </c>
    </row>
    <row r="115" spans="1:24" x14ac:dyDescent="0.25">
      <c r="A115" t="s">
        <v>261</v>
      </c>
      <c r="B115" s="52">
        <v>45035</v>
      </c>
      <c r="C115" s="8" t="s">
        <v>262</v>
      </c>
      <c r="D115" s="8" t="s">
        <v>263</v>
      </c>
      <c r="E115" t="s">
        <v>32</v>
      </c>
      <c r="F115">
        <v>1000</v>
      </c>
      <c r="G115">
        <v>1000</v>
      </c>
      <c r="H115">
        <v>20</v>
      </c>
      <c r="I115" s="1">
        <f t="shared" si="1"/>
        <v>20</v>
      </c>
      <c r="J115">
        <v>431.37</v>
      </c>
      <c r="L115" s="1">
        <v>9457.4</v>
      </c>
      <c r="M115" s="1"/>
      <c r="N115" s="1"/>
      <c r="O115" s="1"/>
      <c r="P115" s="1"/>
      <c r="Q115" s="62"/>
      <c r="X115">
        <v>2023</v>
      </c>
    </row>
    <row r="116" spans="1:24" x14ac:dyDescent="0.25">
      <c r="A116" t="s">
        <v>264</v>
      </c>
      <c r="B116" s="52">
        <v>45042</v>
      </c>
      <c r="C116" s="8" t="s">
        <v>265</v>
      </c>
      <c r="D116" s="8" t="s">
        <v>266</v>
      </c>
      <c r="E116" t="s">
        <v>37</v>
      </c>
      <c r="F116">
        <v>916</v>
      </c>
      <c r="G116">
        <v>730</v>
      </c>
      <c r="H116">
        <v>500</v>
      </c>
      <c r="I116" s="1">
        <f t="shared" si="1"/>
        <v>334.34</v>
      </c>
      <c r="J116">
        <v>257.95999999999998</v>
      </c>
      <c r="L116" s="1">
        <v>94849.85</v>
      </c>
      <c r="M116" s="1"/>
      <c r="N116" s="1"/>
      <c r="O116" s="1"/>
      <c r="P116" s="1"/>
      <c r="Q116" s="62"/>
      <c r="S116" t="s">
        <v>267</v>
      </c>
      <c r="T116" s="3">
        <v>45079</v>
      </c>
      <c r="U116">
        <v>302.7</v>
      </c>
      <c r="W116" s="1">
        <v>109808.22</v>
      </c>
      <c r="X116">
        <v>2023</v>
      </c>
    </row>
    <row r="117" spans="1:24" x14ac:dyDescent="0.25">
      <c r="A117" t="s">
        <v>268</v>
      </c>
      <c r="B117" s="52">
        <v>45042</v>
      </c>
      <c r="C117" s="8" t="s">
        <v>269</v>
      </c>
      <c r="D117" s="8" t="s">
        <v>31</v>
      </c>
      <c r="E117" t="s">
        <v>27</v>
      </c>
      <c r="F117">
        <v>631</v>
      </c>
      <c r="G117">
        <v>631</v>
      </c>
      <c r="H117">
        <v>51</v>
      </c>
      <c r="I117" s="1">
        <f t="shared" si="1"/>
        <v>20.306211000000001</v>
      </c>
      <c r="J117">
        <v>266.33</v>
      </c>
      <c r="L117" s="1">
        <v>5409.16</v>
      </c>
      <c r="M117" s="1"/>
      <c r="N117" s="1"/>
      <c r="O117" s="1"/>
      <c r="P117" s="1"/>
      <c r="Q117" s="62"/>
      <c r="X117">
        <v>2023</v>
      </c>
    </row>
    <row r="118" spans="1:24" x14ac:dyDescent="0.25">
      <c r="B118" s="52"/>
      <c r="C118" s="8" t="s">
        <v>269</v>
      </c>
      <c r="D118" s="8" t="s">
        <v>31</v>
      </c>
      <c r="E118" t="s">
        <v>37</v>
      </c>
      <c r="F118">
        <v>631</v>
      </c>
      <c r="G118">
        <v>631</v>
      </c>
      <c r="H118">
        <v>51</v>
      </c>
      <c r="I118" s="1">
        <f t="shared" si="1"/>
        <v>20.306211000000001</v>
      </c>
      <c r="J118">
        <v>346.24</v>
      </c>
      <c r="L118" s="1">
        <v>7032.13</v>
      </c>
      <c r="M118" s="1"/>
      <c r="N118" s="1"/>
      <c r="O118" s="1"/>
      <c r="P118" s="1"/>
      <c r="Q118" s="62"/>
      <c r="X118">
        <v>2023</v>
      </c>
    </row>
    <row r="119" spans="1:24" x14ac:dyDescent="0.25">
      <c r="B119" s="52"/>
      <c r="C119" s="8" t="s">
        <v>269</v>
      </c>
      <c r="D119" s="8" t="s">
        <v>31</v>
      </c>
      <c r="E119" t="s">
        <v>32</v>
      </c>
      <c r="F119">
        <v>631</v>
      </c>
      <c r="G119">
        <v>631</v>
      </c>
      <c r="H119">
        <v>51</v>
      </c>
      <c r="I119" s="1">
        <f t="shared" si="1"/>
        <v>20.306211000000001</v>
      </c>
      <c r="J119">
        <v>429.88</v>
      </c>
      <c r="L119" s="1">
        <v>8730.86</v>
      </c>
      <c r="M119" s="1"/>
      <c r="N119" s="1"/>
      <c r="O119" s="1"/>
      <c r="P119" s="1"/>
      <c r="Q119" s="62"/>
      <c r="X119">
        <v>2023</v>
      </c>
    </row>
    <row r="120" spans="1:24" x14ac:dyDescent="0.25">
      <c r="A120" t="s">
        <v>270</v>
      </c>
      <c r="B120" s="52">
        <v>45042</v>
      </c>
      <c r="C120" s="8" t="s">
        <v>269</v>
      </c>
      <c r="D120" s="8" t="s">
        <v>31</v>
      </c>
      <c r="E120" t="s">
        <v>27</v>
      </c>
      <c r="F120">
        <v>631</v>
      </c>
      <c r="G120">
        <v>631</v>
      </c>
      <c r="H120">
        <v>150</v>
      </c>
      <c r="I120" s="1">
        <f t="shared" si="1"/>
        <v>59.724150000000002</v>
      </c>
      <c r="J120">
        <v>227.12</v>
      </c>
      <c r="L120" s="1">
        <v>13563.61</v>
      </c>
      <c r="M120" s="1"/>
      <c r="N120" s="1"/>
      <c r="O120" s="1"/>
      <c r="P120" s="1"/>
      <c r="Q120" s="62"/>
      <c r="T120" s="3">
        <v>45061</v>
      </c>
      <c r="U120">
        <v>227.12</v>
      </c>
      <c r="X120">
        <v>2023</v>
      </c>
    </row>
    <row r="121" spans="1:24" x14ac:dyDescent="0.25">
      <c r="B121" s="52"/>
      <c r="C121" s="8" t="s">
        <v>269</v>
      </c>
      <c r="D121" s="8" t="s">
        <v>31</v>
      </c>
      <c r="E121" t="s">
        <v>37</v>
      </c>
      <c r="F121">
        <v>631</v>
      </c>
      <c r="G121">
        <v>631</v>
      </c>
      <c r="H121">
        <v>150</v>
      </c>
      <c r="I121" s="1">
        <f t="shared" si="1"/>
        <v>59.724150000000002</v>
      </c>
      <c r="J121">
        <v>295.25</v>
      </c>
      <c r="L121" s="1">
        <v>17632.330000000002</v>
      </c>
      <c r="M121" s="1"/>
      <c r="N121" s="1"/>
      <c r="O121" s="1"/>
      <c r="P121" s="1"/>
      <c r="Q121" s="62"/>
      <c r="X121">
        <v>2023</v>
      </c>
    </row>
    <row r="122" spans="1:24" x14ac:dyDescent="0.25">
      <c r="B122" s="52"/>
      <c r="C122" s="8" t="s">
        <v>269</v>
      </c>
      <c r="D122" s="8" t="s">
        <v>31</v>
      </c>
      <c r="E122" t="s">
        <v>32</v>
      </c>
      <c r="F122">
        <v>631</v>
      </c>
      <c r="G122">
        <v>631</v>
      </c>
      <c r="H122">
        <v>150</v>
      </c>
      <c r="I122" s="1">
        <f t="shared" si="1"/>
        <v>59.724150000000002</v>
      </c>
      <c r="J122">
        <v>366.58</v>
      </c>
      <c r="L122" s="1">
        <v>21892.16</v>
      </c>
      <c r="M122" s="1"/>
      <c r="N122" s="1"/>
      <c r="O122" s="1"/>
      <c r="P122" s="1"/>
      <c r="Q122" s="62"/>
      <c r="X122">
        <v>2023</v>
      </c>
    </row>
    <row r="123" spans="1:24" x14ac:dyDescent="0.25">
      <c r="A123" t="s">
        <v>271</v>
      </c>
      <c r="B123" s="52">
        <v>45042</v>
      </c>
      <c r="C123" s="8" t="s">
        <v>272</v>
      </c>
      <c r="D123" s="8" t="s">
        <v>46</v>
      </c>
      <c r="E123" t="s">
        <v>27</v>
      </c>
      <c r="F123">
        <v>1000</v>
      </c>
      <c r="G123">
        <v>1000</v>
      </c>
      <c r="H123">
        <v>12</v>
      </c>
      <c r="I123" s="1">
        <f t="shared" si="1"/>
        <v>12</v>
      </c>
      <c r="J123">
        <v>312.95999999999998</v>
      </c>
      <c r="L123" s="1">
        <v>3755.52</v>
      </c>
      <c r="M123" s="1"/>
      <c r="N123" s="1"/>
      <c r="O123" s="1"/>
      <c r="P123" s="1"/>
      <c r="Q123" s="62"/>
      <c r="S123" t="s">
        <v>273</v>
      </c>
      <c r="T123" s="3"/>
      <c r="X123">
        <v>2023</v>
      </c>
    </row>
    <row r="124" spans="1:24" x14ac:dyDescent="0.25">
      <c r="B124" s="52"/>
      <c r="C124" s="8" t="s">
        <v>272</v>
      </c>
      <c r="D124" s="8" t="s">
        <v>46</v>
      </c>
      <c r="E124" t="s">
        <v>37</v>
      </c>
      <c r="F124">
        <v>1000</v>
      </c>
      <c r="G124">
        <v>1000</v>
      </c>
      <c r="H124">
        <v>12</v>
      </c>
      <c r="I124" s="1">
        <f t="shared" si="1"/>
        <v>12</v>
      </c>
      <c r="J124">
        <v>406.84</v>
      </c>
      <c r="L124" s="1">
        <v>4882.08</v>
      </c>
      <c r="M124" s="1"/>
      <c r="N124" s="1"/>
      <c r="O124" s="1"/>
      <c r="P124" s="1"/>
      <c r="Q124" s="62"/>
      <c r="S124" t="s">
        <v>273</v>
      </c>
      <c r="T124" s="3"/>
      <c r="X124">
        <v>2023</v>
      </c>
    </row>
    <row r="125" spans="1:24" x14ac:dyDescent="0.25">
      <c r="A125" t="s">
        <v>274</v>
      </c>
      <c r="B125" s="52">
        <v>45042</v>
      </c>
      <c r="C125" s="8" t="s">
        <v>275</v>
      </c>
      <c r="D125" s="8" t="s">
        <v>276</v>
      </c>
      <c r="E125" t="s">
        <v>27</v>
      </c>
      <c r="F125">
        <v>1000</v>
      </c>
      <c r="G125">
        <v>1000</v>
      </c>
      <c r="H125">
        <v>5</v>
      </c>
      <c r="I125" s="1">
        <f t="shared" si="1"/>
        <v>5</v>
      </c>
      <c r="J125">
        <v>340</v>
      </c>
      <c r="L125" s="1">
        <v>1850</v>
      </c>
      <c r="M125" s="1"/>
      <c r="N125" s="1"/>
      <c r="O125" s="1"/>
      <c r="P125" s="1"/>
      <c r="Q125" s="62"/>
      <c r="X125">
        <v>2023</v>
      </c>
    </row>
    <row r="126" spans="1:24" x14ac:dyDescent="0.25">
      <c r="A126" t="s">
        <v>277</v>
      </c>
      <c r="B126" s="52">
        <v>45042</v>
      </c>
      <c r="C126" s="8" t="s">
        <v>278</v>
      </c>
      <c r="D126" s="8" t="s">
        <v>57</v>
      </c>
      <c r="E126" t="s">
        <v>27</v>
      </c>
      <c r="F126">
        <v>1000</v>
      </c>
      <c r="G126">
        <v>1000</v>
      </c>
      <c r="H126">
        <v>5</v>
      </c>
      <c r="I126" s="1">
        <f t="shared" si="1"/>
        <v>5</v>
      </c>
      <c r="J126">
        <v>374</v>
      </c>
      <c r="L126" s="1">
        <v>2070</v>
      </c>
      <c r="M126" s="1"/>
      <c r="N126" s="1"/>
      <c r="O126" s="1"/>
      <c r="P126" s="1"/>
      <c r="Q126" s="62"/>
      <c r="X126">
        <v>2023</v>
      </c>
    </row>
    <row r="127" spans="1:24" x14ac:dyDescent="0.25">
      <c r="A127" t="s">
        <v>279</v>
      </c>
      <c r="B127" s="52">
        <v>45044</v>
      </c>
      <c r="C127" s="8" t="s">
        <v>280</v>
      </c>
      <c r="D127" s="8" t="s">
        <v>157</v>
      </c>
      <c r="E127" t="s">
        <v>27</v>
      </c>
      <c r="F127">
        <v>1000</v>
      </c>
      <c r="G127">
        <v>1000</v>
      </c>
      <c r="H127">
        <v>10</v>
      </c>
      <c r="I127" s="1">
        <f t="shared" si="1"/>
        <v>10</v>
      </c>
      <c r="J127">
        <v>293.12</v>
      </c>
      <c r="L127" s="1">
        <v>3231.2</v>
      </c>
      <c r="M127" s="1"/>
      <c r="N127" s="1"/>
      <c r="O127" s="1"/>
      <c r="P127" s="1"/>
      <c r="Q127" s="62"/>
      <c r="T127" s="3">
        <v>45061</v>
      </c>
      <c r="U127">
        <v>340</v>
      </c>
      <c r="W127">
        <v>1850</v>
      </c>
      <c r="X127">
        <v>2023</v>
      </c>
    </row>
    <row r="128" spans="1:24" x14ac:dyDescent="0.25">
      <c r="A128" t="s">
        <v>281</v>
      </c>
      <c r="B128" s="52">
        <v>45044</v>
      </c>
      <c r="C128" s="8" t="s">
        <v>282</v>
      </c>
      <c r="D128" s="8" t="s">
        <v>283</v>
      </c>
      <c r="E128" t="s">
        <v>27</v>
      </c>
      <c r="F128">
        <v>1000</v>
      </c>
      <c r="G128">
        <v>1000</v>
      </c>
      <c r="H128">
        <v>5</v>
      </c>
      <c r="I128" s="1">
        <f t="shared" si="1"/>
        <v>5</v>
      </c>
      <c r="J128">
        <v>340</v>
      </c>
      <c r="L128" s="1">
        <v>1850</v>
      </c>
      <c r="M128" s="1"/>
      <c r="N128" s="1"/>
      <c r="O128" s="1"/>
      <c r="P128" s="1"/>
      <c r="Q128" s="62"/>
      <c r="X128">
        <v>2023</v>
      </c>
    </row>
    <row r="129" spans="1:24" x14ac:dyDescent="0.25">
      <c r="A129" t="s">
        <v>284</v>
      </c>
      <c r="B129" s="52">
        <v>45044</v>
      </c>
      <c r="C129" s="8" t="s">
        <v>285</v>
      </c>
      <c r="D129" s="8" t="s">
        <v>103</v>
      </c>
      <c r="E129" t="s">
        <v>32</v>
      </c>
      <c r="F129">
        <v>1000</v>
      </c>
      <c r="G129">
        <v>1000</v>
      </c>
      <c r="H129">
        <v>5</v>
      </c>
      <c r="I129" s="1">
        <f t="shared" si="1"/>
        <v>5</v>
      </c>
      <c r="J129">
        <v>450</v>
      </c>
      <c r="L129" s="1">
        <v>2325</v>
      </c>
      <c r="M129" s="1"/>
      <c r="N129" s="1"/>
      <c r="O129" s="1"/>
      <c r="P129" s="1"/>
      <c r="Q129" s="62"/>
      <c r="X129">
        <v>2023</v>
      </c>
    </row>
    <row r="130" spans="1:24" x14ac:dyDescent="0.25">
      <c r="A130" t="s">
        <v>286</v>
      </c>
      <c r="B130" s="52">
        <v>45044</v>
      </c>
      <c r="C130" s="8" t="s">
        <v>169</v>
      </c>
      <c r="D130" s="8" t="s">
        <v>103</v>
      </c>
      <c r="E130" t="s">
        <v>27</v>
      </c>
      <c r="F130">
        <v>1477</v>
      </c>
      <c r="G130">
        <v>2370</v>
      </c>
      <c r="H130">
        <v>50</v>
      </c>
      <c r="I130" s="1">
        <f t="shared" ref="I130:I193" si="2">$F130*$G130*$H130/1000000</f>
        <v>175.02449999999999</v>
      </c>
      <c r="J130">
        <v>206.41</v>
      </c>
      <c r="L130" s="1">
        <v>37255.879999999997</v>
      </c>
      <c r="M130" s="1"/>
      <c r="N130" s="1"/>
      <c r="O130" s="1"/>
      <c r="P130" s="1"/>
      <c r="Q130" s="62"/>
      <c r="X130">
        <v>2023</v>
      </c>
    </row>
    <row r="131" spans="1:24" x14ac:dyDescent="0.25">
      <c r="A131" t="s">
        <v>287</v>
      </c>
      <c r="B131" s="52">
        <v>45044</v>
      </c>
      <c r="C131" s="8" t="s">
        <v>169</v>
      </c>
      <c r="D131" s="8" t="s">
        <v>103</v>
      </c>
      <c r="E131" t="s">
        <v>27</v>
      </c>
      <c r="F131">
        <v>1132</v>
      </c>
      <c r="G131">
        <v>1265</v>
      </c>
      <c r="H131">
        <v>20</v>
      </c>
      <c r="I131" s="1">
        <f t="shared" si="2"/>
        <v>28.639600000000002</v>
      </c>
      <c r="J131">
        <v>249.05</v>
      </c>
      <c r="L131" s="1">
        <v>8022.79</v>
      </c>
      <c r="M131" s="1"/>
      <c r="N131" s="1"/>
      <c r="O131" s="1"/>
      <c r="P131" s="1"/>
      <c r="Q131" s="62"/>
      <c r="X131">
        <v>2023</v>
      </c>
    </row>
    <row r="132" spans="1:24" s="4" customFormat="1" x14ac:dyDescent="0.25">
      <c r="A132" s="4" t="s">
        <v>288</v>
      </c>
      <c r="B132" s="55"/>
      <c r="C132" s="11" t="s">
        <v>289</v>
      </c>
      <c r="D132" s="11" t="s">
        <v>100</v>
      </c>
      <c r="E132" s="4" t="s">
        <v>37</v>
      </c>
      <c r="I132" s="6">
        <f t="shared" si="2"/>
        <v>0</v>
      </c>
      <c r="L132" s="6"/>
      <c r="M132" s="6"/>
      <c r="N132" s="6"/>
      <c r="O132" s="1"/>
      <c r="P132" s="6"/>
      <c r="Q132" s="17"/>
      <c r="S132" s="4" t="s">
        <v>290</v>
      </c>
      <c r="X132" s="4">
        <v>2023</v>
      </c>
    </row>
    <row r="133" spans="1:24" x14ac:dyDescent="0.25">
      <c r="A133" t="s">
        <v>291</v>
      </c>
      <c r="B133" s="52">
        <v>45048</v>
      </c>
      <c r="C133" s="8" t="s">
        <v>292</v>
      </c>
      <c r="D133" s="8" t="s">
        <v>260</v>
      </c>
      <c r="E133" t="s">
        <v>27</v>
      </c>
      <c r="F133">
        <v>800</v>
      </c>
      <c r="G133">
        <v>1200</v>
      </c>
      <c r="H133">
        <v>170</v>
      </c>
      <c r="I133" s="1">
        <f t="shared" si="2"/>
        <v>163.19999999999999</v>
      </c>
      <c r="J133">
        <v>228.38</v>
      </c>
      <c r="L133" s="1">
        <v>41351.620000000003</v>
      </c>
      <c r="M133" s="1"/>
      <c r="N133" s="1"/>
      <c r="O133" s="1"/>
      <c r="P133" s="1"/>
      <c r="Q133" s="62"/>
      <c r="S133" t="s">
        <v>293</v>
      </c>
      <c r="X133">
        <v>2023</v>
      </c>
    </row>
    <row r="134" spans="1:24" x14ac:dyDescent="0.25">
      <c r="A134" t="s">
        <v>294</v>
      </c>
      <c r="B134" s="52">
        <v>45049</v>
      </c>
      <c r="C134" s="8" t="s">
        <v>295</v>
      </c>
      <c r="D134" s="8" t="s">
        <v>296</v>
      </c>
      <c r="E134" t="s">
        <v>27</v>
      </c>
      <c r="F134">
        <v>800</v>
      </c>
      <c r="G134">
        <v>1200</v>
      </c>
      <c r="H134">
        <v>313</v>
      </c>
      <c r="I134" s="1">
        <f t="shared" si="2"/>
        <v>300.48</v>
      </c>
      <c r="J134">
        <v>295.17</v>
      </c>
      <c r="L134" s="1">
        <v>96204.68</v>
      </c>
      <c r="M134" s="1"/>
      <c r="N134" s="1"/>
      <c r="O134" s="1"/>
      <c r="P134" s="1"/>
      <c r="Q134" s="62"/>
      <c r="S134" t="s">
        <v>297</v>
      </c>
      <c r="X134">
        <v>2023</v>
      </c>
    </row>
    <row r="135" spans="1:24" x14ac:dyDescent="0.25">
      <c r="A135" t="s">
        <v>298</v>
      </c>
      <c r="B135" s="52">
        <v>45057</v>
      </c>
      <c r="C135" s="8" t="s">
        <v>299</v>
      </c>
      <c r="D135" s="8" t="s">
        <v>300</v>
      </c>
      <c r="E135" t="s">
        <v>27</v>
      </c>
      <c r="F135">
        <v>304.60000000000002</v>
      </c>
      <c r="G135">
        <v>304.60000000000002</v>
      </c>
      <c r="H135">
        <v>432</v>
      </c>
      <c r="I135" s="1">
        <f t="shared" si="2"/>
        <v>40.081461120000007</v>
      </c>
      <c r="J135">
        <v>260.73</v>
      </c>
      <c r="L135" s="1">
        <v>17250.54</v>
      </c>
      <c r="M135" s="1"/>
      <c r="N135" s="1"/>
      <c r="O135" s="1"/>
      <c r="P135" s="1"/>
      <c r="Q135" s="62"/>
      <c r="R135" t="s">
        <v>28</v>
      </c>
      <c r="S135" t="s">
        <v>301</v>
      </c>
      <c r="T135" s="62">
        <v>45069</v>
      </c>
      <c r="U135">
        <v>260.8</v>
      </c>
      <c r="W135" s="1">
        <v>11432</v>
      </c>
      <c r="X135">
        <v>2023</v>
      </c>
    </row>
    <row r="136" spans="1:24" x14ac:dyDescent="0.25">
      <c r="A136" t="s">
        <v>302</v>
      </c>
      <c r="B136" s="52">
        <v>45051</v>
      </c>
      <c r="C136" s="8" t="s">
        <v>303</v>
      </c>
      <c r="D136" s="8" t="s">
        <v>36</v>
      </c>
      <c r="E136" t="s">
        <v>27</v>
      </c>
      <c r="F136">
        <v>1000</v>
      </c>
      <c r="G136">
        <v>1000</v>
      </c>
      <c r="H136">
        <v>5</v>
      </c>
      <c r="I136" s="1">
        <f t="shared" si="2"/>
        <v>5</v>
      </c>
      <c r="J136">
        <v>340</v>
      </c>
      <c r="L136" s="1">
        <v>1850</v>
      </c>
      <c r="M136" s="1"/>
      <c r="N136" s="1"/>
      <c r="O136" s="1"/>
      <c r="P136" s="1"/>
      <c r="Q136" s="62"/>
      <c r="X136">
        <v>2023</v>
      </c>
    </row>
    <row r="137" spans="1:24" x14ac:dyDescent="0.25">
      <c r="A137" t="s">
        <v>304</v>
      </c>
      <c r="B137" s="52">
        <v>45051</v>
      </c>
      <c r="C137" s="8" t="s">
        <v>305</v>
      </c>
      <c r="D137" s="8" t="s">
        <v>31</v>
      </c>
      <c r="E137" t="s">
        <v>32</v>
      </c>
      <c r="F137">
        <v>1000</v>
      </c>
      <c r="G137">
        <v>1000</v>
      </c>
      <c r="H137">
        <v>5</v>
      </c>
      <c r="I137" s="1">
        <f t="shared" si="2"/>
        <v>5</v>
      </c>
      <c r="J137">
        <v>450</v>
      </c>
      <c r="L137" s="1">
        <v>2400</v>
      </c>
      <c r="M137" s="1"/>
      <c r="N137" s="1"/>
      <c r="O137" s="1"/>
      <c r="P137" s="1"/>
      <c r="Q137" s="62"/>
      <c r="X137">
        <v>2023</v>
      </c>
    </row>
    <row r="138" spans="1:24" x14ac:dyDescent="0.25">
      <c r="A138" t="s">
        <v>306</v>
      </c>
      <c r="B138" s="52">
        <v>45051</v>
      </c>
      <c r="C138" s="8" t="s">
        <v>307</v>
      </c>
      <c r="D138" s="8" t="s">
        <v>31</v>
      </c>
      <c r="E138" t="s">
        <v>37</v>
      </c>
      <c r="F138">
        <v>1000</v>
      </c>
      <c r="G138">
        <v>1000</v>
      </c>
      <c r="H138">
        <v>5</v>
      </c>
      <c r="I138" s="1">
        <f t="shared" si="2"/>
        <v>5</v>
      </c>
      <c r="J138">
        <v>385</v>
      </c>
      <c r="L138" s="1">
        <v>1925</v>
      </c>
      <c r="M138" s="1"/>
      <c r="N138" s="1"/>
      <c r="O138" s="1"/>
      <c r="P138" s="1"/>
      <c r="Q138" s="62"/>
      <c r="X138">
        <v>2023</v>
      </c>
    </row>
    <row r="139" spans="1:24" x14ac:dyDescent="0.25">
      <c r="B139" s="52">
        <v>45051</v>
      </c>
      <c r="C139" s="8" t="s">
        <v>307</v>
      </c>
      <c r="D139" s="8" t="s">
        <v>31</v>
      </c>
      <c r="E139" t="s">
        <v>32</v>
      </c>
      <c r="F139">
        <v>1000</v>
      </c>
      <c r="G139">
        <v>1000</v>
      </c>
      <c r="H139">
        <v>5</v>
      </c>
      <c r="I139" s="1">
        <f t="shared" si="2"/>
        <v>5</v>
      </c>
      <c r="J139">
        <v>450</v>
      </c>
      <c r="L139" s="1">
        <v>2250</v>
      </c>
      <c r="M139" s="1"/>
      <c r="N139" s="1"/>
      <c r="O139" s="1"/>
      <c r="P139" s="1"/>
      <c r="Q139" s="62"/>
      <c r="X139">
        <v>2023</v>
      </c>
    </row>
    <row r="140" spans="1:24" x14ac:dyDescent="0.25">
      <c r="A140" t="s">
        <v>308</v>
      </c>
      <c r="B140" s="52">
        <v>45051</v>
      </c>
      <c r="C140" s="8" t="s">
        <v>307</v>
      </c>
      <c r="D140" s="8" t="s">
        <v>31</v>
      </c>
      <c r="E140" t="s">
        <v>37</v>
      </c>
      <c r="F140">
        <v>1000</v>
      </c>
      <c r="G140">
        <v>1000</v>
      </c>
      <c r="H140">
        <v>100</v>
      </c>
      <c r="I140" s="1">
        <f t="shared" si="2"/>
        <v>100</v>
      </c>
      <c r="J140">
        <v>313.14999999999998</v>
      </c>
      <c r="L140" s="1">
        <v>31315</v>
      </c>
      <c r="M140" s="1"/>
      <c r="N140" s="1"/>
      <c r="O140" s="1"/>
      <c r="P140" s="1"/>
      <c r="Q140" s="62"/>
      <c r="S140" t="s">
        <v>301</v>
      </c>
      <c r="X140">
        <v>2023</v>
      </c>
    </row>
    <row r="141" spans="1:24" x14ac:dyDescent="0.25">
      <c r="B141" s="52">
        <v>45051</v>
      </c>
      <c r="C141" s="8" t="s">
        <v>307</v>
      </c>
      <c r="D141" s="8" t="s">
        <v>31</v>
      </c>
      <c r="E141" t="s">
        <v>32</v>
      </c>
      <c r="F141">
        <v>1000</v>
      </c>
      <c r="G141">
        <v>1000</v>
      </c>
      <c r="H141">
        <v>100</v>
      </c>
      <c r="I141" s="1">
        <f t="shared" si="2"/>
        <v>100</v>
      </c>
      <c r="J141">
        <v>388.78</v>
      </c>
      <c r="L141" s="1">
        <v>38878</v>
      </c>
      <c r="M141" s="1"/>
      <c r="N141" s="1"/>
      <c r="O141" s="1"/>
      <c r="P141" s="1"/>
      <c r="Q141" s="62"/>
      <c r="S141" t="s">
        <v>301</v>
      </c>
      <c r="X141">
        <v>2023</v>
      </c>
    </row>
    <row r="142" spans="1:24" x14ac:dyDescent="0.25">
      <c r="A142" t="s">
        <v>309</v>
      </c>
      <c r="B142" s="52">
        <v>45054</v>
      </c>
      <c r="C142" s="8" t="s">
        <v>145</v>
      </c>
      <c r="D142" s="8" t="s">
        <v>146</v>
      </c>
      <c r="E142" t="s">
        <v>32</v>
      </c>
      <c r="F142">
        <v>1000</v>
      </c>
      <c r="G142">
        <v>1000</v>
      </c>
      <c r="H142">
        <v>5</v>
      </c>
      <c r="I142" s="1">
        <f t="shared" si="2"/>
        <v>5</v>
      </c>
      <c r="J142">
        <v>450</v>
      </c>
      <c r="L142" s="1">
        <v>2400</v>
      </c>
      <c r="M142" s="1"/>
      <c r="N142" s="1"/>
      <c r="O142" s="1"/>
      <c r="P142" s="1"/>
      <c r="Q142" s="62"/>
      <c r="X142">
        <v>2023</v>
      </c>
    </row>
    <row r="143" spans="1:24" x14ac:dyDescent="0.25">
      <c r="A143" t="s">
        <v>310</v>
      </c>
      <c r="B143" s="52">
        <v>45061</v>
      </c>
      <c r="C143" s="8" t="s">
        <v>311</v>
      </c>
      <c r="D143" s="8" t="s">
        <v>46</v>
      </c>
      <c r="E143" t="s">
        <v>27</v>
      </c>
      <c r="F143">
        <v>1200</v>
      </c>
      <c r="G143">
        <v>875</v>
      </c>
      <c r="H143">
        <v>300</v>
      </c>
      <c r="I143" s="1">
        <f t="shared" si="2"/>
        <v>315</v>
      </c>
      <c r="J143">
        <v>246.8</v>
      </c>
      <c r="L143" s="1">
        <v>85617</v>
      </c>
      <c r="M143" s="1"/>
      <c r="N143" s="1"/>
      <c r="O143" s="1"/>
      <c r="P143" s="1"/>
      <c r="Q143" s="62"/>
      <c r="S143" t="s">
        <v>312</v>
      </c>
      <c r="X143">
        <v>2023</v>
      </c>
    </row>
    <row r="144" spans="1:24" x14ac:dyDescent="0.25">
      <c r="A144" t="s">
        <v>313</v>
      </c>
      <c r="B144" s="52">
        <v>45062</v>
      </c>
      <c r="C144" s="8" t="s">
        <v>314</v>
      </c>
      <c r="D144" s="8" t="s">
        <v>83</v>
      </c>
      <c r="E144" t="s">
        <v>32</v>
      </c>
      <c r="F144">
        <v>600</v>
      </c>
      <c r="G144">
        <v>600</v>
      </c>
      <c r="H144">
        <v>70</v>
      </c>
      <c r="I144" s="1">
        <f t="shared" si="2"/>
        <v>25.2</v>
      </c>
      <c r="J144">
        <v>452.4</v>
      </c>
      <c r="L144" s="1">
        <v>12240.48</v>
      </c>
      <c r="M144" s="1"/>
      <c r="N144" s="1"/>
      <c r="O144" s="1"/>
      <c r="P144" s="1"/>
      <c r="Q144" s="62"/>
      <c r="S144" t="s">
        <v>301</v>
      </c>
      <c r="T144" s="62">
        <v>45077</v>
      </c>
      <c r="W144" t="s">
        <v>315</v>
      </c>
      <c r="X144">
        <v>2023</v>
      </c>
    </row>
    <row r="145" spans="1:24" x14ac:dyDescent="0.25">
      <c r="A145" t="s">
        <v>316</v>
      </c>
      <c r="B145" s="52">
        <v>45058</v>
      </c>
      <c r="C145" s="8" t="s">
        <v>289</v>
      </c>
      <c r="D145" s="8" t="s">
        <v>100</v>
      </c>
      <c r="E145" t="s">
        <v>37</v>
      </c>
      <c r="F145">
        <v>1000</v>
      </c>
      <c r="G145">
        <v>1000</v>
      </c>
      <c r="H145">
        <v>5</v>
      </c>
      <c r="I145" s="1">
        <f t="shared" si="2"/>
        <v>5</v>
      </c>
      <c r="J145">
        <v>385</v>
      </c>
      <c r="L145" s="1">
        <v>2125</v>
      </c>
      <c r="M145" s="1"/>
      <c r="N145" s="1"/>
      <c r="O145" s="1"/>
      <c r="P145" s="1"/>
      <c r="Q145" s="62"/>
      <c r="R145" t="s">
        <v>28</v>
      </c>
      <c r="X145">
        <v>2023</v>
      </c>
    </row>
    <row r="146" spans="1:24" x14ac:dyDescent="0.25">
      <c r="A146" t="s">
        <v>317</v>
      </c>
      <c r="B146" s="52">
        <v>45061</v>
      </c>
      <c r="C146" s="8" t="s">
        <v>41</v>
      </c>
      <c r="D146" s="8" t="s">
        <v>42</v>
      </c>
      <c r="E146" t="s">
        <v>27</v>
      </c>
      <c r="F146">
        <v>1671</v>
      </c>
      <c r="G146">
        <v>1671</v>
      </c>
      <c r="H146">
        <v>1300</v>
      </c>
      <c r="I146" s="1">
        <f t="shared" si="2"/>
        <v>3629.9133000000002</v>
      </c>
      <c r="J146">
        <v>205</v>
      </c>
      <c r="L146" s="1">
        <v>792023.55</v>
      </c>
      <c r="M146" s="1"/>
      <c r="N146" s="1"/>
      <c r="O146" s="1"/>
      <c r="P146" s="1"/>
      <c r="Q146" s="62"/>
      <c r="S146" t="s">
        <v>318</v>
      </c>
      <c r="X146">
        <v>2023</v>
      </c>
    </row>
    <row r="147" spans="1:24" x14ac:dyDescent="0.25">
      <c r="A147" t="s">
        <v>319</v>
      </c>
      <c r="B147" s="52">
        <v>45058</v>
      </c>
      <c r="C147" s="8" t="s">
        <v>45</v>
      </c>
      <c r="D147" s="8" t="s">
        <v>46</v>
      </c>
      <c r="E147" t="s">
        <v>37</v>
      </c>
      <c r="F147">
        <v>1400</v>
      </c>
      <c r="G147">
        <v>1400</v>
      </c>
      <c r="H147">
        <v>22</v>
      </c>
      <c r="I147" s="1">
        <f t="shared" si="2"/>
        <v>43.12</v>
      </c>
      <c r="J147">
        <v>436.43</v>
      </c>
      <c r="L147" s="1">
        <v>19896.86</v>
      </c>
      <c r="M147" s="1"/>
      <c r="N147" s="1"/>
      <c r="O147" s="1"/>
      <c r="P147" s="1"/>
      <c r="Q147" s="62"/>
      <c r="S147" t="s">
        <v>320</v>
      </c>
      <c r="X147">
        <v>2023</v>
      </c>
    </row>
    <row r="148" spans="1:24" x14ac:dyDescent="0.25">
      <c r="A148" t="s">
        <v>321</v>
      </c>
      <c r="B148" s="52">
        <v>45058</v>
      </c>
      <c r="C148" s="8" t="s">
        <v>322</v>
      </c>
      <c r="D148" s="8" t="s">
        <v>157</v>
      </c>
      <c r="E148" t="s">
        <v>27</v>
      </c>
      <c r="F148">
        <v>1000</v>
      </c>
      <c r="G148">
        <v>1000</v>
      </c>
      <c r="H148">
        <v>5</v>
      </c>
      <c r="I148" s="1">
        <f t="shared" si="2"/>
        <v>5</v>
      </c>
      <c r="J148">
        <v>340</v>
      </c>
      <c r="L148" s="1">
        <v>1850</v>
      </c>
      <c r="M148" s="1"/>
      <c r="N148" s="1"/>
      <c r="O148" s="1"/>
      <c r="P148" s="1"/>
      <c r="Q148" s="62"/>
      <c r="X148">
        <v>2023</v>
      </c>
    </row>
    <row r="149" spans="1:24" x14ac:dyDescent="0.25">
      <c r="A149" t="s">
        <v>323</v>
      </c>
      <c r="B149" s="52">
        <v>45058</v>
      </c>
      <c r="C149" s="8" t="s">
        <v>210</v>
      </c>
      <c r="D149" s="8" t="s">
        <v>31</v>
      </c>
      <c r="E149" t="s">
        <v>27</v>
      </c>
      <c r="F149">
        <v>1000</v>
      </c>
      <c r="G149">
        <v>1000</v>
      </c>
      <c r="H149">
        <v>5</v>
      </c>
      <c r="I149" s="1">
        <f t="shared" si="2"/>
        <v>5</v>
      </c>
      <c r="J149">
        <v>340</v>
      </c>
      <c r="L149" s="1">
        <v>1850</v>
      </c>
      <c r="M149" s="1"/>
      <c r="N149" s="1"/>
      <c r="O149" s="1"/>
      <c r="P149" s="1"/>
      <c r="Q149" s="62"/>
      <c r="X149">
        <v>2023</v>
      </c>
    </row>
    <row r="150" spans="1:24" x14ac:dyDescent="0.25">
      <c r="A150" t="s">
        <v>324</v>
      </c>
      <c r="B150" s="52">
        <v>45062</v>
      </c>
      <c r="C150" s="8" t="s">
        <v>325</v>
      </c>
      <c r="D150" s="8" t="s">
        <v>36</v>
      </c>
      <c r="E150" t="s">
        <v>32</v>
      </c>
      <c r="F150">
        <v>980</v>
      </c>
      <c r="G150">
        <v>1230</v>
      </c>
      <c r="H150">
        <v>17</v>
      </c>
      <c r="I150" s="1">
        <f t="shared" si="2"/>
        <v>20.491800000000001</v>
      </c>
      <c r="J150">
        <v>471.93</v>
      </c>
      <c r="L150" s="1">
        <v>10879.85</v>
      </c>
      <c r="M150" s="1"/>
      <c r="N150" s="1"/>
      <c r="O150" s="1"/>
      <c r="P150" s="1"/>
      <c r="Q150" s="62"/>
      <c r="S150" t="s">
        <v>301</v>
      </c>
      <c r="X150">
        <v>2023</v>
      </c>
    </row>
    <row r="151" spans="1:24" x14ac:dyDescent="0.25">
      <c r="A151" t="s">
        <v>326</v>
      </c>
      <c r="B151" s="52"/>
      <c r="C151" s="8" t="s">
        <v>325</v>
      </c>
      <c r="D151" s="8" t="s">
        <v>36</v>
      </c>
      <c r="E151" t="s">
        <v>32</v>
      </c>
      <c r="F151">
        <v>1700</v>
      </c>
      <c r="G151">
        <v>2500</v>
      </c>
      <c r="H151">
        <v>5</v>
      </c>
      <c r="I151" s="1">
        <f t="shared" si="2"/>
        <v>21.25</v>
      </c>
      <c r="J151">
        <v>468.19</v>
      </c>
      <c r="L151" s="1">
        <v>11791.04</v>
      </c>
      <c r="M151" s="1"/>
      <c r="N151" s="1"/>
      <c r="O151" s="1"/>
      <c r="P151" s="1"/>
      <c r="Q151" s="62"/>
      <c r="S151" t="s">
        <v>327</v>
      </c>
      <c r="X151">
        <v>2023</v>
      </c>
    </row>
    <row r="152" spans="1:24" x14ac:dyDescent="0.25">
      <c r="A152" t="s">
        <v>328</v>
      </c>
      <c r="B152" s="52">
        <v>45062</v>
      </c>
      <c r="C152" s="8" t="s">
        <v>329</v>
      </c>
      <c r="D152" s="8" t="s">
        <v>276</v>
      </c>
      <c r="E152" t="s">
        <v>27</v>
      </c>
      <c r="F152">
        <v>1000</v>
      </c>
      <c r="G152">
        <v>1000</v>
      </c>
      <c r="H152">
        <v>5</v>
      </c>
      <c r="I152" s="1">
        <f t="shared" si="2"/>
        <v>5</v>
      </c>
      <c r="J152">
        <v>340</v>
      </c>
      <c r="L152" s="1">
        <v>4250</v>
      </c>
      <c r="M152" s="1"/>
      <c r="N152" s="1"/>
      <c r="O152" s="1"/>
      <c r="P152" s="1"/>
      <c r="Q152" s="62"/>
      <c r="X152">
        <v>2023</v>
      </c>
    </row>
    <row r="153" spans="1:24" x14ac:dyDescent="0.25">
      <c r="B153" s="52"/>
      <c r="C153" s="8" t="s">
        <v>329</v>
      </c>
      <c r="D153" s="8" t="s">
        <v>276</v>
      </c>
      <c r="E153" t="s">
        <v>32</v>
      </c>
      <c r="F153">
        <v>1000</v>
      </c>
      <c r="G153">
        <v>1000</v>
      </c>
      <c r="H153">
        <v>5</v>
      </c>
      <c r="I153" s="1">
        <f t="shared" si="2"/>
        <v>5</v>
      </c>
      <c r="J153">
        <v>450</v>
      </c>
      <c r="L153" s="1"/>
      <c r="M153" s="1"/>
      <c r="N153" s="1"/>
      <c r="O153" s="1"/>
      <c r="P153" s="1"/>
      <c r="Q153" s="62"/>
      <c r="X153">
        <v>2023</v>
      </c>
    </row>
    <row r="154" spans="1:24" x14ac:dyDescent="0.25">
      <c r="A154" t="s">
        <v>330</v>
      </c>
      <c r="B154" s="52">
        <v>45062</v>
      </c>
      <c r="C154" s="8" t="s">
        <v>331</v>
      </c>
      <c r="D154" s="8" t="s">
        <v>57</v>
      </c>
      <c r="E154" t="s">
        <v>27</v>
      </c>
      <c r="F154">
        <v>1000</v>
      </c>
      <c r="G154">
        <v>1000</v>
      </c>
      <c r="H154">
        <v>5</v>
      </c>
      <c r="I154" s="1">
        <f t="shared" si="2"/>
        <v>5</v>
      </c>
      <c r="J154">
        <v>374</v>
      </c>
      <c r="L154" s="1">
        <v>2070</v>
      </c>
      <c r="M154" s="1"/>
      <c r="N154" s="1"/>
      <c r="O154" s="1"/>
      <c r="P154" s="1"/>
      <c r="Q154" s="62"/>
      <c r="X154">
        <v>2023</v>
      </c>
    </row>
    <row r="155" spans="1:24" x14ac:dyDescent="0.25">
      <c r="A155" t="s">
        <v>332</v>
      </c>
      <c r="B155" s="52">
        <v>45063</v>
      </c>
      <c r="C155" s="8" t="s">
        <v>333</v>
      </c>
      <c r="D155" s="8" t="s">
        <v>31</v>
      </c>
      <c r="E155" t="s">
        <v>27</v>
      </c>
      <c r="F155">
        <v>1000</v>
      </c>
      <c r="G155">
        <v>1000</v>
      </c>
      <c r="H155">
        <v>10</v>
      </c>
      <c r="I155" s="1">
        <f t="shared" si="2"/>
        <v>10</v>
      </c>
      <c r="J155">
        <v>293.12</v>
      </c>
      <c r="L155" s="1">
        <v>3181.2</v>
      </c>
      <c r="M155" s="1"/>
      <c r="N155" s="1"/>
      <c r="O155" s="1"/>
      <c r="P155" s="1"/>
      <c r="Q155" s="62"/>
      <c r="X155">
        <v>2023</v>
      </c>
    </row>
    <row r="156" spans="1:24" x14ac:dyDescent="0.25">
      <c r="A156" t="s">
        <v>334</v>
      </c>
      <c r="B156" s="52">
        <v>45063</v>
      </c>
      <c r="C156" s="8" t="s">
        <v>335</v>
      </c>
      <c r="D156" s="8" t="s">
        <v>336</v>
      </c>
      <c r="E156" t="s">
        <v>27</v>
      </c>
      <c r="F156">
        <v>385</v>
      </c>
      <c r="G156">
        <v>385</v>
      </c>
      <c r="H156">
        <v>200</v>
      </c>
      <c r="I156" s="1">
        <f t="shared" si="2"/>
        <v>29.645</v>
      </c>
      <c r="J156">
        <v>272.37</v>
      </c>
      <c r="L156" s="1">
        <v>11615.77</v>
      </c>
      <c r="M156" s="1"/>
      <c r="N156" s="1"/>
      <c r="O156" s="1"/>
      <c r="P156" s="1"/>
      <c r="Q156" s="62"/>
      <c r="S156" t="s">
        <v>337</v>
      </c>
      <c r="X156">
        <v>2023</v>
      </c>
    </row>
    <row r="157" spans="1:24" x14ac:dyDescent="0.25">
      <c r="A157" t="s">
        <v>338</v>
      </c>
      <c r="B157" s="52">
        <v>45063</v>
      </c>
      <c r="C157" s="8" t="s">
        <v>335</v>
      </c>
      <c r="D157" s="8" t="s">
        <v>336</v>
      </c>
      <c r="E157" t="s">
        <v>27</v>
      </c>
      <c r="F157">
        <v>1000</v>
      </c>
      <c r="G157">
        <v>1000</v>
      </c>
      <c r="H157">
        <v>10</v>
      </c>
      <c r="I157" s="1">
        <f t="shared" si="2"/>
        <v>10</v>
      </c>
      <c r="J157">
        <v>293.12</v>
      </c>
      <c r="L157" s="1">
        <v>3181.2</v>
      </c>
      <c r="M157" s="1"/>
      <c r="N157" s="1"/>
      <c r="O157" s="1"/>
      <c r="P157" s="1"/>
      <c r="Q157" s="62"/>
      <c r="T157" s="62"/>
      <c r="X157">
        <v>2023</v>
      </c>
    </row>
    <row r="158" spans="1:24" x14ac:dyDescent="0.25">
      <c r="A158" t="s">
        <v>339</v>
      </c>
      <c r="B158" s="52">
        <v>45063</v>
      </c>
      <c r="C158" s="8" t="s">
        <v>56</v>
      </c>
      <c r="D158" s="8" t="s">
        <v>57</v>
      </c>
      <c r="E158" t="s">
        <v>27</v>
      </c>
      <c r="F158">
        <v>2400</v>
      </c>
      <c r="G158">
        <v>1200</v>
      </c>
      <c r="H158">
        <v>7</v>
      </c>
      <c r="I158" s="1">
        <f t="shared" si="2"/>
        <v>20.16</v>
      </c>
      <c r="J158">
        <v>370.28</v>
      </c>
      <c r="L158" s="1">
        <v>8594.84</v>
      </c>
      <c r="M158" s="1"/>
      <c r="N158" s="1"/>
      <c r="O158" s="1"/>
      <c r="P158" s="1"/>
      <c r="Q158" s="62"/>
      <c r="S158" t="s">
        <v>340</v>
      </c>
      <c r="X158">
        <v>2023</v>
      </c>
    </row>
    <row r="159" spans="1:24" ht="75" x14ac:dyDescent="0.25">
      <c r="A159" t="s">
        <v>341</v>
      </c>
      <c r="B159" s="52">
        <v>45072</v>
      </c>
      <c r="C159" s="8" t="s">
        <v>342</v>
      </c>
      <c r="D159" s="8" t="s">
        <v>157</v>
      </c>
      <c r="E159" t="s">
        <v>27</v>
      </c>
      <c r="F159">
        <v>1000</v>
      </c>
      <c r="G159">
        <v>1000</v>
      </c>
      <c r="H159">
        <v>11</v>
      </c>
      <c r="I159" s="1">
        <f t="shared" si="2"/>
        <v>11</v>
      </c>
      <c r="J159">
        <v>317.26</v>
      </c>
      <c r="L159" s="1">
        <v>3714.86</v>
      </c>
      <c r="M159" s="1"/>
      <c r="N159" s="1"/>
      <c r="O159" s="1"/>
      <c r="P159" s="1" t="s">
        <v>149</v>
      </c>
      <c r="Q159" s="62">
        <v>45205</v>
      </c>
      <c r="S159" s="12" t="s">
        <v>343</v>
      </c>
      <c r="T159" s="3">
        <v>45205</v>
      </c>
      <c r="U159">
        <v>353.32</v>
      </c>
      <c r="V159">
        <v>825</v>
      </c>
      <c r="W159" s="1">
        <v>4891.5200000000004</v>
      </c>
      <c r="X159">
        <v>2023</v>
      </c>
    </row>
    <row r="160" spans="1:24" x14ac:dyDescent="0.25">
      <c r="A160" t="s">
        <v>344</v>
      </c>
      <c r="B160" s="52">
        <v>45068</v>
      </c>
      <c r="C160" s="8" t="s">
        <v>345</v>
      </c>
      <c r="D160" s="8" t="s">
        <v>46</v>
      </c>
      <c r="E160" t="s">
        <v>27</v>
      </c>
      <c r="F160">
        <v>1700</v>
      </c>
      <c r="G160">
        <v>2400</v>
      </c>
      <c r="H160">
        <v>123</v>
      </c>
      <c r="I160" s="1">
        <f t="shared" si="2"/>
        <v>501.84</v>
      </c>
      <c r="J160">
        <v>290.3</v>
      </c>
      <c r="L160" s="1">
        <v>158230.15</v>
      </c>
      <c r="M160" s="1"/>
      <c r="N160" s="1"/>
      <c r="O160" s="1"/>
      <c r="P160" s="1"/>
      <c r="Q160" s="62"/>
      <c r="S160" t="s">
        <v>346</v>
      </c>
      <c r="X160">
        <v>2023</v>
      </c>
    </row>
    <row r="161" spans="1:24" x14ac:dyDescent="0.25">
      <c r="A161" t="s">
        <v>347</v>
      </c>
      <c r="B161" s="52">
        <v>45068</v>
      </c>
      <c r="C161" s="8" t="s">
        <v>345</v>
      </c>
      <c r="D161" s="8" t="s">
        <v>46</v>
      </c>
      <c r="E161" t="s">
        <v>37</v>
      </c>
      <c r="F161">
        <v>1700</v>
      </c>
      <c r="G161">
        <v>2400</v>
      </c>
      <c r="H161">
        <v>123</v>
      </c>
      <c r="I161" s="1">
        <f t="shared" si="2"/>
        <v>501.84</v>
      </c>
      <c r="J161">
        <v>377.3</v>
      </c>
      <c r="L161" s="1">
        <v>201890.23</v>
      </c>
      <c r="M161" s="1"/>
      <c r="N161" s="1"/>
      <c r="O161" s="1"/>
      <c r="P161" s="1"/>
      <c r="Q161" s="62"/>
      <c r="S161" t="s">
        <v>346</v>
      </c>
      <c r="X161">
        <v>2023</v>
      </c>
    </row>
    <row r="162" spans="1:24" x14ac:dyDescent="0.25">
      <c r="A162" t="s">
        <v>348</v>
      </c>
      <c r="B162" s="52">
        <v>45069</v>
      </c>
      <c r="C162" s="8" t="s">
        <v>335</v>
      </c>
      <c r="D162" s="8" t="s">
        <v>336</v>
      </c>
      <c r="E162" t="s">
        <v>27</v>
      </c>
      <c r="F162">
        <v>1000</v>
      </c>
      <c r="G162">
        <v>1000</v>
      </c>
      <c r="H162">
        <v>20</v>
      </c>
      <c r="I162" s="1">
        <f t="shared" si="2"/>
        <v>20</v>
      </c>
      <c r="J162">
        <v>293.99</v>
      </c>
      <c r="L162" s="1">
        <v>6859.8</v>
      </c>
      <c r="M162" s="1"/>
      <c r="N162" s="1"/>
      <c r="O162" s="1"/>
      <c r="P162" s="1"/>
      <c r="Q162" s="62"/>
      <c r="S162" t="s">
        <v>349</v>
      </c>
      <c r="X162">
        <v>2023</v>
      </c>
    </row>
    <row r="163" spans="1:24" x14ac:dyDescent="0.25">
      <c r="A163" t="s">
        <v>350</v>
      </c>
      <c r="B163" s="52">
        <v>45072</v>
      </c>
      <c r="C163" s="8" t="s">
        <v>214</v>
      </c>
      <c r="D163" s="8" t="s">
        <v>103</v>
      </c>
      <c r="E163" t="s">
        <v>27</v>
      </c>
      <c r="F163">
        <v>500</v>
      </c>
      <c r="G163">
        <v>450</v>
      </c>
      <c r="H163">
        <v>110</v>
      </c>
      <c r="I163" s="1">
        <f t="shared" si="2"/>
        <v>24.75</v>
      </c>
      <c r="J163">
        <v>281.24</v>
      </c>
      <c r="L163" s="1">
        <v>7845.69</v>
      </c>
      <c r="M163" s="1"/>
      <c r="N163" s="1"/>
      <c r="O163" s="1"/>
      <c r="P163" s="1"/>
      <c r="Q163" s="62"/>
      <c r="S163" t="s">
        <v>351</v>
      </c>
      <c r="X163">
        <v>2023</v>
      </c>
    </row>
    <row r="164" spans="1:24" x14ac:dyDescent="0.25">
      <c r="A164" t="s">
        <v>352</v>
      </c>
      <c r="B164" s="52">
        <v>45072</v>
      </c>
      <c r="C164" s="8" t="s">
        <v>214</v>
      </c>
      <c r="D164" s="8" t="s">
        <v>103</v>
      </c>
      <c r="E164" t="s">
        <v>27</v>
      </c>
      <c r="F164">
        <v>500</v>
      </c>
      <c r="G164">
        <v>450</v>
      </c>
      <c r="H164">
        <v>880</v>
      </c>
      <c r="I164" s="1">
        <f t="shared" si="2"/>
        <v>198</v>
      </c>
      <c r="J164">
        <v>224.92</v>
      </c>
      <c r="L164" s="1">
        <v>50904.160000000003</v>
      </c>
      <c r="M164" s="1"/>
      <c r="N164" s="1"/>
      <c r="O164" s="1"/>
      <c r="P164" s="1"/>
      <c r="Q164" s="62"/>
      <c r="S164" t="s">
        <v>353</v>
      </c>
      <c r="X164">
        <v>2023</v>
      </c>
    </row>
    <row r="165" spans="1:24" x14ac:dyDescent="0.25">
      <c r="A165" t="s">
        <v>354</v>
      </c>
      <c r="B165" s="52">
        <v>45070</v>
      </c>
      <c r="C165" s="8" t="s">
        <v>355</v>
      </c>
      <c r="D165" s="8" t="s">
        <v>70</v>
      </c>
      <c r="E165" t="s">
        <v>27</v>
      </c>
      <c r="F165">
        <v>1000</v>
      </c>
      <c r="G165">
        <v>1000</v>
      </c>
      <c r="H165">
        <v>5</v>
      </c>
      <c r="I165" s="1">
        <f t="shared" si="2"/>
        <v>5</v>
      </c>
      <c r="J165">
        <v>340</v>
      </c>
      <c r="L165" s="1">
        <v>1850</v>
      </c>
      <c r="M165" s="1"/>
      <c r="N165" s="1"/>
      <c r="O165" s="1"/>
      <c r="P165" s="1"/>
      <c r="Q165" s="62"/>
      <c r="X165">
        <v>2023</v>
      </c>
    </row>
    <row r="166" spans="1:24" x14ac:dyDescent="0.25">
      <c r="A166" t="s">
        <v>356</v>
      </c>
      <c r="B166" s="52">
        <v>45070</v>
      </c>
      <c r="C166" s="8" t="s">
        <v>355</v>
      </c>
      <c r="D166" s="8" t="s">
        <v>70</v>
      </c>
      <c r="E166" t="s">
        <v>32</v>
      </c>
      <c r="F166">
        <v>1000</v>
      </c>
      <c r="G166">
        <v>1000</v>
      </c>
      <c r="H166">
        <v>5</v>
      </c>
      <c r="I166" s="1">
        <f t="shared" si="2"/>
        <v>5</v>
      </c>
      <c r="J166">
        <v>450</v>
      </c>
      <c r="L166" s="1">
        <v>2400</v>
      </c>
      <c r="M166" s="1"/>
      <c r="N166" s="1"/>
      <c r="O166" s="1"/>
      <c r="P166" s="1"/>
      <c r="Q166" s="62"/>
      <c r="X166">
        <v>2023</v>
      </c>
    </row>
    <row r="167" spans="1:24" x14ac:dyDescent="0.25">
      <c r="A167" t="s">
        <v>357</v>
      </c>
      <c r="B167" s="52">
        <v>45070</v>
      </c>
      <c r="C167" t="s">
        <v>358</v>
      </c>
      <c r="D167" t="s">
        <v>359</v>
      </c>
      <c r="E167" t="s">
        <v>27</v>
      </c>
      <c r="F167">
        <v>1000</v>
      </c>
      <c r="G167">
        <v>1000</v>
      </c>
      <c r="H167">
        <v>5</v>
      </c>
      <c r="I167" s="1">
        <f t="shared" si="2"/>
        <v>5</v>
      </c>
      <c r="J167">
        <v>340</v>
      </c>
      <c r="L167" s="1">
        <v>1850</v>
      </c>
      <c r="M167" s="1"/>
      <c r="N167" s="1"/>
      <c r="O167" s="1"/>
      <c r="P167" s="1"/>
      <c r="Q167" s="62"/>
      <c r="X167">
        <v>2023</v>
      </c>
    </row>
    <row r="168" spans="1:24" x14ac:dyDescent="0.25">
      <c r="A168" t="s">
        <v>360</v>
      </c>
      <c r="B168" s="52">
        <v>45072</v>
      </c>
      <c r="C168" t="s">
        <v>1265</v>
      </c>
      <c r="D168" t="s">
        <v>42</v>
      </c>
      <c r="E168" t="s">
        <v>27</v>
      </c>
      <c r="F168">
        <v>379</v>
      </c>
      <c r="G168">
        <v>379</v>
      </c>
      <c r="H168">
        <v>12000</v>
      </c>
      <c r="I168" s="1">
        <f t="shared" si="2"/>
        <v>1723.692</v>
      </c>
      <c r="J168">
        <v>235</v>
      </c>
      <c r="L168" s="1">
        <v>448162</v>
      </c>
      <c r="M168" s="1"/>
      <c r="N168" s="1"/>
      <c r="O168" s="1"/>
      <c r="P168" s="1"/>
      <c r="Q168" s="62"/>
      <c r="R168" t="s">
        <v>28</v>
      </c>
      <c r="S168" t="s">
        <v>361</v>
      </c>
      <c r="X168">
        <v>2023</v>
      </c>
    </row>
    <row r="169" spans="1:24" x14ac:dyDescent="0.25">
      <c r="A169" t="s">
        <v>362</v>
      </c>
      <c r="B169" s="52">
        <v>45072</v>
      </c>
      <c r="C169" t="s">
        <v>363</v>
      </c>
      <c r="D169" t="s">
        <v>46</v>
      </c>
      <c r="E169" t="s">
        <v>27</v>
      </c>
      <c r="F169">
        <v>1000</v>
      </c>
      <c r="G169">
        <v>1000</v>
      </c>
      <c r="H169">
        <v>30</v>
      </c>
      <c r="I169" s="1">
        <f t="shared" si="2"/>
        <v>30</v>
      </c>
      <c r="J169">
        <v>348.99</v>
      </c>
      <c r="L169" s="1">
        <v>11299.7</v>
      </c>
      <c r="M169" s="1"/>
      <c r="N169" s="1"/>
      <c r="O169" s="1"/>
      <c r="P169" s="1"/>
      <c r="Q169" s="62"/>
      <c r="S169" t="s">
        <v>340</v>
      </c>
      <c r="X169">
        <v>2023</v>
      </c>
    </row>
    <row r="170" spans="1:24" x14ac:dyDescent="0.25">
      <c r="A170" t="s">
        <v>364</v>
      </c>
      <c r="B170" s="52">
        <v>45072</v>
      </c>
      <c r="C170" t="s">
        <v>363</v>
      </c>
      <c r="D170" t="s">
        <v>46</v>
      </c>
      <c r="E170" t="s">
        <v>37</v>
      </c>
      <c r="F170">
        <v>1000</v>
      </c>
      <c r="G170">
        <v>1000</v>
      </c>
      <c r="H170">
        <v>30</v>
      </c>
      <c r="I170" s="1">
        <f t="shared" si="2"/>
        <v>30</v>
      </c>
      <c r="J170">
        <v>453.68</v>
      </c>
      <c r="L170" s="1">
        <v>14440.4</v>
      </c>
      <c r="M170" s="1"/>
      <c r="N170" s="1"/>
      <c r="O170" s="1"/>
      <c r="P170" s="1"/>
      <c r="Q170" s="62"/>
      <c r="S170" t="s">
        <v>340</v>
      </c>
      <c r="X170">
        <v>2023</v>
      </c>
    </row>
    <row r="171" spans="1:24" x14ac:dyDescent="0.25">
      <c r="A171" t="s">
        <v>365</v>
      </c>
      <c r="B171" s="52">
        <v>45072</v>
      </c>
      <c r="C171" t="s">
        <v>45</v>
      </c>
      <c r="D171" t="s">
        <v>46</v>
      </c>
      <c r="E171" t="s">
        <v>37</v>
      </c>
      <c r="F171">
        <v>1700</v>
      </c>
      <c r="G171">
        <v>1700</v>
      </c>
      <c r="H171">
        <v>30</v>
      </c>
      <c r="I171" s="1">
        <f t="shared" si="2"/>
        <v>86.7</v>
      </c>
      <c r="J171">
        <v>416.6</v>
      </c>
      <c r="L171" s="1">
        <v>38286.720000000001</v>
      </c>
      <c r="M171" s="1"/>
      <c r="N171" s="1"/>
      <c r="O171" s="1"/>
      <c r="P171" s="1"/>
      <c r="Q171" s="62"/>
      <c r="S171" t="s">
        <v>366</v>
      </c>
      <c r="X171">
        <v>2023</v>
      </c>
    </row>
    <row r="172" spans="1:24" x14ac:dyDescent="0.25">
      <c r="A172" t="s">
        <v>367</v>
      </c>
      <c r="B172" s="52">
        <v>45072</v>
      </c>
      <c r="C172" t="s">
        <v>45</v>
      </c>
      <c r="D172" t="s">
        <v>46</v>
      </c>
      <c r="E172" t="s">
        <v>27</v>
      </c>
      <c r="F172">
        <v>1000</v>
      </c>
      <c r="G172">
        <v>1000</v>
      </c>
      <c r="H172">
        <v>80</v>
      </c>
      <c r="I172" s="1">
        <f t="shared" si="2"/>
        <v>80</v>
      </c>
      <c r="J172">
        <v>321.73</v>
      </c>
      <c r="L172" s="1">
        <v>27738.400000000001</v>
      </c>
      <c r="M172" s="1"/>
      <c r="N172" s="1"/>
      <c r="O172" s="1"/>
      <c r="P172" s="1"/>
      <c r="Q172" s="62"/>
      <c r="S172" t="s">
        <v>366</v>
      </c>
      <c r="X172">
        <v>2023</v>
      </c>
    </row>
    <row r="173" spans="1:24" x14ac:dyDescent="0.25">
      <c r="A173" t="s">
        <v>368</v>
      </c>
      <c r="B173" s="52">
        <v>45077</v>
      </c>
      <c r="C173" t="s">
        <v>369</v>
      </c>
      <c r="D173" t="s">
        <v>46</v>
      </c>
      <c r="E173" t="s">
        <v>27</v>
      </c>
      <c r="F173">
        <v>1000</v>
      </c>
      <c r="G173">
        <v>1000</v>
      </c>
      <c r="H173">
        <v>5</v>
      </c>
      <c r="I173" s="1">
        <f t="shared" si="2"/>
        <v>5</v>
      </c>
      <c r="J173">
        <v>436.24</v>
      </c>
      <c r="L173" s="1">
        <v>2681.2</v>
      </c>
      <c r="M173" s="1"/>
      <c r="N173" s="1"/>
      <c r="O173" s="1"/>
      <c r="P173" s="1"/>
      <c r="Q173" s="62"/>
      <c r="R173" t="s">
        <v>28</v>
      </c>
      <c r="S173" t="s">
        <v>370</v>
      </c>
      <c r="T173" s="13"/>
      <c r="X173">
        <v>2023</v>
      </c>
    </row>
    <row r="174" spans="1:24" x14ac:dyDescent="0.25">
      <c r="A174" t="s">
        <v>371</v>
      </c>
      <c r="B174" s="52">
        <v>45077</v>
      </c>
      <c r="C174" t="s">
        <v>195</v>
      </c>
      <c r="D174" t="s">
        <v>46</v>
      </c>
      <c r="E174" t="s">
        <v>37</v>
      </c>
      <c r="F174">
        <v>1700</v>
      </c>
      <c r="G174">
        <v>1700</v>
      </c>
      <c r="H174">
        <v>30</v>
      </c>
      <c r="I174" s="1">
        <f t="shared" si="2"/>
        <v>86.7</v>
      </c>
      <c r="J174">
        <v>416.6</v>
      </c>
      <c r="L174" s="1">
        <v>38286.720000000001</v>
      </c>
      <c r="M174" s="1"/>
      <c r="N174" s="1"/>
      <c r="O174" s="1"/>
      <c r="P174" s="1"/>
      <c r="Q174" s="62"/>
      <c r="R174" t="s">
        <v>28</v>
      </c>
      <c r="S174" t="s">
        <v>366</v>
      </c>
      <c r="T174" s="3">
        <v>45083</v>
      </c>
      <c r="U174">
        <v>378.72</v>
      </c>
      <c r="W174" s="1">
        <v>35002.519999999997</v>
      </c>
      <c r="X174">
        <v>2023</v>
      </c>
    </row>
    <row r="175" spans="1:24" x14ac:dyDescent="0.25">
      <c r="A175" t="s">
        <v>372</v>
      </c>
      <c r="B175" s="52">
        <v>45077</v>
      </c>
      <c r="C175" t="s">
        <v>373</v>
      </c>
      <c r="D175" t="s">
        <v>52</v>
      </c>
      <c r="E175" t="s">
        <v>37</v>
      </c>
      <c r="F175">
        <v>1000</v>
      </c>
      <c r="G175">
        <v>1000</v>
      </c>
      <c r="H175">
        <v>5</v>
      </c>
      <c r="I175" s="1">
        <f t="shared" si="2"/>
        <v>5</v>
      </c>
      <c r="J175">
        <v>385</v>
      </c>
      <c r="L175" s="1">
        <v>2075</v>
      </c>
      <c r="M175" s="1"/>
      <c r="N175" s="1"/>
      <c r="O175" s="1"/>
      <c r="P175" s="1"/>
      <c r="Q175" s="62"/>
      <c r="R175" t="s">
        <v>28</v>
      </c>
      <c r="X175">
        <v>2023</v>
      </c>
    </row>
    <row r="176" spans="1:24" x14ac:dyDescent="0.25">
      <c r="A176" t="s">
        <v>374</v>
      </c>
      <c r="B176" s="52">
        <v>45077</v>
      </c>
      <c r="C176" t="s">
        <v>375</v>
      </c>
      <c r="D176" t="s">
        <v>83</v>
      </c>
      <c r="E176" t="s">
        <v>27</v>
      </c>
      <c r="F176">
        <v>1000</v>
      </c>
      <c r="G176">
        <v>1000</v>
      </c>
      <c r="H176">
        <v>5</v>
      </c>
      <c r="I176" s="1">
        <f t="shared" si="2"/>
        <v>5</v>
      </c>
      <c r="J176">
        <v>340</v>
      </c>
      <c r="L176" s="1">
        <v>1900</v>
      </c>
      <c r="M176" s="1"/>
      <c r="N176" s="1"/>
      <c r="O176" s="1"/>
      <c r="P176" s="1"/>
      <c r="Q176" s="62"/>
      <c r="R176" t="s">
        <v>28</v>
      </c>
      <c r="X176">
        <v>2023</v>
      </c>
    </row>
    <row r="177" spans="1:24" x14ac:dyDescent="0.25">
      <c r="A177" t="s">
        <v>376</v>
      </c>
      <c r="B177" s="52">
        <v>45077</v>
      </c>
      <c r="C177" t="s">
        <v>377</v>
      </c>
      <c r="D177" t="s">
        <v>378</v>
      </c>
      <c r="E177" t="s">
        <v>32</v>
      </c>
      <c r="F177">
        <v>1000</v>
      </c>
      <c r="G177">
        <v>1000</v>
      </c>
      <c r="H177">
        <v>5</v>
      </c>
      <c r="I177" s="1">
        <f t="shared" si="2"/>
        <v>5</v>
      </c>
      <c r="J177">
        <v>450</v>
      </c>
      <c r="L177" s="1">
        <v>2400</v>
      </c>
      <c r="M177" s="1"/>
      <c r="N177" s="1"/>
      <c r="O177" s="1"/>
      <c r="P177" s="1"/>
      <c r="Q177" s="62"/>
      <c r="R177" t="s">
        <v>28</v>
      </c>
      <c r="X177">
        <v>2023</v>
      </c>
    </row>
    <row r="178" spans="1:24" x14ac:dyDescent="0.25">
      <c r="A178" t="s">
        <v>379</v>
      </c>
      <c r="B178" s="52">
        <v>45077</v>
      </c>
      <c r="C178" t="s">
        <v>380</v>
      </c>
      <c r="D178" t="s">
        <v>97</v>
      </c>
      <c r="E178" t="s">
        <v>27</v>
      </c>
      <c r="F178">
        <v>1000</v>
      </c>
      <c r="G178">
        <v>1000</v>
      </c>
      <c r="H178">
        <v>5</v>
      </c>
      <c r="I178" s="1">
        <f t="shared" si="2"/>
        <v>5</v>
      </c>
      <c r="J178">
        <v>340</v>
      </c>
      <c r="L178" s="1">
        <v>1850</v>
      </c>
      <c r="M178" s="1"/>
      <c r="N178" s="1"/>
      <c r="O178" s="1"/>
      <c r="P178" s="1"/>
      <c r="Q178" s="62"/>
      <c r="R178" t="s">
        <v>28</v>
      </c>
      <c r="X178">
        <v>2023</v>
      </c>
    </row>
    <row r="179" spans="1:24" x14ac:dyDescent="0.25">
      <c r="A179" t="s">
        <v>381</v>
      </c>
      <c r="B179" s="52">
        <v>45077</v>
      </c>
      <c r="C179" t="s">
        <v>380</v>
      </c>
      <c r="D179" t="s">
        <v>97</v>
      </c>
      <c r="E179" t="s">
        <v>32</v>
      </c>
      <c r="F179">
        <v>1000</v>
      </c>
      <c r="G179">
        <v>1000</v>
      </c>
      <c r="H179">
        <v>5</v>
      </c>
      <c r="I179" s="1">
        <f t="shared" si="2"/>
        <v>5</v>
      </c>
      <c r="J179">
        <v>450</v>
      </c>
      <c r="L179" s="1">
        <v>2400</v>
      </c>
      <c r="M179" s="1"/>
      <c r="N179" s="1"/>
      <c r="O179" s="1"/>
      <c r="P179" s="1"/>
      <c r="Q179" s="62"/>
      <c r="R179" t="s">
        <v>28</v>
      </c>
      <c r="X179">
        <v>2023</v>
      </c>
    </row>
    <row r="180" spans="1:24" x14ac:dyDescent="0.25">
      <c r="A180" t="s">
        <v>382</v>
      </c>
      <c r="B180" s="52">
        <v>45078</v>
      </c>
      <c r="C180" t="s">
        <v>383</v>
      </c>
      <c r="D180" t="s">
        <v>100</v>
      </c>
      <c r="E180" t="s">
        <v>27</v>
      </c>
      <c r="F180">
        <v>500</v>
      </c>
      <c r="G180">
        <v>500</v>
      </c>
      <c r="H180">
        <v>80</v>
      </c>
      <c r="I180" s="1">
        <f t="shared" si="2"/>
        <v>20</v>
      </c>
      <c r="J180">
        <v>293.99</v>
      </c>
      <c r="L180" s="1">
        <v>6759.8</v>
      </c>
      <c r="M180" s="1"/>
      <c r="N180" s="1"/>
      <c r="O180" s="1"/>
      <c r="P180" s="1"/>
      <c r="Q180" s="62"/>
      <c r="R180" t="s">
        <v>28</v>
      </c>
      <c r="S180" t="s">
        <v>349</v>
      </c>
      <c r="X180">
        <v>2023</v>
      </c>
    </row>
    <row r="181" spans="1:24" x14ac:dyDescent="0.25">
      <c r="A181" t="s">
        <v>384</v>
      </c>
      <c r="B181" s="52">
        <v>45078</v>
      </c>
      <c r="C181" t="s">
        <v>383</v>
      </c>
      <c r="D181" t="s">
        <v>100</v>
      </c>
      <c r="E181" t="s">
        <v>27</v>
      </c>
      <c r="F181">
        <v>1000</v>
      </c>
      <c r="G181">
        <v>1000</v>
      </c>
      <c r="H181">
        <v>5</v>
      </c>
      <c r="I181" s="1">
        <f t="shared" si="2"/>
        <v>5</v>
      </c>
      <c r="J181">
        <v>340</v>
      </c>
      <c r="L181" s="1">
        <v>1900</v>
      </c>
      <c r="M181" s="1"/>
      <c r="N181" s="1"/>
      <c r="O181" s="1"/>
      <c r="P181" s="1"/>
      <c r="Q181" s="62"/>
      <c r="R181" t="s">
        <v>28</v>
      </c>
      <c r="X181">
        <v>2023</v>
      </c>
    </row>
    <row r="182" spans="1:24" x14ac:dyDescent="0.25">
      <c r="A182" t="s">
        <v>385</v>
      </c>
      <c r="B182" s="52">
        <v>45078</v>
      </c>
      <c r="C182" t="s">
        <v>383</v>
      </c>
      <c r="D182" t="s">
        <v>100</v>
      </c>
      <c r="E182" t="s">
        <v>37</v>
      </c>
      <c r="F182">
        <v>500</v>
      </c>
      <c r="G182">
        <v>500</v>
      </c>
      <c r="H182">
        <v>80</v>
      </c>
      <c r="I182" s="1">
        <f t="shared" si="2"/>
        <v>20</v>
      </c>
      <c r="J182">
        <v>382.18</v>
      </c>
      <c r="L182" s="1">
        <v>8523.6</v>
      </c>
      <c r="M182" s="1"/>
      <c r="N182" s="1"/>
      <c r="O182" s="1"/>
      <c r="P182" s="1"/>
      <c r="Q182" s="62"/>
      <c r="R182" t="s">
        <v>28</v>
      </c>
      <c r="S182" t="s">
        <v>349</v>
      </c>
      <c r="X182">
        <v>2023</v>
      </c>
    </row>
    <row r="183" spans="1:24" x14ac:dyDescent="0.25">
      <c r="A183" t="s">
        <v>386</v>
      </c>
      <c r="B183" s="52">
        <v>45078</v>
      </c>
      <c r="C183" t="s">
        <v>383</v>
      </c>
      <c r="D183" t="s">
        <v>100</v>
      </c>
      <c r="E183" t="s">
        <v>37</v>
      </c>
      <c r="F183">
        <v>1000</v>
      </c>
      <c r="G183">
        <v>1000</v>
      </c>
      <c r="H183">
        <v>5</v>
      </c>
      <c r="I183" s="1">
        <f t="shared" si="2"/>
        <v>5</v>
      </c>
      <c r="J183">
        <v>385</v>
      </c>
      <c r="L183" s="1">
        <v>2125</v>
      </c>
      <c r="M183" s="1"/>
      <c r="N183" s="1"/>
      <c r="O183" s="1"/>
      <c r="P183" s="1"/>
      <c r="Q183" s="62"/>
      <c r="R183" t="s">
        <v>28</v>
      </c>
      <c r="X183">
        <v>2023</v>
      </c>
    </row>
    <row r="184" spans="1:24" x14ac:dyDescent="0.25">
      <c r="A184" t="s">
        <v>387</v>
      </c>
      <c r="B184" s="52">
        <v>45078</v>
      </c>
      <c r="C184" t="s">
        <v>383</v>
      </c>
      <c r="D184" t="s">
        <v>100</v>
      </c>
      <c r="E184" t="s">
        <v>32</v>
      </c>
      <c r="F184">
        <v>500</v>
      </c>
      <c r="G184">
        <v>500</v>
      </c>
      <c r="H184">
        <v>80</v>
      </c>
      <c r="I184" s="1">
        <f t="shared" si="2"/>
        <v>20</v>
      </c>
      <c r="J184">
        <v>474.51</v>
      </c>
      <c r="L184" s="1">
        <v>10370.200000000001</v>
      </c>
      <c r="M184" s="1"/>
      <c r="N184" s="1"/>
      <c r="O184" s="1"/>
      <c r="P184" s="1"/>
      <c r="Q184" s="62"/>
      <c r="R184" t="s">
        <v>28</v>
      </c>
      <c r="S184" t="s">
        <v>349</v>
      </c>
      <c r="X184">
        <v>2023</v>
      </c>
    </row>
    <row r="185" spans="1:24" x14ac:dyDescent="0.25">
      <c r="A185" t="s">
        <v>388</v>
      </c>
      <c r="B185" s="52">
        <v>45078</v>
      </c>
      <c r="C185" t="s">
        <v>383</v>
      </c>
      <c r="D185" t="s">
        <v>100</v>
      </c>
      <c r="E185" t="s">
        <v>32</v>
      </c>
      <c r="F185">
        <v>1000</v>
      </c>
      <c r="G185">
        <v>1000</v>
      </c>
      <c r="H185">
        <v>5</v>
      </c>
      <c r="I185" s="1">
        <f t="shared" si="2"/>
        <v>5</v>
      </c>
      <c r="J185">
        <v>600</v>
      </c>
      <c r="L185" s="1">
        <v>3200</v>
      </c>
      <c r="M185" s="1"/>
      <c r="N185" s="1"/>
      <c r="O185" s="1"/>
      <c r="P185" s="1"/>
      <c r="Q185" s="62"/>
      <c r="R185" t="s">
        <v>28</v>
      </c>
      <c r="S185" t="s">
        <v>389</v>
      </c>
      <c r="X185">
        <v>2023</v>
      </c>
    </row>
    <row r="186" spans="1:24" x14ac:dyDescent="0.25">
      <c r="A186" t="s">
        <v>390</v>
      </c>
      <c r="B186" s="52">
        <v>45078</v>
      </c>
      <c r="C186" t="s">
        <v>369</v>
      </c>
      <c r="D186" t="s">
        <v>46</v>
      </c>
      <c r="E186" t="s">
        <v>27</v>
      </c>
      <c r="F186">
        <v>2422</v>
      </c>
      <c r="G186">
        <v>1392</v>
      </c>
      <c r="H186">
        <v>220</v>
      </c>
      <c r="I186" s="1">
        <f t="shared" si="2"/>
        <v>741.71328000000005</v>
      </c>
      <c r="J186">
        <v>269.77999999999997</v>
      </c>
      <c r="L186" s="1">
        <v>218641.27</v>
      </c>
      <c r="M186" s="1"/>
      <c r="N186" s="1"/>
      <c r="O186" s="1"/>
      <c r="P186" s="1"/>
      <c r="Q186" s="62"/>
      <c r="R186" t="s">
        <v>28</v>
      </c>
      <c r="S186" t="s">
        <v>391</v>
      </c>
      <c r="X186">
        <v>2023</v>
      </c>
    </row>
    <row r="187" spans="1:24" x14ac:dyDescent="0.25">
      <c r="A187" t="s">
        <v>392</v>
      </c>
      <c r="B187" s="52">
        <v>45078</v>
      </c>
      <c r="C187" t="s">
        <v>369</v>
      </c>
      <c r="D187" t="s">
        <v>46</v>
      </c>
      <c r="E187" t="s">
        <v>37</v>
      </c>
      <c r="F187">
        <v>2422</v>
      </c>
      <c r="G187">
        <v>1392</v>
      </c>
      <c r="H187">
        <v>8</v>
      </c>
      <c r="I187" s="1">
        <f t="shared" si="2"/>
        <v>26.971392000000002</v>
      </c>
      <c r="J187">
        <v>460.05</v>
      </c>
      <c r="L187" s="1">
        <v>13756.05</v>
      </c>
      <c r="M187" s="1"/>
      <c r="N187" s="1"/>
      <c r="O187" s="1"/>
      <c r="P187" s="1"/>
      <c r="Q187" s="62"/>
      <c r="R187" t="s">
        <v>28</v>
      </c>
      <c r="S187" t="s">
        <v>391</v>
      </c>
      <c r="X187">
        <v>2023</v>
      </c>
    </row>
    <row r="188" spans="1:24" x14ac:dyDescent="0.25">
      <c r="A188" t="s">
        <v>393</v>
      </c>
      <c r="B188" s="52">
        <v>45078</v>
      </c>
      <c r="C188" t="s">
        <v>394</v>
      </c>
      <c r="D188" t="s">
        <v>46</v>
      </c>
      <c r="E188" t="s">
        <v>27</v>
      </c>
      <c r="F188">
        <v>1224</v>
      </c>
      <c r="G188">
        <v>1224</v>
      </c>
      <c r="H188">
        <v>600</v>
      </c>
      <c r="I188" s="1">
        <f t="shared" si="2"/>
        <v>898.90560000000005</v>
      </c>
      <c r="J188">
        <v>262.26</v>
      </c>
      <c r="L188" s="1">
        <v>258220.89</v>
      </c>
      <c r="M188" s="1"/>
      <c r="N188" s="1"/>
      <c r="O188" s="1"/>
      <c r="P188" s="1"/>
      <c r="Q188" s="62"/>
      <c r="R188" t="s">
        <v>28</v>
      </c>
      <c r="S188" t="s">
        <v>395</v>
      </c>
      <c r="X188">
        <v>2023</v>
      </c>
    </row>
    <row r="189" spans="1:24" x14ac:dyDescent="0.25">
      <c r="A189" t="s">
        <v>396</v>
      </c>
      <c r="B189" s="52">
        <v>45078</v>
      </c>
      <c r="C189" t="s">
        <v>394</v>
      </c>
      <c r="D189" t="s">
        <v>46</v>
      </c>
      <c r="E189" t="s">
        <v>27</v>
      </c>
      <c r="F189">
        <v>737</v>
      </c>
      <c r="G189">
        <v>737</v>
      </c>
      <c r="H189">
        <v>300</v>
      </c>
      <c r="I189" s="1">
        <f t="shared" si="2"/>
        <v>162.95070000000001</v>
      </c>
      <c r="J189">
        <v>304.97000000000003</v>
      </c>
      <c r="L189" s="1">
        <v>53768.61</v>
      </c>
      <c r="M189" s="1"/>
      <c r="N189" s="1"/>
      <c r="O189" s="1"/>
      <c r="P189" s="1"/>
      <c r="Q189" s="62"/>
      <c r="R189" t="s">
        <v>28</v>
      </c>
      <c r="S189" t="s">
        <v>391</v>
      </c>
      <c r="X189">
        <v>2023</v>
      </c>
    </row>
    <row r="190" spans="1:24" x14ac:dyDescent="0.25">
      <c r="A190" t="s">
        <v>397</v>
      </c>
      <c r="B190" s="52">
        <v>45078</v>
      </c>
      <c r="C190" t="s">
        <v>394</v>
      </c>
      <c r="D190" t="s">
        <v>46</v>
      </c>
      <c r="E190" t="s">
        <v>27</v>
      </c>
      <c r="F190">
        <v>574</v>
      </c>
      <c r="G190">
        <v>573</v>
      </c>
      <c r="H190">
        <v>300</v>
      </c>
      <c r="I190" s="1">
        <f t="shared" si="2"/>
        <v>98.670599999999993</v>
      </c>
      <c r="J190">
        <v>318.64</v>
      </c>
      <c r="L190" s="1">
        <v>33940.21</v>
      </c>
      <c r="M190" s="1"/>
      <c r="N190" s="1"/>
      <c r="O190" s="1"/>
      <c r="P190" s="1"/>
      <c r="Q190" s="62"/>
      <c r="R190" t="s">
        <v>28</v>
      </c>
      <c r="S190" t="s">
        <v>391</v>
      </c>
      <c r="X190">
        <v>2023</v>
      </c>
    </row>
    <row r="191" spans="1:24" x14ac:dyDescent="0.25">
      <c r="A191" t="s">
        <v>398</v>
      </c>
      <c r="B191" s="52">
        <v>45078</v>
      </c>
      <c r="C191" t="s">
        <v>399</v>
      </c>
      <c r="D191" t="s">
        <v>296</v>
      </c>
      <c r="E191" t="s">
        <v>27</v>
      </c>
      <c r="F191">
        <v>1000</v>
      </c>
      <c r="G191">
        <v>1000</v>
      </c>
      <c r="H191">
        <v>400</v>
      </c>
      <c r="I191" s="1">
        <f t="shared" si="2"/>
        <v>400</v>
      </c>
      <c r="J191">
        <v>292.27999999999997</v>
      </c>
      <c r="L191" s="1">
        <v>126912</v>
      </c>
      <c r="M191" s="1"/>
      <c r="N191" s="1"/>
      <c r="O191" s="1"/>
      <c r="P191" s="1"/>
      <c r="Q191" s="62"/>
      <c r="R191" t="s">
        <v>28</v>
      </c>
      <c r="S191" t="s">
        <v>400</v>
      </c>
      <c r="X191">
        <v>2023</v>
      </c>
    </row>
    <row r="192" spans="1:24" x14ac:dyDescent="0.25">
      <c r="A192" t="s">
        <v>401</v>
      </c>
      <c r="B192" s="52">
        <v>45078</v>
      </c>
      <c r="C192" t="s">
        <v>402</v>
      </c>
      <c r="D192" t="s">
        <v>157</v>
      </c>
      <c r="E192" t="s">
        <v>27</v>
      </c>
      <c r="F192">
        <v>1000</v>
      </c>
      <c r="G192">
        <v>1000</v>
      </c>
      <c r="H192">
        <v>5</v>
      </c>
      <c r="I192" s="1">
        <f t="shared" si="2"/>
        <v>5</v>
      </c>
      <c r="J192">
        <v>400</v>
      </c>
      <c r="L192" s="1">
        <v>2450</v>
      </c>
      <c r="M192" s="1"/>
      <c r="N192" s="1"/>
      <c r="O192" s="1"/>
      <c r="P192" s="1"/>
      <c r="Q192" s="62"/>
      <c r="R192" t="s">
        <v>28</v>
      </c>
      <c r="S192" t="s">
        <v>391</v>
      </c>
      <c r="X192">
        <v>2023</v>
      </c>
    </row>
    <row r="193" spans="1:24" x14ac:dyDescent="0.25">
      <c r="A193" t="s">
        <v>403</v>
      </c>
      <c r="B193" s="52">
        <v>45079</v>
      </c>
      <c r="C193" t="s">
        <v>74</v>
      </c>
      <c r="D193" t="s">
        <v>31</v>
      </c>
      <c r="E193" t="s">
        <v>32</v>
      </c>
      <c r="F193">
        <v>1000</v>
      </c>
      <c r="G193">
        <v>1000</v>
      </c>
      <c r="H193">
        <v>5</v>
      </c>
      <c r="I193" s="1">
        <f t="shared" si="2"/>
        <v>5</v>
      </c>
      <c r="J193">
        <v>600</v>
      </c>
      <c r="L193" s="1">
        <v>3450</v>
      </c>
      <c r="M193" s="1"/>
      <c r="N193" s="1"/>
      <c r="O193" s="1"/>
      <c r="P193" s="1"/>
      <c r="Q193" s="62"/>
      <c r="R193" t="s">
        <v>28</v>
      </c>
      <c r="S193" t="s">
        <v>391</v>
      </c>
      <c r="X193">
        <v>2023</v>
      </c>
    </row>
    <row r="194" spans="1:24" x14ac:dyDescent="0.25">
      <c r="A194" t="s">
        <v>404</v>
      </c>
      <c r="B194" s="52">
        <v>45079</v>
      </c>
      <c r="C194" t="s">
        <v>405</v>
      </c>
      <c r="D194" t="s">
        <v>46</v>
      </c>
      <c r="E194" t="s">
        <v>37</v>
      </c>
      <c r="F194">
        <v>2400</v>
      </c>
      <c r="G194">
        <v>1500</v>
      </c>
      <c r="H194">
        <v>6</v>
      </c>
      <c r="I194" s="1">
        <f t="shared" ref="I194:I257" si="3">$F194*$G194*$H194/1000000</f>
        <v>21.6</v>
      </c>
      <c r="J194">
        <v>475.74</v>
      </c>
      <c r="L194" s="1">
        <v>11355.98</v>
      </c>
      <c r="M194" s="1"/>
      <c r="N194" s="1"/>
      <c r="O194" s="1"/>
      <c r="P194" s="1"/>
      <c r="Q194" s="62"/>
      <c r="R194" t="s">
        <v>28</v>
      </c>
      <c r="S194" t="s">
        <v>391</v>
      </c>
      <c r="X194">
        <v>2023</v>
      </c>
    </row>
    <row r="195" spans="1:24" x14ac:dyDescent="0.25">
      <c r="A195" t="s">
        <v>406</v>
      </c>
      <c r="B195" s="52">
        <v>45079</v>
      </c>
      <c r="C195" t="s">
        <v>407</v>
      </c>
      <c r="D195" t="s">
        <v>46</v>
      </c>
      <c r="E195" t="s">
        <v>27</v>
      </c>
      <c r="F195">
        <v>1000</v>
      </c>
      <c r="G195">
        <v>1000</v>
      </c>
      <c r="H195">
        <v>5</v>
      </c>
      <c r="I195" s="1">
        <f t="shared" si="3"/>
        <v>5</v>
      </c>
      <c r="J195">
        <v>440</v>
      </c>
      <c r="L195" s="1">
        <v>2700</v>
      </c>
      <c r="M195" s="1"/>
      <c r="N195" s="1"/>
      <c r="O195" s="1"/>
      <c r="P195" s="1"/>
      <c r="Q195" s="62"/>
      <c r="R195" t="s">
        <v>28</v>
      </c>
      <c r="S195" t="s">
        <v>408</v>
      </c>
      <c r="X195">
        <v>2023</v>
      </c>
    </row>
    <row r="196" spans="1:24" x14ac:dyDescent="0.25">
      <c r="A196" t="s">
        <v>409</v>
      </c>
      <c r="B196" s="52">
        <v>45079</v>
      </c>
      <c r="C196" t="s">
        <v>407</v>
      </c>
      <c r="D196" t="s">
        <v>46</v>
      </c>
      <c r="E196" t="s">
        <v>37</v>
      </c>
      <c r="F196">
        <v>1000</v>
      </c>
      <c r="G196">
        <v>1000</v>
      </c>
      <c r="H196">
        <v>5</v>
      </c>
      <c r="I196" s="1">
        <f t="shared" si="3"/>
        <v>5</v>
      </c>
      <c r="J196">
        <v>550</v>
      </c>
      <c r="L196" s="1">
        <v>3250</v>
      </c>
      <c r="M196" s="1"/>
      <c r="N196" s="1"/>
      <c r="O196" s="1"/>
      <c r="P196" s="1"/>
      <c r="Q196" s="62"/>
      <c r="R196" t="s">
        <v>28</v>
      </c>
      <c r="S196" t="s">
        <v>408</v>
      </c>
      <c r="X196">
        <v>2023</v>
      </c>
    </row>
    <row r="197" spans="1:24" x14ac:dyDescent="0.25">
      <c r="A197" t="s">
        <v>410</v>
      </c>
      <c r="B197" s="52">
        <v>45079</v>
      </c>
      <c r="C197" t="s">
        <v>335</v>
      </c>
      <c r="D197" t="s">
        <v>336</v>
      </c>
      <c r="E197" t="s">
        <v>27</v>
      </c>
      <c r="F197">
        <v>1000</v>
      </c>
      <c r="G197">
        <v>1000</v>
      </c>
      <c r="H197">
        <v>100</v>
      </c>
      <c r="I197" s="1">
        <f t="shared" si="3"/>
        <v>100</v>
      </c>
      <c r="J197">
        <v>289.5</v>
      </c>
      <c r="L197" s="1">
        <v>31905</v>
      </c>
      <c r="M197" s="1"/>
      <c r="N197" s="1"/>
      <c r="O197" s="1"/>
      <c r="P197" s="1"/>
      <c r="Q197" s="62"/>
      <c r="R197" t="s">
        <v>28</v>
      </c>
      <c r="S197" t="s">
        <v>391</v>
      </c>
      <c r="X197">
        <v>2023</v>
      </c>
    </row>
    <row r="198" spans="1:24" x14ac:dyDescent="0.25">
      <c r="A198" t="s">
        <v>411</v>
      </c>
      <c r="B198" s="52">
        <v>45079</v>
      </c>
      <c r="C198" t="s">
        <v>412</v>
      </c>
      <c r="D198" t="s">
        <v>157</v>
      </c>
      <c r="E198" t="s">
        <v>27</v>
      </c>
      <c r="F198">
        <v>530</v>
      </c>
      <c r="G198">
        <v>530</v>
      </c>
      <c r="H198">
        <v>72</v>
      </c>
      <c r="I198" s="1">
        <f t="shared" si="3"/>
        <v>20.224799999999998</v>
      </c>
      <c r="J198">
        <v>336.44</v>
      </c>
      <c r="L198" s="1">
        <v>9302.82</v>
      </c>
      <c r="M198" s="1"/>
      <c r="N198" s="1"/>
      <c r="O198" s="1"/>
      <c r="P198" s="1"/>
      <c r="Q198" s="62"/>
      <c r="R198" t="s">
        <v>28</v>
      </c>
      <c r="S198" t="s">
        <v>395</v>
      </c>
      <c r="X198">
        <v>2023</v>
      </c>
    </row>
    <row r="199" spans="1:24" x14ac:dyDescent="0.25">
      <c r="A199" t="s">
        <v>413</v>
      </c>
      <c r="B199" s="52">
        <v>45079</v>
      </c>
      <c r="C199" t="s">
        <v>412</v>
      </c>
      <c r="D199" t="s">
        <v>157</v>
      </c>
      <c r="E199" t="s">
        <v>32</v>
      </c>
      <c r="F199">
        <v>530</v>
      </c>
      <c r="G199">
        <v>530</v>
      </c>
      <c r="H199">
        <v>72</v>
      </c>
      <c r="I199" s="1">
        <f t="shared" si="3"/>
        <v>20.224799999999998</v>
      </c>
      <c r="J199">
        <v>543.03</v>
      </c>
      <c r="L199" s="1">
        <v>13480.07</v>
      </c>
      <c r="M199" s="1"/>
      <c r="N199" s="1"/>
      <c r="O199" s="1"/>
      <c r="P199" s="1"/>
      <c r="Q199" s="62"/>
      <c r="R199" t="s">
        <v>28</v>
      </c>
      <c r="S199" t="s">
        <v>395</v>
      </c>
      <c r="X199">
        <v>2023</v>
      </c>
    </row>
    <row r="200" spans="1:24" x14ac:dyDescent="0.25">
      <c r="A200" t="s">
        <v>414</v>
      </c>
      <c r="B200" s="52">
        <v>45082</v>
      </c>
      <c r="C200" t="s">
        <v>35</v>
      </c>
      <c r="D200" t="s">
        <v>36</v>
      </c>
      <c r="E200" t="s">
        <v>37</v>
      </c>
      <c r="F200">
        <v>855</v>
      </c>
      <c r="G200">
        <v>855</v>
      </c>
      <c r="H200">
        <v>1560</v>
      </c>
      <c r="I200" s="1">
        <f t="shared" si="3"/>
        <v>1140.3989999999999</v>
      </c>
      <c r="J200">
        <v>235.22</v>
      </c>
      <c r="L200" s="1">
        <v>398314.89</v>
      </c>
      <c r="M200" s="1"/>
      <c r="N200" s="1"/>
      <c r="O200" s="1"/>
      <c r="P200" s="1"/>
      <c r="Q200" s="62"/>
      <c r="S200" t="s">
        <v>415</v>
      </c>
      <c r="X200">
        <v>2023</v>
      </c>
    </row>
    <row r="201" spans="1:24" x14ac:dyDescent="0.25">
      <c r="A201" t="s">
        <v>416</v>
      </c>
      <c r="B201" s="52">
        <v>45083</v>
      </c>
      <c r="C201" t="s">
        <v>417</v>
      </c>
      <c r="D201" t="s">
        <v>418</v>
      </c>
      <c r="E201" t="s">
        <v>27</v>
      </c>
      <c r="F201">
        <v>1000</v>
      </c>
      <c r="G201">
        <v>1000</v>
      </c>
      <c r="H201">
        <v>5</v>
      </c>
      <c r="I201" s="1">
        <f t="shared" si="3"/>
        <v>5</v>
      </c>
      <c r="J201" s="1">
        <v>400</v>
      </c>
      <c r="K201" s="1"/>
      <c r="L201" s="1">
        <v>2450</v>
      </c>
      <c r="M201" s="1"/>
      <c r="N201" s="1"/>
      <c r="O201" s="1"/>
      <c r="P201" s="1"/>
      <c r="Q201" s="62"/>
      <c r="X201">
        <v>2023</v>
      </c>
    </row>
    <row r="202" spans="1:24" x14ac:dyDescent="0.25">
      <c r="A202" t="s">
        <v>419</v>
      </c>
      <c r="B202" s="52">
        <v>45083</v>
      </c>
      <c r="C202" t="s">
        <v>417</v>
      </c>
      <c r="D202" t="s">
        <v>418</v>
      </c>
      <c r="E202" t="s">
        <v>37</v>
      </c>
      <c r="F202">
        <v>1000</v>
      </c>
      <c r="G202">
        <v>1000</v>
      </c>
      <c r="H202">
        <v>5</v>
      </c>
      <c r="I202" s="1">
        <f t="shared" si="3"/>
        <v>5</v>
      </c>
      <c r="J202" s="1">
        <v>500</v>
      </c>
      <c r="K202" s="1"/>
      <c r="L202" s="1">
        <v>2950</v>
      </c>
      <c r="M202" s="1"/>
      <c r="N202" s="1"/>
      <c r="O202" s="1"/>
      <c r="P202" s="1"/>
      <c r="Q202" s="62"/>
      <c r="X202">
        <v>2023</v>
      </c>
    </row>
    <row r="203" spans="1:24" x14ac:dyDescent="0.25">
      <c r="A203" t="s">
        <v>420</v>
      </c>
      <c r="B203" s="52">
        <v>45083</v>
      </c>
      <c r="C203" t="s">
        <v>417</v>
      </c>
      <c r="D203" t="s">
        <v>418</v>
      </c>
      <c r="E203" t="s">
        <v>32</v>
      </c>
      <c r="F203">
        <v>1000</v>
      </c>
      <c r="G203">
        <v>1000</v>
      </c>
      <c r="H203">
        <v>5</v>
      </c>
      <c r="I203" s="1">
        <f t="shared" si="3"/>
        <v>5</v>
      </c>
      <c r="J203" s="1">
        <v>600</v>
      </c>
      <c r="K203" s="1"/>
      <c r="L203" s="1">
        <v>3450</v>
      </c>
      <c r="M203" s="1"/>
      <c r="N203" s="1"/>
      <c r="O203" s="1"/>
      <c r="P203" s="1"/>
      <c r="Q203" s="62"/>
      <c r="X203">
        <v>2023</v>
      </c>
    </row>
    <row r="204" spans="1:24" x14ac:dyDescent="0.25">
      <c r="A204" t="s">
        <v>421</v>
      </c>
      <c r="B204" s="52">
        <v>45083</v>
      </c>
      <c r="C204" t="s">
        <v>422</v>
      </c>
      <c r="D204" t="s">
        <v>276</v>
      </c>
      <c r="E204" t="s">
        <v>27</v>
      </c>
      <c r="F204">
        <v>1000</v>
      </c>
      <c r="G204">
        <v>1000</v>
      </c>
      <c r="H204">
        <v>5</v>
      </c>
      <c r="I204" s="1">
        <f t="shared" si="3"/>
        <v>5</v>
      </c>
      <c r="J204" s="1">
        <v>400</v>
      </c>
      <c r="K204" s="1"/>
      <c r="L204" s="1">
        <v>2450</v>
      </c>
      <c r="M204" s="1"/>
      <c r="N204" s="1"/>
      <c r="O204" s="1"/>
      <c r="P204" s="1"/>
      <c r="Q204" s="62"/>
      <c r="X204">
        <v>2023</v>
      </c>
    </row>
    <row r="205" spans="1:24" x14ac:dyDescent="0.25">
      <c r="A205" t="s">
        <v>423</v>
      </c>
      <c r="B205" s="52">
        <v>45084</v>
      </c>
      <c r="C205" t="s">
        <v>424</v>
      </c>
      <c r="D205" t="s">
        <v>425</v>
      </c>
      <c r="E205" t="s">
        <v>27</v>
      </c>
      <c r="F205">
        <v>1000</v>
      </c>
      <c r="G205">
        <v>1000</v>
      </c>
      <c r="H205">
        <v>5</v>
      </c>
      <c r="I205" s="1">
        <f t="shared" si="3"/>
        <v>5</v>
      </c>
      <c r="J205" s="1">
        <v>400</v>
      </c>
      <c r="K205" s="1"/>
      <c r="L205" s="1">
        <v>2450</v>
      </c>
      <c r="M205" s="1"/>
      <c r="N205" s="1"/>
      <c r="O205" s="1"/>
      <c r="P205" s="1"/>
      <c r="Q205" s="62"/>
      <c r="X205">
        <v>2023</v>
      </c>
    </row>
    <row r="206" spans="1:24" x14ac:dyDescent="0.25">
      <c r="A206" t="s">
        <v>426</v>
      </c>
      <c r="B206" s="52">
        <v>45090</v>
      </c>
      <c r="C206" t="s">
        <v>335</v>
      </c>
      <c r="D206" t="s">
        <v>336</v>
      </c>
      <c r="E206" t="s">
        <v>27</v>
      </c>
      <c r="F206">
        <v>850</v>
      </c>
      <c r="G206">
        <v>850</v>
      </c>
      <c r="H206">
        <v>100</v>
      </c>
      <c r="I206" s="1">
        <f t="shared" si="3"/>
        <v>72.25</v>
      </c>
      <c r="J206" s="1">
        <v>294.07</v>
      </c>
      <c r="K206" s="1"/>
      <c r="L206" s="1">
        <v>24201.56</v>
      </c>
      <c r="M206" s="1"/>
      <c r="N206" s="1"/>
      <c r="O206" s="1"/>
      <c r="P206" s="1"/>
      <c r="Q206" s="62"/>
      <c r="S206" t="s">
        <v>427</v>
      </c>
      <c r="X206">
        <v>2023</v>
      </c>
    </row>
    <row r="207" spans="1:24" x14ac:dyDescent="0.25">
      <c r="A207" t="s">
        <v>428</v>
      </c>
      <c r="B207" s="52">
        <v>45084</v>
      </c>
      <c r="C207" t="s">
        <v>429</v>
      </c>
      <c r="D207" t="s">
        <v>70</v>
      </c>
      <c r="E207" t="s">
        <v>32</v>
      </c>
      <c r="F207">
        <v>1000</v>
      </c>
      <c r="G207">
        <v>1000</v>
      </c>
      <c r="H207">
        <v>5</v>
      </c>
      <c r="I207" s="1">
        <f t="shared" si="3"/>
        <v>5</v>
      </c>
      <c r="J207" s="1">
        <v>600</v>
      </c>
      <c r="K207" s="1"/>
      <c r="L207" s="1">
        <v>3450</v>
      </c>
      <c r="M207" s="1"/>
      <c r="N207" s="1"/>
      <c r="O207" s="1"/>
      <c r="P207" s="1"/>
      <c r="Q207" s="62"/>
      <c r="X207">
        <v>2023</v>
      </c>
    </row>
    <row r="208" spans="1:24" x14ac:dyDescent="0.25">
      <c r="A208" t="s">
        <v>430</v>
      </c>
      <c r="B208" s="52">
        <v>45090</v>
      </c>
      <c r="C208" t="s">
        <v>431</v>
      </c>
      <c r="D208" t="s">
        <v>103</v>
      </c>
      <c r="E208" t="s">
        <v>27</v>
      </c>
      <c r="F208">
        <v>1000</v>
      </c>
      <c r="G208">
        <v>1000</v>
      </c>
      <c r="H208">
        <v>50</v>
      </c>
      <c r="I208" s="1">
        <f t="shared" si="3"/>
        <v>50</v>
      </c>
      <c r="J208" s="1">
        <v>301.39999999999998</v>
      </c>
      <c r="K208" s="1"/>
      <c r="L208" s="1">
        <v>17955</v>
      </c>
      <c r="M208" s="1"/>
      <c r="N208" s="1"/>
      <c r="O208" s="1"/>
      <c r="P208" s="1"/>
      <c r="Q208" s="62"/>
      <c r="S208" t="s">
        <v>427</v>
      </c>
      <c r="X208">
        <v>2023</v>
      </c>
    </row>
    <row r="209" spans="1:24" x14ac:dyDescent="0.25">
      <c r="A209" t="s">
        <v>432</v>
      </c>
      <c r="B209" s="52">
        <v>45093</v>
      </c>
      <c r="C209" t="s">
        <v>431</v>
      </c>
      <c r="D209" t="s">
        <v>103</v>
      </c>
      <c r="E209" t="s">
        <v>27</v>
      </c>
      <c r="F209">
        <v>500</v>
      </c>
      <c r="G209">
        <v>500</v>
      </c>
      <c r="H209" s="14">
        <v>80</v>
      </c>
      <c r="I209" s="1">
        <f t="shared" si="3"/>
        <v>20</v>
      </c>
      <c r="J209" s="1"/>
      <c r="K209" s="1"/>
      <c r="O209" s="1"/>
      <c r="Q209" s="62"/>
      <c r="X209">
        <v>2023</v>
      </c>
    </row>
    <row r="210" spans="1:24" x14ac:dyDescent="0.25">
      <c r="A210" t="s">
        <v>433</v>
      </c>
      <c r="B210" s="52">
        <v>45107</v>
      </c>
      <c r="C210" t="s">
        <v>434</v>
      </c>
      <c r="D210" t="s">
        <v>31</v>
      </c>
      <c r="E210" t="s">
        <v>27</v>
      </c>
      <c r="F210">
        <v>1000</v>
      </c>
      <c r="G210">
        <v>1000</v>
      </c>
      <c r="H210">
        <v>5</v>
      </c>
      <c r="I210" s="1">
        <f t="shared" si="3"/>
        <v>5</v>
      </c>
      <c r="J210" s="1">
        <v>400</v>
      </c>
      <c r="K210" s="1"/>
      <c r="L210" s="1">
        <v>2450</v>
      </c>
      <c r="M210" s="1"/>
      <c r="N210" s="1"/>
      <c r="O210" s="1"/>
      <c r="P210" s="1"/>
      <c r="Q210" s="62"/>
      <c r="X210">
        <v>2023</v>
      </c>
    </row>
    <row r="211" spans="1:24" x14ac:dyDescent="0.25">
      <c r="A211" t="s">
        <v>435</v>
      </c>
      <c r="B211" s="52">
        <v>45086</v>
      </c>
      <c r="C211" t="s">
        <v>30</v>
      </c>
      <c r="D211" t="s">
        <v>31</v>
      </c>
      <c r="E211" t="s">
        <v>37</v>
      </c>
      <c r="F211">
        <v>1700</v>
      </c>
      <c r="G211">
        <v>1700</v>
      </c>
      <c r="H211">
        <v>3660</v>
      </c>
      <c r="I211" s="1">
        <f t="shared" si="3"/>
        <v>10577.4</v>
      </c>
      <c r="J211" s="1">
        <v>275</v>
      </c>
      <c r="K211" s="1"/>
      <c r="L211" s="1">
        <v>3173220</v>
      </c>
      <c r="M211" s="1"/>
      <c r="N211" s="1"/>
      <c r="O211" s="1"/>
      <c r="P211" s="1"/>
      <c r="Q211" s="62"/>
      <c r="S211" t="s">
        <v>436</v>
      </c>
      <c r="X211">
        <v>2023</v>
      </c>
    </row>
    <row r="212" spans="1:24" x14ac:dyDescent="0.25">
      <c r="A212" t="s">
        <v>437</v>
      </c>
      <c r="B212" s="52">
        <v>45086</v>
      </c>
      <c r="C212" t="s">
        <v>30</v>
      </c>
      <c r="D212" t="s">
        <v>31</v>
      </c>
      <c r="E212" t="s">
        <v>27</v>
      </c>
      <c r="F212">
        <v>1700</v>
      </c>
      <c r="G212">
        <v>1700</v>
      </c>
      <c r="H212">
        <v>3660</v>
      </c>
      <c r="I212" s="1">
        <f t="shared" si="3"/>
        <v>10577.4</v>
      </c>
      <c r="J212" s="1">
        <v>240</v>
      </c>
      <c r="K212" s="1"/>
      <c r="L212" s="1">
        <v>2803011</v>
      </c>
      <c r="M212" s="1"/>
      <c r="N212" s="1"/>
      <c r="O212" s="1"/>
      <c r="P212" s="1"/>
      <c r="Q212" s="62"/>
      <c r="S212" t="s">
        <v>436</v>
      </c>
      <c r="X212">
        <v>2023</v>
      </c>
    </row>
    <row r="213" spans="1:24" x14ac:dyDescent="0.25">
      <c r="A213" t="s">
        <v>438</v>
      </c>
      <c r="B213" s="52">
        <v>45086</v>
      </c>
      <c r="C213" t="s">
        <v>439</v>
      </c>
      <c r="D213" t="s">
        <v>31</v>
      </c>
      <c r="E213" t="s">
        <v>27</v>
      </c>
      <c r="F213">
        <v>1000</v>
      </c>
      <c r="G213">
        <v>1000</v>
      </c>
      <c r="H213">
        <v>5</v>
      </c>
      <c r="I213" s="1">
        <f t="shared" si="3"/>
        <v>5</v>
      </c>
      <c r="J213" s="1">
        <v>400</v>
      </c>
      <c r="K213" s="1">
        <v>375</v>
      </c>
      <c r="L213" s="1">
        <v>2450</v>
      </c>
      <c r="M213" s="1" t="s">
        <v>149</v>
      </c>
      <c r="N213" s="1"/>
      <c r="O213" s="1"/>
      <c r="P213" s="1"/>
      <c r="Q213" s="62"/>
      <c r="S213" t="s">
        <v>440</v>
      </c>
      <c r="X213">
        <v>2023</v>
      </c>
    </row>
    <row r="214" spans="1:24" x14ac:dyDescent="0.25">
      <c r="A214" t="s">
        <v>441</v>
      </c>
      <c r="B214" s="52">
        <v>45090</v>
      </c>
      <c r="C214" t="s">
        <v>51</v>
      </c>
      <c r="D214" t="s">
        <v>52</v>
      </c>
      <c r="E214" t="s">
        <v>32</v>
      </c>
      <c r="F214">
        <v>1000</v>
      </c>
      <c r="G214">
        <v>1000</v>
      </c>
      <c r="H214">
        <v>5</v>
      </c>
      <c r="I214" s="1">
        <f t="shared" si="3"/>
        <v>5</v>
      </c>
      <c r="J214" s="1">
        <v>600</v>
      </c>
      <c r="K214" s="1">
        <v>375</v>
      </c>
      <c r="L214" s="1">
        <v>3450</v>
      </c>
      <c r="M214" s="1" t="s">
        <v>149</v>
      </c>
      <c r="N214" s="1"/>
      <c r="O214" s="1"/>
      <c r="P214" s="1"/>
      <c r="Q214" s="62"/>
      <c r="X214">
        <v>2023</v>
      </c>
    </row>
    <row r="215" spans="1:24" x14ac:dyDescent="0.25">
      <c r="A215" t="s">
        <v>442</v>
      </c>
      <c r="B215" s="52">
        <v>45093</v>
      </c>
      <c r="C215" t="s">
        <v>443</v>
      </c>
      <c r="D215" t="s">
        <v>52</v>
      </c>
      <c r="E215" t="s">
        <v>27</v>
      </c>
      <c r="F215">
        <v>637</v>
      </c>
      <c r="G215">
        <v>637</v>
      </c>
      <c r="H215">
        <v>1500</v>
      </c>
      <c r="I215" s="1">
        <f t="shared" si="3"/>
        <v>608.65350000000001</v>
      </c>
      <c r="J215" s="1">
        <v>200</v>
      </c>
      <c r="K215" s="1">
        <v>15210</v>
      </c>
      <c r="L215" s="1">
        <v>137325</v>
      </c>
      <c r="M215" s="1" t="s">
        <v>149</v>
      </c>
      <c r="N215" s="1"/>
      <c r="O215" s="1"/>
      <c r="P215" s="1"/>
      <c r="Q215" s="62"/>
      <c r="S215" t="s">
        <v>444</v>
      </c>
      <c r="X215">
        <v>2023</v>
      </c>
    </row>
    <row r="216" spans="1:24" x14ac:dyDescent="0.25">
      <c r="A216" t="s">
        <v>445</v>
      </c>
      <c r="B216" s="52">
        <v>45093</v>
      </c>
      <c r="C216" t="s">
        <v>443</v>
      </c>
      <c r="D216" t="s">
        <v>52</v>
      </c>
      <c r="E216" t="s">
        <v>37</v>
      </c>
      <c r="F216">
        <v>637</v>
      </c>
      <c r="G216">
        <v>637</v>
      </c>
      <c r="H216">
        <v>1500</v>
      </c>
      <c r="I216" s="1">
        <f t="shared" si="3"/>
        <v>608.65350000000001</v>
      </c>
      <c r="J216" s="1">
        <v>250</v>
      </c>
      <c r="K216" s="1">
        <v>15210</v>
      </c>
      <c r="L216" s="1">
        <v>167760</v>
      </c>
      <c r="M216" s="1" t="s">
        <v>149</v>
      </c>
      <c r="N216" s="1"/>
      <c r="O216" s="1"/>
      <c r="P216" s="1"/>
      <c r="Q216" s="62"/>
      <c r="S216" t="s">
        <v>444</v>
      </c>
      <c r="X216">
        <v>2023</v>
      </c>
    </row>
    <row r="217" spans="1:24" x14ac:dyDescent="0.25">
      <c r="A217" t="s">
        <v>446</v>
      </c>
      <c r="B217" s="52">
        <v>45091</v>
      </c>
      <c r="C217" t="s">
        <v>447</v>
      </c>
      <c r="D217" t="s">
        <v>448</v>
      </c>
      <c r="E217" t="s">
        <v>27</v>
      </c>
      <c r="F217">
        <v>800</v>
      </c>
      <c r="G217">
        <v>1200</v>
      </c>
      <c r="H217">
        <v>440</v>
      </c>
      <c r="I217" s="1">
        <f t="shared" si="3"/>
        <v>422.4</v>
      </c>
      <c r="J217" s="1">
        <v>291.82</v>
      </c>
      <c r="K217" s="1">
        <v>10560</v>
      </c>
      <c r="L217" s="1">
        <v>133824.76999999999</v>
      </c>
      <c r="M217" s="1" t="s">
        <v>449</v>
      </c>
      <c r="N217" s="1" t="s">
        <v>33</v>
      </c>
      <c r="O217" s="1"/>
      <c r="P217" s="1"/>
      <c r="Q217" s="62"/>
      <c r="S217" t="s">
        <v>450</v>
      </c>
      <c r="X217">
        <v>2023</v>
      </c>
    </row>
    <row r="218" spans="1:24" x14ac:dyDescent="0.25">
      <c r="A218" t="s">
        <v>451</v>
      </c>
      <c r="B218" s="52">
        <v>45091</v>
      </c>
      <c r="C218" t="s">
        <v>452</v>
      </c>
      <c r="D218" t="s">
        <v>36</v>
      </c>
      <c r="E218" t="s">
        <v>27</v>
      </c>
      <c r="F218">
        <v>1000</v>
      </c>
      <c r="G218">
        <v>1000</v>
      </c>
      <c r="H218">
        <v>5</v>
      </c>
      <c r="I218" s="1">
        <f t="shared" si="3"/>
        <v>5</v>
      </c>
      <c r="J218" s="1">
        <v>400</v>
      </c>
      <c r="K218" s="1">
        <v>375</v>
      </c>
      <c r="L218" s="1">
        <v>2450</v>
      </c>
      <c r="M218" s="1" t="s">
        <v>149</v>
      </c>
      <c r="N218" s="1"/>
      <c r="O218" s="1"/>
      <c r="P218" s="1"/>
      <c r="Q218" s="62"/>
      <c r="R218" t="s">
        <v>28</v>
      </c>
      <c r="X218">
        <v>2023</v>
      </c>
    </row>
    <row r="219" spans="1:24" x14ac:dyDescent="0.25">
      <c r="A219" t="s">
        <v>453</v>
      </c>
      <c r="B219" s="52">
        <v>45091</v>
      </c>
      <c r="C219" t="s">
        <v>452</v>
      </c>
      <c r="D219" t="s">
        <v>36</v>
      </c>
      <c r="E219" t="s">
        <v>37</v>
      </c>
      <c r="F219">
        <v>1000</v>
      </c>
      <c r="G219">
        <v>1000</v>
      </c>
      <c r="H219">
        <v>5</v>
      </c>
      <c r="I219" s="1">
        <f t="shared" si="3"/>
        <v>5</v>
      </c>
      <c r="J219" s="1">
        <v>500</v>
      </c>
      <c r="K219" s="1">
        <v>375</v>
      </c>
      <c r="L219" s="1">
        <v>2950</v>
      </c>
      <c r="M219" s="1" t="s">
        <v>149</v>
      </c>
      <c r="N219" s="1"/>
      <c r="O219" s="1"/>
      <c r="P219" s="1"/>
      <c r="Q219" s="62"/>
      <c r="R219" t="s">
        <v>28</v>
      </c>
      <c r="X219">
        <v>2023</v>
      </c>
    </row>
    <row r="220" spans="1:24" x14ac:dyDescent="0.25">
      <c r="A220" t="s">
        <v>454</v>
      </c>
      <c r="B220" s="52">
        <v>45091</v>
      </c>
      <c r="C220" t="s">
        <v>452</v>
      </c>
      <c r="D220" t="s">
        <v>36</v>
      </c>
      <c r="E220" t="s">
        <v>32</v>
      </c>
      <c r="F220">
        <v>1000</v>
      </c>
      <c r="G220">
        <v>1000</v>
      </c>
      <c r="H220">
        <v>5</v>
      </c>
      <c r="I220" s="1">
        <f t="shared" si="3"/>
        <v>5</v>
      </c>
      <c r="J220" s="1">
        <v>600</v>
      </c>
      <c r="K220" s="1">
        <v>375</v>
      </c>
      <c r="L220" s="1">
        <v>3450</v>
      </c>
      <c r="M220" s="1" t="s">
        <v>149</v>
      </c>
      <c r="N220" s="1"/>
      <c r="O220" s="1"/>
      <c r="P220" s="1"/>
      <c r="Q220" s="62"/>
      <c r="R220" t="s">
        <v>28</v>
      </c>
      <c r="X220">
        <v>2023</v>
      </c>
    </row>
    <row r="221" spans="1:24" x14ac:dyDescent="0.25">
      <c r="A221" t="s">
        <v>455</v>
      </c>
      <c r="B221" s="52">
        <v>45097</v>
      </c>
      <c r="C221" t="s">
        <v>35</v>
      </c>
      <c r="D221" t="s">
        <v>36</v>
      </c>
      <c r="E221" t="s">
        <v>27</v>
      </c>
      <c r="F221">
        <v>245</v>
      </c>
      <c r="G221">
        <v>245</v>
      </c>
      <c r="H221">
        <v>333</v>
      </c>
      <c r="I221" s="1">
        <f t="shared" si="3"/>
        <v>19.988325</v>
      </c>
      <c r="J221" s="1">
        <v>235.22</v>
      </c>
      <c r="K221" s="1">
        <v>1500</v>
      </c>
      <c r="L221" s="1">
        <v>6477.05</v>
      </c>
      <c r="M221" s="1" t="s">
        <v>149</v>
      </c>
      <c r="N221" s="1"/>
      <c r="O221" s="1"/>
      <c r="P221" s="1"/>
      <c r="Q221" s="62"/>
      <c r="X221">
        <v>2023</v>
      </c>
    </row>
    <row r="222" spans="1:24" x14ac:dyDescent="0.25">
      <c r="A222" t="s">
        <v>456</v>
      </c>
      <c r="B222" s="52">
        <v>45098</v>
      </c>
      <c r="C222" t="s">
        <v>109</v>
      </c>
      <c r="D222" t="s">
        <v>36</v>
      </c>
      <c r="E222" t="s">
        <v>37</v>
      </c>
      <c r="F222">
        <v>420</v>
      </c>
      <c r="G222">
        <v>420</v>
      </c>
      <c r="H222">
        <v>125</v>
      </c>
      <c r="I222" s="1">
        <f t="shared" si="3"/>
        <v>22.05</v>
      </c>
      <c r="J222" s="1">
        <v>431.03</v>
      </c>
      <c r="K222" s="1">
        <v>1102.5</v>
      </c>
      <c r="L222" s="1">
        <v>10851.71</v>
      </c>
      <c r="M222" s="1" t="s">
        <v>149</v>
      </c>
      <c r="N222" s="1"/>
      <c r="O222" s="1"/>
      <c r="P222" s="1"/>
      <c r="Q222" s="62"/>
      <c r="R222" t="s">
        <v>28</v>
      </c>
      <c r="X222">
        <v>2023</v>
      </c>
    </row>
    <row r="223" spans="1:24" x14ac:dyDescent="0.25">
      <c r="A223" t="s">
        <v>457</v>
      </c>
      <c r="B223" s="52">
        <v>45091</v>
      </c>
      <c r="C223" t="s">
        <v>458</v>
      </c>
      <c r="D223" t="s">
        <v>57</v>
      </c>
      <c r="E223" t="s">
        <v>27</v>
      </c>
      <c r="F223">
        <v>1000</v>
      </c>
      <c r="G223">
        <v>1000</v>
      </c>
      <c r="H223">
        <v>5</v>
      </c>
      <c r="I223" s="1">
        <f t="shared" si="3"/>
        <v>5</v>
      </c>
      <c r="J223" s="1">
        <v>440</v>
      </c>
      <c r="K223" s="1">
        <v>375</v>
      </c>
      <c r="L223" s="1">
        <v>2700</v>
      </c>
      <c r="M223" s="1" t="s">
        <v>149</v>
      </c>
      <c r="N223" s="1"/>
      <c r="O223" s="1"/>
      <c r="P223" s="1"/>
      <c r="Q223" s="62"/>
      <c r="S223" t="s">
        <v>459</v>
      </c>
      <c r="X223">
        <v>2023</v>
      </c>
    </row>
    <row r="224" spans="1:24" x14ac:dyDescent="0.25">
      <c r="A224" t="s">
        <v>460</v>
      </c>
      <c r="B224" s="52">
        <v>45098</v>
      </c>
      <c r="C224" t="s">
        <v>461</v>
      </c>
      <c r="D224" t="s">
        <v>57</v>
      </c>
      <c r="E224" t="s">
        <v>27</v>
      </c>
      <c r="F224">
        <v>1100</v>
      </c>
      <c r="G224">
        <v>1240</v>
      </c>
      <c r="H224">
        <v>15</v>
      </c>
      <c r="I224" s="1">
        <f t="shared" si="3"/>
        <v>20.46</v>
      </c>
      <c r="J224">
        <v>369.33</v>
      </c>
      <c r="K224" s="1">
        <v>1023</v>
      </c>
      <c r="L224" s="1">
        <v>8579.49</v>
      </c>
      <c r="M224" s="1" t="s">
        <v>149</v>
      </c>
      <c r="N224" s="1"/>
      <c r="O224" s="1"/>
      <c r="P224" s="1"/>
      <c r="Q224" s="62"/>
      <c r="R224" t="s">
        <v>28</v>
      </c>
      <c r="S224" t="s">
        <v>459</v>
      </c>
      <c r="X224">
        <v>2023</v>
      </c>
    </row>
    <row r="225" spans="1:24" x14ac:dyDescent="0.25">
      <c r="A225" t="s">
        <v>462</v>
      </c>
      <c r="B225" s="52">
        <v>45097</v>
      </c>
      <c r="C225" t="s">
        <v>463</v>
      </c>
      <c r="D225" t="s">
        <v>464</v>
      </c>
      <c r="E225" t="s">
        <v>27</v>
      </c>
      <c r="F225">
        <v>1000</v>
      </c>
      <c r="G225">
        <v>1000</v>
      </c>
      <c r="H225">
        <v>5</v>
      </c>
      <c r="I225" s="1">
        <f t="shared" si="3"/>
        <v>5</v>
      </c>
      <c r="J225" s="1">
        <v>400</v>
      </c>
      <c r="K225" s="1">
        <v>375</v>
      </c>
      <c r="L225" s="1">
        <v>2500</v>
      </c>
      <c r="M225" s="1" t="s">
        <v>149</v>
      </c>
      <c r="N225" s="1"/>
      <c r="O225" s="1"/>
      <c r="P225" s="1"/>
      <c r="Q225" s="62"/>
      <c r="X225">
        <v>2023</v>
      </c>
    </row>
    <row r="226" spans="1:24" x14ac:dyDescent="0.25">
      <c r="A226" t="s">
        <v>465</v>
      </c>
      <c r="B226" s="52">
        <v>45099</v>
      </c>
      <c r="C226" t="s">
        <v>466</v>
      </c>
      <c r="D226" t="s">
        <v>157</v>
      </c>
      <c r="E226" t="s">
        <v>27</v>
      </c>
      <c r="F226">
        <v>1720</v>
      </c>
      <c r="G226">
        <v>1720</v>
      </c>
      <c r="H226">
        <v>50</v>
      </c>
      <c r="I226" s="1">
        <f t="shared" si="3"/>
        <v>147.91999999999999</v>
      </c>
      <c r="J226" s="1">
        <v>279.22000000000003</v>
      </c>
      <c r="K226" s="1">
        <v>3698</v>
      </c>
      <c r="L226" s="1">
        <v>45560.22</v>
      </c>
      <c r="M226" s="1" t="s">
        <v>149</v>
      </c>
      <c r="N226" s="1"/>
      <c r="O226" s="1"/>
      <c r="P226" s="1"/>
      <c r="Q226" s="62"/>
      <c r="R226" t="s">
        <v>28</v>
      </c>
      <c r="X226">
        <v>2023</v>
      </c>
    </row>
    <row r="227" spans="1:24" x14ac:dyDescent="0.25">
      <c r="A227" t="s">
        <v>467</v>
      </c>
      <c r="B227" s="52">
        <v>45100</v>
      </c>
      <c r="C227" t="s">
        <v>41</v>
      </c>
      <c r="D227" t="s">
        <v>42</v>
      </c>
      <c r="E227" t="s">
        <v>37</v>
      </c>
      <c r="F227">
        <v>1668</v>
      </c>
      <c r="G227">
        <v>1668</v>
      </c>
      <c r="H227">
        <v>62</v>
      </c>
      <c r="I227" s="1">
        <f t="shared" si="3"/>
        <v>172.49788799999999</v>
      </c>
      <c r="J227" s="1">
        <v>250</v>
      </c>
      <c r="K227" s="1">
        <v>4312.5</v>
      </c>
      <c r="L227" s="1">
        <v>47437.5</v>
      </c>
      <c r="M227" s="1" t="s">
        <v>149</v>
      </c>
      <c r="N227" s="1"/>
      <c r="O227" s="1"/>
      <c r="P227" s="1"/>
      <c r="Q227" s="62"/>
      <c r="R227" t="s">
        <v>28</v>
      </c>
      <c r="S227" t="s">
        <v>468</v>
      </c>
      <c r="X227">
        <v>2023</v>
      </c>
    </row>
    <row r="228" spans="1:24" x14ac:dyDescent="0.25">
      <c r="A228" t="s">
        <v>469</v>
      </c>
      <c r="B228" s="52">
        <v>45098</v>
      </c>
      <c r="C228" t="s">
        <v>470</v>
      </c>
      <c r="D228" t="s">
        <v>100</v>
      </c>
      <c r="E228" t="s">
        <v>27</v>
      </c>
      <c r="F228">
        <v>1000</v>
      </c>
      <c r="G228">
        <v>1000</v>
      </c>
      <c r="H228">
        <v>5</v>
      </c>
      <c r="I228" s="1">
        <f t="shared" si="3"/>
        <v>5</v>
      </c>
      <c r="J228" s="1">
        <v>400</v>
      </c>
      <c r="K228" s="1">
        <v>375</v>
      </c>
      <c r="L228" s="1">
        <v>2500</v>
      </c>
      <c r="M228" s="1" t="s">
        <v>149</v>
      </c>
      <c r="N228" s="1"/>
      <c r="O228" s="1"/>
      <c r="P228" s="1"/>
      <c r="Q228" s="62"/>
      <c r="X228">
        <v>2023</v>
      </c>
    </row>
    <row r="229" spans="1:24" x14ac:dyDescent="0.25">
      <c r="A229" t="s">
        <v>471</v>
      </c>
      <c r="B229" s="52">
        <v>45098</v>
      </c>
      <c r="C229" t="s">
        <v>470</v>
      </c>
      <c r="D229" t="s">
        <v>100</v>
      </c>
      <c r="E229" t="s">
        <v>37</v>
      </c>
      <c r="F229">
        <v>1000</v>
      </c>
      <c r="G229">
        <v>1000</v>
      </c>
      <c r="H229">
        <v>5</v>
      </c>
      <c r="I229" s="1">
        <f t="shared" si="3"/>
        <v>5</v>
      </c>
      <c r="J229" s="1">
        <v>500</v>
      </c>
      <c r="K229" s="1">
        <v>375</v>
      </c>
      <c r="L229" s="1">
        <v>3000</v>
      </c>
      <c r="M229" s="1" t="s">
        <v>149</v>
      </c>
      <c r="N229" s="1"/>
      <c r="O229" s="1"/>
      <c r="P229" s="1"/>
      <c r="Q229" s="62"/>
      <c r="X229">
        <v>2023</v>
      </c>
    </row>
    <row r="230" spans="1:24" x14ac:dyDescent="0.25">
      <c r="A230" t="s">
        <v>472</v>
      </c>
      <c r="B230" s="52">
        <v>45098</v>
      </c>
      <c r="C230" t="s">
        <v>470</v>
      </c>
      <c r="D230" t="s">
        <v>100</v>
      </c>
      <c r="E230" t="s">
        <v>32</v>
      </c>
      <c r="F230">
        <v>1000</v>
      </c>
      <c r="G230">
        <v>1000</v>
      </c>
      <c r="H230">
        <v>5</v>
      </c>
      <c r="I230" s="1">
        <f t="shared" si="3"/>
        <v>5</v>
      </c>
      <c r="J230" s="1">
        <v>600</v>
      </c>
      <c r="K230" s="1">
        <v>375</v>
      </c>
      <c r="L230" s="1">
        <v>3500</v>
      </c>
      <c r="M230" s="1" t="s">
        <v>149</v>
      </c>
      <c r="N230" s="1"/>
      <c r="O230" s="1"/>
      <c r="P230" s="1"/>
      <c r="Q230" s="62"/>
      <c r="X230">
        <v>2023</v>
      </c>
    </row>
    <row r="231" spans="1:24" x14ac:dyDescent="0.25">
      <c r="A231" t="s">
        <v>473</v>
      </c>
      <c r="B231" s="52">
        <v>45100</v>
      </c>
      <c r="C231" t="s">
        <v>474</v>
      </c>
      <c r="D231" t="s">
        <v>100</v>
      </c>
      <c r="E231" t="s">
        <v>27</v>
      </c>
      <c r="F231">
        <v>2450</v>
      </c>
      <c r="G231">
        <v>1500</v>
      </c>
      <c r="H231">
        <v>20</v>
      </c>
      <c r="I231" s="1">
        <f t="shared" si="3"/>
        <v>73.5</v>
      </c>
      <c r="J231" s="1">
        <v>293.79000000000002</v>
      </c>
      <c r="K231" s="1">
        <v>2500</v>
      </c>
      <c r="L231" s="1">
        <v>24703.57</v>
      </c>
      <c r="M231" s="1" t="s">
        <v>149</v>
      </c>
      <c r="N231" s="1"/>
      <c r="O231" s="1"/>
      <c r="P231" s="1"/>
      <c r="Q231" s="62"/>
      <c r="X231">
        <v>2023</v>
      </c>
    </row>
    <row r="232" spans="1:24" x14ac:dyDescent="0.25">
      <c r="A232" t="s">
        <v>475</v>
      </c>
      <c r="B232" s="52">
        <v>45100</v>
      </c>
      <c r="C232" t="s">
        <v>474</v>
      </c>
      <c r="D232" t="s">
        <v>100</v>
      </c>
      <c r="E232" t="s">
        <v>37</v>
      </c>
      <c r="F232">
        <v>2450</v>
      </c>
      <c r="G232">
        <v>1500</v>
      </c>
      <c r="H232">
        <v>20</v>
      </c>
      <c r="I232" s="1">
        <f t="shared" si="3"/>
        <v>73.5</v>
      </c>
      <c r="J232" s="1">
        <v>381.93</v>
      </c>
      <c r="K232" s="1">
        <v>2500</v>
      </c>
      <c r="L232" s="1">
        <v>31181.86</v>
      </c>
      <c r="M232" s="1" t="s">
        <v>149</v>
      </c>
      <c r="N232" s="1"/>
      <c r="O232" s="1"/>
      <c r="P232" s="1"/>
      <c r="Q232" s="62"/>
      <c r="X232">
        <v>2023</v>
      </c>
    </row>
    <row r="233" spans="1:24" x14ac:dyDescent="0.25">
      <c r="A233" t="s">
        <v>476</v>
      </c>
      <c r="B233" s="54" t="s">
        <v>477</v>
      </c>
      <c r="C233" t="s">
        <v>474</v>
      </c>
      <c r="D233" t="s">
        <v>100</v>
      </c>
      <c r="E233" t="s">
        <v>27</v>
      </c>
      <c r="F233">
        <v>2600</v>
      </c>
      <c r="G233">
        <v>1600</v>
      </c>
      <c r="H233">
        <v>20</v>
      </c>
      <c r="I233" s="1">
        <f t="shared" si="3"/>
        <v>83.2</v>
      </c>
      <c r="J233" s="1">
        <v>291.91000000000003</v>
      </c>
      <c r="K233" s="1"/>
      <c r="L233" s="1"/>
      <c r="M233" s="1"/>
      <c r="N233" s="1"/>
      <c r="O233" s="1"/>
      <c r="P233" s="1"/>
      <c r="Q233" s="62"/>
      <c r="S233" t="s">
        <v>478</v>
      </c>
      <c r="X233">
        <v>2023</v>
      </c>
    </row>
    <row r="234" spans="1:24" x14ac:dyDescent="0.25">
      <c r="A234" t="s">
        <v>479</v>
      </c>
      <c r="B234" s="54" t="s">
        <v>477</v>
      </c>
      <c r="C234" t="s">
        <v>474</v>
      </c>
      <c r="D234" t="s">
        <v>100</v>
      </c>
      <c r="E234" t="s">
        <v>37</v>
      </c>
      <c r="F234">
        <v>2600</v>
      </c>
      <c r="G234">
        <v>1600</v>
      </c>
      <c r="H234">
        <v>20</v>
      </c>
      <c r="I234" s="1">
        <f t="shared" si="3"/>
        <v>83.2</v>
      </c>
      <c r="J234">
        <v>379.48</v>
      </c>
      <c r="K234" s="1"/>
      <c r="L234" s="1"/>
      <c r="M234" s="1"/>
      <c r="N234" s="1"/>
      <c r="O234" s="1"/>
      <c r="P234" s="1"/>
      <c r="Q234" s="62"/>
      <c r="S234" t="s">
        <v>478</v>
      </c>
      <c r="X234">
        <v>2023</v>
      </c>
    </row>
    <row r="235" spans="1:24" x14ac:dyDescent="0.25">
      <c r="A235" t="s">
        <v>480</v>
      </c>
      <c r="B235" s="52">
        <v>45098</v>
      </c>
      <c r="C235" t="s">
        <v>481</v>
      </c>
      <c r="D235" t="s">
        <v>46</v>
      </c>
      <c r="E235" t="s">
        <v>27</v>
      </c>
      <c r="F235">
        <v>1000</v>
      </c>
      <c r="G235">
        <v>1000</v>
      </c>
      <c r="H235">
        <v>5</v>
      </c>
      <c r="I235" s="1">
        <f t="shared" si="3"/>
        <v>5</v>
      </c>
      <c r="J235">
        <v>440</v>
      </c>
      <c r="K235" s="1">
        <v>375</v>
      </c>
      <c r="L235" s="1">
        <v>2700</v>
      </c>
      <c r="M235" s="1" t="s">
        <v>149</v>
      </c>
      <c r="N235" s="1"/>
      <c r="O235" s="1"/>
      <c r="P235" s="1"/>
      <c r="Q235" s="62"/>
      <c r="X235">
        <v>2023</v>
      </c>
    </row>
    <row r="236" spans="1:24" x14ac:dyDescent="0.25">
      <c r="A236" t="s">
        <v>482</v>
      </c>
      <c r="B236" s="52">
        <v>45098</v>
      </c>
      <c r="C236" t="s">
        <v>481</v>
      </c>
      <c r="D236" t="s">
        <v>46</v>
      </c>
      <c r="E236" t="s">
        <v>37</v>
      </c>
      <c r="F236">
        <v>1000</v>
      </c>
      <c r="G236">
        <v>1000</v>
      </c>
      <c r="H236">
        <v>5</v>
      </c>
      <c r="I236" s="1">
        <f t="shared" si="3"/>
        <v>5</v>
      </c>
      <c r="J236">
        <v>550</v>
      </c>
      <c r="K236" s="1">
        <v>375</v>
      </c>
      <c r="L236" s="1">
        <v>3250</v>
      </c>
      <c r="M236" s="1" t="s">
        <v>149</v>
      </c>
      <c r="N236" s="1"/>
      <c r="O236" s="1"/>
      <c r="P236" s="1"/>
      <c r="Q236" s="62"/>
      <c r="X236">
        <v>2023</v>
      </c>
    </row>
    <row r="237" spans="1:24" x14ac:dyDescent="0.25">
      <c r="A237" t="s">
        <v>483</v>
      </c>
      <c r="B237" s="52">
        <v>45100</v>
      </c>
      <c r="C237" t="s">
        <v>41</v>
      </c>
      <c r="D237" t="s">
        <v>42</v>
      </c>
      <c r="E237" t="s">
        <v>27</v>
      </c>
      <c r="F237">
        <v>1671</v>
      </c>
      <c r="G237">
        <v>1671</v>
      </c>
      <c r="H237">
        <v>1300</v>
      </c>
      <c r="I237" s="1">
        <f t="shared" si="3"/>
        <v>3629.9133000000002</v>
      </c>
      <c r="J237">
        <v>200</v>
      </c>
      <c r="K237" s="1">
        <v>90747.75</v>
      </c>
      <c r="L237" s="1">
        <v>816729.75</v>
      </c>
      <c r="M237" s="1" t="s">
        <v>149</v>
      </c>
      <c r="N237" s="1"/>
      <c r="O237" s="1"/>
      <c r="P237" s="1"/>
      <c r="Q237" s="62"/>
      <c r="S237" t="s">
        <v>468</v>
      </c>
      <c r="X237">
        <v>2023</v>
      </c>
    </row>
    <row r="238" spans="1:24" x14ac:dyDescent="0.25">
      <c r="A238" t="s">
        <v>484</v>
      </c>
      <c r="B238" s="52">
        <v>45100</v>
      </c>
      <c r="C238" t="s">
        <v>41</v>
      </c>
      <c r="D238" t="s">
        <v>42</v>
      </c>
      <c r="E238" t="s">
        <v>27</v>
      </c>
      <c r="F238">
        <v>1671</v>
      </c>
      <c r="G238">
        <v>1671</v>
      </c>
      <c r="H238">
        <v>6875</v>
      </c>
      <c r="I238" s="1">
        <f t="shared" si="3"/>
        <v>19196.656875000001</v>
      </c>
      <c r="J238">
        <v>200</v>
      </c>
      <c r="K238" s="1">
        <v>479916.5</v>
      </c>
      <c r="L238" s="1">
        <v>4319248.5</v>
      </c>
      <c r="M238" s="1" t="s">
        <v>149</v>
      </c>
      <c r="N238" s="1"/>
      <c r="O238" s="1"/>
      <c r="P238" s="1"/>
      <c r="Q238" s="62"/>
      <c r="S238" t="s">
        <v>468</v>
      </c>
      <c r="X238">
        <v>2023</v>
      </c>
    </row>
    <row r="239" spans="1:24" x14ac:dyDescent="0.25">
      <c r="A239" t="s">
        <v>485</v>
      </c>
      <c r="B239" s="52">
        <v>45100</v>
      </c>
      <c r="C239" t="s">
        <v>41</v>
      </c>
      <c r="D239" t="s">
        <v>42</v>
      </c>
      <c r="E239" t="s">
        <v>37</v>
      </c>
      <c r="F239">
        <v>1671</v>
      </c>
      <c r="G239">
        <v>1671</v>
      </c>
      <c r="H239">
        <v>6875</v>
      </c>
      <c r="I239" s="1">
        <f t="shared" si="3"/>
        <v>19196.656875000001</v>
      </c>
      <c r="J239">
        <v>250</v>
      </c>
      <c r="K239" s="1">
        <v>479916.5</v>
      </c>
      <c r="L239" s="1">
        <v>5279081.5</v>
      </c>
      <c r="M239" s="1" t="s">
        <v>149</v>
      </c>
      <c r="N239" s="1"/>
      <c r="O239" s="1"/>
      <c r="P239" s="1"/>
      <c r="Q239" s="62"/>
      <c r="S239" t="s">
        <v>468</v>
      </c>
      <c r="X239">
        <v>2023</v>
      </c>
    </row>
    <row r="240" spans="1:24" x14ac:dyDescent="0.25">
      <c r="A240" t="s">
        <v>486</v>
      </c>
      <c r="B240" s="52">
        <v>45100</v>
      </c>
      <c r="C240" t="s">
        <v>487</v>
      </c>
      <c r="D240" t="s">
        <v>42</v>
      </c>
      <c r="E240" t="s">
        <v>27</v>
      </c>
      <c r="F240">
        <v>215</v>
      </c>
      <c r="G240">
        <v>215</v>
      </c>
      <c r="H240">
        <v>550</v>
      </c>
      <c r="I240" s="1">
        <f t="shared" si="3"/>
        <v>25.423749999999998</v>
      </c>
      <c r="J240">
        <v>324.39999999999998</v>
      </c>
      <c r="K240" s="1">
        <v>1271</v>
      </c>
      <c r="L240" s="1">
        <v>9597.25</v>
      </c>
      <c r="M240" s="1" t="s">
        <v>149</v>
      </c>
      <c r="N240" s="1"/>
      <c r="O240" s="1"/>
      <c r="P240" s="1"/>
      <c r="Q240" s="62"/>
      <c r="S240" t="s">
        <v>488</v>
      </c>
      <c r="T240" s="3">
        <v>45104</v>
      </c>
      <c r="U240">
        <v>336.77</v>
      </c>
      <c r="V240" s="1">
        <v>1500</v>
      </c>
      <c r="W240" s="1">
        <v>8342.44</v>
      </c>
      <c r="X240">
        <v>2023</v>
      </c>
    </row>
    <row r="241" spans="1:24" x14ac:dyDescent="0.25">
      <c r="A241" t="s">
        <v>489</v>
      </c>
      <c r="B241" s="52">
        <v>45105</v>
      </c>
      <c r="C241" t="s">
        <v>490</v>
      </c>
      <c r="D241" t="s">
        <v>100</v>
      </c>
      <c r="E241" t="s">
        <v>27</v>
      </c>
      <c r="F241">
        <v>1000</v>
      </c>
      <c r="G241">
        <v>1000</v>
      </c>
      <c r="H241">
        <v>20</v>
      </c>
      <c r="I241" s="1">
        <f t="shared" si="3"/>
        <v>20</v>
      </c>
      <c r="J241">
        <v>325.19</v>
      </c>
      <c r="K241" s="1">
        <v>1250</v>
      </c>
      <c r="L241" s="1">
        <v>9659.75</v>
      </c>
      <c r="M241" s="1" t="s">
        <v>149</v>
      </c>
      <c r="N241" s="1"/>
      <c r="O241" s="1"/>
      <c r="P241" s="1"/>
      <c r="Q241" s="62"/>
      <c r="X241">
        <v>2023</v>
      </c>
    </row>
    <row r="242" spans="1:24" x14ac:dyDescent="0.25">
      <c r="A242" t="s">
        <v>491</v>
      </c>
      <c r="B242" s="52">
        <v>45105</v>
      </c>
      <c r="C242" t="s">
        <v>490</v>
      </c>
      <c r="D242" t="s">
        <v>100</v>
      </c>
      <c r="E242" t="s">
        <v>37</v>
      </c>
      <c r="F242">
        <v>1000</v>
      </c>
      <c r="G242">
        <v>1000</v>
      </c>
      <c r="H242">
        <v>20</v>
      </c>
      <c r="I242" s="1">
        <f t="shared" si="3"/>
        <v>20</v>
      </c>
      <c r="J242">
        <v>422.75</v>
      </c>
      <c r="K242" s="1">
        <v>1250</v>
      </c>
      <c r="L242" s="1">
        <v>12098.75</v>
      </c>
      <c r="M242" s="1" t="s">
        <v>149</v>
      </c>
      <c r="N242" s="1"/>
      <c r="O242" s="1"/>
      <c r="P242" s="1"/>
      <c r="Q242" s="62"/>
      <c r="X242">
        <v>2023</v>
      </c>
    </row>
    <row r="243" spans="1:24" x14ac:dyDescent="0.25">
      <c r="A243" t="s">
        <v>492</v>
      </c>
      <c r="B243" s="52">
        <v>45104</v>
      </c>
      <c r="C243" t="s">
        <v>272</v>
      </c>
      <c r="D243" t="s">
        <v>46</v>
      </c>
      <c r="E243" t="s">
        <v>27</v>
      </c>
      <c r="F243">
        <v>1000</v>
      </c>
      <c r="G243">
        <v>1000</v>
      </c>
      <c r="H243">
        <v>12</v>
      </c>
      <c r="I243" s="1">
        <f t="shared" si="3"/>
        <v>12</v>
      </c>
      <c r="J243">
        <v>385.34</v>
      </c>
      <c r="K243" s="1">
        <v>600</v>
      </c>
      <c r="L243" s="1">
        <v>11835.48</v>
      </c>
      <c r="M243" s="1" t="s">
        <v>149</v>
      </c>
      <c r="N243" s="1"/>
      <c r="O243" s="1"/>
      <c r="P243" s="1"/>
      <c r="Q243" s="62"/>
      <c r="X243">
        <v>2023</v>
      </c>
    </row>
    <row r="244" spans="1:24" ht="15" customHeight="1" x14ac:dyDescent="0.25">
      <c r="A244" t="s">
        <v>492</v>
      </c>
      <c r="B244" s="52">
        <v>45104</v>
      </c>
      <c r="C244" t="s">
        <v>272</v>
      </c>
      <c r="D244" t="s">
        <v>46</v>
      </c>
      <c r="E244" t="s">
        <v>37</v>
      </c>
      <c r="F244">
        <v>1000</v>
      </c>
      <c r="G244">
        <v>1000</v>
      </c>
      <c r="H244">
        <v>12</v>
      </c>
      <c r="I244" s="1">
        <f t="shared" si="3"/>
        <v>12</v>
      </c>
      <c r="J244">
        <v>500.95</v>
      </c>
      <c r="K244" s="1">
        <v>600</v>
      </c>
      <c r="L244" s="1"/>
      <c r="M244" s="1" t="s">
        <v>149</v>
      </c>
      <c r="N244" s="1"/>
      <c r="O244" s="1"/>
      <c r="P244" s="1"/>
      <c r="Q244" s="62"/>
      <c r="S244" s="12" t="s">
        <v>493</v>
      </c>
      <c r="T244" s="12" t="s">
        <v>494</v>
      </c>
      <c r="X244">
        <v>2023</v>
      </c>
    </row>
    <row r="245" spans="1:24" x14ac:dyDescent="0.25">
      <c r="A245" t="s">
        <v>495</v>
      </c>
      <c r="B245" s="52">
        <v>45105</v>
      </c>
      <c r="C245" t="s">
        <v>496</v>
      </c>
      <c r="D245" t="s">
        <v>157</v>
      </c>
      <c r="E245" t="s">
        <v>27</v>
      </c>
      <c r="F245">
        <v>1000</v>
      </c>
      <c r="G245">
        <v>1000</v>
      </c>
      <c r="H245">
        <v>10</v>
      </c>
      <c r="I245" s="1">
        <f t="shared" si="3"/>
        <v>10</v>
      </c>
      <c r="J245" s="1">
        <v>350</v>
      </c>
      <c r="K245" s="1">
        <v>750</v>
      </c>
      <c r="L245" s="1">
        <v>4375</v>
      </c>
      <c r="M245" s="1" t="s">
        <v>149</v>
      </c>
      <c r="N245" s="1"/>
      <c r="O245" s="1"/>
      <c r="P245" s="1"/>
      <c r="Q245" s="62"/>
      <c r="X245">
        <v>2023</v>
      </c>
    </row>
    <row r="246" spans="1:24" x14ac:dyDescent="0.25">
      <c r="A246" t="s">
        <v>497</v>
      </c>
      <c r="B246" s="52">
        <v>45105</v>
      </c>
      <c r="C246" t="s">
        <v>498</v>
      </c>
      <c r="D246" t="s">
        <v>157</v>
      </c>
      <c r="E246" t="s">
        <v>27</v>
      </c>
      <c r="F246">
        <v>1000</v>
      </c>
      <c r="G246">
        <v>1000</v>
      </c>
      <c r="H246">
        <v>5</v>
      </c>
      <c r="I246" s="1">
        <f t="shared" si="3"/>
        <v>5</v>
      </c>
      <c r="J246" s="1">
        <v>400</v>
      </c>
      <c r="K246" s="1">
        <v>375</v>
      </c>
      <c r="L246" s="1">
        <v>2450</v>
      </c>
      <c r="M246" s="1" t="s">
        <v>149</v>
      </c>
      <c r="N246" s="1"/>
      <c r="O246" s="1"/>
      <c r="P246" s="1"/>
      <c r="Q246" s="62"/>
      <c r="X246">
        <v>2023</v>
      </c>
    </row>
    <row r="247" spans="1:24" x14ac:dyDescent="0.25">
      <c r="A247" t="s">
        <v>499</v>
      </c>
      <c r="B247" s="52">
        <v>45106</v>
      </c>
      <c r="C247" t="s">
        <v>500</v>
      </c>
      <c r="D247" t="s">
        <v>336</v>
      </c>
      <c r="E247" t="s">
        <v>27</v>
      </c>
      <c r="F247">
        <v>900</v>
      </c>
      <c r="G247">
        <v>900</v>
      </c>
      <c r="H247">
        <v>350</v>
      </c>
      <c r="I247" s="1">
        <f t="shared" si="3"/>
        <v>283.5</v>
      </c>
      <c r="J247" s="1">
        <v>268.95999999999998</v>
      </c>
      <c r="K247" s="1">
        <v>7087.5</v>
      </c>
      <c r="L247" s="1">
        <v>84492.66</v>
      </c>
      <c r="M247" s="1" t="s">
        <v>149</v>
      </c>
      <c r="N247" s="1"/>
      <c r="O247" s="1"/>
      <c r="P247" s="1"/>
      <c r="Q247" s="62"/>
      <c r="X247">
        <v>2023</v>
      </c>
    </row>
    <row r="248" spans="1:24" x14ac:dyDescent="0.25">
      <c r="A248" t="s">
        <v>501</v>
      </c>
      <c r="B248" s="52">
        <v>45106</v>
      </c>
      <c r="C248" t="s">
        <v>106</v>
      </c>
      <c r="D248" t="s">
        <v>46</v>
      </c>
      <c r="E248" t="s">
        <v>37</v>
      </c>
      <c r="F248">
        <v>2400</v>
      </c>
      <c r="G248">
        <v>1700</v>
      </c>
      <c r="H248">
        <v>5</v>
      </c>
      <c r="I248" s="1">
        <f t="shared" si="3"/>
        <v>20.399999999999999</v>
      </c>
      <c r="J248" s="1">
        <v>480.38</v>
      </c>
      <c r="K248" s="1">
        <v>1500</v>
      </c>
      <c r="L248" s="1">
        <v>11299.75</v>
      </c>
      <c r="M248" s="1" t="s">
        <v>149</v>
      </c>
      <c r="N248" s="1"/>
      <c r="O248" s="1"/>
      <c r="P248" s="1"/>
      <c r="Q248" s="62"/>
      <c r="S248" t="s">
        <v>502</v>
      </c>
      <c r="X248">
        <v>2023</v>
      </c>
    </row>
    <row r="249" spans="1:24" x14ac:dyDescent="0.25">
      <c r="A249" t="s">
        <v>503</v>
      </c>
      <c r="B249" s="52">
        <v>45106</v>
      </c>
      <c r="C249" t="s">
        <v>504</v>
      </c>
      <c r="D249" t="s">
        <v>100</v>
      </c>
      <c r="E249" t="s">
        <v>37</v>
      </c>
      <c r="F249">
        <v>1000</v>
      </c>
      <c r="G249">
        <v>1000</v>
      </c>
      <c r="H249">
        <v>5</v>
      </c>
      <c r="I249" s="1">
        <f t="shared" si="3"/>
        <v>5</v>
      </c>
      <c r="J249" s="1">
        <v>500</v>
      </c>
      <c r="K249" s="1">
        <v>375</v>
      </c>
      <c r="L249" s="1">
        <v>3000</v>
      </c>
      <c r="M249" s="1" t="s">
        <v>149</v>
      </c>
      <c r="N249" s="1"/>
      <c r="O249" s="1"/>
      <c r="P249" s="1"/>
      <c r="Q249" s="62"/>
      <c r="X249">
        <v>2023</v>
      </c>
    </row>
    <row r="250" spans="1:24" x14ac:dyDescent="0.25">
      <c r="A250" t="s">
        <v>505</v>
      </c>
      <c r="B250" s="52">
        <v>45106</v>
      </c>
      <c r="C250" t="s">
        <v>506</v>
      </c>
      <c r="D250" t="s">
        <v>26</v>
      </c>
      <c r="E250" t="s">
        <v>27</v>
      </c>
      <c r="F250">
        <v>1000</v>
      </c>
      <c r="G250">
        <v>1000</v>
      </c>
      <c r="H250">
        <v>5</v>
      </c>
      <c r="I250" s="1">
        <f t="shared" si="3"/>
        <v>5</v>
      </c>
      <c r="J250" s="1">
        <v>400</v>
      </c>
      <c r="K250" s="1">
        <v>375</v>
      </c>
      <c r="L250" s="1">
        <v>2500</v>
      </c>
      <c r="M250" s="1" t="s">
        <v>149</v>
      </c>
      <c r="N250" s="1"/>
      <c r="O250" s="1"/>
      <c r="P250" s="1"/>
      <c r="Q250" s="62"/>
      <c r="X250">
        <v>2023</v>
      </c>
    </row>
    <row r="251" spans="1:24" x14ac:dyDescent="0.25">
      <c r="A251" t="s">
        <v>507</v>
      </c>
      <c r="B251" s="52">
        <v>45107</v>
      </c>
      <c r="C251" t="s">
        <v>508</v>
      </c>
      <c r="D251" t="s">
        <v>31</v>
      </c>
      <c r="E251" t="s">
        <v>32</v>
      </c>
      <c r="F251">
        <v>1520</v>
      </c>
      <c r="G251">
        <v>1520</v>
      </c>
      <c r="H251">
        <v>30</v>
      </c>
      <c r="I251" s="1">
        <f t="shared" si="3"/>
        <v>69.311999999999998</v>
      </c>
      <c r="J251" s="1">
        <v>475.77</v>
      </c>
      <c r="K251" s="1">
        <v>2500</v>
      </c>
      <c r="L251" s="1">
        <v>35715.199999999997</v>
      </c>
      <c r="M251" s="1" t="s">
        <v>149</v>
      </c>
      <c r="N251" s="1"/>
      <c r="O251" s="1"/>
      <c r="P251" s="1"/>
      <c r="Q251" s="62"/>
      <c r="S251" t="s">
        <v>509</v>
      </c>
      <c r="X251">
        <v>2023</v>
      </c>
    </row>
    <row r="252" spans="1:24" x14ac:dyDescent="0.25">
      <c r="A252" t="s">
        <v>510</v>
      </c>
      <c r="B252" s="52">
        <v>45106</v>
      </c>
      <c r="C252" t="s">
        <v>399</v>
      </c>
      <c r="D252" t="s">
        <v>296</v>
      </c>
      <c r="E252" t="s">
        <v>27</v>
      </c>
      <c r="F252">
        <v>1000</v>
      </c>
      <c r="G252">
        <v>800</v>
      </c>
      <c r="H252">
        <v>200</v>
      </c>
      <c r="I252" s="1">
        <f t="shared" si="3"/>
        <v>160</v>
      </c>
      <c r="J252">
        <v>305.36</v>
      </c>
      <c r="K252" s="1">
        <v>4000</v>
      </c>
      <c r="L252" s="1">
        <v>52857.599999999999</v>
      </c>
      <c r="M252" t="s">
        <v>449</v>
      </c>
      <c r="N252" t="s">
        <v>33</v>
      </c>
      <c r="O252" s="1"/>
      <c r="Q252" s="62"/>
      <c r="R252" t="s">
        <v>28</v>
      </c>
      <c r="S252" t="s">
        <v>400</v>
      </c>
      <c r="X252">
        <v>2023</v>
      </c>
    </row>
    <row r="253" spans="1:24" x14ac:dyDescent="0.25">
      <c r="A253" t="s">
        <v>511</v>
      </c>
      <c r="B253" s="52">
        <v>45110</v>
      </c>
      <c r="C253" t="s">
        <v>69</v>
      </c>
      <c r="D253" t="s">
        <v>70</v>
      </c>
      <c r="E253" t="s">
        <v>32</v>
      </c>
      <c r="F253">
        <v>1000</v>
      </c>
      <c r="G253">
        <v>1000</v>
      </c>
      <c r="H253">
        <v>5</v>
      </c>
      <c r="I253" s="1">
        <f t="shared" si="3"/>
        <v>5</v>
      </c>
      <c r="J253">
        <v>600</v>
      </c>
      <c r="K253" s="1">
        <v>375</v>
      </c>
      <c r="L253" s="1">
        <v>3450</v>
      </c>
      <c r="M253" s="1" t="s">
        <v>149</v>
      </c>
      <c r="N253" s="1"/>
      <c r="O253" s="1"/>
      <c r="P253" s="1"/>
      <c r="Q253" s="62"/>
      <c r="X253">
        <v>2023</v>
      </c>
    </row>
    <row r="254" spans="1:24" x14ac:dyDescent="0.25">
      <c r="A254" t="s">
        <v>512</v>
      </c>
      <c r="B254" s="52">
        <v>45111</v>
      </c>
      <c r="C254" t="s">
        <v>506</v>
      </c>
      <c r="D254" t="s">
        <v>26</v>
      </c>
      <c r="E254" t="s">
        <v>27</v>
      </c>
      <c r="F254">
        <v>1000</v>
      </c>
      <c r="G254">
        <v>1000</v>
      </c>
      <c r="H254">
        <v>100</v>
      </c>
      <c r="I254" s="1">
        <f t="shared" si="3"/>
        <v>100</v>
      </c>
      <c r="J254">
        <v>289.5</v>
      </c>
      <c r="K254" s="1">
        <v>2500</v>
      </c>
      <c r="L254" s="1">
        <v>32030</v>
      </c>
      <c r="M254" s="1" t="s">
        <v>149</v>
      </c>
      <c r="N254" s="1"/>
      <c r="O254" s="1"/>
      <c r="P254" s="1"/>
      <c r="Q254" s="62"/>
      <c r="X254">
        <v>2023</v>
      </c>
    </row>
    <row r="255" spans="1:24" x14ac:dyDescent="0.25">
      <c r="A255" t="s">
        <v>513</v>
      </c>
      <c r="B255" s="52">
        <v>45111</v>
      </c>
      <c r="C255" t="s">
        <v>514</v>
      </c>
      <c r="D255" t="s">
        <v>157</v>
      </c>
      <c r="E255" t="s">
        <v>37</v>
      </c>
      <c r="F255">
        <v>900</v>
      </c>
      <c r="G255">
        <v>900</v>
      </c>
      <c r="H255">
        <v>150</v>
      </c>
      <c r="I255" s="1">
        <f t="shared" si="3"/>
        <v>121.5</v>
      </c>
      <c r="J255">
        <v>369.05</v>
      </c>
      <c r="K255" s="1">
        <v>3037.5</v>
      </c>
      <c r="L255" s="1">
        <v>48197.08</v>
      </c>
      <c r="M255" s="1" t="s">
        <v>149</v>
      </c>
      <c r="N255" s="1"/>
      <c r="O255" s="1"/>
      <c r="P255" s="1"/>
      <c r="Q255" s="62"/>
      <c r="X255">
        <v>2023</v>
      </c>
    </row>
    <row r="256" spans="1:24" x14ac:dyDescent="0.25">
      <c r="A256" t="s">
        <v>515</v>
      </c>
      <c r="B256" s="52">
        <v>45111</v>
      </c>
      <c r="C256" t="s">
        <v>516</v>
      </c>
      <c r="D256" t="s">
        <v>359</v>
      </c>
      <c r="E256" t="s">
        <v>27</v>
      </c>
      <c r="F256">
        <v>1000</v>
      </c>
      <c r="G256">
        <v>1000</v>
      </c>
      <c r="H256">
        <v>5</v>
      </c>
      <c r="I256" s="1">
        <f t="shared" si="3"/>
        <v>5</v>
      </c>
      <c r="J256">
        <v>400</v>
      </c>
      <c r="K256" s="1">
        <v>375</v>
      </c>
      <c r="L256" s="1">
        <v>2450</v>
      </c>
      <c r="M256" s="1" t="s">
        <v>149</v>
      </c>
      <c r="N256" s="1"/>
      <c r="O256" s="1"/>
      <c r="P256" s="1"/>
      <c r="Q256" s="62"/>
      <c r="X256">
        <v>2023</v>
      </c>
    </row>
    <row r="257" spans="1:25" x14ac:dyDescent="0.25">
      <c r="A257" t="s">
        <v>517</v>
      </c>
      <c r="B257" s="52">
        <v>45112</v>
      </c>
      <c r="C257" t="s">
        <v>490</v>
      </c>
      <c r="D257" t="s">
        <v>100</v>
      </c>
      <c r="E257" t="s">
        <v>27</v>
      </c>
      <c r="F257">
        <v>400</v>
      </c>
      <c r="G257">
        <v>400</v>
      </c>
      <c r="H257">
        <v>125</v>
      </c>
      <c r="I257" s="1">
        <f t="shared" si="3"/>
        <v>20</v>
      </c>
      <c r="J257">
        <v>337.09</v>
      </c>
      <c r="K257" s="1">
        <v>1500</v>
      </c>
      <c r="L257" s="1">
        <v>8506.7999999999993</v>
      </c>
      <c r="M257" s="1" t="s">
        <v>149</v>
      </c>
      <c r="N257" s="1"/>
      <c r="O257" s="1"/>
      <c r="P257" s="1"/>
      <c r="Q257" s="62"/>
      <c r="X257">
        <v>2023</v>
      </c>
    </row>
    <row r="258" spans="1:25" x14ac:dyDescent="0.25">
      <c r="A258" t="s">
        <v>518</v>
      </c>
      <c r="B258" s="52">
        <v>45112</v>
      </c>
      <c r="C258" t="s">
        <v>490</v>
      </c>
      <c r="D258" t="s">
        <v>100</v>
      </c>
      <c r="E258" t="s">
        <v>37</v>
      </c>
      <c r="F258">
        <v>400</v>
      </c>
      <c r="G258">
        <v>400</v>
      </c>
      <c r="H258">
        <v>125</v>
      </c>
      <c r="I258" s="1">
        <f t="shared" ref="I258:I321" si="4">$F258*$G258*$H258/1000000</f>
        <v>20</v>
      </c>
      <c r="J258">
        <v>438.23</v>
      </c>
      <c r="K258" s="1">
        <v>1500</v>
      </c>
      <c r="L258" s="1">
        <v>10529.6</v>
      </c>
      <c r="M258" s="1" t="s">
        <v>149</v>
      </c>
      <c r="N258" s="1"/>
      <c r="O258" s="1"/>
      <c r="P258" s="1"/>
      <c r="Q258" s="62"/>
      <c r="X258">
        <v>2023</v>
      </c>
      <c r="Y258" t="s">
        <v>33</v>
      </c>
    </row>
    <row r="259" spans="1:25" x14ac:dyDescent="0.25">
      <c r="A259" t="s">
        <v>519</v>
      </c>
      <c r="B259" s="52">
        <v>45112</v>
      </c>
      <c r="C259" t="s">
        <v>335</v>
      </c>
      <c r="D259" t="s">
        <v>336</v>
      </c>
      <c r="E259" t="s">
        <v>27</v>
      </c>
      <c r="F259">
        <v>385</v>
      </c>
      <c r="G259">
        <v>385</v>
      </c>
      <c r="H259">
        <v>300</v>
      </c>
      <c r="I259" s="1">
        <f t="shared" si="4"/>
        <v>44.467500000000001</v>
      </c>
      <c r="J259">
        <v>304.36</v>
      </c>
      <c r="K259" s="1">
        <v>2223.5</v>
      </c>
      <c r="L259" s="1">
        <v>16468.39</v>
      </c>
      <c r="M259" s="1" t="s">
        <v>149</v>
      </c>
      <c r="N259" s="1"/>
      <c r="O259" s="1"/>
      <c r="P259" s="1"/>
      <c r="Q259" s="62"/>
      <c r="X259">
        <v>2023</v>
      </c>
      <c r="Y259" t="s">
        <v>39</v>
      </c>
    </row>
    <row r="260" spans="1:25" x14ac:dyDescent="0.25">
      <c r="A260" t="s">
        <v>520</v>
      </c>
      <c r="B260" s="52">
        <v>45112</v>
      </c>
      <c r="C260" t="s">
        <v>169</v>
      </c>
      <c r="D260" t="s">
        <v>103</v>
      </c>
      <c r="E260" t="s">
        <v>27</v>
      </c>
      <c r="F260">
        <v>1477</v>
      </c>
      <c r="G260">
        <v>2370</v>
      </c>
      <c r="H260">
        <v>50</v>
      </c>
      <c r="I260" s="1">
        <f t="shared" si="4"/>
        <v>175.02449999999999</v>
      </c>
      <c r="J260">
        <v>227.05</v>
      </c>
      <c r="K260" s="1">
        <v>1130</v>
      </c>
      <c r="L260" s="1">
        <v>40868.29</v>
      </c>
      <c r="M260" s="1" t="s">
        <v>449</v>
      </c>
      <c r="N260" s="1" t="s">
        <v>33</v>
      </c>
      <c r="O260" s="1"/>
      <c r="P260" s="1"/>
      <c r="Q260" s="62"/>
      <c r="R260" t="s">
        <v>28</v>
      </c>
      <c r="S260" t="s">
        <v>521</v>
      </c>
      <c r="X260">
        <v>2023</v>
      </c>
    </row>
    <row r="261" spans="1:25" x14ac:dyDescent="0.25">
      <c r="A261" t="s">
        <v>522</v>
      </c>
      <c r="B261" s="52">
        <v>45114</v>
      </c>
      <c r="C261" t="s">
        <v>69</v>
      </c>
      <c r="D261" t="s">
        <v>70</v>
      </c>
      <c r="E261" t="s">
        <v>32</v>
      </c>
      <c r="F261">
        <v>1200</v>
      </c>
      <c r="G261">
        <v>1100</v>
      </c>
      <c r="H261">
        <v>20</v>
      </c>
      <c r="I261" s="1">
        <f t="shared" si="4"/>
        <v>26.4</v>
      </c>
      <c r="J261">
        <v>520.79999999999995</v>
      </c>
      <c r="K261" s="1">
        <v>1320</v>
      </c>
      <c r="L261" s="1">
        <v>15114.12</v>
      </c>
      <c r="M261" s="1" t="s">
        <v>149</v>
      </c>
      <c r="N261" s="1"/>
      <c r="O261" s="1"/>
      <c r="P261" s="1"/>
      <c r="Q261" s="62"/>
      <c r="X261">
        <v>2023</v>
      </c>
    </row>
    <row r="262" spans="1:25" x14ac:dyDescent="0.25">
      <c r="A262" t="s">
        <v>523</v>
      </c>
      <c r="B262" s="52">
        <v>45114</v>
      </c>
      <c r="C262" t="s">
        <v>524</v>
      </c>
      <c r="D262" t="s">
        <v>525</v>
      </c>
      <c r="E262" t="s">
        <v>37</v>
      </c>
      <c r="F262">
        <v>1000</v>
      </c>
      <c r="G262">
        <v>1000</v>
      </c>
      <c r="H262">
        <v>10</v>
      </c>
      <c r="I262" s="1">
        <f t="shared" si="4"/>
        <v>10</v>
      </c>
      <c r="J262">
        <v>464</v>
      </c>
      <c r="K262" s="1">
        <v>750</v>
      </c>
      <c r="L262" s="1">
        <v>5590</v>
      </c>
      <c r="M262" s="1" t="s">
        <v>149</v>
      </c>
      <c r="N262" s="1"/>
      <c r="O262" s="1"/>
      <c r="P262" s="1"/>
      <c r="Q262" s="62"/>
      <c r="X262">
        <v>2023</v>
      </c>
    </row>
    <row r="263" spans="1:25" x14ac:dyDescent="0.25">
      <c r="A263" t="s">
        <v>526</v>
      </c>
      <c r="B263" s="52">
        <v>45114</v>
      </c>
      <c r="C263" t="s">
        <v>527</v>
      </c>
      <c r="D263" t="s">
        <v>528</v>
      </c>
      <c r="E263" t="s">
        <v>27</v>
      </c>
      <c r="F263">
        <v>1000</v>
      </c>
      <c r="G263">
        <v>1000</v>
      </c>
      <c r="H263">
        <v>5</v>
      </c>
      <c r="I263" s="1">
        <f t="shared" si="4"/>
        <v>5</v>
      </c>
      <c r="J263">
        <v>400</v>
      </c>
      <c r="K263" s="1">
        <v>375</v>
      </c>
      <c r="L263" s="1">
        <v>2450</v>
      </c>
      <c r="M263" s="1" t="s">
        <v>149</v>
      </c>
      <c r="N263" s="1"/>
      <c r="O263" s="1"/>
      <c r="P263" s="1"/>
      <c r="Q263" s="62"/>
      <c r="R263" t="s">
        <v>28</v>
      </c>
      <c r="X263">
        <v>2023</v>
      </c>
    </row>
    <row r="264" spans="1:25" x14ac:dyDescent="0.25">
      <c r="A264" t="s">
        <v>529</v>
      </c>
      <c r="B264" s="52">
        <v>45114</v>
      </c>
      <c r="C264" t="s">
        <v>527</v>
      </c>
      <c r="D264" t="s">
        <v>528</v>
      </c>
      <c r="E264" t="s">
        <v>37</v>
      </c>
      <c r="F264">
        <v>1000</v>
      </c>
      <c r="G264">
        <v>1000</v>
      </c>
      <c r="H264">
        <v>5</v>
      </c>
      <c r="I264" s="1">
        <f t="shared" si="4"/>
        <v>5</v>
      </c>
      <c r="J264">
        <v>500</v>
      </c>
      <c r="K264" s="1">
        <v>375</v>
      </c>
      <c r="L264" s="1">
        <v>2950</v>
      </c>
      <c r="M264" s="1" t="s">
        <v>149</v>
      </c>
      <c r="N264" s="1"/>
      <c r="O264" s="1"/>
      <c r="P264" s="1"/>
      <c r="Q264" s="62"/>
      <c r="R264" t="s">
        <v>28</v>
      </c>
      <c r="X264">
        <v>2023</v>
      </c>
    </row>
    <row r="265" spans="1:25" x14ac:dyDescent="0.25">
      <c r="A265" t="s">
        <v>530</v>
      </c>
      <c r="B265" s="52">
        <v>45114</v>
      </c>
      <c r="C265" t="s">
        <v>527</v>
      </c>
      <c r="D265" t="s">
        <v>528</v>
      </c>
      <c r="E265" t="s">
        <v>32</v>
      </c>
      <c r="F265">
        <v>1000</v>
      </c>
      <c r="G265">
        <v>1000</v>
      </c>
      <c r="H265">
        <v>5</v>
      </c>
      <c r="I265" s="1">
        <f t="shared" si="4"/>
        <v>5</v>
      </c>
      <c r="J265">
        <v>600</v>
      </c>
      <c r="K265" s="1">
        <v>375</v>
      </c>
      <c r="L265" s="1">
        <v>3450</v>
      </c>
      <c r="M265" s="1" t="s">
        <v>149</v>
      </c>
      <c r="N265" s="1"/>
      <c r="O265" s="1"/>
      <c r="P265" s="1"/>
      <c r="Q265" s="62"/>
      <c r="R265" t="s">
        <v>28</v>
      </c>
      <c r="X265">
        <v>2023</v>
      </c>
    </row>
    <row r="266" spans="1:25" x14ac:dyDescent="0.25">
      <c r="A266" t="s">
        <v>531</v>
      </c>
      <c r="B266" s="52">
        <v>45139</v>
      </c>
      <c r="C266" t="s">
        <v>532</v>
      </c>
      <c r="D266" t="s">
        <v>46</v>
      </c>
      <c r="E266" t="s">
        <v>27</v>
      </c>
      <c r="F266">
        <v>2480</v>
      </c>
      <c r="G266">
        <v>1470</v>
      </c>
      <c r="H266">
        <v>226</v>
      </c>
      <c r="I266" s="1">
        <f t="shared" si="4"/>
        <v>823.90560000000005</v>
      </c>
      <c r="J266">
        <v>265.49</v>
      </c>
      <c r="K266" s="1">
        <v>20597.75</v>
      </c>
      <c r="L266" s="1">
        <v>239337.62</v>
      </c>
      <c r="M266" s="1" t="s">
        <v>149</v>
      </c>
      <c r="N266" s="1"/>
      <c r="O266" s="1"/>
      <c r="P266" s="1"/>
      <c r="Q266" s="62"/>
      <c r="R266" t="s">
        <v>28</v>
      </c>
      <c r="S266" t="s">
        <v>320</v>
      </c>
      <c r="X266">
        <v>2023</v>
      </c>
    </row>
    <row r="267" spans="1:25" x14ac:dyDescent="0.25">
      <c r="A267" t="s">
        <v>533</v>
      </c>
      <c r="B267" s="52">
        <v>45139</v>
      </c>
      <c r="C267" t="s">
        <v>534</v>
      </c>
      <c r="D267" t="s">
        <v>525</v>
      </c>
      <c r="E267" t="s">
        <v>27</v>
      </c>
      <c r="F267">
        <v>1000</v>
      </c>
      <c r="G267">
        <v>1000</v>
      </c>
      <c r="H267">
        <v>5</v>
      </c>
      <c r="I267" s="1">
        <f t="shared" si="4"/>
        <v>5</v>
      </c>
      <c r="J267">
        <v>400</v>
      </c>
      <c r="K267" s="1">
        <v>375</v>
      </c>
      <c r="L267" s="1">
        <v>2500</v>
      </c>
      <c r="M267" s="1" t="s">
        <v>149</v>
      </c>
      <c r="N267" s="1"/>
      <c r="O267" s="1"/>
      <c r="P267" s="1"/>
      <c r="Q267" s="62"/>
      <c r="R267" t="s">
        <v>28</v>
      </c>
      <c r="X267">
        <v>2023</v>
      </c>
    </row>
    <row r="268" spans="1:25" x14ac:dyDescent="0.25">
      <c r="A268" t="s">
        <v>535</v>
      </c>
      <c r="B268" s="52">
        <v>45141</v>
      </c>
      <c r="C268" t="s">
        <v>532</v>
      </c>
      <c r="D268" t="s">
        <v>46</v>
      </c>
      <c r="E268" t="s">
        <v>27</v>
      </c>
      <c r="F268">
        <v>2480</v>
      </c>
      <c r="G268">
        <v>1500</v>
      </c>
      <c r="H268">
        <v>226</v>
      </c>
      <c r="I268" s="1">
        <f t="shared" si="4"/>
        <v>840.72</v>
      </c>
      <c r="J268">
        <v>264.73</v>
      </c>
      <c r="K268" s="1">
        <v>21018</v>
      </c>
      <c r="L268" s="1">
        <v>243581.81</v>
      </c>
      <c r="M268" s="1" t="s">
        <v>149</v>
      </c>
      <c r="N268" s="1"/>
      <c r="O268" s="1"/>
      <c r="P268" s="1"/>
      <c r="Q268" s="62"/>
      <c r="R268" t="s">
        <v>28</v>
      </c>
      <c r="X268">
        <v>2023</v>
      </c>
    </row>
    <row r="269" spans="1:25" x14ac:dyDescent="0.25">
      <c r="A269" t="s">
        <v>536</v>
      </c>
      <c r="B269" s="52">
        <v>45141</v>
      </c>
      <c r="C269" t="s">
        <v>117</v>
      </c>
      <c r="D269" t="s">
        <v>46</v>
      </c>
      <c r="E269" t="s">
        <v>37</v>
      </c>
      <c r="F269">
        <v>2160</v>
      </c>
      <c r="G269">
        <v>1260</v>
      </c>
      <c r="H269">
        <v>260</v>
      </c>
      <c r="I269" s="1">
        <f t="shared" si="4"/>
        <v>707.61599999999999</v>
      </c>
      <c r="J269">
        <v>353.4</v>
      </c>
      <c r="K269" s="1">
        <v>17690.5</v>
      </c>
      <c r="L269" s="1">
        <v>267763.40999999997</v>
      </c>
      <c r="M269" s="1" t="s">
        <v>149</v>
      </c>
      <c r="N269" s="1"/>
      <c r="O269" s="1"/>
      <c r="P269" s="1"/>
      <c r="Q269" s="62"/>
      <c r="X269">
        <v>2023</v>
      </c>
    </row>
    <row r="270" spans="1:25" x14ac:dyDescent="0.25">
      <c r="A270" t="s">
        <v>537</v>
      </c>
      <c r="B270" s="52">
        <v>45142</v>
      </c>
      <c r="C270" t="s">
        <v>109</v>
      </c>
      <c r="D270" t="s">
        <v>36</v>
      </c>
      <c r="E270" t="s">
        <v>32</v>
      </c>
      <c r="F270">
        <v>1000</v>
      </c>
      <c r="G270">
        <v>1000</v>
      </c>
      <c r="H270">
        <v>5</v>
      </c>
      <c r="I270" s="1">
        <f t="shared" si="4"/>
        <v>5</v>
      </c>
      <c r="J270">
        <v>600</v>
      </c>
      <c r="K270" s="1">
        <v>375</v>
      </c>
      <c r="L270" s="1">
        <v>3500</v>
      </c>
      <c r="M270" s="1" t="s">
        <v>149</v>
      </c>
      <c r="N270" s="1"/>
      <c r="O270" s="1"/>
      <c r="P270" s="1"/>
      <c r="Q270" s="62"/>
      <c r="X270">
        <v>2023</v>
      </c>
    </row>
    <row r="271" spans="1:25" x14ac:dyDescent="0.25">
      <c r="A271" t="s">
        <v>538</v>
      </c>
      <c r="B271" s="52">
        <v>45142</v>
      </c>
      <c r="C271" t="s">
        <v>255</v>
      </c>
      <c r="D271" t="s">
        <v>256</v>
      </c>
      <c r="E271" t="s">
        <v>32</v>
      </c>
      <c r="F271">
        <v>945</v>
      </c>
      <c r="G271">
        <v>945</v>
      </c>
      <c r="H271">
        <v>100</v>
      </c>
      <c r="I271" s="1">
        <f t="shared" si="4"/>
        <v>89.302499999999995</v>
      </c>
      <c r="J271">
        <v>412.67</v>
      </c>
      <c r="K271" s="1">
        <v>2500</v>
      </c>
      <c r="L271" s="1">
        <v>39351.43</v>
      </c>
      <c r="M271" s="1" t="s">
        <v>449</v>
      </c>
      <c r="N271" s="1" t="s">
        <v>33</v>
      </c>
      <c r="O271" s="1"/>
      <c r="P271" s="1"/>
      <c r="Q271" s="62"/>
      <c r="S271" t="s">
        <v>539</v>
      </c>
      <c r="X271">
        <v>2023</v>
      </c>
    </row>
    <row r="272" spans="1:25" x14ac:dyDescent="0.25">
      <c r="A272" t="s">
        <v>540</v>
      </c>
      <c r="B272" s="52">
        <v>45142</v>
      </c>
      <c r="C272" t="s">
        <v>541</v>
      </c>
      <c r="D272" t="s">
        <v>46</v>
      </c>
      <c r="E272" t="s">
        <v>27</v>
      </c>
      <c r="F272">
        <v>930</v>
      </c>
      <c r="G272">
        <v>930</v>
      </c>
      <c r="H272">
        <v>500</v>
      </c>
      <c r="I272" s="1">
        <f t="shared" si="4"/>
        <v>432.45</v>
      </c>
      <c r="J272">
        <v>291.62</v>
      </c>
      <c r="K272" s="1">
        <v>10811.25</v>
      </c>
      <c r="L272" s="1">
        <v>136922.32</v>
      </c>
      <c r="M272" s="1" t="s">
        <v>149</v>
      </c>
      <c r="N272" s="1"/>
      <c r="O272" s="1"/>
      <c r="P272" s="1"/>
      <c r="Q272" s="62"/>
      <c r="X272">
        <v>2023</v>
      </c>
    </row>
    <row r="273" spans="1:24" x14ac:dyDescent="0.25">
      <c r="A273" t="s">
        <v>542</v>
      </c>
      <c r="B273" s="52">
        <v>45142</v>
      </c>
      <c r="C273" t="s">
        <v>543</v>
      </c>
      <c r="D273" t="s">
        <v>103</v>
      </c>
      <c r="E273" t="s">
        <v>27</v>
      </c>
      <c r="F273">
        <v>1000</v>
      </c>
      <c r="G273">
        <v>1000</v>
      </c>
      <c r="H273">
        <v>5</v>
      </c>
      <c r="I273" s="1">
        <f t="shared" si="4"/>
        <v>5</v>
      </c>
      <c r="J273">
        <v>400</v>
      </c>
      <c r="K273" s="1">
        <v>375</v>
      </c>
      <c r="L273" s="1">
        <v>2500</v>
      </c>
      <c r="M273" s="1" t="s">
        <v>149</v>
      </c>
      <c r="N273" s="1"/>
      <c r="O273" s="1"/>
      <c r="P273" s="1"/>
      <c r="Q273" s="62"/>
      <c r="X273">
        <v>2023</v>
      </c>
    </row>
    <row r="274" spans="1:24" x14ac:dyDescent="0.25">
      <c r="A274" t="s">
        <v>544</v>
      </c>
      <c r="B274" s="52">
        <v>45142</v>
      </c>
      <c r="C274" t="s">
        <v>543</v>
      </c>
      <c r="D274" t="s">
        <v>103</v>
      </c>
      <c r="E274" t="s">
        <v>545</v>
      </c>
      <c r="F274">
        <v>1000</v>
      </c>
      <c r="G274">
        <v>1000</v>
      </c>
      <c r="H274">
        <v>5</v>
      </c>
      <c r="I274" s="1">
        <f t="shared" si="4"/>
        <v>5</v>
      </c>
      <c r="J274">
        <v>500</v>
      </c>
      <c r="K274" s="1">
        <v>375</v>
      </c>
      <c r="L274" s="1">
        <v>3000</v>
      </c>
      <c r="M274" s="1" t="s">
        <v>149</v>
      </c>
      <c r="N274" s="1"/>
      <c r="O274" s="1"/>
      <c r="P274" s="1"/>
      <c r="Q274" s="62"/>
      <c r="X274">
        <v>2023</v>
      </c>
    </row>
    <row r="275" spans="1:24" x14ac:dyDescent="0.25">
      <c r="A275" t="s">
        <v>546</v>
      </c>
      <c r="B275" s="52">
        <v>45142</v>
      </c>
      <c r="C275" t="s">
        <v>547</v>
      </c>
      <c r="D275" t="s">
        <v>548</v>
      </c>
      <c r="E275" t="s">
        <v>27</v>
      </c>
      <c r="F275">
        <v>1000</v>
      </c>
      <c r="G275">
        <v>1000</v>
      </c>
      <c r="H275">
        <v>5</v>
      </c>
      <c r="I275" s="1">
        <f t="shared" si="4"/>
        <v>5</v>
      </c>
      <c r="J275">
        <v>400</v>
      </c>
      <c r="K275" s="1">
        <v>375</v>
      </c>
      <c r="L275" s="1">
        <v>2500</v>
      </c>
      <c r="M275" s="1" t="s">
        <v>149</v>
      </c>
      <c r="N275" s="1"/>
      <c r="O275" s="1"/>
      <c r="P275" s="1"/>
      <c r="Q275" s="62"/>
      <c r="X275">
        <v>2023</v>
      </c>
    </row>
    <row r="276" spans="1:24" x14ac:dyDescent="0.25">
      <c r="A276" t="s">
        <v>549</v>
      </c>
      <c r="B276" s="56" t="s">
        <v>550</v>
      </c>
      <c r="C276" t="s">
        <v>547</v>
      </c>
      <c r="D276" t="s">
        <v>548</v>
      </c>
      <c r="E276" t="s">
        <v>27</v>
      </c>
      <c r="F276">
        <v>1000</v>
      </c>
      <c r="G276">
        <v>1000</v>
      </c>
      <c r="H276">
        <v>5</v>
      </c>
      <c r="I276" s="1">
        <f t="shared" si="4"/>
        <v>5</v>
      </c>
      <c r="J276" s="1">
        <v>400</v>
      </c>
      <c r="K276" s="1">
        <v>375</v>
      </c>
      <c r="L276" s="1">
        <v>2500</v>
      </c>
      <c r="M276" s="1" t="s">
        <v>149</v>
      </c>
      <c r="N276" s="1"/>
      <c r="O276" s="1"/>
      <c r="P276" s="1"/>
      <c r="Q276" s="62"/>
    </row>
    <row r="277" spans="1:24" x14ac:dyDescent="0.25">
      <c r="A277" t="s">
        <v>551</v>
      </c>
      <c r="B277" s="52">
        <v>45142</v>
      </c>
      <c r="C277" t="s">
        <v>552</v>
      </c>
      <c r="D277" t="s">
        <v>100</v>
      </c>
      <c r="E277" t="s">
        <v>27</v>
      </c>
      <c r="F277">
        <v>1000</v>
      </c>
      <c r="G277">
        <v>1000</v>
      </c>
      <c r="H277">
        <v>5</v>
      </c>
      <c r="I277" s="1">
        <f t="shared" si="4"/>
        <v>5</v>
      </c>
      <c r="J277">
        <v>400</v>
      </c>
      <c r="K277" s="1">
        <v>375</v>
      </c>
      <c r="L277" s="1">
        <v>2500</v>
      </c>
      <c r="M277" s="1" t="s">
        <v>149</v>
      </c>
      <c r="N277" s="1"/>
      <c r="O277" s="1"/>
      <c r="P277" s="1"/>
      <c r="Q277" s="62"/>
      <c r="X277">
        <v>2023</v>
      </c>
    </row>
    <row r="278" spans="1:24" x14ac:dyDescent="0.25">
      <c r="A278" t="s">
        <v>553</v>
      </c>
      <c r="B278" s="52">
        <v>45142</v>
      </c>
      <c r="C278" t="s">
        <v>554</v>
      </c>
      <c r="D278" t="s">
        <v>100</v>
      </c>
      <c r="E278" t="s">
        <v>27</v>
      </c>
      <c r="F278">
        <v>1000</v>
      </c>
      <c r="G278">
        <v>1000</v>
      </c>
      <c r="H278">
        <v>5</v>
      </c>
      <c r="I278" s="1">
        <f t="shared" si="4"/>
        <v>5</v>
      </c>
      <c r="J278">
        <v>400</v>
      </c>
      <c r="K278" s="1">
        <v>375</v>
      </c>
      <c r="L278" s="1">
        <v>2500</v>
      </c>
      <c r="M278" s="1" t="s">
        <v>149</v>
      </c>
      <c r="N278" s="1"/>
      <c r="O278" s="1"/>
      <c r="P278" s="1"/>
      <c r="Q278" s="62"/>
      <c r="X278">
        <v>2023</v>
      </c>
    </row>
    <row r="279" spans="1:24" x14ac:dyDescent="0.25">
      <c r="A279" t="s">
        <v>555</v>
      </c>
      <c r="B279" s="52">
        <v>45142</v>
      </c>
      <c r="C279" t="s">
        <v>556</v>
      </c>
      <c r="D279" t="s">
        <v>31</v>
      </c>
      <c r="E279" t="s">
        <v>32</v>
      </c>
      <c r="F279">
        <v>1000</v>
      </c>
      <c r="G279">
        <v>1000</v>
      </c>
      <c r="H279">
        <v>5</v>
      </c>
      <c r="I279" s="1">
        <f t="shared" si="4"/>
        <v>5</v>
      </c>
      <c r="J279">
        <v>600</v>
      </c>
      <c r="K279" s="1">
        <v>375</v>
      </c>
      <c r="L279" s="1">
        <v>3500</v>
      </c>
      <c r="M279" s="1" t="s">
        <v>149</v>
      </c>
      <c r="N279" s="1"/>
      <c r="O279" s="1"/>
      <c r="P279" s="1"/>
      <c r="Q279" s="62"/>
      <c r="X279">
        <v>2023</v>
      </c>
    </row>
    <row r="280" spans="1:24" x14ac:dyDescent="0.25">
      <c r="A280" t="s">
        <v>557</v>
      </c>
      <c r="B280" s="52">
        <v>45142</v>
      </c>
      <c r="C280" t="s">
        <v>558</v>
      </c>
      <c r="D280" t="s">
        <v>70</v>
      </c>
      <c r="E280" t="s">
        <v>27</v>
      </c>
      <c r="F280">
        <v>1000</v>
      </c>
      <c r="G280">
        <v>1000</v>
      </c>
      <c r="H280">
        <v>5</v>
      </c>
      <c r="I280" s="1">
        <f t="shared" si="4"/>
        <v>5</v>
      </c>
      <c r="J280">
        <v>400</v>
      </c>
      <c r="K280" s="1">
        <v>375</v>
      </c>
      <c r="L280" s="1">
        <v>2450</v>
      </c>
      <c r="M280" s="1" t="s">
        <v>149</v>
      </c>
      <c r="N280" s="1"/>
      <c r="O280" s="1"/>
      <c r="P280" s="1"/>
      <c r="Q280" s="62"/>
      <c r="X280">
        <v>2023</v>
      </c>
    </row>
    <row r="281" spans="1:24" x14ac:dyDescent="0.25">
      <c r="A281" t="s">
        <v>559</v>
      </c>
      <c r="B281" s="52">
        <v>45142</v>
      </c>
      <c r="C281" t="s">
        <v>94</v>
      </c>
      <c r="D281" t="s">
        <v>83</v>
      </c>
      <c r="E281" t="s">
        <v>27</v>
      </c>
      <c r="F281">
        <v>762</v>
      </c>
      <c r="G281">
        <v>762</v>
      </c>
      <c r="H281">
        <v>480</v>
      </c>
      <c r="I281" s="1">
        <f t="shared" si="4"/>
        <v>278.70911999999998</v>
      </c>
      <c r="J281">
        <v>269.16000000000003</v>
      </c>
      <c r="K281" s="1">
        <v>6967.75</v>
      </c>
      <c r="L281" s="1">
        <v>81985.33</v>
      </c>
      <c r="M281" s="1" t="s">
        <v>149</v>
      </c>
      <c r="N281" s="1"/>
      <c r="O281" s="1"/>
      <c r="P281" s="1"/>
      <c r="Q281" s="62"/>
      <c r="S281" t="s">
        <v>560</v>
      </c>
      <c r="T281" s="3">
        <v>45156</v>
      </c>
      <c r="U281">
        <v>269.16000000000003</v>
      </c>
      <c r="V281" s="1">
        <v>6967.75</v>
      </c>
      <c r="W281" s="1">
        <v>83955.33</v>
      </c>
      <c r="X281">
        <v>2023</v>
      </c>
    </row>
    <row r="282" spans="1:24" x14ac:dyDescent="0.25">
      <c r="A282" t="s">
        <v>561</v>
      </c>
      <c r="B282" s="52">
        <v>45145</v>
      </c>
      <c r="C282" t="s">
        <v>490</v>
      </c>
      <c r="D282" t="s">
        <v>100</v>
      </c>
      <c r="E282" t="s">
        <v>27</v>
      </c>
      <c r="F282">
        <v>1000</v>
      </c>
      <c r="G282">
        <v>1000</v>
      </c>
      <c r="H282">
        <v>15</v>
      </c>
      <c r="I282" s="1">
        <f t="shared" si="4"/>
        <v>15</v>
      </c>
      <c r="J282">
        <v>343.7</v>
      </c>
      <c r="K282" s="1">
        <v>1125</v>
      </c>
      <c r="L282" s="1">
        <v>6550</v>
      </c>
      <c r="M282" s="1" t="s">
        <v>149</v>
      </c>
      <c r="N282" s="1"/>
      <c r="O282" s="1"/>
      <c r="P282" s="1"/>
      <c r="Q282" s="62"/>
      <c r="R282" t="s">
        <v>28</v>
      </c>
      <c r="X282">
        <v>2023</v>
      </c>
    </row>
    <row r="283" spans="1:24" x14ac:dyDescent="0.25">
      <c r="A283" t="s">
        <v>562</v>
      </c>
      <c r="B283" s="52">
        <v>45145</v>
      </c>
      <c r="C283" t="s">
        <v>490</v>
      </c>
      <c r="D283" t="s">
        <v>100</v>
      </c>
      <c r="E283" t="s">
        <v>37</v>
      </c>
      <c r="F283">
        <v>1000</v>
      </c>
      <c r="G283">
        <v>1000</v>
      </c>
      <c r="H283">
        <v>15</v>
      </c>
      <c r="I283" s="1">
        <f t="shared" si="4"/>
        <v>15</v>
      </c>
      <c r="J283">
        <v>446.81</v>
      </c>
      <c r="K283" s="1">
        <v>1125</v>
      </c>
      <c r="L283" s="1">
        <v>8097.15</v>
      </c>
      <c r="M283" s="1" t="s">
        <v>149</v>
      </c>
      <c r="N283" s="1"/>
      <c r="O283" s="1"/>
      <c r="P283" s="1"/>
      <c r="Q283" s="62"/>
      <c r="R283" t="s">
        <v>28</v>
      </c>
      <c r="X283">
        <v>2023</v>
      </c>
    </row>
    <row r="284" spans="1:24" x14ac:dyDescent="0.25">
      <c r="A284" t="s">
        <v>563</v>
      </c>
      <c r="B284" s="52">
        <v>45145</v>
      </c>
      <c r="C284" t="s">
        <v>527</v>
      </c>
      <c r="D284" t="s">
        <v>528</v>
      </c>
      <c r="E284" t="s">
        <v>27</v>
      </c>
      <c r="F284">
        <v>383.9</v>
      </c>
      <c r="G284">
        <v>383.9</v>
      </c>
      <c r="H284">
        <v>231</v>
      </c>
      <c r="I284" s="1">
        <f t="shared" si="4"/>
        <v>34.044597509999996</v>
      </c>
      <c r="J284">
        <v>312.56</v>
      </c>
      <c r="K284" s="1">
        <v>1702</v>
      </c>
      <c r="L284" s="1">
        <v>12836.54</v>
      </c>
      <c r="M284" s="1" t="s">
        <v>149</v>
      </c>
      <c r="N284" s="1"/>
      <c r="O284" s="1"/>
      <c r="P284" s="1"/>
      <c r="Q284" s="62"/>
      <c r="X284">
        <v>2023</v>
      </c>
    </row>
    <row r="285" spans="1:24" x14ac:dyDescent="0.25">
      <c r="A285" t="s">
        <v>564</v>
      </c>
      <c r="B285" s="52">
        <v>45145</v>
      </c>
      <c r="C285" t="s">
        <v>527</v>
      </c>
      <c r="D285" t="s">
        <v>528</v>
      </c>
      <c r="E285" t="s">
        <v>27</v>
      </c>
      <c r="F285">
        <v>1000</v>
      </c>
      <c r="G285">
        <v>1000</v>
      </c>
      <c r="H285">
        <v>34</v>
      </c>
      <c r="I285" s="1">
        <f t="shared" si="4"/>
        <v>34</v>
      </c>
      <c r="J285">
        <v>312.60000000000002</v>
      </c>
      <c r="K285" s="1">
        <v>1700</v>
      </c>
      <c r="L285" s="1">
        <v>12823.4</v>
      </c>
      <c r="M285" s="1" t="s">
        <v>149</v>
      </c>
      <c r="N285" s="1"/>
      <c r="O285" s="1"/>
      <c r="P285" s="1" t="s">
        <v>149</v>
      </c>
      <c r="Q285" s="62">
        <v>45174</v>
      </c>
      <c r="X285">
        <v>2023</v>
      </c>
    </row>
    <row r="286" spans="1:24" x14ac:dyDescent="0.25">
      <c r="A286" t="s">
        <v>565</v>
      </c>
      <c r="B286" s="52">
        <v>45147</v>
      </c>
      <c r="C286" t="s">
        <v>566</v>
      </c>
      <c r="D286" t="s">
        <v>300</v>
      </c>
      <c r="E286" t="s">
        <v>27</v>
      </c>
      <c r="F286">
        <v>1000</v>
      </c>
      <c r="G286">
        <v>1000</v>
      </c>
      <c r="H286">
        <v>10</v>
      </c>
      <c r="I286" s="1">
        <f t="shared" si="4"/>
        <v>10</v>
      </c>
      <c r="J286">
        <v>356.92</v>
      </c>
      <c r="K286" s="1">
        <v>750</v>
      </c>
      <c r="L286" s="1">
        <v>4319.2</v>
      </c>
      <c r="M286" s="1" t="s">
        <v>149</v>
      </c>
      <c r="N286" s="1"/>
      <c r="O286" s="1"/>
      <c r="P286" s="1"/>
      <c r="Q286" s="62"/>
      <c r="S286" t="s">
        <v>567</v>
      </c>
      <c r="X286">
        <v>2023</v>
      </c>
    </row>
    <row r="287" spans="1:24" x14ac:dyDescent="0.25">
      <c r="A287" t="s">
        <v>568</v>
      </c>
      <c r="B287" s="52">
        <v>45146</v>
      </c>
      <c r="C287" t="s">
        <v>148</v>
      </c>
      <c r="D287" t="s">
        <v>57</v>
      </c>
      <c r="E287" t="s">
        <v>27</v>
      </c>
      <c r="F287">
        <v>1250</v>
      </c>
      <c r="G287">
        <v>1250</v>
      </c>
      <c r="H287">
        <v>13</v>
      </c>
      <c r="I287" s="1">
        <f t="shared" si="4"/>
        <v>20.3125</v>
      </c>
      <c r="J287">
        <v>369.81</v>
      </c>
      <c r="K287" s="1">
        <v>1500</v>
      </c>
      <c r="L287" s="1">
        <v>9010.84</v>
      </c>
      <c r="M287" s="1" t="s">
        <v>149</v>
      </c>
      <c r="N287" s="1"/>
      <c r="O287" s="1"/>
      <c r="P287" s="1"/>
      <c r="Q287" s="62"/>
      <c r="X287">
        <v>2023</v>
      </c>
    </row>
    <row r="288" spans="1:24" x14ac:dyDescent="0.25">
      <c r="A288" t="s">
        <v>569</v>
      </c>
      <c r="B288" s="52">
        <v>45146</v>
      </c>
      <c r="C288" t="s">
        <v>570</v>
      </c>
      <c r="D288" t="s">
        <v>100</v>
      </c>
      <c r="E288" t="s">
        <v>27</v>
      </c>
      <c r="F288">
        <v>1000</v>
      </c>
      <c r="G288">
        <v>1000</v>
      </c>
      <c r="H288">
        <v>5</v>
      </c>
      <c r="I288" s="1">
        <f t="shared" si="4"/>
        <v>5</v>
      </c>
      <c r="J288">
        <v>400</v>
      </c>
      <c r="K288" s="1">
        <v>375</v>
      </c>
      <c r="L288" s="1">
        <v>2500</v>
      </c>
      <c r="M288" s="1" t="s">
        <v>149</v>
      </c>
      <c r="N288" s="1"/>
      <c r="O288" s="1"/>
      <c r="P288" s="1"/>
      <c r="Q288" s="62"/>
      <c r="X288">
        <v>2023</v>
      </c>
    </row>
    <row r="289" spans="1:24" x14ac:dyDescent="0.25">
      <c r="A289" t="s">
        <v>571</v>
      </c>
      <c r="B289" s="52">
        <v>45146</v>
      </c>
      <c r="C289" t="s">
        <v>570</v>
      </c>
      <c r="D289" t="s">
        <v>100</v>
      </c>
      <c r="E289" t="s">
        <v>37</v>
      </c>
      <c r="F289">
        <v>1000</v>
      </c>
      <c r="G289">
        <v>1000</v>
      </c>
      <c r="H289">
        <v>5</v>
      </c>
      <c r="I289" s="1">
        <f t="shared" si="4"/>
        <v>5</v>
      </c>
      <c r="J289">
        <v>500</v>
      </c>
      <c r="K289" s="1">
        <v>375</v>
      </c>
      <c r="L289" s="1">
        <v>3000</v>
      </c>
      <c r="M289" s="1" t="s">
        <v>149</v>
      </c>
      <c r="N289" s="1"/>
      <c r="O289" s="1"/>
      <c r="P289" s="1"/>
      <c r="Q289" s="62"/>
      <c r="X289">
        <v>2023</v>
      </c>
    </row>
    <row r="290" spans="1:24" x14ac:dyDescent="0.25">
      <c r="A290" t="s">
        <v>572</v>
      </c>
      <c r="B290" s="52">
        <v>45146</v>
      </c>
      <c r="C290" t="s">
        <v>573</v>
      </c>
      <c r="D290" t="s">
        <v>97</v>
      </c>
      <c r="E290" t="s">
        <v>27</v>
      </c>
      <c r="F290">
        <v>1000</v>
      </c>
      <c r="G290">
        <v>1000</v>
      </c>
      <c r="H290">
        <v>10</v>
      </c>
      <c r="I290" s="1">
        <f t="shared" si="4"/>
        <v>10</v>
      </c>
      <c r="J290">
        <v>356.92</v>
      </c>
      <c r="K290" s="1">
        <v>750</v>
      </c>
      <c r="L290" s="1">
        <v>4469.2</v>
      </c>
      <c r="M290" s="1" t="s">
        <v>149</v>
      </c>
      <c r="N290" s="1"/>
      <c r="O290" s="1"/>
      <c r="P290" s="1"/>
      <c r="Q290" s="62"/>
      <c r="X290">
        <v>2023</v>
      </c>
    </row>
    <row r="291" spans="1:24" x14ac:dyDescent="0.25">
      <c r="A291" t="s">
        <v>574</v>
      </c>
      <c r="B291" s="52">
        <v>45147</v>
      </c>
      <c r="C291" t="s">
        <v>575</v>
      </c>
      <c r="D291" t="s">
        <v>36</v>
      </c>
      <c r="E291" t="s">
        <v>27</v>
      </c>
      <c r="F291">
        <v>1700</v>
      </c>
      <c r="G291">
        <v>2500</v>
      </c>
      <c r="H291">
        <v>5</v>
      </c>
      <c r="I291" s="1">
        <f t="shared" si="4"/>
        <v>21.25</v>
      </c>
      <c r="J291">
        <v>333.6</v>
      </c>
      <c r="K291" s="1">
        <v>1500</v>
      </c>
      <c r="L291" s="1">
        <v>8589</v>
      </c>
      <c r="M291" s="1" t="s">
        <v>149</v>
      </c>
      <c r="N291" s="1"/>
      <c r="O291" s="1"/>
      <c r="P291" s="1"/>
      <c r="Q291" s="62"/>
      <c r="R291" t="s">
        <v>28</v>
      </c>
      <c r="X291">
        <v>2023</v>
      </c>
    </row>
    <row r="292" spans="1:24" x14ac:dyDescent="0.25">
      <c r="A292" t="s">
        <v>576</v>
      </c>
      <c r="B292" s="52">
        <v>45146</v>
      </c>
      <c r="C292" t="s">
        <v>195</v>
      </c>
      <c r="D292" t="s">
        <v>46</v>
      </c>
      <c r="E292" t="s">
        <v>27</v>
      </c>
      <c r="F292">
        <v>740</v>
      </c>
      <c r="G292">
        <v>740</v>
      </c>
      <c r="H292">
        <v>37</v>
      </c>
      <c r="I292" s="1">
        <f t="shared" si="4"/>
        <v>20.261199999999999</v>
      </c>
      <c r="J292">
        <v>369.96</v>
      </c>
      <c r="K292" s="1">
        <v>1500</v>
      </c>
      <c r="L292" s="1">
        <v>8995.39</v>
      </c>
      <c r="M292" s="1" t="s">
        <v>149</v>
      </c>
      <c r="N292" s="1"/>
      <c r="O292" s="1"/>
      <c r="P292" s="1"/>
      <c r="Q292" s="62"/>
      <c r="X292">
        <v>2023</v>
      </c>
    </row>
    <row r="293" spans="1:24" x14ac:dyDescent="0.25">
      <c r="A293" t="s">
        <v>577</v>
      </c>
      <c r="B293" s="52">
        <v>45146</v>
      </c>
      <c r="C293" t="s">
        <v>514</v>
      </c>
      <c r="D293" t="s">
        <v>157</v>
      </c>
      <c r="E293" t="s">
        <v>32</v>
      </c>
      <c r="F293">
        <v>900</v>
      </c>
      <c r="G293">
        <v>900</v>
      </c>
      <c r="H293">
        <v>150</v>
      </c>
      <c r="I293" s="1">
        <f t="shared" si="4"/>
        <v>121.5</v>
      </c>
      <c r="J293">
        <v>458.21</v>
      </c>
      <c r="K293" s="1">
        <v>3037.5</v>
      </c>
      <c r="L293" s="1">
        <v>59030.02</v>
      </c>
      <c r="M293" s="1" t="s">
        <v>149</v>
      </c>
      <c r="N293" s="1"/>
      <c r="O293" s="1"/>
      <c r="P293" s="1"/>
      <c r="Q293" s="62"/>
      <c r="X293">
        <v>2023</v>
      </c>
    </row>
    <row r="294" spans="1:24" x14ac:dyDescent="0.25">
      <c r="A294" t="s">
        <v>578</v>
      </c>
      <c r="B294" s="52">
        <v>45147</v>
      </c>
      <c r="C294" t="s">
        <v>579</v>
      </c>
      <c r="D294" t="s">
        <v>52</v>
      </c>
      <c r="E294" t="s">
        <v>27</v>
      </c>
      <c r="F294">
        <v>400</v>
      </c>
      <c r="G294">
        <v>400</v>
      </c>
      <c r="H294">
        <v>125</v>
      </c>
      <c r="I294" s="1">
        <f t="shared" si="4"/>
        <v>20</v>
      </c>
      <c r="J294">
        <v>337.09</v>
      </c>
      <c r="K294" s="1">
        <v>1500</v>
      </c>
      <c r="L294" s="1">
        <v>8351.7999999999993</v>
      </c>
      <c r="M294" s="1" t="s">
        <v>149</v>
      </c>
      <c r="N294" s="1"/>
      <c r="O294" s="1"/>
      <c r="P294" s="1" t="s">
        <v>149</v>
      </c>
      <c r="Q294" s="62">
        <v>45245</v>
      </c>
      <c r="S294" t="s">
        <v>580</v>
      </c>
      <c r="T294" s="3">
        <v>45245</v>
      </c>
      <c r="U294">
        <v>337.09</v>
      </c>
      <c r="V294" s="1">
        <v>1500</v>
      </c>
      <c r="W294" s="1">
        <v>8351.7999999999993</v>
      </c>
      <c r="X294">
        <v>2023</v>
      </c>
    </row>
    <row r="295" spans="1:24" x14ac:dyDescent="0.25">
      <c r="A295" t="s">
        <v>581</v>
      </c>
      <c r="B295" s="52">
        <v>45147</v>
      </c>
      <c r="C295" t="s">
        <v>439</v>
      </c>
      <c r="D295" t="s">
        <v>31</v>
      </c>
      <c r="E295" t="s">
        <v>27</v>
      </c>
      <c r="F295">
        <v>1000</v>
      </c>
      <c r="G295">
        <v>1000</v>
      </c>
      <c r="H295">
        <v>6</v>
      </c>
      <c r="I295" s="1">
        <f t="shared" si="4"/>
        <v>6</v>
      </c>
      <c r="J295">
        <v>383.36</v>
      </c>
      <c r="K295" s="1">
        <v>450</v>
      </c>
      <c r="L295" s="1">
        <v>2875.16</v>
      </c>
      <c r="M295" s="1" t="s">
        <v>149</v>
      </c>
      <c r="N295" s="1"/>
      <c r="O295" s="1"/>
      <c r="P295" s="1"/>
      <c r="Q295" s="62"/>
      <c r="X295">
        <v>2023</v>
      </c>
    </row>
    <row r="296" spans="1:24" x14ac:dyDescent="0.25">
      <c r="A296" t="s">
        <v>582</v>
      </c>
      <c r="B296" s="52">
        <v>45147</v>
      </c>
      <c r="C296" t="s">
        <v>74</v>
      </c>
      <c r="D296" t="s">
        <v>31</v>
      </c>
      <c r="E296" t="s">
        <v>27</v>
      </c>
      <c r="F296">
        <v>894</v>
      </c>
      <c r="G296">
        <v>1061</v>
      </c>
      <c r="H296">
        <v>200</v>
      </c>
      <c r="I296" s="1">
        <f t="shared" si="4"/>
        <v>189.70679999999999</v>
      </c>
      <c r="J296">
        <v>274.5</v>
      </c>
      <c r="K296" s="1">
        <v>4742.75</v>
      </c>
      <c r="L296" s="1">
        <v>56983.15</v>
      </c>
      <c r="M296" s="1" t="s">
        <v>149</v>
      </c>
      <c r="N296" s="1"/>
      <c r="O296" s="1"/>
      <c r="P296" s="1"/>
      <c r="Q296" s="62"/>
      <c r="S296" t="s">
        <v>583</v>
      </c>
      <c r="T296" s="3">
        <v>45156</v>
      </c>
      <c r="U296">
        <v>288.18</v>
      </c>
      <c r="V296" s="1">
        <v>2608.5</v>
      </c>
      <c r="W296" s="1">
        <v>32842.199999999997</v>
      </c>
      <c r="X296">
        <v>2023</v>
      </c>
    </row>
    <row r="297" spans="1:24" x14ac:dyDescent="0.25">
      <c r="A297" t="s">
        <v>584</v>
      </c>
      <c r="B297" s="52">
        <v>45147</v>
      </c>
      <c r="C297" t="s">
        <v>570</v>
      </c>
      <c r="D297" t="s">
        <v>100</v>
      </c>
      <c r="E297" t="s">
        <v>32</v>
      </c>
      <c r="F297">
        <v>1000</v>
      </c>
      <c r="G297">
        <v>1000</v>
      </c>
      <c r="H297">
        <v>5</v>
      </c>
      <c r="I297" s="1">
        <f t="shared" si="4"/>
        <v>5</v>
      </c>
      <c r="J297">
        <v>600</v>
      </c>
      <c r="K297" s="1">
        <v>375</v>
      </c>
      <c r="L297" s="1">
        <v>3650</v>
      </c>
      <c r="M297" s="1" t="s">
        <v>149</v>
      </c>
      <c r="N297" s="1"/>
      <c r="O297" s="1"/>
      <c r="P297" s="1"/>
      <c r="Q297" s="62"/>
      <c r="V297" s="1"/>
      <c r="W297" s="1"/>
      <c r="X297">
        <v>2023</v>
      </c>
    </row>
    <row r="298" spans="1:24" x14ac:dyDescent="0.25">
      <c r="A298" t="s">
        <v>585</v>
      </c>
      <c r="B298" s="52">
        <v>45147</v>
      </c>
      <c r="C298" t="s">
        <v>74</v>
      </c>
      <c r="D298" t="s">
        <v>31</v>
      </c>
      <c r="E298" t="s">
        <v>27</v>
      </c>
      <c r="F298">
        <v>894</v>
      </c>
      <c r="G298">
        <v>1061</v>
      </c>
      <c r="H298">
        <v>300</v>
      </c>
      <c r="I298" s="1">
        <f t="shared" si="4"/>
        <v>284.56020000000001</v>
      </c>
      <c r="J298">
        <v>268.92</v>
      </c>
      <c r="K298" s="1">
        <v>7114</v>
      </c>
      <c r="L298" s="1">
        <v>83802.880000000005</v>
      </c>
      <c r="M298" s="1" t="s">
        <v>149</v>
      </c>
      <c r="N298" s="1"/>
      <c r="O298" s="1"/>
      <c r="P298" s="1"/>
      <c r="Q298" s="62"/>
      <c r="S298" t="s">
        <v>586</v>
      </c>
      <c r="T298" s="3">
        <v>45156</v>
      </c>
      <c r="U298">
        <v>265.37</v>
      </c>
      <c r="V298" s="1">
        <v>10433.75</v>
      </c>
      <c r="W298" s="1">
        <v>121400.92</v>
      </c>
      <c r="X298">
        <v>2023</v>
      </c>
    </row>
    <row r="299" spans="1:24" x14ac:dyDescent="0.25">
      <c r="A299" t="s">
        <v>587</v>
      </c>
      <c r="B299" s="52">
        <v>45147</v>
      </c>
      <c r="C299" t="s">
        <v>74</v>
      </c>
      <c r="D299" t="s">
        <v>31</v>
      </c>
      <c r="E299" t="s">
        <v>27</v>
      </c>
      <c r="F299">
        <v>894</v>
      </c>
      <c r="G299">
        <v>1061</v>
      </c>
      <c r="H299">
        <v>400</v>
      </c>
      <c r="I299" s="1">
        <f t="shared" si="4"/>
        <v>379.41359999999997</v>
      </c>
      <c r="J299">
        <v>266.14</v>
      </c>
      <c r="K299" s="1">
        <v>9485.25</v>
      </c>
      <c r="L299" s="1">
        <v>110676.43</v>
      </c>
      <c r="M299" s="1" t="s">
        <v>149</v>
      </c>
      <c r="N299" s="1"/>
      <c r="O299" s="1"/>
      <c r="P299" s="1"/>
      <c r="Q299" s="62"/>
      <c r="S299" t="s">
        <v>588</v>
      </c>
      <c r="T299" s="3">
        <v>45156</v>
      </c>
      <c r="U299">
        <v>261.70999999999998</v>
      </c>
      <c r="V299" s="1">
        <v>13042.25</v>
      </c>
      <c r="W299" s="1">
        <v>149828.74</v>
      </c>
      <c r="X299">
        <v>2023</v>
      </c>
    </row>
    <row r="300" spans="1:24" x14ac:dyDescent="0.25">
      <c r="A300" t="s">
        <v>589</v>
      </c>
      <c r="B300" s="52">
        <v>45148</v>
      </c>
      <c r="C300" t="s">
        <v>345</v>
      </c>
      <c r="D300" t="s">
        <v>46</v>
      </c>
      <c r="E300" t="s">
        <v>27</v>
      </c>
      <c r="F300">
        <v>1600</v>
      </c>
      <c r="G300">
        <v>2600</v>
      </c>
      <c r="H300">
        <v>100</v>
      </c>
      <c r="I300" s="1">
        <f t="shared" si="4"/>
        <v>416</v>
      </c>
      <c r="J300">
        <v>291.94</v>
      </c>
      <c r="K300" s="1">
        <v>10400</v>
      </c>
      <c r="L300" s="1">
        <v>131847.04000000001</v>
      </c>
      <c r="M300" s="1" t="s">
        <v>149</v>
      </c>
      <c r="N300" s="1"/>
      <c r="O300" s="1"/>
      <c r="P300" s="1"/>
      <c r="Q300" s="62"/>
      <c r="X300">
        <v>2023</v>
      </c>
    </row>
    <row r="301" spans="1:24" x14ac:dyDescent="0.25">
      <c r="A301" t="s">
        <v>590</v>
      </c>
      <c r="B301" s="52">
        <v>45148</v>
      </c>
      <c r="C301" t="s">
        <v>345</v>
      </c>
      <c r="D301" t="s">
        <v>46</v>
      </c>
      <c r="E301" t="s">
        <v>37</v>
      </c>
      <c r="F301">
        <v>1600</v>
      </c>
      <c r="G301">
        <v>2600</v>
      </c>
      <c r="H301">
        <v>100</v>
      </c>
      <c r="I301" s="1">
        <f t="shared" si="4"/>
        <v>416</v>
      </c>
      <c r="J301">
        <v>379.52</v>
      </c>
      <c r="K301" s="1">
        <v>10400</v>
      </c>
      <c r="L301" s="1">
        <v>168280.32000000001</v>
      </c>
      <c r="M301" s="1" t="s">
        <v>149</v>
      </c>
      <c r="N301" s="1"/>
      <c r="O301" s="1"/>
      <c r="P301" s="1"/>
      <c r="Q301" s="62"/>
      <c r="X301">
        <v>2023</v>
      </c>
    </row>
    <row r="302" spans="1:24" x14ac:dyDescent="0.25">
      <c r="A302" t="s">
        <v>591</v>
      </c>
      <c r="B302" s="52">
        <v>45156</v>
      </c>
      <c r="C302" t="s">
        <v>592</v>
      </c>
      <c r="D302" t="s">
        <v>46</v>
      </c>
      <c r="E302" t="s">
        <v>37</v>
      </c>
      <c r="F302">
        <v>1870</v>
      </c>
      <c r="G302">
        <v>1650</v>
      </c>
      <c r="H302">
        <v>200</v>
      </c>
      <c r="I302" s="1">
        <f t="shared" si="4"/>
        <v>617.1</v>
      </c>
      <c r="J302">
        <v>361.98</v>
      </c>
      <c r="K302" s="1">
        <v>15427.5</v>
      </c>
      <c r="L302" s="1">
        <v>241105.36</v>
      </c>
      <c r="M302" s="1" t="s">
        <v>149</v>
      </c>
      <c r="N302" s="1"/>
      <c r="O302" s="1"/>
      <c r="P302" s="1"/>
      <c r="Q302" s="62"/>
      <c r="X302">
        <v>2023</v>
      </c>
    </row>
    <row r="303" spans="1:24" x14ac:dyDescent="0.25">
      <c r="A303" t="s">
        <v>593</v>
      </c>
      <c r="B303" s="52">
        <v>45156</v>
      </c>
      <c r="C303" t="s">
        <v>592</v>
      </c>
      <c r="D303" t="s">
        <v>46</v>
      </c>
      <c r="E303" t="s">
        <v>37</v>
      </c>
      <c r="F303">
        <v>1500</v>
      </c>
      <c r="G303">
        <v>2400</v>
      </c>
      <c r="H303">
        <v>30</v>
      </c>
      <c r="I303" s="1">
        <f t="shared" si="4"/>
        <v>108</v>
      </c>
      <c r="J303">
        <v>410.63</v>
      </c>
      <c r="K303" s="1">
        <v>2700</v>
      </c>
      <c r="L303" s="1">
        <v>47048.04</v>
      </c>
      <c r="M303" s="1" t="s">
        <v>149</v>
      </c>
      <c r="N303" s="1"/>
      <c r="O303" s="1"/>
      <c r="P303" s="1"/>
      <c r="Q303" s="62"/>
      <c r="X303">
        <v>2023</v>
      </c>
    </row>
    <row r="304" spans="1:24" x14ac:dyDescent="0.25">
      <c r="A304" t="s">
        <v>594</v>
      </c>
      <c r="B304" s="52">
        <v>45154</v>
      </c>
      <c r="C304" t="s">
        <v>595</v>
      </c>
      <c r="D304" t="s">
        <v>359</v>
      </c>
      <c r="E304" t="s">
        <v>32</v>
      </c>
      <c r="F304">
        <v>1000</v>
      </c>
      <c r="G304">
        <v>1000</v>
      </c>
      <c r="H304">
        <v>5</v>
      </c>
      <c r="I304" s="1">
        <f t="shared" si="4"/>
        <v>5</v>
      </c>
      <c r="J304" s="1">
        <v>600</v>
      </c>
      <c r="K304" s="1">
        <v>375</v>
      </c>
      <c r="L304" s="1">
        <v>3650</v>
      </c>
      <c r="M304" s="1" t="s">
        <v>149</v>
      </c>
      <c r="N304" s="1"/>
      <c r="O304" s="1"/>
      <c r="P304" s="1" t="s">
        <v>149</v>
      </c>
      <c r="Q304" s="62">
        <v>45196</v>
      </c>
      <c r="X304">
        <v>2023</v>
      </c>
    </row>
    <row r="305" spans="1:24" x14ac:dyDescent="0.25">
      <c r="A305" t="s">
        <v>596</v>
      </c>
      <c r="B305" s="52">
        <v>45149</v>
      </c>
      <c r="C305" t="s">
        <v>597</v>
      </c>
      <c r="D305" t="s">
        <v>31</v>
      </c>
      <c r="E305" t="s">
        <v>32</v>
      </c>
      <c r="F305">
        <v>1000</v>
      </c>
      <c r="G305">
        <v>1000</v>
      </c>
      <c r="H305">
        <v>5</v>
      </c>
      <c r="I305" s="1">
        <f t="shared" si="4"/>
        <v>5</v>
      </c>
      <c r="J305" s="1">
        <v>600</v>
      </c>
      <c r="K305" s="1">
        <v>375</v>
      </c>
      <c r="L305" s="1">
        <v>3650</v>
      </c>
      <c r="M305" s="1" t="s">
        <v>149</v>
      </c>
      <c r="N305" s="1"/>
      <c r="O305" s="1"/>
      <c r="P305" s="1"/>
      <c r="Q305" s="62"/>
      <c r="X305">
        <v>2023</v>
      </c>
    </row>
    <row r="306" spans="1:24" x14ac:dyDescent="0.25">
      <c r="A306" t="s">
        <v>598</v>
      </c>
      <c r="B306" s="52">
        <v>45149</v>
      </c>
      <c r="C306" t="s">
        <v>599</v>
      </c>
      <c r="D306" t="s">
        <v>57</v>
      </c>
      <c r="E306" t="s">
        <v>27</v>
      </c>
      <c r="F306">
        <v>1000</v>
      </c>
      <c r="G306">
        <v>1000</v>
      </c>
      <c r="H306">
        <v>5</v>
      </c>
      <c r="I306" s="1">
        <f t="shared" si="4"/>
        <v>5</v>
      </c>
      <c r="J306" s="1">
        <v>440</v>
      </c>
      <c r="K306" s="1">
        <v>375</v>
      </c>
      <c r="L306" s="1">
        <v>2700</v>
      </c>
      <c r="M306" s="1" t="s">
        <v>149</v>
      </c>
      <c r="N306" s="1"/>
      <c r="O306" s="1"/>
      <c r="P306" s="1"/>
      <c r="Q306" s="62"/>
      <c r="X306">
        <v>2023</v>
      </c>
    </row>
    <row r="307" spans="1:24" x14ac:dyDescent="0.25">
      <c r="A307" t="s">
        <v>600</v>
      </c>
      <c r="B307" s="52">
        <v>45156</v>
      </c>
      <c r="C307" t="s">
        <v>474</v>
      </c>
      <c r="D307" t="s">
        <v>100</v>
      </c>
      <c r="E307" t="s">
        <v>32</v>
      </c>
      <c r="F307">
        <v>600</v>
      </c>
      <c r="G307">
        <v>600</v>
      </c>
      <c r="H307">
        <v>56</v>
      </c>
      <c r="I307" s="1">
        <f t="shared" si="4"/>
        <v>20.16</v>
      </c>
      <c r="J307" s="1">
        <v>543.30999999999995</v>
      </c>
      <c r="K307" s="1">
        <v>1500</v>
      </c>
      <c r="L307" s="15">
        <v>12578.13</v>
      </c>
      <c r="M307" s="1" t="s">
        <v>149</v>
      </c>
      <c r="N307" s="1"/>
      <c r="O307" s="1"/>
      <c r="P307" s="1"/>
      <c r="Q307" s="62"/>
      <c r="X307">
        <v>2023</v>
      </c>
    </row>
    <row r="308" spans="1:24" x14ac:dyDescent="0.25">
      <c r="A308" t="s">
        <v>601</v>
      </c>
      <c r="B308" s="52">
        <v>45156</v>
      </c>
      <c r="C308" t="s">
        <v>474</v>
      </c>
      <c r="D308" t="s">
        <v>100</v>
      </c>
      <c r="E308" t="s">
        <v>32</v>
      </c>
      <c r="F308">
        <v>1700</v>
      </c>
      <c r="G308">
        <v>1700</v>
      </c>
      <c r="H308">
        <v>7</v>
      </c>
      <c r="I308" s="1">
        <f t="shared" si="4"/>
        <v>20.23</v>
      </c>
      <c r="J308" s="1">
        <v>542.99</v>
      </c>
      <c r="K308" s="1">
        <v>1500</v>
      </c>
      <c r="L308" s="15">
        <v>12909.69</v>
      </c>
      <c r="M308" s="1" t="s">
        <v>149</v>
      </c>
      <c r="N308" s="1"/>
      <c r="O308" s="1"/>
      <c r="P308" s="1"/>
      <c r="Q308" s="62"/>
      <c r="X308">
        <v>2023</v>
      </c>
    </row>
    <row r="309" spans="1:24" x14ac:dyDescent="0.25">
      <c r="A309" t="s">
        <v>602</v>
      </c>
      <c r="B309" s="52">
        <v>45154</v>
      </c>
      <c r="C309" t="s">
        <v>603</v>
      </c>
      <c r="D309" t="s">
        <v>604</v>
      </c>
      <c r="E309" t="s">
        <v>27</v>
      </c>
      <c r="F309">
        <v>1000</v>
      </c>
      <c r="G309">
        <v>1000</v>
      </c>
      <c r="H309">
        <v>5</v>
      </c>
      <c r="I309" s="1">
        <f t="shared" si="4"/>
        <v>5</v>
      </c>
      <c r="J309" s="1">
        <v>400</v>
      </c>
      <c r="K309" s="1">
        <v>375</v>
      </c>
      <c r="L309" s="1">
        <v>2450</v>
      </c>
      <c r="M309" s="1" t="s">
        <v>149</v>
      </c>
      <c r="N309" s="1"/>
      <c r="O309" s="1"/>
      <c r="P309" s="1"/>
      <c r="Q309" s="62"/>
      <c r="X309">
        <v>2023</v>
      </c>
    </row>
    <row r="310" spans="1:24" x14ac:dyDescent="0.25">
      <c r="A310" t="s">
        <v>605</v>
      </c>
      <c r="B310" s="52">
        <v>45154</v>
      </c>
      <c r="C310" t="s">
        <v>606</v>
      </c>
      <c r="D310" t="s">
        <v>100</v>
      </c>
      <c r="E310" t="s">
        <v>27</v>
      </c>
      <c r="F310">
        <v>1000</v>
      </c>
      <c r="G310">
        <v>1000</v>
      </c>
      <c r="H310">
        <v>5</v>
      </c>
      <c r="I310" s="1">
        <f t="shared" si="4"/>
        <v>5</v>
      </c>
      <c r="J310" s="1">
        <v>400</v>
      </c>
      <c r="K310" s="1">
        <v>375</v>
      </c>
      <c r="L310" s="1">
        <v>2500</v>
      </c>
      <c r="M310" s="1" t="s">
        <v>149</v>
      </c>
      <c r="N310" s="1"/>
      <c r="O310" s="1"/>
      <c r="P310" s="1"/>
      <c r="Q310" s="62"/>
      <c r="X310">
        <v>2023</v>
      </c>
    </row>
    <row r="311" spans="1:24" x14ac:dyDescent="0.25">
      <c r="A311" t="s">
        <v>607</v>
      </c>
      <c r="B311" s="52">
        <v>45154</v>
      </c>
      <c r="C311" t="s">
        <v>289</v>
      </c>
      <c r="D311" t="s">
        <v>100</v>
      </c>
      <c r="E311" t="s">
        <v>37</v>
      </c>
      <c r="F311">
        <v>1000</v>
      </c>
      <c r="G311">
        <v>1000</v>
      </c>
      <c r="H311">
        <v>5</v>
      </c>
      <c r="I311" s="1">
        <f t="shared" si="4"/>
        <v>5</v>
      </c>
      <c r="J311" s="1">
        <v>500</v>
      </c>
      <c r="K311" s="1">
        <v>375</v>
      </c>
      <c r="L311" s="1">
        <v>3000</v>
      </c>
      <c r="M311" s="1" t="s">
        <v>149</v>
      </c>
      <c r="N311" s="1"/>
      <c r="O311" s="1"/>
      <c r="P311" s="1"/>
      <c r="Q311" s="62"/>
      <c r="X311">
        <v>2023</v>
      </c>
    </row>
    <row r="312" spans="1:24" x14ac:dyDescent="0.25">
      <c r="A312" t="s">
        <v>608</v>
      </c>
      <c r="B312" s="52">
        <v>45156</v>
      </c>
      <c r="C312" t="s">
        <v>609</v>
      </c>
      <c r="D312" t="s">
        <v>100</v>
      </c>
      <c r="E312" t="s">
        <v>37</v>
      </c>
      <c r="F312">
        <v>1000</v>
      </c>
      <c r="G312">
        <v>1000</v>
      </c>
      <c r="H312">
        <v>20</v>
      </c>
      <c r="I312" s="1">
        <f t="shared" si="4"/>
        <v>20</v>
      </c>
      <c r="J312" s="1">
        <v>438.23</v>
      </c>
      <c r="K312" s="1">
        <v>1500</v>
      </c>
      <c r="L312" s="15">
        <v>10499.6</v>
      </c>
      <c r="M312" s="1" t="s">
        <v>149</v>
      </c>
      <c r="N312" s="1"/>
      <c r="O312" s="1"/>
      <c r="P312" s="1"/>
      <c r="Q312" s="62"/>
      <c r="X312">
        <v>2023</v>
      </c>
    </row>
    <row r="313" spans="1:24" x14ac:dyDescent="0.25">
      <c r="A313" t="s">
        <v>610</v>
      </c>
      <c r="B313" s="52">
        <v>45156</v>
      </c>
      <c r="C313" t="s">
        <v>514</v>
      </c>
      <c r="D313" t="s">
        <v>157</v>
      </c>
      <c r="E313" t="s">
        <v>37</v>
      </c>
      <c r="F313">
        <v>900</v>
      </c>
      <c r="G313">
        <v>900</v>
      </c>
      <c r="H313">
        <v>25</v>
      </c>
      <c r="I313" s="1">
        <f t="shared" si="4"/>
        <v>20.25</v>
      </c>
      <c r="J313" s="1">
        <v>437.26</v>
      </c>
      <c r="K313" s="1">
        <v>1500</v>
      </c>
      <c r="L313" s="1">
        <v>10634.52</v>
      </c>
      <c r="M313" s="1" t="s">
        <v>149</v>
      </c>
      <c r="N313" s="1"/>
      <c r="O313" s="1"/>
      <c r="P313" s="1"/>
      <c r="Q313" s="62"/>
      <c r="X313">
        <v>2023</v>
      </c>
    </row>
    <row r="314" spans="1:24" x14ac:dyDescent="0.25">
      <c r="A314" t="s">
        <v>611</v>
      </c>
      <c r="B314" s="52">
        <v>45156</v>
      </c>
      <c r="C314" t="s">
        <v>612</v>
      </c>
      <c r="D314" t="s">
        <v>57</v>
      </c>
      <c r="E314" t="s">
        <v>27</v>
      </c>
      <c r="F314">
        <v>1000</v>
      </c>
      <c r="G314">
        <v>1000</v>
      </c>
      <c r="H314">
        <v>5</v>
      </c>
      <c r="I314" s="1">
        <f t="shared" si="4"/>
        <v>5</v>
      </c>
      <c r="J314" s="1">
        <v>440</v>
      </c>
      <c r="K314" s="1">
        <v>375</v>
      </c>
      <c r="L314" s="1">
        <v>2700</v>
      </c>
      <c r="M314" s="1" t="s">
        <v>149</v>
      </c>
      <c r="N314" s="1"/>
      <c r="O314" s="1"/>
      <c r="P314" s="1"/>
      <c r="Q314" s="62"/>
      <c r="X314">
        <v>2023</v>
      </c>
    </row>
    <row r="315" spans="1:24" x14ac:dyDescent="0.25">
      <c r="A315" t="s">
        <v>613</v>
      </c>
      <c r="B315" s="52">
        <v>45160</v>
      </c>
      <c r="C315" t="s">
        <v>500</v>
      </c>
      <c r="D315" t="s">
        <v>336</v>
      </c>
      <c r="E315" t="s">
        <v>32</v>
      </c>
      <c r="F315">
        <v>1000</v>
      </c>
      <c r="G315">
        <v>1000</v>
      </c>
      <c r="H315">
        <v>5</v>
      </c>
      <c r="I315" s="1">
        <f t="shared" si="4"/>
        <v>5</v>
      </c>
      <c r="J315" s="1">
        <v>600</v>
      </c>
      <c r="K315" s="1">
        <v>375</v>
      </c>
      <c r="L315" s="1">
        <v>3650</v>
      </c>
      <c r="M315" s="1" t="s">
        <v>149</v>
      </c>
      <c r="N315" s="1"/>
      <c r="O315" s="1"/>
      <c r="P315" s="1"/>
      <c r="Q315" s="62"/>
      <c r="X315">
        <v>2023</v>
      </c>
    </row>
    <row r="316" spans="1:24" x14ac:dyDescent="0.25">
      <c r="A316" t="s">
        <v>614</v>
      </c>
      <c r="B316" s="52">
        <v>45174</v>
      </c>
      <c r="C316" t="s">
        <v>508</v>
      </c>
      <c r="D316" t="s">
        <v>31</v>
      </c>
      <c r="E316" t="s">
        <v>32</v>
      </c>
      <c r="F316">
        <v>1508</v>
      </c>
      <c r="G316">
        <v>1508</v>
      </c>
      <c r="H316">
        <v>20</v>
      </c>
      <c r="I316" s="1">
        <f t="shared" si="4"/>
        <v>45.481279999999998</v>
      </c>
      <c r="J316" s="1">
        <v>490.28</v>
      </c>
      <c r="K316" s="1">
        <v>2274</v>
      </c>
      <c r="L316" s="1">
        <v>24801.93</v>
      </c>
      <c r="M316" s="1" t="s">
        <v>149</v>
      </c>
      <c r="N316" s="1"/>
      <c r="O316" s="1"/>
      <c r="P316" s="1" t="s">
        <v>149</v>
      </c>
      <c r="Q316" s="62">
        <v>45268</v>
      </c>
      <c r="X316">
        <v>2023</v>
      </c>
    </row>
    <row r="317" spans="1:24" x14ac:dyDescent="0.25">
      <c r="A317" t="s">
        <v>615</v>
      </c>
      <c r="B317" s="52">
        <v>45174</v>
      </c>
      <c r="C317" t="s">
        <v>443</v>
      </c>
      <c r="D317" t="s">
        <v>52</v>
      </c>
      <c r="E317" t="s">
        <v>37</v>
      </c>
      <c r="F317">
        <v>637</v>
      </c>
      <c r="G317">
        <v>637</v>
      </c>
      <c r="H317">
        <v>1500</v>
      </c>
      <c r="I317" s="1">
        <f t="shared" si="4"/>
        <v>608.65350000000001</v>
      </c>
      <c r="J317">
        <v>250</v>
      </c>
      <c r="K317" s="1">
        <v>7605</v>
      </c>
      <c r="L317" s="1">
        <v>160165</v>
      </c>
      <c r="M317" s="1" t="s">
        <v>449</v>
      </c>
      <c r="N317" s="1" t="s">
        <v>149</v>
      </c>
      <c r="O317" s="1"/>
      <c r="P317" s="1"/>
      <c r="Q317" s="62"/>
      <c r="X317">
        <v>2023</v>
      </c>
    </row>
    <row r="318" spans="1:24" x14ac:dyDescent="0.25">
      <c r="A318" t="s">
        <v>616</v>
      </c>
      <c r="B318" s="52">
        <v>45174</v>
      </c>
      <c r="C318" t="s">
        <v>69</v>
      </c>
      <c r="D318" t="s">
        <v>70</v>
      </c>
      <c r="E318" t="s">
        <v>27</v>
      </c>
      <c r="F318">
        <v>1033.9000000000001</v>
      </c>
      <c r="G318">
        <v>870.8</v>
      </c>
      <c r="H318">
        <v>1150</v>
      </c>
      <c r="I318" s="1">
        <f t="shared" si="4"/>
        <v>1035.368138</v>
      </c>
      <c r="J318">
        <v>220</v>
      </c>
      <c r="K318" s="1">
        <v>25884.25</v>
      </c>
      <c r="L318" s="1">
        <v>253945.65</v>
      </c>
      <c r="M318" s="1" t="s">
        <v>149</v>
      </c>
      <c r="N318" s="1"/>
      <c r="O318" s="1"/>
      <c r="P318" s="1"/>
      <c r="Q318" s="62"/>
      <c r="X318">
        <v>2023</v>
      </c>
    </row>
    <row r="319" spans="1:24" x14ac:dyDescent="0.25">
      <c r="A319" t="s">
        <v>617</v>
      </c>
      <c r="B319" s="52">
        <v>45174</v>
      </c>
      <c r="C319" t="s">
        <v>115</v>
      </c>
      <c r="D319" t="s">
        <v>31</v>
      </c>
      <c r="E319" t="s">
        <v>32</v>
      </c>
      <c r="F319">
        <v>132</v>
      </c>
      <c r="G319">
        <v>132</v>
      </c>
      <c r="H319">
        <v>24</v>
      </c>
      <c r="I319" s="1">
        <f t="shared" si="4"/>
        <v>0.41817599999999999</v>
      </c>
      <c r="J319">
        <v>230</v>
      </c>
      <c r="K319" s="1">
        <v>375</v>
      </c>
      <c r="L319" s="1">
        <v>546.6</v>
      </c>
      <c r="M319" s="1" t="s">
        <v>149</v>
      </c>
      <c r="N319" s="1"/>
      <c r="O319" s="1"/>
      <c r="P319" s="1" t="s">
        <v>149</v>
      </c>
      <c r="Q319" s="62">
        <v>45175</v>
      </c>
      <c r="X319">
        <v>2023</v>
      </c>
    </row>
    <row r="320" spans="1:24" x14ac:dyDescent="0.25">
      <c r="A320" t="s">
        <v>618</v>
      </c>
      <c r="B320" s="52">
        <v>45174</v>
      </c>
      <c r="C320" t="s">
        <v>115</v>
      </c>
      <c r="D320" t="s">
        <v>31</v>
      </c>
      <c r="E320" t="s">
        <v>32</v>
      </c>
      <c r="F320">
        <v>125</v>
      </c>
      <c r="G320">
        <v>125</v>
      </c>
      <c r="H320">
        <v>24</v>
      </c>
      <c r="I320" s="1">
        <f t="shared" si="4"/>
        <v>0.375</v>
      </c>
      <c r="J320">
        <v>230</v>
      </c>
      <c r="K320" s="1">
        <v>375</v>
      </c>
      <c r="L320" s="1">
        <v>537.4</v>
      </c>
      <c r="M320" s="1" t="s">
        <v>149</v>
      </c>
      <c r="N320" s="1"/>
      <c r="O320" s="1"/>
      <c r="P320" s="1" t="s">
        <v>149</v>
      </c>
      <c r="Q320" s="62">
        <v>45175</v>
      </c>
      <c r="X320">
        <v>2023</v>
      </c>
    </row>
    <row r="321" spans="1:24" x14ac:dyDescent="0.25">
      <c r="A321" t="s">
        <v>619</v>
      </c>
      <c r="B321" s="52">
        <v>45183</v>
      </c>
      <c r="C321" s="16" t="s">
        <v>620</v>
      </c>
      <c r="D321" t="s">
        <v>336</v>
      </c>
      <c r="E321" t="s">
        <v>27</v>
      </c>
      <c r="F321">
        <v>1550</v>
      </c>
      <c r="G321">
        <v>1550</v>
      </c>
      <c r="H321">
        <v>35</v>
      </c>
      <c r="I321" s="1">
        <f t="shared" si="4"/>
        <v>84.087500000000006</v>
      </c>
      <c r="J321">
        <v>291.76</v>
      </c>
      <c r="K321" s="1">
        <v>2102.25</v>
      </c>
      <c r="L321" s="1"/>
      <c r="M321" s="1" t="s">
        <v>149</v>
      </c>
      <c r="N321" s="1"/>
      <c r="O321" s="1"/>
      <c r="P321" s="1"/>
      <c r="Q321" s="62"/>
      <c r="X321">
        <v>2023</v>
      </c>
    </row>
    <row r="322" spans="1:24" x14ac:dyDescent="0.25">
      <c r="A322" t="s">
        <v>621</v>
      </c>
      <c r="B322" s="52">
        <v>45174</v>
      </c>
      <c r="C322" t="s">
        <v>195</v>
      </c>
      <c r="D322" t="s">
        <v>46</v>
      </c>
      <c r="E322" t="s">
        <v>27</v>
      </c>
      <c r="F322">
        <v>1300</v>
      </c>
      <c r="G322">
        <v>2400</v>
      </c>
      <c r="H322">
        <v>13</v>
      </c>
      <c r="I322" s="1">
        <f t="shared" ref="I322:I385" si="5">$F322*$G322*$H322/1000000</f>
        <v>40.56</v>
      </c>
      <c r="J322">
        <v>337.63</v>
      </c>
      <c r="K322" s="1">
        <v>2028</v>
      </c>
      <c r="L322" s="1">
        <v>15722.27</v>
      </c>
      <c r="M322" s="1" t="s">
        <v>149</v>
      </c>
      <c r="N322" s="1"/>
      <c r="O322" s="1"/>
      <c r="P322" s="1"/>
      <c r="Q322" s="62"/>
      <c r="X322">
        <v>2023</v>
      </c>
    </row>
    <row r="323" spans="1:24" x14ac:dyDescent="0.25">
      <c r="A323" t="s">
        <v>622</v>
      </c>
      <c r="B323" s="52">
        <v>45180</v>
      </c>
      <c r="C323" t="s">
        <v>169</v>
      </c>
      <c r="D323" t="s">
        <v>103</v>
      </c>
      <c r="E323" t="s">
        <v>27</v>
      </c>
      <c r="F323">
        <v>1200</v>
      </c>
      <c r="G323">
        <v>1200</v>
      </c>
      <c r="H323">
        <v>50</v>
      </c>
      <c r="I323" s="1">
        <f t="shared" si="5"/>
        <v>72</v>
      </c>
      <c r="J323">
        <v>294.14</v>
      </c>
      <c r="K323" s="1">
        <v>2500</v>
      </c>
      <c r="L323" s="1">
        <v>24038.038</v>
      </c>
      <c r="M323" s="1" t="s">
        <v>149</v>
      </c>
      <c r="N323" s="1"/>
      <c r="O323" s="1"/>
      <c r="P323" s="1" t="s">
        <v>149</v>
      </c>
      <c r="Q323" s="62">
        <v>45190</v>
      </c>
      <c r="X323">
        <v>2023</v>
      </c>
    </row>
    <row r="324" spans="1:24" x14ac:dyDescent="0.25">
      <c r="A324" t="s">
        <v>623</v>
      </c>
      <c r="B324" s="52">
        <v>45180</v>
      </c>
      <c r="C324" t="s">
        <v>45</v>
      </c>
      <c r="D324" t="s">
        <v>46</v>
      </c>
      <c r="E324" t="s">
        <v>27</v>
      </c>
      <c r="F324">
        <v>1750</v>
      </c>
      <c r="G324">
        <v>1750</v>
      </c>
      <c r="H324">
        <v>65</v>
      </c>
      <c r="I324" s="1">
        <f t="shared" si="5"/>
        <v>199.0625</v>
      </c>
      <c r="J324">
        <v>273.70999999999998</v>
      </c>
      <c r="K324" s="1">
        <v>4976.5</v>
      </c>
      <c r="L324" s="1">
        <v>59461.21</v>
      </c>
      <c r="M324" s="1" t="s">
        <v>149</v>
      </c>
      <c r="N324" s="1"/>
      <c r="O324" s="1"/>
      <c r="P324" s="1"/>
      <c r="Q324" s="62"/>
      <c r="X324">
        <v>2023</v>
      </c>
    </row>
    <row r="325" spans="1:24" x14ac:dyDescent="0.25">
      <c r="A325" t="s">
        <v>624</v>
      </c>
      <c r="C325" t="s">
        <v>115</v>
      </c>
      <c r="D325" t="s">
        <v>31</v>
      </c>
      <c r="E325" t="s">
        <v>32</v>
      </c>
      <c r="F325">
        <v>1262</v>
      </c>
      <c r="G325">
        <v>2410</v>
      </c>
      <c r="H325">
        <v>30</v>
      </c>
      <c r="I325" s="1">
        <f t="shared" si="5"/>
        <v>91.242599999999996</v>
      </c>
      <c r="K325" s="1"/>
      <c r="L325" s="1"/>
      <c r="M325" s="1"/>
      <c r="N325" s="1"/>
      <c r="O325" s="1"/>
      <c r="P325" s="1"/>
      <c r="Q325" s="62"/>
      <c r="X325">
        <v>2023</v>
      </c>
    </row>
    <row r="326" spans="1:24" x14ac:dyDescent="0.25">
      <c r="A326" t="s">
        <v>625</v>
      </c>
      <c r="B326" s="52">
        <v>45184</v>
      </c>
      <c r="C326" t="s">
        <v>35</v>
      </c>
      <c r="D326" t="s">
        <v>36</v>
      </c>
      <c r="E326" t="s">
        <v>32</v>
      </c>
      <c r="F326">
        <v>1500</v>
      </c>
      <c r="G326">
        <v>1500</v>
      </c>
      <c r="H326">
        <v>600</v>
      </c>
      <c r="I326" s="1">
        <f t="shared" si="5"/>
        <v>1350</v>
      </c>
      <c r="J326">
        <v>350</v>
      </c>
      <c r="K326" s="1">
        <v>33750</v>
      </c>
      <c r="L326" s="1">
        <v>506250</v>
      </c>
      <c r="M326" s="1" t="s">
        <v>149</v>
      </c>
      <c r="N326" s="1"/>
      <c r="O326" s="1"/>
      <c r="P326" s="1"/>
      <c r="Q326" s="62"/>
      <c r="X326">
        <v>2023</v>
      </c>
    </row>
    <row r="327" spans="1:24" x14ac:dyDescent="0.25">
      <c r="A327" t="s">
        <v>626</v>
      </c>
      <c r="B327" s="52">
        <v>45184</v>
      </c>
      <c r="C327" t="s">
        <v>35</v>
      </c>
      <c r="D327" t="s">
        <v>36</v>
      </c>
      <c r="E327" t="s">
        <v>32</v>
      </c>
      <c r="F327">
        <v>1500</v>
      </c>
      <c r="G327">
        <v>1500</v>
      </c>
      <c r="H327">
        <v>1500</v>
      </c>
      <c r="I327" s="1">
        <f t="shared" si="5"/>
        <v>3375</v>
      </c>
      <c r="J327">
        <v>325</v>
      </c>
      <c r="K327" s="1">
        <v>84375</v>
      </c>
      <c r="L327" s="1">
        <v>1181250</v>
      </c>
      <c r="M327" s="1" t="s">
        <v>149</v>
      </c>
      <c r="N327" s="1"/>
      <c r="O327" s="1"/>
      <c r="P327" s="1"/>
      <c r="Q327" s="62"/>
      <c r="X327">
        <v>2023</v>
      </c>
    </row>
    <row r="328" spans="1:24" x14ac:dyDescent="0.25">
      <c r="A328" t="s">
        <v>627</v>
      </c>
      <c r="B328" s="52">
        <v>45184</v>
      </c>
      <c r="C328" t="s">
        <v>35</v>
      </c>
      <c r="D328" t="s">
        <v>36</v>
      </c>
      <c r="E328" t="s">
        <v>32</v>
      </c>
      <c r="F328">
        <v>1500</v>
      </c>
      <c r="G328">
        <v>1500</v>
      </c>
      <c r="H328">
        <v>3000</v>
      </c>
      <c r="I328" s="1">
        <f t="shared" si="5"/>
        <v>6750</v>
      </c>
      <c r="J328">
        <v>300</v>
      </c>
      <c r="K328" s="1">
        <v>168750</v>
      </c>
      <c r="L328" s="1">
        <v>2109375</v>
      </c>
      <c r="M328" s="1" t="s">
        <v>149</v>
      </c>
      <c r="N328" s="1"/>
      <c r="O328" s="1"/>
      <c r="P328" s="1"/>
      <c r="Q328" s="62"/>
      <c r="X328">
        <v>2023</v>
      </c>
    </row>
    <row r="329" spans="1:24" x14ac:dyDescent="0.25">
      <c r="A329" t="s">
        <v>628</v>
      </c>
      <c r="B329" s="52">
        <v>45183</v>
      </c>
      <c r="C329" t="s">
        <v>629</v>
      </c>
      <c r="D329" t="s">
        <v>100</v>
      </c>
      <c r="E329" t="s">
        <v>32</v>
      </c>
      <c r="F329">
        <v>1000</v>
      </c>
      <c r="G329">
        <v>1000</v>
      </c>
      <c r="H329">
        <v>5</v>
      </c>
      <c r="I329" s="1">
        <f t="shared" si="5"/>
        <v>5</v>
      </c>
      <c r="J329">
        <v>600</v>
      </c>
      <c r="K329" s="1">
        <v>375</v>
      </c>
      <c r="L329" s="1">
        <v>3650</v>
      </c>
      <c r="M329" s="1" t="s">
        <v>149</v>
      </c>
      <c r="N329" s="1"/>
      <c r="O329" s="1"/>
      <c r="P329" s="1"/>
      <c r="Q329" s="62"/>
      <c r="X329">
        <v>2023</v>
      </c>
    </row>
    <row r="330" spans="1:24" x14ac:dyDescent="0.25">
      <c r="A330" t="s">
        <v>630</v>
      </c>
      <c r="B330" s="52">
        <v>45184</v>
      </c>
      <c r="C330" t="s">
        <v>45</v>
      </c>
      <c r="D330" t="s">
        <v>46</v>
      </c>
      <c r="E330" t="s">
        <v>27</v>
      </c>
      <c r="F330">
        <v>1000</v>
      </c>
      <c r="G330">
        <v>1000</v>
      </c>
      <c r="H330">
        <v>5</v>
      </c>
      <c r="I330" s="1">
        <f t="shared" si="5"/>
        <v>5</v>
      </c>
      <c r="J330">
        <v>400</v>
      </c>
      <c r="K330" s="1">
        <v>375</v>
      </c>
      <c r="L330" s="1">
        <v>5500</v>
      </c>
      <c r="M330" s="1" t="s">
        <v>149</v>
      </c>
      <c r="N330" s="1"/>
      <c r="O330" s="1"/>
      <c r="P330" s="1"/>
      <c r="Q330" s="62"/>
      <c r="X330">
        <v>2023</v>
      </c>
    </row>
    <row r="331" spans="1:24" x14ac:dyDescent="0.25">
      <c r="A331" t="s">
        <v>630</v>
      </c>
      <c r="B331" s="52">
        <v>45184</v>
      </c>
      <c r="C331" t="s">
        <v>45</v>
      </c>
      <c r="D331" t="s">
        <v>46</v>
      </c>
      <c r="E331" t="s">
        <v>37</v>
      </c>
      <c r="F331">
        <v>1000</v>
      </c>
      <c r="G331">
        <v>1000</v>
      </c>
      <c r="H331">
        <v>5</v>
      </c>
      <c r="I331" s="1">
        <f t="shared" si="5"/>
        <v>5</v>
      </c>
      <c r="J331">
        <v>500</v>
      </c>
      <c r="K331" s="1">
        <v>375</v>
      </c>
      <c r="L331" s="1"/>
      <c r="M331" s="1" t="s">
        <v>149</v>
      </c>
      <c r="N331" s="1"/>
      <c r="O331" s="1"/>
      <c r="P331" s="1"/>
      <c r="Q331" s="62"/>
      <c r="X331">
        <v>2023</v>
      </c>
    </row>
    <row r="332" spans="1:24" x14ac:dyDescent="0.25">
      <c r="A332" t="s">
        <v>631</v>
      </c>
      <c r="B332" s="52">
        <v>45184</v>
      </c>
      <c r="C332" t="s">
        <v>632</v>
      </c>
      <c r="D332" t="s">
        <v>31</v>
      </c>
      <c r="E332" t="s">
        <v>27</v>
      </c>
      <c r="F332">
        <v>1002</v>
      </c>
      <c r="G332">
        <v>1222</v>
      </c>
      <c r="H332">
        <v>50</v>
      </c>
      <c r="I332" s="1">
        <f t="shared" si="5"/>
        <v>61.222200000000001</v>
      </c>
      <c r="J332">
        <v>297.04000000000002</v>
      </c>
      <c r="K332" s="1">
        <v>2500</v>
      </c>
      <c r="L332" s="1">
        <v>20759.79</v>
      </c>
      <c r="M332" s="1" t="s">
        <v>149</v>
      </c>
      <c r="N332" s="1"/>
      <c r="O332" s="1"/>
      <c r="P332" s="1"/>
      <c r="Q332" s="62"/>
      <c r="X332">
        <v>2023</v>
      </c>
    </row>
    <row r="333" spans="1:24" x14ac:dyDescent="0.25">
      <c r="A333" t="s">
        <v>633</v>
      </c>
      <c r="B333" s="52">
        <v>45184</v>
      </c>
      <c r="C333" t="s">
        <v>439</v>
      </c>
      <c r="D333" t="s">
        <v>31</v>
      </c>
      <c r="E333" t="s">
        <v>27</v>
      </c>
      <c r="F333">
        <v>1000</v>
      </c>
      <c r="G333">
        <v>1000</v>
      </c>
      <c r="H333">
        <v>5</v>
      </c>
      <c r="I333" s="1">
        <f t="shared" si="5"/>
        <v>5</v>
      </c>
      <c r="J333">
        <v>400</v>
      </c>
      <c r="K333" s="1">
        <v>375</v>
      </c>
      <c r="L333" s="1">
        <v>2450</v>
      </c>
      <c r="M333" s="1" t="s">
        <v>149</v>
      </c>
      <c r="N333" s="1"/>
      <c r="O333" s="1"/>
      <c r="P333" s="1"/>
      <c r="Q333" s="62"/>
      <c r="X333">
        <v>2023</v>
      </c>
    </row>
    <row r="334" spans="1:24" x14ac:dyDescent="0.25">
      <c r="A334" t="s">
        <v>634</v>
      </c>
      <c r="B334" s="52">
        <v>45184</v>
      </c>
      <c r="C334" t="s">
        <v>439</v>
      </c>
      <c r="D334" t="s">
        <v>31</v>
      </c>
      <c r="E334" t="s">
        <v>37</v>
      </c>
      <c r="F334">
        <v>1000</v>
      </c>
      <c r="G334">
        <v>1000</v>
      </c>
      <c r="H334">
        <v>5</v>
      </c>
      <c r="I334" s="1">
        <f t="shared" si="5"/>
        <v>5</v>
      </c>
      <c r="J334">
        <v>500</v>
      </c>
      <c r="K334" s="1">
        <v>375</v>
      </c>
      <c r="L334" s="1">
        <v>2950</v>
      </c>
      <c r="M334" s="1" t="s">
        <v>149</v>
      </c>
      <c r="N334" s="1"/>
      <c r="O334" s="1"/>
      <c r="P334" s="1"/>
      <c r="Q334" s="62"/>
      <c r="X334">
        <v>2023</v>
      </c>
    </row>
    <row r="335" spans="1:24" x14ac:dyDescent="0.25">
      <c r="A335" t="s">
        <v>635</v>
      </c>
      <c r="B335" s="52">
        <v>45184</v>
      </c>
      <c r="C335" t="s">
        <v>439</v>
      </c>
      <c r="D335" t="s">
        <v>31</v>
      </c>
      <c r="E335" t="s">
        <v>32</v>
      </c>
      <c r="F335">
        <v>1000</v>
      </c>
      <c r="G335">
        <v>1000</v>
      </c>
      <c r="H335">
        <v>5</v>
      </c>
      <c r="I335" s="1">
        <f t="shared" si="5"/>
        <v>5</v>
      </c>
      <c r="J335">
        <v>600</v>
      </c>
      <c r="K335" s="1">
        <v>375</v>
      </c>
      <c r="L335" s="1">
        <v>3650</v>
      </c>
      <c r="M335" s="1" t="s">
        <v>149</v>
      </c>
      <c r="N335" s="1"/>
      <c r="O335" s="1"/>
      <c r="P335" s="1"/>
      <c r="Q335" s="62"/>
      <c r="X335">
        <v>2023</v>
      </c>
    </row>
    <row r="336" spans="1:24" x14ac:dyDescent="0.25">
      <c r="A336" t="s">
        <v>636</v>
      </c>
      <c r="B336" s="52">
        <v>45184</v>
      </c>
      <c r="C336" t="s">
        <v>466</v>
      </c>
      <c r="D336" t="s">
        <v>157</v>
      </c>
      <c r="E336" t="s">
        <v>27</v>
      </c>
      <c r="F336">
        <v>1550</v>
      </c>
      <c r="G336">
        <v>1550</v>
      </c>
      <c r="H336">
        <v>40</v>
      </c>
      <c r="I336" s="1">
        <f t="shared" si="5"/>
        <v>96.1</v>
      </c>
      <c r="J336">
        <v>289.99</v>
      </c>
      <c r="K336" s="1">
        <v>2500</v>
      </c>
      <c r="L336" s="1">
        <v>30478.04</v>
      </c>
      <c r="M336" s="1" t="s">
        <v>149</v>
      </c>
      <c r="N336" s="1"/>
      <c r="O336" s="1"/>
      <c r="P336" s="1"/>
      <c r="Q336" s="62"/>
      <c r="X336">
        <v>2023</v>
      </c>
    </row>
    <row r="337" spans="1:24" x14ac:dyDescent="0.25">
      <c r="A337" t="s">
        <v>637</v>
      </c>
      <c r="B337" s="52">
        <v>45184</v>
      </c>
      <c r="C337" t="s">
        <v>638</v>
      </c>
      <c r="D337" t="s">
        <v>57</v>
      </c>
      <c r="E337" t="s">
        <v>27</v>
      </c>
      <c r="F337">
        <v>1000</v>
      </c>
      <c r="G337">
        <v>1000</v>
      </c>
      <c r="H337">
        <v>5</v>
      </c>
      <c r="I337" s="1">
        <f t="shared" si="5"/>
        <v>5</v>
      </c>
      <c r="J337" s="1">
        <v>400</v>
      </c>
      <c r="K337" s="1">
        <v>375</v>
      </c>
      <c r="L337" s="1">
        <v>2500</v>
      </c>
      <c r="M337" s="1" t="s">
        <v>149</v>
      </c>
      <c r="N337" s="1"/>
      <c r="O337" s="1"/>
      <c r="P337" s="1"/>
      <c r="Q337" s="62"/>
      <c r="X337">
        <v>2023</v>
      </c>
    </row>
    <row r="338" spans="1:24" x14ac:dyDescent="0.25">
      <c r="A338" t="s">
        <v>639</v>
      </c>
      <c r="B338" s="32" t="s">
        <v>640</v>
      </c>
      <c r="C338" t="s">
        <v>41</v>
      </c>
      <c r="D338" t="s">
        <v>42</v>
      </c>
      <c r="E338" t="s">
        <v>27</v>
      </c>
      <c r="F338">
        <v>1668</v>
      </c>
      <c r="G338">
        <v>1668</v>
      </c>
      <c r="H338">
        <v>200</v>
      </c>
      <c r="I338" s="1">
        <f t="shared" si="5"/>
        <v>556.44479999999999</v>
      </c>
      <c r="J338" s="1">
        <v>200</v>
      </c>
      <c r="K338" s="1">
        <v>13911</v>
      </c>
      <c r="L338" s="1">
        <v>125199</v>
      </c>
      <c r="M338" s="1" t="s">
        <v>149</v>
      </c>
      <c r="N338" s="1"/>
      <c r="O338" s="1"/>
      <c r="P338" s="1"/>
      <c r="Q338" s="62"/>
      <c r="X338">
        <v>2023</v>
      </c>
    </row>
    <row r="339" spans="1:24" x14ac:dyDescent="0.25">
      <c r="A339" t="s">
        <v>641</v>
      </c>
      <c r="B339" s="52">
        <v>45184</v>
      </c>
      <c r="C339" t="s">
        <v>285</v>
      </c>
      <c r="D339" t="s">
        <v>103</v>
      </c>
      <c r="E339" t="s">
        <v>27</v>
      </c>
      <c r="F339">
        <v>1000</v>
      </c>
      <c r="G339">
        <v>1000</v>
      </c>
      <c r="H339">
        <v>5</v>
      </c>
      <c r="I339" s="1">
        <f t="shared" si="5"/>
        <v>5</v>
      </c>
      <c r="J339" s="1">
        <v>400</v>
      </c>
      <c r="K339" s="1">
        <v>375</v>
      </c>
      <c r="L339" s="1">
        <v>2500</v>
      </c>
      <c r="M339" s="1" t="s">
        <v>149</v>
      </c>
      <c r="N339" s="1"/>
      <c r="O339" s="1"/>
      <c r="P339" s="1"/>
      <c r="Q339" s="62"/>
      <c r="X339">
        <v>2023</v>
      </c>
    </row>
    <row r="340" spans="1:24" x14ac:dyDescent="0.25">
      <c r="A340" t="s">
        <v>642</v>
      </c>
      <c r="B340" s="52">
        <v>45184</v>
      </c>
      <c r="C340" t="s">
        <v>243</v>
      </c>
      <c r="D340" t="s">
        <v>103</v>
      </c>
      <c r="E340" t="s">
        <v>27</v>
      </c>
      <c r="F340">
        <v>1000</v>
      </c>
      <c r="G340">
        <v>1000</v>
      </c>
      <c r="H340">
        <v>15</v>
      </c>
      <c r="I340" s="1">
        <f t="shared" si="5"/>
        <v>15</v>
      </c>
      <c r="J340" s="1">
        <v>343.7</v>
      </c>
      <c r="K340" s="1">
        <v>1125</v>
      </c>
      <c r="L340" s="1">
        <v>6550.5</v>
      </c>
      <c r="M340" s="1" t="s">
        <v>149</v>
      </c>
      <c r="N340" s="1"/>
      <c r="O340" s="1"/>
      <c r="P340" s="1"/>
      <c r="Q340" s="62"/>
      <c r="S340" t="s">
        <v>643</v>
      </c>
      <c r="T340" s="3">
        <v>45196</v>
      </c>
      <c r="U340">
        <v>356.92</v>
      </c>
      <c r="V340">
        <v>750</v>
      </c>
      <c r="W340" s="1">
        <v>4569.2</v>
      </c>
      <c r="X340">
        <v>2023</v>
      </c>
    </row>
    <row r="341" spans="1:24" x14ac:dyDescent="0.25">
      <c r="A341" t="s">
        <v>644</v>
      </c>
      <c r="B341" s="52">
        <v>45184</v>
      </c>
      <c r="C341" t="s">
        <v>645</v>
      </c>
      <c r="D341" t="s">
        <v>103</v>
      </c>
      <c r="E341" t="s">
        <v>27</v>
      </c>
      <c r="F341">
        <v>1000</v>
      </c>
      <c r="G341">
        <v>1000</v>
      </c>
      <c r="H341">
        <v>5</v>
      </c>
      <c r="I341" s="1">
        <f t="shared" si="5"/>
        <v>5</v>
      </c>
      <c r="J341" s="1">
        <v>400</v>
      </c>
      <c r="K341" s="1">
        <v>375</v>
      </c>
      <c r="L341" s="1">
        <v>2500</v>
      </c>
      <c r="M341" s="1" t="s">
        <v>149</v>
      </c>
      <c r="N341" s="1"/>
      <c r="O341" s="1"/>
      <c r="P341" s="1" t="s">
        <v>149</v>
      </c>
      <c r="Q341" s="62">
        <v>45194</v>
      </c>
      <c r="W341" s="1"/>
      <c r="X341">
        <v>2023</v>
      </c>
    </row>
    <row r="342" spans="1:24" x14ac:dyDescent="0.25">
      <c r="A342" t="s">
        <v>646</v>
      </c>
      <c r="B342" s="52">
        <v>45189</v>
      </c>
      <c r="C342" t="s">
        <v>171</v>
      </c>
      <c r="D342" t="s">
        <v>31</v>
      </c>
      <c r="E342" t="s">
        <v>27</v>
      </c>
      <c r="F342">
        <v>1002</v>
      </c>
      <c r="G342">
        <v>1222</v>
      </c>
      <c r="H342">
        <v>85</v>
      </c>
      <c r="I342" s="1">
        <f t="shared" si="5"/>
        <v>104.07774000000001</v>
      </c>
      <c r="J342" s="1">
        <v>288.26</v>
      </c>
      <c r="K342" s="1">
        <v>2602</v>
      </c>
      <c r="L342" s="1">
        <v>32779.1</v>
      </c>
      <c r="M342" s="1" t="s">
        <v>149</v>
      </c>
      <c r="N342" s="1"/>
      <c r="O342" s="1"/>
      <c r="P342" s="1"/>
      <c r="Q342" s="62"/>
      <c r="W342" s="1"/>
      <c r="X342">
        <v>2023</v>
      </c>
    </row>
    <row r="343" spans="1:24" x14ac:dyDescent="0.25">
      <c r="A343" t="s">
        <v>647</v>
      </c>
      <c r="B343" s="52">
        <v>45189</v>
      </c>
      <c r="C343" t="s">
        <v>171</v>
      </c>
      <c r="D343" t="s">
        <v>31</v>
      </c>
      <c r="E343" t="s">
        <v>27</v>
      </c>
      <c r="F343">
        <v>1002</v>
      </c>
      <c r="G343">
        <v>1222</v>
      </c>
      <c r="H343">
        <v>350</v>
      </c>
      <c r="I343" s="1">
        <f t="shared" si="5"/>
        <v>428.55540000000002</v>
      </c>
      <c r="J343" s="1">
        <v>265.18</v>
      </c>
      <c r="K343" s="1">
        <v>10714</v>
      </c>
      <c r="L343" s="1">
        <v>124534.54</v>
      </c>
      <c r="M343" s="1" t="s">
        <v>149</v>
      </c>
      <c r="N343" s="1"/>
      <c r="O343" s="1"/>
      <c r="P343" s="1"/>
      <c r="Q343" s="62"/>
      <c r="W343" s="1"/>
      <c r="X343">
        <v>2023</v>
      </c>
    </row>
    <row r="344" spans="1:24" s="18" customFormat="1" x14ac:dyDescent="0.25">
      <c r="A344" s="18" t="s">
        <v>648</v>
      </c>
      <c r="B344" s="57">
        <v>45189</v>
      </c>
      <c r="C344" s="18" t="s">
        <v>345</v>
      </c>
      <c r="D344" s="18" t="s">
        <v>46</v>
      </c>
      <c r="E344" s="18" t="s">
        <v>27</v>
      </c>
      <c r="F344" s="18">
        <v>1500</v>
      </c>
      <c r="G344" s="18">
        <v>2450</v>
      </c>
      <c r="H344" s="18">
        <v>150</v>
      </c>
      <c r="I344" s="15">
        <f t="shared" si="5"/>
        <v>551.25</v>
      </c>
      <c r="J344" s="15">
        <v>258.74</v>
      </c>
      <c r="K344" s="15">
        <v>13781.25</v>
      </c>
      <c r="L344" s="15">
        <v>156411.68</v>
      </c>
      <c r="M344" s="15" t="s">
        <v>149</v>
      </c>
      <c r="N344" s="15"/>
      <c r="O344" s="1"/>
      <c r="P344" s="15"/>
      <c r="Q344" s="20"/>
      <c r="S344" s="18" t="s">
        <v>649</v>
      </c>
      <c r="T344" s="19">
        <v>45211</v>
      </c>
      <c r="U344" s="15">
        <f>$F344*$G344*$H344/1000000</f>
        <v>551.25</v>
      </c>
      <c r="V344" s="15">
        <v>258.74</v>
      </c>
      <c r="W344" s="15">
        <v>158591.67999999999</v>
      </c>
      <c r="X344" s="18">
        <v>2023</v>
      </c>
    </row>
    <row r="345" spans="1:24" s="18" customFormat="1" x14ac:dyDescent="0.25">
      <c r="A345" s="18" t="s">
        <v>650</v>
      </c>
      <c r="B345" s="57">
        <v>45189</v>
      </c>
      <c r="C345" s="18" t="s">
        <v>345</v>
      </c>
      <c r="D345" s="18" t="s">
        <v>46</v>
      </c>
      <c r="E345" s="18" t="s">
        <v>37</v>
      </c>
      <c r="F345" s="18">
        <v>1500</v>
      </c>
      <c r="G345" s="18">
        <v>2450</v>
      </c>
      <c r="H345" s="18">
        <v>150</v>
      </c>
      <c r="I345" s="15">
        <f t="shared" si="5"/>
        <v>551.25</v>
      </c>
      <c r="J345" s="15">
        <v>336.35</v>
      </c>
      <c r="K345" s="15">
        <v>13781.25</v>
      </c>
      <c r="L345" s="15">
        <v>199194.19</v>
      </c>
      <c r="M345" s="15" t="s">
        <v>149</v>
      </c>
      <c r="N345" s="15"/>
      <c r="O345" s="1"/>
      <c r="P345" s="15"/>
      <c r="Q345" s="20"/>
      <c r="S345" s="18" t="s">
        <v>649</v>
      </c>
      <c r="T345" s="19">
        <v>45211</v>
      </c>
      <c r="U345" s="15">
        <f>$F345*$G345*$H345/1000000</f>
        <v>551.25</v>
      </c>
      <c r="V345" s="15">
        <v>336.35</v>
      </c>
      <c r="W345" s="15">
        <v>201374.19</v>
      </c>
      <c r="X345" s="18">
        <v>2023</v>
      </c>
    </row>
    <row r="346" spans="1:24" x14ac:dyDescent="0.25">
      <c r="A346" t="s">
        <v>651</v>
      </c>
      <c r="B346" s="52">
        <v>45189</v>
      </c>
      <c r="C346" t="s">
        <v>652</v>
      </c>
      <c r="D346" t="s">
        <v>103</v>
      </c>
      <c r="E346" t="s">
        <v>27</v>
      </c>
      <c r="F346">
        <v>1000</v>
      </c>
      <c r="G346">
        <v>1000</v>
      </c>
      <c r="H346">
        <v>5</v>
      </c>
      <c r="I346" s="1">
        <f t="shared" si="5"/>
        <v>5</v>
      </c>
      <c r="J346" s="1">
        <v>400</v>
      </c>
      <c r="K346" s="1">
        <v>375</v>
      </c>
      <c r="L346" s="1">
        <v>2500</v>
      </c>
      <c r="M346" s="1" t="s">
        <v>149</v>
      </c>
      <c r="N346" s="1"/>
      <c r="O346" s="1"/>
      <c r="P346" s="1"/>
      <c r="Q346" s="62"/>
      <c r="W346" s="1"/>
      <c r="X346">
        <v>2023</v>
      </c>
    </row>
    <row r="347" spans="1:24" x14ac:dyDescent="0.25">
      <c r="A347" t="s">
        <v>653</v>
      </c>
      <c r="B347" s="52">
        <v>45189</v>
      </c>
      <c r="C347" t="s">
        <v>652</v>
      </c>
      <c r="D347" t="s">
        <v>103</v>
      </c>
      <c r="E347" t="s">
        <v>27</v>
      </c>
      <c r="F347">
        <v>1200</v>
      </c>
      <c r="G347">
        <v>1200</v>
      </c>
      <c r="H347">
        <v>14</v>
      </c>
      <c r="I347" s="1">
        <f t="shared" si="5"/>
        <v>20.16</v>
      </c>
      <c r="J347" s="1">
        <v>336.62</v>
      </c>
      <c r="K347" s="1">
        <v>1500</v>
      </c>
      <c r="L347" s="1">
        <v>8576.26</v>
      </c>
      <c r="M347" s="1" t="s">
        <v>149</v>
      </c>
      <c r="N347" s="1"/>
      <c r="O347" s="1"/>
      <c r="P347" s="1"/>
      <c r="Q347" s="62"/>
      <c r="W347" s="1"/>
      <c r="X347">
        <v>2023</v>
      </c>
    </row>
    <row r="348" spans="1:24" x14ac:dyDescent="0.25">
      <c r="A348" t="s">
        <v>654</v>
      </c>
      <c r="B348" s="52">
        <v>45189</v>
      </c>
      <c r="C348" t="s">
        <v>56</v>
      </c>
      <c r="D348" t="s">
        <v>57</v>
      </c>
      <c r="E348" t="s">
        <v>27</v>
      </c>
      <c r="F348">
        <v>1200</v>
      </c>
      <c r="G348">
        <v>2400</v>
      </c>
      <c r="H348">
        <v>7</v>
      </c>
      <c r="I348" s="1">
        <f t="shared" si="5"/>
        <v>20.16</v>
      </c>
      <c r="J348" s="1">
        <v>336.62</v>
      </c>
      <c r="K348" s="1">
        <v>1500</v>
      </c>
      <c r="L348" s="1">
        <v>8286.26</v>
      </c>
      <c r="M348" s="1" t="s">
        <v>149</v>
      </c>
      <c r="N348" s="1"/>
      <c r="O348" s="1"/>
      <c r="P348" s="1" t="s">
        <v>149</v>
      </c>
      <c r="Q348" s="62">
        <v>45194</v>
      </c>
      <c r="S348" t="s">
        <v>655</v>
      </c>
      <c r="T348" s="3">
        <v>45191</v>
      </c>
      <c r="U348">
        <v>336.62</v>
      </c>
      <c r="W348" s="1">
        <v>8286.26</v>
      </c>
      <c r="X348">
        <v>2023</v>
      </c>
    </row>
    <row r="349" spans="1:24" x14ac:dyDescent="0.25">
      <c r="A349" t="s">
        <v>656</v>
      </c>
      <c r="B349" s="52">
        <v>45189</v>
      </c>
      <c r="C349" t="s">
        <v>657</v>
      </c>
      <c r="D349" t="s">
        <v>57</v>
      </c>
      <c r="E349" t="s">
        <v>27</v>
      </c>
      <c r="F349">
        <v>1000</v>
      </c>
      <c r="G349">
        <v>1000</v>
      </c>
      <c r="H349">
        <v>5</v>
      </c>
      <c r="I349" s="1">
        <f t="shared" si="5"/>
        <v>5</v>
      </c>
      <c r="J349" s="1">
        <v>400</v>
      </c>
      <c r="K349" s="1">
        <v>375</v>
      </c>
      <c r="L349" s="1">
        <v>2500</v>
      </c>
      <c r="M349" s="1" t="s">
        <v>149</v>
      </c>
      <c r="N349" s="1"/>
      <c r="O349" s="1"/>
      <c r="P349" s="1"/>
      <c r="Q349" s="62"/>
      <c r="X349">
        <v>2023</v>
      </c>
    </row>
    <row r="350" spans="1:24" x14ac:dyDescent="0.25">
      <c r="A350" t="s">
        <v>658</v>
      </c>
      <c r="B350" s="52">
        <v>45191</v>
      </c>
      <c r="C350" t="s">
        <v>109</v>
      </c>
      <c r="D350" t="s">
        <v>36</v>
      </c>
      <c r="E350" t="s">
        <v>32</v>
      </c>
      <c r="F350">
        <v>1127</v>
      </c>
      <c r="G350">
        <v>1500</v>
      </c>
      <c r="H350">
        <v>30</v>
      </c>
      <c r="I350" s="1">
        <f t="shared" si="5"/>
        <v>50.715000000000003</v>
      </c>
      <c r="J350" s="1">
        <v>485.93</v>
      </c>
      <c r="K350" s="1">
        <v>2500</v>
      </c>
      <c r="L350" s="1">
        <v>27566.37</v>
      </c>
      <c r="M350" s="1" t="s">
        <v>149</v>
      </c>
      <c r="N350" s="1"/>
      <c r="O350" s="1"/>
      <c r="P350" s="1"/>
      <c r="Q350" s="62"/>
      <c r="X350">
        <v>2023</v>
      </c>
    </row>
    <row r="351" spans="1:24" x14ac:dyDescent="0.25">
      <c r="A351" t="s">
        <v>659</v>
      </c>
      <c r="B351" s="52">
        <v>45191</v>
      </c>
      <c r="C351" t="s">
        <v>660</v>
      </c>
      <c r="D351" t="s">
        <v>100</v>
      </c>
      <c r="E351" t="s">
        <v>37</v>
      </c>
      <c r="F351">
        <v>570</v>
      </c>
      <c r="G351">
        <v>530</v>
      </c>
      <c r="H351">
        <v>70</v>
      </c>
      <c r="I351" s="1">
        <f t="shared" si="5"/>
        <v>21.146999999999998</v>
      </c>
      <c r="J351" s="1">
        <v>434.01</v>
      </c>
      <c r="K351" s="1">
        <v>1500</v>
      </c>
      <c r="L351" s="1">
        <v>10944.31</v>
      </c>
      <c r="M351" s="1" t="s">
        <v>149</v>
      </c>
      <c r="N351" s="1"/>
      <c r="O351" s="1"/>
      <c r="P351" s="1" t="s">
        <v>149</v>
      </c>
      <c r="Q351" s="62">
        <v>45205</v>
      </c>
      <c r="S351" t="s">
        <v>661</v>
      </c>
      <c r="T351" s="3">
        <v>45205</v>
      </c>
      <c r="U351">
        <v>412.08</v>
      </c>
      <c r="V351" s="1">
        <v>1510.5</v>
      </c>
      <c r="W351" s="1">
        <v>14224.44</v>
      </c>
      <c r="X351">
        <v>2023</v>
      </c>
    </row>
    <row r="352" spans="1:24" x14ac:dyDescent="0.25">
      <c r="A352" t="s">
        <v>662</v>
      </c>
      <c r="B352" s="52">
        <v>45191</v>
      </c>
      <c r="C352" t="s">
        <v>69</v>
      </c>
      <c r="D352" t="s">
        <v>70</v>
      </c>
      <c r="E352" t="s">
        <v>27</v>
      </c>
      <c r="F352">
        <v>1200</v>
      </c>
      <c r="G352">
        <v>1100</v>
      </c>
      <c r="H352">
        <v>30</v>
      </c>
      <c r="I352" s="1">
        <f t="shared" si="5"/>
        <v>39.6</v>
      </c>
      <c r="J352" s="1">
        <v>220</v>
      </c>
      <c r="K352" s="1">
        <v>1980</v>
      </c>
      <c r="L352" s="1">
        <v>10842</v>
      </c>
      <c r="M352" s="1" t="s">
        <v>149</v>
      </c>
      <c r="N352" s="1"/>
      <c r="O352" s="1"/>
      <c r="P352" s="1" t="s">
        <v>149</v>
      </c>
      <c r="Q352" s="62">
        <v>45194</v>
      </c>
      <c r="X352">
        <v>2023</v>
      </c>
    </row>
    <row r="353" spans="1:24" x14ac:dyDescent="0.25">
      <c r="A353" t="s">
        <v>663</v>
      </c>
      <c r="B353" s="52">
        <v>45191</v>
      </c>
      <c r="C353" t="s">
        <v>664</v>
      </c>
      <c r="D353" t="s">
        <v>57</v>
      </c>
      <c r="E353" t="s">
        <v>27</v>
      </c>
      <c r="F353">
        <v>1000</v>
      </c>
      <c r="G353">
        <v>1000</v>
      </c>
      <c r="H353">
        <v>70</v>
      </c>
      <c r="I353" s="1">
        <f t="shared" si="5"/>
        <v>70</v>
      </c>
      <c r="J353" s="1">
        <v>293.47000000000003</v>
      </c>
      <c r="K353" s="1">
        <v>3750</v>
      </c>
      <c r="L353" s="1">
        <v>26010.25</v>
      </c>
      <c r="M353" s="1" t="s">
        <v>149</v>
      </c>
      <c r="N353" s="1"/>
      <c r="O353" s="1"/>
      <c r="P353" s="1"/>
      <c r="Q353" s="62"/>
      <c r="X353">
        <v>2023</v>
      </c>
    </row>
    <row r="354" spans="1:24" x14ac:dyDescent="0.25">
      <c r="A354" t="s">
        <v>665</v>
      </c>
      <c r="B354" s="52">
        <v>45196</v>
      </c>
      <c r="C354" t="s">
        <v>666</v>
      </c>
      <c r="D354" t="s">
        <v>36</v>
      </c>
      <c r="E354" t="s">
        <v>32</v>
      </c>
      <c r="F354">
        <v>990</v>
      </c>
      <c r="G354">
        <v>1240</v>
      </c>
      <c r="H354">
        <v>17</v>
      </c>
      <c r="I354" s="1">
        <f t="shared" si="5"/>
        <v>20.869199999999999</v>
      </c>
      <c r="J354" s="1">
        <v>540.07000000000005</v>
      </c>
      <c r="K354" s="1">
        <v>1500</v>
      </c>
      <c r="L354" s="1">
        <v>12971.26</v>
      </c>
      <c r="M354" s="1" t="s">
        <v>149</v>
      </c>
      <c r="N354" s="1"/>
      <c r="O354" s="1"/>
      <c r="P354" s="1"/>
      <c r="Q354" s="62"/>
      <c r="X354">
        <v>2023</v>
      </c>
    </row>
    <row r="355" spans="1:24" x14ac:dyDescent="0.25">
      <c r="A355" t="s">
        <v>667</v>
      </c>
      <c r="B355" s="52">
        <v>45191</v>
      </c>
      <c r="C355" t="s">
        <v>668</v>
      </c>
      <c r="D355" t="s">
        <v>83</v>
      </c>
      <c r="E355" t="s">
        <v>27</v>
      </c>
      <c r="F355">
        <v>1000</v>
      </c>
      <c r="G355">
        <v>1000</v>
      </c>
      <c r="H355">
        <v>5</v>
      </c>
      <c r="I355" s="1">
        <f t="shared" si="5"/>
        <v>5</v>
      </c>
      <c r="J355" s="1">
        <v>400</v>
      </c>
      <c r="K355" s="1">
        <v>375</v>
      </c>
      <c r="L355" s="1">
        <v>2500</v>
      </c>
      <c r="M355" s="1" t="s">
        <v>149</v>
      </c>
      <c r="N355" s="1"/>
      <c r="O355" s="1"/>
      <c r="P355" s="1"/>
      <c r="Q355" s="62"/>
      <c r="X355">
        <v>2023</v>
      </c>
    </row>
    <row r="356" spans="1:24" x14ac:dyDescent="0.25">
      <c r="A356" t="s">
        <v>669</v>
      </c>
      <c r="B356" s="52">
        <v>45196</v>
      </c>
      <c r="C356" t="s">
        <v>195</v>
      </c>
      <c r="D356" t="s">
        <v>46</v>
      </c>
      <c r="E356" t="s">
        <v>37</v>
      </c>
      <c r="F356">
        <v>1700</v>
      </c>
      <c r="G356">
        <v>1700</v>
      </c>
      <c r="H356">
        <v>300</v>
      </c>
      <c r="I356" s="1">
        <f t="shared" si="5"/>
        <v>867</v>
      </c>
      <c r="J356" s="1">
        <v>311.5</v>
      </c>
      <c r="K356" s="1">
        <v>21675</v>
      </c>
      <c r="L356" s="1">
        <v>291745.5</v>
      </c>
      <c r="M356" s="1" t="s">
        <v>149</v>
      </c>
      <c r="N356" s="1"/>
      <c r="O356" s="1"/>
      <c r="P356" s="1"/>
      <c r="Q356" s="62"/>
      <c r="X356">
        <v>2023</v>
      </c>
    </row>
    <row r="357" spans="1:24" x14ac:dyDescent="0.25">
      <c r="A357" t="s">
        <v>670</v>
      </c>
      <c r="B357" s="52">
        <v>45196</v>
      </c>
      <c r="C357" t="s">
        <v>592</v>
      </c>
      <c r="D357" t="s">
        <v>46</v>
      </c>
      <c r="E357" t="s">
        <v>37</v>
      </c>
      <c r="F357">
        <v>1650</v>
      </c>
      <c r="G357">
        <v>1870</v>
      </c>
      <c r="H357">
        <v>225</v>
      </c>
      <c r="I357" s="1">
        <f t="shared" si="5"/>
        <v>694.23749999999995</v>
      </c>
      <c r="J357" s="1">
        <v>322.3</v>
      </c>
      <c r="K357" s="1">
        <v>17356</v>
      </c>
      <c r="L357" s="1">
        <v>244539.55</v>
      </c>
      <c r="M357" s="1" t="s">
        <v>149</v>
      </c>
      <c r="N357" s="1"/>
      <c r="O357" s="1"/>
      <c r="P357" s="1"/>
      <c r="Q357" s="62"/>
      <c r="X357">
        <v>2023</v>
      </c>
    </row>
    <row r="358" spans="1:24" x14ac:dyDescent="0.25">
      <c r="A358" t="s">
        <v>671</v>
      </c>
      <c r="B358" s="52">
        <v>45201</v>
      </c>
      <c r="C358" t="s">
        <v>672</v>
      </c>
      <c r="D358" t="s">
        <v>97</v>
      </c>
      <c r="E358" t="s">
        <v>27</v>
      </c>
      <c r="F358">
        <v>1000</v>
      </c>
      <c r="G358">
        <v>1000</v>
      </c>
      <c r="H358">
        <v>5</v>
      </c>
      <c r="I358" s="1">
        <f t="shared" si="5"/>
        <v>5</v>
      </c>
      <c r="J358">
        <v>400</v>
      </c>
      <c r="K358">
        <v>375</v>
      </c>
      <c r="L358" s="1">
        <v>2450</v>
      </c>
      <c r="M358" s="1" t="s">
        <v>149</v>
      </c>
      <c r="N358" s="1"/>
      <c r="O358" s="1"/>
      <c r="P358" s="1"/>
      <c r="Q358" s="62"/>
      <c r="X358">
        <v>2023</v>
      </c>
    </row>
    <row r="359" spans="1:24" x14ac:dyDescent="0.25">
      <c r="A359" t="s">
        <v>673</v>
      </c>
      <c r="B359" s="52">
        <v>45201</v>
      </c>
      <c r="C359" t="s">
        <v>672</v>
      </c>
      <c r="D359" t="s">
        <v>97</v>
      </c>
      <c r="E359" t="s">
        <v>27</v>
      </c>
      <c r="F359">
        <v>1000</v>
      </c>
      <c r="G359">
        <v>1000</v>
      </c>
      <c r="H359">
        <v>100</v>
      </c>
      <c r="I359" s="1">
        <f t="shared" si="5"/>
        <v>100</v>
      </c>
      <c r="J359">
        <v>289.5</v>
      </c>
      <c r="K359">
        <v>2500</v>
      </c>
      <c r="L359" s="1">
        <v>31880</v>
      </c>
      <c r="M359" s="1" t="s">
        <v>149</v>
      </c>
      <c r="N359" s="1"/>
      <c r="O359" s="1"/>
      <c r="P359" s="1"/>
      <c r="Q359" s="62"/>
      <c r="X359">
        <v>2023</v>
      </c>
    </row>
    <row r="360" spans="1:24" x14ac:dyDescent="0.25">
      <c r="A360" t="s">
        <v>674</v>
      </c>
      <c r="B360" s="52">
        <v>45196</v>
      </c>
      <c r="C360" t="s">
        <v>675</v>
      </c>
      <c r="D360" t="s">
        <v>46</v>
      </c>
      <c r="E360" t="s">
        <v>27</v>
      </c>
      <c r="F360">
        <v>1000</v>
      </c>
      <c r="G360">
        <v>1000</v>
      </c>
      <c r="H360">
        <v>400</v>
      </c>
      <c r="I360" s="1">
        <f t="shared" si="5"/>
        <v>400</v>
      </c>
      <c r="J360">
        <v>265.70999999999998</v>
      </c>
      <c r="K360" s="1">
        <v>10000</v>
      </c>
      <c r="L360" s="1">
        <v>116284</v>
      </c>
      <c r="M360" s="1" t="s">
        <v>149</v>
      </c>
      <c r="N360" s="1"/>
      <c r="O360" s="1"/>
      <c r="P360" s="1"/>
      <c r="Q360" s="62"/>
      <c r="X360">
        <v>2023</v>
      </c>
    </row>
    <row r="361" spans="1:24" x14ac:dyDescent="0.25">
      <c r="A361" t="s">
        <v>676</v>
      </c>
      <c r="B361" s="52">
        <v>45196</v>
      </c>
      <c r="C361" t="s">
        <v>675</v>
      </c>
      <c r="D361" t="s">
        <v>46</v>
      </c>
      <c r="E361" t="s">
        <v>37</v>
      </c>
      <c r="F361">
        <v>1000</v>
      </c>
      <c r="G361">
        <v>1000</v>
      </c>
      <c r="H361">
        <v>400</v>
      </c>
      <c r="I361" s="1">
        <f t="shared" si="5"/>
        <v>400</v>
      </c>
      <c r="J361">
        <v>345.43</v>
      </c>
      <c r="K361" s="1">
        <v>10000</v>
      </c>
      <c r="L361" s="1">
        <v>148172</v>
      </c>
      <c r="M361" s="1" t="s">
        <v>149</v>
      </c>
      <c r="N361" s="1"/>
      <c r="O361" s="1"/>
      <c r="P361" s="1"/>
      <c r="Q361" s="62"/>
      <c r="X361">
        <v>2023</v>
      </c>
    </row>
    <row r="362" spans="1:24" x14ac:dyDescent="0.25">
      <c r="A362" t="s">
        <v>677</v>
      </c>
      <c r="B362" s="52">
        <v>45197</v>
      </c>
      <c r="C362" t="s">
        <v>652</v>
      </c>
      <c r="D362" t="s">
        <v>103</v>
      </c>
      <c r="E362" t="s">
        <v>32</v>
      </c>
      <c r="F362">
        <v>1000</v>
      </c>
      <c r="G362">
        <v>1000</v>
      </c>
      <c r="H362">
        <v>5</v>
      </c>
      <c r="I362" s="1">
        <f t="shared" si="5"/>
        <v>5</v>
      </c>
      <c r="J362" s="1">
        <v>600</v>
      </c>
      <c r="K362" s="1">
        <v>375</v>
      </c>
      <c r="L362" s="1">
        <v>3650</v>
      </c>
      <c r="M362" s="1" t="s">
        <v>149</v>
      </c>
      <c r="N362" s="1"/>
      <c r="O362" s="1"/>
      <c r="P362" s="1"/>
      <c r="Q362" s="62"/>
      <c r="X362">
        <v>2023</v>
      </c>
    </row>
    <row r="363" spans="1:24" x14ac:dyDescent="0.25">
      <c r="A363" t="s">
        <v>678</v>
      </c>
      <c r="B363" s="52">
        <v>45197</v>
      </c>
      <c r="C363" t="s">
        <v>652</v>
      </c>
      <c r="D363" t="s">
        <v>103</v>
      </c>
      <c r="E363" t="s">
        <v>32</v>
      </c>
      <c r="F363">
        <v>1200</v>
      </c>
      <c r="G363">
        <v>1200</v>
      </c>
      <c r="H363">
        <v>14</v>
      </c>
      <c r="I363" s="1">
        <f t="shared" si="5"/>
        <v>20.16</v>
      </c>
      <c r="J363" s="1">
        <v>543.30999999999995</v>
      </c>
      <c r="K363" s="1">
        <v>1500</v>
      </c>
      <c r="L363" s="1">
        <v>12743.13</v>
      </c>
      <c r="M363" s="1" t="s">
        <v>149</v>
      </c>
      <c r="N363" s="1"/>
      <c r="O363" s="1"/>
      <c r="P363" s="1"/>
      <c r="Q363" s="62"/>
      <c r="X363">
        <v>2023</v>
      </c>
    </row>
    <row r="364" spans="1:24" x14ac:dyDescent="0.25">
      <c r="A364" t="s">
        <v>679</v>
      </c>
      <c r="B364" s="52">
        <v>45202</v>
      </c>
      <c r="C364" t="s">
        <v>680</v>
      </c>
      <c r="D364" t="s">
        <v>57</v>
      </c>
      <c r="E364" t="s">
        <v>27</v>
      </c>
      <c r="F364">
        <v>1000</v>
      </c>
      <c r="G364">
        <v>1000</v>
      </c>
      <c r="H364">
        <v>20</v>
      </c>
      <c r="I364" s="1">
        <f t="shared" si="5"/>
        <v>20</v>
      </c>
      <c r="J364" s="1">
        <v>337.09</v>
      </c>
      <c r="K364" s="1">
        <v>1500</v>
      </c>
      <c r="L364" s="1">
        <v>8241.7999999999993</v>
      </c>
      <c r="M364" s="1" t="s">
        <v>149</v>
      </c>
      <c r="N364" s="1"/>
      <c r="O364" s="1"/>
      <c r="P364" s="1"/>
      <c r="Q364" s="62"/>
      <c r="X364">
        <v>2023</v>
      </c>
    </row>
    <row r="365" spans="1:24" x14ac:dyDescent="0.25">
      <c r="A365" t="s">
        <v>681</v>
      </c>
      <c r="B365" s="52">
        <v>45202</v>
      </c>
      <c r="C365" t="s">
        <v>682</v>
      </c>
      <c r="D365" t="s">
        <v>91</v>
      </c>
      <c r="E365" t="s">
        <v>27</v>
      </c>
      <c r="F365">
        <v>1000</v>
      </c>
      <c r="G365">
        <v>1000</v>
      </c>
      <c r="H365">
        <v>5</v>
      </c>
      <c r="I365" s="1">
        <f t="shared" si="5"/>
        <v>5</v>
      </c>
      <c r="J365" s="1">
        <v>400</v>
      </c>
      <c r="K365" s="1">
        <v>375</v>
      </c>
      <c r="L365" s="1">
        <v>2500</v>
      </c>
      <c r="M365" s="1" t="s">
        <v>149</v>
      </c>
      <c r="N365" s="1"/>
      <c r="O365" s="1"/>
      <c r="P365" s="1"/>
      <c r="Q365" s="62"/>
      <c r="S365" t="s">
        <v>683</v>
      </c>
      <c r="T365" s="3" t="s">
        <v>684</v>
      </c>
      <c r="U365" t="s">
        <v>685</v>
      </c>
      <c r="W365" s="1">
        <v>5475</v>
      </c>
      <c r="X365">
        <v>2023</v>
      </c>
    </row>
    <row r="366" spans="1:24" x14ac:dyDescent="0.25">
      <c r="A366" t="s">
        <v>686</v>
      </c>
      <c r="B366" s="52">
        <v>45202</v>
      </c>
      <c r="C366" t="s">
        <v>682</v>
      </c>
      <c r="D366" t="s">
        <v>91</v>
      </c>
      <c r="E366" t="s">
        <v>37</v>
      </c>
      <c r="F366">
        <v>1000</v>
      </c>
      <c r="G366">
        <v>1000</v>
      </c>
      <c r="H366">
        <v>5</v>
      </c>
      <c r="I366" s="1">
        <f t="shared" si="5"/>
        <v>5</v>
      </c>
      <c r="J366" s="1">
        <v>500</v>
      </c>
      <c r="K366" s="1">
        <v>375</v>
      </c>
      <c r="L366" s="1">
        <v>3000</v>
      </c>
      <c r="M366" s="1" t="s">
        <v>149</v>
      </c>
      <c r="N366" s="1"/>
      <c r="O366" s="1"/>
      <c r="P366" s="1"/>
      <c r="Q366" s="62"/>
      <c r="X366">
        <v>2023</v>
      </c>
    </row>
    <row r="367" spans="1:24" x14ac:dyDescent="0.25">
      <c r="A367" t="s">
        <v>687</v>
      </c>
      <c r="B367" s="52">
        <v>45202</v>
      </c>
      <c r="C367" t="s">
        <v>688</v>
      </c>
      <c r="D367" t="s">
        <v>31</v>
      </c>
      <c r="E367" t="s">
        <v>27</v>
      </c>
      <c r="F367">
        <v>1000</v>
      </c>
      <c r="G367">
        <v>1000</v>
      </c>
      <c r="H367">
        <v>10</v>
      </c>
      <c r="I367" s="1">
        <f t="shared" si="5"/>
        <v>10</v>
      </c>
      <c r="J367" s="1">
        <v>356.92</v>
      </c>
      <c r="K367" s="1">
        <v>750</v>
      </c>
      <c r="L367" s="1">
        <v>4469.2</v>
      </c>
      <c r="M367" s="1" t="s">
        <v>149</v>
      </c>
      <c r="N367" s="1"/>
      <c r="O367" s="1"/>
      <c r="P367" s="1" t="s">
        <v>149</v>
      </c>
      <c r="Q367" s="62">
        <v>45214</v>
      </c>
      <c r="X367">
        <v>2023</v>
      </c>
    </row>
    <row r="368" spans="1:24" x14ac:dyDescent="0.25">
      <c r="A368" t="s">
        <v>689</v>
      </c>
      <c r="B368" s="52">
        <v>45203</v>
      </c>
      <c r="C368" t="s">
        <v>672</v>
      </c>
      <c r="D368" t="s">
        <v>97</v>
      </c>
      <c r="E368" t="s">
        <v>27</v>
      </c>
      <c r="F368">
        <v>1000</v>
      </c>
      <c r="G368">
        <v>1000</v>
      </c>
      <c r="H368">
        <v>250</v>
      </c>
      <c r="I368" s="1">
        <f t="shared" si="5"/>
        <v>250</v>
      </c>
      <c r="J368" s="1">
        <v>270.47000000000003</v>
      </c>
      <c r="K368" s="1">
        <v>6250</v>
      </c>
      <c r="L368" s="1">
        <v>74297.5</v>
      </c>
      <c r="M368" s="1" t="s">
        <v>149</v>
      </c>
      <c r="N368" s="1"/>
      <c r="O368" s="1"/>
      <c r="P368" s="1"/>
      <c r="Q368" s="62"/>
      <c r="X368">
        <v>2023</v>
      </c>
    </row>
    <row r="369" spans="1:24" x14ac:dyDescent="0.25">
      <c r="A369" t="s">
        <v>690</v>
      </c>
      <c r="B369" s="52">
        <v>45202</v>
      </c>
      <c r="C369" t="s">
        <v>680</v>
      </c>
      <c r="D369" t="s">
        <v>57</v>
      </c>
      <c r="E369" t="s">
        <v>27</v>
      </c>
      <c r="F369">
        <v>1000</v>
      </c>
      <c r="G369">
        <v>1000</v>
      </c>
      <c r="H369">
        <v>5</v>
      </c>
      <c r="I369" s="1">
        <f t="shared" si="5"/>
        <v>5</v>
      </c>
      <c r="J369">
        <v>400</v>
      </c>
      <c r="K369" s="1">
        <v>375</v>
      </c>
      <c r="L369" s="1">
        <v>2500</v>
      </c>
      <c r="M369" s="1" t="s">
        <v>149</v>
      </c>
      <c r="N369" s="1"/>
      <c r="O369" s="1"/>
      <c r="P369" s="1"/>
      <c r="Q369" s="62"/>
      <c r="W369" s="1"/>
      <c r="X369">
        <v>2023</v>
      </c>
    </row>
    <row r="370" spans="1:24" x14ac:dyDescent="0.25">
      <c r="A370" t="s">
        <v>691</v>
      </c>
      <c r="B370" s="52">
        <v>45202</v>
      </c>
      <c r="C370" t="s">
        <v>692</v>
      </c>
      <c r="D370" t="s">
        <v>693</v>
      </c>
      <c r="E370" t="s">
        <v>27</v>
      </c>
      <c r="F370">
        <v>1000</v>
      </c>
      <c r="G370">
        <v>1000</v>
      </c>
      <c r="H370">
        <v>40</v>
      </c>
      <c r="I370" s="1">
        <f t="shared" si="5"/>
        <v>40</v>
      </c>
      <c r="J370">
        <v>307.35000000000002</v>
      </c>
      <c r="K370" s="1">
        <v>2000</v>
      </c>
      <c r="L370" s="1">
        <v>14294</v>
      </c>
      <c r="M370" s="1" t="s">
        <v>149</v>
      </c>
      <c r="N370" s="1"/>
      <c r="O370" s="1"/>
      <c r="P370" s="1"/>
      <c r="Q370" s="62"/>
      <c r="S370" t="s">
        <v>694</v>
      </c>
      <c r="T370" s="3">
        <v>45210</v>
      </c>
      <c r="U370">
        <v>337.09</v>
      </c>
      <c r="V370" s="1">
        <v>1500</v>
      </c>
      <c r="W370" s="1">
        <v>8241.7999999999993</v>
      </c>
      <c r="X370">
        <v>2023</v>
      </c>
    </row>
    <row r="371" spans="1:24" x14ac:dyDescent="0.25">
      <c r="A371" t="s">
        <v>695</v>
      </c>
      <c r="B371" s="52">
        <v>45202</v>
      </c>
      <c r="C371" t="s">
        <v>692</v>
      </c>
      <c r="D371" t="s">
        <v>693</v>
      </c>
      <c r="E371" t="s">
        <v>37</v>
      </c>
      <c r="F371">
        <v>1000</v>
      </c>
      <c r="G371">
        <v>1000</v>
      </c>
      <c r="H371">
        <v>40</v>
      </c>
      <c r="I371" s="1">
        <f t="shared" si="5"/>
        <v>40</v>
      </c>
      <c r="J371">
        <v>399.56</v>
      </c>
      <c r="K371" s="1">
        <v>2000</v>
      </c>
      <c r="L371" s="1">
        <v>17982.400000000001</v>
      </c>
      <c r="M371" s="1" t="s">
        <v>149</v>
      </c>
      <c r="N371" s="1"/>
      <c r="O371" s="1"/>
      <c r="P371" s="1"/>
      <c r="Q371" s="62"/>
      <c r="S371" t="s">
        <v>694</v>
      </c>
      <c r="T371" s="3">
        <v>45210</v>
      </c>
      <c r="U371">
        <v>438.23</v>
      </c>
      <c r="V371" s="1">
        <v>1500</v>
      </c>
      <c r="W371" s="1">
        <v>10264.6</v>
      </c>
      <c r="X371">
        <v>2023</v>
      </c>
    </row>
    <row r="372" spans="1:24" x14ac:dyDescent="0.25">
      <c r="A372" t="s">
        <v>696</v>
      </c>
      <c r="B372" s="52">
        <v>45205</v>
      </c>
      <c r="C372" t="s">
        <v>94</v>
      </c>
      <c r="D372" t="s">
        <v>83</v>
      </c>
      <c r="E372" t="s">
        <v>27</v>
      </c>
      <c r="F372">
        <v>736.6</v>
      </c>
      <c r="G372">
        <v>736.6</v>
      </c>
      <c r="H372">
        <v>480</v>
      </c>
      <c r="I372" s="1">
        <f t="shared" si="5"/>
        <v>260.43818880000003</v>
      </c>
      <c r="J372">
        <v>269.95</v>
      </c>
      <c r="K372" s="1">
        <v>6511</v>
      </c>
      <c r="L372" s="1">
        <v>78516.78</v>
      </c>
      <c r="M372" s="1" t="s">
        <v>149</v>
      </c>
      <c r="N372" s="1"/>
      <c r="O372" s="1"/>
      <c r="P372" s="1" t="s">
        <v>149</v>
      </c>
      <c r="Q372" s="62">
        <v>45210</v>
      </c>
      <c r="V372" s="1"/>
      <c r="W372" s="1"/>
      <c r="X372">
        <v>2023</v>
      </c>
    </row>
    <row r="373" spans="1:24" x14ac:dyDescent="0.25">
      <c r="A373" t="s">
        <v>697</v>
      </c>
      <c r="B373" s="52">
        <v>45203</v>
      </c>
      <c r="C373" t="s">
        <v>698</v>
      </c>
      <c r="D373" t="s">
        <v>699</v>
      </c>
      <c r="E373" t="s">
        <v>27</v>
      </c>
      <c r="F373">
        <v>1000</v>
      </c>
      <c r="G373">
        <v>1000</v>
      </c>
      <c r="H373">
        <v>5</v>
      </c>
      <c r="I373" s="1">
        <f t="shared" si="5"/>
        <v>5</v>
      </c>
      <c r="J373" s="1">
        <v>400</v>
      </c>
      <c r="K373" s="1">
        <v>375</v>
      </c>
      <c r="L373" s="1">
        <v>2450</v>
      </c>
      <c r="M373" s="1" t="s">
        <v>149</v>
      </c>
      <c r="N373" s="1"/>
      <c r="O373" s="1"/>
      <c r="P373" s="1"/>
      <c r="Q373" s="62"/>
      <c r="V373" s="1"/>
      <c r="W373" s="1"/>
      <c r="X373">
        <v>2023</v>
      </c>
    </row>
    <row r="374" spans="1:24" x14ac:dyDescent="0.25">
      <c r="A374" t="s">
        <v>700</v>
      </c>
      <c r="B374" s="52">
        <v>45203</v>
      </c>
      <c r="C374" t="s">
        <v>666</v>
      </c>
      <c r="D374" t="s">
        <v>36</v>
      </c>
      <c r="E374" t="s">
        <v>32</v>
      </c>
      <c r="F374">
        <v>1000</v>
      </c>
      <c r="G374">
        <v>1250</v>
      </c>
      <c r="H374">
        <v>16</v>
      </c>
      <c r="I374" s="1">
        <f t="shared" si="5"/>
        <v>20</v>
      </c>
      <c r="J374" s="1">
        <v>544.08000000000004</v>
      </c>
      <c r="K374" s="1">
        <v>1500</v>
      </c>
      <c r="L374" s="1">
        <v>12581.6</v>
      </c>
      <c r="M374" s="1" t="s">
        <v>149</v>
      </c>
      <c r="N374" s="1"/>
      <c r="O374" s="1"/>
      <c r="P374" s="1"/>
      <c r="Q374" s="62"/>
      <c r="S374" t="s">
        <v>701</v>
      </c>
      <c r="T374" s="3">
        <v>45210</v>
      </c>
      <c r="U374">
        <v>429.03</v>
      </c>
      <c r="V374" s="1">
        <v>9875</v>
      </c>
      <c r="W374" s="1">
        <v>179341.85</v>
      </c>
      <c r="X374">
        <v>2023</v>
      </c>
    </row>
    <row r="375" spans="1:24" x14ac:dyDescent="0.25">
      <c r="A375" t="s">
        <v>702</v>
      </c>
      <c r="B375" s="52">
        <v>45203</v>
      </c>
      <c r="C375" t="s">
        <v>703</v>
      </c>
      <c r="D375" t="s">
        <v>176</v>
      </c>
      <c r="E375" t="s">
        <v>37</v>
      </c>
      <c r="F375">
        <v>1000</v>
      </c>
      <c r="G375">
        <v>1000</v>
      </c>
      <c r="H375">
        <v>5</v>
      </c>
      <c r="I375" s="1">
        <f t="shared" si="5"/>
        <v>5</v>
      </c>
      <c r="J375" s="1">
        <v>500</v>
      </c>
      <c r="K375" s="1">
        <v>375</v>
      </c>
      <c r="L375" s="1">
        <v>2950</v>
      </c>
      <c r="M375" s="1" t="s">
        <v>149</v>
      </c>
      <c r="N375" s="1"/>
      <c r="O375" s="1"/>
      <c r="P375" s="1"/>
      <c r="Q375" s="62"/>
      <c r="V375" s="1"/>
      <c r="W375" s="1"/>
      <c r="X375">
        <v>2023</v>
      </c>
    </row>
    <row r="376" spans="1:24" x14ac:dyDescent="0.25">
      <c r="A376" t="s">
        <v>704</v>
      </c>
      <c r="B376" s="52">
        <v>45203</v>
      </c>
      <c r="C376" t="s">
        <v>705</v>
      </c>
      <c r="D376" t="s">
        <v>70</v>
      </c>
      <c r="E376" t="s">
        <v>32</v>
      </c>
      <c r="F376">
        <v>1000</v>
      </c>
      <c r="G376">
        <v>1000</v>
      </c>
      <c r="H376">
        <v>5</v>
      </c>
      <c r="I376" s="1">
        <f t="shared" si="5"/>
        <v>5</v>
      </c>
      <c r="J376" s="1">
        <v>600</v>
      </c>
      <c r="K376" s="1">
        <v>375</v>
      </c>
      <c r="L376" s="1">
        <v>3450</v>
      </c>
      <c r="M376" s="1" t="s">
        <v>149</v>
      </c>
      <c r="N376" s="1"/>
      <c r="O376" s="1"/>
      <c r="P376" s="1"/>
      <c r="Q376" s="62"/>
      <c r="S376" t="s">
        <v>706</v>
      </c>
      <c r="T376" s="3">
        <v>45205</v>
      </c>
      <c r="U376">
        <v>600</v>
      </c>
      <c r="V376" s="1">
        <v>375</v>
      </c>
      <c r="W376" s="1">
        <v>3650</v>
      </c>
      <c r="X376">
        <v>2023</v>
      </c>
    </row>
    <row r="377" spans="1:24" x14ac:dyDescent="0.25">
      <c r="A377" t="s">
        <v>707</v>
      </c>
      <c r="B377" s="52">
        <v>45203</v>
      </c>
      <c r="C377" t="s">
        <v>708</v>
      </c>
      <c r="D377" t="s">
        <v>709</v>
      </c>
      <c r="E377" t="s">
        <v>27</v>
      </c>
      <c r="F377">
        <v>1200</v>
      </c>
      <c r="G377">
        <v>1200</v>
      </c>
      <c r="H377">
        <v>250</v>
      </c>
      <c r="I377" s="1">
        <f t="shared" si="5"/>
        <v>360</v>
      </c>
      <c r="J377" s="1">
        <v>267</v>
      </c>
      <c r="K377" s="1">
        <v>9000</v>
      </c>
      <c r="L377" s="1">
        <v>105120</v>
      </c>
      <c r="M377" s="1" t="s">
        <v>149</v>
      </c>
      <c r="N377" s="1"/>
      <c r="O377" s="1"/>
      <c r="P377" s="1"/>
      <c r="Q377" s="62"/>
      <c r="V377" s="1"/>
      <c r="W377" s="1"/>
      <c r="X377">
        <v>2023</v>
      </c>
    </row>
    <row r="378" spans="1:24" x14ac:dyDescent="0.25">
      <c r="A378" t="s">
        <v>710</v>
      </c>
      <c r="B378" s="52">
        <v>45203</v>
      </c>
      <c r="C378" t="s">
        <v>711</v>
      </c>
      <c r="D378" t="s">
        <v>57</v>
      </c>
      <c r="E378" t="s">
        <v>27</v>
      </c>
      <c r="F378">
        <v>1000</v>
      </c>
      <c r="G378">
        <v>1000</v>
      </c>
      <c r="H378">
        <v>5</v>
      </c>
      <c r="I378" s="1">
        <f t="shared" si="5"/>
        <v>5</v>
      </c>
      <c r="J378" s="1">
        <v>400</v>
      </c>
      <c r="K378" s="1">
        <v>375</v>
      </c>
      <c r="L378" s="1">
        <v>2500</v>
      </c>
      <c r="M378" s="1" t="s">
        <v>149</v>
      </c>
      <c r="N378" s="1"/>
      <c r="O378" s="1"/>
      <c r="P378" s="1"/>
      <c r="Q378" s="62"/>
      <c r="V378" s="1"/>
      <c r="W378" s="1"/>
      <c r="X378">
        <v>2023</v>
      </c>
    </row>
    <row r="379" spans="1:24" x14ac:dyDescent="0.25">
      <c r="A379" t="s">
        <v>712</v>
      </c>
      <c r="B379" s="52">
        <v>45205</v>
      </c>
      <c r="C379" t="s">
        <v>713</v>
      </c>
      <c r="D379" t="s">
        <v>260</v>
      </c>
      <c r="E379" t="s">
        <v>27</v>
      </c>
      <c r="F379">
        <v>1250</v>
      </c>
      <c r="G379">
        <v>1250</v>
      </c>
      <c r="H379">
        <v>26</v>
      </c>
      <c r="I379" s="1">
        <f t="shared" si="5"/>
        <v>40.625</v>
      </c>
      <c r="J379">
        <v>306.88</v>
      </c>
      <c r="K379" s="1">
        <v>2031.5</v>
      </c>
      <c r="L379" s="1">
        <v>14885.03</v>
      </c>
      <c r="M379" s="1" t="s">
        <v>149</v>
      </c>
      <c r="N379" s="1"/>
      <c r="O379" s="1"/>
      <c r="P379" s="1"/>
      <c r="Q379" s="62"/>
      <c r="V379" s="1"/>
      <c r="W379" s="1"/>
      <c r="X379">
        <v>2023</v>
      </c>
    </row>
    <row r="380" spans="1:24" x14ac:dyDescent="0.25">
      <c r="A380" t="s">
        <v>714</v>
      </c>
      <c r="B380" s="52">
        <v>45203</v>
      </c>
      <c r="C380" t="s">
        <v>715</v>
      </c>
      <c r="D380" t="s">
        <v>70</v>
      </c>
      <c r="E380" t="s">
        <v>32</v>
      </c>
      <c r="F380">
        <v>1000</v>
      </c>
      <c r="G380">
        <v>1000</v>
      </c>
      <c r="H380">
        <v>5</v>
      </c>
      <c r="I380" s="1">
        <f t="shared" si="5"/>
        <v>5</v>
      </c>
      <c r="J380">
        <v>600</v>
      </c>
      <c r="K380" s="1">
        <v>375</v>
      </c>
      <c r="L380" s="1">
        <v>3450</v>
      </c>
      <c r="M380" s="1" t="s">
        <v>149</v>
      </c>
      <c r="N380" s="1"/>
      <c r="O380" s="1"/>
      <c r="P380" s="1"/>
      <c r="Q380" s="62"/>
      <c r="S380" t="s">
        <v>706</v>
      </c>
      <c r="T380" s="3">
        <v>45205</v>
      </c>
      <c r="U380">
        <v>600</v>
      </c>
      <c r="V380" s="1">
        <v>375</v>
      </c>
      <c r="W380" s="1">
        <v>3650</v>
      </c>
      <c r="X380">
        <v>2023</v>
      </c>
    </row>
    <row r="381" spans="1:24" x14ac:dyDescent="0.25">
      <c r="A381" t="s">
        <v>716</v>
      </c>
      <c r="B381" s="52">
        <v>45205</v>
      </c>
      <c r="C381" t="s">
        <v>109</v>
      </c>
      <c r="D381" t="s">
        <v>36</v>
      </c>
      <c r="E381" t="s">
        <v>32</v>
      </c>
      <c r="F381">
        <v>1150</v>
      </c>
      <c r="G381">
        <v>550</v>
      </c>
      <c r="H381">
        <v>150</v>
      </c>
      <c r="I381" s="1">
        <f t="shared" si="5"/>
        <v>94.875</v>
      </c>
      <c r="J381">
        <v>468.3</v>
      </c>
      <c r="K381" s="1">
        <v>2500</v>
      </c>
      <c r="L381" s="1">
        <v>47152.3</v>
      </c>
      <c r="M381" s="1" t="s">
        <v>149</v>
      </c>
      <c r="N381" s="1"/>
      <c r="O381" s="1"/>
      <c r="P381" s="1"/>
      <c r="Q381" s="62"/>
      <c r="S381" t="s">
        <v>717</v>
      </c>
      <c r="T381" s="3">
        <v>45219</v>
      </c>
      <c r="U381">
        <v>463.68</v>
      </c>
      <c r="V381" s="1">
        <v>2688.25</v>
      </c>
      <c r="W381" s="1">
        <v>52797.760000000002</v>
      </c>
      <c r="X381">
        <v>2023</v>
      </c>
    </row>
    <row r="382" spans="1:24" x14ac:dyDescent="0.25">
      <c r="A382" t="s">
        <v>718</v>
      </c>
      <c r="B382" s="52">
        <v>45210</v>
      </c>
      <c r="C382" t="s">
        <v>169</v>
      </c>
      <c r="D382" t="s">
        <v>103</v>
      </c>
      <c r="E382" t="s">
        <v>27</v>
      </c>
      <c r="F382">
        <v>1200</v>
      </c>
      <c r="G382">
        <v>1200</v>
      </c>
      <c r="H382">
        <v>350</v>
      </c>
      <c r="I382" s="1">
        <f t="shared" si="5"/>
        <v>504</v>
      </c>
      <c r="J382">
        <v>263.66000000000003</v>
      </c>
      <c r="K382" s="1">
        <v>12600</v>
      </c>
      <c r="L382" s="1">
        <v>152324.64000000001</v>
      </c>
      <c r="M382" s="1" t="s">
        <v>149</v>
      </c>
      <c r="N382" s="1"/>
      <c r="O382" s="1"/>
      <c r="P382" s="1"/>
      <c r="Q382" s="62"/>
      <c r="S382" t="s">
        <v>719</v>
      </c>
      <c r="W382" s="1"/>
      <c r="X382">
        <v>2023</v>
      </c>
    </row>
    <row r="383" spans="1:24" x14ac:dyDescent="0.25">
      <c r="A383" t="s">
        <v>720</v>
      </c>
      <c r="B383" s="52">
        <v>45210</v>
      </c>
      <c r="C383" t="s">
        <v>169</v>
      </c>
      <c r="D383" t="s">
        <v>103</v>
      </c>
      <c r="E383" t="s">
        <v>27</v>
      </c>
      <c r="F383">
        <v>1200</v>
      </c>
      <c r="G383">
        <v>1200</v>
      </c>
      <c r="H383">
        <v>350</v>
      </c>
      <c r="I383" s="1">
        <f t="shared" si="5"/>
        <v>504</v>
      </c>
      <c r="J383">
        <v>263.66000000000003</v>
      </c>
      <c r="K383" s="1">
        <v>12600</v>
      </c>
      <c r="L383" s="1">
        <v>152324.64000000001</v>
      </c>
      <c r="M383" s="1" t="s">
        <v>149</v>
      </c>
      <c r="N383" s="1"/>
      <c r="O383" s="1"/>
      <c r="P383" s="1"/>
      <c r="Q383" s="62"/>
      <c r="S383" t="s">
        <v>721</v>
      </c>
      <c r="W383" s="1"/>
      <c r="X383">
        <v>2023</v>
      </c>
    </row>
    <row r="384" spans="1:24" x14ac:dyDescent="0.25">
      <c r="A384" t="s">
        <v>722</v>
      </c>
      <c r="B384" s="52">
        <v>45210</v>
      </c>
      <c r="C384" s="12" t="s">
        <v>723</v>
      </c>
      <c r="D384" t="s">
        <v>176</v>
      </c>
      <c r="E384" t="s">
        <v>27</v>
      </c>
      <c r="F384">
        <v>1000</v>
      </c>
      <c r="G384">
        <v>1000</v>
      </c>
      <c r="H384">
        <v>5</v>
      </c>
      <c r="I384" s="1">
        <f t="shared" si="5"/>
        <v>5</v>
      </c>
      <c r="J384">
        <v>400</v>
      </c>
      <c r="K384" s="1">
        <v>375</v>
      </c>
      <c r="L384" s="1">
        <v>2500</v>
      </c>
      <c r="M384" s="1" t="s">
        <v>149</v>
      </c>
      <c r="N384" s="1"/>
      <c r="O384" s="1"/>
      <c r="P384" s="1"/>
      <c r="Q384" s="62"/>
      <c r="W384" s="1"/>
      <c r="X384">
        <v>2023</v>
      </c>
    </row>
    <row r="385" spans="1:24" x14ac:dyDescent="0.25">
      <c r="A385" t="s">
        <v>724</v>
      </c>
      <c r="B385" s="52">
        <v>45210</v>
      </c>
      <c r="C385" t="s">
        <v>698</v>
      </c>
      <c r="D385" t="s">
        <v>699</v>
      </c>
      <c r="E385" t="s">
        <v>37</v>
      </c>
      <c r="F385">
        <v>1000</v>
      </c>
      <c r="G385">
        <v>1000</v>
      </c>
      <c r="H385">
        <v>5</v>
      </c>
      <c r="I385" s="1">
        <f t="shared" si="5"/>
        <v>5</v>
      </c>
      <c r="J385">
        <v>500</v>
      </c>
      <c r="K385" s="1">
        <v>375</v>
      </c>
      <c r="L385" s="1">
        <v>2950</v>
      </c>
      <c r="M385" s="1" t="s">
        <v>149</v>
      </c>
      <c r="N385" s="1"/>
      <c r="O385" s="1"/>
      <c r="P385" s="1"/>
      <c r="Q385" s="62"/>
      <c r="W385" s="1"/>
      <c r="X385">
        <v>2023</v>
      </c>
    </row>
    <row r="386" spans="1:24" x14ac:dyDescent="0.25">
      <c r="A386" t="s">
        <v>725</v>
      </c>
      <c r="B386" s="52">
        <v>45210</v>
      </c>
      <c r="C386" t="s">
        <v>698</v>
      </c>
      <c r="D386" t="s">
        <v>699</v>
      </c>
      <c r="E386" t="s">
        <v>32</v>
      </c>
      <c r="F386">
        <v>1000</v>
      </c>
      <c r="G386">
        <v>1000</v>
      </c>
      <c r="H386">
        <v>5</v>
      </c>
      <c r="I386" s="1">
        <f t="shared" ref="I386:I449" si="6">$F386*$G386*$H386/1000000</f>
        <v>5</v>
      </c>
      <c r="J386">
        <v>600</v>
      </c>
      <c r="K386" s="1">
        <v>375</v>
      </c>
      <c r="L386" s="1">
        <v>3650</v>
      </c>
      <c r="M386" s="1" t="s">
        <v>149</v>
      </c>
      <c r="N386" s="1"/>
      <c r="O386" s="1"/>
      <c r="P386" s="1"/>
      <c r="Q386" s="62"/>
      <c r="W386" s="1"/>
      <c r="X386">
        <v>2023</v>
      </c>
    </row>
    <row r="387" spans="1:24" x14ac:dyDescent="0.25">
      <c r="A387" t="s">
        <v>726</v>
      </c>
      <c r="B387" s="52">
        <v>45210</v>
      </c>
      <c r="C387" t="s">
        <v>727</v>
      </c>
      <c r="D387" t="s">
        <v>83</v>
      </c>
      <c r="E387" t="s">
        <v>32</v>
      </c>
      <c r="F387">
        <v>1172.5</v>
      </c>
      <c r="G387">
        <v>2661</v>
      </c>
      <c r="H387">
        <v>180</v>
      </c>
      <c r="I387" s="1">
        <f t="shared" si="6"/>
        <v>561.60405000000003</v>
      </c>
      <c r="J387">
        <v>416.04</v>
      </c>
      <c r="K387" s="1">
        <v>14040</v>
      </c>
      <c r="L387" s="1">
        <v>247688.06</v>
      </c>
      <c r="M387" s="1" t="s">
        <v>149</v>
      </c>
      <c r="N387" s="1"/>
      <c r="O387" s="1"/>
      <c r="P387" s="1"/>
      <c r="Q387" s="62"/>
      <c r="W387" s="1"/>
      <c r="X387">
        <v>2023</v>
      </c>
    </row>
    <row r="388" spans="1:24" x14ac:dyDescent="0.25">
      <c r="A388" t="s">
        <v>728</v>
      </c>
      <c r="B388" s="52">
        <v>45212</v>
      </c>
      <c r="C388" t="s">
        <v>299</v>
      </c>
      <c r="D388" t="s">
        <v>300</v>
      </c>
      <c r="E388" t="s">
        <v>37</v>
      </c>
      <c r="F388">
        <v>1000</v>
      </c>
      <c r="G388">
        <v>1000</v>
      </c>
      <c r="H388">
        <v>15</v>
      </c>
      <c r="I388" s="1">
        <f t="shared" si="6"/>
        <v>15</v>
      </c>
      <c r="J388">
        <v>446.81</v>
      </c>
      <c r="K388" s="1">
        <v>1125</v>
      </c>
      <c r="L388" s="1">
        <v>7827.15</v>
      </c>
      <c r="M388" s="1" t="s">
        <v>149</v>
      </c>
      <c r="N388" s="1"/>
      <c r="O388" s="1"/>
      <c r="P388" s="1" t="s">
        <v>149</v>
      </c>
      <c r="Q388" s="62">
        <v>45212</v>
      </c>
      <c r="W388" s="1"/>
      <c r="X388">
        <v>2023</v>
      </c>
    </row>
    <row r="389" spans="1:24" x14ac:dyDescent="0.25">
      <c r="A389" t="s">
        <v>729</v>
      </c>
      <c r="B389" s="52">
        <v>45217</v>
      </c>
      <c r="C389" t="s">
        <v>69</v>
      </c>
      <c r="D389" t="s">
        <v>70</v>
      </c>
      <c r="E389" t="s">
        <v>27</v>
      </c>
      <c r="F389">
        <v>1034.25</v>
      </c>
      <c r="G389">
        <v>870.8</v>
      </c>
      <c r="H389">
        <v>3300</v>
      </c>
      <c r="I389" s="1">
        <f t="shared" si="6"/>
        <v>2972.0621699999997</v>
      </c>
      <c r="J389" s="1">
        <v>165</v>
      </c>
      <c r="K389" s="1">
        <v>68574</v>
      </c>
      <c r="L389" s="1">
        <v>559513.9</v>
      </c>
      <c r="M389" s="1" t="s">
        <v>149</v>
      </c>
      <c r="N389" s="1"/>
      <c r="O389" s="1"/>
      <c r="P389" s="1"/>
      <c r="Q389" s="62"/>
      <c r="X389">
        <v>2023</v>
      </c>
    </row>
    <row r="390" spans="1:24" x14ac:dyDescent="0.25">
      <c r="A390" t="s">
        <v>730</v>
      </c>
      <c r="B390" s="52">
        <v>45212</v>
      </c>
      <c r="C390" t="s">
        <v>527</v>
      </c>
      <c r="D390" t="s">
        <v>528</v>
      </c>
      <c r="E390" t="s">
        <v>27</v>
      </c>
      <c r="F390">
        <v>1000</v>
      </c>
      <c r="G390">
        <v>1000</v>
      </c>
      <c r="H390">
        <v>410</v>
      </c>
      <c r="I390" s="1">
        <f t="shared" si="6"/>
        <v>410</v>
      </c>
      <c r="J390">
        <v>265.51</v>
      </c>
      <c r="K390" s="1">
        <v>10250</v>
      </c>
      <c r="L390" s="1">
        <v>119109.1</v>
      </c>
      <c r="M390" s="1" t="s">
        <v>149</v>
      </c>
      <c r="N390" s="1"/>
      <c r="O390" s="1"/>
      <c r="P390" s="1" t="s">
        <v>149</v>
      </c>
      <c r="Q390" s="62">
        <v>45257</v>
      </c>
      <c r="X390">
        <v>2023</v>
      </c>
    </row>
    <row r="391" spans="1:24" x14ac:dyDescent="0.25">
      <c r="A391" t="s">
        <v>731</v>
      </c>
      <c r="B391" s="52">
        <v>45212</v>
      </c>
      <c r="C391" t="s">
        <v>299</v>
      </c>
      <c r="D391" t="s">
        <v>300</v>
      </c>
      <c r="E391" t="s">
        <v>27</v>
      </c>
      <c r="F391">
        <v>1000</v>
      </c>
      <c r="G391">
        <v>1000</v>
      </c>
      <c r="H391">
        <v>15</v>
      </c>
      <c r="I391" s="1">
        <f t="shared" si="6"/>
        <v>15</v>
      </c>
      <c r="J391">
        <v>343.7</v>
      </c>
      <c r="K391" s="1">
        <v>1125</v>
      </c>
      <c r="L391" s="1">
        <v>6280.5</v>
      </c>
      <c r="M391" s="1" t="s">
        <v>149</v>
      </c>
      <c r="N391" s="1"/>
      <c r="O391" s="1"/>
      <c r="P391" s="1"/>
      <c r="Q391" s="62"/>
      <c r="X391">
        <v>2023</v>
      </c>
    </row>
    <row r="392" spans="1:24" x14ac:dyDescent="0.25">
      <c r="A392" t="s">
        <v>732</v>
      </c>
      <c r="B392" s="52">
        <v>45212</v>
      </c>
      <c r="C392" t="s">
        <v>733</v>
      </c>
      <c r="D392" t="s">
        <v>97</v>
      </c>
      <c r="E392" t="s">
        <v>37</v>
      </c>
      <c r="F392">
        <v>1000</v>
      </c>
      <c r="G392">
        <v>1000</v>
      </c>
      <c r="H392">
        <v>5</v>
      </c>
      <c r="I392" s="1">
        <f t="shared" si="6"/>
        <v>5</v>
      </c>
      <c r="J392">
        <v>500</v>
      </c>
      <c r="K392" s="1">
        <v>375</v>
      </c>
      <c r="L392" s="1">
        <v>2950</v>
      </c>
      <c r="M392" s="1" t="s">
        <v>149</v>
      </c>
      <c r="N392" s="1"/>
      <c r="O392" s="1"/>
      <c r="P392" s="1"/>
      <c r="Q392" s="62"/>
      <c r="X392">
        <v>2023</v>
      </c>
    </row>
    <row r="393" spans="1:24" x14ac:dyDescent="0.25">
      <c r="A393" t="s">
        <v>734</v>
      </c>
      <c r="B393" s="52">
        <v>45212</v>
      </c>
      <c r="C393" t="s">
        <v>735</v>
      </c>
      <c r="D393" t="s">
        <v>57</v>
      </c>
      <c r="E393" t="s">
        <v>27</v>
      </c>
      <c r="F393">
        <v>1700</v>
      </c>
      <c r="G393">
        <v>1700</v>
      </c>
      <c r="H393">
        <v>328</v>
      </c>
      <c r="I393" s="1">
        <f t="shared" si="6"/>
        <v>947.92</v>
      </c>
      <c r="J393">
        <v>240</v>
      </c>
      <c r="K393" s="1">
        <v>23698</v>
      </c>
      <c r="L393" s="1">
        <v>251198.8</v>
      </c>
      <c r="M393" s="1" t="s">
        <v>149</v>
      </c>
      <c r="N393" s="1"/>
      <c r="O393" s="1"/>
      <c r="P393" s="1"/>
      <c r="Q393" s="62"/>
      <c r="X393">
        <v>2023</v>
      </c>
    </row>
    <row r="394" spans="1:24" x14ac:dyDescent="0.25">
      <c r="A394" t="s">
        <v>736</v>
      </c>
      <c r="B394" s="52">
        <v>45216</v>
      </c>
      <c r="C394" t="s">
        <v>35</v>
      </c>
      <c r="D394" t="s">
        <v>36</v>
      </c>
      <c r="E394" t="s">
        <v>27</v>
      </c>
      <c r="F394">
        <v>245</v>
      </c>
      <c r="G394">
        <v>245</v>
      </c>
      <c r="H394">
        <v>480</v>
      </c>
      <c r="I394" s="1">
        <f t="shared" si="6"/>
        <v>28.812000000000001</v>
      </c>
      <c r="J394">
        <v>318.89999999999998</v>
      </c>
      <c r="K394" s="1">
        <v>1440.5</v>
      </c>
      <c r="L394" s="1">
        <v>11464.01</v>
      </c>
      <c r="M394" s="1" t="s">
        <v>149</v>
      </c>
      <c r="N394" s="1"/>
      <c r="O394" s="1"/>
      <c r="P394" s="1" t="s">
        <v>149</v>
      </c>
      <c r="Q394" s="62">
        <v>45217</v>
      </c>
      <c r="X394">
        <v>2023</v>
      </c>
    </row>
    <row r="395" spans="1:24" x14ac:dyDescent="0.25">
      <c r="A395" t="s">
        <v>737</v>
      </c>
      <c r="B395" s="52">
        <v>45218</v>
      </c>
      <c r="C395" t="s">
        <v>738</v>
      </c>
      <c r="D395" t="s">
        <v>46</v>
      </c>
      <c r="E395" t="s">
        <v>27</v>
      </c>
      <c r="F395">
        <v>378</v>
      </c>
      <c r="G395">
        <v>378</v>
      </c>
      <c r="H395">
        <v>180</v>
      </c>
      <c r="I395" s="1">
        <f t="shared" si="6"/>
        <v>25.71912</v>
      </c>
      <c r="J395">
        <v>323.86</v>
      </c>
      <c r="K395" s="1">
        <v>1286</v>
      </c>
      <c r="L395" s="1">
        <v>9765.68</v>
      </c>
      <c r="M395" s="1" t="s">
        <v>149</v>
      </c>
      <c r="N395" s="1"/>
      <c r="O395" s="1"/>
      <c r="P395" s="1"/>
      <c r="Q395" s="62"/>
      <c r="X395">
        <v>2023</v>
      </c>
    </row>
    <row r="396" spans="1:24" x14ac:dyDescent="0.25">
      <c r="A396" t="s">
        <v>739</v>
      </c>
      <c r="B396" s="52">
        <v>45216</v>
      </c>
      <c r="C396" t="s">
        <v>740</v>
      </c>
      <c r="D396" t="s">
        <v>263</v>
      </c>
      <c r="E396" t="s">
        <v>27</v>
      </c>
      <c r="F396">
        <v>1100</v>
      </c>
      <c r="G396">
        <v>1240</v>
      </c>
      <c r="H396">
        <v>15</v>
      </c>
      <c r="I396" s="1">
        <f t="shared" si="6"/>
        <v>20.46</v>
      </c>
      <c r="J396">
        <v>335.76</v>
      </c>
      <c r="K396" s="1">
        <v>1500</v>
      </c>
      <c r="L396" s="1">
        <v>9109.65</v>
      </c>
      <c r="M396" s="1" t="s">
        <v>149</v>
      </c>
      <c r="N396" s="1"/>
      <c r="O396" s="1"/>
      <c r="P396" s="1"/>
      <c r="Q396" s="62"/>
      <c r="X396">
        <v>2023</v>
      </c>
    </row>
    <row r="397" spans="1:24" x14ac:dyDescent="0.25">
      <c r="A397" t="s">
        <v>741</v>
      </c>
      <c r="B397" s="52">
        <v>45215</v>
      </c>
      <c r="C397" t="s">
        <v>742</v>
      </c>
      <c r="D397" t="s">
        <v>57</v>
      </c>
      <c r="E397" t="s">
        <v>27</v>
      </c>
      <c r="F397">
        <v>1000</v>
      </c>
      <c r="G397">
        <v>1000</v>
      </c>
      <c r="H397">
        <v>7</v>
      </c>
      <c r="I397" s="1">
        <f t="shared" si="6"/>
        <v>7</v>
      </c>
      <c r="J397" s="1">
        <v>373.91</v>
      </c>
      <c r="K397" s="1">
        <v>525</v>
      </c>
      <c r="L397" s="1">
        <v>3142.37</v>
      </c>
      <c r="M397" s="1" t="s">
        <v>149</v>
      </c>
      <c r="N397" s="1"/>
      <c r="O397" s="1"/>
      <c r="P397" s="1"/>
      <c r="Q397" s="62"/>
      <c r="X397">
        <v>2023</v>
      </c>
    </row>
    <row r="398" spans="1:24" x14ac:dyDescent="0.25">
      <c r="A398" t="s">
        <v>743</v>
      </c>
      <c r="B398" s="52">
        <v>45216</v>
      </c>
      <c r="C398" t="s">
        <v>692</v>
      </c>
      <c r="D398" t="s">
        <v>693</v>
      </c>
      <c r="E398" t="s">
        <v>27</v>
      </c>
      <c r="F398">
        <v>1000</v>
      </c>
      <c r="G398">
        <v>1000</v>
      </c>
      <c r="H398">
        <v>35</v>
      </c>
      <c r="I398" s="1">
        <f t="shared" si="6"/>
        <v>35</v>
      </c>
      <c r="J398" s="1">
        <v>311.60000000000002</v>
      </c>
      <c r="K398" s="1">
        <v>1750</v>
      </c>
      <c r="L398" s="1">
        <v>12656</v>
      </c>
      <c r="M398" s="1" t="s">
        <v>149</v>
      </c>
      <c r="N398" s="1"/>
      <c r="O398" s="1"/>
      <c r="P398" s="1" t="s">
        <v>149</v>
      </c>
      <c r="Q398" s="62">
        <v>45251</v>
      </c>
      <c r="X398">
        <v>2023</v>
      </c>
    </row>
    <row r="399" spans="1:24" x14ac:dyDescent="0.25">
      <c r="A399" t="s">
        <v>744</v>
      </c>
      <c r="B399" s="52">
        <v>45217</v>
      </c>
      <c r="C399" t="s">
        <v>745</v>
      </c>
      <c r="D399" t="s">
        <v>31</v>
      </c>
      <c r="E399" t="s">
        <v>32</v>
      </c>
      <c r="F399">
        <v>1000</v>
      </c>
      <c r="G399">
        <v>1000</v>
      </c>
      <c r="H399">
        <v>5</v>
      </c>
      <c r="I399" s="1">
        <f t="shared" si="6"/>
        <v>5</v>
      </c>
      <c r="J399" s="1">
        <v>600</v>
      </c>
      <c r="K399" s="1">
        <v>375</v>
      </c>
      <c r="L399" s="1">
        <v>3650</v>
      </c>
      <c r="M399" s="1" t="s">
        <v>149</v>
      </c>
      <c r="N399" s="1"/>
      <c r="O399" s="1"/>
      <c r="P399" s="1" t="s">
        <v>149</v>
      </c>
      <c r="Q399" s="62">
        <v>45222</v>
      </c>
      <c r="X399">
        <v>2023</v>
      </c>
    </row>
    <row r="400" spans="1:24" x14ac:dyDescent="0.25">
      <c r="A400" t="s">
        <v>746</v>
      </c>
      <c r="B400" s="52">
        <v>45224</v>
      </c>
      <c r="C400" t="s">
        <v>109</v>
      </c>
      <c r="D400" t="s">
        <v>36</v>
      </c>
      <c r="E400" t="s">
        <v>32</v>
      </c>
      <c r="F400">
        <v>1000</v>
      </c>
      <c r="G400">
        <v>1000</v>
      </c>
      <c r="H400">
        <v>160</v>
      </c>
      <c r="I400" s="1">
        <f t="shared" si="6"/>
        <v>160</v>
      </c>
      <c r="J400" s="1">
        <v>448.06</v>
      </c>
      <c r="K400" s="1">
        <v>4000</v>
      </c>
      <c r="L400" s="1">
        <v>76074.600000000006</v>
      </c>
      <c r="M400" s="1" t="s">
        <v>149</v>
      </c>
      <c r="N400" s="1"/>
      <c r="O400" s="1"/>
      <c r="P400" s="1"/>
      <c r="Q400" s="62"/>
      <c r="X400">
        <v>2023</v>
      </c>
    </row>
    <row r="401" spans="1:24" x14ac:dyDescent="0.25">
      <c r="A401" t="s">
        <v>747</v>
      </c>
      <c r="B401" s="52">
        <v>45224</v>
      </c>
      <c r="C401" t="s">
        <v>652</v>
      </c>
      <c r="D401" t="s">
        <v>103</v>
      </c>
      <c r="E401" t="s">
        <v>27</v>
      </c>
      <c r="F401">
        <v>1320</v>
      </c>
      <c r="G401">
        <v>1650</v>
      </c>
      <c r="H401">
        <v>10</v>
      </c>
      <c r="I401" s="1">
        <f t="shared" si="6"/>
        <v>21.78</v>
      </c>
      <c r="J401" s="1">
        <v>332.23</v>
      </c>
      <c r="K401" s="1">
        <v>1500</v>
      </c>
      <c r="L401" s="1">
        <v>9245.9699999999993</v>
      </c>
      <c r="M401" s="1" t="s">
        <v>149</v>
      </c>
      <c r="N401" s="1"/>
      <c r="O401" s="1"/>
      <c r="P401" s="1" t="s">
        <v>149</v>
      </c>
      <c r="Q401" s="62">
        <v>45257</v>
      </c>
      <c r="X401">
        <v>2023</v>
      </c>
    </row>
    <row r="402" spans="1:24" x14ac:dyDescent="0.25">
      <c r="A402" t="s">
        <v>748</v>
      </c>
      <c r="B402" s="52">
        <v>45224</v>
      </c>
      <c r="C402" t="s">
        <v>305</v>
      </c>
      <c r="D402" t="s">
        <v>31</v>
      </c>
      <c r="E402" t="s">
        <v>37</v>
      </c>
      <c r="F402">
        <v>1000</v>
      </c>
      <c r="G402">
        <v>1000</v>
      </c>
      <c r="H402">
        <v>5</v>
      </c>
      <c r="I402" s="1">
        <f t="shared" si="6"/>
        <v>5</v>
      </c>
      <c r="J402" s="1">
        <v>500</v>
      </c>
      <c r="K402" s="1">
        <v>375</v>
      </c>
      <c r="L402" s="1">
        <v>2950</v>
      </c>
      <c r="M402" s="1" t="s">
        <v>149</v>
      </c>
      <c r="N402" s="1"/>
      <c r="O402" s="1"/>
      <c r="P402" s="1"/>
      <c r="Q402" s="62"/>
      <c r="X402">
        <v>2023</v>
      </c>
    </row>
    <row r="403" spans="1:24" x14ac:dyDescent="0.25">
      <c r="A403" t="s">
        <v>749</v>
      </c>
      <c r="B403" s="52">
        <v>45226</v>
      </c>
      <c r="C403" t="s">
        <v>74</v>
      </c>
      <c r="D403" t="s">
        <v>31</v>
      </c>
      <c r="E403" t="s">
        <v>27</v>
      </c>
      <c r="F403">
        <v>1061</v>
      </c>
      <c r="G403">
        <v>1061</v>
      </c>
      <c r="H403">
        <v>490</v>
      </c>
      <c r="I403" s="1">
        <f t="shared" si="6"/>
        <v>551.60329000000002</v>
      </c>
      <c r="J403" s="1">
        <v>261.67</v>
      </c>
      <c r="K403" s="1">
        <v>13790</v>
      </c>
      <c r="L403" s="1">
        <v>158387.17000000001</v>
      </c>
      <c r="M403" s="1" t="s">
        <v>149</v>
      </c>
      <c r="N403" s="1"/>
      <c r="O403" s="1"/>
      <c r="P403" s="1"/>
      <c r="Q403" s="62"/>
      <c r="X403">
        <v>2023</v>
      </c>
    </row>
    <row r="404" spans="1:24" x14ac:dyDescent="0.25">
      <c r="A404" t="s">
        <v>750</v>
      </c>
      <c r="B404" s="52">
        <v>45226</v>
      </c>
      <c r="C404" t="s">
        <v>751</v>
      </c>
      <c r="D404" t="s">
        <v>157</v>
      </c>
      <c r="E404" t="s">
        <v>27</v>
      </c>
      <c r="F404">
        <v>1000</v>
      </c>
      <c r="G404">
        <v>1000</v>
      </c>
      <c r="H404">
        <v>10</v>
      </c>
      <c r="I404" s="1">
        <f t="shared" si="6"/>
        <v>10</v>
      </c>
      <c r="J404" s="1">
        <v>356.92</v>
      </c>
      <c r="K404" s="1">
        <v>750</v>
      </c>
      <c r="L404" s="1">
        <v>4444.2</v>
      </c>
      <c r="M404" s="1" t="s">
        <v>149</v>
      </c>
      <c r="N404" s="1"/>
      <c r="O404" s="1"/>
      <c r="P404" s="1"/>
      <c r="Q404" s="62"/>
      <c r="X404">
        <v>2023</v>
      </c>
    </row>
    <row r="405" spans="1:24" x14ac:dyDescent="0.25">
      <c r="A405" t="s">
        <v>752</v>
      </c>
      <c r="B405" s="52">
        <v>45226</v>
      </c>
      <c r="C405" t="s">
        <v>109</v>
      </c>
      <c r="D405" t="s">
        <v>36</v>
      </c>
      <c r="E405" t="s">
        <v>32</v>
      </c>
      <c r="F405">
        <v>880</v>
      </c>
      <c r="G405">
        <v>790</v>
      </c>
      <c r="H405">
        <v>140</v>
      </c>
      <c r="I405" s="1">
        <f t="shared" si="6"/>
        <v>97.328000000000003</v>
      </c>
      <c r="J405" s="1">
        <v>467.79</v>
      </c>
      <c r="K405" s="1">
        <v>2500</v>
      </c>
      <c r="L405" s="1">
        <v>48280</v>
      </c>
      <c r="M405" s="1" t="s">
        <v>149</v>
      </c>
      <c r="N405" s="1"/>
      <c r="O405" s="1"/>
      <c r="P405" s="1"/>
      <c r="Q405" s="62"/>
      <c r="X405">
        <v>2023</v>
      </c>
    </row>
    <row r="406" spans="1:24" x14ac:dyDescent="0.25">
      <c r="A406" t="s">
        <v>753</v>
      </c>
      <c r="B406" s="52">
        <v>45226</v>
      </c>
      <c r="C406" t="s">
        <v>754</v>
      </c>
      <c r="D406" t="s">
        <v>70</v>
      </c>
      <c r="E406" t="s">
        <v>27</v>
      </c>
      <c r="F406">
        <v>1000</v>
      </c>
      <c r="G406">
        <v>1000</v>
      </c>
      <c r="H406">
        <v>5</v>
      </c>
      <c r="I406" s="1">
        <f t="shared" si="6"/>
        <v>5</v>
      </c>
      <c r="J406" s="1">
        <v>400</v>
      </c>
      <c r="K406" s="1">
        <v>375</v>
      </c>
      <c r="L406" s="1">
        <v>6100</v>
      </c>
      <c r="M406" s="1" t="s">
        <v>149</v>
      </c>
      <c r="N406" s="1"/>
      <c r="O406" s="1"/>
      <c r="P406" s="1" t="s">
        <v>149</v>
      </c>
      <c r="Q406" s="62">
        <v>45309</v>
      </c>
      <c r="S406" t="s">
        <v>755</v>
      </c>
      <c r="T406" s="3">
        <v>45251</v>
      </c>
      <c r="X406">
        <v>2023</v>
      </c>
    </row>
    <row r="407" spans="1:24" x14ac:dyDescent="0.25">
      <c r="A407" t="s">
        <v>753</v>
      </c>
      <c r="B407" s="52">
        <v>45226</v>
      </c>
      <c r="C407" t="s">
        <v>754</v>
      </c>
      <c r="D407" t="s">
        <v>70</v>
      </c>
      <c r="E407" t="s">
        <v>32</v>
      </c>
      <c r="F407">
        <v>1000</v>
      </c>
      <c r="G407">
        <v>1000</v>
      </c>
      <c r="H407">
        <v>5</v>
      </c>
      <c r="I407" s="1">
        <f t="shared" si="6"/>
        <v>5</v>
      </c>
      <c r="J407" s="1">
        <v>600</v>
      </c>
      <c r="K407" s="1">
        <v>375</v>
      </c>
      <c r="L407" s="1"/>
      <c r="M407" s="1" t="s">
        <v>149</v>
      </c>
      <c r="N407" s="1"/>
      <c r="O407" s="1"/>
      <c r="P407" s="1"/>
      <c r="Q407" s="62"/>
      <c r="X407">
        <v>2023</v>
      </c>
    </row>
    <row r="408" spans="1:24" x14ac:dyDescent="0.25">
      <c r="A408" t="s">
        <v>756</v>
      </c>
      <c r="B408" s="52">
        <v>45226</v>
      </c>
      <c r="C408" t="s">
        <v>757</v>
      </c>
      <c r="D408" t="s">
        <v>31</v>
      </c>
      <c r="E408" t="s">
        <v>37</v>
      </c>
      <c r="F408">
        <v>1000</v>
      </c>
      <c r="G408">
        <v>1000</v>
      </c>
      <c r="H408">
        <v>5</v>
      </c>
      <c r="I408" s="1">
        <f t="shared" si="6"/>
        <v>5</v>
      </c>
      <c r="J408" s="1">
        <v>500</v>
      </c>
      <c r="K408" s="1">
        <v>375</v>
      </c>
      <c r="L408" s="1">
        <v>2950</v>
      </c>
      <c r="M408" s="1" t="s">
        <v>149</v>
      </c>
      <c r="N408" s="1"/>
      <c r="O408" s="1"/>
      <c r="P408" s="1"/>
      <c r="Q408" s="62"/>
      <c r="X408">
        <v>2023</v>
      </c>
    </row>
    <row r="409" spans="1:24" x14ac:dyDescent="0.25">
      <c r="A409" t="s">
        <v>758</v>
      </c>
      <c r="B409" s="52">
        <v>45237</v>
      </c>
      <c r="C409" t="s">
        <v>759</v>
      </c>
      <c r="D409" t="s">
        <v>31</v>
      </c>
      <c r="E409" t="s">
        <v>27</v>
      </c>
      <c r="F409">
        <v>631</v>
      </c>
      <c r="G409">
        <v>631</v>
      </c>
      <c r="H409">
        <v>1500</v>
      </c>
      <c r="I409" s="1">
        <f t="shared" si="6"/>
        <v>597.24149999999997</v>
      </c>
      <c r="J409" s="1">
        <v>259.86</v>
      </c>
      <c r="K409" s="1">
        <v>14931</v>
      </c>
      <c r="L409" s="1">
        <v>170404.79</v>
      </c>
      <c r="M409" s="1" t="s">
        <v>149</v>
      </c>
      <c r="N409" s="1"/>
      <c r="O409" s="1"/>
      <c r="P409" s="1"/>
      <c r="Q409" s="62"/>
      <c r="X409">
        <v>2023</v>
      </c>
    </row>
    <row r="410" spans="1:24" x14ac:dyDescent="0.25">
      <c r="A410" t="s">
        <v>760</v>
      </c>
      <c r="B410" s="52">
        <v>45226</v>
      </c>
      <c r="C410" t="s">
        <v>51</v>
      </c>
      <c r="D410" t="s">
        <v>52</v>
      </c>
      <c r="E410" t="s">
        <v>32</v>
      </c>
      <c r="F410">
        <v>1000</v>
      </c>
      <c r="G410">
        <v>1000</v>
      </c>
      <c r="H410">
        <v>5</v>
      </c>
      <c r="I410" s="1">
        <f t="shared" si="6"/>
        <v>5</v>
      </c>
      <c r="J410" s="1">
        <v>600</v>
      </c>
      <c r="K410" s="1">
        <v>375</v>
      </c>
      <c r="L410" s="1">
        <v>3650</v>
      </c>
      <c r="M410" s="1" t="s">
        <v>149</v>
      </c>
      <c r="N410" s="1"/>
      <c r="O410" s="1"/>
      <c r="P410" s="1"/>
      <c r="Q410" s="62"/>
      <c r="W410" s="1"/>
      <c r="X410">
        <v>2023</v>
      </c>
    </row>
    <row r="411" spans="1:24" x14ac:dyDescent="0.25">
      <c r="A411" t="s">
        <v>761</v>
      </c>
      <c r="B411" s="52">
        <v>45237</v>
      </c>
      <c r="C411" t="s">
        <v>762</v>
      </c>
      <c r="D411" t="s">
        <v>57</v>
      </c>
      <c r="E411" t="s">
        <v>27</v>
      </c>
      <c r="F411">
        <v>1100</v>
      </c>
      <c r="G411">
        <v>1100</v>
      </c>
      <c r="H411">
        <v>180</v>
      </c>
      <c r="I411" s="1">
        <f t="shared" si="6"/>
        <v>217.8</v>
      </c>
      <c r="J411" s="1">
        <v>272.33999999999997</v>
      </c>
      <c r="K411" s="1">
        <v>5445</v>
      </c>
      <c r="L411" s="1">
        <v>64760.65</v>
      </c>
      <c r="M411" s="1" t="s">
        <v>149</v>
      </c>
      <c r="N411" s="1"/>
      <c r="O411" s="1"/>
      <c r="P411" s="1"/>
      <c r="Q411" s="62"/>
      <c r="W411" s="1"/>
      <c r="X411">
        <v>2023</v>
      </c>
    </row>
    <row r="412" spans="1:24" x14ac:dyDescent="0.25">
      <c r="A412" t="s">
        <v>763</v>
      </c>
      <c r="B412" s="52">
        <v>45237</v>
      </c>
      <c r="C412" t="s">
        <v>439</v>
      </c>
      <c r="D412" t="s">
        <v>31</v>
      </c>
      <c r="E412" t="s">
        <v>32</v>
      </c>
      <c r="F412">
        <v>1000</v>
      </c>
      <c r="G412">
        <v>1000</v>
      </c>
      <c r="H412">
        <v>5</v>
      </c>
      <c r="I412" s="1">
        <f t="shared" si="6"/>
        <v>5</v>
      </c>
      <c r="J412" s="1">
        <v>600</v>
      </c>
      <c r="K412" s="1">
        <v>375</v>
      </c>
      <c r="L412" s="1">
        <v>3650</v>
      </c>
      <c r="M412" s="1" t="s">
        <v>149</v>
      </c>
      <c r="N412" s="1"/>
      <c r="O412" s="1"/>
      <c r="P412" s="1" t="s">
        <v>149</v>
      </c>
      <c r="Q412" s="62">
        <v>45252</v>
      </c>
      <c r="S412" t="s">
        <v>764</v>
      </c>
      <c r="W412" s="1"/>
      <c r="X412">
        <v>2023</v>
      </c>
    </row>
    <row r="413" spans="1:24" x14ac:dyDescent="0.25">
      <c r="A413" t="s">
        <v>765</v>
      </c>
      <c r="B413" s="32" t="s">
        <v>766</v>
      </c>
      <c r="C413" t="s">
        <v>500</v>
      </c>
      <c r="D413" t="s">
        <v>336</v>
      </c>
      <c r="E413" t="s">
        <v>27</v>
      </c>
      <c r="F413">
        <v>900</v>
      </c>
      <c r="G413">
        <v>900</v>
      </c>
      <c r="H413">
        <v>1235</v>
      </c>
      <c r="I413" s="1">
        <f t="shared" si="6"/>
        <v>1000.35</v>
      </c>
      <c r="J413" s="1">
        <v>260</v>
      </c>
      <c r="K413" s="1">
        <v>25008.75</v>
      </c>
      <c r="L413" s="1">
        <v>285869.75</v>
      </c>
      <c r="M413" s="1" t="s">
        <v>149</v>
      </c>
      <c r="N413" s="1"/>
      <c r="O413" s="1"/>
      <c r="P413" s="1"/>
      <c r="Q413" s="62"/>
      <c r="W413" s="1"/>
      <c r="X413">
        <v>2023</v>
      </c>
    </row>
    <row r="414" spans="1:24" x14ac:dyDescent="0.25">
      <c r="A414" t="s">
        <v>767</v>
      </c>
      <c r="B414" s="52">
        <v>45238</v>
      </c>
      <c r="C414" t="s">
        <v>768</v>
      </c>
      <c r="D414" t="s">
        <v>266</v>
      </c>
      <c r="E414" t="s">
        <v>27</v>
      </c>
      <c r="F414">
        <v>1000</v>
      </c>
      <c r="G414">
        <v>1000</v>
      </c>
      <c r="H414">
        <v>5</v>
      </c>
      <c r="I414" s="1">
        <f t="shared" si="6"/>
        <v>5</v>
      </c>
      <c r="J414" s="1">
        <v>400</v>
      </c>
      <c r="K414" s="1">
        <v>375</v>
      </c>
      <c r="L414" s="1">
        <v>2450</v>
      </c>
      <c r="M414" s="1" t="s">
        <v>149</v>
      </c>
      <c r="N414" s="1"/>
      <c r="O414" s="1"/>
      <c r="P414" s="1"/>
      <c r="Q414" s="62"/>
      <c r="W414" s="1"/>
      <c r="X414">
        <v>2023</v>
      </c>
    </row>
    <row r="415" spans="1:24" x14ac:dyDescent="0.25">
      <c r="A415" t="s">
        <v>769</v>
      </c>
      <c r="B415" s="52">
        <v>45238</v>
      </c>
      <c r="C415" t="s">
        <v>768</v>
      </c>
      <c r="D415" t="s">
        <v>266</v>
      </c>
      <c r="E415" t="s">
        <v>37</v>
      </c>
      <c r="F415">
        <v>1000</v>
      </c>
      <c r="G415">
        <v>1000</v>
      </c>
      <c r="H415">
        <v>5</v>
      </c>
      <c r="I415" s="1">
        <f t="shared" si="6"/>
        <v>5</v>
      </c>
      <c r="J415" s="1">
        <v>500</v>
      </c>
      <c r="K415" s="1">
        <v>375</v>
      </c>
      <c r="L415" s="1">
        <v>2950</v>
      </c>
      <c r="M415" s="1" t="s">
        <v>149</v>
      </c>
      <c r="N415" s="1"/>
      <c r="O415" s="1"/>
      <c r="P415" s="1"/>
      <c r="Q415" s="62"/>
      <c r="W415" s="1"/>
      <c r="X415">
        <v>2023</v>
      </c>
    </row>
    <row r="416" spans="1:24" x14ac:dyDescent="0.25">
      <c r="A416" t="s">
        <v>770</v>
      </c>
      <c r="B416" s="52">
        <v>45238</v>
      </c>
      <c r="C416" t="s">
        <v>771</v>
      </c>
      <c r="D416" t="s">
        <v>464</v>
      </c>
      <c r="E416" t="s">
        <v>32</v>
      </c>
      <c r="F416">
        <v>1000</v>
      </c>
      <c r="G416">
        <v>1000</v>
      </c>
      <c r="H416">
        <v>5</v>
      </c>
      <c r="I416" s="1">
        <f t="shared" si="6"/>
        <v>5</v>
      </c>
      <c r="J416" s="1">
        <v>600</v>
      </c>
      <c r="K416" s="1">
        <v>375</v>
      </c>
      <c r="L416" s="1">
        <v>3650</v>
      </c>
      <c r="M416" s="1" t="s">
        <v>149</v>
      </c>
      <c r="N416" s="1"/>
      <c r="O416" s="1"/>
      <c r="P416" s="1"/>
      <c r="Q416" s="62"/>
      <c r="W416" s="1"/>
      <c r="X416">
        <v>2023</v>
      </c>
    </row>
    <row r="417" spans="1:24" x14ac:dyDescent="0.25">
      <c r="A417" t="s">
        <v>772</v>
      </c>
      <c r="B417" s="52">
        <v>45240</v>
      </c>
      <c r="C417" t="s">
        <v>773</v>
      </c>
      <c r="D417" t="s">
        <v>31</v>
      </c>
      <c r="E417" t="s">
        <v>37</v>
      </c>
      <c r="F417">
        <v>1000</v>
      </c>
      <c r="G417">
        <v>1000</v>
      </c>
      <c r="H417">
        <v>5</v>
      </c>
      <c r="I417" s="1">
        <f t="shared" si="6"/>
        <v>5</v>
      </c>
      <c r="J417" s="1">
        <v>500</v>
      </c>
      <c r="K417" s="1">
        <v>375</v>
      </c>
      <c r="L417" s="1">
        <v>2950</v>
      </c>
      <c r="M417" s="1" t="s">
        <v>149</v>
      </c>
      <c r="N417" s="1"/>
      <c r="O417" s="1"/>
      <c r="P417" s="1" t="s">
        <v>149</v>
      </c>
      <c r="Q417" s="62">
        <v>45257</v>
      </c>
      <c r="S417" t="s">
        <v>774</v>
      </c>
      <c r="W417" s="1"/>
      <c r="X417">
        <v>2023</v>
      </c>
    </row>
    <row r="418" spans="1:24" x14ac:dyDescent="0.25">
      <c r="A418" t="s">
        <v>775</v>
      </c>
      <c r="B418" s="52">
        <v>45238</v>
      </c>
      <c r="C418" t="s">
        <v>195</v>
      </c>
      <c r="D418" t="s">
        <v>46</v>
      </c>
      <c r="E418" t="s">
        <v>37</v>
      </c>
      <c r="F418">
        <v>1000</v>
      </c>
      <c r="G418">
        <v>1000</v>
      </c>
      <c r="H418">
        <v>50</v>
      </c>
      <c r="I418" s="1">
        <f t="shared" si="6"/>
        <v>50</v>
      </c>
      <c r="J418" s="1">
        <v>391.82</v>
      </c>
      <c r="K418" s="1">
        <v>2500</v>
      </c>
      <c r="L418" s="1">
        <v>22091</v>
      </c>
      <c r="M418" s="1" t="s">
        <v>149</v>
      </c>
      <c r="N418" s="1"/>
      <c r="O418" s="1"/>
      <c r="P418" s="1"/>
      <c r="Q418" s="62"/>
      <c r="S418" t="s">
        <v>776</v>
      </c>
      <c r="T418" s="3">
        <v>45240</v>
      </c>
      <c r="U418" s="1">
        <v>355.74</v>
      </c>
      <c r="V418" s="1">
        <v>5000</v>
      </c>
      <c r="W418" s="1">
        <v>76148</v>
      </c>
      <c r="X418">
        <v>2023</v>
      </c>
    </row>
    <row r="419" spans="1:24" x14ac:dyDescent="0.25">
      <c r="A419" t="s">
        <v>777</v>
      </c>
      <c r="B419" s="52">
        <v>45240</v>
      </c>
      <c r="C419" t="s">
        <v>345</v>
      </c>
      <c r="D419" t="s">
        <v>46</v>
      </c>
      <c r="E419" t="s">
        <v>27</v>
      </c>
      <c r="F419">
        <v>1500</v>
      </c>
      <c r="G419">
        <v>2450</v>
      </c>
      <c r="H419">
        <v>120</v>
      </c>
      <c r="I419" s="1">
        <f t="shared" si="6"/>
        <v>441</v>
      </c>
      <c r="J419" s="1">
        <v>264.97000000000003</v>
      </c>
      <c r="K419" s="1">
        <v>11025</v>
      </c>
      <c r="L419" s="1">
        <v>129506.77</v>
      </c>
      <c r="M419" s="1" t="s">
        <v>149</v>
      </c>
      <c r="N419" s="1"/>
      <c r="O419" s="1"/>
      <c r="P419" s="1"/>
      <c r="Q419" s="62"/>
      <c r="U419" s="1"/>
      <c r="V419" s="1"/>
      <c r="W419" s="1"/>
      <c r="X419">
        <v>2023</v>
      </c>
    </row>
    <row r="420" spans="1:24" x14ac:dyDescent="0.25">
      <c r="A420" t="s">
        <v>778</v>
      </c>
      <c r="B420" s="52">
        <v>45240</v>
      </c>
      <c r="C420" t="s">
        <v>779</v>
      </c>
      <c r="D420" t="s">
        <v>57</v>
      </c>
      <c r="E420" t="s">
        <v>27</v>
      </c>
      <c r="F420">
        <v>1000</v>
      </c>
      <c r="G420">
        <v>1000</v>
      </c>
      <c r="H420">
        <v>5</v>
      </c>
      <c r="I420" s="1">
        <f t="shared" si="6"/>
        <v>5</v>
      </c>
      <c r="J420" s="1">
        <v>400</v>
      </c>
      <c r="K420" s="1">
        <v>375</v>
      </c>
      <c r="L420" s="1">
        <v>2500</v>
      </c>
      <c r="M420" s="1" t="s">
        <v>149</v>
      </c>
      <c r="N420" s="1"/>
      <c r="O420" s="1"/>
      <c r="P420" s="1"/>
      <c r="Q420" s="62"/>
      <c r="U420" s="1"/>
      <c r="V420" s="1"/>
      <c r="W420" s="1"/>
      <c r="X420">
        <v>2023</v>
      </c>
    </row>
    <row r="421" spans="1:24" x14ac:dyDescent="0.25">
      <c r="A421" t="s">
        <v>780</v>
      </c>
      <c r="B421" s="52">
        <v>45240</v>
      </c>
      <c r="C421" t="s">
        <v>781</v>
      </c>
      <c r="D421" t="s">
        <v>100</v>
      </c>
      <c r="E421" t="s">
        <v>27</v>
      </c>
      <c r="F421">
        <v>1000</v>
      </c>
      <c r="G421">
        <v>1000</v>
      </c>
      <c r="H421">
        <v>5</v>
      </c>
      <c r="I421" s="1">
        <f t="shared" si="6"/>
        <v>5</v>
      </c>
      <c r="J421" s="1">
        <v>400</v>
      </c>
      <c r="K421" s="1">
        <v>375</v>
      </c>
      <c r="L421" s="1">
        <v>2500</v>
      </c>
      <c r="M421" s="1" t="s">
        <v>149</v>
      </c>
      <c r="N421" s="1"/>
      <c r="O421" s="1"/>
      <c r="P421" s="1"/>
      <c r="Q421" s="62"/>
      <c r="U421" s="1"/>
      <c r="V421" s="1"/>
      <c r="W421" s="1"/>
      <c r="X421">
        <v>2023</v>
      </c>
    </row>
    <row r="422" spans="1:24" x14ac:dyDescent="0.25">
      <c r="A422" t="s">
        <v>782</v>
      </c>
      <c r="B422" s="52">
        <v>45240</v>
      </c>
      <c r="C422" t="s">
        <v>781</v>
      </c>
      <c r="D422" t="s">
        <v>100</v>
      </c>
      <c r="E422" t="s">
        <v>37</v>
      </c>
      <c r="F422">
        <v>1000</v>
      </c>
      <c r="G422">
        <v>1000</v>
      </c>
      <c r="H422">
        <v>5</v>
      </c>
      <c r="I422" s="1">
        <f t="shared" si="6"/>
        <v>5</v>
      </c>
      <c r="J422" s="1">
        <v>500</v>
      </c>
      <c r="K422" s="1">
        <v>375</v>
      </c>
      <c r="L422" s="1">
        <v>3000</v>
      </c>
      <c r="M422" s="1" t="s">
        <v>149</v>
      </c>
      <c r="N422" s="1"/>
      <c r="O422" s="1"/>
      <c r="P422" s="1"/>
      <c r="Q422" s="62"/>
      <c r="U422" s="1"/>
      <c r="V422" s="1"/>
      <c r="W422" s="1"/>
      <c r="X422">
        <v>2023</v>
      </c>
    </row>
    <row r="423" spans="1:24" x14ac:dyDescent="0.25">
      <c r="A423" t="s">
        <v>783</v>
      </c>
      <c r="B423" s="52">
        <v>45240</v>
      </c>
      <c r="C423" t="s">
        <v>781</v>
      </c>
      <c r="D423" t="s">
        <v>100</v>
      </c>
      <c r="E423" t="s">
        <v>32</v>
      </c>
      <c r="F423">
        <v>1000</v>
      </c>
      <c r="G423">
        <v>1000</v>
      </c>
      <c r="H423">
        <v>5</v>
      </c>
      <c r="I423" s="1">
        <f t="shared" si="6"/>
        <v>5</v>
      </c>
      <c r="J423" s="1">
        <v>600</v>
      </c>
      <c r="K423" s="1">
        <v>375</v>
      </c>
      <c r="L423" s="1">
        <v>3650</v>
      </c>
      <c r="M423" s="1" t="s">
        <v>149</v>
      </c>
      <c r="N423" s="1"/>
      <c r="O423" s="1"/>
      <c r="P423" s="1"/>
      <c r="Q423" s="62"/>
      <c r="U423" s="1"/>
      <c r="V423" s="1"/>
      <c r="W423" s="1"/>
      <c r="X423">
        <v>2023</v>
      </c>
    </row>
    <row r="424" spans="1:24" x14ac:dyDescent="0.25">
      <c r="A424" t="s">
        <v>784</v>
      </c>
      <c r="B424" s="52">
        <v>45240</v>
      </c>
      <c r="C424" t="s">
        <v>785</v>
      </c>
      <c r="D424" t="s">
        <v>100</v>
      </c>
      <c r="E424" t="s">
        <v>27</v>
      </c>
      <c r="F424">
        <v>1000</v>
      </c>
      <c r="G424">
        <v>1000</v>
      </c>
      <c r="H424">
        <v>5</v>
      </c>
      <c r="I424" s="1">
        <f t="shared" si="6"/>
        <v>5</v>
      </c>
      <c r="J424" s="1">
        <v>400</v>
      </c>
      <c r="K424" s="1">
        <v>375</v>
      </c>
      <c r="L424" s="1">
        <v>2500</v>
      </c>
      <c r="M424" s="1" t="s">
        <v>149</v>
      </c>
      <c r="N424" s="1"/>
      <c r="O424" s="1"/>
      <c r="P424" s="1"/>
      <c r="Q424" s="62"/>
      <c r="U424" s="1"/>
      <c r="V424" s="1"/>
      <c r="W424" s="1"/>
      <c r="X424">
        <v>2023</v>
      </c>
    </row>
    <row r="425" spans="1:24" x14ac:dyDescent="0.25">
      <c r="A425" t="s">
        <v>786</v>
      </c>
      <c r="B425" s="52">
        <v>45240</v>
      </c>
      <c r="C425" t="s">
        <v>785</v>
      </c>
      <c r="D425" t="s">
        <v>100</v>
      </c>
      <c r="E425" t="s">
        <v>37</v>
      </c>
      <c r="F425">
        <v>1000</v>
      </c>
      <c r="G425">
        <v>1000</v>
      </c>
      <c r="H425">
        <v>5</v>
      </c>
      <c r="I425" s="1">
        <f t="shared" si="6"/>
        <v>5</v>
      </c>
      <c r="J425" s="1">
        <v>500</v>
      </c>
      <c r="K425" s="1">
        <v>375</v>
      </c>
      <c r="L425" s="1">
        <v>3000</v>
      </c>
      <c r="M425" s="1" t="s">
        <v>149</v>
      </c>
      <c r="N425" s="1"/>
      <c r="O425" s="1"/>
      <c r="P425" s="1" t="s">
        <v>149</v>
      </c>
      <c r="Q425" s="62">
        <v>45250</v>
      </c>
      <c r="U425" s="1"/>
      <c r="V425" s="1"/>
      <c r="W425" s="1"/>
      <c r="X425">
        <v>2023</v>
      </c>
    </row>
    <row r="426" spans="1:24" x14ac:dyDescent="0.25">
      <c r="A426" t="s">
        <v>787</v>
      </c>
      <c r="B426" s="52">
        <v>45240</v>
      </c>
      <c r="C426" t="s">
        <v>785</v>
      </c>
      <c r="D426" t="s">
        <v>100</v>
      </c>
      <c r="E426" t="s">
        <v>32</v>
      </c>
      <c r="F426">
        <v>1000</v>
      </c>
      <c r="G426">
        <v>1000</v>
      </c>
      <c r="H426">
        <v>5</v>
      </c>
      <c r="I426" s="1">
        <f t="shared" si="6"/>
        <v>5</v>
      </c>
      <c r="J426" s="1">
        <v>600</v>
      </c>
      <c r="K426" s="1">
        <v>375</v>
      </c>
      <c r="L426" s="1">
        <v>3650</v>
      </c>
      <c r="M426" s="1" t="s">
        <v>149</v>
      </c>
      <c r="N426" s="1"/>
      <c r="O426" s="1"/>
      <c r="P426" s="1" t="s">
        <v>149</v>
      </c>
      <c r="Q426" s="62">
        <v>45250</v>
      </c>
      <c r="X426">
        <v>2023</v>
      </c>
    </row>
    <row r="427" spans="1:24" x14ac:dyDescent="0.25">
      <c r="A427" t="s">
        <v>788</v>
      </c>
      <c r="B427" s="52">
        <v>45240</v>
      </c>
      <c r="C427" t="s">
        <v>45</v>
      </c>
      <c r="D427" t="s">
        <v>46</v>
      </c>
      <c r="E427" t="s">
        <v>37</v>
      </c>
      <c r="F427">
        <v>1000</v>
      </c>
      <c r="G427">
        <v>1000</v>
      </c>
      <c r="H427">
        <v>50</v>
      </c>
      <c r="I427" s="1">
        <f t="shared" si="6"/>
        <v>50</v>
      </c>
      <c r="J427" s="1">
        <v>391.82</v>
      </c>
      <c r="K427" s="1">
        <v>2500</v>
      </c>
      <c r="L427" s="1">
        <v>22091</v>
      </c>
      <c r="M427" s="1" t="s">
        <v>149</v>
      </c>
      <c r="N427" s="1"/>
      <c r="O427" s="1"/>
      <c r="P427" s="1"/>
      <c r="Q427" s="62"/>
      <c r="X427">
        <v>2023</v>
      </c>
    </row>
    <row r="428" spans="1:24" x14ac:dyDescent="0.25">
      <c r="A428" t="s">
        <v>789</v>
      </c>
      <c r="B428" s="52">
        <v>45240</v>
      </c>
      <c r="C428" t="s">
        <v>790</v>
      </c>
      <c r="D428" t="s">
        <v>359</v>
      </c>
      <c r="E428" t="s">
        <v>27</v>
      </c>
      <c r="F428">
        <v>1000</v>
      </c>
      <c r="G428">
        <v>1000</v>
      </c>
      <c r="H428">
        <v>5</v>
      </c>
      <c r="I428" s="1">
        <f t="shared" si="6"/>
        <v>5</v>
      </c>
      <c r="J428" s="1">
        <v>400</v>
      </c>
      <c r="K428" s="1">
        <v>375</v>
      </c>
      <c r="L428" s="1">
        <v>2450</v>
      </c>
      <c r="M428" s="1" t="s">
        <v>149</v>
      </c>
      <c r="N428" s="1"/>
      <c r="O428" s="1"/>
      <c r="P428" s="1"/>
      <c r="Q428" s="62"/>
      <c r="X428">
        <v>2023</v>
      </c>
    </row>
    <row r="429" spans="1:24" x14ac:dyDescent="0.25">
      <c r="A429" t="s">
        <v>791</v>
      </c>
      <c r="B429" s="52">
        <v>45240</v>
      </c>
      <c r="C429" t="s">
        <v>790</v>
      </c>
      <c r="D429" t="s">
        <v>359</v>
      </c>
      <c r="E429" t="s">
        <v>32</v>
      </c>
      <c r="F429">
        <v>1000</v>
      </c>
      <c r="G429">
        <v>1000</v>
      </c>
      <c r="H429">
        <v>5</v>
      </c>
      <c r="I429" s="1">
        <f t="shared" si="6"/>
        <v>5</v>
      </c>
      <c r="J429" s="1">
        <v>600</v>
      </c>
      <c r="K429" s="1">
        <v>375</v>
      </c>
      <c r="L429" s="1">
        <v>3650</v>
      </c>
      <c r="M429" s="1" t="s">
        <v>149</v>
      </c>
      <c r="N429" s="1"/>
      <c r="O429" s="1"/>
      <c r="P429" s="1"/>
      <c r="Q429" s="62"/>
      <c r="X429">
        <v>2023</v>
      </c>
    </row>
    <row r="430" spans="1:24" x14ac:dyDescent="0.25">
      <c r="A430" t="s">
        <v>792</v>
      </c>
      <c r="B430" s="52">
        <v>45240</v>
      </c>
      <c r="C430" t="s">
        <v>793</v>
      </c>
      <c r="D430" t="s">
        <v>138</v>
      </c>
      <c r="E430" t="s">
        <v>27</v>
      </c>
      <c r="F430">
        <v>1000</v>
      </c>
      <c r="G430">
        <v>1000</v>
      </c>
      <c r="H430">
        <v>5</v>
      </c>
      <c r="I430" s="1">
        <f t="shared" si="6"/>
        <v>5</v>
      </c>
      <c r="J430" s="1">
        <v>400</v>
      </c>
      <c r="K430" s="1">
        <v>375</v>
      </c>
      <c r="L430" s="1">
        <v>2450</v>
      </c>
      <c r="M430" s="1" t="s">
        <v>149</v>
      </c>
      <c r="N430" s="1"/>
      <c r="O430" s="1"/>
      <c r="P430" s="1"/>
      <c r="Q430" s="62"/>
      <c r="X430">
        <v>2023</v>
      </c>
    </row>
    <row r="431" spans="1:24" x14ac:dyDescent="0.25">
      <c r="A431" t="s">
        <v>794</v>
      </c>
      <c r="B431" s="52">
        <v>45240</v>
      </c>
      <c r="C431" t="s">
        <v>793</v>
      </c>
      <c r="D431" t="s">
        <v>138</v>
      </c>
      <c r="E431" t="s">
        <v>37</v>
      </c>
      <c r="F431">
        <v>1000</v>
      </c>
      <c r="G431">
        <v>1000</v>
      </c>
      <c r="H431">
        <v>5</v>
      </c>
      <c r="I431" s="1">
        <f t="shared" si="6"/>
        <v>5</v>
      </c>
      <c r="J431" s="1">
        <v>500</v>
      </c>
      <c r="K431" s="1">
        <v>375</v>
      </c>
      <c r="L431" s="1">
        <v>2950</v>
      </c>
      <c r="M431" s="1" t="s">
        <v>149</v>
      </c>
      <c r="N431" s="1"/>
      <c r="O431" s="1"/>
      <c r="P431" s="1"/>
      <c r="Q431" s="62"/>
      <c r="X431">
        <v>2023</v>
      </c>
    </row>
    <row r="432" spans="1:24" x14ac:dyDescent="0.25">
      <c r="A432" t="s">
        <v>795</v>
      </c>
      <c r="B432" s="52">
        <v>45240</v>
      </c>
      <c r="C432" t="s">
        <v>793</v>
      </c>
      <c r="D432" t="s">
        <v>138</v>
      </c>
      <c r="E432" t="s">
        <v>32</v>
      </c>
      <c r="F432">
        <v>1000</v>
      </c>
      <c r="G432">
        <v>1000</v>
      </c>
      <c r="H432">
        <v>5</v>
      </c>
      <c r="I432" s="1">
        <f t="shared" si="6"/>
        <v>5</v>
      </c>
      <c r="J432" s="1">
        <v>600</v>
      </c>
      <c r="K432" s="1">
        <v>375</v>
      </c>
      <c r="L432" s="1">
        <v>3650</v>
      </c>
      <c r="M432" s="1" t="s">
        <v>149</v>
      </c>
      <c r="N432" s="1"/>
      <c r="O432" s="1"/>
      <c r="P432" s="1"/>
      <c r="Q432" s="62"/>
      <c r="X432">
        <v>2023</v>
      </c>
    </row>
    <row r="433" spans="1:24" x14ac:dyDescent="0.25">
      <c r="A433" t="s">
        <v>796</v>
      </c>
      <c r="B433" s="52">
        <v>45247</v>
      </c>
      <c r="C433" t="s">
        <v>109</v>
      </c>
      <c r="D433" t="s">
        <v>36</v>
      </c>
      <c r="E433" t="s">
        <v>32</v>
      </c>
      <c r="F433">
        <v>1140</v>
      </c>
      <c r="G433">
        <v>800</v>
      </c>
      <c r="H433">
        <v>160</v>
      </c>
      <c r="I433" s="1">
        <f t="shared" si="6"/>
        <v>145.91999999999999</v>
      </c>
      <c r="J433" s="1">
        <v>451.15</v>
      </c>
      <c r="K433" s="1">
        <v>3648</v>
      </c>
      <c r="L433" s="1">
        <v>69809.81</v>
      </c>
      <c r="M433" s="1" t="s">
        <v>149</v>
      </c>
      <c r="N433" s="1"/>
      <c r="O433" s="1"/>
      <c r="P433" s="1"/>
      <c r="Q433" s="62"/>
      <c r="X433">
        <v>2023</v>
      </c>
    </row>
    <row r="434" spans="1:24" x14ac:dyDescent="0.25">
      <c r="A434" t="s">
        <v>797</v>
      </c>
      <c r="B434" s="52">
        <v>45247</v>
      </c>
      <c r="C434" t="s">
        <v>109</v>
      </c>
      <c r="D434" t="s">
        <v>36</v>
      </c>
      <c r="E434" t="s">
        <v>32</v>
      </c>
      <c r="F434">
        <v>1140</v>
      </c>
      <c r="G434">
        <v>1610</v>
      </c>
      <c r="H434">
        <v>80</v>
      </c>
      <c r="I434" s="1">
        <f t="shared" si="6"/>
        <v>146.83199999999999</v>
      </c>
      <c r="J434" s="1">
        <v>450.93</v>
      </c>
      <c r="K434" s="1">
        <v>3670.75</v>
      </c>
      <c r="L434" s="1">
        <v>70470.8</v>
      </c>
      <c r="M434" s="1" t="s">
        <v>149</v>
      </c>
      <c r="N434" s="1"/>
      <c r="O434" s="1"/>
      <c r="P434" s="1"/>
      <c r="Q434" s="62"/>
      <c r="X434">
        <v>2023</v>
      </c>
    </row>
    <row r="435" spans="1:24" x14ac:dyDescent="0.25">
      <c r="A435" t="s">
        <v>798</v>
      </c>
      <c r="B435" s="52">
        <v>45245</v>
      </c>
      <c r="C435" t="s">
        <v>799</v>
      </c>
      <c r="D435" t="s">
        <v>46</v>
      </c>
      <c r="E435" t="s">
        <v>37</v>
      </c>
      <c r="F435">
        <v>1000</v>
      </c>
      <c r="G435">
        <v>1000</v>
      </c>
      <c r="H435">
        <v>200</v>
      </c>
      <c r="I435" s="1">
        <f t="shared" si="6"/>
        <v>200</v>
      </c>
      <c r="J435" s="1">
        <v>355.74</v>
      </c>
      <c r="K435" s="1">
        <v>5000</v>
      </c>
      <c r="L435" s="1">
        <v>76148</v>
      </c>
      <c r="M435" s="1" t="s">
        <v>149</v>
      </c>
      <c r="N435" s="1"/>
      <c r="O435" s="1"/>
      <c r="P435" s="1"/>
      <c r="Q435" s="62"/>
      <c r="X435">
        <v>2023</v>
      </c>
    </row>
    <row r="436" spans="1:24" x14ac:dyDescent="0.25">
      <c r="A436" t="s">
        <v>800</v>
      </c>
      <c r="B436" s="52">
        <v>45245</v>
      </c>
      <c r="C436" t="s">
        <v>692</v>
      </c>
      <c r="D436" t="s">
        <v>693</v>
      </c>
      <c r="E436" t="s">
        <v>27</v>
      </c>
      <c r="F436">
        <v>1000</v>
      </c>
      <c r="G436">
        <v>1000</v>
      </c>
      <c r="H436">
        <v>20</v>
      </c>
      <c r="I436" s="1">
        <f t="shared" si="6"/>
        <v>20</v>
      </c>
      <c r="J436" s="1">
        <v>337.09</v>
      </c>
      <c r="K436" s="1">
        <v>1500</v>
      </c>
      <c r="L436" s="1">
        <v>16068.95</v>
      </c>
      <c r="M436" s="1" t="s">
        <v>149</v>
      </c>
      <c r="N436" s="1"/>
      <c r="O436" s="1"/>
      <c r="P436" s="1"/>
      <c r="Q436" s="62"/>
      <c r="X436">
        <v>2023</v>
      </c>
    </row>
    <row r="437" spans="1:24" x14ac:dyDescent="0.25">
      <c r="A437" t="s">
        <v>800</v>
      </c>
      <c r="C437" t="s">
        <v>692</v>
      </c>
      <c r="D437" t="s">
        <v>693</v>
      </c>
      <c r="E437" t="s">
        <v>37</v>
      </c>
      <c r="F437">
        <v>1000</v>
      </c>
      <c r="G437">
        <v>1000</v>
      </c>
      <c r="H437">
        <v>15</v>
      </c>
      <c r="I437" s="1">
        <f t="shared" si="6"/>
        <v>15</v>
      </c>
      <c r="J437" s="1">
        <v>446.81</v>
      </c>
      <c r="K437" s="1">
        <v>1125</v>
      </c>
      <c r="L437" s="1"/>
      <c r="M437" s="1" t="s">
        <v>149</v>
      </c>
      <c r="N437" s="1"/>
      <c r="O437" s="1"/>
      <c r="P437" s="1"/>
      <c r="Q437" s="62"/>
      <c r="X437">
        <v>2023</v>
      </c>
    </row>
    <row r="438" spans="1:24" x14ac:dyDescent="0.25">
      <c r="A438" t="s">
        <v>801</v>
      </c>
      <c r="B438" s="52">
        <v>45246</v>
      </c>
      <c r="C438" t="s">
        <v>514</v>
      </c>
      <c r="D438" t="s">
        <v>157</v>
      </c>
      <c r="E438" t="s">
        <v>37</v>
      </c>
      <c r="F438">
        <v>900</v>
      </c>
      <c r="G438">
        <v>900</v>
      </c>
      <c r="H438">
        <v>100</v>
      </c>
      <c r="I438" s="1">
        <f t="shared" si="6"/>
        <v>81</v>
      </c>
      <c r="J438" s="1">
        <v>379.98</v>
      </c>
      <c r="K438" s="1">
        <v>2500</v>
      </c>
      <c r="L438" s="1">
        <v>33643.379999999997</v>
      </c>
      <c r="M438" s="1" t="s">
        <v>149</v>
      </c>
      <c r="N438" s="1"/>
      <c r="O438" s="1"/>
      <c r="P438" s="1" t="s">
        <v>149</v>
      </c>
      <c r="Q438" s="62">
        <v>45273</v>
      </c>
      <c r="S438" t="s">
        <v>802</v>
      </c>
      <c r="T438" s="3">
        <v>45271</v>
      </c>
      <c r="X438">
        <v>2023</v>
      </c>
    </row>
    <row r="439" spans="1:24" x14ac:dyDescent="0.25">
      <c r="A439" t="s">
        <v>803</v>
      </c>
      <c r="B439" s="52">
        <v>45245</v>
      </c>
      <c r="C439" t="s">
        <v>289</v>
      </c>
      <c r="D439" t="s">
        <v>100</v>
      </c>
      <c r="E439" t="s">
        <v>37</v>
      </c>
      <c r="F439">
        <v>1000</v>
      </c>
      <c r="G439">
        <v>1000</v>
      </c>
      <c r="H439">
        <v>10</v>
      </c>
      <c r="I439" s="1">
        <f t="shared" si="6"/>
        <v>10</v>
      </c>
      <c r="J439" s="1">
        <v>464</v>
      </c>
      <c r="K439" s="1">
        <v>750</v>
      </c>
      <c r="L439" s="1">
        <v>5615</v>
      </c>
      <c r="M439" s="1" t="s">
        <v>149</v>
      </c>
      <c r="N439" s="1"/>
      <c r="O439" s="1"/>
      <c r="P439" s="1" t="s">
        <v>149</v>
      </c>
      <c r="Q439" s="62">
        <v>45251</v>
      </c>
      <c r="X439">
        <v>2023</v>
      </c>
    </row>
    <row r="440" spans="1:24" x14ac:dyDescent="0.25">
      <c r="A440" t="s">
        <v>804</v>
      </c>
      <c r="B440" s="52">
        <v>45245</v>
      </c>
      <c r="C440" t="s">
        <v>805</v>
      </c>
      <c r="D440" t="s">
        <v>31</v>
      </c>
      <c r="E440" t="s">
        <v>32</v>
      </c>
      <c r="F440">
        <v>1000</v>
      </c>
      <c r="G440">
        <v>1000</v>
      </c>
      <c r="H440">
        <v>5</v>
      </c>
      <c r="I440" s="1">
        <f t="shared" si="6"/>
        <v>5</v>
      </c>
      <c r="J440" s="1">
        <v>600</v>
      </c>
      <c r="K440" s="1">
        <v>375</v>
      </c>
      <c r="L440" s="1">
        <v>3650</v>
      </c>
      <c r="M440" s="1" t="s">
        <v>149</v>
      </c>
      <c r="N440" s="1"/>
      <c r="O440" s="1"/>
      <c r="P440" s="1"/>
      <c r="Q440" s="62"/>
      <c r="S440" t="s">
        <v>806</v>
      </c>
      <c r="T440" s="3">
        <v>45266</v>
      </c>
      <c r="U440">
        <v>600</v>
      </c>
      <c r="V440" s="1">
        <v>375</v>
      </c>
      <c r="W440" s="1">
        <v>3650</v>
      </c>
      <c r="X440">
        <v>2023</v>
      </c>
    </row>
    <row r="441" spans="1:24" x14ac:dyDescent="0.25">
      <c r="A441" t="s">
        <v>807</v>
      </c>
      <c r="B441" s="52">
        <v>45245</v>
      </c>
      <c r="C441" t="s">
        <v>255</v>
      </c>
      <c r="D441" t="s">
        <v>256</v>
      </c>
      <c r="E441" t="s">
        <v>32</v>
      </c>
      <c r="F441">
        <v>945</v>
      </c>
      <c r="G441">
        <v>945</v>
      </c>
      <c r="H441">
        <v>23</v>
      </c>
      <c r="I441" s="1">
        <f t="shared" si="6"/>
        <v>20.539574999999999</v>
      </c>
      <c r="J441" s="1">
        <v>541.55999999999995</v>
      </c>
      <c r="K441" s="1">
        <v>1500</v>
      </c>
      <c r="L441" s="1">
        <v>12623.64</v>
      </c>
      <c r="M441" s="1" t="s">
        <v>149</v>
      </c>
      <c r="N441" s="1"/>
      <c r="O441" s="1"/>
      <c r="P441" s="1"/>
      <c r="Q441" s="62"/>
      <c r="X441">
        <v>2023</v>
      </c>
    </row>
    <row r="442" spans="1:24" x14ac:dyDescent="0.25">
      <c r="A442" t="s">
        <v>808</v>
      </c>
      <c r="B442" s="52">
        <v>45247</v>
      </c>
      <c r="C442" t="s">
        <v>514</v>
      </c>
      <c r="D442" t="s">
        <v>157</v>
      </c>
      <c r="E442" t="s">
        <v>37</v>
      </c>
      <c r="F442">
        <v>1000</v>
      </c>
      <c r="G442">
        <v>1000</v>
      </c>
      <c r="H442">
        <v>11</v>
      </c>
      <c r="I442" s="1">
        <f t="shared" si="6"/>
        <v>11</v>
      </c>
      <c r="J442" s="1">
        <v>459.31</v>
      </c>
      <c r="K442" s="1">
        <v>825</v>
      </c>
      <c r="L442" s="1">
        <v>6127.41</v>
      </c>
      <c r="M442" s="1" t="s">
        <v>149</v>
      </c>
      <c r="N442" s="1"/>
      <c r="O442" s="1"/>
      <c r="P442" s="1" t="s">
        <v>149</v>
      </c>
      <c r="Q442" s="62">
        <v>45272</v>
      </c>
      <c r="S442" t="s">
        <v>802</v>
      </c>
      <c r="T442" s="3">
        <v>45271</v>
      </c>
      <c r="X442">
        <v>2023</v>
      </c>
    </row>
    <row r="443" spans="1:24" x14ac:dyDescent="0.25">
      <c r="A443" t="s">
        <v>809</v>
      </c>
      <c r="B443" s="52">
        <v>45247</v>
      </c>
      <c r="C443" t="s">
        <v>171</v>
      </c>
      <c r="D443" t="s">
        <v>31</v>
      </c>
      <c r="E443" t="s">
        <v>27</v>
      </c>
      <c r="F443">
        <v>1002</v>
      </c>
      <c r="G443">
        <v>1222</v>
      </c>
      <c r="H443">
        <v>75</v>
      </c>
      <c r="I443" s="1">
        <f t="shared" si="6"/>
        <v>91.833299999999994</v>
      </c>
      <c r="J443" s="1">
        <v>290.56</v>
      </c>
      <c r="K443" s="1">
        <f>Table13[[#This Row],[Total sqm]]*25</f>
        <v>2295.8325</v>
      </c>
      <c r="L443" s="1">
        <v>42531.38</v>
      </c>
      <c r="M443" s="1" t="s">
        <v>149</v>
      </c>
      <c r="N443" s="1"/>
      <c r="O443" s="1"/>
      <c r="P443" s="1" t="s">
        <v>149</v>
      </c>
      <c r="Q443" s="62">
        <v>45247</v>
      </c>
      <c r="X443">
        <v>2023</v>
      </c>
    </row>
    <row r="444" spans="1:24" x14ac:dyDescent="0.25">
      <c r="A444" t="s">
        <v>809</v>
      </c>
      <c r="C444" t="s">
        <v>171</v>
      </c>
      <c r="D444" t="s">
        <v>31</v>
      </c>
      <c r="E444" t="s">
        <v>37</v>
      </c>
      <c r="F444">
        <v>1002</v>
      </c>
      <c r="G444">
        <v>1222</v>
      </c>
      <c r="H444">
        <v>25</v>
      </c>
      <c r="I444" s="1">
        <f t="shared" si="6"/>
        <v>30.6111</v>
      </c>
      <c r="J444" s="1">
        <v>411.41</v>
      </c>
      <c r="K444" s="1">
        <f>Table13[[#This Row],[Total sqm]]*25</f>
        <v>765.27750000000003</v>
      </c>
      <c r="L444" s="1"/>
      <c r="M444" s="1" t="s">
        <v>149</v>
      </c>
      <c r="N444" s="1"/>
      <c r="O444" s="1"/>
      <c r="P444" s="1" t="s">
        <v>149</v>
      </c>
      <c r="Q444" s="62">
        <v>45247</v>
      </c>
      <c r="X444">
        <v>2023</v>
      </c>
    </row>
    <row r="445" spans="1:24" x14ac:dyDescent="0.25">
      <c r="A445" t="s">
        <v>810</v>
      </c>
      <c r="B445" s="52">
        <v>45251</v>
      </c>
      <c r="C445" t="s">
        <v>811</v>
      </c>
      <c r="D445" t="s">
        <v>187</v>
      </c>
      <c r="E445" t="s">
        <v>27</v>
      </c>
      <c r="F445">
        <v>1000</v>
      </c>
      <c r="G445">
        <v>1000</v>
      </c>
      <c r="H445">
        <v>5</v>
      </c>
      <c r="I445" s="1">
        <f t="shared" si="6"/>
        <v>5</v>
      </c>
      <c r="J445" s="1">
        <v>400</v>
      </c>
      <c r="K445" s="1">
        <v>375</v>
      </c>
      <c r="L445" s="1">
        <v>2500</v>
      </c>
      <c r="M445" s="1" t="s">
        <v>149</v>
      </c>
      <c r="N445" s="1"/>
      <c r="O445" s="1"/>
      <c r="P445" s="1"/>
      <c r="Q445" s="62"/>
      <c r="X445">
        <v>2023</v>
      </c>
    </row>
    <row r="446" spans="1:24" x14ac:dyDescent="0.25">
      <c r="A446" t="s">
        <v>812</v>
      </c>
      <c r="B446" s="52">
        <v>45251</v>
      </c>
      <c r="C446" t="s">
        <v>813</v>
      </c>
      <c r="D446" t="s">
        <v>260</v>
      </c>
      <c r="E446" t="s">
        <v>27</v>
      </c>
      <c r="F446">
        <v>1000</v>
      </c>
      <c r="G446">
        <v>1000</v>
      </c>
      <c r="H446">
        <v>5</v>
      </c>
      <c r="I446" s="1">
        <f t="shared" si="6"/>
        <v>5</v>
      </c>
      <c r="J446" s="1">
        <v>400</v>
      </c>
      <c r="K446" s="1">
        <v>375</v>
      </c>
      <c r="L446" s="1">
        <v>2450</v>
      </c>
      <c r="M446" s="1" t="s">
        <v>149</v>
      </c>
      <c r="N446" s="1"/>
      <c r="O446" s="1"/>
      <c r="P446" s="1" t="s">
        <v>149</v>
      </c>
      <c r="Q446" s="62">
        <v>45257</v>
      </c>
      <c r="X446">
        <v>2023</v>
      </c>
    </row>
    <row r="447" spans="1:24" x14ac:dyDescent="0.25">
      <c r="A447" t="s">
        <v>814</v>
      </c>
      <c r="B447" s="52">
        <v>45251</v>
      </c>
      <c r="C447" t="s">
        <v>813</v>
      </c>
      <c r="D447" t="s">
        <v>260</v>
      </c>
      <c r="E447" t="s">
        <v>32</v>
      </c>
      <c r="F447">
        <v>1000</v>
      </c>
      <c r="G447">
        <v>1000</v>
      </c>
      <c r="H447">
        <v>5</v>
      </c>
      <c r="I447" s="1">
        <f t="shared" si="6"/>
        <v>5</v>
      </c>
      <c r="J447" s="1">
        <v>600</v>
      </c>
      <c r="K447" s="1">
        <v>375</v>
      </c>
      <c r="L447" s="1">
        <v>3650</v>
      </c>
      <c r="M447" s="1" t="s">
        <v>149</v>
      </c>
      <c r="N447" s="1"/>
      <c r="O447" s="1"/>
      <c r="P447" s="1"/>
      <c r="Q447" s="62"/>
      <c r="X447">
        <v>2023</v>
      </c>
    </row>
    <row r="448" spans="1:24" x14ac:dyDescent="0.25">
      <c r="A448" t="s">
        <v>815</v>
      </c>
      <c r="B448" s="52">
        <v>45251</v>
      </c>
      <c r="C448" t="s">
        <v>816</v>
      </c>
      <c r="D448" t="s">
        <v>276</v>
      </c>
      <c r="E448" t="s">
        <v>27</v>
      </c>
      <c r="F448">
        <v>1000</v>
      </c>
      <c r="G448">
        <v>1000</v>
      </c>
      <c r="H448">
        <v>5</v>
      </c>
      <c r="I448" s="1">
        <f t="shared" si="6"/>
        <v>5</v>
      </c>
      <c r="J448" s="1">
        <v>400</v>
      </c>
      <c r="K448" s="1">
        <v>375</v>
      </c>
      <c r="L448" s="1">
        <v>2450</v>
      </c>
      <c r="M448" s="1" t="s">
        <v>149</v>
      </c>
      <c r="N448" s="1"/>
      <c r="O448" s="1"/>
      <c r="P448" s="1" t="s">
        <v>149</v>
      </c>
      <c r="Q448" s="62">
        <v>45258</v>
      </c>
      <c r="X448">
        <v>2023</v>
      </c>
    </row>
    <row r="449" spans="1:24" x14ac:dyDescent="0.25">
      <c r="A449" t="s">
        <v>817</v>
      </c>
      <c r="B449" s="52">
        <v>45251</v>
      </c>
      <c r="C449" t="s">
        <v>818</v>
      </c>
      <c r="D449" t="s">
        <v>138</v>
      </c>
      <c r="E449" t="s">
        <v>37</v>
      </c>
      <c r="F449">
        <v>1000</v>
      </c>
      <c r="G449">
        <v>1000</v>
      </c>
      <c r="H449">
        <v>5</v>
      </c>
      <c r="I449" s="1">
        <f t="shared" si="6"/>
        <v>5</v>
      </c>
      <c r="J449" s="1">
        <v>500</v>
      </c>
      <c r="K449" s="1">
        <v>375</v>
      </c>
      <c r="L449" s="1">
        <v>2950</v>
      </c>
      <c r="M449" s="1" t="s">
        <v>149</v>
      </c>
      <c r="N449" s="1"/>
      <c r="O449" s="1"/>
      <c r="P449" s="1"/>
      <c r="Q449" s="62"/>
      <c r="S449" t="s">
        <v>819</v>
      </c>
      <c r="T449" s="3">
        <v>45296</v>
      </c>
      <c r="X449">
        <v>2023</v>
      </c>
    </row>
    <row r="450" spans="1:24" x14ac:dyDescent="0.25">
      <c r="A450" t="s">
        <v>820</v>
      </c>
      <c r="B450" s="52">
        <v>45251</v>
      </c>
      <c r="C450" t="s">
        <v>818</v>
      </c>
      <c r="D450" t="s">
        <v>138</v>
      </c>
      <c r="E450" t="s">
        <v>32</v>
      </c>
      <c r="F450">
        <v>1000</v>
      </c>
      <c r="G450">
        <v>1000</v>
      </c>
      <c r="H450">
        <v>5</v>
      </c>
      <c r="I450" s="1">
        <f t="shared" ref="I450:I513" si="7">$F450*$G450*$H450/1000000</f>
        <v>5</v>
      </c>
      <c r="J450" s="1">
        <v>600</v>
      </c>
      <c r="K450" s="1">
        <v>375</v>
      </c>
      <c r="L450" s="1">
        <v>3650</v>
      </c>
      <c r="M450" s="1" t="s">
        <v>149</v>
      </c>
      <c r="N450" s="1"/>
      <c r="O450" s="1"/>
      <c r="P450" s="1"/>
      <c r="Q450" s="62"/>
      <c r="X450">
        <v>2023</v>
      </c>
    </row>
    <row r="451" spans="1:24" x14ac:dyDescent="0.25">
      <c r="A451" t="s">
        <v>821</v>
      </c>
      <c r="B451" s="52">
        <v>45252</v>
      </c>
      <c r="C451" t="s">
        <v>816</v>
      </c>
      <c r="D451" t="s">
        <v>276</v>
      </c>
      <c r="E451" t="s">
        <v>32</v>
      </c>
      <c r="F451">
        <v>1000</v>
      </c>
      <c r="G451">
        <v>1000</v>
      </c>
      <c r="H451">
        <v>5</v>
      </c>
      <c r="I451" s="1">
        <f t="shared" si="7"/>
        <v>5</v>
      </c>
      <c r="J451" s="1">
        <v>600</v>
      </c>
      <c r="K451" s="1">
        <v>375</v>
      </c>
      <c r="L451" s="1">
        <v>3650</v>
      </c>
      <c r="M451" s="1" t="s">
        <v>149</v>
      </c>
      <c r="N451" s="1"/>
      <c r="O451" s="1"/>
      <c r="P451" s="1" t="s">
        <v>149</v>
      </c>
      <c r="Q451" s="62">
        <v>45258</v>
      </c>
      <c r="X451">
        <v>2023</v>
      </c>
    </row>
    <row r="452" spans="1:24" x14ac:dyDescent="0.25">
      <c r="A452" t="s">
        <v>822</v>
      </c>
      <c r="B452" s="52">
        <v>45252</v>
      </c>
      <c r="C452" t="s">
        <v>823</v>
      </c>
      <c r="D452" t="s">
        <v>83</v>
      </c>
      <c r="E452" t="s">
        <v>32</v>
      </c>
      <c r="F452">
        <v>1000</v>
      </c>
      <c r="G452">
        <v>1000</v>
      </c>
      <c r="H452">
        <v>5</v>
      </c>
      <c r="I452" s="1">
        <f t="shared" si="7"/>
        <v>5</v>
      </c>
      <c r="J452" s="1">
        <v>600</v>
      </c>
      <c r="K452" s="1">
        <v>375</v>
      </c>
      <c r="L452" s="1">
        <v>3650</v>
      </c>
      <c r="M452" s="1" t="s">
        <v>149</v>
      </c>
      <c r="N452" s="1"/>
      <c r="O452" s="1"/>
      <c r="P452" s="1"/>
      <c r="Q452" s="62"/>
      <c r="X452">
        <v>2023</v>
      </c>
    </row>
    <row r="453" spans="1:24" x14ac:dyDescent="0.25">
      <c r="A453" t="s">
        <v>824</v>
      </c>
      <c r="B453" s="52">
        <v>45252</v>
      </c>
      <c r="C453" t="s">
        <v>825</v>
      </c>
      <c r="D453" t="s">
        <v>263</v>
      </c>
      <c r="E453" t="s">
        <v>32</v>
      </c>
      <c r="F453">
        <v>1000</v>
      </c>
      <c r="G453">
        <v>1000</v>
      </c>
      <c r="H453">
        <v>20</v>
      </c>
      <c r="I453" s="1">
        <f t="shared" si="7"/>
        <v>20</v>
      </c>
      <c r="J453" s="1">
        <v>544.08000000000004</v>
      </c>
      <c r="K453" s="1">
        <v>1500</v>
      </c>
      <c r="L453" s="1">
        <v>12381.6</v>
      </c>
      <c r="M453" s="1" t="s">
        <v>149</v>
      </c>
      <c r="N453" s="1"/>
      <c r="O453" s="1"/>
      <c r="P453" s="1"/>
      <c r="Q453" s="62"/>
      <c r="X453">
        <v>2023</v>
      </c>
    </row>
    <row r="454" spans="1:24" x14ac:dyDescent="0.25">
      <c r="A454" t="s">
        <v>826</v>
      </c>
      <c r="B454" s="52">
        <v>45252</v>
      </c>
      <c r="C454" s="12" t="s">
        <v>827</v>
      </c>
      <c r="D454" t="s">
        <v>57</v>
      </c>
      <c r="E454" t="s">
        <v>27</v>
      </c>
      <c r="F454">
        <v>1000</v>
      </c>
      <c r="G454">
        <v>1000</v>
      </c>
      <c r="H454">
        <v>5</v>
      </c>
      <c r="I454" s="1">
        <f t="shared" si="7"/>
        <v>5</v>
      </c>
      <c r="J454" s="1">
        <v>400</v>
      </c>
      <c r="K454" s="1">
        <v>375</v>
      </c>
      <c r="L454" s="1">
        <v>2500</v>
      </c>
      <c r="M454" s="1" t="s">
        <v>149</v>
      </c>
      <c r="N454" s="1"/>
      <c r="O454" s="1"/>
      <c r="P454" s="1"/>
      <c r="Q454" s="62"/>
      <c r="X454">
        <v>2023</v>
      </c>
    </row>
    <row r="455" spans="1:24" x14ac:dyDescent="0.25">
      <c r="A455" t="s">
        <v>828</v>
      </c>
      <c r="B455" s="52">
        <v>45252</v>
      </c>
      <c r="C455" t="s">
        <v>195</v>
      </c>
      <c r="D455" t="s">
        <v>46</v>
      </c>
      <c r="E455" t="s">
        <v>37</v>
      </c>
      <c r="F455">
        <v>1000</v>
      </c>
      <c r="G455">
        <v>1000</v>
      </c>
      <c r="H455">
        <v>215</v>
      </c>
      <c r="I455" s="1">
        <f t="shared" si="7"/>
        <v>215</v>
      </c>
      <c r="J455" s="1">
        <v>354.29</v>
      </c>
      <c r="K455" s="1">
        <v>5375</v>
      </c>
      <c r="L455" s="1">
        <v>81547.350000000006</v>
      </c>
      <c r="M455" s="1" t="s">
        <v>149</v>
      </c>
      <c r="N455" s="1"/>
      <c r="O455" s="1"/>
      <c r="P455" s="1"/>
      <c r="Q455" s="62"/>
      <c r="S455" t="s">
        <v>829</v>
      </c>
      <c r="T455" s="3">
        <v>45253</v>
      </c>
      <c r="U455">
        <v>353.04</v>
      </c>
      <c r="V455" s="1">
        <v>5750</v>
      </c>
      <c r="W455" s="1">
        <v>86949.2</v>
      </c>
      <c r="X455">
        <v>2023</v>
      </c>
    </row>
    <row r="456" spans="1:24" x14ac:dyDescent="0.25">
      <c r="A456" t="s">
        <v>830</v>
      </c>
      <c r="B456" s="52">
        <v>45252</v>
      </c>
      <c r="C456" t="s">
        <v>195</v>
      </c>
      <c r="D456" t="s">
        <v>46</v>
      </c>
      <c r="E456" t="s">
        <v>27</v>
      </c>
      <c r="F456">
        <v>1000</v>
      </c>
      <c r="G456">
        <v>1000</v>
      </c>
      <c r="H456">
        <v>10</v>
      </c>
      <c r="I456" s="1">
        <f t="shared" si="7"/>
        <v>10</v>
      </c>
      <c r="J456" s="1">
        <v>356.92</v>
      </c>
      <c r="K456" s="1">
        <v>750</v>
      </c>
      <c r="L456" s="1">
        <v>4319.2</v>
      </c>
      <c r="M456" s="1" t="s">
        <v>149</v>
      </c>
      <c r="N456" s="1"/>
      <c r="O456" s="1"/>
      <c r="P456" s="1"/>
      <c r="Q456" s="62"/>
      <c r="X456">
        <v>2023</v>
      </c>
    </row>
    <row r="457" spans="1:24" x14ac:dyDescent="0.25">
      <c r="A457" t="s">
        <v>831</v>
      </c>
      <c r="B457" s="52">
        <v>45266</v>
      </c>
      <c r="C457" t="s">
        <v>832</v>
      </c>
      <c r="D457" t="s">
        <v>31</v>
      </c>
      <c r="E457" t="s">
        <v>27</v>
      </c>
      <c r="F457">
        <v>1000</v>
      </c>
      <c r="G457">
        <v>1000</v>
      </c>
      <c r="H457">
        <v>10</v>
      </c>
      <c r="I457" s="1">
        <f t="shared" si="7"/>
        <v>10</v>
      </c>
      <c r="J457">
        <v>356.92</v>
      </c>
      <c r="K457" s="1">
        <v>750</v>
      </c>
      <c r="L457" s="1">
        <v>4444.2</v>
      </c>
      <c r="M457" s="1" t="s">
        <v>149</v>
      </c>
      <c r="N457" s="1"/>
      <c r="O457" s="1"/>
      <c r="P457" s="1"/>
      <c r="Q457" s="62"/>
      <c r="X457">
        <v>2023</v>
      </c>
    </row>
    <row r="458" spans="1:24" x14ac:dyDescent="0.25">
      <c r="A458" t="s">
        <v>833</v>
      </c>
      <c r="B458" s="52">
        <v>45266</v>
      </c>
      <c r="C458" t="s">
        <v>832</v>
      </c>
      <c r="D458" t="s">
        <v>31</v>
      </c>
      <c r="E458" t="s">
        <v>27</v>
      </c>
      <c r="F458">
        <v>700</v>
      </c>
      <c r="G458">
        <v>700</v>
      </c>
      <c r="H458">
        <v>50</v>
      </c>
      <c r="I458" s="1">
        <f t="shared" si="7"/>
        <v>24.5</v>
      </c>
      <c r="J458">
        <v>326.17</v>
      </c>
      <c r="K458" s="1">
        <v>1225</v>
      </c>
      <c r="L458" s="1">
        <v>9359.17</v>
      </c>
      <c r="M458" s="1" t="s">
        <v>149</v>
      </c>
      <c r="N458" s="1"/>
      <c r="O458" s="1"/>
      <c r="P458" s="1"/>
      <c r="Q458" s="62"/>
      <c r="X458">
        <v>2023</v>
      </c>
    </row>
    <row r="459" spans="1:24" x14ac:dyDescent="0.25">
      <c r="A459" t="s">
        <v>834</v>
      </c>
      <c r="B459" s="52">
        <v>45266</v>
      </c>
      <c r="C459" t="s">
        <v>832</v>
      </c>
      <c r="D459" t="s">
        <v>31</v>
      </c>
      <c r="E459" t="s">
        <v>27</v>
      </c>
      <c r="F459">
        <v>700</v>
      </c>
      <c r="G459">
        <v>700</v>
      </c>
      <c r="H459">
        <v>100</v>
      </c>
      <c r="I459" s="1">
        <f t="shared" si="7"/>
        <v>49</v>
      </c>
      <c r="J459">
        <v>301.89</v>
      </c>
      <c r="K459" s="1">
        <v>2450</v>
      </c>
      <c r="L459" s="1">
        <v>17385.61</v>
      </c>
      <c r="M459" s="1" t="s">
        <v>149</v>
      </c>
      <c r="N459" s="1"/>
      <c r="O459" s="1"/>
      <c r="P459" s="1"/>
      <c r="Q459" s="62"/>
      <c r="X459">
        <v>2023</v>
      </c>
    </row>
    <row r="460" spans="1:24" x14ac:dyDescent="0.25">
      <c r="A460" t="s">
        <v>835</v>
      </c>
      <c r="B460" s="52">
        <v>45266</v>
      </c>
      <c r="C460" t="s">
        <v>832</v>
      </c>
      <c r="D460" t="s">
        <v>31</v>
      </c>
      <c r="E460" t="s">
        <v>32</v>
      </c>
      <c r="F460">
        <v>1000</v>
      </c>
      <c r="G460">
        <v>1000</v>
      </c>
      <c r="H460">
        <v>10</v>
      </c>
      <c r="I460" s="1">
        <f t="shared" si="7"/>
        <v>10</v>
      </c>
      <c r="J460">
        <v>576.08000000000004</v>
      </c>
      <c r="K460" s="1">
        <v>750</v>
      </c>
      <c r="L460" s="1">
        <v>6910.8</v>
      </c>
      <c r="M460" s="1" t="s">
        <v>149</v>
      </c>
      <c r="N460" s="1"/>
      <c r="O460" s="1"/>
      <c r="P460" s="1"/>
      <c r="Q460" s="62"/>
      <c r="X460">
        <v>2023</v>
      </c>
    </row>
    <row r="461" spans="1:24" x14ac:dyDescent="0.25">
      <c r="A461" t="s">
        <v>836</v>
      </c>
      <c r="B461" s="52">
        <v>45266</v>
      </c>
      <c r="C461" t="s">
        <v>832</v>
      </c>
      <c r="D461" t="s">
        <v>31</v>
      </c>
      <c r="E461" t="s">
        <v>32</v>
      </c>
      <c r="F461">
        <v>700</v>
      </c>
      <c r="G461">
        <v>700</v>
      </c>
      <c r="H461">
        <v>50</v>
      </c>
      <c r="I461" s="1">
        <f t="shared" si="7"/>
        <v>24.5</v>
      </c>
      <c r="J461">
        <v>526.45000000000005</v>
      </c>
      <c r="K461" s="1">
        <v>1225</v>
      </c>
      <c r="L461" s="1">
        <v>14266.03</v>
      </c>
      <c r="M461" s="1" t="s">
        <v>149</v>
      </c>
      <c r="N461" s="1"/>
      <c r="O461" s="1"/>
      <c r="P461" s="1"/>
      <c r="Q461" s="62"/>
      <c r="X461">
        <v>2023</v>
      </c>
    </row>
    <row r="462" spans="1:24" x14ac:dyDescent="0.25">
      <c r="A462" t="s">
        <v>837</v>
      </c>
      <c r="B462" s="52">
        <v>45266</v>
      </c>
      <c r="C462" t="s">
        <v>832</v>
      </c>
      <c r="D462" t="s">
        <v>31</v>
      </c>
      <c r="E462" t="s">
        <v>32</v>
      </c>
      <c r="F462">
        <v>700</v>
      </c>
      <c r="G462">
        <v>700</v>
      </c>
      <c r="H462">
        <v>100</v>
      </c>
      <c r="I462" s="1">
        <f t="shared" si="7"/>
        <v>49</v>
      </c>
      <c r="J462">
        <v>487.25</v>
      </c>
      <c r="K462" s="1">
        <v>2450</v>
      </c>
      <c r="L462" s="1">
        <v>26468.25</v>
      </c>
      <c r="M462" s="1" t="s">
        <v>149</v>
      </c>
      <c r="N462" s="1"/>
      <c r="O462" s="1"/>
      <c r="P462" s="1"/>
      <c r="Q462" s="62"/>
      <c r="X462">
        <v>2023</v>
      </c>
    </row>
    <row r="463" spans="1:24" x14ac:dyDescent="0.25">
      <c r="A463" t="s">
        <v>838</v>
      </c>
      <c r="B463" s="52">
        <v>45268</v>
      </c>
      <c r="C463" t="s">
        <v>839</v>
      </c>
      <c r="D463" t="s">
        <v>263</v>
      </c>
      <c r="E463" t="s">
        <v>37</v>
      </c>
      <c r="F463">
        <v>1000</v>
      </c>
      <c r="G463">
        <v>1000</v>
      </c>
      <c r="H463">
        <v>10</v>
      </c>
      <c r="I463" s="1">
        <f t="shared" si="7"/>
        <v>10</v>
      </c>
      <c r="J463" s="21">
        <v>464</v>
      </c>
      <c r="K463" s="1">
        <v>750</v>
      </c>
      <c r="L463" s="1">
        <v>5565</v>
      </c>
      <c r="M463" s="1" t="s">
        <v>149</v>
      </c>
      <c r="N463" s="1"/>
      <c r="O463" s="1"/>
      <c r="P463" s="1"/>
      <c r="Q463" s="62"/>
      <c r="X463">
        <v>2023</v>
      </c>
    </row>
    <row r="464" spans="1:24" x14ac:dyDescent="0.25">
      <c r="A464" t="s">
        <v>840</v>
      </c>
      <c r="B464" s="52">
        <v>45268</v>
      </c>
      <c r="C464" t="s">
        <v>839</v>
      </c>
      <c r="D464" t="s">
        <v>263</v>
      </c>
      <c r="E464" t="s">
        <v>37</v>
      </c>
      <c r="F464">
        <v>1000</v>
      </c>
      <c r="G464">
        <v>1000</v>
      </c>
      <c r="H464">
        <v>100</v>
      </c>
      <c r="I464" s="1">
        <f t="shared" si="7"/>
        <v>100</v>
      </c>
      <c r="J464">
        <v>376.36</v>
      </c>
      <c r="K464" s="1">
        <v>2500</v>
      </c>
      <c r="L464" s="1">
        <v>40136</v>
      </c>
      <c r="M464" s="1" t="s">
        <v>149</v>
      </c>
      <c r="N464" s="1"/>
      <c r="O464" s="1"/>
      <c r="P464" s="1"/>
      <c r="Q464" s="62"/>
      <c r="S464" t="s">
        <v>841</v>
      </c>
      <c r="X464">
        <v>2023</v>
      </c>
    </row>
    <row r="465" spans="1:24" x14ac:dyDescent="0.25">
      <c r="A465" t="s">
        <v>842</v>
      </c>
      <c r="B465" s="52">
        <v>45268</v>
      </c>
      <c r="C465" t="s">
        <v>839</v>
      </c>
      <c r="D465" t="s">
        <v>263</v>
      </c>
      <c r="E465" t="s">
        <v>37</v>
      </c>
      <c r="F465">
        <v>1000</v>
      </c>
      <c r="G465">
        <v>1000</v>
      </c>
      <c r="H465">
        <v>1000</v>
      </c>
      <c r="I465" s="1">
        <f t="shared" si="7"/>
        <v>1000</v>
      </c>
      <c r="J465">
        <v>326.35000000000002</v>
      </c>
      <c r="K465" s="1">
        <v>25000</v>
      </c>
      <c r="L465" s="1">
        <v>351350</v>
      </c>
      <c r="M465" s="1" t="s">
        <v>149</v>
      </c>
      <c r="N465" s="1"/>
      <c r="O465" s="1"/>
      <c r="P465" s="1"/>
      <c r="Q465" s="62"/>
      <c r="S465" t="s">
        <v>841</v>
      </c>
      <c r="X465">
        <v>2023</v>
      </c>
    </row>
    <row r="466" spans="1:24" x14ac:dyDescent="0.25">
      <c r="A466" t="s">
        <v>843</v>
      </c>
      <c r="B466" s="52">
        <v>45266</v>
      </c>
      <c r="C466" t="s">
        <v>844</v>
      </c>
      <c r="D466" t="s">
        <v>83</v>
      </c>
      <c r="E466" t="s">
        <v>27</v>
      </c>
      <c r="F466">
        <v>1000</v>
      </c>
      <c r="G466">
        <v>1000</v>
      </c>
      <c r="H466">
        <v>5</v>
      </c>
      <c r="I466" s="1">
        <f t="shared" si="7"/>
        <v>5</v>
      </c>
      <c r="J466" s="1">
        <v>400</v>
      </c>
      <c r="K466" s="1">
        <v>375</v>
      </c>
      <c r="L466" s="1">
        <v>2500</v>
      </c>
      <c r="M466" s="1" t="s">
        <v>149</v>
      </c>
      <c r="N466" s="1"/>
      <c r="O466" s="1"/>
      <c r="P466" s="1"/>
      <c r="Q466" s="62"/>
      <c r="X466">
        <v>2023</v>
      </c>
    </row>
    <row r="467" spans="1:24" x14ac:dyDescent="0.25">
      <c r="A467" t="s">
        <v>845</v>
      </c>
      <c r="B467" s="52">
        <v>45266</v>
      </c>
      <c r="C467" t="s">
        <v>844</v>
      </c>
      <c r="D467" t="s">
        <v>83</v>
      </c>
      <c r="E467" t="s">
        <v>32</v>
      </c>
      <c r="F467">
        <v>1000</v>
      </c>
      <c r="G467">
        <v>1000</v>
      </c>
      <c r="H467">
        <v>5</v>
      </c>
      <c r="I467" s="1">
        <f t="shared" si="7"/>
        <v>5</v>
      </c>
      <c r="J467" s="1">
        <v>600</v>
      </c>
      <c r="K467" s="1">
        <v>375</v>
      </c>
      <c r="L467" s="1">
        <v>3650</v>
      </c>
      <c r="M467" s="1" t="s">
        <v>149</v>
      </c>
      <c r="N467" s="1"/>
      <c r="O467" s="1"/>
      <c r="P467" s="1" t="s">
        <v>149</v>
      </c>
      <c r="Q467" s="62">
        <v>45266</v>
      </c>
      <c r="X467">
        <v>2023</v>
      </c>
    </row>
    <row r="468" spans="1:24" x14ac:dyDescent="0.25">
      <c r="A468" t="s">
        <v>846</v>
      </c>
      <c r="B468" s="52">
        <v>45268</v>
      </c>
      <c r="C468" t="s">
        <v>345</v>
      </c>
      <c r="D468" t="s">
        <v>46</v>
      </c>
      <c r="E468" t="s">
        <v>37</v>
      </c>
      <c r="F468">
        <v>1500</v>
      </c>
      <c r="G468">
        <v>2450</v>
      </c>
      <c r="H468">
        <v>120</v>
      </c>
      <c r="I468" s="15">
        <f t="shared" si="7"/>
        <v>441</v>
      </c>
      <c r="J468" s="1">
        <v>341.78</v>
      </c>
      <c r="K468" s="1">
        <v>11025</v>
      </c>
      <c r="L468" s="1">
        <v>194334.95</v>
      </c>
      <c r="M468" s="1" t="s">
        <v>149</v>
      </c>
      <c r="N468" s="1"/>
      <c r="O468" s="1"/>
      <c r="P468" s="1" t="s">
        <v>149</v>
      </c>
      <c r="Q468" s="62">
        <v>45273</v>
      </c>
      <c r="S468" t="s">
        <v>847</v>
      </c>
      <c r="T468" s="3">
        <v>45272</v>
      </c>
      <c r="U468">
        <v>336.35</v>
      </c>
      <c r="V468" s="1">
        <v>11025</v>
      </c>
      <c r="W468" s="22" t="s">
        <v>848</v>
      </c>
      <c r="X468">
        <v>2023</v>
      </c>
    </row>
    <row r="469" spans="1:24" x14ac:dyDescent="0.25">
      <c r="A469" t="s">
        <v>846</v>
      </c>
      <c r="B469" s="52">
        <v>45268</v>
      </c>
      <c r="C469" t="s">
        <v>849</v>
      </c>
      <c r="D469" t="s">
        <v>46</v>
      </c>
      <c r="E469" t="s">
        <v>37</v>
      </c>
      <c r="F469">
        <v>1700</v>
      </c>
      <c r="G469">
        <v>2450</v>
      </c>
      <c r="H469">
        <v>20</v>
      </c>
      <c r="I469" s="15">
        <f t="shared" si="7"/>
        <v>83.3</v>
      </c>
      <c r="J469" s="1">
        <v>341.78</v>
      </c>
      <c r="K469" s="1">
        <v>2082.5</v>
      </c>
      <c r="L469" s="1"/>
      <c r="M469" s="1" t="s">
        <v>149</v>
      </c>
      <c r="N469" s="1"/>
      <c r="O469" s="1"/>
      <c r="P469" s="1" t="s">
        <v>149</v>
      </c>
      <c r="Q469" s="62">
        <v>45273</v>
      </c>
      <c r="S469" t="s">
        <v>847</v>
      </c>
      <c r="T469" s="3">
        <v>45272</v>
      </c>
      <c r="U469">
        <v>336.35</v>
      </c>
      <c r="V469" s="1">
        <v>2082.5</v>
      </c>
      <c r="X469">
        <v>2023</v>
      </c>
    </row>
    <row r="470" spans="1:24" x14ac:dyDescent="0.25">
      <c r="A470" t="s">
        <v>850</v>
      </c>
      <c r="B470" s="52">
        <v>45268</v>
      </c>
      <c r="C470" t="s">
        <v>1265</v>
      </c>
      <c r="D470" t="s">
        <v>42</v>
      </c>
      <c r="E470" t="s">
        <v>545</v>
      </c>
      <c r="F470">
        <v>379</v>
      </c>
      <c r="G470">
        <v>379</v>
      </c>
      <c r="H470">
        <v>6000</v>
      </c>
      <c r="I470" s="1">
        <f t="shared" si="7"/>
        <v>861.846</v>
      </c>
      <c r="J470" s="1">
        <v>235</v>
      </c>
      <c r="K470" s="1">
        <v>21546.25</v>
      </c>
      <c r="L470" s="1">
        <v>224081</v>
      </c>
      <c r="M470" s="1" t="s">
        <v>149</v>
      </c>
      <c r="N470" s="1"/>
      <c r="O470" s="1"/>
      <c r="P470" s="1" t="s">
        <v>149</v>
      </c>
      <c r="Q470" s="62">
        <v>45302</v>
      </c>
      <c r="X470">
        <v>2023</v>
      </c>
    </row>
    <row r="471" spans="1:24" x14ac:dyDescent="0.25">
      <c r="A471" t="s">
        <v>851</v>
      </c>
      <c r="B471" s="52">
        <v>45273</v>
      </c>
      <c r="C471" t="s">
        <v>35</v>
      </c>
      <c r="D471" t="s">
        <v>36</v>
      </c>
      <c r="E471" t="s">
        <v>32</v>
      </c>
      <c r="F471">
        <v>1230</v>
      </c>
      <c r="G471">
        <v>1400</v>
      </c>
      <c r="H471">
        <v>100</v>
      </c>
      <c r="I471" s="1">
        <f t="shared" si="7"/>
        <v>172.2</v>
      </c>
      <c r="J471" s="1">
        <v>445.79</v>
      </c>
      <c r="K471" s="1">
        <v>4305</v>
      </c>
      <c r="L471" s="1">
        <v>81070.039999999994</v>
      </c>
      <c r="M471" s="1" t="s">
        <v>149</v>
      </c>
      <c r="N471" s="1"/>
      <c r="O471" s="1"/>
      <c r="P471" s="1"/>
      <c r="Q471" s="62"/>
      <c r="X471">
        <v>2023</v>
      </c>
    </row>
    <row r="472" spans="1:24" x14ac:dyDescent="0.25">
      <c r="A472" t="s">
        <v>852</v>
      </c>
      <c r="B472" s="52">
        <v>45273</v>
      </c>
      <c r="C472" t="s">
        <v>169</v>
      </c>
      <c r="D472" t="s">
        <v>103</v>
      </c>
      <c r="E472" t="s">
        <v>27</v>
      </c>
      <c r="F472">
        <v>1200</v>
      </c>
      <c r="G472">
        <v>1200</v>
      </c>
      <c r="H472">
        <v>350</v>
      </c>
      <c r="I472" s="1">
        <f t="shared" si="7"/>
        <v>504</v>
      </c>
      <c r="J472" s="1">
        <v>263.91000000000003</v>
      </c>
      <c r="K472" s="1">
        <v>12600</v>
      </c>
      <c r="L472" s="1">
        <v>145610.64000000001</v>
      </c>
      <c r="M472" s="1" t="s">
        <v>149</v>
      </c>
      <c r="N472" s="1"/>
      <c r="O472" s="1"/>
      <c r="P472" s="1" t="s">
        <v>149</v>
      </c>
      <c r="Q472" s="62">
        <v>45287</v>
      </c>
      <c r="X472">
        <v>2023</v>
      </c>
    </row>
    <row r="473" spans="1:24" x14ac:dyDescent="0.25">
      <c r="A473" t="s">
        <v>853</v>
      </c>
      <c r="B473" s="52">
        <v>45275</v>
      </c>
      <c r="C473" t="s">
        <v>854</v>
      </c>
      <c r="D473" t="s">
        <v>100</v>
      </c>
      <c r="E473" t="s">
        <v>27</v>
      </c>
      <c r="F473">
        <v>1000</v>
      </c>
      <c r="G473">
        <v>1000</v>
      </c>
      <c r="H473">
        <v>5</v>
      </c>
      <c r="I473" s="1">
        <f t="shared" si="7"/>
        <v>5</v>
      </c>
      <c r="J473" s="1">
        <v>400</v>
      </c>
      <c r="K473" s="1">
        <v>375</v>
      </c>
      <c r="L473" s="1">
        <v>2500</v>
      </c>
      <c r="M473" s="1" t="s">
        <v>149</v>
      </c>
      <c r="N473" s="1"/>
      <c r="O473" s="1"/>
      <c r="P473" s="1" t="s">
        <v>149</v>
      </c>
      <c r="Q473" s="62">
        <v>45328</v>
      </c>
      <c r="X473">
        <v>2023</v>
      </c>
    </row>
    <row r="474" spans="1:24" x14ac:dyDescent="0.25">
      <c r="A474" t="s">
        <v>855</v>
      </c>
      <c r="B474" s="52">
        <v>45280</v>
      </c>
      <c r="C474" t="s">
        <v>856</v>
      </c>
      <c r="D474" t="s">
        <v>91</v>
      </c>
      <c r="E474" t="s">
        <v>27</v>
      </c>
      <c r="F474">
        <v>1000</v>
      </c>
      <c r="G474">
        <v>1000</v>
      </c>
      <c r="H474">
        <v>5</v>
      </c>
      <c r="I474" s="1">
        <f t="shared" si="7"/>
        <v>5</v>
      </c>
      <c r="J474" s="1">
        <v>400</v>
      </c>
      <c r="K474" s="1">
        <v>375</v>
      </c>
      <c r="L474" s="1">
        <v>2500</v>
      </c>
      <c r="M474" s="1" t="s">
        <v>149</v>
      </c>
      <c r="N474" s="1"/>
      <c r="O474" s="1"/>
      <c r="P474" s="1"/>
      <c r="Q474" s="62"/>
      <c r="X474">
        <v>2023</v>
      </c>
    </row>
    <row r="475" spans="1:24" x14ac:dyDescent="0.25">
      <c r="A475" t="s">
        <v>857</v>
      </c>
      <c r="B475" s="52">
        <v>45280</v>
      </c>
      <c r="C475" t="s">
        <v>858</v>
      </c>
      <c r="D475" t="s">
        <v>57</v>
      </c>
      <c r="E475" t="s">
        <v>27</v>
      </c>
      <c r="F475">
        <v>1000</v>
      </c>
      <c r="G475">
        <v>1000</v>
      </c>
      <c r="H475">
        <v>5</v>
      </c>
      <c r="I475" s="1">
        <f t="shared" si="7"/>
        <v>5</v>
      </c>
      <c r="J475" s="1">
        <v>400</v>
      </c>
      <c r="K475" s="1">
        <v>375</v>
      </c>
      <c r="L475" s="1">
        <v>2500</v>
      </c>
      <c r="M475" s="1" t="s">
        <v>149</v>
      </c>
      <c r="N475" s="1"/>
      <c r="O475" s="1"/>
      <c r="P475" s="1"/>
      <c r="Q475" s="62"/>
      <c r="X475">
        <v>2023</v>
      </c>
    </row>
    <row r="476" spans="1:24" x14ac:dyDescent="0.25">
      <c r="A476" t="s">
        <v>859</v>
      </c>
      <c r="B476" s="52">
        <v>45280</v>
      </c>
      <c r="C476" t="s">
        <v>51</v>
      </c>
      <c r="D476" t="s">
        <v>52</v>
      </c>
      <c r="E476" t="s">
        <v>37</v>
      </c>
      <c r="F476">
        <v>1000</v>
      </c>
      <c r="G476">
        <v>1000</v>
      </c>
      <c r="H476">
        <v>5</v>
      </c>
      <c r="I476" s="1">
        <f t="shared" si="7"/>
        <v>5</v>
      </c>
      <c r="J476" s="1">
        <v>500</v>
      </c>
      <c r="K476" s="1">
        <v>375</v>
      </c>
      <c r="L476" s="1">
        <v>2950</v>
      </c>
      <c r="M476" s="1" t="s">
        <v>149</v>
      </c>
      <c r="N476" s="1"/>
      <c r="O476" s="1"/>
      <c r="P476" s="1"/>
      <c r="Q476" s="62"/>
      <c r="X476">
        <v>2023</v>
      </c>
    </row>
    <row r="477" spans="1:24" x14ac:dyDescent="0.25">
      <c r="A477" t="s">
        <v>860</v>
      </c>
      <c r="B477" s="52">
        <v>45280</v>
      </c>
      <c r="C477" t="s">
        <v>861</v>
      </c>
      <c r="D477" t="s">
        <v>276</v>
      </c>
      <c r="E477" t="s">
        <v>27</v>
      </c>
      <c r="F477">
        <v>1000</v>
      </c>
      <c r="G477">
        <v>1000</v>
      </c>
      <c r="H477">
        <v>5</v>
      </c>
      <c r="I477" s="1">
        <f t="shared" si="7"/>
        <v>5</v>
      </c>
      <c r="J477" s="1">
        <v>400</v>
      </c>
      <c r="K477" s="1">
        <v>375</v>
      </c>
      <c r="L477" s="1">
        <v>2450</v>
      </c>
      <c r="M477" s="1" t="s">
        <v>149</v>
      </c>
      <c r="N477" s="1"/>
      <c r="O477" s="1"/>
      <c r="P477" s="1"/>
      <c r="Q477" s="62"/>
      <c r="X477">
        <v>2023</v>
      </c>
    </row>
    <row r="478" spans="1:24" x14ac:dyDescent="0.25">
      <c r="A478" t="s">
        <v>862</v>
      </c>
      <c r="B478" s="52">
        <v>45301</v>
      </c>
      <c r="C478" t="s">
        <v>863</v>
      </c>
      <c r="D478" t="s">
        <v>46</v>
      </c>
      <c r="E478" t="s">
        <v>27</v>
      </c>
      <c r="F478">
        <v>1000</v>
      </c>
      <c r="G478">
        <v>1000</v>
      </c>
      <c r="H478">
        <v>10</v>
      </c>
      <c r="I478" s="1">
        <f t="shared" si="7"/>
        <v>10</v>
      </c>
      <c r="J478">
        <v>356.92</v>
      </c>
      <c r="K478" s="1">
        <v>750</v>
      </c>
      <c r="L478" s="1">
        <v>4569.2</v>
      </c>
      <c r="M478" s="1" t="s">
        <v>149</v>
      </c>
      <c r="N478" s="1"/>
      <c r="O478" s="1"/>
      <c r="P478" s="1" t="s">
        <v>149</v>
      </c>
      <c r="Q478" s="62">
        <v>45328</v>
      </c>
      <c r="X478">
        <v>2023</v>
      </c>
    </row>
    <row r="479" spans="1:24" s="23" customFormat="1" ht="15.75" thickBot="1" x14ac:dyDescent="0.3">
      <c r="A479" s="23" t="s">
        <v>864</v>
      </c>
      <c r="B479" s="58">
        <v>45280</v>
      </c>
      <c r="C479" s="23" t="s">
        <v>865</v>
      </c>
      <c r="D479" s="23" t="s">
        <v>138</v>
      </c>
      <c r="E479" s="23" t="s">
        <v>27</v>
      </c>
      <c r="F479" s="23">
        <v>1000</v>
      </c>
      <c r="G479" s="23">
        <v>1000</v>
      </c>
      <c r="H479" s="23">
        <v>5</v>
      </c>
      <c r="I479" s="24">
        <f t="shared" si="7"/>
        <v>5</v>
      </c>
      <c r="J479" s="24">
        <v>400</v>
      </c>
      <c r="K479" s="24">
        <v>375</v>
      </c>
      <c r="L479" s="24">
        <v>2450</v>
      </c>
      <c r="M479" s="24" t="s">
        <v>149</v>
      </c>
      <c r="N479" s="24"/>
      <c r="O479" s="1"/>
      <c r="P479" s="1" t="s">
        <v>149</v>
      </c>
      <c r="Q479" s="25">
        <v>45300</v>
      </c>
      <c r="X479" s="23">
        <v>2023</v>
      </c>
    </row>
    <row r="480" spans="1:24" s="26" customFormat="1" ht="15.75" thickTop="1" x14ac:dyDescent="0.25">
      <c r="A480" s="26" t="s">
        <v>866</v>
      </c>
      <c r="B480" s="59">
        <v>45296</v>
      </c>
      <c r="C480" t="s">
        <v>222</v>
      </c>
      <c r="D480" s="26" t="s">
        <v>57</v>
      </c>
      <c r="E480" s="26" t="s">
        <v>27</v>
      </c>
      <c r="F480" s="26">
        <v>1000</v>
      </c>
      <c r="G480" s="26">
        <v>1000</v>
      </c>
      <c r="H480" s="26">
        <v>5</v>
      </c>
      <c r="I480" s="27">
        <f t="shared" si="7"/>
        <v>5</v>
      </c>
      <c r="J480" s="27">
        <v>400</v>
      </c>
      <c r="K480" s="27">
        <v>375</v>
      </c>
      <c r="L480" s="27">
        <v>2500</v>
      </c>
      <c r="M480" s="27" t="s">
        <v>149</v>
      </c>
      <c r="N480" s="27"/>
      <c r="O480" s="1"/>
      <c r="P480" s="27"/>
      <c r="Q480" s="28"/>
      <c r="X480" s="26">
        <v>2024</v>
      </c>
    </row>
    <row r="481" spans="1:24" x14ac:dyDescent="0.25">
      <c r="A481" t="s">
        <v>867</v>
      </c>
      <c r="B481" s="52">
        <v>45296</v>
      </c>
      <c r="C481" t="s">
        <v>222</v>
      </c>
      <c r="D481" t="s">
        <v>57</v>
      </c>
      <c r="E481" t="s">
        <v>37</v>
      </c>
      <c r="F481">
        <v>1000</v>
      </c>
      <c r="G481">
        <v>1000</v>
      </c>
      <c r="H481">
        <v>5</v>
      </c>
      <c r="I481" s="1">
        <f t="shared" si="7"/>
        <v>5</v>
      </c>
      <c r="J481" s="1">
        <v>500</v>
      </c>
      <c r="K481" s="1">
        <v>375</v>
      </c>
      <c r="L481" s="1">
        <v>3000</v>
      </c>
      <c r="M481" s="1" t="s">
        <v>149</v>
      </c>
      <c r="N481" s="1"/>
      <c r="O481" s="1"/>
      <c r="P481" s="1"/>
      <c r="Q481" s="62"/>
      <c r="X481">
        <v>2024</v>
      </c>
    </row>
    <row r="482" spans="1:24" x14ac:dyDescent="0.25">
      <c r="A482" t="s">
        <v>868</v>
      </c>
      <c r="B482" s="52">
        <v>45296</v>
      </c>
      <c r="C482" t="s">
        <v>869</v>
      </c>
      <c r="D482" t="s">
        <v>359</v>
      </c>
      <c r="E482" t="s">
        <v>27</v>
      </c>
      <c r="F482">
        <v>1200</v>
      </c>
      <c r="G482">
        <v>2500</v>
      </c>
      <c r="H482">
        <v>15</v>
      </c>
      <c r="I482" s="1">
        <f t="shared" si="7"/>
        <v>45</v>
      </c>
      <c r="J482" s="1">
        <v>304.04000000000002</v>
      </c>
      <c r="K482" s="1">
        <v>2250</v>
      </c>
      <c r="L482" s="29">
        <v>15931.8</v>
      </c>
      <c r="M482" s="1" t="s">
        <v>149</v>
      </c>
      <c r="N482" s="1"/>
      <c r="O482" s="1"/>
      <c r="P482" s="1"/>
      <c r="Q482" s="62"/>
      <c r="X482">
        <v>2024</v>
      </c>
    </row>
    <row r="483" spans="1:24" x14ac:dyDescent="0.25">
      <c r="A483" t="s">
        <v>870</v>
      </c>
      <c r="B483" s="52">
        <v>45296</v>
      </c>
      <c r="C483" t="s">
        <v>45</v>
      </c>
      <c r="D483" t="s">
        <v>46</v>
      </c>
      <c r="E483" t="s">
        <v>37</v>
      </c>
      <c r="F483">
        <v>1000</v>
      </c>
      <c r="G483">
        <v>1000</v>
      </c>
      <c r="H483">
        <v>500</v>
      </c>
      <c r="I483" s="1">
        <f t="shared" si="7"/>
        <v>500</v>
      </c>
      <c r="J483" s="1">
        <v>343.35</v>
      </c>
      <c r="K483" s="1">
        <v>12500</v>
      </c>
      <c r="L483" s="1">
        <v>328735</v>
      </c>
      <c r="M483" s="1" t="s">
        <v>149</v>
      </c>
      <c r="N483" s="1"/>
      <c r="O483" s="1"/>
      <c r="P483" s="1"/>
      <c r="Q483" s="62"/>
      <c r="X483">
        <v>2024</v>
      </c>
    </row>
    <row r="484" spans="1:24" x14ac:dyDescent="0.25">
      <c r="A484" t="s">
        <v>870</v>
      </c>
      <c r="B484" s="52">
        <v>45296</v>
      </c>
      <c r="C484" t="s">
        <v>45</v>
      </c>
      <c r="D484" t="s">
        <v>46</v>
      </c>
      <c r="E484" t="s">
        <v>27</v>
      </c>
      <c r="F484">
        <v>1000</v>
      </c>
      <c r="G484">
        <v>1000</v>
      </c>
      <c r="H484">
        <v>500</v>
      </c>
      <c r="I484" s="1">
        <f t="shared" si="7"/>
        <v>500</v>
      </c>
      <c r="J484" s="1">
        <v>264.12</v>
      </c>
      <c r="K484" s="1">
        <v>12500</v>
      </c>
      <c r="L484" s="1"/>
      <c r="M484" s="1" t="s">
        <v>149</v>
      </c>
      <c r="N484" s="1"/>
      <c r="O484" s="1"/>
      <c r="P484" s="1"/>
      <c r="Q484" s="62"/>
      <c r="X484">
        <v>2024</v>
      </c>
    </row>
    <row r="485" spans="1:24" x14ac:dyDescent="0.25">
      <c r="A485" t="s">
        <v>871</v>
      </c>
      <c r="B485" s="52">
        <v>45296</v>
      </c>
      <c r="C485" t="s">
        <v>872</v>
      </c>
      <c r="D485" t="s">
        <v>57</v>
      </c>
      <c r="E485" t="s">
        <v>27</v>
      </c>
      <c r="F485">
        <v>1000</v>
      </c>
      <c r="G485">
        <v>1000</v>
      </c>
      <c r="H485">
        <v>5</v>
      </c>
      <c r="I485" s="1">
        <f t="shared" si="7"/>
        <v>5</v>
      </c>
      <c r="J485" s="1">
        <v>400</v>
      </c>
      <c r="K485" s="1">
        <v>375</v>
      </c>
      <c r="L485" s="1">
        <v>2500</v>
      </c>
      <c r="M485" s="1" t="s">
        <v>149</v>
      </c>
      <c r="N485" s="1"/>
      <c r="O485" s="1"/>
      <c r="P485" s="1"/>
      <c r="Q485" s="62"/>
      <c r="X485">
        <v>2024</v>
      </c>
    </row>
    <row r="486" spans="1:24" x14ac:dyDescent="0.25">
      <c r="A486" t="s">
        <v>873</v>
      </c>
      <c r="B486" s="52">
        <v>45296</v>
      </c>
      <c r="C486" t="s">
        <v>148</v>
      </c>
      <c r="D486" t="s">
        <v>57</v>
      </c>
      <c r="E486" t="s">
        <v>27</v>
      </c>
      <c r="F486">
        <v>1250</v>
      </c>
      <c r="G486">
        <v>1250</v>
      </c>
      <c r="H486">
        <v>13</v>
      </c>
      <c r="I486" s="1">
        <f t="shared" si="7"/>
        <v>20.3125</v>
      </c>
      <c r="J486">
        <v>336.19</v>
      </c>
      <c r="K486" s="1">
        <v>1500</v>
      </c>
      <c r="L486" s="1">
        <v>8328.02</v>
      </c>
      <c r="M486" s="1" t="s">
        <v>149</v>
      </c>
      <c r="N486" s="1"/>
      <c r="O486" s="1"/>
      <c r="P486" s="1" t="s">
        <v>149</v>
      </c>
      <c r="Q486" s="62">
        <v>45302</v>
      </c>
      <c r="X486">
        <v>2024</v>
      </c>
    </row>
    <row r="487" spans="1:24" x14ac:dyDescent="0.25">
      <c r="A487" t="s">
        <v>874</v>
      </c>
      <c r="B487" s="52">
        <v>45296</v>
      </c>
      <c r="C487" t="s">
        <v>875</v>
      </c>
      <c r="D487" t="s">
        <v>57</v>
      </c>
      <c r="E487" t="s">
        <v>27</v>
      </c>
      <c r="F487">
        <v>1000</v>
      </c>
      <c r="G487">
        <v>1000</v>
      </c>
      <c r="H487">
        <v>5</v>
      </c>
      <c r="I487" s="1">
        <f t="shared" si="7"/>
        <v>5</v>
      </c>
      <c r="J487">
        <v>400</v>
      </c>
      <c r="K487" s="1">
        <v>375</v>
      </c>
      <c r="L487" s="1">
        <v>2500</v>
      </c>
      <c r="M487" s="1" t="s">
        <v>149</v>
      </c>
      <c r="N487" s="1"/>
      <c r="O487" s="1"/>
      <c r="P487" s="1"/>
      <c r="Q487" s="62"/>
      <c r="X487">
        <v>2024</v>
      </c>
    </row>
    <row r="488" spans="1:24" x14ac:dyDescent="0.25">
      <c r="A488" t="s">
        <v>876</v>
      </c>
      <c r="B488" s="52">
        <v>45296</v>
      </c>
      <c r="C488" t="s">
        <v>875</v>
      </c>
      <c r="D488" t="s">
        <v>57</v>
      </c>
      <c r="E488" t="s">
        <v>37</v>
      </c>
      <c r="F488">
        <v>1000</v>
      </c>
      <c r="G488">
        <v>1000</v>
      </c>
      <c r="H488">
        <v>5</v>
      </c>
      <c r="I488" s="1">
        <f t="shared" si="7"/>
        <v>5</v>
      </c>
      <c r="J488">
        <v>500</v>
      </c>
      <c r="K488" s="1">
        <v>375</v>
      </c>
      <c r="L488" s="1">
        <v>3000</v>
      </c>
      <c r="M488" s="1" t="s">
        <v>149</v>
      </c>
      <c r="N488" s="1"/>
      <c r="O488" s="1"/>
      <c r="P488" s="1"/>
      <c r="Q488" s="62"/>
      <c r="X488">
        <v>2024</v>
      </c>
    </row>
    <row r="489" spans="1:24" x14ac:dyDescent="0.25">
      <c r="A489" t="s">
        <v>877</v>
      </c>
      <c r="B489" s="52">
        <v>45301</v>
      </c>
      <c r="C489" t="s">
        <v>255</v>
      </c>
      <c r="D489" t="s">
        <v>256</v>
      </c>
      <c r="E489" t="s">
        <v>32</v>
      </c>
      <c r="F489">
        <v>1000</v>
      </c>
      <c r="G489">
        <v>1000</v>
      </c>
      <c r="H489">
        <v>10</v>
      </c>
      <c r="I489" s="1">
        <f t="shared" si="7"/>
        <v>10</v>
      </c>
      <c r="J489">
        <v>576.08000000000004</v>
      </c>
      <c r="K489" s="1">
        <v>750</v>
      </c>
      <c r="L489" s="1">
        <v>6960.8</v>
      </c>
      <c r="M489" s="1" t="s">
        <v>149</v>
      </c>
      <c r="N489" s="1"/>
      <c r="O489" s="1"/>
      <c r="P489" s="1" t="s">
        <v>149</v>
      </c>
      <c r="Q489" s="62">
        <v>45303</v>
      </c>
      <c r="X489">
        <v>2024</v>
      </c>
    </row>
    <row r="490" spans="1:24" x14ac:dyDescent="0.25">
      <c r="A490" t="s">
        <v>878</v>
      </c>
      <c r="B490" s="52">
        <v>45301</v>
      </c>
      <c r="C490" t="s">
        <v>879</v>
      </c>
      <c r="D490" t="s">
        <v>103</v>
      </c>
      <c r="E490" t="s">
        <v>27</v>
      </c>
      <c r="F490">
        <v>1000</v>
      </c>
      <c r="G490">
        <v>1000</v>
      </c>
      <c r="H490">
        <v>5</v>
      </c>
      <c r="I490" s="1">
        <f t="shared" si="7"/>
        <v>5</v>
      </c>
      <c r="J490">
        <v>400</v>
      </c>
      <c r="K490" s="1">
        <v>375</v>
      </c>
      <c r="L490" s="1">
        <v>2500</v>
      </c>
      <c r="M490" s="1" t="s">
        <v>149</v>
      </c>
      <c r="N490" s="1"/>
      <c r="O490" s="1"/>
      <c r="P490" s="1"/>
      <c r="Q490" s="62"/>
      <c r="X490">
        <v>2024</v>
      </c>
    </row>
    <row r="491" spans="1:24" x14ac:dyDescent="0.25">
      <c r="A491" t="s">
        <v>880</v>
      </c>
      <c r="B491" s="52">
        <v>45302</v>
      </c>
      <c r="C491" t="s">
        <v>879</v>
      </c>
      <c r="D491" t="s">
        <v>103</v>
      </c>
      <c r="E491" t="s">
        <v>37</v>
      </c>
      <c r="F491">
        <v>1000</v>
      </c>
      <c r="G491">
        <v>1000</v>
      </c>
      <c r="H491">
        <v>5</v>
      </c>
      <c r="I491" s="1">
        <f t="shared" si="7"/>
        <v>5</v>
      </c>
      <c r="J491">
        <v>500</v>
      </c>
      <c r="K491" s="1">
        <v>375</v>
      </c>
      <c r="L491" s="1">
        <v>3000</v>
      </c>
      <c r="M491" s="1" t="s">
        <v>149</v>
      </c>
      <c r="N491" s="1"/>
      <c r="O491" s="1"/>
      <c r="P491" s="1"/>
      <c r="Q491" s="62"/>
      <c r="X491">
        <v>2024</v>
      </c>
    </row>
    <row r="492" spans="1:24" x14ac:dyDescent="0.25">
      <c r="A492" t="s">
        <v>881</v>
      </c>
      <c r="B492" s="52">
        <v>45302</v>
      </c>
      <c r="C492" t="s">
        <v>74</v>
      </c>
      <c r="D492" t="s">
        <v>31</v>
      </c>
      <c r="E492" t="s">
        <v>27</v>
      </c>
      <c r="F492">
        <v>894</v>
      </c>
      <c r="G492">
        <v>1061</v>
      </c>
      <c r="H492">
        <v>490</v>
      </c>
      <c r="I492" s="1">
        <f t="shared" si="7"/>
        <v>464.78165999999999</v>
      </c>
      <c r="J492">
        <v>264.61</v>
      </c>
      <c r="K492" s="1">
        <v>11619.5</v>
      </c>
      <c r="L492" s="1">
        <v>134864.94</v>
      </c>
      <c r="M492" s="1" t="s">
        <v>149</v>
      </c>
      <c r="N492" s="1"/>
      <c r="O492" s="1"/>
      <c r="P492" s="1" t="s">
        <v>149</v>
      </c>
      <c r="Q492" s="62">
        <v>45302</v>
      </c>
      <c r="X492">
        <v>2024</v>
      </c>
    </row>
    <row r="493" spans="1:24" x14ac:dyDescent="0.25">
      <c r="A493" t="s">
        <v>882</v>
      </c>
      <c r="B493" s="52">
        <v>45303</v>
      </c>
      <c r="C493" t="s">
        <v>109</v>
      </c>
      <c r="D493" t="s">
        <v>36</v>
      </c>
      <c r="E493" t="s">
        <v>37</v>
      </c>
      <c r="F493">
        <v>420</v>
      </c>
      <c r="G493">
        <v>420</v>
      </c>
      <c r="H493">
        <v>150</v>
      </c>
      <c r="I493" s="1">
        <f t="shared" si="7"/>
        <v>26.46</v>
      </c>
      <c r="J493">
        <v>419.34</v>
      </c>
      <c r="K493" s="1">
        <v>1323</v>
      </c>
      <c r="L493" s="1">
        <v>12638.74</v>
      </c>
      <c r="M493" s="1" t="s">
        <v>149</v>
      </c>
      <c r="N493" s="1"/>
      <c r="O493" s="1"/>
      <c r="P493" s="1" t="s">
        <v>149</v>
      </c>
      <c r="Q493" s="62">
        <v>45344</v>
      </c>
      <c r="S493" t="s">
        <v>883</v>
      </c>
      <c r="T493" s="3">
        <v>45334</v>
      </c>
      <c r="U493">
        <v>419.34</v>
      </c>
      <c r="V493" s="1">
        <v>1323</v>
      </c>
      <c r="W493" s="1">
        <v>12638.74</v>
      </c>
      <c r="X493">
        <v>2024</v>
      </c>
    </row>
    <row r="494" spans="1:24" x14ac:dyDescent="0.25">
      <c r="A494" t="s">
        <v>884</v>
      </c>
      <c r="B494" s="52">
        <v>45303</v>
      </c>
      <c r="C494" t="s">
        <v>885</v>
      </c>
      <c r="D494" t="s">
        <v>46</v>
      </c>
      <c r="E494" t="s">
        <v>27</v>
      </c>
      <c r="F494">
        <v>1300</v>
      </c>
      <c r="G494">
        <v>1300</v>
      </c>
      <c r="H494">
        <v>300</v>
      </c>
      <c r="I494" s="1">
        <f t="shared" si="7"/>
        <v>507</v>
      </c>
      <c r="J494">
        <v>263.76</v>
      </c>
      <c r="K494" s="1">
        <v>12675</v>
      </c>
      <c r="L494" s="1">
        <v>146401.32</v>
      </c>
      <c r="M494" s="1" t="s">
        <v>149</v>
      </c>
      <c r="N494" s="1"/>
      <c r="O494" s="1"/>
      <c r="P494" s="1" t="s">
        <v>149</v>
      </c>
      <c r="Q494" s="62">
        <v>45310</v>
      </c>
      <c r="S494" t="s">
        <v>886</v>
      </c>
      <c r="T494" s="3">
        <v>45310</v>
      </c>
      <c r="U494">
        <v>263.76</v>
      </c>
      <c r="V494" s="1">
        <v>12675</v>
      </c>
      <c r="W494" s="1">
        <v>148016.32000000001</v>
      </c>
      <c r="X494">
        <v>2024</v>
      </c>
    </row>
    <row r="495" spans="1:24" x14ac:dyDescent="0.25">
      <c r="A495" t="s">
        <v>887</v>
      </c>
      <c r="B495" s="52">
        <v>45303</v>
      </c>
      <c r="C495" t="s">
        <v>888</v>
      </c>
      <c r="D495" t="s">
        <v>57</v>
      </c>
      <c r="E495" t="s">
        <v>32</v>
      </c>
      <c r="F495">
        <v>1000</v>
      </c>
      <c r="G495">
        <v>1000</v>
      </c>
      <c r="H495">
        <v>10</v>
      </c>
      <c r="I495" s="1">
        <f t="shared" si="7"/>
        <v>10</v>
      </c>
      <c r="J495">
        <v>576.08000000000004</v>
      </c>
      <c r="K495" s="1">
        <v>750</v>
      </c>
      <c r="L495" s="1">
        <v>6960.8</v>
      </c>
      <c r="M495" s="1" t="s">
        <v>149</v>
      </c>
      <c r="N495" s="1"/>
      <c r="O495" s="1"/>
      <c r="P495" s="1" t="s">
        <v>449</v>
      </c>
      <c r="Q495" s="62"/>
      <c r="S495" t="s">
        <v>889</v>
      </c>
      <c r="X495">
        <v>2024</v>
      </c>
    </row>
    <row r="496" spans="1:24" x14ac:dyDescent="0.25">
      <c r="A496" t="s">
        <v>890</v>
      </c>
      <c r="B496" s="52">
        <v>45307</v>
      </c>
      <c r="C496" t="s">
        <v>891</v>
      </c>
      <c r="D496" t="s">
        <v>57</v>
      </c>
      <c r="E496" t="s">
        <v>37</v>
      </c>
      <c r="F496">
        <v>855</v>
      </c>
      <c r="G496">
        <v>855</v>
      </c>
      <c r="H496">
        <v>1400</v>
      </c>
      <c r="I496" s="1">
        <f t="shared" si="7"/>
        <v>1023.4349999999999</v>
      </c>
      <c r="J496" s="1">
        <v>290</v>
      </c>
      <c r="K496" s="1">
        <v>25586</v>
      </c>
      <c r="L496" s="1">
        <v>322383.59999999998</v>
      </c>
      <c r="M496" s="1" t="s">
        <v>149</v>
      </c>
      <c r="N496" s="1"/>
      <c r="O496" s="1"/>
      <c r="P496" s="1"/>
      <c r="Q496" s="62"/>
      <c r="X496">
        <v>2024</v>
      </c>
    </row>
    <row r="497" spans="1:24" x14ac:dyDescent="0.25">
      <c r="A497" t="s">
        <v>892</v>
      </c>
      <c r="B497" s="52">
        <v>45308</v>
      </c>
      <c r="C497" t="s">
        <v>893</v>
      </c>
      <c r="D497" t="s">
        <v>266</v>
      </c>
      <c r="E497" t="s">
        <v>32</v>
      </c>
      <c r="F497">
        <v>1000</v>
      </c>
      <c r="G497">
        <v>1000</v>
      </c>
      <c r="H497">
        <v>5</v>
      </c>
      <c r="I497" s="1">
        <f t="shared" si="7"/>
        <v>5</v>
      </c>
      <c r="J497" s="1">
        <v>600</v>
      </c>
      <c r="K497" s="1">
        <v>375</v>
      </c>
      <c r="L497" s="1">
        <v>3650</v>
      </c>
      <c r="M497" s="1" t="s">
        <v>149</v>
      </c>
      <c r="N497" s="1"/>
      <c r="O497" s="1"/>
      <c r="P497" s="1"/>
      <c r="Q497" s="62"/>
      <c r="X497">
        <v>2024</v>
      </c>
    </row>
    <row r="498" spans="1:24" x14ac:dyDescent="0.25">
      <c r="A498" t="s">
        <v>894</v>
      </c>
      <c r="B498" s="52">
        <v>45308</v>
      </c>
      <c r="C498" t="s">
        <v>895</v>
      </c>
      <c r="D498" t="s">
        <v>57</v>
      </c>
      <c r="E498" t="s">
        <v>27</v>
      </c>
      <c r="F498">
        <v>1000</v>
      </c>
      <c r="G498">
        <v>1000</v>
      </c>
      <c r="H498">
        <v>5</v>
      </c>
      <c r="I498" s="1">
        <f t="shared" si="7"/>
        <v>5</v>
      </c>
      <c r="J498" s="1">
        <v>400</v>
      </c>
      <c r="K498" s="1">
        <v>375</v>
      </c>
      <c r="L498" s="1">
        <v>2500</v>
      </c>
      <c r="M498" s="1" t="s">
        <v>149</v>
      </c>
      <c r="N498" s="1"/>
      <c r="O498" s="1"/>
      <c r="P498" s="1"/>
      <c r="Q498" s="62"/>
      <c r="X498">
        <v>2024</v>
      </c>
    </row>
    <row r="499" spans="1:24" x14ac:dyDescent="0.25">
      <c r="A499" t="s">
        <v>896</v>
      </c>
      <c r="B499" s="52">
        <v>45308</v>
      </c>
      <c r="C499" t="s">
        <v>895</v>
      </c>
      <c r="D499" t="s">
        <v>57</v>
      </c>
      <c r="E499" t="s">
        <v>37</v>
      </c>
      <c r="F499">
        <v>1000</v>
      </c>
      <c r="G499">
        <v>1000</v>
      </c>
      <c r="H499">
        <v>5</v>
      </c>
      <c r="I499" s="1">
        <f t="shared" si="7"/>
        <v>5</v>
      </c>
      <c r="J499" s="1">
        <v>500</v>
      </c>
      <c r="K499" s="1">
        <v>375</v>
      </c>
      <c r="L499" s="1">
        <v>3000</v>
      </c>
      <c r="M499" s="1" t="s">
        <v>149</v>
      </c>
      <c r="N499" s="1"/>
      <c r="O499" s="1"/>
      <c r="P499" s="1"/>
      <c r="Q499" s="62"/>
      <c r="X499">
        <v>2024</v>
      </c>
    </row>
    <row r="500" spans="1:24" x14ac:dyDescent="0.25">
      <c r="A500" t="s">
        <v>897</v>
      </c>
      <c r="B500" s="52">
        <v>45309</v>
      </c>
      <c r="C500" t="s">
        <v>898</v>
      </c>
      <c r="D500" t="s">
        <v>263</v>
      </c>
      <c r="E500" t="s">
        <v>27</v>
      </c>
      <c r="F500">
        <v>1000</v>
      </c>
      <c r="G500">
        <v>1000</v>
      </c>
      <c r="H500">
        <v>5</v>
      </c>
      <c r="I500" s="1">
        <f t="shared" si="7"/>
        <v>5</v>
      </c>
      <c r="J500" s="1">
        <v>400</v>
      </c>
      <c r="K500" s="1">
        <v>375</v>
      </c>
      <c r="L500" s="1">
        <v>2500</v>
      </c>
      <c r="M500" s="1" t="s">
        <v>149</v>
      </c>
      <c r="N500" s="1"/>
      <c r="O500" s="1"/>
      <c r="P500" s="1"/>
      <c r="Q500" s="62"/>
      <c r="X500">
        <v>2024</v>
      </c>
    </row>
    <row r="501" spans="1:24" x14ac:dyDescent="0.25">
      <c r="A501" t="s">
        <v>899</v>
      </c>
      <c r="B501" s="52">
        <v>45309</v>
      </c>
      <c r="C501" t="s">
        <v>220</v>
      </c>
      <c r="D501" t="s">
        <v>52</v>
      </c>
      <c r="E501" t="s">
        <v>27</v>
      </c>
      <c r="F501">
        <v>1000</v>
      </c>
      <c r="G501">
        <v>1000</v>
      </c>
      <c r="H501">
        <v>5</v>
      </c>
      <c r="I501" s="1">
        <f t="shared" si="7"/>
        <v>5</v>
      </c>
      <c r="J501" s="1">
        <v>400</v>
      </c>
      <c r="K501" s="1">
        <v>375</v>
      </c>
      <c r="L501" s="1">
        <v>2450</v>
      </c>
      <c r="M501" s="1" t="s">
        <v>149</v>
      </c>
      <c r="N501" s="1"/>
      <c r="O501" s="1"/>
      <c r="P501" s="1" t="s">
        <v>149</v>
      </c>
      <c r="Q501" s="62">
        <v>45309</v>
      </c>
      <c r="X501">
        <v>2024</v>
      </c>
    </row>
    <row r="502" spans="1:24" x14ac:dyDescent="0.25">
      <c r="A502" t="s">
        <v>900</v>
      </c>
      <c r="B502" s="52">
        <v>45322</v>
      </c>
      <c r="C502" t="s">
        <v>466</v>
      </c>
      <c r="D502" t="s">
        <v>157</v>
      </c>
      <c r="E502" t="s">
        <v>27</v>
      </c>
      <c r="F502">
        <v>1750</v>
      </c>
      <c r="G502">
        <v>1750</v>
      </c>
      <c r="H502">
        <v>220</v>
      </c>
      <c r="I502" s="1">
        <f t="shared" si="7"/>
        <v>673.75</v>
      </c>
      <c r="J502" s="1">
        <v>260</v>
      </c>
      <c r="K502" s="1">
        <v>16843.75</v>
      </c>
      <c r="L502" s="1">
        <v>192598.75</v>
      </c>
      <c r="M502" s="1" t="s">
        <v>149</v>
      </c>
      <c r="N502" s="1"/>
      <c r="O502" s="1"/>
      <c r="P502" s="1"/>
      <c r="Q502" s="62"/>
      <c r="X502">
        <v>2024</v>
      </c>
    </row>
    <row r="503" spans="1:24" x14ac:dyDescent="0.25">
      <c r="A503" t="s">
        <v>901</v>
      </c>
      <c r="B503" s="52">
        <v>45310</v>
      </c>
      <c r="C503" t="s">
        <v>902</v>
      </c>
      <c r="D503" t="s">
        <v>187</v>
      </c>
      <c r="E503" t="s">
        <v>27</v>
      </c>
      <c r="F503">
        <v>1000</v>
      </c>
      <c r="G503">
        <v>1000</v>
      </c>
      <c r="H503">
        <v>5</v>
      </c>
      <c r="I503" s="1">
        <f t="shared" si="7"/>
        <v>5</v>
      </c>
      <c r="J503" s="1">
        <v>400</v>
      </c>
      <c r="K503" s="1">
        <v>375</v>
      </c>
      <c r="L503" s="1">
        <v>2500</v>
      </c>
      <c r="M503" s="1" t="s">
        <v>149</v>
      </c>
      <c r="N503" s="1"/>
      <c r="O503" s="1"/>
      <c r="P503" s="1"/>
      <c r="Q503" s="62"/>
      <c r="X503">
        <v>2024</v>
      </c>
    </row>
    <row r="504" spans="1:24" x14ac:dyDescent="0.25">
      <c r="A504" t="s">
        <v>903</v>
      </c>
      <c r="B504" s="52">
        <v>45310</v>
      </c>
      <c r="C504" t="s">
        <v>904</v>
      </c>
      <c r="D504" t="s">
        <v>57</v>
      </c>
      <c r="E504" t="s">
        <v>27</v>
      </c>
      <c r="F504">
        <v>1000</v>
      </c>
      <c r="G504">
        <v>1000</v>
      </c>
      <c r="H504">
        <v>5</v>
      </c>
      <c r="I504" s="1">
        <f t="shared" si="7"/>
        <v>5</v>
      </c>
      <c r="J504" s="1">
        <v>400</v>
      </c>
      <c r="K504" s="1">
        <v>345</v>
      </c>
      <c r="L504" s="1">
        <v>2500</v>
      </c>
      <c r="M504" s="1" t="s">
        <v>149</v>
      </c>
      <c r="N504" s="1"/>
      <c r="O504" s="1"/>
      <c r="P504" s="1"/>
      <c r="Q504" s="62"/>
      <c r="X504">
        <v>2024</v>
      </c>
    </row>
    <row r="505" spans="1:24" x14ac:dyDescent="0.25">
      <c r="A505" t="s">
        <v>905</v>
      </c>
      <c r="B505" s="52">
        <v>45310</v>
      </c>
      <c r="C505" t="s">
        <v>906</v>
      </c>
      <c r="D505" t="s">
        <v>57</v>
      </c>
      <c r="E505" t="s">
        <v>32</v>
      </c>
      <c r="F505">
        <v>1000</v>
      </c>
      <c r="G505">
        <v>1000</v>
      </c>
      <c r="H505">
        <v>10</v>
      </c>
      <c r="I505" s="1">
        <f t="shared" si="7"/>
        <v>10</v>
      </c>
      <c r="J505">
        <v>576.08000000000004</v>
      </c>
      <c r="K505" s="1">
        <v>750</v>
      </c>
      <c r="L505" s="1">
        <v>6960.8</v>
      </c>
      <c r="M505" s="1" t="s">
        <v>149</v>
      </c>
      <c r="N505" s="1"/>
      <c r="O505" s="1"/>
      <c r="P505" s="1" t="s">
        <v>149</v>
      </c>
      <c r="Q505" s="62">
        <v>45310</v>
      </c>
      <c r="S505" t="s">
        <v>907</v>
      </c>
      <c r="X505">
        <v>2024</v>
      </c>
    </row>
    <row r="506" spans="1:24" x14ac:dyDescent="0.25">
      <c r="A506" t="s">
        <v>908</v>
      </c>
      <c r="B506" s="52">
        <v>45314</v>
      </c>
      <c r="C506" t="s">
        <v>909</v>
      </c>
      <c r="D506" t="s">
        <v>910</v>
      </c>
      <c r="E506" t="s">
        <v>27</v>
      </c>
      <c r="F506">
        <v>1000</v>
      </c>
      <c r="G506">
        <v>1000</v>
      </c>
      <c r="H506">
        <v>5</v>
      </c>
      <c r="I506" s="1">
        <f t="shared" si="7"/>
        <v>5</v>
      </c>
      <c r="J506" s="1">
        <v>400</v>
      </c>
      <c r="K506" s="1">
        <v>375</v>
      </c>
      <c r="L506" s="1">
        <v>2500</v>
      </c>
      <c r="M506" s="1" t="s">
        <v>149</v>
      </c>
      <c r="N506" s="1"/>
      <c r="O506" s="1"/>
      <c r="P506" s="1"/>
      <c r="Q506" s="62"/>
      <c r="X506">
        <v>2024</v>
      </c>
    </row>
    <row r="507" spans="1:24" x14ac:dyDescent="0.25">
      <c r="A507" t="s">
        <v>911</v>
      </c>
      <c r="B507" s="52">
        <v>45315</v>
      </c>
      <c r="C507" t="s">
        <v>45</v>
      </c>
      <c r="D507" t="s">
        <v>46</v>
      </c>
      <c r="E507" t="s">
        <v>27</v>
      </c>
      <c r="F507">
        <v>500</v>
      </c>
      <c r="G507">
        <v>500</v>
      </c>
      <c r="H507">
        <v>100</v>
      </c>
      <c r="I507" s="1">
        <f t="shared" si="7"/>
        <v>25</v>
      </c>
      <c r="J507" s="1">
        <v>325.19</v>
      </c>
      <c r="K507" s="1">
        <v>1250</v>
      </c>
      <c r="L507" s="1">
        <v>9379.75</v>
      </c>
      <c r="M507" s="1" t="s">
        <v>149</v>
      </c>
      <c r="N507" s="1"/>
      <c r="O507" s="1"/>
      <c r="P507" s="1" t="s">
        <v>149</v>
      </c>
      <c r="Q507" s="62">
        <v>45320</v>
      </c>
      <c r="X507">
        <v>2024</v>
      </c>
    </row>
    <row r="508" spans="1:24" x14ac:dyDescent="0.25">
      <c r="A508" t="s">
        <v>912</v>
      </c>
      <c r="B508" s="52">
        <v>45316</v>
      </c>
      <c r="C508" t="s">
        <v>609</v>
      </c>
      <c r="D508" t="s">
        <v>100</v>
      </c>
      <c r="E508" t="s">
        <v>37</v>
      </c>
      <c r="F508">
        <v>1000</v>
      </c>
      <c r="G508">
        <v>1000</v>
      </c>
      <c r="H508">
        <v>10</v>
      </c>
      <c r="I508" s="1">
        <f t="shared" si="7"/>
        <v>10</v>
      </c>
      <c r="J508" s="1">
        <v>464</v>
      </c>
      <c r="K508" s="1">
        <v>750</v>
      </c>
      <c r="L508" s="1">
        <v>5610</v>
      </c>
      <c r="M508" s="1" t="s">
        <v>149</v>
      </c>
      <c r="N508" s="1"/>
      <c r="O508" s="1"/>
      <c r="P508" s="1" t="s">
        <v>149</v>
      </c>
      <c r="Q508" s="62">
        <v>45322</v>
      </c>
      <c r="X508">
        <v>2024</v>
      </c>
    </row>
    <row r="509" spans="1:24" x14ac:dyDescent="0.25">
      <c r="A509" t="s">
        <v>913</v>
      </c>
      <c r="B509" s="52">
        <v>45316</v>
      </c>
      <c r="C509" t="s">
        <v>463</v>
      </c>
      <c r="D509" t="s">
        <v>464</v>
      </c>
      <c r="E509" t="s">
        <v>27</v>
      </c>
      <c r="F509">
        <v>1000</v>
      </c>
      <c r="G509">
        <v>1000</v>
      </c>
      <c r="H509">
        <v>5</v>
      </c>
      <c r="I509" s="1">
        <f t="shared" si="7"/>
        <v>5</v>
      </c>
      <c r="J509" s="1">
        <v>400</v>
      </c>
      <c r="K509" s="1">
        <v>375</v>
      </c>
      <c r="L509" s="1">
        <v>2500</v>
      </c>
      <c r="M509" s="1" t="s">
        <v>149</v>
      </c>
      <c r="N509" s="1"/>
      <c r="O509" s="1"/>
      <c r="P509" s="1"/>
      <c r="Q509" s="62"/>
      <c r="X509">
        <v>2024</v>
      </c>
    </row>
    <row r="510" spans="1:24" ht="30" x14ac:dyDescent="0.25">
      <c r="A510" t="s">
        <v>914</v>
      </c>
      <c r="B510" s="52">
        <v>45317</v>
      </c>
      <c r="C510" s="12" t="s">
        <v>915</v>
      </c>
      <c r="D510" t="s">
        <v>464</v>
      </c>
      <c r="E510" t="s">
        <v>32</v>
      </c>
      <c r="F510">
        <v>1000</v>
      </c>
      <c r="G510">
        <v>1000</v>
      </c>
      <c r="H510">
        <v>5</v>
      </c>
      <c r="I510" s="1">
        <f t="shared" si="7"/>
        <v>5</v>
      </c>
      <c r="J510" s="1">
        <v>600</v>
      </c>
      <c r="K510" s="1">
        <v>375</v>
      </c>
      <c r="L510" s="1">
        <v>3650</v>
      </c>
      <c r="M510" s="1" t="s">
        <v>149</v>
      </c>
      <c r="N510" s="1"/>
      <c r="O510" s="1"/>
      <c r="P510" s="1" t="s">
        <v>149</v>
      </c>
      <c r="Q510" s="62">
        <v>45397</v>
      </c>
      <c r="S510" t="s">
        <v>916</v>
      </c>
      <c r="T510" s="3">
        <v>45385</v>
      </c>
      <c r="U510">
        <v>600</v>
      </c>
      <c r="V510">
        <v>375</v>
      </c>
      <c r="W510">
        <v>3650</v>
      </c>
      <c r="X510">
        <v>2024</v>
      </c>
    </row>
    <row r="511" spans="1:24" x14ac:dyDescent="0.25">
      <c r="A511" t="s">
        <v>917</v>
      </c>
      <c r="B511" s="52">
        <v>45320</v>
      </c>
      <c r="C511" t="s">
        <v>918</v>
      </c>
      <c r="D511" t="s">
        <v>100</v>
      </c>
      <c r="E511" t="s">
        <v>27</v>
      </c>
      <c r="F511">
        <v>1000</v>
      </c>
      <c r="G511">
        <v>1000</v>
      </c>
      <c r="H511">
        <v>5</v>
      </c>
      <c r="I511" s="1">
        <f t="shared" si="7"/>
        <v>5</v>
      </c>
      <c r="J511" s="1">
        <v>400</v>
      </c>
      <c r="K511" s="1">
        <v>375</v>
      </c>
      <c r="L511" s="1">
        <v>2500</v>
      </c>
      <c r="M511" s="1" t="s">
        <v>149</v>
      </c>
      <c r="N511" s="1"/>
      <c r="O511" s="1"/>
      <c r="P511" s="1" t="s">
        <v>149</v>
      </c>
      <c r="Q511" s="62">
        <v>45335</v>
      </c>
      <c r="X511">
        <v>2024</v>
      </c>
    </row>
    <row r="512" spans="1:24" x14ac:dyDescent="0.25">
      <c r="A512" t="s">
        <v>919</v>
      </c>
      <c r="B512" s="52">
        <v>45321</v>
      </c>
      <c r="C512" t="s">
        <v>920</v>
      </c>
      <c r="D512" t="s">
        <v>83</v>
      </c>
      <c r="E512" t="s">
        <v>32</v>
      </c>
      <c r="F512">
        <v>1000</v>
      </c>
      <c r="G512">
        <v>1000</v>
      </c>
      <c r="H512">
        <v>6000</v>
      </c>
      <c r="I512" s="1">
        <f t="shared" si="7"/>
        <v>6000</v>
      </c>
      <c r="J512" s="1">
        <v>360</v>
      </c>
      <c r="K512" s="1">
        <v>150000</v>
      </c>
      <c r="L512" s="1">
        <v>2310000</v>
      </c>
      <c r="M512" s="1" t="s">
        <v>149</v>
      </c>
      <c r="N512" s="1"/>
      <c r="O512" s="1"/>
      <c r="P512" s="1"/>
      <c r="Q512" s="62"/>
      <c r="X512">
        <v>2024</v>
      </c>
    </row>
    <row r="513" spans="1:24" x14ac:dyDescent="0.25">
      <c r="A513" t="s">
        <v>921</v>
      </c>
      <c r="B513" s="52">
        <v>45322</v>
      </c>
      <c r="C513" t="s">
        <v>35</v>
      </c>
      <c r="D513" t="s">
        <v>36</v>
      </c>
      <c r="E513" t="s">
        <v>32</v>
      </c>
      <c r="F513">
        <v>1250</v>
      </c>
      <c r="G513">
        <v>1420</v>
      </c>
      <c r="H513">
        <v>12</v>
      </c>
      <c r="I513" s="1">
        <f t="shared" si="7"/>
        <v>21.3</v>
      </c>
      <c r="J513" s="1">
        <v>538.22</v>
      </c>
      <c r="K513" s="1">
        <v>1065</v>
      </c>
      <c r="L513" s="1">
        <v>40330.699999999997</v>
      </c>
      <c r="M513" s="1" t="s">
        <v>149</v>
      </c>
      <c r="N513" s="1"/>
      <c r="O513" s="1"/>
      <c r="P513" s="1"/>
      <c r="Q513" s="62"/>
      <c r="X513">
        <v>2024</v>
      </c>
    </row>
    <row r="514" spans="1:24" x14ac:dyDescent="0.25">
      <c r="A514" t="s">
        <v>921</v>
      </c>
      <c r="B514" s="52">
        <v>45322</v>
      </c>
      <c r="C514" t="s">
        <v>35</v>
      </c>
      <c r="D514" t="s">
        <v>36</v>
      </c>
      <c r="E514" t="s">
        <v>37</v>
      </c>
      <c r="F514">
        <v>1250</v>
      </c>
      <c r="G514">
        <v>1420</v>
      </c>
      <c r="H514">
        <v>36</v>
      </c>
      <c r="I514" s="1">
        <f t="shared" ref="I514:I577" si="8">$F514*$G514*$H514/1000000</f>
        <v>63.9</v>
      </c>
      <c r="J514" s="1">
        <v>385.08</v>
      </c>
      <c r="K514" s="1">
        <v>3195</v>
      </c>
      <c r="L514" s="1"/>
      <c r="M514" s="1" t="s">
        <v>149</v>
      </c>
      <c r="N514" s="1"/>
      <c r="O514" s="1"/>
      <c r="P514" s="1"/>
      <c r="Q514" s="62"/>
      <c r="X514">
        <v>2024</v>
      </c>
    </row>
    <row r="515" spans="1:24" x14ac:dyDescent="0.25">
      <c r="A515" t="s">
        <v>922</v>
      </c>
      <c r="B515" s="52">
        <v>45322</v>
      </c>
      <c r="C515" t="s">
        <v>35</v>
      </c>
      <c r="D515" t="s">
        <v>36</v>
      </c>
      <c r="E515" t="s">
        <v>32</v>
      </c>
      <c r="F515">
        <v>1250</v>
      </c>
      <c r="G515">
        <v>1420</v>
      </c>
      <c r="H515">
        <v>22</v>
      </c>
      <c r="I515" s="1">
        <f t="shared" si="8"/>
        <v>39.049999999999997</v>
      </c>
      <c r="J515" s="1">
        <v>497.24</v>
      </c>
      <c r="K515" s="1">
        <v>1952.5</v>
      </c>
      <c r="L515" s="1">
        <v>63846.18</v>
      </c>
      <c r="M515" s="1" t="s">
        <v>149</v>
      </c>
      <c r="N515" s="1"/>
      <c r="O515" s="1"/>
      <c r="P515" s="1"/>
      <c r="Q515" s="62"/>
      <c r="S515" t="s">
        <v>923</v>
      </c>
      <c r="T515" s="3">
        <v>45351</v>
      </c>
      <c r="U515">
        <v>300</v>
      </c>
      <c r="V515">
        <v>25</v>
      </c>
      <c r="W515" s="1">
        <v>42498.75</v>
      </c>
      <c r="X515">
        <v>2024</v>
      </c>
    </row>
    <row r="516" spans="1:24" x14ac:dyDescent="0.25">
      <c r="A516" t="s">
        <v>922</v>
      </c>
      <c r="B516" s="52">
        <v>45322</v>
      </c>
      <c r="C516" t="s">
        <v>35</v>
      </c>
      <c r="D516" t="s">
        <v>36</v>
      </c>
      <c r="E516" t="s">
        <v>37</v>
      </c>
      <c r="F516">
        <v>1250</v>
      </c>
      <c r="G516">
        <v>1420</v>
      </c>
      <c r="H516">
        <v>60</v>
      </c>
      <c r="I516" s="1">
        <f t="shared" si="8"/>
        <v>106.5</v>
      </c>
      <c r="J516" s="1">
        <v>373.84</v>
      </c>
      <c r="K516" s="1">
        <v>2662.5</v>
      </c>
      <c r="L516" s="1"/>
      <c r="M516" s="1" t="s">
        <v>149</v>
      </c>
      <c r="N516" s="1"/>
      <c r="O516" s="1"/>
      <c r="P516" s="1"/>
      <c r="Q516" s="62"/>
      <c r="S516" t="s">
        <v>923</v>
      </c>
      <c r="U516">
        <v>250</v>
      </c>
      <c r="V516">
        <v>25</v>
      </c>
      <c r="X516">
        <v>2024</v>
      </c>
    </row>
    <row r="517" spans="1:24" x14ac:dyDescent="0.25">
      <c r="A517" t="s">
        <v>924</v>
      </c>
      <c r="B517" s="52">
        <v>45322</v>
      </c>
      <c r="C517" t="s">
        <v>620</v>
      </c>
      <c r="D517" t="s">
        <v>336</v>
      </c>
      <c r="E517" t="s">
        <v>27</v>
      </c>
      <c r="F517">
        <v>1200</v>
      </c>
      <c r="G517">
        <v>1200</v>
      </c>
      <c r="H517">
        <v>30</v>
      </c>
      <c r="I517" s="1">
        <f t="shared" si="8"/>
        <v>43.2</v>
      </c>
      <c r="J517" s="1">
        <v>305.14</v>
      </c>
      <c r="K517" s="1">
        <v>2160</v>
      </c>
      <c r="L517" s="1">
        <v>16167.05</v>
      </c>
      <c r="M517" s="1" t="s">
        <v>149</v>
      </c>
      <c r="N517" s="1"/>
      <c r="O517" s="1"/>
      <c r="P517" s="1"/>
      <c r="Q517" s="62"/>
      <c r="X517">
        <v>2024</v>
      </c>
    </row>
    <row r="518" spans="1:24" x14ac:dyDescent="0.25">
      <c r="A518" t="s">
        <v>925</v>
      </c>
      <c r="B518" s="52">
        <v>45322</v>
      </c>
      <c r="C518" t="s">
        <v>289</v>
      </c>
      <c r="D518" t="s">
        <v>100</v>
      </c>
      <c r="E518" t="s">
        <v>37</v>
      </c>
      <c r="F518">
        <v>1000</v>
      </c>
      <c r="G518">
        <v>1000</v>
      </c>
      <c r="H518">
        <v>100</v>
      </c>
      <c r="I518" s="1">
        <f t="shared" si="8"/>
        <v>100</v>
      </c>
      <c r="J518" s="1">
        <v>376.36</v>
      </c>
      <c r="K518" s="1">
        <v>2500</v>
      </c>
      <c r="L518" s="1">
        <v>40806</v>
      </c>
      <c r="M518" s="1" t="s">
        <v>149</v>
      </c>
      <c r="N518" s="1"/>
      <c r="O518" s="1"/>
      <c r="P518" s="1"/>
      <c r="Q518" s="62"/>
      <c r="X518">
        <v>2024</v>
      </c>
    </row>
    <row r="519" spans="1:24" x14ac:dyDescent="0.25">
      <c r="A519" t="s">
        <v>926</v>
      </c>
      <c r="B519" s="52">
        <v>45322</v>
      </c>
      <c r="C519" t="s">
        <v>727</v>
      </c>
      <c r="D519" t="s">
        <v>83</v>
      </c>
      <c r="E519" t="s">
        <v>32</v>
      </c>
      <c r="F519">
        <v>1200</v>
      </c>
      <c r="G519">
        <v>2700</v>
      </c>
      <c r="H519">
        <v>50</v>
      </c>
      <c r="I519" s="1">
        <f t="shared" si="8"/>
        <v>162</v>
      </c>
      <c r="J519" s="1">
        <v>447.67</v>
      </c>
      <c r="K519" s="1">
        <v>4050</v>
      </c>
      <c r="L519" s="1">
        <v>76572.539999999994</v>
      </c>
      <c r="M519" s="1" t="s">
        <v>149</v>
      </c>
      <c r="N519" s="1"/>
      <c r="O519" s="1"/>
      <c r="P519" s="1" t="s">
        <v>149</v>
      </c>
      <c r="Q519" s="62">
        <v>45322</v>
      </c>
      <c r="X519">
        <v>2024</v>
      </c>
    </row>
    <row r="520" spans="1:24" x14ac:dyDescent="0.25">
      <c r="A520" t="s">
        <v>927</v>
      </c>
      <c r="B520" s="52">
        <v>45322</v>
      </c>
      <c r="C520" t="s">
        <v>672</v>
      </c>
      <c r="D520" t="s">
        <v>97</v>
      </c>
      <c r="E520" t="s">
        <v>27</v>
      </c>
      <c r="F520">
        <v>1000</v>
      </c>
      <c r="G520">
        <v>1000</v>
      </c>
      <c r="H520">
        <v>5</v>
      </c>
      <c r="I520" s="1">
        <f t="shared" si="8"/>
        <v>5</v>
      </c>
      <c r="J520" s="1">
        <v>400</v>
      </c>
      <c r="K520" s="1">
        <v>375</v>
      </c>
      <c r="L520" s="1">
        <v>2450</v>
      </c>
      <c r="M520" s="1" t="s">
        <v>149</v>
      </c>
      <c r="N520" s="1"/>
      <c r="O520" s="1"/>
      <c r="P520" s="1"/>
      <c r="Q520" s="62"/>
      <c r="X520">
        <v>2024</v>
      </c>
    </row>
    <row r="521" spans="1:24" x14ac:dyDescent="0.25">
      <c r="A521" t="s">
        <v>928</v>
      </c>
      <c r="B521" s="52">
        <v>45327</v>
      </c>
      <c r="C521" t="s">
        <v>500</v>
      </c>
      <c r="D521" t="s">
        <v>336</v>
      </c>
      <c r="E521" t="s">
        <v>27</v>
      </c>
      <c r="F521">
        <v>800</v>
      </c>
      <c r="G521">
        <v>636</v>
      </c>
      <c r="H521">
        <v>400</v>
      </c>
      <c r="I521" s="1">
        <f t="shared" si="8"/>
        <v>203.52</v>
      </c>
      <c r="J521" s="1">
        <v>273.36</v>
      </c>
      <c r="K521" s="1">
        <v>5088</v>
      </c>
      <c r="L521" s="1">
        <v>61652.23</v>
      </c>
      <c r="M521" s="1" t="s">
        <v>149</v>
      </c>
      <c r="N521" s="1"/>
      <c r="O521" s="1"/>
      <c r="P521" s="1" t="s">
        <v>149</v>
      </c>
      <c r="Q521" s="62">
        <v>45330</v>
      </c>
      <c r="X521">
        <v>2024</v>
      </c>
    </row>
    <row r="522" spans="1:24" x14ac:dyDescent="0.25">
      <c r="A522" t="s">
        <v>929</v>
      </c>
      <c r="B522" s="52">
        <v>45328</v>
      </c>
      <c r="C522" t="s">
        <v>816</v>
      </c>
      <c r="D522" t="s">
        <v>276</v>
      </c>
      <c r="E522" t="s">
        <v>32</v>
      </c>
      <c r="F522">
        <v>1500</v>
      </c>
      <c r="G522">
        <v>800</v>
      </c>
      <c r="H522">
        <v>20</v>
      </c>
      <c r="I522" s="1">
        <f t="shared" si="8"/>
        <v>24</v>
      </c>
      <c r="J522">
        <v>528.07000000000005</v>
      </c>
      <c r="K522" s="1">
        <v>1200</v>
      </c>
      <c r="L522" s="1">
        <v>14478.68</v>
      </c>
      <c r="M522" s="1" t="s">
        <v>149</v>
      </c>
      <c r="N522" s="1"/>
      <c r="O522" s="1"/>
      <c r="P522" s="1" t="s">
        <v>149</v>
      </c>
      <c r="Q522" s="62">
        <v>45328</v>
      </c>
      <c r="X522">
        <v>2024</v>
      </c>
    </row>
    <row r="523" spans="1:24" x14ac:dyDescent="0.25">
      <c r="A523" t="s">
        <v>930</v>
      </c>
      <c r="B523" s="52">
        <v>45328</v>
      </c>
      <c r="C523" t="s">
        <v>816</v>
      </c>
      <c r="D523" t="s">
        <v>276</v>
      </c>
      <c r="E523" t="s">
        <v>32</v>
      </c>
      <c r="F523">
        <v>1500</v>
      </c>
      <c r="G523">
        <v>800</v>
      </c>
      <c r="H523">
        <v>100</v>
      </c>
      <c r="I523" s="1">
        <f t="shared" si="8"/>
        <v>120</v>
      </c>
      <c r="J523">
        <v>458.74</v>
      </c>
      <c r="K523" s="1">
        <v>3000</v>
      </c>
      <c r="L523" s="1">
        <v>58653.8</v>
      </c>
      <c r="M523" s="1" t="s">
        <v>149</v>
      </c>
      <c r="N523" s="1"/>
      <c r="O523" s="1"/>
      <c r="P523" s="1"/>
      <c r="Q523" s="62"/>
      <c r="X523">
        <v>2024</v>
      </c>
    </row>
    <row r="524" spans="1:24" x14ac:dyDescent="0.25">
      <c r="A524" t="s">
        <v>931</v>
      </c>
      <c r="B524" s="52">
        <v>45327</v>
      </c>
      <c r="C524" t="s">
        <v>202</v>
      </c>
      <c r="D524" t="s">
        <v>100</v>
      </c>
      <c r="E524" t="s">
        <v>37</v>
      </c>
      <c r="F524">
        <v>600</v>
      </c>
      <c r="G524">
        <v>600</v>
      </c>
      <c r="H524">
        <v>60</v>
      </c>
      <c r="I524" s="1">
        <f t="shared" si="8"/>
        <v>21.6</v>
      </c>
      <c r="J524">
        <v>432.49</v>
      </c>
      <c r="K524" s="1">
        <v>1080</v>
      </c>
      <c r="L524" s="1">
        <v>10641.78</v>
      </c>
      <c r="M524" s="1" t="s">
        <v>149</v>
      </c>
      <c r="N524" s="1"/>
      <c r="O524" s="1"/>
      <c r="P524" s="1" t="s">
        <v>149</v>
      </c>
      <c r="Q524" s="62">
        <v>45336</v>
      </c>
      <c r="X524">
        <v>2024</v>
      </c>
    </row>
    <row r="525" spans="1:24" x14ac:dyDescent="0.25">
      <c r="A525" t="s">
        <v>932</v>
      </c>
      <c r="B525" s="52">
        <v>45327</v>
      </c>
      <c r="C525" t="s">
        <v>345</v>
      </c>
      <c r="D525" t="s">
        <v>46</v>
      </c>
      <c r="E525" t="s">
        <v>37</v>
      </c>
      <c r="F525">
        <v>1500</v>
      </c>
      <c r="G525">
        <v>1500</v>
      </c>
      <c r="H525">
        <v>220</v>
      </c>
      <c r="I525" s="1">
        <f t="shared" si="8"/>
        <v>495</v>
      </c>
      <c r="J525">
        <v>343.44</v>
      </c>
      <c r="K525" s="1">
        <v>12375</v>
      </c>
      <c r="L525" s="1">
        <v>183457.8</v>
      </c>
      <c r="M525" s="1" t="s">
        <v>149</v>
      </c>
      <c r="N525" s="1"/>
      <c r="O525" s="1"/>
      <c r="P525" s="1"/>
      <c r="Q525" s="62"/>
      <c r="X525">
        <v>2024</v>
      </c>
    </row>
    <row r="526" spans="1:24" x14ac:dyDescent="0.25">
      <c r="A526" t="s">
        <v>933</v>
      </c>
      <c r="B526" s="52">
        <v>45329</v>
      </c>
      <c r="C526" t="s">
        <v>500</v>
      </c>
      <c r="D526" t="s">
        <v>336</v>
      </c>
      <c r="E526" t="s">
        <v>27</v>
      </c>
      <c r="F526">
        <v>385</v>
      </c>
      <c r="G526">
        <v>385</v>
      </c>
      <c r="H526">
        <v>135</v>
      </c>
      <c r="I526" s="1">
        <f t="shared" si="8"/>
        <v>20.010375</v>
      </c>
      <c r="J526" s="1">
        <v>337.06</v>
      </c>
      <c r="K526" s="1">
        <v>1500</v>
      </c>
      <c r="L526" s="1">
        <v>8514.57</v>
      </c>
      <c r="M526" s="1" t="s">
        <v>149</v>
      </c>
      <c r="N526" s="1"/>
      <c r="O526" s="1"/>
      <c r="P526" s="1" t="s">
        <v>149</v>
      </c>
      <c r="Q526" s="62">
        <v>45330</v>
      </c>
      <c r="X526">
        <v>2024</v>
      </c>
    </row>
    <row r="527" spans="1:24" x14ac:dyDescent="0.25">
      <c r="A527" t="s">
        <v>934</v>
      </c>
      <c r="B527" s="52">
        <v>45328</v>
      </c>
      <c r="C527" t="s">
        <v>918</v>
      </c>
      <c r="D527" t="s">
        <v>100</v>
      </c>
      <c r="E527" t="s">
        <v>32</v>
      </c>
      <c r="F527">
        <v>1000</v>
      </c>
      <c r="G527">
        <v>1000</v>
      </c>
      <c r="H527">
        <v>5</v>
      </c>
      <c r="I527" s="1">
        <f t="shared" si="8"/>
        <v>5</v>
      </c>
      <c r="J527" s="1">
        <v>600</v>
      </c>
      <c r="K527" s="1">
        <v>375</v>
      </c>
      <c r="L527" s="1">
        <v>3650</v>
      </c>
      <c r="M527" s="1" t="s">
        <v>149</v>
      </c>
      <c r="N527" s="1"/>
      <c r="O527" s="1"/>
      <c r="P527" s="1"/>
      <c r="Q527" s="62"/>
      <c r="X527">
        <v>2024</v>
      </c>
    </row>
    <row r="528" spans="1:24" x14ac:dyDescent="0.25">
      <c r="A528" t="s">
        <v>935</v>
      </c>
      <c r="B528" s="52">
        <v>45329</v>
      </c>
      <c r="C528" t="s">
        <v>936</v>
      </c>
      <c r="D528" t="s">
        <v>97</v>
      </c>
      <c r="E528" t="s">
        <v>32</v>
      </c>
      <c r="F528">
        <v>1000</v>
      </c>
      <c r="G528">
        <v>1000</v>
      </c>
      <c r="H528">
        <v>5</v>
      </c>
      <c r="I528" s="1">
        <f t="shared" si="8"/>
        <v>5</v>
      </c>
      <c r="J528" s="1">
        <v>600</v>
      </c>
      <c r="K528" s="1">
        <v>375</v>
      </c>
      <c r="L528" s="1">
        <v>3650</v>
      </c>
      <c r="M528" s="1" t="s">
        <v>149</v>
      </c>
      <c r="N528" s="1"/>
      <c r="O528" s="1"/>
      <c r="P528" s="1"/>
      <c r="Q528" s="62"/>
      <c r="X528">
        <v>2024</v>
      </c>
    </row>
    <row r="529" spans="1:24" x14ac:dyDescent="0.25">
      <c r="A529" t="s">
        <v>937</v>
      </c>
      <c r="B529" s="52">
        <v>45329</v>
      </c>
      <c r="C529" t="s">
        <v>938</v>
      </c>
      <c r="D529" t="s">
        <v>939</v>
      </c>
      <c r="E529" t="s">
        <v>27</v>
      </c>
      <c r="F529">
        <v>1000</v>
      </c>
      <c r="G529">
        <v>1000</v>
      </c>
      <c r="H529">
        <v>5</v>
      </c>
      <c r="I529" s="1">
        <f t="shared" si="8"/>
        <v>5</v>
      </c>
      <c r="J529" s="1">
        <v>400</v>
      </c>
      <c r="K529" s="1">
        <v>375</v>
      </c>
      <c r="L529" s="1">
        <v>2450</v>
      </c>
      <c r="M529" s="1" t="s">
        <v>149</v>
      </c>
      <c r="N529" s="1"/>
      <c r="O529" s="1"/>
      <c r="P529" s="1"/>
      <c r="Q529" s="62"/>
      <c r="X529">
        <v>2024</v>
      </c>
    </row>
    <row r="530" spans="1:24" x14ac:dyDescent="0.25">
      <c r="A530" t="s">
        <v>940</v>
      </c>
      <c r="B530" s="52">
        <v>45329</v>
      </c>
      <c r="C530" t="s">
        <v>941</v>
      </c>
      <c r="D530" t="s">
        <v>336</v>
      </c>
      <c r="E530" t="s">
        <v>37</v>
      </c>
      <c r="F530">
        <v>1000</v>
      </c>
      <c r="G530">
        <v>1000</v>
      </c>
      <c r="H530">
        <v>5</v>
      </c>
      <c r="I530" s="1">
        <f t="shared" si="8"/>
        <v>5</v>
      </c>
      <c r="J530" s="1">
        <v>500</v>
      </c>
      <c r="K530" s="1">
        <v>375</v>
      </c>
      <c r="L530" s="1">
        <v>2950</v>
      </c>
      <c r="M530" s="1" t="s">
        <v>149</v>
      </c>
      <c r="N530" s="1"/>
      <c r="O530" s="1"/>
      <c r="P530" s="1"/>
      <c r="Q530" s="62"/>
      <c r="X530">
        <v>2024</v>
      </c>
    </row>
    <row r="531" spans="1:24" x14ac:dyDescent="0.25">
      <c r="A531" t="s">
        <v>942</v>
      </c>
      <c r="B531" s="52">
        <v>45329</v>
      </c>
      <c r="C531" t="s">
        <v>943</v>
      </c>
      <c r="D531" t="s">
        <v>70</v>
      </c>
      <c r="E531" t="s">
        <v>27</v>
      </c>
      <c r="F531">
        <v>1000</v>
      </c>
      <c r="G531">
        <v>1000</v>
      </c>
      <c r="H531">
        <v>5</v>
      </c>
      <c r="I531" s="1">
        <f t="shared" si="8"/>
        <v>5</v>
      </c>
      <c r="J531" s="1">
        <v>400</v>
      </c>
      <c r="K531" s="1">
        <v>375</v>
      </c>
      <c r="L531" s="1">
        <v>2450</v>
      </c>
      <c r="M531" s="1" t="s">
        <v>149</v>
      </c>
      <c r="N531" s="1"/>
      <c r="O531" s="1"/>
      <c r="P531" s="1"/>
      <c r="Q531" s="62"/>
      <c r="X531">
        <v>2024</v>
      </c>
    </row>
    <row r="532" spans="1:24" x14ac:dyDescent="0.25">
      <c r="A532" t="s">
        <v>944</v>
      </c>
      <c r="B532" s="52">
        <v>45331</v>
      </c>
      <c r="C532" t="s">
        <v>269</v>
      </c>
      <c r="D532" t="s">
        <v>31</v>
      </c>
      <c r="E532" t="s">
        <v>27</v>
      </c>
      <c r="F532">
        <v>631</v>
      </c>
      <c r="G532">
        <v>631</v>
      </c>
      <c r="H532">
        <v>5600</v>
      </c>
      <c r="I532" s="1">
        <f t="shared" si="8"/>
        <v>2229.7015999999999</v>
      </c>
      <c r="J532" s="1">
        <v>243.82</v>
      </c>
      <c r="K532" s="1">
        <v>55742.5</v>
      </c>
      <c r="L532" s="1">
        <v>599387.94999999995</v>
      </c>
      <c r="M532" s="1" t="s">
        <v>149</v>
      </c>
      <c r="N532" s="1"/>
      <c r="O532" s="1"/>
      <c r="P532" s="1"/>
      <c r="Q532" s="62"/>
      <c r="X532">
        <v>2024</v>
      </c>
    </row>
    <row r="533" spans="1:24" x14ac:dyDescent="0.25">
      <c r="A533" t="s">
        <v>945</v>
      </c>
      <c r="B533" s="52">
        <v>45331</v>
      </c>
      <c r="C533" t="s">
        <v>946</v>
      </c>
      <c r="D533" t="s">
        <v>83</v>
      </c>
      <c r="E533" t="s">
        <v>27</v>
      </c>
      <c r="F533">
        <v>1000</v>
      </c>
      <c r="G533">
        <v>1000</v>
      </c>
      <c r="H533">
        <v>5</v>
      </c>
      <c r="I533" s="1">
        <f t="shared" si="8"/>
        <v>5</v>
      </c>
      <c r="J533" s="1">
        <v>400</v>
      </c>
      <c r="K533" s="1">
        <v>375</v>
      </c>
      <c r="L533" s="1">
        <v>2500</v>
      </c>
      <c r="M533" s="1" t="s">
        <v>149</v>
      </c>
      <c r="N533" s="1"/>
      <c r="O533" s="1"/>
      <c r="P533" s="1"/>
      <c r="Q533" s="62"/>
      <c r="X533">
        <v>2024</v>
      </c>
    </row>
    <row r="534" spans="1:24" x14ac:dyDescent="0.25">
      <c r="A534" t="s">
        <v>947</v>
      </c>
      <c r="B534" s="52">
        <v>45331</v>
      </c>
      <c r="C534" t="s">
        <v>946</v>
      </c>
      <c r="D534" t="s">
        <v>83</v>
      </c>
      <c r="E534" t="s">
        <v>37</v>
      </c>
      <c r="F534">
        <v>1000</v>
      </c>
      <c r="G534">
        <v>1000</v>
      </c>
      <c r="H534">
        <v>5</v>
      </c>
      <c r="I534" s="1">
        <f t="shared" si="8"/>
        <v>5</v>
      </c>
      <c r="J534" s="1">
        <v>500</v>
      </c>
      <c r="K534" s="1">
        <v>375</v>
      </c>
      <c r="L534" s="1">
        <v>3000</v>
      </c>
      <c r="M534" s="1" t="s">
        <v>149</v>
      </c>
      <c r="N534" s="1"/>
      <c r="O534" s="1"/>
      <c r="P534" s="1"/>
      <c r="Q534" s="62"/>
      <c r="X534">
        <v>2024</v>
      </c>
    </row>
    <row r="535" spans="1:24" x14ac:dyDescent="0.25">
      <c r="A535" t="s">
        <v>948</v>
      </c>
      <c r="B535" s="52">
        <v>45331</v>
      </c>
      <c r="C535" t="s">
        <v>946</v>
      </c>
      <c r="D535" t="s">
        <v>83</v>
      </c>
      <c r="E535" t="s">
        <v>32</v>
      </c>
      <c r="F535">
        <v>1000</v>
      </c>
      <c r="G535">
        <v>1000</v>
      </c>
      <c r="H535">
        <v>5</v>
      </c>
      <c r="I535" s="1">
        <f t="shared" si="8"/>
        <v>5</v>
      </c>
      <c r="J535" s="1">
        <v>600</v>
      </c>
      <c r="K535" s="1">
        <v>375</v>
      </c>
      <c r="L535" s="1">
        <v>3650</v>
      </c>
      <c r="M535" s="1" t="s">
        <v>149</v>
      </c>
      <c r="N535" s="1"/>
      <c r="O535" s="1"/>
      <c r="P535" s="1"/>
      <c r="Q535" s="62"/>
      <c r="X535">
        <v>2024</v>
      </c>
    </row>
    <row r="536" spans="1:24" x14ac:dyDescent="0.25">
      <c r="A536" t="s">
        <v>949</v>
      </c>
      <c r="B536" s="52">
        <v>45331</v>
      </c>
      <c r="C536" t="s">
        <v>950</v>
      </c>
      <c r="D536" t="s">
        <v>57</v>
      </c>
      <c r="E536" t="s">
        <v>27</v>
      </c>
      <c r="F536">
        <v>1000</v>
      </c>
      <c r="G536">
        <v>1000</v>
      </c>
      <c r="H536">
        <v>20</v>
      </c>
      <c r="I536" s="1">
        <f t="shared" si="8"/>
        <v>20</v>
      </c>
      <c r="J536" s="1">
        <v>337.09</v>
      </c>
      <c r="K536" s="1">
        <v>1500</v>
      </c>
      <c r="L536" s="1">
        <v>8416.7999999999993</v>
      </c>
      <c r="M536" s="1" t="s">
        <v>149</v>
      </c>
      <c r="N536" s="1"/>
      <c r="O536" s="1"/>
      <c r="P536" s="1"/>
      <c r="Q536" s="62"/>
      <c r="X536">
        <v>2024</v>
      </c>
    </row>
    <row r="537" spans="1:24" x14ac:dyDescent="0.25">
      <c r="A537" t="s">
        <v>951</v>
      </c>
      <c r="B537" s="52">
        <v>45331</v>
      </c>
      <c r="C537" t="s">
        <v>952</v>
      </c>
      <c r="D537" t="s">
        <v>248</v>
      </c>
      <c r="E537" t="s">
        <v>37</v>
      </c>
      <c r="F537">
        <v>1000</v>
      </c>
      <c r="G537">
        <v>1000</v>
      </c>
      <c r="H537">
        <v>5</v>
      </c>
      <c r="I537" s="1">
        <f t="shared" si="8"/>
        <v>5</v>
      </c>
      <c r="J537" s="1">
        <v>500</v>
      </c>
      <c r="K537" s="1">
        <v>375</v>
      </c>
      <c r="L537" s="1">
        <v>2950</v>
      </c>
      <c r="M537" s="1" t="s">
        <v>149</v>
      </c>
      <c r="N537" s="1"/>
      <c r="O537" s="1"/>
      <c r="P537" s="1"/>
      <c r="Q537" s="62"/>
      <c r="X537">
        <v>2024</v>
      </c>
    </row>
    <row r="538" spans="1:24" x14ac:dyDescent="0.25">
      <c r="A538" t="s">
        <v>953</v>
      </c>
      <c r="B538" s="52">
        <v>45336</v>
      </c>
      <c r="C538" t="s">
        <v>524</v>
      </c>
      <c r="D538" t="s">
        <v>525</v>
      </c>
      <c r="E538" t="s">
        <v>37</v>
      </c>
      <c r="F538">
        <v>1000</v>
      </c>
      <c r="G538">
        <v>1000</v>
      </c>
      <c r="H538">
        <v>14</v>
      </c>
      <c r="I538" s="1">
        <f t="shared" si="8"/>
        <v>14</v>
      </c>
      <c r="J538" s="1">
        <v>449.26</v>
      </c>
      <c r="K538" s="1">
        <v>1050</v>
      </c>
      <c r="L538" s="1">
        <v>7339.64</v>
      </c>
      <c r="M538" s="1" t="s">
        <v>149</v>
      </c>
      <c r="N538" s="1"/>
      <c r="O538" s="1"/>
      <c r="P538" s="1"/>
      <c r="Q538" s="62"/>
      <c r="X538">
        <v>2024</v>
      </c>
    </row>
    <row r="539" spans="1:24" x14ac:dyDescent="0.25">
      <c r="A539" t="s">
        <v>954</v>
      </c>
      <c r="B539" s="52">
        <v>45334</v>
      </c>
      <c r="C539" t="s">
        <v>955</v>
      </c>
      <c r="D539" t="s">
        <v>57</v>
      </c>
      <c r="E539" t="s">
        <v>37</v>
      </c>
      <c r="F539">
        <v>449</v>
      </c>
      <c r="G539">
        <v>449</v>
      </c>
      <c r="H539">
        <v>100</v>
      </c>
      <c r="I539" s="1">
        <f t="shared" si="8"/>
        <v>20.1601</v>
      </c>
      <c r="J539" s="1">
        <v>437.6</v>
      </c>
      <c r="K539" s="1">
        <v>1500</v>
      </c>
      <c r="L539" s="1">
        <v>10322.02</v>
      </c>
      <c r="M539" s="1" t="s">
        <v>149</v>
      </c>
      <c r="N539" s="1"/>
      <c r="O539" s="1"/>
      <c r="P539" s="1"/>
      <c r="Q539" s="62"/>
      <c r="X539">
        <v>2024</v>
      </c>
    </row>
    <row r="540" spans="1:24" x14ac:dyDescent="0.25">
      <c r="A540" t="s">
        <v>956</v>
      </c>
      <c r="B540" s="52">
        <v>45334</v>
      </c>
      <c r="C540" t="s">
        <v>955</v>
      </c>
      <c r="D540" t="s">
        <v>57</v>
      </c>
      <c r="E540" t="s">
        <v>37</v>
      </c>
      <c r="F540">
        <v>1000</v>
      </c>
      <c r="G540">
        <v>1000</v>
      </c>
      <c r="H540">
        <v>5</v>
      </c>
      <c r="I540" s="1">
        <f t="shared" si="8"/>
        <v>5</v>
      </c>
      <c r="J540" s="1">
        <v>500</v>
      </c>
      <c r="K540" s="1">
        <v>375</v>
      </c>
      <c r="L540" s="1">
        <v>3000</v>
      </c>
      <c r="M540" s="1" t="s">
        <v>149</v>
      </c>
      <c r="N540" s="1"/>
      <c r="O540" s="1"/>
      <c r="P540" s="1"/>
      <c r="Q540" s="62"/>
      <c r="X540">
        <v>2024</v>
      </c>
    </row>
    <row r="541" spans="1:24" x14ac:dyDescent="0.25">
      <c r="A541" t="s">
        <v>957</v>
      </c>
      <c r="B541" s="52">
        <v>45336</v>
      </c>
      <c r="C541" t="s">
        <v>958</v>
      </c>
      <c r="D541" t="s">
        <v>31</v>
      </c>
      <c r="E541" t="s">
        <v>27</v>
      </c>
      <c r="F541">
        <v>1000</v>
      </c>
      <c r="G541">
        <v>1000</v>
      </c>
      <c r="H541">
        <v>5</v>
      </c>
      <c r="I541" s="1">
        <f t="shared" si="8"/>
        <v>5</v>
      </c>
      <c r="J541" s="1">
        <v>400</v>
      </c>
      <c r="K541" s="1">
        <v>375</v>
      </c>
      <c r="L541" s="1">
        <v>2450</v>
      </c>
      <c r="M541" s="1" t="s">
        <v>149</v>
      </c>
      <c r="N541" s="1"/>
      <c r="O541" s="1"/>
      <c r="P541" s="1"/>
      <c r="Q541" s="62"/>
      <c r="X541">
        <v>2024</v>
      </c>
    </row>
    <row r="542" spans="1:24" x14ac:dyDescent="0.25">
      <c r="A542" t="s">
        <v>959</v>
      </c>
      <c r="B542" s="52">
        <v>45336</v>
      </c>
      <c r="C542" t="s">
        <v>524</v>
      </c>
      <c r="D542" t="s">
        <v>525</v>
      </c>
      <c r="E542" t="s">
        <v>37</v>
      </c>
      <c r="F542">
        <v>678</v>
      </c>
      <c r="G542">
        <v>678</v>
      </c>
      <c r="H542">
        <v>45</v>
      </c>
      <c r="I542" s="1">
        <f t="shared" si="8"/>
        <v>20.685780000000001</v>
      </c>
      <c r="J542" s="1">
        <v>435.64</v>
      </c>
      <c r="K542" s="1">
        <v>1500</v>
      </c>
      <c r="L542" s="1">
        <v>10513.39</v>
      </c>
      <c r="M542" s="1" t="s">
        <v>149</v>
      </c>
      <c r="N542" s="1"/>
      <c r="O542" s="1"/>
      <c r="P542" s="1"/>
      <c r="Q542" s="62"/>
      <c r="X542">
        <v>2024</v>
      </c>
    </row>
    <row r="543" spans="1:24" x14ac:dyDescent="0.25">
      <c r="A543" t="s">
        <v>960</v>
      </c>
      <c r="B543" s="52">
        <v>45341</v>
      </c>
      <c r="C543" t="s">
        <v>243</v>
      </c>
      <c r="D543" t="s">
        <v>103</v>
      </c>
      <c r="E543" t="s">
        <v>27</v>
      </c>
      <c r="F543">
        <v>1000</v>
      </c>
      <c r="G543">
        <v>1000</v>
      </c>
      <c r="H543">
        <v>10</v>
      </c>
      <c r="I543" s="1">
        <f t="shared" si="8"/>
        <v>10</v>
      </c>
      <c r="J543" s="1">
        <v>356.92</v>
      </c>
      <c r="K543" s="1">
        <v>750</v>
      </c>
      <c r="L543" s="1">
        <v>4569.2</v>
      </c>
      <c r="M543" s="1" t="s">
        <v>149</v>
      </c>
      <c r="N543" s="1"/>
      <c r="O543" s="1"/>
      <c r="P543" s="1" t="s">
        <v>149</v>
      </c>
      <c r="Q543" s="62">
        <v>45348</v>
      </c>
      <c r="X543">
        <v>2024</v>
      </c>
    </row>
    <row r="544" spans="1:24" x14ac:dyDescent="0.25">
      <c r="A544" t="s">
        <v>961</v>
      </c>
      <c r="B544" s="52">
        <v>45343</v>
      </c>
      <c r="C544" t="s">
        <v>962</v>
      </c>
      <c r="D544" t="s">
        <v>256</v>
      </c>
      <c r="E544" t="s">
        <v>27</v>
      </c>
      <c r="F544">
        <v>1000</v>
      </c>
      <c r="G544">
        <v>1000</v>
      </c>
      <c r="H544">
        <v>5</v>
      </c>
      <c r="I544" s="1">
        <f t="shared" si="8"/>
        <v>5</v>
      </c>
      <c r="J544" s="1">
        <v>400</v>
      </c>
      <c r="K544" s="1">
        <v>375</v>
      </c>
      <c r="L544" s="1">
        <v>2500</v>
      </c>
      <c r="M544" s="1" t="s">
        <v>149</v>
      </c>
      <c r="N544" s="1"/>
      <c r="O544" s="1"/>
      <c r="P544" s="1"/>
      <c r="Q544" s="62"/>
      <c r="X544">
        <v>2024</v>
      </c>
    </row>
    <row r="545" spans="1:24" x14ac:dyDescent="0.25">
      <c r="A545" t="s">
        <v>963</v>
      </c>
      <c r="B545" s="52">
        <v>45343</v>
      </c>
      <c r="C545" t="s">
        <v>962</v>
      </c>
      <c r="D545" t="s">
        <v>256</v>
      </c>
      <c r="E545" t="s">
        <v>37</v>
      </c>
      <c r="F545">
        <v>1000</v>
      </c>
      <c r="G545">
        <v>1000</v>
      </c>
      <c r="H545">
        <v>5</v>
      </c>
      <c r="I545" s="1">
        <f t="shared" si="8"/>
        <v>5</v>
      </c>
      <c r="J545" s="1">
        <v>500</v>
      </c>
      <c r="K545" s="1">
        <v>375</v>
      </c>
      <c r="L545" s="1">
        <v>3000</v>
      </c>
      <c r="M545" s="1" t="s">
        <v>149</v>
      </c>
      <c r="N545" s="1"/>
      <c r="O545" s="1"/>
      <c r="P545" s="1"/>
      <c r="Q545" s="62"/>
      <c r="X545">
        <v>2024</v>
      </c>
    </row>
    <row r="546" spans="1:24" x14ac:dyDescent="0.25">
      <c r="A546" t="s">
        <v>964</v>
      </c>
      <c r="B546" s="52">
        <v>45343</v>
      </c>
      <c r="C546" t="s">
        <v>965</v>
      </c>
      <c r="D546" t="s">
        <v>57</v>
      </c>
      <c r="E546" t="s">
        <v>27</v>
      </c>
      <c r="F546">
        <v>1000</v>
      </c>
      <c r="G546">
        <v>1000</v>
      </c>
      <c r="H546">
        <v>5</v>
      </c>
      <c r="I546" s="1">
        <f t="shared" si="8"/>
        <v>5</v>
      </c>
      <c r="J546" s="1">
        <v>400</v>
      </c>
      <c r="K546" s="1">
        <v>375</v>
      </c>
      <c r="L546" s="1">
        <v>2500</v>
      </c>
      <c r="M546" s="1" t="s">
        <v>149</v>
      </c>
      <c r="N546" s="1"/>
      <c r="O546" s="1"/>
      <c r="P546" s="1"/>
      <c r="Q546" s="62"/>
      <c r="X546">
        <v>2024</v>
      </c>
    </row>
    <row r="547" spans="1:24" x14ac:dyDescent="0.25">
      <c r="A547" t="s">
        <v>966</v>
      </c>
      <c r="B547" s="52">
        <v>45344</v>
      </c>
      <c r="C547" t="s">
        <v>967</v>
      </c>
      <c r="D547" t="s">
        <v>968</v>
      </c>
      <c r="E547" t="s">
        <v>27</v>
      </c>
      <c r="F547">
        <v>1000</v>
      </c>
      <c r="G547">
        <v>1000</v>
      </c>
      <c r="H547">
        <v>5</v>
      </c>
      <c r="I547" s="1">
        <f t="shared" si="8"/>
        <v>5</v>
      </c>
      <c r="J547" s="1">
        <v>400</v>
      </c>
      <c r="K547" s="1">
        <v>375</v>
      </c>
      <c r="L547" s="1">
        <v>2500</v>
      </c>
      <c r="M547" s="1" t="s">
        <v>149</v>
      </c>
      <c r="N547" s="1"/>
      <c r="O547" s="1"/>
      <c r="P547" s="1"/>
      <c r="Q547" s="62"/>
      <c r="X547">
        <v>2024</v>
      </c>
    </row>
    <row r="548" spans="1:24" x14ac:dyDescent="0.25">
      <c r="A548" t="s">
        <v>969</v>
      </c>
      <c r="B548" s="52">
        <v>45344</v>
      </c>
      <c r="C548" t="s">
        <v>970</v>
      </c>
      <c r="D548" t="s">
        <v>699</v>
      </c>
      <c r="E548" t="s">
        <v>27</v>
      </c>
      <c r="F548">
        <v>1000</v>
      </c>
      <c r="G548">
        <v>1000</v>
      </c>
      <c r="H548">
        <v>5</v>
      </c>
      <c r="I548" s="1">
        <f t="shared" si="8"/>
        <v>5</v>
      </c>
      <c r="J548" s="1">
        <v>400</v>
      </c>
      <c r="K548" s="1">
        <v>375</v>
      </c>
      <c r="L548" s="1">
        <v>2450</v>
      </c>
      <c r="M548" s="1" t="s">
        <v>149</v>
      </c>
      <c r="N548" s="1"/>
      <c r="O548" s="1"/>
      <c r="P548" s="1"/>
      <c r="Q548" s="62"/>
      <c r="X548">
        <v>2024</v>
      </c>
    </row>
    <row r="549" spans="1:24" x14ac:dyDescent="0.25">
      <c r="A549" t="s">
        <v>971</v>
      </c>
      <c r="B549" s="52">
        <v>45349</v>
      </c>
      <c r="C549" t="s">
        <v>972</v>
      </c>
      <c r="D549" t="s">
        <v>103</v>
      </c>
      <c r="E549" t="s">
        <v>27</v>
      </c>
      <c r="F549">
        <v>1000</v>
      </c>
      <c r="G549">
        <v>1000</v>
      </c>
      <c r="H549">
        <v>15</v>
      </c>
      <c r="I549" s="1">
        <f t="shared" si="8"/>
        <v>15</v>
      </c>
      <c r="J549" s="1">
        <v>343.7</v>
      </c>
      <c r="K549" s="1">
        <v>2000</v>
      </c>
      <c r="L549" s="1">
        <v>20336.75</v>
      </c>
      <c r="M549" s="1" t="s">
        <v>149</v>
      </c>
      <c r="N549" s="1"/>
      <c r="O549" s="1"/>
      <c r="P549" s="1" t="s">
        <v>149</v>
      </c>
      <c r="Q549" s="62">
        <v>45386</v>
      </c>
      <c r="X549">
        <v>2024</v>
      </c>
    </row>
    <row r="550" spans="1:24" x14ac:dyDescent="0.25">
      <c r="C550" t="s">
        <v>972</v>
      </c>
      <c r="D550" t="s">
        <v>103</v>
      </c>
      <c r="E550" t="s">
        <v>37</v>
      </c>
      <c r="F550">
        <v>1000</v>
      </c>
      <c r="G550">
        <v>1000</v>
      </c>
      <c r="H550">
        <v>10</v>
      </c>
      <c r="I550" s="1">
        <f t="shared" si="8"/>
        <v>10</v>
      </c>
      <c r="J550" s="1">
        <v>464</v>
      </c>
      <c r="K550" s="1"/>
      <c r="L550" s="1"/>
      <c r="M550" s="1" t="s">
        <v>149</v>
      </c>
      <c r="N550" s="1"/>
      <c r="O550" s="1"/>
      <c r="P550" s="1" t="s">
        <v>149</v>
      </c>
      <c r="Q550" s="62">
        <v>45386</v>
      </c>
      <c r="X550">
        <v>2024</v>
      </c>
    </row>
    <row r="551" spans="1:24" x14ac:dyDescent="0.25">
      <c r="C551" t="s">
        <v>972</v>
      </c>
      <c r="D551" t="s">
        <v>103</v>
      </c>
      <c r="E551" t="s">
        <v>32</v>
      </c>
      <c r="F551">
        <v>1000</v>
      </c>
      <c r="G551">
        <v>1000</v>
      </c>
      <c r="H551">
        <v>15</v>
      </c>
      <c r="I551" s="1">
        <f t="shared" si="8"/>
        <v>15</v>
      </c>
      <c r="J551" s="1">
        <v>554.75</v>
      </c>
      <c r="K551" s="1"/>
      <c r="L551" s="1"/>
      <c r="M551" s="1" t="s">
        <v>149</v>
      </c>
      <c r="N551" s="1"/>
      <c r="O551" s="1"/>
      <c r="P551" s="1" t="s">
        <v>149</v>
      </c>
      <c r="Q551" s="62">
        <v>45386</v>
      </c>
      <c r="X551">
        <v>2024</v>
      </c>
    </row>
    <row r="552" spans="1:24" x14ac:dyDescent="0.25">
      <c r="A552" t="s">
        <v>973</v>
      </c>
      <c r="B552" s="52">
        <v>45349</v>
      </c>
      <c r="C552" t="s">
        <v>974</v>
      </c>
      <c r="D552" t="s">
        <v>263</v>
      </c>
      <c r="E552" t="s">
        <v>32</v>
      </c>
      <c r="F552">
        <v>926</v>
      </c>
      <c r="G552">
        <v>826</v>
      </c>
      <c r="H552">
        <v>200</v>
      </c>
      <c r="I552" s="1">
        <f t="shared" si="8"/>
        <v>152.9752</v>
      </c>
      <c r="J552" s="1">
        <v>449.54</v>
      </c>
      <c r="K552" s="1">
        <v>3824.5</v>
      </c>
      <c r="L552" s="1">
        <v>72595.13</v>
      </c>
      <c r="M552" s="1" t="s">
        <v>149</v>
      </c>
      <c r="N552" s="1"/>
      <c r="O552" s="1"/>
      <c r="P552" s="1" t="s">
        <v>149</v>
      </c>
      <c r="Q552" s="62">
        <v>45370</v>
      </c>
      <c r="X552">
        <v>2024</v>
      </c>
    </row>
    <row r="553" spans="1:24" x14ac:dyDescent="0.25">
      <c r="A553" t="s">
        <v>975</v>
      </c>
      <c r="B553" s="52">
        <v>45350</v>
      </c>
      <c r="C553" t="s">
        <v>976</v>
      </c>
      <c r="D553" t="s">
        <v>176</v>
      </c>
      <c r="E553" t="s">
        <v>27</v>
      </c>
      <c r="F553">
        <v>1000</v>
      </c>
      <c r="G553">
        <v>1000</v>
      </c>
      <c r="H553">
        <v>5</v>
      </c>
      <c r="I553" s="1">
        <f t="shared" si="8"/>
        <v>5</v>
      </c>
      <c r="J553" s="1">
        <v>400</v>
      </c>
      <c r="K553" s="1">
        <v>375</v>
      </c>
      <c r="L553" s="1">
        <v>2500</v>
      </c>
      <c r="M553" s="1" t="s">
        <v>149</v>
      </c>
      <c r="N553" s="1"/>
      <c r="O553" s="1"/>
      <c r="P553" s="1"/>
      <c r="Q553" s="62"/>
      <c r="X553">
        <v>2024</v>
      </c>
    </row>
    <row r="554" spans="1:24" x14ac:dyDescent="0.25">
      <c r="A554" t="s">
        <v>977</v>
      </c>
      <c r="B554" s="52">
        <v>45350</v>
      </c>
      <c r="C554" t="s">
        <v>976</v>
      </c>
      <c r="D554" t="s">
        <v>176</v>
      </c>
      <c r="E554" t="s">
        <v>37</v>
      </c>
      <c r="F554">
        <v>1000</v>
      </c>
      <c r="G554">
        <v>1000</v>
      </c>
      <c r="H554">
        <v>5</v>
      </c>
      <c r="I554" s="1">
        <f t="shared" si="8"/>
        <v>5</v>
      </c>
      <c r="J554" s="1">
        <v>500</v>
      </c>
      <c r="K554" s="1">
        <v>375</v>
      </c>
      <c r="L554" s="1">
        <v>3000</v>
      </c>
      <c r="M554" s="1" t="s">
        <v>149</v>
      </c>
      <c r="N554" s="1"/>
      <c r="O554" s="1"/>
      <c r="P554" s="1"/>
      <c r="Q554" s="62"/>
      <c r="X554">
        <v>2024</v>
      </c>
    </row>
    <row r="555" spans="1:24" x14ac:dyDescent="0.25">
      <c r="A555" t="s">
        <v>978</v>
      </c>
      <c r="B555" s="52">
        <v>45350</v>
      </c>
      <c r="C555" t="s">
        <v>474</v>
      </c>
      <c r="D555" t="s">
        <v>100</v>
      </c>
      <c r="E555" t="s">
        <v>27</v>
      </c>
      <c r="F555">
        <v>2600</v>
      </c>
      <c r="G555">
        <v>1600</v>
      </c>
      <c r="H555">
        <v>20</v>
      </c>
      <c r="I555" s="1">
        <f t="shared" si="8"/>
        <v>83.2</v>
      </c>
      <c r="J555" s="1">
        <v>291.91000000000003</v>
      </c>
      <c r="K555" s="1">
        <v>2500</v>
      </c>
      <c r="L555" s="1">
        <v>27388.71</v>
      </c>
      <c r="M555" s="1" t="s">
        <v>149</v>
      </c>
      <c r="N555" s="1"/>
      <c r="O555" s="1"/>
      <c r="P555" s="1"/>
      <c r="Q555" s="62"/>
      <c r="X555">
        <v>2024</v>
      </c>
    </row>
    <row r="556" spans="1:24" x14ac:dyDescent="0.25">
      <c r="A556" t="s">
        <v>979</v>
      </c>
      <c r="B556" s="52">
        <v>45350</v>
      </c>
      <c r="C556" t="s">
        <v>980</v>
      </c>
      <c r="D556" t="s">
        <v>100</v>
      </c>
      <c r="E556" t="s">
        <v>37</v>
      </c>
      <c r="F556">
        <v>1000</v>
      </c>
      <c r="G556">
        <v>1000</v>
      </c>
      <c r="H556">
        <v>5</v>
      </c>
      <c r="I556" s="1">
        <f t="shared" si="8"/>
        <v>5</v>
      </c>
      <c r="J556" s="1">
        <v>500</v>
      </c>
      <c r="K556" s="1">
        <v>375</v>
      </c>
      <c r="L556" s="1">
        <v>3000</v>
      </c>
      <c r="M556" s="1" t="s">
        <v>149</v>
      </c>
      <c r="N556" s="1"/>
      <c r="O556" s="1"/>
      <c r="P556" s="1"/>
      <c r="Q556" s="62"/>
      <c r="X556">
        <v>2024</v>
      </c>
    </row>
    <row r="557" spans="1:24" s="4" customFormat="1" x14ac:dyDescent="0.25">
      <c r="A557" s="4" t="s">
        <v>981</v>
      </c>
      <c r="B557" s="54" t="s">
        <v>982</v>
      </c>
      <c r="C557" s="4" t="s">
        <v>983</v>
      </c>
      <c r="D557" s="4" t="s">
        <v>100</v>
      </c>
      <c r="E557" s="4" t="s">
        <v>27</v>
      </c>
      <c r="F557" s="4">
        <v>1000</v>
      </c>
      <c r="G557" s="4">
        <v>1000</v>
      </c>
      <c r="H557" s="4">
        <v>5</v>
      </c>
      <c r="I557" s="6">
        <f t="shared" si="8"/>
        <v>5</v>
      </c>
      <c r="J557" s="6">
        <v>400</v>
      </c>
      <c r="K557" s="6">
        <v>375</v>
      </c>
      <c r="L557" s="6">
        <v>2500</v>
      </c>
      <c r="M557" s="6" t="s">
        <v>149</v>
      </c>
      <c r="N557" s="6"/>
      <c r="O557" s="1"/>
      <c r="P557" s="6"/>
      <c r="Q557" s="17"/>
      <c r="S557" s="30" t="s">
        <v>984</v>
      </c>
      <c r="X557" s="4">
        <v>2024</v>
      </c>
    </row>
    <row r="558" spans="1:24" x14ac:dyDescent="0.25">
      <c r="A558" t="s">
        <v>985</v>
      </c>
      <c r="B558" s="52">
        <v>45350</v>
      </c>
      <c r="C558" t="s">
        <v>986</v>
      </c>
      <c r="D558" t="s">
        <v>57</v>
      </c>
      <c r="E558" t="s">
        <v>27</v>
      </c>
      <c r="F558">
        <v>1000</v>
      </c>
      <c r="G558">
        <v>1000</v>
      </c>
      <c r="H558">
        <v>5</v>
      </c>
      <c r="I558" s="1">
        <f t="shared" si="8"/>
        <v>5</v>
      </c>
      <c r="J558" s="1">
        <v>400</v>
      </c>
      <c r="K558" s="1">
        <v>375</v>
      </c>
      <c r="L558" s="1">
        <v>2500</v>
      </c>
      <c r="M558" s="1" t="s">
        <v>149</v>
      </c>
      <c r="N558" s="1"/>
      <c r="O558" s="1"/>
      <c r="P558" s="1"/>
      <c r="Q558" s="62"/>
      <c r="X558">
        <v>2024</v>
      </c>
    </row>
    <row r="559" spans="1:24" x14ac:dyDescent="0.25">
      <c r="A559" t="s">
        <v>987</v>
      </c>
      <c r="B559" s="52">
        <v>45363</v>
      </c>
      <c r="C559" t="s">
        <v>238</v>
      </c>
      <c r="D559" t="s">
        <v>138</v>
      </c>
      <c r="E559" t="s">
        <v>32</v>
      </c>
      <c r="F559">
        <v>603</v>
      </c>
      <c r="G559">
        <v>489</v>
      </c>
      <c r="H559">
        <v>4000</v>
      </c>
      <c r="I559" s="1">
        <f t="shared" si="8"/>
        <v>1179.4680000000001</v>
      </c>
      <c r="J559" s="1">
        <v>383.53</v>
      </c>
      <c r="K559" s="1">
        <v>29486.75</v>
      </c>
      <c r="L559" s="1">
        <v>482448.88</v>
      </c>
      <c r="M559" s="1" t="s">
        <v>149</v>
      </c>
      <c r="N559" s="1"/>
      <c r="O559" s="1"/>
      <c r="P559" s="1"/>
      <c r="Q559" s="62"/>
      <c r="X559">
        <v>2024</v>
      </c>
    </row>
    <row r="560" spans="1:24" x14ac:dyDescent="0.25">
      <c r="A560" t="s">
        <v>988</v>
      </c>
      <c r="B560" s="52">
        <v>45350</v>
      </c>
      <c r="C560" t="s">
        <v>989</v>
      </c>
      <c r="D560" t="s">
        <v>31</v>
      </c>
      <c r="E560" t="s">
        <v>32</v>
      </c>
      <c r="F560">
        <v>1000</v>
      </c>
      <c r="G560">
        <v>1000</v>
      </c>
      <c r="H560">
        <v>5</v>
      </c>
      <c r="I560" s="1">
        <f t="shared" si="8"/>
        <v>5</v>
      </c>
      <c r="J560" s="1">
        <v>600</v>
      </c>
      <c r="K560" s="1">
        <v>375</v>
      </c>
      <c r="L560" s="1">
        <v>3650</v>
      </c>
      <c r="M560" s="1" t="s">
        <v>149</v>
      </c>
      <c r="N560" s="1"/>
      <c r="O560" s="1"/>
      <c r="P560" s="1"/>
      <c r="Q560" s="62"/>
      <c r="S560" t="s">
        <v>990</v>
      </c>
      <c r="T560" s="3">
        <v>45356</v>
      </c>
      <c r="U560">
        <v>600</v>
      </c>
      <c r="V560">
        <v>375</v>
      </c>
      <c r="W560" s="1">
        <v>3650</v>
      </c>
      <c r="X560">
        <v>2024</v>
      </c>
    </row>
    <row r="561" spans="1:24" x14ac:dyDescent="0.25">
      <c r="A561" t="s">
        <v>991</v>
      </c>
      <c r="B561" s="52">
        <v>45350</v>
      </c>
      <c r="C561" t="s">
        <v>992</v>
      </c>
      <c r="D561" t="s">
        <v>100</v>
      </c>
      <c r="E561" t="s">
        <v>27</v>
      </c>
      <c r="F561">
        <v>1000</v>
      </c>
      <c r="G561">
        <v>1000</v>
      </c>
      <c r="H561">
        <v>5</v>
      </c>
      <c r="I561" s="1">
        <f t="shared" si="8"/>
        <v>5</v>
      </c>
      <c r="J561" s="1">
        <v>400</v>
      </c>
      <c r="K561" s="1">
        <v>375</v>
      </c>
      <c r="L561" s="1">
        <v>2500</v>
      </c>
      <c r="M561" s="1" t="s">
        <v>149</v>
      </c>
      <c r="N561" s="1"/>
      <c r="O561" s="1"/>
      <c r="P561" s="1"/>
      <c r="Q561" s="62"/>
      <c r="X561">
        <v>2024</v>
      </c>
    </row>
    <row r="562" spans="1:24" x14ac:dyDescent="0.25">
      <c r="A562" t="s">
        <v>993</v>
      </c>
      <c r="B562" s="52">
        <v>45350</v>
      </c>
      <c r="C562" t="s">
        <v>992</v>
      </c>
      <c r="D562" t="s">
        <v>100</v>
      </c>
      <c r="E562" t="s">
        <v>37</v>
      </c>
      <c r="F562">
        <v>1000</v>
      </c>
      <c r="G562">
        <v>1000</v>
      </c>
      <c r="H562">
        <v>5</v>
      </c>
      <c r="I562" s="1">
        <f t="shared" si="8"/>
        <v>5</v>
      </c>
      <c r="J562" s="1">
        <v>500</v>
      </c>
      <c r="K562" s="1">
        <v>375</v>
      </c>
      <c r="L562" s="1">
        <v>3000</v>
      </c>
      <c r="M562" s="1" t="s">
        <v>149</v>
      </c>
      <c r="N562" s="1"/>
      <c r="O562" s="1"/>
      <c r="P562" s="1"/>
      <c r="Q562" s="62"/>
      <c r="X562">
        <v>2024</v>
      </c>
    </row>
    <row r="563" spans="1:24" x14ac:dyDescent="0.25">
      <c r="A563" t="s">
        <v>994</v>
      </c>
      <c r="B563" s="52">
        <v>45350</v>
      </c>
      <c r="C563" t="s">
        <v>992</v>
      </c>
      <c r="D563" t="s">
        <v>100</v>
      </c>
      <c r="E563" t="s">
        <v>32</v>
      </c>
      <c r="F563">
        <v>1000</v>
      </c>
      <c r="G563">
        <v>1000</v>
      </c>
      <c r="H563">
        <v>5</v>
      </c>
      <c r="I563" s="1">
        <f t="shared" si="8"/>
        <v>5</v>
      </c>
      <c r="J563" s="1">
        <v>600</v>
      </c>
      <c r="K563" s="1">
        <v>375</v>
      </c>
      <c r="L563" s="1">
        <v>3650</v>
      </c>
      <c r="M563" s="1" t="s">
        <v>149</v>
      </c>
      <c r="N563" s="1"/>
      <c r="O563" s="1"/>
      <c r="P563" s="1" t="s">
        <v>149</v>
      </c>
      <c r="Q563" s="62">
        <v>45355</v>
      </c>
      <c r="X563">
        <v>2024</v>
      </c>
    </row>
    <row r="564" spans="1:24" x14ac:dyDescent="0.25">
      <c r="A564" t="s">
        <v>995</v>
      </c>
      <c r="B564" s="52">
        <v>45350</v>
      </c>
      <c r="C564" t="s">
        <v>996</v>
      </c>
      <c r="D564" t="s">
        <v>100</v>
      </c>
      <c r="E564" t="s">
        <v>27</v>
      </c>
      <c r="F564">
        <v>1000</v>
      </c>
      <c r="G564">
        <v>1000</v>
      </c>
      <c r="H564">
        <v>5</v>
      </c>
      <c r="I564" s="1">
        <f t="shared" si="8"/>
        <v>5</v>
      </c>
      <c r="J564" s="1">
        <v>400</v>
      </c>
      <c r="K564" s="1">
        <v>375</v>
      </c>
      <c r="L564" s="1">
        <v>2500</v>
      </c>
      <c r="M564" s="1" t="s">
        <v>149</v>
      </c>
      <c r="N564" s="1"/>
      <c r="O564" s="1"/>
      <c r="P564" s="1"/>
      <c r="Q564" s="62"/>
      <c r="X564">
        <v>2024</v>
      </c>
    </row>
    <row r="565" spans="1:24" ht="75" x14ac:dyDescent="0.25">
      <c r="A565" t="s">
        <v>997</v>
      </c>
      <c r="B565" s="52">
        <v>45352</v>
      </c>
      <c r="C565" t="s">
        <v>35</v>
      </c>
      <c r="D565" t="s">
        <v>36</v>
      </c>
      <c r="E565" t="s">
        <v>37</v>
      </c>
      <c r="F565">
        <v>420</v>
      </c>
      <c r="G565">
        <v>420</v>
      </c>
      <c r="H565">
        <v>115</v>
      </c>
      <c r="I565" s="1">
        <f t="shared" si="8"/>
        <v>20.286000000000001</v>
      </c>
      <c r="J565" s="1">
        <v>275</v>
      </c>
      <c r="K565" s="1" t="s">
        <v>982</v>
      </c>
      <c r="L565" s="1">
        <v>5579.75</v>
      </c>
      <c r="M565" s="1" t="s">
        <v>149</v>
      </c>
      <c r="N565" s="1"/>
      <c r="O565" s="1"/>
      <c r="P565" s="1"/>
      <c r="Q565" s="62"/>
      <c r="S565" s="12" t="s">
        <v>998</v>
      </c>
      <c r="T565" s="3">
        <v>45357</v>
      </c>
      <c r="U565">
        <v>275</v>
      </c>
      <c r="V565" t="s">
        <v>982</v>
      </c>
      <c r="W565">
        <v>5579.75</v>
      </c>
      <c r="X565">
        <v>2024</v>
      </c>
    </row>
    <row r="566" spans="1:24" x14ac:dyDescent="0.25">
      <c r="A566" t="s">
        <v>999</v>
      </c>
      <c r="B566" s="52">
        <v>45351</v>
      </c>
      <c r="C566" t="s">
        <v>1000</v>
      </c>
      <c r="D566" t="s">
        <v>57</v>
      </c>
      <c r="E566" t="s">
        <v>27</v>
      </c>
      <c r="F566">
        <v>1000</v>
      </c>
      <c r="G566">
        <v>1000</v>
      </c>
      <c r="H566">
        <v>5</v>
      </c>
      <c r="I566" s="1">
        <f t="shared" si="8"/>
        <v>5</v>
      </c>
      <c r="J566" s="1">
        <v>400</v>
      </c>
      <c r="K566" s="1">
        <v>375</v>
      </c>
      <c r="L566" s="1">
        <v>2500</v>
      </c>
      <c r="M566" s="1" t="s">
        <v>149</v>
      </c>
      <c r="N566" s="1"/>
      <c r="O566" s="1"/>
      <c r="P566" s="1"/>
      <c r="Q566" s="62"/>
      <c r="X566">
        <v>2024</v>
      </c>
    </row>
    <row r="567" spans="1:24" x14ac:dyDescent="0.25">
      <c r="A567" t="s">
        <v>1001</v>
      </c>
      <c r="B567" s="52">
        <v>45351</v>
      </c>
      <c r="C567" t="s">
        <v>1000</v>
      </c>
      <c r="D567" t="s">
        <v>57</v>
      </c>
      <c r="E567" t="s">
        <v>37</v>
      </c>
      <c r="F567">
        <v>1000</v>
      </c>
      <c r="G567">
        <v>1000</v>
      </c>
      <c r="H567">
        <v>5</v>
      </c>
      <c r="I567" s="1">
        <f t="shared" si="8"/>
        <v>5</v>
      </c>
      <c r="J567" s="1">
        <v>500</v>
      </c>
      <c r="K567" s="1">
        <v>375</v>
      </c>
      <c r="L567" s="1">
        <v>3000</v>
      </c>
      <c r="M567" s="1" t="s">
        <v>149</v>
      </c>
      <c r="N567" s="1"/>
      <c r="O567" s="1"/>
      <c r="P567" s="1"/>
      <c r="Q567" s="62"/>
      <c r="X567">
        <v>2024</v>
      </c>
    </row>
    <row r="568" spans="1:24" x14ac:dyDescent="0.25">
      <c r="A568" t="s">
        <v>1002</v>
      </c>
      <c r="B568" s="52">
        <v>45356</v>
      </c>
      <c r="C568" t="s">
        <v>1003</v>
      </c>
      <c r="D568" t="s">
        <v>97</v>
      </c>
      <c r="E568" t="s">
        <v>32</v>
      </c>
      <c r="F568">
        <v>1000</v>
      </c>
      <c r="G568">
        <v>1000</v>
      </c>
      <c r="H568">
        <v>5</v>
      </c>
      <c r="I568" s="1">
        <f t="shared" si="8"/>
        <v>5</v>
      </c>
      <c r="J568" s="1">
        <v>600</v>
      </c>
      <c r="K568" s="1">
        <v>375</v>
      </c>
      <c r="L568" s="1">
        <v>3650</v>
      </c>
      <c r="M568" s="1" t="s">
        <v>149</v>
      </c>
      <c r="N568" s="1"/>
      <c r="O568" s="1"/>
      <c r="P568" s="1"/>
      <c r="Q568" s="62"/>
      <c r="X568">
        <v>2024</v>
      </c>
    </row>
    <row r="569" spans="1:24" x14ac:dyDescent="0.25">
      <c r="A569" t="s">
        <v>1004</v>
      </c>
      <c r="B569" s="52">
        <v>45356</v>
      </c>
      <c r="C569" t="s">
        <v>1005</v>
      </c>
      <c r="D569" t="s">
        <v>146</v>
      </c>
      <c r="E569" t="s">
        <v>27</v>
      </c>
      <c r="F569">
        <v>1000</v>
      </c>
      <c r="G569">
        <v>2500</v>
      </c>
      <c r="H569">
        <v>8</v>
      </c>
      <c r="I569" s="1">
        <f t="shared" si="8"/>
        <v>20</v>
      </c>
      <c r="J569" s="1">
        <v>337.09</v>
      </c>
      <c r="K569" s="1">
        <v>1500</v>
      </c>
      <c r="L569" s="1">
        <v>8241.7999999999993</v>
      </c>
      <c r="M569" s="1" t="s">
        <v>149</v>
      </c>
      <c r="N569" s="1"/>
      <c r="O569" s="1"/>
      <c r="P569" s="1"/>
      <c r="Q569" s="62"/>
      <c r="X569">
        <v>2024</v>
      </c>
    </row>
    <row r="570" spans="1:24" x14ac:dyDescent="0.25">
      <c r="A570" t="s">
        <v>1006</v>
      </c>
      <c r="B570" s="52">
        <v>45356</v>
      </c>
      <c r="C570" t="s">
        <v>1007</v>
      </c>
      <c r="D570" t="s">
        <v>1008</v>
      </c>
      <c r="E570" t="s">
        <v>27</v>
      </c>
      <c r="F570">
        <v>1000</v>
      </c>
      <c r="G570">
        <v>1000</v>
      </c>
      <c r="H570">
        <v>60</v>
      </c>
      <c r="I570" s="1">
        <f t="shared" si="8"/>
        <v>60</v>
      </c>
      <c r="J570" s="1">
        <v>297.43</v>
      </c>
      <c r="K570" s="1">
        <v>2500</v>
      </c>
      <c r="L570" s="1">
        <v>20345.8</v>
      </c>
      <c r="M570" s="1" t="s">
        <v>149</v>
      </c>
      <c r="N570" s="1"/>
      <c r="O570" s="1"/>
      <c r="P570" s="1"/>
      <c r="Q570" s="62"/>
      <c r="X570">
        <v>2024</v>
      </c>
    </row>
    <row r="571" spans="1:24" x14ac:dyDescent="0.25">
      <c r="A571" t="s">
        <v>1009</v>
      </c>
      <c r="B571" s="52">
        <v>45356</v>
      </c>
      <c r="C571" t="s">
        <v>1010</v>
      </c>
      <c r="D571" t="s">
        <v>1011</v>
      </c>
      <c r="E571" t="s">
        <v>27</v>
      </c>
      <c r="F571">
        <v>1000</v>
      </c>
      <c r="G571">
        <v>1000</v>
      </c>
      <c r="H571">
        <v>5</v>
      </c>
      <c r="I571" s="1">
        <f t="shared" si="8"/>
        <v>5</v>
      </c>
      <c r="J571" s="1">
        <v>400</v>
      </c>
      <c r="K571" s="1">
        <v>375</v>
      </c>
      <c r="L571" s="1">
        <v>2500</v>
      </c>
      <c r="M571" s="1" t="s">
        <v>149</v>
      </c>
      <c r="N571" s="1"/>
      <c r="O571" s="1"/>
      <c r="P571" s="1"/>
      <c r="Q571" s="62"/>
      <c r="X571">
        <v>2024</v>
      </c>
    </row>
    <row r="572" spans="1:24" x14ac:dyDescent="0.25">
      <c r="A572" t="s">
        <v>1012</v>
      </c>
      <c r="B572" s="52">
        <v>45357</v>
      </c>
      <c r="C572" t="s">
        <v>126</v>
      </c>
      <c r="D572" t="s">
        <v>36</v>
      </c>
      <c r="E572" t="s">
        <v>32</v>
      </c>
      <c r="F572">
        <v>1112.5</v>
      </c>
      <c r="G572">
        <v>520</v>
      </c>
      <c r="H572">
        <v>500</v>
      </c>
      <c r="I572" s="1">
        <f t="shared" si="8"/>
        <v>289.25</v>
      </c>
      <c r="J572" s="1">
        <v>433.76</v>
      </c>
      <c r="K572" s="1">
        <f>Table13[[#This Row],[Total sqm]]*25</f>
        <v>7231.25</v>
      </c>
      <c r="L572" s="1">
        <v>132916.32999999999</v>
      </c>
      <c r="M572" s="1" t="s">
        <v>149</v>
      </c>
      <c r="N572" s="1"/>
      <c r="O572" s="1"/>
      <c r="P572" s="1"/>
      <c r="Q572" s="62"/>
      <c r="X572">
        <v>2024</v>
      </c>
    </row>
    <row r="573" spans="1:24" x14ac:dyDescent="0.25">
      <c r="A573" t="s">
        <v>1013</v>
      </c>
      <c r="B573" s="52">
        <v>45357</v>
      </c>
      <c r="C573" t="s">
        <v>126</v>
      </c>
      <c r="D573" t="s">
        <v>36</v>
      </c>
      <c r="E573" t="s">
        <v>32</v>
      </c>
      <c r="F573">
        <v>1112.5</v>
      </c>
      <c r="G573">
        <v>520</v>
      </c>
      <c r="H573">
        <v>1000</v>
      </c>
      <c r="I573" s="1">
        <f t="shared" si="8"/>
        <v>578.5</v>
      </c>
      <c r="J573" s="1">
        <v>416.23</v>
      </c>
      <c r="K573" s="1">
        <f>Table13[[#This Row],[Total sqm]]*25</f>
        <v>14462.5</v>
      </c>
      <c r="L573" s="1">
        <v>255496.56</v>
      </c>
      <c r="M573" s="1" t="s">
        <v>149</v>
      </c>
      <c r="N573" s="1"/>
      <c r="O573" s="1"/>
      <c r="P573" s="1"/>
      <c r="Q573" s="62"/>
      <c r="X573">
        <v>2024</v>
      </c>
    </row>
    <row r="574" spans="1:24" x14ac:dyDescent="0.25">
      <c r="A574" t="s">
        <v>1014</v>
      </c>
      <c r="B574" s="52">
        <v>45357</v>
      </c>
      <c r="C574" t="s">
        <v>126</v>
      </c>
      <c r="D574" t="s">
        <v>36</v>
      </c>
      <c r="E574" t="s">
        <v>32</v>
      </c>
      <c r="F574">
        <v>1112.5</v>
      </c>
      <c r="G574">
        <v>520</v>
      </c>
      <c r="H574">
        <v>5000</v>
      </c>
      <c r="I574" s="1">
        <f t="shared" si="8"/>
        <v>2892.5</v>
      </c>
      <c r="J574" s="1">
        <v>364.88</v>
      </c>
      <c r="K574" s="1">
        <f>Table13[[#This Row],[Total sqm]]*25</f>
        <v>72312.5</v>
      </c>
      <c r="L574" s="1">
        <v>1128167.8999999999</v>
      </c>
      <c r="M574" s="1" t="s">
        <v>149</v>
      </c>
      <c r="N574" s="1"/>
      <c r="O574" s="1"/>
      <c r="P574" s="1"/>
      <c r="Q574" s="62"/>
      <c r="X574">
        <v>2024</v>
      </c>
    </row>
    <row r="575" spans="1:24" x14ac:dyDescent="0.25">
      <c r="A575" t="s">
        <v>1015</v>
      </c>
      <c r="B575" s="52">
        <v>45357</v>
      </c>
      <c r="C575" t="s">
        <v>126</v>
      </c>
      <c r="D575" t="s">
        <v>36</v>
      </c>
      <c r="E575" t="s">
        <v>37</v>
      </c>
      <c r="F575">
        <v>841.9</v>
      </c>
      <c r="G575">
        <v>756</v>
      </c>
      <c r="H575">
        <v>500</v>
      </c>
      <c r="I575" s="1">
        <f t="shared" si="8"/>
        <v>318.23820000000001</v>
      </c>
      <c r="J575">
        <v>348.07</v>
      </c>
      <c r="K575" s="1">
        <v>7956</v>
      </c>
      <c r="L575" s="1">
        <v>118970.8</v>
      </c>
      <c r="M575" s="1" t="s">
        <v>149</v>
      </c>
      <c r="N575" s="1"/>
      <c r="O575" s="1"/>
      <c r="P575" s="1"/>
      <c r="Q575" s="62"/>
      <c r="X575">
        <v>2024</v>
      </c>
    </row>
    <row r="576" spans="1:24" x14ac:dyDescent="0.25">
      <c r="A576" t="s">
        <v>1016</v>
      </c>
      <c r="B576" s="52">
        <v>45357</v>
      </c>
      <c r="C576" t="s">
        <v>126</v>
      </c>
      <c r="D576" t="s">
        <v>36</v>
      </c>
      <c r="E576" t="s">
        <v>37</v>
      </c>
      <c r="F576">
        <v>841.9</v>
      </c>
      <c r="G576">
        <v>756</v>
      </c>
      <c r="H576">
        <v>1000</v>
      </c>
      <c r="I576" s="1">
        <f t="shared" si="8"/>
        <v>636.47640000000001</v>
      </c>
      <c r="J576">
        <v>336.06</v>
      </c>
      <c r="K576" s="1">
        <f>Table13[[#This Row],[Total sqm]]*25</f>
        <v>15911.91</v>
      </c>
      <c r="L576" s="1">
        <v>230087.47</v>
      </c>
      <c r="M576" s="1" t="s">
        <v>149</v>
      </c>
      <c r="N576" s="1"/>
      <c r="O576" s="1"/>
      <c r="P576" s="1"/>
      <c r="Q576" s="62"/>
      <c r="X576">
        <v>2024</v>
      </c>
    </row>
    <row r="577" spans="1:24" x14ac:dyDescent="0.25">
      <c r="A577" t="s">
        <v>1017</v>
      </c>
      <c r="B577" s="52">
        <v>45357</v>
      </c>
      <c r="C577" t="s">
        <v>126</v>
      </c>
      <c r="D577" t="s">
        <v>36</v>
      </c>
      <c r="E577" t="s">
        <v>37</v>
      </c>
      <c r="F577">
        <v>841.9</v>
      </c>
      <c r="G577">
        <v>756</v>
      </c>
      <c r="H577">
        <v>5000</v>
      </c>
      <c r="I577" s="1">
        <f t="shared" si="8"/>
        <v>3182.3820000000001</v>
      </c>
      <c r="J577">
        <v>314.67</v>
      </c>
      <c r="K577" s="1">
        <f>Table13[[#This Row],[Total sqm]]*25</f>
        <v>79559.55</v>
      </c>
      <c r="L577" s="1">
        <v>1081439.01</v>
      </c>
      <c r="M577" s="1" t="s">
        <v>149</v>
      </c>
      <c r="N577" s="1"/>
      <c r="O577" s="1"/>
      <c r="P577" s="1"/>
      <c r="Q577" s="62"/>
      <c r="X577">
        <v>2024</v>
      </c>
    </row>
    <row r="578" spans="1:24" x14ac:dyDescent="0.25">
      <c r="A578" t="s">
        <v>1018</v>
      </c>
      <c r="B578" s="52">
        <v>45356</v>
      </c>
      <c r="C578" t="s">
        <v>1019</v>
      </c>
      <c r="D578" t="s">
        <v>31</v>
      </c>
      <c r="E578" t="s">
        <v>27</v>
      </c>
      <c r="F578">
        <v>1000</v>
      </c>
      <c r="G578">
        <v>1000</v>
      </c>
      <c r="H578">
        <v>5</v>
      </c>
      <c r="I578" s="1">
        <f t="shared" ref="I578:I641" si="9">$F578*$G578*$H578/1000000</f>
        <v>5</v>
      </c>
      <c r="J578" s="1">
        <v>400</v>
      </c>
      <c r="K578" s="1">
        <v>375</v>
      </c>
      <c r="L578" s="1">
        <v>2450</v>
      </c>
      <c r="M578" s="1" t="s">
        <v>149</v>
      </c>
      <c r="N578" s="1"/>
      <c r="O578" s="1"/>
      <c r="P578" s="1"/>
      <c r="Q578" s="62"/>
      <c r="X578">
        <v>2024</v>
      </c>
    </row>
    <row r="579" spans="1:24" x14ac:dyDescent="0.25">
      <c r="A579" t="s">
        <v>1020</v>
      </c>
      <c r="B579" s="52">
        <v>45356</v>
      </c>
      <c r="C579" t="s">
        <v>1019</v>
      </c>
      <c r="D579" t="s">
        <v>31</v>
      </c>
      <c r="E579" t="s">
        <v>37</v>
      </c>
      <c r="F579">
        <v>1000</v>
      </c>
      <c r="G579">
        <v>1000</v>
      </c>
      <c r="H579">
        <v>5</v>
      </c>
      <c r="I579" s="1">
        <f t="shared" si="9"/>
        <v>5</v>
      </c>
      <c r="J579" s="1">
        <v>500</v>
      </c>
      <c r="K579" s="1">
        <v>375</v>
      </c>
      <c r="L579" s="1">
        <v>2950</v>
      </c>
      <c r="M579" s="1" t="s">
        <v>149</v>
      </c>
      <c r="N579" s="1"/>
      <c r="O579" s="1"/>
      <c r="P579" s="1"/>
      <c r="Q579" s="62"/>
      <c r="X579">
        <v>2024</v>
      </c>
    </row>
    <row r="580" spans="1:24" x14ac:dyDescent="0.25">
      <c r="A580" t="s">
        <v>1021</v>
      </c>
      <c r="B580" s="52">
        <v>45357</v>
      </c>
      <c r="C580" t="s">
        <v>1022</v>
      </c>
      <c r="D580" t="s">
        <v>46</v>
      </c>
      <c r="E580" t="s">
        <v>37</v>
      </c>
      <c r="F580">
        <v>1000</v>
      </c>
      <c r="G580">
        <v>1000</v>
      </c>
      <c r="H580">
        <v>300</v>
      </c>
      <c r="I580" s="1">
        <f t="shared" si="9"/>
        <v>300</v>
      </c>
      <c r="J580" s="1">
        <v>348.86</v>
      </c>
      <c r="K580" s="1">
        <v>7500</v>
      </c>
      <c r="L580" s="1">
        <v>112158</v>
      </c>
      <c r="M580" s="1" t="s">
        <v>149</v>
      </c>
      <c r="N580" s="1"/>
      <c r="O580" s="1"/>
      <c r="P580" s="1"/>
      <c r="Q580" s="62"/>
      <c r="S580" t="s">
        <v>1023</v>
      </c>
      <c r="T580" s="3">
        <v>45364</v>
      </c>
      <c r="U580">
        <v>345.43</v>
      </c>
      <c r="V580" s="1">
        <v>10000</v>
      </c>
      <c r="W580" s="1">
        <v>148172</v>
      </c>
      <c r="X580">
        <v>2024</v>
      </c>
    </row>
    <row r="581" spans="1:24" x14ac:dyDescent="0.25">
      <c r="A581" t="s">
        <v>1024</v>
      </c>
      <c r="B581" s="52">
        <v>45363</v>
      </c>
      <c r="C581" t="s">
        <v>1025</v>
      </c>
      <c r="D581" t="s">
        <v>100</v>
      </c>
      <c r="E581" t="s">
        <v>27</v>
      </c>
      <c r="F581">
        <v>1077</v>
      </c>
      <c r="G581">
        <v>1026</v>
      </c>
      <c r="H581">
        <v>300</v>
      </c>
      <c r="I581" s="1">
        <f t="shared" si="9"/>
        <v>331.50060000000002</v>
      </c>
      <c r="J581" s="1">
        <v>267.35000000000002</v>
      </c>
      <c r="K581" s="1">
        <v>8287.5</v>
      </c>
      <c r="L581" s="1">
        <v>98134.03</v>
      </c>
      <c r="M581" s="1" t="s">
        <v>149</v>
      </c>
      <c r="N581" s="1"/>
      <c r="O581" s="1"/>
      <c r="P581" s="1"/>
      <c r="Q581" s="62"/>
      <c r="X581">
        <v>2024</v>
      </c>
    </row>
    <row r="582" spans="1:24" x14ac:dyDescent="0.25">
      <c r="A582" t="s">
        <v>1026</v>
      </c>
      <c r="B582" s="52">
        <v>45363</v>
      </c>
      <c r="C582" t="s">
        <v>303</v>
      </c>
      <c r="D582" t="s">
        <v>36</v>
      </c>
      <c r="E582" t="s">
        <v>32</v>
      </c>
      <c r="F582">
        <v>1000</v>
      </c>
      <c r="G582">
        <v>1000</v>
      </c>
      <c r="H582">
        <v>5</v>
      </c>
      <c r="I582" s="1">
        <f t="shared" si="9"/>
        <v>5</v>
      </c>
      <c r="J582" s="1">
        <v>600</v>
      </c>
      <c r="K582" s="1">
        <v>375</v>
      </c>
      <c r="L582" s="1">
        <v>3650</v>
      </c>
      <c r="M582" s="1" t="s">
        <v>149</v>
      </c>
      <c r="N582" s="1"/>
      <c r="O582" s="1"/>
      <c r="P582" s="1" t="s">
        <v>149</v>
      </c>
      <c r="Q582" s="62">
        <v>45414</v>
      </c>
      <c r="X582">
        <v>2024</v>
      </c>
    </row>
    <row r="583" spans="1:24" x14ac:dyDescent="0.25">
      <c r="A583" t="s">
        <v>1027</v>
      </c>
      <c r="B583" s="52">
        <v>45363</v>
      </c>
      <c r="C583" t="s">
        <v>1028</v>
      </c>
      <c r="D583" t="s">
        <v>97</v>
      </c>
      <c r="E583" t="s">
        <v>32</v>
      </c>
      <c r="F583">
        <v>2458</v>
      </c>
      <c r="G583">
        <v>1492</v>
      </c>
      <c r="H583">
        <v>6</v>
      </c>
      <c r="I583" s="1">
        <f t="shared" si="9"/>
        <v>22.004016</v>
      </c>
      <c r="J583" s="1">
        <v>535.35</v>
      </c>
      <c r="K583" s="1">
        <v>1100</v>
      </c>
      <c r="L583" s="1">
        <v>12877.7</v>
      </c>
      <c r="M583" s="1" t="s">
        <v>149</v>
      </c>
      <c r="N583" s="1"/>
      <c r="O583" s="1"/>
      <c r="P583" s="1"/>
      <c r="Q583" s="62"/>
      <c r="X583">
        <v>2024</v>
      </c>
    </row>
    <row r="584" spans="1:24" x14ac:dyDescent="0.25">
      <c r="A584" t="s">
        <v>1029</v>
      </c>
      <c r="B584" s="52">
        <v>45364</v>
      </c>
      <c r="C584" t="s">
        <v>1025</v>
      </c>
      <c r="D584" t="s">
        <v>100</v>
      </c>
      <c r="E584" t="s">
        <v>27</v>
      </c>
      <c r="F584">
        <v>304</v>
      </c>
      <c r="G584">
        <v>304</v>
      </c>
      <c r="H584">
        <v>1000</v>
      </c>
      <c r="I584" s="1">
        <f t="shared" si="9"/>
        <v>92.415999999999997</v>
      </c>
      <c r="J584" s="1">
        <v>290.48</v>
      </c>
      <c r="K584" s="1">
        <v>2500</v>
      </c>
      <c r="L584" s="1">
        <v>30026.16</v>
      </c>
      <c r="M584" s="1" t="s">
        <v>149</v>
      </c>
      <c r="N584" s="1"/>
      <c r="O584" s="1"/>
      <c r="P584" s="1"/>
      <c r="Q584" s="62"/>
      <c r="X584">
        <v>2024</v>
      </c>
    </row>
    <row r="585" spans="1:24" x14ac:dyDescent="0.25">
      <c r="A585" t="s">
        <v>1030</v>
      </c>
      <c r="B585" s="52">
        <v>45364</v>
      </c>
      <c r="C585" t="s">
        <v>1031</v>
      </c>
      <c r="D585" t="s">
        <v>256</v>
      </c>
      <c r="E585" t="s">
        <v>27</v>
      </c>
      <c r="F585">
        <v>1000</v>
      </c>
      <c r="G585">
        <v>1000</v>
      </c>
      <c r="H585">
        <v>5</v>
      </c>
      <c r="I585" s="1">
        <f t="shared" si="9"/>
        <v>5</v>
      </c>
      <c r="J585" s="1">
        <v>400</v>
      </c>
      <c r="K585" s="1">
        <v>375</v>
      </c>
      <c r="L585" s="1">
        <v>2500</v>
      </c>
      <c r="M585" s="1" t="s">
        <v>149</v>
      </c>
      <c r="N585" s="1"/>
      <c r="O585" s="1"/>
      <c r="P585" s="1"/>
      <c r="Q585" s="62"/>
      <c r="X585">
        <v>2024</v>
      </c>
    </row>
    <row r="586" spans="1:24" x14ac:dyDescent="0.25">
      <c r="A586" t="s">
        <v>1032</v>
      </c>
      <c r="B586" s="52">
        <v>45364</v>
      </c>
      <c r="C586" t="s">
        <v>1033</v>
      </c>
      <c r="D586" t="s">
        <v>31</v>
      </c>
      <c r="E586" t="s">
        <v>27</v>
      </c>
      <c r="F586">
        <v>1000</v>
      </c>
      <c r="G586">
        <v>1000</v>
      </c>
      <c r="H586">
        <v>5</v>
      </c>
      <c r="I586" s="1">
        <f t="shared" si="9"/>
        <v>5</v>
      </c>
      <c r="J586" s="1">
        <v>400</v>
      </c>
      <c r="K586" s="1">
        <v>375</v>
      </c>
      <c r="L586" s="1">
        <v>2450</v>
      </c>
      <c r="M586" s="1" t="s">
        <v>149</v>
      </c>
      <c r="N586" s="1"/>
      <c r="O586" s="1"/>
      <c r="P586" s="1"/>
      <c r="Q586" s="62"/>
      <c r="X586">
        <v>2024</v>
      </c>
    </row>
    <row r="587" spans="1:24" x14ac:dyDescent="0.25">
      <c r="A587" t="s">
        <v>1034</v>
      </c>
      <c r="B587" s="52">
        <v>45366</v>
      </c>
      <c r="C587" t="s">
        <v>1007</v>
      </c>
      <c r="D587" t="s">
        <v>1008</v>
      </c>
      <c r="E587" t="s">
        <v>32</v>
      </c>
      <c r="F587">
        <v>1000</v>
      </c>
      <c r="G587">
        <v>1000</v>
      </c>
      <c r="H587">
        <v>120</v>
      </c>
      <c r="I587" s="1">
        <f t="shared" si="9"/>
        <v>120</v>
      </c>
      <c r="J587" s="1">
        <v>458.74</v>
      </c>
      <c r="K587" s="1">
        <v>3000</v>
      </c>
      <c r="L587" s="1">
        <v>58048.800000000003</v>
      </c>
      <c r="M587" s="1" t="s">
        <v>149</v>
      </c>
      <c r="N587" s="1"/>
      <c r="O587" s="1"/>
      <c r="P587" s="1"/>
      <c r="Q587" s="62"/>
      <c r="X587">
        <v>2024</v>
      </c>
    </row>
    <row r="588" spans="1:24" x14ac:dyDescent="0.25">
      <c r="A588" t="s">
        <v>1035</v>
      </c>
      <c r="B588" s="52">
        <v>45366</v>
      </c>
      <c r="C588" t="s">
        <v>1007</v>
      </c>
      <c r="D588" t="s">
        <v>1008</v>
      </c>
      <c r="E588" t="s">
        <v>32</v>
      </c>
      <c r="F588">
        <v>1000</v>
      </c>
      <c r="G588">
        <v>1000</v>
      </c>
      <c r="H588">
        <v>480</v>
      </c>
      <c r="I588" s="1">
        <f t="shared" si="9"/>
        <v>480</v>
      </c>
      <c r="J588" s="1">
        <v>426.73</v>
      </c>
      <c r="K588" s="1">
        <v>12000</v>
      </c>
      <c r="L588" s="1">
        <v>216830.4</v>
      </c>
      <c r="M588" s="1" t="s">
        <v>149</v>
      </c>
      <c r="N588" s="1"/>
      <c r="O588" s="1"/>
      <c r="P588" s="1"/>
      <c r="Q588" s="62"/>
      <c r="X588">
        <v>2024</v>
      </c>
    </row>
    <row r="589" spans="1:24" x14ac:dyDescent="0.25">
      <c r="A589" t="s">
        <v>1036</v>
      </c>
      <c r="B589" s="52">
        <v>45366</v>
      </c>
      <c r="C589" t="s">
        <v>1037</v>
      </c>
      <c r="D589" t="s">
        <v>100</v>
      </c>
      <c r="E589" t="s">
        <v>27</v>
      </c>
      <c r="F589">
        <v>1000</v>
      </c>
      <c r="G589">
        <v>1000</v>
      </c>
      <c r="H589">
        <v>15</v>
      </c>
      <c r="I589" s="1">
        <f t="shared" si="9"/>
        <v>15</v>
      </c>
      <c r="J589" s="1">
        <v>343.7</v>
      </c>
      <c r="K589" s="1">
        <v>1125</v>
      </c>
      <c r="L589" s="1">
        <v>6605.5</v>
      </c>
      <c r="M589" s="1" t="s">
        <v>149</v>
      </c>
      <c r="N589" s="1"/>
      <c r="O589" s="1"/>
      <c r="P589" s="1"/>
      <c r="Q589" s="62"/>
      <c r="X589">
        <v>2024</v>
      </c>
    </row>
    <row r="590" spans="1:24" x14ac:dyDescent="0.25">
      <c r="A590" t="s">
        <v>1038</v>
      </c>
      <c r="B590" s="52">
        <v>45366</v>
      </c>
      <c r="C590" t="s">
        <v>1037</v>
      </c>
      <c r="D590" t="s">
        <v>100</v>
      </c>
      <c r="E590" t="s">
        <v>27</v>
      </c>
      <c r="F590">
        <v>1500</v>
      </c>
      <c r="G590">
        <v>1500</v>
      </c>
      <c r="H590">
        <v>30</v>
      </c>
      <c r="I590" s="1">
        <f t="shared" si="9"/>
        <v>67.5</v>
      </c>
      <c r="J590" s="1">
        <v>295.23</v>
      </c>
      <c r="K590" s="1">
        <v>2500</v>
      </c>
      <c r="L590" s="1">
        <v>22763.03</v>
      </c>
      <c r="M590" s="1" t="s">
        <v>149</v>
      </c>
      <c r="N590" s="1"/>
      <c r="O590" s="1"/>
      <c r="P590" s="1"/>
      <c r="Q590" s="62"/>
      <c r="X590">
        <v>2024</v>
      </c>
    </row>
    <row r="591" spans="1:24" x14ac:dyDescent="0.25">
      <c r="A591" t="s">
        <v>1039</v>
      </c>
      <c r="B591" s="52">
        <v>45366</v>
      </c>
      <c r="C591" t="s">
        <v>904</v>
      </c>
      <c r="D591" t="s">
        <v>57</v>
      </c>
      <c r="E591" t="s">
        <v>32</v>
      </c>
      <c r="F591">
        <v>1000</v>
      </c>
      <c r="G591">
        <v>1000</v>
      </c>
      <c r="H591">
        <v>5</v>
      </c>
      <c r="I591" s="1">
        <f t="shared" si="9"/>
        <v>5</v>
      </c>
      <c r="J591" s="1">
        <v>600</v>
      </c>
      <c r="K591" s="1">
        <v>375</v>
      </c>
      <c r="L591" s="1">
        <v>3650</v>
      </c>
      <c r="M591" s="1" t="s">
        <v>149</v>
      </c>
      <c r="N591" s="1"/>
      <c r="O591" s="1"/>
      <c r="P591" s="1"/>
      <c r="Q591" s="62"/>
      <c r="X591">
        <v>2024</v>
      </c>
    </row>
    <row r="592" spans="1:24" x14ac:dyDescent="0.25">
      <c r="A592" t="s">
        <v>1040</v>
      </c>
      <c r="B592" s="52">
        <v>45366</v>
      </c>
      <c r="C592" t="s">
        <v>1041</v>
      </c>
      <c r="D592" t="s">
        <v>1042</v>
      </c>
      <c r="E592" t="s">
        <v>27</v>
      </c>
      <c r="F592">
        <v>400</v>
      </c>
      <c r="G592">
        <v>400</v>
      </c>
      <c r="H592">
        <v>125</v>
      </c>
      <c r="I592" s="1">
        <f t="shared" si="9"/>
        <v>20</v>
      </c>
      <c r="J592" s="1">
        <v>337.09</v>
      </c>
      <c r="K592" s="1">
        <v>1500</v>
      </c>
      <c r="L592" s="1">
        <v>8241.7999999999993</v>
      </c>
      <c r="M592" s="1" t="s">
        <v>149</v>
      </c>
      <c r="N592" s="1"/>
      <c r="O592" s="1"/>
      <c r="P592" s="1"/>
      <c r="Q592" s="62"/>
      <c r="X592">
        <v>2024</v>
      </c>
    </row>
    <row r="593" spans="1:24" x14ac:dyDescent="0.25">
      <c r="A593" t="s">
        <v>1043</v>
      </c>
      <c r="B593" s="52">
        <v>45370</v>
      </c>
      <c r="C593" t="s">
        <v>1037</v>
      </c>
      <c r="D593" t="s">
        <v>100</v>
      </c>
      <c r="E593" t="s">
        <v>27</v>
      </c>
      <c r="F593">
        <v>1500</v>
      </c>
      <c r="G593">
        <v>1500</v>
      </c>
      <c r="H593">
        <v>35</v>
      </c>
      <c r="I593" s="1">
        <f t="shared" si="9"/>
        <v>78.75</v>
      </c>
      <c r="J593" s="1">
        <v>292.72000000000003</v>
      </c>
      <c r="K593" s="1">
        <v>2500</v>
      </c>
      <c r="L593" s="1">
        <v>25911.7</v>
      </c>
      <c r="M593" s="1" t="s">
        <v>149</v>
      </c>
      <c r="N593" s="1"/>
      <c r="O593" s="1"/>
      <c r="P593" s="1"/>
      <c r="Q593" s="62"/>
      <c r="X593">
        <v>2024</v>
      </c>
    </row>
    <row r="594" spans="1:24" x14ac:dyDescent="0.25">
      <c r="A594" t="s">
        <v>1044</v>
      </c>
      <c r="B594" s="52">
        <v>45370</v>
      </c>
      <c r="C594" t="s">
        <v>345</v>
      </c>
      <c r="D594" t="s">
        <v>46</v>
      </c>
      <c r="E594" t="s">
        <v>37</v>
      </c>
      <c r="F594">
        <v>1500</v>
      </c>
      <c r="G594">
        <v>2450</v>
      </c>
      <c r="H594">
        <v>102</v>
      </c>
      <c r="I594" s="1">
        <f t="shared" si="9"/>
        <v>374.85</v>
      </c>
      <c r="J594" s="1">
        <v>346.11</v>
      </c>
      <c r="K594" s="1">
        <v>9371.25</v>
      </c>
      <c r="L594" s="1">
        <v>139830.57999999999</v>
      </c>
      <c r="M594" s="1" t="s">
        <v>149</v>
      </c>
      <c r="N594" s="1"/>
      <c r="O594" s="1"/>
      <c r="P594" s="1"/>
      <c r="Q594" s="62"/>
      <c r="X594">
        <v>2024</v>
      </c>
    </row>
    <row r="595" spans="1:24" x14ac:dyDescent="0.25">
      <c r="A595" t="s">
        <v>1045</v>
      </c>
      <c r="B595" s="52">
        <v>45372</v>
      </c>
      <c r="C595" t="s">
        <v>255</v>
      </c>
      <c r="D595" t="s">
        <v>256</v>
      </c>
      <c r="E595" t="s">
        <v>32</v>
      </c>
      <c r="F595">
        <v>1000</v>
      </c>
      <c r="G595">
        <v>650</v>
      </c>
      <c r="H595">
        <v>31</v>
      </c>
      <c r="I595" s="1">
        <f t="shared" si="9"/>
        <v>20.149999999999999</v>
      </c>
      <c r="J595" s="1">
        <v>543.37</v>
      </c>
      <c r="K595" s="1">
        <v>1500</v>
      </c>
      <c r="L595" s="1">
        <v>12723.91</v>
      </c>
      <c r="M595" s="1" t="s">
        <v>149</v>
      </c>
      <c r="N595" s="1"/>
      <c r="O595" s="1"/>
      <c r="P595" s="1"/>
      <c r="Q595" s="62"/>
      <c r="X595">
        <v>2024</v>
      </c>
    </row>
    <row r="596" spans="1:24" x14ac:dyDescent="0.25">
      <c r="A596" t="s">
        <v>1046</v>
      </c>
      <c r="B596" s="52">
        <v>45373</v>
      </c>
      <c r="C596" t="s">
        <v>1047</v>
      </c>
      <c r="D596" t="s">
        <v>70</v>
      </c>
      <c r="E596" t="s">
        <v>32</v>
      </c>
      <c r="F596">
        <v>1500</v>
      </c>
      <c r="G596">
        <v>1500</v>
      </c>
      <c r="H596">
        <v>14</v>
      </c>
      <c r="I596" s="1">
        <f t="shared" si="9"/>
        <v>31.5</v>
      </c>
      <c r="J596" s="1">
        <v>509.02</v>
      </c>
      <c r="K596" s="1">
        <v>1575</v>
      </c>
      <c r="L596" s="1">
        <v>17734.13</v>
      </c>
      <c r="M596" s="1" t="s">
        <v>149</v>
      </c>
      <c r="N596" s="1"/>
      <c r="O596" s="1"/>
      <c r="P596" s="1"/>
      <c r="Q596" s="62"/>
      <c r="X596">
        <v>2024</v>
      </c>
    </row>
    <row r="597" spans="1:24" x14ac:dyDescent="0.25">
      <c r="A597" t="s">
        <v>1048</v>
      </c>
      <c r="B597" s="52">
        <v>45373</v>
      </c>
      <c r="C597" t="s">
        <v>1047</v>
      </c>
      <c r="D597" t="s">
        <v>70</v>
      </c>
      <c r="E597" t="s">
        <v>32</v>
      </c>
      <c r="F597">
        <v>1500</v>
      </c>
      <c r="G597">
        <v>1500</v>
      </c>
      <c r="H597">
        <v>2500</v>
      </c>
      <c r="I597" s="1">
        <f t="shared" si="9"/>
        <v>5625</v>
      </c>
      <c r="J597" s="1">
        <v>360</v>
      </c>
      <c r="K597" s="1">
        <v>140625</v>
      </c>
      <c r="L597" s="1">
        <v>2165625</v>
      </c>
      <c r="M597" s="1" t="s">
        <v>149</v>
      </c>
      <c r="N597" s="1"/>
      <c r="O597" s="1"/>
      <c r="P597" s="1"/>
      <c r="Q597" s="62"/>
      <c r="X597">
        <v>2024</v>
      </c>
    </row>
    <row r="598" spans="1:24" x14ac:dyDescent="0.25">
      <c r="A598" t="s">
        <v>1049</v>
      </c>
      <c r="B598" s="52">
        <v>45373</v>
      </c>
      <c r="C598" t="s">
        <v>265</v>
      </c>
      <c r="D598" t="s">
        <v>266</v>
      </c>
      <c r="E598" t="s">
        <v>37</v>
      </c>
      <c r="F598">
        <v>916</v>
      </c>
      <c r="G598">
        <v>730</v>
      </c>
      <c r="H598">
        <v>500</v>
      </c>
      <c r="I598" s="1">
        <f t="shared" si="9"/>
        <v>334.34</v>
      </c>
      <c r="J598" s="1">
        <v>347.44</v>
      </c>
      <c r="K598" s="1">
        <v>8358.5</v>
      </c>
      <c r="L598" s="1">
        <v>124731.59</v>
      </c>
      <c r="M598" s="1" t="s">
        <v>149</v>
      </c>
      <c r="N598" s="1"/>
      <c r="O598" s="1"/>
      <c r="P598" s="1" t="s">
        <v>149</v>
      </c>
      <c r="Q598" s="62">
        <v>45377</v>
      </c>
      <c r="X598">
        <v>2024</v>
      </c>
    </row>
    <row r="599" spans="1:24" x14ac:dyDescent="0.25">
      <c r="A599" t="s">
        <v>1050</v>
      </c>
      <c r="B599" s="52">
        <v>45373</v>
      </c>
      <c r="C599" t="s">
        <v>1051</v>
      </c>
      <c r="D599" t="s">
        <v>157</v>
      </c>
      <c r="E599" t="s">
        <v>27</v>
      </c>
      <c r="F599">
        <v>1000</v>
      </c>
      <c r="G599">
        <v>1000</v>
      </c>
      <c r="H599">
        <v>50</v>
      </c>
      <c r="I599" s="1">
        <f t="shared" si="9"/>
        <v>50</v>
      </c>
      <c r="J599" s="1">
        <v>301.39999999999998</v>
      </c>
      <c r="K599" s="1">
        <v>2500</v>
      </c>
      <c r="L599" s="1">
        <v>17680</v>
      </c>
      <c r="M599" s="1" t="s">
        <v>149</v>
      </c>
      <c r="N599" s="1"/>
      <c r="O599" s="1"/>
      <c r="P599" s="1"/>
      <c r="Q599" s="62"/>
      <c r="S599" t="s">
        <v>1052</v>
      </c>
      <c r="T599" s="3">
        <v>45385</v>
      </c>
      <c r="U599" s="1">
        <v>321.67</v>
      </c>
      <c r="V599" s="1">
        <v>1350</v>
      </c>
      <c r="X599">
        <v>2024</v>
      </c>
    </row>
    <row r="600" spans="1:24" x14ac:dyDescent="0.25">
      <c r="A600" t="s">
        <v>1053</v>
      </c>
      <c r="B600" s="52">
        <v>45377</v>
      </c>
      <c r="C600" s="12" t="s">
        <v>1054</v>
      </c>
      <c r="D600" t="s">
        <v>939</v>
      </c>
      <c r="E600" t="s">
        <v>37</v>
      </c>
      <c r="F600">
        <v>1000</v>
      </c>
      <c r="G600">
        <v>1000</v>
      </c>
      <c r="H600">
        <v>5</v>
      </c>
      <c r="I600" s="1">
        <f t="shared" si="9"/>
        <v>5</v>
      </c>
      <c r="J600" s="1">
        <v>500</v>
      </c>
      <c r="K600" s="1">
        <v>375</v>
      </c>
      <c r="L600" s="1">
        <v>2950</v>
      </c>
      <c r="M600" s="1" t="s">
        <v>149</v>
      </c>
      <c r="N600" s="1"/>
      <c r="O600" s="1"/>
      <c r="P600" s="1"/>
      <c r="Q600" s="62"/>
      <c r="X600">
        <v>2024</v>
      </c>
    </row>
    <row r="601" spans="1:24" x14ac:dyDescent="0.25">
      <c r="A601" t="s">
        <v>1055</v>
      </c>
      <c r="B601" s="52">
        <v>45385</v>
      </c>
      <c r="C601" t="s">
        <v>1056</v>
      </c>
      <c r="D601" t="s">
        <v>260</v>
      </c>
      <c r="E601" t="s">
        <v>27</v>
      </c>
      <c r="F601">
        <v>390</v>
      </c>
      <c r="G601">
        <v>390</v>
      </c>
      <c r="H601">
        <v>135</v>
      </c>
      <c r="I601" s="1">
        <f t="shared" si="9"/>
        <v>20.5335</v>
      </c>
      <c r="J601" s="1">
        <v>335.56</v>
      </c>
      <c r="K601" s="1">
        <v>1500</v>
      </c>
      <c r="L601" s="1">
        <v>8434.0499999999993</v>
      </c>
      <c r="M601" s="1" t="s">
        <v>149</v>
      </c>
      <c r="N601" s="1"/>
      <c r="O601" s="1"/>
      <c r="P601" s="1"/>
      <c r="Q601" s="62"/>
      <c r="X601">
        <v>2024</v>
      </c>
    </row>
    <row r="602" spans="1:24" x14ac:dyDescent="0.25">
      <c r="A602" t="s">
        <v>1057</v>
      </c>
      <c r="B602" s="52">
        <v>45385</v>
      </c>
      <c r="C602" t="s">
        <v>1056</v>
      </c>
      <c r="D602" t="s">
        <v>260</v>
      </c>
      <c r="E602" t="s">
        <v>27</v>
      </c>
      <c r="F602">
        <v>383</v>
      </c>
      <c r="G602">
        <v>383</v>
      </c>
      <c r="H602">
        <v>140</v>
      </c>
      <c r="I602" s="1">
        <f t="shared" si="9"/>
        <v>20.536460000000002</v>
      </c>
      <c r="J602" s="1">
        <v>335.53</v>
      </c>
      <c r="K602" s="1">
        <v>1500</v>
      </c>
      <c r="L602" s="1">
        <v>8436.7900000000009</v>
      </c>
      <c r="M602" s="1" t="s">
        <v>149</v>
      </c>
      <c r="N602" s="1"/>
      <c r="O602" s="1"/>
      <c r="P602" s="1"/>
      <c r="Q602" s="62"/>
      <c r="S602" t="s">
        <v>1058</v>
      </c>
      <c r="T602" s="3">
        <v>45406</v>
      </c>
      <c r="U602" s="1">
        <v>333.53</v>
      </c>
      <c r="V602" s="1">
        <v>1500</v>
      </c>
      <c r="W602" s="1">
        <v>8436.7900000000009</v>
      </c>
      <c r="X602">
        <v>2024</v>
      </c>
    </row>
    <row r="603" spans="1:24" x14ac:dyDescent="0.25">
      <c r="A603" t="s">
        <v>1059</v>
      </c>
      <c r="B603" s="52">
        <v>45385</v>
      </c>
      <c r="C603" t="s">
        <v>1056</v>
      </c>
      <c r="D603" t="s">
        <v>260</v>
      </c>
      <c r="E603" t="s">
        <v>27</v>
      </c>
      <c r="F603">
        <v>1000</v>
      </c>
      <c r="G603">
        <v>1000</v>
      </c>
      <c r="H603">
        <v>5</v>
      </c>
      <c r="I603" s="1">
        <f t="shared" si="9"/>
        <v>5</v>
      </c>
      <c r="J603" s="1">
        <v>400</v>
      </c>
      <c r="K603" s="1">
        <v>375</v>
      </c>
      <c r="L603" s="1">
        <v>2450</v>
      </c>
      <c r="M603" s="1" t="s">
        <v>149</v>
      </c>
      <c r="N603" s="1"/>
      <c r="O603" s="1"/>
      <c r="P603" s="1"/>
      <c r="Q603" s="62"/>
      <c r="X603">
        <v>2024</v>
      </c>
    </row>
    <row r="604" spans="1:24" x14ac:dyDescent="0.25">
      <c r="A604" t="s">
        <v>1060</v>
      </c>
      <c r="B604" s="52">
        <v>45380</v>
      </c>
      <c r="C604" t="s">
        <v>1061</v>
      </c>
      <c r="D604" t="s">
        <v>248</v>
      </c>
      <c r="E604" t="s">
        <v>37</v>
      </c>
      <c r="F604">
        <v>1000</v>
      </c>
      <c r="G604">
        <v>1000</v>
      </c>
      <c r="H604">
        <v>5</v>
      </c>
      <c r="I604" s="1">
        <f t="shared" si="9"/>
        <v>5</v>
      </c>
      <c r="J604" s="1">
        <v>500</v>
      </c>
      <c r="K604" s="1">
        <v>375</v>
      </c>
      <c r="L604" s="1">
        <v>2950</v>
      </c>
      <c r="M604" s="1" t="s">
        <v>149</v>
      </c>
      <c r="N604" s="1"/>
      <c r="O604" s="1"/>
      <c r="P604" s="1"/>
      <c r="Q604" s="62"/>
      <c r="X604">
        <v>2024</v>
      </c>
    </row>
    <row r="605" spans="1:24" x14ac:dyDescent="0.25">
      <c r="A605" t="s">
        <v>1062</v>
      </c>
      <c r="B605" s="53" t="s">
        <v>1063</v>
      </c>
      <c r="C605" t="s">
        <v>532</v>
      </c>
      <c r="D605" t="s">
        <v>46</v>
      </c>
      <c r="E605" t="s">
        <v>27</v>
      </c>
      <c r="F605">
        <v>2480</v>
      </c>
      <c r="G605">
        <v>1500</v>
      </c>
      <c r="H605">
        <v>226</v>
      </c>
      <c r="I605" s="1">
        <f t="shared" si="9"/>
        <v>840.72</v>
      </c>
      <c r="J605" s="1">
        <v>260</v>
      </c>
      <c r="K605" s="1">
        <v>21018</v>
      </c>
      <c r="L605" s="1">
        <v>239605.2</v>
      </c>
      <c r="M605" s="1" t="s">
        <v>149</v>
      </c>
      <c r="N605" s="1"/>
      <c r="O605" s="1"/>
      <c r="P605" s="1"/>
      <c r="Q605" s="62"/>
      <c r="X605">
        <v>2024</v>
      </c>
    </row>
    <row r="606" spans="1:24" x14ac:dyDescent="0.25">
      <c r="A606" t="s">
        <v>1064</v>
      </c>
      <c r="B606" s="52">
        <v>45385</v>
      </c>
      <c r="C606" t="s">
        <v>1065</v>
      </c>
      <c r="D606" t="s">
        <v>97</v>
      </c>
      <c r="E606" t="s">
        <v>32</v>
      </c>
      <c r="F606">
        <v>1000</v>
      </c>
      <c r="G606">
        <v>1000</v>
      </c>
      <c r="H606">
        <v>5</v>
      </c>
      <c r="I606" s="1">
        <f t="shared" si="9"/>
        <v>5</v>
      </c>
      <c r="J606" s="1">
        <v>600</v>
      </c>
      <c r="K606" s="1">
        <v>375</v>
      </c>
      <c r="L606" s="1">
        <v>3650</v>
      </c>
      <c r="M606" s="1" t="s">
        <v>149</v>
      </c>
      <c r="N606" s="1"/>
      <c r="O606" s="1"/>
      <c r="P606" s="1"/>
      <c r="Q606" s="62"/>
      <c r="X606">
        <v>2024</v>
      </c>
    </row>
    <row r="607" spans="1:24" x14ac:dyDescent="0.25">
      <c r="A607" t="s">
        <v>1066</v>
      </c>
      <c r="B607" s="52">
        <v>45385</v>
      </c>
      <c r="C607" t="s">
        <v>955</v>
      </c>
      <c r="D607" t="s">
        <v>57</v>
      </c>
      <c r="E607" t="s">
        <v>37</v>
      </c>
      <c r="F607">
        <v>1000</v>
      </c>
      <c r="G607">
        <v>1000</v>
      </c>
      <c r="H607">
        <v>10</v>
      </c>
      <c r="I607" s="1">
        <f t="shared" si="9"/>
        <v>10</v>
      </c>
      <c r="J607" s="1">
        <v>464</v>
      </c>
      <c r="K607" s="1">
        <v>750</v>
      </c>
      <c r="L607" s="1">
        <v>5615</v>
      </c>
      <c r="M607" s="1" t="s">
        <v>149</v>
      </c>
      <c r="N607" s="1"/>
      <c r="O607" s="1"/>
      <c r="P607" s="1"/>
      <c r="Q607" s="62"/>
      <c r="X607">
        <v>2024</v>
      </c>
    </row>
    <row r="608" spans="1:24" x14ac:dyDescent="0.25">
      <c r="A608" t="s">
        <v>1067</v>
      </c>
      <c r="B608" s="52">
        <v>45405</v>
      </c>
      <c r="C608" t="s">
        <v>195</v>
      </c>
      <c r="D608" t="s">
        <v>46</v>
      </c>
      <c r="E608" t="s">
        <v>27</v>
      </c>
      <c r="F608">
        <v>1000</v>
      </c>
      <c r="G608">
        <v>1000</v>
      </c>
      <c r="H608">
        <v>15</v>
      </c>
      <c r="I608" s="1">
        <f t="shared" si="9"/>
        <v>15</v>
      </c>
      <c r="J608" s="1">
        <v>343.7</v>
      </c>
      <c r="K608" s="1">
        <v>2000</v>
      </c>
      <c r="L608" s="1">
        <v>17724.25</v>
      </c>
      <c r="M608" s="1" t="s">
        <v>149</v>
      </c>
      <c r="N608" s="1"/>
      <c r="O608" s="1"/>
      <c r="P608" s="1"/>
      <c r="Q608" s="62"/>
      <c r="X608">
        <v>2024</v>
      </c>
    </row>
    <row r="609" spans="1:24" x14ac:dyDescent="0.25">
      <c r="A609" t="s">
        <v>1067</v>
      </c>
      <c r="E609" t="s">
        <v>37</v>
      </c>
      <c r="F609">
        <v>1000</v>
      </c>
      <c r="G609">
        <v>1000</v>
      </c>
      <c r="H609">
        <v>25</v>
      </c>
      <c r="I609" s="1">
        <f t="shared" si="9"/>
        <v>25</v>
      </c>
      <c r="J609" s="1">
        <v>422.75</v>
      </c>
      <c r="K609" s="1"/>
      <c r="L609" s="1"/>
      <c r="M609" s="1" t="s">
        <v>149</v>
      </c>
      <c r="N609" s="1"/>
      <c r="O609" s="1"/>
      <c r="P609" s="1"/>
      <c r="Q609" s="62"/>
      <c r="X609">
        <v>2024</v>
      </c>
    </row>
    <row r="610" spans="1:24" x14ac:dyDescent="0.25">
      <c r="A610" t="s">
        <v>1068</v>
      </c>
      <c r="B610" s="52">
        <v>45386</v>
      </c>
      <c r="C610" t="s">
        <v>1069</v>
      </c>
      <c r="D610" t="s">
        <v>31</v>
      </c>
      <c r="E610" t="s">
        <v>27</v>
      </c>
      <c r="F610">
        <v>1000</v>
      </c>
      <c r="G610">
        <v>1000</v>
      </c>
      <c r="H610">
        <v>5</v>
      </c>
      <c r="I610" s="1">
        <f t="shared" si="9"/>
        <v>5</v>
      </c>
      <c r="J610" s="1">
        <v>400</v>
      </c>
      <c r="K610" s="1">
        <v>375</v>
      </c>
      <c r="L610" s="1">
        <v>2450</v>
      </c>
      <c r="M610" s="1" t="s">
        <v>149</v>
      </c>
      <c r="N610" s="1"/>
      <c r="O610" s="1"/>
      <c r="P610" s="1" t="s">
        <v>149</v>
      </c>
      <c r="Q610" s="62">
        <v>45386</v>
      </c>
      <c r="X610">
        <v>2024</v>
      </c>
    </row>
    <row r="611" spans="1:24" x14ac:dyDescent="0.25">
      <c r="A611" t="s">
        <v>1070</v>
      </c>
      <c r="B611" s="52">
        <v>45386</v>
      </c>
      <c r="C611" t="s">
        <v>1005</v>
      </c>
      <c r="D611" t="s">
        <v>146</v>
      </c>
      <c r="E611" t="s">
        <v>27</v>
      </c>
      <c r="F611">
        <v>1000</v>
      </c>
      <c r="G611">
        <v>1000</v>
      </c>
      <c r="H611">
        <v>5</v>
      </c>
      <c r="I611" s="1">
        <f t="shared" si="9"/>
        <v>5</v>
      </c>
      <c r="J611" s="1">
        <v>400</v>
      </c>
      <c r="K611" s="1">
        <v>375</v>
      </c>
      <c r="L611" s="1">
        <v>2450</v>
      </c>
      <c r="M611" s="1" t="s">
        <v>149</v>
      </c>
      <c r="N611" s="1"/>
      <c r="O611" s="1"/>
      <c r="P611" s="1"/>
      <c r="Q611" s="62"/>
      <c r="X611">
        <v>2024</v>
      </c>
    </row>
    <row r="612" spans="1:24" x14ac:dyDescent="0.25">
      <c r="A612" t="s">
        <v>1071</v>
      </c>
      <c r="B612" s="53" t="s">
        <v>1072</v>
      </c>
      <c r="C612" t="s">
        <v>1073</v>
      </c>
      <c r="D612" t="s">
        <v>276</v>
      </c>
      <c r="E612" t="s">
        <v>27</v>
      </c>
      <c r="F612">
        <v>1000</v>
      </c>
      <c r="G612">
        <v>1000</v>
      </c>
      <c r="H612">
        <v>5</v>
      </c>
      <c r="I612" s="1">
        <f t="shared" si="9"/>
        <v>5</v>
      </c>
      <c r="J612" s="1">
        <v>400</v>
      </c>
      <c r="K612" s="1">
        <v>375</v>
      </c>
      <c r="L612" s="1">
        <v>2450</v>
      </c>
      <c r="M612" s="1" t="s">
        <v>149</v>
      </c>
      <c r="N612" s="1"/>
      <c r="O612" s="1"/>
      <c r="P612" s="1"/>
      <c r="Q612" s="62"/>
      <c r="X612">
        <v>2024</v>
      </c>
    </row>
    <row r="613" spans="1:24" x14ac:dyDescent="0.25">
      <c r="A613" t="s">
        <v>1074</v>
      </c>
      <c r="B613" s="53" t="s">
        <v>1072</v>
      </c>
      <c r="C613" t="s">
        <v>1073</v>
      </c>
      <c r="D613" t="s">
        <v>276</v>
      </c>
      <c r="E613" t="s">
        <v>37</v>
      </c>
      <c r="F613">
        <v>1000</v>
      </c>
      <c r="G613">
        <v>1000</v>
      </c>
      <c r="H613">
        <v>5</v>
      </c>
      <c r="I613" s="1">
        <f t="shared" si="9"/>
        <v>5</v>
      </c>
      <c r="J613" s="1">
        <v>500</v>
      </c>
      <c r="K613" s="1">
        <v>375</v>
      </c>
      <c r="L613" s="1">
        <v>2950</v>
      </c>
      <c r="M613" s="1" t="s">
        <v>149</v>
      </c>
      <c r="N613" s="1"/>
      <c r="O613" s="1"/>
      <c r="P613" s="1"/>
      <c r="Q613" s="62"/>
      <c r="X613">
        <v>2024</v>
      </c>
    </row>
    <row r="614" spans="1:24" x14ac:dyDescent="0.25">
      <c r="A614" t="s">
        <v>1074</v>
      </c>
      <c r="B614" s="53" t="s">
        <v>1075</v>
      </c>
      <c r="C614" t="s">
        <v>1076</v>
      </c>
      <c r="D614" t="s">
        <v>103</v>
      </c>
      <c r="E614" t="s">
        <v>37</v>
      </c>
      <c r="F614">
        <v>1000</v>
      </c>
      <c r="G614">
        <v>1000</v>
      </c>
      <c r="H614">
        <v>5</v>
      </c>
      <c r="I614" s="1">
        <f t="shared" si="9"/>
        <v>5</v>
      </c>
      <c r="J614" s="1">
        <v>500</v>
      </c>
      <c r="K614" s="1">
        <v>375</v>
      </c>
      <c r="L614" s="1">
        <v>3000</v>
      </c>
      <c r="M614" s="1" t="s">
        <v>149</v>
      </c>
      <c r="N614" s="1"/>
      <c r="O614" s="1"/>
      <c r="P614" s="1"/>
      <c r="Q614" s="62"/>
      <c r="X614">
        <v>2024</v>
      </c>
    </row>
    <row r="615" spans="1:24" x14ac:dyDescent="0.25">
      <c r="A615" t="s">
        <v>1077</v>
      </c>
      <c r="B615" s="52">
        <v>45397</v>
      </c>
      <c r="C615" t="s">
        <v>1078</v>
      </c>
      <c r="D615" t="s">
        <v>103</v>
      </c>
      <c r="E615" t="s">
        <v>32</v>
      </c>
      <c r="F615">
        <v>1000</v>
      </c>
      <c r="G615">
        <v>1000</v>
      </c>
      <c r="H615">
        <v>5</v>
      </c>
      <c r="I615" s="1">
        <f t="shared" si="9"/>
        <v>5</v>
      </c>
      <c r="J615" s="1">
        <v>600</v>
      </c>
      <c r="K615" s="1">
        <v>375</v>
      </c>
      <c r="L615" s="1">
        <v>3650</v>
      </c>
      <c r="M615" s="1" t="s">
        <v>149</v>
      </c>
      <c r="N615" s="1"/>
      <c r="O615" s="1"/>
      <c r="P615" s="1" t="s">
        <v>149</v>
      </c>
      <c r="Q615" s="62">
        <v>45399</v>
      </c>
      <c r="X615">
        <v>2024</v>
      </c>
    </row>
    <row r="616" spans="1:24" x14ac:dyDescent="0.25">
      <c r="A616" t="s">
        <v>1079</v>
      </c>
      <c r="B616" s="52">
        <v>45397</v>
      </c>
      <c r="C616" t="s">
        <v>989</v>
      </c>
      <c r="D616" t="s">
        <v>31</v>
      </c>
      <c r="E616" t="s">
        <v>32</v>
      </c>
      <c r="F616">
        <v>1000</v>
      </c>
      <c r="G616">
        <v>1000</v>
      </c>
      <c r="H616">
        <v>5</v>
      </c>
      <c r="I616" s="1">
        <f t="shared" si="9"/>
        <v>5</v>
      </c>
      <c r="J616" s="1">
        <v>600</v>
      </c>
      <c r="K616" s="1">
        <v>375</v>
      </c>
      <c r="L616" s="1">
        <v>3650</v>
      </c>
      <c r="M616" s="1" t="s">
        <v>149</v>
      </c>
      <c r="N616" s="1"/>
      <c r="O616" s="1"/>
      <c r="P616" s="1" t="s">
        <v>149</v>
      </c>
      <c r="Q616" s="62">
        <v>45405</v>
      </c>
      <c r="X616">
        <v>2024</v>
      </c>
    </row>
    <row r="617" spans="1:24" x14ac:dyDescent="0.25">
      <c r="A617" t="s">
        <v>1080</v>
      </c>
      <c r="B617" s="52">
        <v>45397</v>
      </c>
      <c r="C617" t="s">
        <v>1081</v>
      </c>
      <c r="D617" t="s">
        <v>42</v>
      </c>
      <c r="E617" t="s">
        <v>32</v>
      </c>
      <c r="F617">
        <v>1000</v>
      </c>
      <c r="G617">
        <v>1000</v>
      </c>
      <c r="H617">
        <v>5</v>
      </c>
      <c r="I617" s="1">
        <f t="shared" si="9"/>
        <v>5</v>
      </c>
      <c r="J617" s="1">
        <v>600</v>
      </c>
      <c r="K617" s="1">
        <v>375</v>
      </c>
      <c r="L617" s="1">
        <v>3650</v>
      </c>
      <c r="M617" s="1" t="s">
        <v>149</v>
      </c>
      <c r="N617" s="1"/>
      <c r="O617" s="1"/>
      <c r="P617" s="1"/>
      <c r="Q617" s="62"/>
      <c r="X617">
        <v>2024</v>
      </c>
    </row>
    <row r="618" spans="1:24" x14ac:dyDescent="0.25">
      <c r="A618" t="s">
        <v>1082</v>
      </c>
      <c r="B618" s="52">
        <v>45398</v>
      </c>
      <c r="C618" t="s">
        <v>1083</v>
      </c>
      <c r="D618" t="s">
        <v>276</v>
      </c>
      <c r="E618" t="s">
        <v>32</v>
      </c>
      <c r="F618">
        <v>1420</v>
      </c>
      <c r="G618">
        <v>720</v>
      </c>
      <c r="H618">
        <v>20</v>
      </c>
      <c r="I618" s="1">
        <f t="shared" si="9"/>
        <v>20.448</v>
      </c>
      <c r="J618" s="1">
        <v>541.96</v>
      </c>
      <c r="K618" s="1">
        <v>1500</v>
      </c>
      <c r="L618" s="1">
        <v>12637.47</v>
      </c>
      <c r="M618" s="1" t="s">
        <v>149</v>
      </c>
      <c r="N618" s="1"/>
      <c r="O618" s="1"/>
      <c r="P618" s="1" t="s">
        <v>149</v>
      </c>
      <c r="Q618" s="62">
        <v>45414</v>
      </c>
      <c r="X618">
        <v>2024</v>
      </c>
    </row>
    <row r="619" spans="1:24" x14ac:dyDescent="0.25">
      <c r="A619" t="s">
        <v>1084</v>
      </c>
      <c r="B619" s="52">
        <v>45398</v>
      </c>
      <c r="C619" t="s">
        <v>974</v>
      </c>
      <c r="D619" t="s">
        <v>263</v>
      </c>
      <c r="E619" t="s">
        <v>37</v>
      </c>
      <c r="F619">
        <v>1000</v>
      </c>
      <c r="G619">
        <v>1000</v>
      </c>
      <c r="H619">
        <v>20</v>
      </c>
      <c r="I619" s="1">
        <f t="shared" si="9"/>
        <v>20</v>
      </c>
      <c r="J619" s="1">
        <v>438.23</v>
      </c>
      <c r="K619" s="1">
        <v>1500</v>
      </c>
      <c r="L619" s="1">
        <v>10264.6</v>
      </c>
      <c r="M619" s="1" t="s">
        <v>149</v>
      </c>
      <c r="N619" s="1"/>
      <c r="O619" s="1"/>
      <c r="P619" s="1"/>
      <c r="Q619" s="62"/>
      <c r="X619">
        <v>2024</v>
      </c>
    </row>
    <row r="620" spans="1:24" x14ac:dyDescent="0.25">
      <c r="A620" t="s">
        <v>1085</v>
      </c>
      <c r="B620" s="52">
        <v>45399</v>
      </c>
      <c r="C620" t="s">
        <v>443</v>
      </c>
      <c r="D620" t="s">
        <v>52</v>
      </c>
      <c r="E620" t="s">
        <v>37</v>
      </c>
      <c r="F620">
        <v>316</v>
      </c>
      <c r="G620">
        <v>316</v>
      </c>
      <c r="H620">
        <v>205</v>
      </c>
      <c r="I620" s="1">
        <f t="shared" si="9"/>
        <v>20.470479999999998</v>
      </c>
      <c r="J620" s="1">
        <v>436.44</v>
      </c>
      <c r="K620" s="1">
        <v>1500</v>
      </c>
      <c r="L620" s="1">
        <v>10506.5</v>
      </c>
      <c r="M620" s="1" t="s">
        <v>149</v>
      </c>
      <c r="N620" s="1"/>
      <c r="O620" s="1"/>
      <c r="P620" s="1"/>
      <c r="Q620" s="62"/>
      <c r="X620">
        <v>2024</v>
      </c>
    </row>
    <row r="621" spans="1:24" x14ac:dyDescent="0.25">
      <c r="A621" t="s">
        <v>1086</v>
      </c>
      <c r="B621" s="52">
        <v>45401</v>
      </c>
      <c r="C621" t="s">
        <v>524</v>
      </c>
      <c r="D621" t="s">
        <v>525</v>
      </c>
      <c r="E621" t="s">
        <v>37</v>
      </c>
      <c r="F621">
        <v>1000</v>
      </c>
      <c r="G621">
        <v>1000</v>
      </c>
      <c r="H621">
        <v>9</v>
      </c>
      <c r="I621" s="1">
        <f t="shared" si="9"/>
        <v>9</v>
      </c>
      <c r="J621">
        <v>469.73</v>
      </c>
      <c r="K621" s="1">
        <v>675</v>
      </c>
      <c r="L621" s="1">
        <v>5127.57</v>
      </c>
      <c r="M621" s="1" t="s">
        <v>149</v>
      </c>
      <c r="N621" s="1"/>
      <c r="O621" s="1"/>
      <c r="P621" s="1"/>
      <c r="Q621" s="62"/>
      <c r="X621">
        <v>2024</v>
      </c>
    </row>
    <row r="622" spans="1:24" x14ac:dyDescent="0.25">
      <c r="A622" t="s">
        <v>1087</v>
      </c>
      <c r="B622" s="52">
        <v>45401</v>
      </c>
      <c r="C622" t="s">
        <v>109</v>
      </c>
      <c r="D622" t="s">
        <v>36</v>
      </c>
      <c r="E622" t="s">
        <v>32</v>
      </c>
      <c r="F622">
        <v>1150</v>
      </c>
      <c r="G622">
        <v>550</v>
      </c>
      <c r="H622">
        <v>170</v>
      </c>
      <c r="I622" s="1">
        <f t="shared" si="9"/>
        <v>107.52500000000001</v>
      </c>
      <c r="J622">
        <v>463.68</v>
      </c>
      <c r="K622" s="1">
        <v>2688.25</v>
      </c>
      <c r="L622" s="1">
        <v>52797.760000000002</v>
      </c>
      <c r="M622" s="1" t="s">
        <v>149</v>
      </c>
      <c r="N622" s="1"/>
      <c r="O622" s="1"/>
      <c r="P622" s="1"/>
      <c r="Q622" s="62"/>
      <c r="X622">
        <v>2024</v>
      </c>
    </row>
    <row r="623" spans="1:24" x14ac:dyDescent="0.25">
      <c r="A623" t="s">
        <v>1088</v>
      </c>
      <c r="B623" s="52">
        <v>45401</v>
      </c>
      <c r="C623" t="s">
        <v>1089</v>
      </c>
      <c r="D623" t="s">
        <v>83</v>
      </c>
      <c r="E623" t="s">
        <v>32</v>
      </c>
      <c r="F623">
        <v>1000</v>
      </c>
      <c r="G623">
        <v>1000</v>
      </c>
      <c r="H623">
        <v>5</v>
      </c>
      <c r="I623" s="1">
        <f t="shared" si="9"/>
        <v>5</v>
      </c>
      <c r="J623" s="1">
        <v>600</v>
      </c>
      <c r="K623" s="1">
        <v>375</v>
      </c>
      <c r="L623" s="1">
        <v>3650</v>
      </c>
      <c r="M623" s="1" t="s">
        <v>149</v>
      </c>
      <c r="N623" s="1"/>
      <c r="O623" s="1"/>
      <c r="P623" s="1"/>
      <c r="Q623" s="62"/>
      <c r="X623">
        <v>2024</v>
      </c>
    </row>
    <row r="624" spans="1:24" x14ac:dyDescent="0.25">
      <c r="A624" t="s">
        <v>1090</v>
      </c>
      <c r="B624" s="52">
        <v>45406</v>
      </c>
      <c r="C624" t="s">
        <v>974</v>
      </c>
      <c r="D624" t="s">
        <v>263</v>
      </c>
      <c r="E624" t="s">
        <v>37</v>
      </c>
      <c r="F624">
        <v>1000</v>
      </c>
      <c r="G624">
        <v>1000</v>
      </c>
      <c r="H624">
        <v>40</v>
      </c>
      <c r="I624" s="1">
        <f t="shared" si="9"/>
        <v>40</v>
      </c>
      <c r="J624">
        <v>399.56</v>
      </c>
      <c r="K624" s="1">
        <v>2000</v>
      </c>
      <c r="L624" s="1">
        <v>17982.400000000001</v>
      </c>
      <c r="M624" s="1" t="s">
        <v>149</v>
      </c>
      <c r="N624" s="1"/>
      <c r="O624" s="1"/>
      <c r="P624" s="1" t="s">
        <v>149</v>
      </c>
      <c r="Q624" s="62">
        <v>45413</v>
      </c>
      <c r="X624">
        <v>2024</v>
      </c>
    </row>
    <row r="625" spans="1:24" x14ac:dyDescent="0.25">
      <c r="A625" t="s">
        <v>1091</v>
      </c>
      <c r="B625" s="52">
        <v>45405</v>
      </c>
      <c r="C625" t="s">
        <v>1092</v>
      </c>
      <c r="D625" t="s">
        <v>359</v>
      </c>
      <c r="E625" t="s">
        <v>27</v>
      </c>
      <c r="F625">
        <v>1000</v>
      </c>
      <c r="G625">
        <v>1000</v>
      </c>
      <c r="H625">
        <v>5</v>
      </c>
      <c r="I625" s="1">
        <f t="shared" si="9"/>
        <v>5</v>
      </c>
      <c r="J625">
        <v>400</v>
      </c>
      <c r="K625" s="1">
        <v>375</v>
      </c>
      <c r="L625" s="1">
        <v>2450</v>
      </c>
      <c r="M625" s="1" t="s">
        <v>149</v>
      </c>
      <c r="N625" s="1"/>
      <c r="O625" s="1"/>
      <c r="P625" s="1"/>
      <c r="Q625" s="62"/>
      <c r="X625">
        <v>2024</v>
      </c>
    </row>
    <row r="626" spans="1:24" x14ac:dyDescent="0.25">
      <c r="A626" t="s">
        <v>1093</v>
      </c>
      <c r="B626" s="52">
        <v>45405</v>
      </c>
      <c r="C626" t="s">
        <v>1092</v>
      </c>
      <c r="D626" t="s">
        <v>359</v>
      </c>
      <c r="E626" t="s">
        <v>32</v>
      </c>
      <c r="F626">
        <v>1000</v>
      </c>
      <c r="G626">
        <v>1000</v>
      </c>
      <c r="H626">
        <v>5</v>
      </c>
      <c r="I626" s="1">
        <f t="shared" si="9"/>
        <v>5</v>
      </c>
      <c r="J626">
        <v>600</v>
      </c>
      <c r="K626" s="1">
        <v>375</v>
      </c>
      <c r="L626" s="1">
        <v>3650</v>
      </c>
      <c r="M626" s="1" t="s">
        <v>149</v>
      </c>
      <c r="N626" s="1"/>
      <c r="O626" s="1"/>
      <c r="P626" s="1" t="s">
        <v>149</v>
      </c>
      <c r="Q626" s="62">
        <v>45419</v>
      </c>
      <c r="X626">
        <v>2024</v>
      </c>
    </row>
    <row r="627" spans="1:24" x14ac:dyDescent="0.25">
      <c r="A627" t="s">
        <v>1094</v>
      </c>
      <c r="B627" s="52">
        <v>45406</v>
      </c>
      <c r="C627" t="s">
        <v>1095</v>
      </c>
      <c r="D627" t="s">
        <v>83</v>
      </c>
      <c r="E627" t="s">
        <v>27</v>
      </c>
      <c r="F627">
        <v>1000</v>
      </c>
      <c r="G627">
        <v>1000</v>
      </c>
      <c r="H627">
        <v>5</v>
      </c>
      <c r="I627" s="1">
        <f t="shared" si="9"/>
        <v>5</v>
      </c>
      <c r="J627">
        <v>400</v>
      </c>
      <c r="K627" s="1">
        <v>375</v>
      </c>
      <c r="L627" s="1">
        <v>2500</v>
      </c>
      <c r="M627" s="1" t="s">
        <v>149</v>
      </c>
      <c r="N627" s="1"/>
      <c r="O627" s="1"/>
      <c r="P627" s="1" t="s">
        <v>149</v>
      </c>
      <c r="Q627" s="62">
        <v>45414</v>
      </c>
      <c r="X627">
        <v>2024</v>
      </c>
    </row>
    <row r="628" spans="1:24" x14ac:dyDescent="0.25">
      <c r="A628" t="s">
        <v>1096</v>
      </c>
      <c r="B628" s="52">
        <v>45406</v>
      </c>
      <c r="C628" t="s">
        <v>1999</v>
      </c>
      <c r="D628" t="s">
        <v>31</v>
      </c>
      <c r="E628" t="s">
        <v>27</v>
      </c>
      <c r="F628">
        <v>1000</v>
      </c>
      <c r="G628">
        <v>1000</v>
      </c>
      <c r="H628">
        <v>5</v>
      </c>
      <c r="I628" s="1">
        <f t="shared" si="9"/>
        <v>5</v>
      </c>
      <c r="J628">
        <v>400</v>
      </c>
      <c r="K628" s="1">
        <v>375</v>
      </c>
      <c r="L628" s="1">
        <v>2450</v>
      </c>
      <c r="M628" s="1" t="s">
        <v>149</v>
      </c>
      <c r="N628" s="1"/>
      <c r="O628" s="1"/>
      <c r="P628" s="1" t="s">
        <v>149</v>
      </c>
      <c r="Q628" s="62">
        <v>45448</v>
      </c>
      <c r="S628" t="s">
        <v>1097</v>
      </c>
      <c r="T628" s="3">
        <v>45440</v>
      </c>
      <c r="U628" s="1">
        <v>400</v>
      </c>
      <c r="V628" s="1">
        <v>375</v>
      </c>
      <c r="W628" s="1">
        <v>2450</v>
      </c>
      <c r="X628">
        <v>2024</v>
      </c>
    </row>
    <row r="629" spans="1:24" x14ac:dyDescent="0.25">
      <c r="A629" t="s">
        <v>1098</v>
      </c>
      <c r="B629" s="52">
        <v>45406</v>
      </c>
      <c r="C629" t="s">
        <v>1099</v>
      </c>
      <c r="D629" t="s">
        <v>100</v>
      </c>
      <c r="E629" t="s">
        <v>27</v>
      </c>
      <c r="F629">
        <v>1000</v>
      </c>
      <c r="G629">
        <v>1000</v>
      </c>
      <c r="H629">
        <v>20</v>
      </c>
      <c r="I629" s="1">
        <f t="shared" si="9"/>
        <v>20</v>
      </c>
      <c r="J629">
        <v>337.09</v>
      </c>
      <c r="K629" s="1">
        <v>1500</v>
      </c>
      <c r="L629" s="1">
        <v>8461.7999999999993</v>
      </c>
      <c r="M629" s="1" t="s">
        <v>149</v>
      </c>
      <c r="N629" s="1"/>
      <c r="O629" s="1"/>
      <c r="P629" s="1" t="s">
        <v>149</v>
      </c>
      <c r="Q629" s="62">
        <v>45408</v>
      </c>
      <c r="X629">
        <v>2024</v>
      </c>
    </row>
    <row r="630" spans="1:24" x14ac:dyDescent="0.25">
      <c r="A630" t="s">
        <v>1100</v>
      </c>
      <c r="B630" s="52">
        <v>45412</v>
      </c>
      <c r="C630" t="s">
        <v>514</v>
      </c>
      <c r="D630" t="s">
        <v>157</v>
      </c>
      <c r="E630" t="s">
        <v>37</v>
      </c>
      <c r="F630">
        <v>900</v>
      </c>
      <c r="G630">
        <v>900</v>
      </c>
      <c r="H630">
        <v>75</v>
      </c>
      <c r="I630" s="1">
        <f t="shared" si="9"/>
        <v>60.75</v>
      </c>
      <c r="J630">
        <v>386.35</v>
      </c>
      <c r="K630" s="1">
        <v>2500</v>
      </c>
      <c r="L630" s="1">
        <v>26050.76</v>
      </c>
      <c r="M630" s="1" t="s">
        <v>149</v>
      </c>
      <c r="N630" s="1"/>
      <c r="O630" s="1"/>
      <c r="P630" s="1"/>
      <c r="Q630" s="62"/>
      <c r="S630" t="s">
        <v>1101</v>
      </c>
      <c r="T630" s="3">
        <v>45412</v>
      </c>
      <c r="U630">
        <v>386.35</v>
      </c>
      <c r="V630" s="1">
        <v>2500</v>
      </c>
      <c r="W630" s="1">
        <v>26050.76</v>
      </c>
      <c r="X630">
        <v>2024</v>
      </c>
    </row>
    <row r="631" spans="1:24" x14ac:dyDescent="0.25">
      <c r="A631" t="s">
        <v>1102</v>
      </c>
      <c r="B631" s="52">
        <v>45411</v>
      </c>
      <c r="C631" t="s">
        <v>1103</v>
      </c>
      <c r="D631" t="s">
        <v>57</v>
      </c>
      <c r="E631" t="s">
        <v>27</v>
      </c>
      <c r="F631">
        <v>1000</v>
      </c>
      <c r="G631">
        <v>1000</v>
      </c>
      <c r="H631">
        <v>5</v>
      </c>
      <c r="I631" s="1">
        <f t="shared" si="9"/>
        <v>5</v>
      </c>
      <c r="J631">
        <v>400</v>
      </c>
      <c r="K631" s="1">
        <v>375</v>
      </c>
      <c r="L631" s="1">
        <v>2500</v>
      </c>
      <c r="M631" s="1" t="s">
        <v>149</v>
      </c>
      <c r="N631" s="1"/>
      <c r="O631" s="1"/>
      <c r="P631" s="1"/>
      <c r="Q631" s="62"/>
      <c r="X631">
        <v>2024</v>
      </c>
    </row>
    <row r="632" spans="1:24" x14ac:dyDescent="0.25">
      <c r="A632" t="s">
        <v>1104</v>
      </c>
      <c r="B632" s="52">
        <v>45411</v>
      </c>
      <c r="C632" t="s">
        <v>1105</v>
      </c>
      <c r="D632" t="s">
        <v>100</v>
      </c>
      <c r="E632" t="s">
        <v>32</v>
      </c>
      <c r="F632">
        <v>1000</v>
      </c>
      <c r="G632">
        <v>1000</v>
      </c>
      <c r="H632">
        <v>5</v>
      </c>
      <c r="I632" s="1">
        <f t="shared" si="9"/>
        <v>5</v>
      </c>
      <c r="J632">
        <v>600</v>
      </c>
      <c r="K632" s="1">
        <v>375</v>
      </c>
      <c r="L632" s="1">
        <v>3650</v>
      </c>
      <c r="M632" s="1" t="s">
        <v>149</v>
      </c>
      <c r="N632" s="1"/>
      <c r="O632" s="1"/>
      <c r="P632" s="1"/>
      <c r="Q632" s="62"/>
      <c r="X632">
        <v>2024</v>
      </c>
    </row>
    <row r="633" spans="1:24" x14ac:dyDescent="0.25">
      <c r="A633" t="s">
        <v>1106</v>
      </c>
      <c r="B633" s="52">
        <v>45411</v>
      </c>
      <c r="C633" t="s">
        <v>1107</v>
      </c>
      <c r="D633" t="s">
        <v>57</v>
      </c>
      <c r="E633" t="s">
        <v>27</v>
      </c>
      <c r="F633">
        <v>1000</v>
      </c>
      <c r="G633">
        <v>1000</v>
      </c>
      <c r="H633">
        <v>5</v>
      </c>
      <c r="I633" s="1">
        <f t="shared" si="9"/>
        <v>5</v>
      </c>
      <c r="J633">
        <v>400</v>
      </c>
      <c r="K633" s="1">
        <v>375</v>
      </c>
      <c r="L633" s="1">
        <v>2500</v>
      </c>
      <c r="M633" s="1" t="s">
        <v>149</v>
      </c>
      <c r="N633" s="1"/>
      <c r="O633" s="1"/>
      <c r="P633" s="1"/>
      <c r="Q633" s="62"/>
      <c r="X633">
        <v>2024</v>
      </c>
    </row>
    <row r="634" spans="1:24" x14ac:dyDescent="0.25">
      <c r="A634" t="s">
        <v>1108</v>
      </c>
      <c r="B634" s="52">
        <v>45412</v>
      </c>
      <c r="C634" t="s">
        <v>443</v>
      </c>
      <c r="D634" t="s">
        <v>52</v>
      </c>
      <c r="E634" t="s">
        <v>37</v>
      </c>
      <c r="F634">
        <v>316</v>
      </c>
      <c r="G634">
        <v>316</v>
      </c>
      <c r="H634">
        <v>25</v>
      </c>
      <c r="I634" s="1">
        <f t="shared" si="9"/>
        <v>2.4964</v>
      </c>
      <c r="J634">
        <v>325</v>
      </c>
      <c r="K634" s="1" t="s">
        <v>982</v>
      </c>
      <c r="L634" s="1">
        <v>842.5</v>
      </c>
      <c r="M634" s="1" t="s">
        <v>149</v>
      </c>
      <c r="N634" s="1"/>
      <c r="O634" s="1"/>
      <c r="P634" s="1" t="s">
        <v>149</v>
      </c>
      <c r="Q634" s="62">
        <v>45413</v>
      </c>
      <c r="X634">
        <v>2024</v>
      </c>
    </row>
    <row r="635" spans="1:24" x14ac:dyDescent="0.25">
      <c r="A635" t="s">
        <v>1109</v>
      </c>
      <c r="B635" s="52">
        <v>45414</v>
      </c>
      <c r="C635" t="s">
        <v>1110</v>
      </c>
      <c r="D635" t="s">
        <v>57</v>
      </c>
      <c r="E635" t="s">
        <v>27</v>
      </c>
      <c r="F635">
        <v>1000</v>
      </c>
      <c r="G635">
        <v>1000</v>
      </c>
      <c r="H635">
        <v>19</v>
      </c>
      <c r="I635" s="1">
        <f t="shared" si="9"/>
        <v>19</v>
      </c>
      <c r="J635">
        <v>338.13</v>
      </c>
      <c r="K635" s="1">
        <v>1425</v>
      </c>
      <c r="L635" s="1">
        <v>7849.47</v>
      </c>
      <c r="M635" s="1" t="s">
        <v>149</v>
      </c>
      <c r="N635" s="1"/>
      <c r="O635" s="1"/>
      <c r="P635" s="1"/>
      <c r="Q635" s="62"/>
      <c r="X635">
        <v>2024</v>
      </c>
    </row>
    <row r="636" spans="1:24" x14ac:dyDescent="0.25">
      <c r="A636" t="s">
        <v>1111</v>
      </c>
      <c r="B636" s="52">
        <v>45414</v>
      </c>
      <c r="C636" t="s">
        <v>1112</v>
      </c>
      <c r="D636" t="s">
        <v>52</v>
      </c>
      <c r="E636" t="s">
        <v>27</v>
      </c>
      <c r="F636">
        <v>1000</v>
      </c>
      <c r="G636">
        <v>1000</v>
      </c>
      <c r="H636">
        <v>5</v>
      </c>
      <c r="I636" s="1">
        <f t="shared" si="9"/>
        <v>5</v>
      </c>
      <c r="J636">
        <v>400</v>
      </c>
      <c r="K636" s="1">
        <v>375</v>
      </c>
      <c r="L636" s="1">
        <v>2450</v>
      </c>
      <c r="M636" s="1" t="s">
        <v>149</v>
      </c>
      <c r="N636" s="1"/>
      <c r="O636" s="1"/>
      <c r="P636" s="1"/>
      <c r="Q636" s="62"/>
      <c r="X636">
        <v>2024</v>
      </c>
    </row>
    <row r="637" spans="1:24" x14ac:dyDescent="0.25">
      <c r="A637" t="s">
        <v>1113</v>
      </c>
      <c r="B637" s="52">
        <v>45414</v>
      </c>
      <c r="C637" t="s">
        <v>1112</v>
      </c>
      <c r="D637" t="s">
        <v>52</v>
      </c>
      <c r="E637" t="s">
        <v>37</v>
      </c>
      <c r="F637">
        <v>1000</v>
      </c>
      <c r="G637">
        <v>1000</v>
      </c>
      <c r="H637">
        <v>5</v>
      </c>
      <c r="I637" s="1">
        <f t="shared" si="9"/>
        <v>5</v>
      </c>
      <c r="J637">
        <v>500</v>
      </c>
      <c r="K637" s="1">
        <v>375</v>
      </c>
      <c r="L637" s="1">
        <v>2950</v>
      </c>
      <c r="M637" s="1" t="s">
        <v>149</v>
      </c>
      <c r="N637" s="1"/>
      <c r="O637" s="1"/>
      <c r="P637" s="1"/>
      <c r="Q637" s="62"/>
      <c r="X637">
        <v>2024</v>
      </c>
    </row>
    <row r="638" spans="1:24" x14ac:dyDescent="0.25">
      <c r="A638" t="s">
        <v>1114</v>
      </c>
      <c r="B638" s="52">
        <v>45414</v>
      </c>
      <c r="C638" t="s">
        <v>1112</v>
      </c>
      <c r="D638" t="s">
        <v>52</v>
      </c>
      <c r="E638" t="s">
        <v>32</v>
      </c>
      <c r="F638">
        <v>1000</v>
      </c>
      <c r="G638">
        <v>1000</v>
      </c>
      <c r="H638">
        <v>5</v>
      </c>
      <c r="I638" s="1">
        <f t="shared" si="9"/>
        <v>5</v>
      </c>
      <c r="J638">
        <v>600</v>
      </c>
      <c r="K638" s="1">
        <v>375</v>
      </c>
      <c r="L638" s="1">
        <v>3650</v>
      </c>
      <c r="M638" s="1" t="s">
        <v>149</v>
      </c>
      <c r="N638" s="1"/>
      <c r="O638" s="1"/>
      <c r="P638" s="1"/>
      <c r="Q638" s="62"/>
      <c r="X638">
        <v>2024</v>
      </c>
    </row>
    <row r="639" spans="1:24" x14ac:dyDescent="0.25">
      <c r="A639" t="s">
        <v>1115</v>
      </c>
      <c r="B639" s="52">
        <v>45440</v>
      </c>
      <c r="C639" t="s">
        <v>1116</v>
      </c>
      <c r="D639" t="s">
        <v>36</v>
      </c>
      <c r="E639" t="s">
        <v>37</v>
      </c>
      <c r="F639">
        <v>420</v>
      </c>
      <c r="G639">
        <v>420</v>
      </c>
      <c r="H639">
        <v>115</v>
      </c>
      <c r="I639" s="1">
        <f t="shared" si="9"/>
        <v>20.286000000000001</v>
      </c>
      <c r="J639">
        <v>437.11</v>
      </c>
      <c r="K639" s="1">
        <v>1500</v>
      </c>
      <c r="L639" s="1">
        <v>10493.96</v>
      </c>
      <c r="M639" s="1" t="s">
        <v>149</v>
      </c>
      <c r="N639" s="1"/>
      <c r="O639" s="1"/>
      <c r="P639" s="1"/>
      <c r="Q639" s="62"/>
      <c r="X639">
        <v>2024</v>
      </c>
    </row>
    <row r="640" spans="1:24" x14ac:dyDescent="0.25">
      <c r="A640" t="s">
        <v>1117</v>
      </c>
      <c r="B640" s="52">
        <v>45419</v>
      </c>
      <c r="C640" t="s">
        <v>1118</v>
      </c>
      <c r="D640" t="s">
        <v>31</v>
      </c>
      <c r="E640" t="s">
        <v>27</v>
      </c>
      <c r="F640">
        <v>1000</v>
      </c>
      <c r="G640">
        <v>1000</v>
      </c>
      <c r="H640">
        <v>5</v>
      </c>
      <c r="I640" s="1">
        <f t="shared" si="9"/>
        <v>5</v>
      </c>
      <c r="J640">
        <v>400</v>
      </c>
      <c r="K640" s="1">
        <v>375</v>
      </c>
      <c r="L640" s="1">
        <v>2450</v>
      </c>
      <c r="M640" s="1" t="s">
        <v>149</v>
      </c>
      <c r="N640" s="1"/>
      <c r="O640" s="1"/>
      <c r="P640" s="1"/>
      <c r="Q640" s="62"/>
      <c r="X640">
        <v>2024</v>
      </c>
    </row>
    <row r="641" spans="1:24" x14ac:dyDescent="0.25">
      <c r="A641" t="s">
        <v>1119</v>
      </c>
      <c r="B641" s="52">
        <v>45419</v>
      </c>
      <c r="C641" t="s">
        <v>345</v>
      </c>
      <c r="D641" t="s">
        <v>46</v>
      </c>
      <c r="E641" t="s">
        <v>32</v>
      </c>
      <c r="F641">
        <v>1250</v>
      </c>
      <c r="G641">
        <v>1250</v>
      </c>
      <c r="H641">
        <v>13</v>
      </c>
      <c r="I641" s="1">
        <f t="shared" si="9"/>
        <v>20.3125</v>
      </c>
      <c r="J641">
        <v>542.62</v>
      </c>
      <c r="K641" s="1">
        <v>1500</v>
      </c>
      <c r="L641" s="1">
        <v>8546</v>
      </c>
      <c r="M641" s="1" t="s">
        <v>149</v>
      </c>
      <c r="N641" s="1"/>
      <c r="O641" s="1"/>
      <c r="P641" s="1" t="s">
        <v>149</v>
      </c>
      <c r="Q641" s="62">
        <v>45420</v>
      </c>
      <c r="X641">
        <v>2024</v>
      </c>
    </row>
    <row r="642" spans="1:24" x14ac:dyDescent="0.25">
      <c r="A642" t="s">
        <v>1120</v>
      </c>
      <c r="B642" s="52">
        <v>45428</v>
      </c>
      <c r="C642" t="s">
        <v>94</v>
      </c>
      <c r="D642" t="s">
        <v>83</v>
      </c>
      <c r="E642" t="s">
        <v>27</v>
      </c>
      <c r="F642">
        <v>607</v>
      </c>
      <c r="G642">
        <v>607</v>
      </c>
      <c r="H642">
        <v>400</v>
      </c>
      <c r="I642" s="1">
        <f t="shared" ref="I642:I688" si="10">$F642*$G642*$H642/1000000</f>
        <v>147.37960000000001</v>
      </c>
      <c r="J642">
        <v>279.3</v>
      </c>
      <c r="K642" s="1">
        <v>3684.5</v>
      </c>
      <c r="L642" s="1">
        <v>45767.73</v>
      </c>
      <c r="M642" s="1" t="s">
        <v>149</v>
      </c>
      <c r="N642" s="1"/>
      <c r="O642" s="1"/>
      <c r="P642" s="1"/>
      <c r="Q642" s="62"/>
      <c r="X642">
        <v>2024</v>
      </c>
    </row>
    <row r="643" spans="1:24" x14ac:dyDescent="0.25">
      <c r="A643" t="s">
        <v>1121</v>
      </c>
      <c r="B643" s="52">
        <v>45425</v>
      </c>
      <c r="C643" t="s">
        <v>285</v>
      </c>
      <c r="D643" t="s">
        <v>103</v>
      </c>
      <c r="E643" t="s">
        <v>27</v>
      </c>
      <c r="F643">
        <v>1000</v>
      </c>
      <c r="G643">
        <v>1000</v>
      </c>
      <c r="H643">
        <v>5</v>
      </c>
      <c r="I643" s="1">
        <f t="shared" si="10"/>
        <v>5</v>
      </c>
      <c r="J643">
        <v>400</v>
      </c>
      <c r="K643" s="1">
        <v>375</v>
      </c>
      <c r="L643" s="1">
        <v>2500</v>
      </c>
      <c r="M643" s="1" t="s">
        <v>149</v>
      </c>
      <c r="N643" s="1"/>
      <c r="O643" s="1"/>
      <c r="P643" s="1"/>
      <c r="Q643" s="62"/>
      <c r="X643">
        <v>2024</v>
      </c>
    </row>
    <row r="644" spans="1:24" x14ac:dyDescent="0.25">
      <c r="A644" t="s">
        <v>1122</v>
      </c>
      <c r="B644" s="52">
        <v>45427</v>
      </c>
      <c r="C644" t="s">
        <v>115</v>
      </c>
      <c r="D644" t="s">
        <v>31</v>
      </c>
      <c r="E644" t="s">
        <v>32</v>
      </c>
      <c r="F644">
        <v>1390</v>
      </c>
      <c r="G644">
        <v>1034</v>
      </c>
      <c r="H644">
        <v>30</v>
      </c>
      <c r="I644" s="1">
        <f t="shared" si="10"/>
        <v>43.117800000000003</v>
      </c>
      <c r="J644" s="1">
        <v>307.56</v>
      </c>
      <c r="K644" s="1">
        <v>2957</v>
      </c>
      <c r="L644" s="1">
        <v>16439</v>
      </c>
      <c r="M644" s="1" t="s">
        <v>149</v>
      </c>
      <c r="N644" s="1"/>
      <c r="O644" s="1"/>
      <c r="P644" s="1"/>
      <c r="Q644" s="62"/>
      <c r="X644">
        <v>2024</v>
      </c>
    </row>
    <row r="645" spans="1:24" x14ac:dyDescent="0.25">
      <c r="A645" t="s">
        <v>1123</v>
      </c>
      <c r="B645" s="52">
        <v>45429</v>
      </c>
      <c r="C645" t="s">
        <v>666</v>
      </c>
      <c r="D645" t="s">
        <v>36</v>
      </c>
      <c r="E645" t="s">
        <v>32</v>
      </c>
      <c r="F645">
        <v>1250</v>
      </c>
      <c r="G645">
        <v>1000</v>
      </c>
      <c r="H645">
        <v>16</v>
      </c>
      <c r="I645" s="1">
        <f t="shared" si="10"/>
        <v>20</v>
      </c>
      <c r="J645" s="1">
        <v>544.08000000000004</v>
      </c>
      <c r="K645" s="1">
        <v>1500</v>
      </c>
      <c r="L645" s="1">
        <v>12381.6</v>
      </c>
      <c r="M645" s="1" t="s">
        <v>149</v>
      </c>
      <c r="N645" s="1"/>
      <c r="O645" s="1"/>
      <c r="P645" s="1"/>
      <c r="Q645" s="62"/>
      <c r="X645">
        <v>2024</v>
      </c>
    </row>
    <row r="646" spans="1:24" x14ac:dyDescent="0.25">
      <c r="A646" t="s">
        <v>1124</v>
      </c>
      <c r="B646" s="52">
        <v>45428</v>
      </c>
      <c r="C646" t="s">
        <v>439</v>
      </c>
      <c r="D646" t="s">
        <v>31</v>
      </c>
      <c r="E646" t="s">
        <v>27</v>
      </c>
      <c r="F646">
        <v>1000</v>
      </c>
      <c r="G646">
        <v>1000</v>
      </c>
      <c r="H646">
        <v>10</v>
      </c>
      <c r="I646" s="1">
        <f t="shared" si="10"/>
        <v>10</v>
      </c>
      <c r="J646" s="1">
        <v>356.92</v>
      </c>
      <c r="K646" s="1">
        <v>750</v>
      </c>
      <c r="L646" s="1">
        <v>4444.2</v>
      </c>
      <c r="M646" s="1" t="s">
        <v>149</v>
      </c>
      <c r="N646" s="1"/>
      <c r="O646" s="1"/>
      <c r="P646" s="1"/>
      <c r="Q646" s="62"/>
      <c r="X646">
        <v>2024</v>
      </c>
    </row>
    <row r="647" spans="1:24" x14ac:dyDescent="0.25">
      <c r="A647" t="s">
        <v>1125</v>
      </c>
      <c r="B647" s="52">
        <v>45429</v>
      </c>
      <c r="C647" t="s">
        <v>666</v>
      </c>
      <c r="D647" t="s">
        <v>36</v>
      </c>
      <c r="E647" t="s">
        <v>32</v>
      </c>
      <c r="F647">
        <v>1500</v>
      </c>
      <c r="G647">
        <v>1220</v>
      </c>
      <c r="H647">
        <v>11</v>
      </c>
      <c r="I647" s="1">
        <f t="shared" si="10"/>
        <v>20.13</v>
      </c>
      <c r="J647" s="6">
        <v>496.07</v>
      </c>
      <c r="K647" s="1">
        <v>1500</v>
      </c>
      <c r="L647" s="1">
        <v>11485.89</v>
      </c>
      <c r="M647" s="1" t="s">
        <v>149</v>
      </c>
      <c r="N647" s="1"/>
      <c r="O647" s="1"/>
      <c r="P647" s="1"/>
      <c r="Q647" s="62"/>
      <c r="X647">
        <v>2024</v>
      </c>
    </row>
    <row r="648" spans="1:24" x14ac:dyDescent="0.25">
      <c r="A648" t="s">
        <v>1126</v>
      </c>
      <c r="B648" s="52">
        <v>45429</v>
      </c>
      <c r="C648" t="s">
        <v>666</v>
      </c>
      <c r="D648" t="s">
        <v>36</v>
      </c>
      <c r="E648" t="s">
        <v>32</v>
      </c>
      <c r="F648">
        <v>1500</v>
      </c>
      <c r="G648">
        <v>1220</v>
      </c>
      <c r="H648">
        <v>100</v>
      </c>
      <c r="I648" s="1">
        <f t="shared" si="10"/>
        <v>183</v>
      </c>
      <c r="J648" s="1">
        <v>444.04</v>
      </c>
      <c r="K648" s="1">
        <v>4575</v>
      </c>
      <c r="L648" s="1">
        <v>85834.32</v>
      </c>
      <c r="M648" s="1" t="s">
        <v>149</v>
      </c>
      <c r="N648" s="1"/>
      <c r="O648" s="1"/>
      <c r="P648" s="1"/>
      <c r="Q648" s="62"/>
      <c r="X648">
        <v>2024</v>
      </c>
    </row>
    <row r="649" spans="1:24" x14ac:dyDescent="0.25">
      <c r="A649" t="s">
        <v>1127</v>
      </c>
      <c r="B649" s="52">
        <v>45429</v>
      </c>
      <c r="C649" t="s">
        <v>666</v>
      </c>
      <c r="D649" t="s">
        <v>36</v>
      </c>
      <c r="E649" t="s">
        <v>32</v>
      </c>
      <c r="F649">
        <v>1500</v>
      </c>
      <c r="G649">
        <v>1220</v>
      </c>
      <c r="H649">
        <v>300</v>
      </c>
      <c r="I649" s="1">
        <f t="shared" si="10"/>
        <v>549</v>
      </c>
      <c r="J649" s="1">
        <v>419.68</v>
      </c>
      <c r="K649" s="1">
        <v>13725</v>
      </c>
      <c r="L649" s="1">
        <v>244129.32</v>
      </c>
      <c r="M649" s="1" t="s">
        <v>149</v>
      </c>
      <c r="N649" s="1"/>
      <c r="O649" s="1"/>
      <c r="P649" s="1"/>
      <c r="Q649" s="62"/>
      <c r="X649">
        <v>2024</v>
      </c>
    </row>
    <row r="650" spans="1:24" x14ac:dyDescent="0.25">
      <c r="A650" t="s">
        <v>1128</v>
      </c>
      <c r="B650" s="52">
        <v>45433</v>
      </c>
      <c r="C650" t="s">
        <v>1129</v>
      </c>
      <c r="D650" t="s">
        <v>103</v>
      </c>
      <c r="E650" t="s">
        <v>27</v>
      </c>
      <c r="F650">
        <v>1000</v>
      </c>
      <c r="G650">
        <v>1000</v>
      </c>
      <c r="H650">
        <v>5</v>
      </c>
      <c r="I650" s="1">
        <f t="shared" si="10"/>
        <v>5</v>
      </c>
      <c r="J650" s="1">
        <v>400</v>
      </c>
      <c r="K650" s="1">
        <v>375</v>
      </c>
      <c r="L650" s="1">
        <v>2500</v>
      </c>
      <c r="M650" s="1" t="s">
        <v>149</v>
      </c>
      <c r="N650" s="1"/>
      <c r="O650" s="1"/>
      <c r="P650" s="1" t="s">
        <v>149</v>
      </c>
      <c r="Q650" s="62">
        <v>45457</v>
      </c>
      <c r="X650">
        <v>2024</v>
      </c>
    </row>
    <row r="651" spans="1:24" x14ac:dyDescent="0.25">
      <c r="A651" t="s">
        <v>1130</v>
      </c>
      <c r="B651" s="52">
        <v>45433</v>
      </c>
      <c r="C651" t="s">
        <v>1129</v>
      </c>
      <c r="D651" t="s">
        <v>103</v>
      </c>
      <c r="E651" t="s">
        <v>37</v>
      </c>
      <c r="F651">
        <v>1000</v>
      </c>
      <c r="G651">
        <v>1000</v>
      </c>
      <c r="H651">
        <v>5</v>
      </c>
      <c r="I651" s="1">
        <f t="shared" si="10"/>
        <v>5</v>
      </c>
      <c r="J651" s="1">
        <v>500</v>
      </c>
      <c r="K651" s="1">
        <v>375</v>
      </c>
      <c r="L651" s="1">
        <v>3000</v>
      </c>
      <c r="M651" s="1" t="s">
        <v>149</v>
      </c>
      <c r="N651" s="1"/>
      <c r="O651" s="1"/>
      <c r="P651" s="1" t="s">
        <v>149</v>
      </c>
      <c r="Q651" s="62">
        <v>45457</v>
      </c>
      <c r="X651">
        <v>2024</v>
      </c>
    </row>
    <row r="652" spans="1:24" x14ac:dyDescent="0.25">
      <c r="A652" t="s">
        <v>1131</v>
      </c>
      <c r="B652" s="52">
        <v>45433</v>
      </c>
      <c r="C652" t="s">
        <v>1129</v>
      </c>
      <c r="D652" t="s">
        <v>103</v>
      </c>
      <c r="E652" t="s">
        <v>32</v>
      </c>
      <c r="F652">
        <v>1000</v>
      </c>
      <c r="G652">
        <v>1000</v>
      </c>
      <c r="H652">
        <v>5</v>
      </c>
      <c r="I652" s="1">
        <f t="shared" si="10"/>
        <v>5</v>
      </c>
      <c r="J652" s="1">
        <v>600</v>
      </c>
      <c r="K652" s="1">
        <v>375</v>
      </c>
      <c r="L652" s="1">
        <v>3650</v>
      </c>
      <c r="M652" s="1" t="s">
        <v>149</v>
      </c>
      <c r="N652" s="1"/>
      <c r="O652" s="1"/>
      <c r="P652" s="1" t="s">
        <v>149</v>
      </c>
      <c r="Q652" s="62">
        <v>45457</v>
      </c>
      <c r="X652">
        <v>2024</v>
      </c>
    </row>
    <row r="653" spans="1:24" x14ac:dyDescent="0.25">
      <c r="A653" t="s">
        <v>1132</v>
      </c>
      <c r="B653" s="52">
        <v>45434</v>
      </c>
      <c r="C653" t="s">
        <v>115</v>
      </c>
      <c r="D653" t="s">
        <v>31</v>
      </c>
      <c r="E653" t="s">
        <v>32</v>
      </c>
      <c r="F653">
        <v>132</v>
      </c>
      <c r="G653">
        <v>132</v>
      </c>
      <c r="H653">
        <v>20</v>
      </c>
      <c r="I653" s="1">
        <f t="shared" si="10"/>
        <v>0.34848000000000001</v>
      </c>
      <c r="J653" s="1"/>
      <c r="K653" s="1"/>
      <c r="L653" s="1">
        <v>655</v>
      </c>
      <c r="M653" s="1" t="s">
        <v>149</v>
      </c>
      <c r="N653" s="1"/>
      <c r="O653" s="1"/>
      <c r="P653" s="1" t="s">
        <v>149</v>
      </c>
      <c r="Q653" s="62">
        <v>45440</v>
      </c>
      <c r="S653" t="s">
        <v>982</v>
      </c>
      <c r="X653">
        <v>2024</v>
      </c>
    </row>
    <row r="654" spans="1:24" x14ac:dyDescent="0.25">
      <c r="A654" t="s">
        <v>1133</v>
      </c>
      <c r="B654" s="52">
        <v>45434</v>
      </c>
      <c r="C654" t="s">
        <v>1134</v>
      </c>
      <c r="D654" t="s">
        <v>1135</v>
      </c>
      <c r="E654" t="s">
        <v>37</v>
      </c>
      <c r="F654">
        <v>1000</v>
      </c>
      <c r="G654">
        <v>1000</v>
      </c>
      <c r="H654">
        <v>5</v>
      </c>
      <c r="I654" s="1">
        <f t="shared" si="10"/>
        <v>5</v>
      </c>
      <c r="J654" s="1">
        <v>500</v>
      </c>
      <c r="K654" s="1">
        <v>375</v>
      </c>
      <c r="L654" s="1">
        <v>2950</v>
      </c>
      <c r="M654" s="1" t="s">
        <v>149</v>
      </c>
      <c r="N654" s="1"/>
      <c r="O654" s="1"/>
      <c r="P654" s="1" t="s">
        <v>149</v>
      </c>
      <c r="Q654" s="62">
        <v>45447</v>
      </c>
      <c r="X654">
        <v>2024</v>
      </c>
    </row>
    <row r="655" spans="1:24" x14ac:dyDescent="0.25">
      <c r="A655" t="s">
        <v>1136</v>
      </c>
      <c r="B655" s="52">
        <v>45434</v>
      </c>
      <c r="C655" t="s">
        <v>1137</v>
      </c>
      <c r="D655" t="s">
        <v>70</v>
      </c>
      <c r="E655" t="s">
        <v>37</v>
      </c>
      <c r="F655">
        <v>1000</v>
      </c>
      <c r="G655">
        <v>1000</v>
      </c>
      <c r="H655">
        <v>5</v>
      </c>
      <c r="I655" s="1">
        <f t="shared" si="10"/>
        <v>5</v>
      </c>
      <c r="J655" s="1">
        <v>500</v>
      </c>
      <c r="K655" s="1">
        <v>375</v>
      </c>
      <c r="L655" s="1">
        <v>2950</v>
      </c>
      <c r="M655" s="1" t="s">
        <v>149</v>
      </c>
      <c r="N655" s="1"/>
      <c r="O655" s="1"/>
      <c r="P655" s="1"/>
      <c r="Q655" s="62"/>
      <c r="X655">
        <v>2024</v>
      </c>
    </row>
    <row r="656" spans="1:24" x14ac:dyDescent="0.25">
      <c r="A656" t="s">
        <v>1138</v>
      </c>
      <c r="B656" s="52">
        <v>45435</v>
      </c>
      <c r="C656" t="s">
        <v>1139</v>
      </c>
      <c r="D656" t="s">
        <v>1140</v>
      </c>
      <c r="E656" t="s">
        <v>37</v>
      </c>
      <c r="F656">
        <v>1000</v>
      </c>
      <c r="G656">
        <v>1000</v>
      </c>
      <c r="H656">
        <v>5</v>
      </c>
      <c r="I656" s="1">
        <f t="shared" si="10"/>
        <v>5</v>
      </c>
      <c r="J656" s="1">
        <v>500</v>
      </c>
      <c r="K656" s="1">
        <v>375</v>
      </c>
      <c r="L656" s="1">
        <v>3000</v>
      </c>
      <c r="M656" s="1" t="s">
        <v>149</v>
      </c>
      <c r="N656" s="1"/>
      <c r="O656" s="1"/>
      <c r="P656" s="1"/>
      <c r="Q656" s="62"/>
      <c r="X656">
        <v>2024</v>
      </c>
    </row>
    <row r="657" spans="1:24" x14ac:dyDescent="0.25">
      <c r="A657" t="s">
        <v>1141</v>
      </c>
      <c r="B657" s="52">
        <v>45435</v>
      </c>
      <c r="C657" t="s">
        <v>1139</v>
      </c>
      <c r="D657" t="s">
        <v>1140</v>
      </c>
      <c r="E657" t="s">
        <v>37</v>
      </c>
      <c r="F657">
        <v>1000</v>
      </c>
      <c r="G657">
        <v>1000</v>
      </c>
      <c r="H657">
        <v>100</v>
      </c>
      <c r="I657" s="1">
        <f t="shared" si="10"/>
        <v>100</v>
      </c>
      <c r="J657" s="1">
        <v>376.36</v>
      </c>
      <c r="K657" s="1">
        <v>2500</v>
      </c>
      <c r="L657" s="1">
        <v>41356</v>
      </c>
      <c r="M657" s="1" t="s">
        <v>149</v>
      </c>
      <c r="N657" s="1"/>
      <c r="O657" s="1"/>
      <c r="P657" s="1"/>
      <c r="Q657" s="62"/>
      <c r="X657">
        <v>2024</v>
      </c>
    </row>
    <row r="658" spans="1:24" x14ac:dyDescent="0.25">
      <c r="A658" t="s">
        <v>1142</v>
      </c>
      <c r="B658" s="52">
        <v>45436</v>
      </c>
      <c r="C658" t="s">
        <v>1143</v>
      </c>
      <c r="D658" t="s">
        <v>1140</v>
      </c>
      <c r="E658" t="s">
        <v>27</v>
      </c>
      <c r="F658">
        <v>1000</v>
      </c>
      <c r="G658">
        <v>1000</v>
      </c>
      <c r="H658">
        <v>5</v>
      </c>
      <c r="I658" s="1">
        <f t="shared" si="10"/>
        <v>5</v>
      </c>
      <c r="J658" s="1">
        <v>400</v>
      </c>
      <c r="K658" s="1">
        <v>375</v>
      </c>
      <c r="L658" s="1">
        <v>2500</v>
      </c>
      <c r="M658" s="1" t="s">
        <v>149</v>
      </c>
      <c r="N658" s="1"/>
      <c r="O658" s="1"/>
      <c r="P658" s="1"/>
      <c r="Q658" s="62"/>
      <c r="X658">
        <v>2024</v>
      </c>
    </row>
    <row r="659" spans="1:24" x14ac:dyDescent="0.25">
      <c r="A659" t="s">
        <v>1144</v>
      </c>
      <c r="B659" s="52">
        <v>45436</v>
      </c>
      <c r="C659" t="s">
        <v>1143</v>
      </c>
      <c r="D659" t="s">
        <v>1140</v>
      </c>
      <c r="E659" t="s">
        <v>37</v>
      </c>
      <c r="F659">
        <v>1000</v>
      </c>
      <c r="G659">
        <v>1000</v>
      </c>
      <c r="H659">
        <v>5</v>
      </c>
      <c r="I659" s="1">
        <f t="shared" si="10"/>
        <v>5</v>
      </c>
      <c r="J659" s="1">
        <v>500</v>
      </c>
      <c r="K659" s="1">
        <v>375</v>
      </c>
      <c r="L659" s="1">
        <v>3000</v>
      </c>
      <c r="M659" s="1" t="s">
        <v>149</v>
      </c>
      <c r="N659" s="1"/>
      <c r="O659" s="1"/>
      <c r="P659" s="1"/>
      <c r="Q659" s="62"/>
      <c r="X659">
        <v>2024</v>
      </c>
    </row>
    <row r="660" spans="1:24" x14ac:dyDescent="0.25">
      <c r="A660" t="s">
        <v>1145</v>
      </c>
      <c r="B660" s="52">
        <v>45436</v>
      </c>
      <c r="C660" t="s">
        <v>1143</v>
      </c>
      <c r="D660" t="s">
        <v>1140</v>
      </c>
      <c r="E660" t="s">
        <v>32</v>
      </c>
      <c r="F660">
        <v>1000</v>
      </c>
      <c r="G660">
        <v>1000</v>
      </c>
      <c r="H660">
        <v>5</v>
      </c>
      <c r="I660" s="1">
        <f t="shared" si="10"/>
        <v>5</v>
      </c>
      <c r="J660" s="1">
        <v>600</v>
      </c>
      <c r="K660" s="1">
        <v>375</v>
      </c>
      <c r="L660" s="1">
        <v>3650</v>
      </c>
      <c r="M660" s="1" t="s">
        <v>149</v>
      </c>
      <c r="N660" s="1"/>
      <c r="O660" s="1"/>
      <c r="P660" s="1" t="s">
        <v>149</v>
      </c>
      <c r="Q660" s="62">
        <v>45442</v>
      </c>
      <c r="X660">
        <v>2024</v>
      </c>
    </row>
    <row r="661" spans="1:24" x14ac:dyDescent="0.25">
      <c r="A661" t="s">
        <v>1146</v>
      </c>
      <c r="B661" s="52">
        <v>45436</v>
      </c>
      <c r="C661" t="s">
        <v>1143</v>
      </c>
      <c r="D661" t="s">
        <v>1140</v>
      </c>
      <c r="E661" t="s">
        <v>27</v>
      </c>
      <c r="F661">
        <v>1000</v>
      </c>
      <c r="G661">
        <v>1000</v>
      </c>
      <c r="H661">
        <v>100</v>
      </c>
      <c r="I661" s="1">
        <f t="shared" si="10"/>
        <v>100</v>
      </c>
      <c r="J661" s="1">
        <v>289.5</v>
      </c>
      <c r="K661" s="1">
        <v>2500</v>
      </c>
      <c r="L661" s="1">
        <v>32020</v>
      </c>
      <c r="M661" s="1" t="s">
        <v>149</v>
      </c>
      <c r="N661" s="1"/>
      <c r="O661" s="1" t="s">
        <v>149</v>
      </c>
      <c r="P661" s="1"/>
      <c r="Q661" s="62"/>
      <c r="X661">
        <v>2024</v>
      </c>
    </row>
    <row r="662" spans="1:24" x14ac:dyDescent="0.25">
      <c r="A662" t="s">
        <v>1147</v>
      </c>
      <c r="B662" s="52">
        <v>45436</v>
      </c>
      <c r="C662" t="s">
        <v>1143</v>
      </c>
      <c r="D662" t="s">
        <v>1140</v>
      </c>
      <c r="E662" t="s">
        <v>37</v>
      </c>
      <c r="F662">
        <v>1000</v>
      </c>
      <c r="G662">
        <v>1000</v>
      </c>
      <c r="H662">
        <v>100</v>
      </c>
      <c r="I662" s="1">
        <f t="shared" si="10"/>
        <v>100</v>
      </c>
      <c r="J662" s="1">
        <v>376.36</v>
      </c>
      <c r="K662" s="1">
        <v>2500</v>
      </c>
      <c r="L662" s="1">
        <v>40705.9</v>
      </c>
      <c r="M662" s="1" t="s">
        <v>149</v>
      </c>
      <c r="N662" s="1"/>
      <c r="O662" s="1" t="s">
        <v>149</v>
      </c>
      <c r="P662" s="1"/>
      <c r="Q662" s="62"/>
      <c r="X662">
        <v>2024</v>
      </c>
    </row>
    <row r="663" spans="1:24" x14ac:dyDescent="0.25">
      <c r="A663" t="s">
        <v>1148</v>
      </c>
      <c r="B663" s="52">
        <v>45436</v>
      </c>
      <c r="C663" t="s">
        <v>1143</v>
      </c>
      <c r="D663" t="s">
        <v>1140</v>
      </c>
      <c r="E663" t="s">
        <v>32</v>
      </c>
      <c r="F663">
        <v>1000</v>
      </c>
      <c r="G663">
        <v>1000</v>
      </c>
      <c r="H663">
        <v>100</v>
      </c>
      <c r="I663" s="1">
        <f t="shared" si="10"/>
        <v>100</v>
      </c>
      <c r="J663" s="1">
        <v>467.27</v>
      </c>
      <c r="K663" s="1">
        <v>2500</v>
      </c>
      <c r="L663" s="1">
        <v>49656.57</v>
      </c>
      <c r="M663" s="1" t="s">
        <v>149</v>
      </c>
      <c r="N663" s="1"/>
      <c r="O663" s="1" t="s">
        <v>149</v>
      </c>
      <c r="P663" s="1"/>
      <c r="Q663" s="62"/>
      <c r="X663">
        <v>2024</v>
      </c>
    </row>
    <row r="664" spans="1:24" x14ac:dyDescent="0.25">
      <c r="A664" t="s">
        <v>1149</v>
      </c>
      <c r="B664" s="52">
        <v>45436</v>
      </c>
      <c r="C664" t="s">
        <v>1150</v>
      </c>
      <c r="D664" t="s">
        <v>83</v>
      </c>
      <c r="E664" t="s">
        <v>27</v>
      </c>
      <c r="F664">
        <v>1000</v>
      </c>
      <c r="G664">
        <v>1000</v>
      </c>
      <c r="H664">
        <v>5</v>
      </c>
      <c r="I664" s="1">
        <f t="shared" si="10"/>
        <v>5</v>
      </c>
      <c r="J664" s="1">
        <v>400</v>
      </c>
      <c r="K664" s="1">
        <v>375</v>
      </c>
      <c r="L664" s="1">
        <v>2500</v>
      </c>
      <c r="M664" s="1" t="s">
        <v>149</v>
      </c>
      <c r="N664" s="1"/>
      <c r="O664" s="1"/>
      <c r="P664" s="1"/>
      <c r="Q664" s="62"/>
      <c r="X664">
        <v>2024</v>
      </c>
    </row>
    <row r="665" spans="1:24" x14ac:dyDescent="0.25">
      <c r="A665" t="s">
        <v>1151</v>
      </c>
      <c r="B665" s="52">
        <v>45436</v>
      </c>
      <c r="C665" t="s">
        <v>41</v>
      </c>
      <c r="D665" t="s">
        <v>42</v>
      </c>
      <c r="E665" t="s">
        <v>27</v>
      </c>
      <c r="F665">
        <v>1668</v>
      </c>
      <c r="G665">
        <v>1668</v>
      </c>
      <c r="H665">
        <v>22</v>
      </c>
      <c r="I665" s="1">
        <f t="shared" si="10"/>
        <v>61.208928</v>
      </c>
      <c r="J665" s="1">
        <v>297.04000000000002</v>
      </c>
      <c r="K665" s="1">
        <v>2500</v>
      </c>
      <c r="L665" s="1">
        <v>20681.82</v>
      </c>
      <c r="M665" s="1" t="s">
        <v>149</v>
      </c>
      <c r="N665" s="1"/>
      <c r="O665" s="1"/>
      <c r="P665" s="1"/>
      <c r="Q665" s="62"/>
      <c r="X665">
        <v>2024</v>
      </c>
    </row>
    <row r="666" spans="1:24" x14ac:dyDescent="0.25">
      <c r="A666" t="s">
        <v>1152</v>
      </c>
      <c r="B666" s="52">
        <v>45440</v>
      </c>
      <c r="C666" t="s">
        <v>345</v>
      </c>
      <c r="D666" t="s">
        <v>46</v>
      </c>
      <c r="E666" t="s">
        <v>27</v>
      </c>
      <c r="F666">
        <v>2450</v>
      </c>
      <c r="G666">
        <v>1700</v>
      </c>
      <c r="H666">
        <v>5</v>
      </c>
      <c r="I666" s="1">
        <f t="shared" si="10"/>
        <v>20.824999999999999</v>
      </c>
      <c r="J666" s="1">
        <v>334.73</v>
      </c>
      <c r="K666" s="1">
        <v>1500</v>
      </c>
      <c r="L666" s="1">
        <v>9192.43</v>
      </c>
      <c r="M666" s="1" t="s">
        <v>149</v>
      </c>
      <c r="N666" s="1"/>
      <c r="O666" s="1"/>
      <c r="P666" s="1" t="s">
        <v>149</v>
      </c>
      <c r="Q666" s="62">
        <v>45441</v>
      </c>
      <c r="X666">
        <v>2024</v>
      </c>
    </row>
    <row r="667" spans="1:24" x14ac:dyDescent="0.25">
      <c r="A667" t="s">
        <v>1153</v>
      </c>
      <c r="B667" s="52">
        <v>45441</v>
      </c>
      <c r="C667" t="s">
        <v>1116</v>
      </c>
      <c r="D667" t="s">
        <v>36</v>
      </c>
      <c r="E667" t="s">
        <v>32</v>
      </c>
      <c r="F667">
        <v>420</v>
      </c>
      <c r="G667">
        <v>420</v>
      </c>
      <c r="H667">
        <v>115</v>
      </c>
      <c r="I667" s="1">
        <f t="shared" si="10"/>
        <v>20.286000000000001</v>
      </c>
      <c r="J667" s="1">
        <v>542.70000000000005</v>
      </c>
      <c r="K667" s="1">
        <v>1500</v>
      </c>
      <c r="L667" s="1">
        <v>12631.38</v>
      </c>
      <c r="M667" s="1" t="s">
        <v>149</v>
      </c>
      <c r="N667" s="1"/>
      <c r="O667" s="1"/>
      <c r="P667" s="1" t="s">
        <v>149</v>
      </c>
      <c r="Q667" s="62">
        <v>45456</v>
      </c>
      <c r="X667">
        <v>2024</v>
      </c>
    </row>
    <row r="668" spans="1:24" x14ac:dyDescent="0.25">
      <c r="A668" t="s">
        <v>1154</v>
      </c>
      <c r="B668" s="52">
        <v>45441</v>
      </c>
      <c r="C668" t="s">
        <v>1155</v>
      </c>
      <c r="D668" t="s">
        <v>97</v>
      </c>
      <c r="E668" t="s">
        <v>27</v>
      </c>
      <c r="F668">
        <v>1000</v>
      </c>
      <c r="G668">
        <v>1000</v>
      </c>
      <c r="H668">
        <v>5</v>
      </c>
      <c r="I668" s="1">
        <f t="shared" si="10"/>
        <v>5</v>
      </c>
      <c r="J668" s="1">
        <v>475</v>
      </c>
      <c r="K668" s="1" t="s">
        <v>982</v>
      </c>
      <c r="L668" s="1">
        <v>5250</v>
      </c>
      <c r="M668" s="1" t="s">
        <v>149</v>
      </c>
      <c r="N668" s="1"/>
      <c r="O668" s="1"/>
      <c r="P668" s="1" t="s">
        <v>149</v>
      </c>
      <c r="Q668" s="62">
        <v>45440</v>
      </c>
      <c r="S668" t="s">
        <v>1156</v>
      </c>
      <c r="X668">
        <v>2024</v>
      </c>
    </row>
    <row r="669" spans="1:24" x14ac:dyDescent="0.25">
      <c r="A669" t="s">
        <v>1154</v>
      </c>
      <c r="B669" s="52">
        <v>45441</v>
      </c>
      <c r="C669" t="s">
        <v>1155</v>
      </c>
      <c r="D669" t="s">
        <v>97</v>
      </c>
      <c r="E669" t="s">
        <v>37</v>
      </c>
      <c r="F669">
        <v>1000</v>
      </c>
      <c r="G669">
        <v>1000</v>
      </c>
      <c r="H669">
        <v>5</v>
      </c>
      <c r="I669" s="1">
        <f t="shared" si="10"/>
        <v>5</v>
      </c>
      <c r="J669" s="1">
        <v>575</v>
      </c>
      <c r="K669" s="1" t="s">
        <v>982</v>
      </c>
      <c r="L669" s="1"/>
      <c r="M669" s="1" t="s">
        <v>149</v>
      </c>
      <c r="N669" s="1"/>
      <c r="O669" s="1"/>
      <c r="P669" s="1" t="s">
        <v>149</v>
      </c>
      <c r="Q669" s="62">
        <v>45440</v>
      </c>
      <c r="X669">
        <v>2024</v>
      </c>
    </row>
    <row r="670" spans="1:24" x14ac:dyDescent="0.25">
      <c r="A670" t="s">
        <v>1157</v>
      </c>
      <c r="B670" s="52">
        <v>45441</v>
      </c>
      <c r="C670" t="s">
        <v>1158</v>
      </c>
      <c r="D670" t="s">
        <v>36</v>
      </c>
      <c r="E670" t="s">
        <v>32</v>
      </c>
      <c r="F670">
        <v>1000</v>
      </c>
      <c r="G670">
        <v>1000</v>
      </c>
      <c r="H670">
        <v>5</v>
      </c>
      <c r="I670" s="1">
        <f t="shared" si="10"/>
        <v>5</v>
      </c>
      <c r="J670" s="1">
        <v>600</v>
      </c>
      <c r="K670" s="1">
        <v>375</v>
      </c>
      <c r="L670" s="1">
        <v>3650</v>
      </c>
      <c r="M670" s="1" t="s">
        <v>149</v>
      </c>
      <c r="N670" s="1"/>
      <c r="O670" s="1"/>
      <c r="P670" s="1" t="s">
        <v>149</v>
      </c>
      <c r="Q670" s="62">
        <v>45470</v>
      </c>
      <c r="X670">
        <v>2024</v>
      </c>
    </row>
    <row r="671" spans="1:24" x14ac:dyDescent="0.25">
      <c r="A671" t="s">
        <v>1159</v>
      </c>
      <c r="B671" s="52">
        <v>45442</v>
      </c>
      <c r="C671" t="s">
        <v>672</v>
      </c>
      <c r="D671" t="s">
        <v>97</v>
      </c>
      <c r="E671" t="s">
        <v>27</v>
      </c>
      <c r="F671">
        <v>1000</v>
      </c>
      <c r="G671">
        <v>1000</v>
      </c>
      <c r="H671">
        <v>5</v>
      </c>
      <c r="I671" s="1">
        <f t="shared" si="10"/>
        <v>5</v>
      </c>
      <c r="J671" s="1">
        <v>400</v>
      </c>
      <c r="K671" s="1">
        <v>375</v>
      </c>
      <c r="L671" s="1">
        <v>2450</v>
      </c>
      <c r="M671" s="1" t="s">
        <v>149</v>
      </c>
      <c r="N671" s="1"/>
      <c r="O671" s="1"/>
      <c r="P671" s="1" t="s">
        <v>149</v>
      </c>
      <c r="Q671" s="62">
        <v>45443</v>
      </c>
      <c r="X671">
        <v>2024</v>
      </c>
    </row>
    <row r="672" spans="1:24" x14ac:dyDescent="0.25">
      <c r="A672" t="s">
        <v>1160</v>
      </c>
      <c r="B672" s="52">
        <v>45448</v>
      </c>
      <c r="C672" t="s">
        <v>1161</v>
      </c>
      <c r="D672" t="s">
        <v>46</v>
      </c>
      <c r="E672" t="s">
        <v>27</v>
      </c>
      <c r="F672">
        <v>930</v>
      </c>
      <c r="G672">
        <v>930</v>
      </c>
      <c r="H672">
        <v>24</v>
      </c>
      <c r="I672" s="1">
        <f t="shared" si="10"/>
        <v>20.7576</v>
      </c>
      <c r="J672" s="1">
        <v>334.91</v>
      </c>
      <c r="K672" s="1">
        <v>1500</v>
      </c>
      <c r="L672" s="1">
        <v>8452.73</v>
      </c>
      <c r="M672" s="1" t="s">
        <v>149</v>
      </c>
      <c r="N672" s="1"/>
      <c r="O672" s="1"/>
      <c r="P672" s="1"/>
      <c r="Q672" s="62"/>
      <c r="X672">
        <v>2024</v>
      </c>
    </row>
    <row r="673" spans="1:24" x14ac:dyDescent="0.25">
      <c r="A673" t="s">
        <v>1162</v>
      </c>
      <c r="B673" s="52">
        <v>45448</v>
      </c>
      <c r="C673" t="s">
        <v>1161</v>
      </c>
      <c r="D673" t="s">
        <v>46</v>
      </c>
      <c r="E673" t="s">
        <v>27</v>
      </c>
      <c r="F673">
        <v>1598</v>
      </c>
      <c r="G673">
        <v>1268</v>
      </c>
      <c r="H673">
        <v>15</v>
      </c>
      <c r="I673" s="1">
        <f t="shared" si="10"/>
        <v>30.39396</v>
      </c>
      <c r="J673" s="1">
        <v>316.75</v>
      </c>
      <c r="K673" s="1">
        <v>1519.5</v>
      </c>
      <c r="L673" s="1">
        <v>11145.53</v>
      </c>
      <c r="M673" s="1" t="s">
        <v>149</v>
      </c>
      <c r="N673" s="1"/>
      <c r="O673" s="1"/>
      <c r="P673" s="1"/>
      <c r="Q673" s="62"/>
      <c r="X673">
        <v>2024</v>
      </c>
    </row>
    <row r="674" spans="1:24" x14ac:dyDescent="0.25">
      <c r="A674" t="s">
        <v>1163</v>
      </c>
      <c r="B674" s="52">
        <v>45446</v>
      </c>
      <c r="C674" t="s">
        <v>1164</v>
      </c>
      <c r="D674" t="s">
        <v>359</v>
      </c>
      <c r="E674" t="s">
        <v>27</v>
      </c>
      <c r="F674">
        <v>1000</v>
      </c>
      <c r="G674">
        <v>1000</v>
      </c>
      <c r="H674">
        <v>5</v>
      </c>
      <c r="I674" s="1">
        <f t="shared" si="10"/>
        <v>5</v>
      </c>
      <c r="J674" s="1">
        <v>400</v>
      </c>
      <c r="K674" s="1">
        <v>375</v>
      </c>
      <c r="L674" s="1">
        <v>2500</v>
      </c>
      <c r="M674" s="1" t="s">
        <v>149</v>
      </c>
      <c r="N674" s="1"/>
      <c r="O674" s="1"/>
      <c r="P674" s="1" t="s">
        <v>149</v>
      </c>
      <c r="Q674" s="62">
        <v>45446</v>
      </c>
      <c r="X674">
        <v>2024</v>
      </c>
    </row>
    <row r="675" spans="1:24" x14ac:dyDescent="0.25">
      <c r="A675" t="s">
        <v>1165</v>
      </c>
      <c r="B675" s="52">
        <v>45448</v>
      </c>
      <c r="C675" t="s">
        <v>1166</v>
      </c>
      <c r="D675" t="s">
        <v>100</v>
      </c>
      <c r="E675" t="s">
        <v>32</v>
      </c>
      <c r="F675">
        <v>1000</v>
      </c>
      <c r="G675">
        <v>1000</v>
      </c>
      <c r="H675">
        <v>25</v>
      </c>
      <c r="I675" s="1">
        <f t="shared" si="10"/>
        <v>25</v>
      </c>
      <c r="J675" s="1">
        <v>524.87</v>
      </c>
      <c r="K675" s="1">
        <v>1250</v>
      </c>
      <c r="L675" s="1">
        <v>14371.85</v>
      </c>
      <c r="M675" s="1" t="s">
        <v>149</v>
      </c>
      <c r="N675" s="1"/>
      <c r="O675" s="1"/>
      <c r="P675" s="1"/>
      <c r="Q675" s="62"/>
      <c r="X675">
        <v>2024</v>
      </c>
    </row>
    <row r="676" spans="1:24" x14ac:dyDescent="0.25">
      <c r="A676" t="s">
        <v>1167</v>
      </c>
      <c r="B676" s="60">
        <v>45477</v>
      </c>
      <c r="C676" t="s">
        <v>35</v>
      </c>
      <c r="D676" t="s">
        <v>36</v>
      </c>
      <c r="E676" t="s">
        <v>32</v>
      </c>
      <c r="F676">
        <v>420</v>
      </c>
      <c r="G676">
        <v>420</v>
      </c>
      <c r="H676">
        <v>115</v>
      </c>
      <c r="I676" s="1">
        <f t="shared" si="10"/>
        <v>20.286000000000001</v>
      </c>
      <c r="J676" s="1">
        <v>542.70000000000005</v>
      </c>
      <c r="K676" s="1">
        <v>1500</v>
      </c>
      <c r="L676" s="1">
        <v>12511.38</v>
      </c>
      <c r="M676" s="1" t="s">
        <v>149</v>
      </c>
      <c r="N676" s="1"/>
      <c r="O676" s="1"/>
      <c r="P676" s="1" t="s">
        <v>149</v>
      </c>
      <c r="Q676" s="62">
        <v>45489</v>
      </c>
      <c r="S676" t="s">
        <v>1168</v>
      </c>
      <c r="X676">
        <v>2024</v>
      </c>
    </row>
    <row r="677" spans="1:24" x14ac:dyDescent="0.25">
      <c r="C677" t="s">
        <v>1005</v>
      </c>
      <c r="D677" t="s">
        <v>146</v>
      </c>
      <c r="E677" t="s">
        <v>27</v>
      </c>
      <c r="F677">
        <v>1000</v>
      </c>
      <c r="G677">
        <v>1000</v>
      </c>
      <c r="H677">
        <v>1000</v>
      </c>
      <c r="I677" s="1">
        <f t="shared" si="10"/>
        <v>1000</v>
      </c>
      <c r="J677" s="1">
        <v>260</v>
      </c>
      <c r="K677" s="1" t="s">
        <v>1169</v>
      </c>
      <c r="L677" s="1"/>
      <c r="M677" s="1" t="s">
        <v>149</v>
      </c>
      <c r="N677" s="1"/>
      <c r="O677" s="1" t="s">
        <v>149</v>
      </c>
      <c r="P677" s="1"/>
      <c r="Q677" s="62"/>
      <c r="X677">
        <v>2024</v>
      </c>
    </row>
    <row r="678" spans="1:24" x14ac:dyDescent="0.25">
      <c r="C678" t="s">
        <v>1005</v>
      </c>
      <c r="D678" t="s">
        <v>146</v>
      </c>
      <c r="E678" t="s">
        <v>27</v>
      </c>
      <c r="F678">
        <v>1000</v>
      </c>
      <c r="G678">
        <v>1000</v>
      </c>
      <c r="H678">
        <v>10000</v>
      </c>
      <c r="I678" s="1">
        <f t="shared" si="10"/>
        <v>10000</v>
      </c>
      <c r="J678" s="1">
        <v>240</v>
      </c>
      <c r="K678" s="1" t="s">
        <v>1169</v>
      </c>
      <c r="L678" s="1"/>
      <c r="M678" s="1" t="s">
        <v>149</v>
      </c>
      <c r="N678" s="1"/>
      <c r="O678" s="1" t="s">
        <v>149</v>
      </c>
      <c r="P678" s="1"/>
      <c r="Q678" s="62"/>
      <c r="X678">
        <v>2024</v>
      </c>
    </row>
    <row r="679" spans="1:24" x14ac:dyDescent="0.25">
      <c r="A679" t="s">
        <v>1170</v>
      </c>
      <c r="C679" t="s">
        <v>218</v>
      </c>
      <c r="D679" t="s">
        <v>103</v>
      </c>
      <c r="E679" t="s">
        <v>27</v>
      </c>
      <c r="F679">
        <v>1000</v>
      </c>
      <c r="G679">
        <v>1000</v>
      </c>
      <c r="H679">
        <v>5</v>
      </c>
      <c r="I679" s="1">
        <f t="shared" si="10"/>
        <v>5</v>
      </c>
      <c r="J679" s="1">
        <v>400</v>
      </c>
      <c r="K679" s="1">
        <v>375</v>
      </c>
      <c r="L679" s="1">
        <v>2500</v>
      </c>
      <c r="M679" s="1" t="s">
        <v>149</v>
      </c>
      <c r="N679" s="1"/>
      <c r="O679" s="1"/>
      <c r="P679" s="1" t="s">
        <v>149</v>
      </c>
      <c r="Q679" s="62">
        <v>45450</v>
      </c>
      <c r="X679">
        <v>2024</v>
      </c>
    </row>
    <row r="680" spans="1:24" x14ac:dyDescent="0.25">
      <c r="A680" t="s">
        <v>1171</v>
      </c>
      <c r="B680" s="52">
        <v>45455</v>
      </c>
      <c r="C680" t="s">
        <v>1172</v>
      </c>
      <c r="D680" t="s">
        <v>31</v>
      </c>
      <c r="E680" t="s">
        <v>37</v>
      </c>
      <c r="F680">
        <v>1000</v>
      </c>
      <c r="G680">
        <v>1000</v>
      </c>
      <c r="H680">
        <v>8</v>
      </c>
      <c r="I680" s="1">
        <f t="shared" si="10"/>
        <v>8</v>
      </c>
      <c r="J680" s="1">
        <v>476.88</v>
      </c>
      <c r="K680" s="1">
        <v>600</v>
      </c>
      <c r="L680" s="1">
        <v>4525.04</v>
      </c>
      <c r="M680" s="1" t="s">
        <v>149</v>
      </c>
      <c r="N680" s="1"/>
      <c r="O680" s="1"/>
      <c r="P680" s="1"/>
      <c r="Q680" s="62"/>
      <c r="S680" t="s">
        <v>806</v>
      </c>
      <c r="T680" s="3">
        <v>45457</v>
      </c>
      <c r="U680">
        <v>476.88</v>
      </c>
      <c r="V680">
        <v>600</v>
      </c>
      <c r="W680">
        <v>4525.04</v>
      </c>
      <c r="X680">
        <v>2024</v>
      </c>
    </row>
    <row r="681" spans="1:24" x14ac:dyDescent="0.25">
      <c r="A681" t="s">
        <v>1173</v>
      </c>
      <c r="B681" s="52">
        <v>45461</v>
      </c>
      <c r="C681" t="s">
        <v>543</v>
      </c>
      <c r="D681" t="s">
        <v>103</v>
      </c>
      <c r="E681" t="s">
        <v>27</v>
      </c>
      <c r="F681">
        <v>1500</v>
      </c>
      <c r="G681">
        <v>880</v>
      </c>
      <c r="H681">
        <v>16</v>
      </c>
      <c r="I681" s="1">
        <f t="shared" si="10"/>
        <v>21.12</v>
      </c>
      <c r="J681">
        <v>333.93</v>
      </c>
      <c r="K681" s="1">
        <v>1500</v>
      </c>
      <c r="L681" s="1">
        <v>8752.6</v>
      </c>
      <c r="M681" s="1" t="s">
        <v>149</v>
      </c>
      <c r="N681" s="1"/>
      <c r="O681" s="1"/>
      <c r="P681" s="1"/>
      <c r="Q681" s="62"/>
      <c r="X681">
        <v>2024</v>
      </c>
    </row>
    <row r="682" spans="1:24" x14ac:dyDescent="0.25">
      <c r="A682" t="s">
        <v>1174</v>
      </c>
      <c r="B682" s="52">
        <v>45461</v>
      </c>
      <c r="C682" t="s">
        <v>543</v>
      </c>
      <c r="D682" t="s">
        <v>103</v>
      </c>
      <c r="E682" t="s">
        <v>32</v>
      </c>
      <c r="F682">
        <v>1500</v>
      </c>
      <c r="G682">
        <v>880</v>
      </c>
      <c r="H682">
        <v>16</v>
      </c>
      <c r="I682" s="1">
        <f t="shared" si="10"/>
        <v>21.12</v>
      </c>
      <c r="J682">
        <v>538.98</v>
      </c>
      <c r="K682" s="1">
        <v>1500</v>
      </c>
      <c r="L682" s="1">
        <v>13078.26</v>
      </c>
      <c r="M682" s="1" t="s">
        <v>149</v>
      </c>
      <c r="N682" s="1"/>
      <c r="O682" s="1"/>
      <c r="P682" s="1"/>
      <c r="Q682" s="62"/>
      <c r="X682">
        <v>2024</v>
      </c>
    </row>
    <row r="683" spans="1:24" x14ac:dyDescent="0.25">
      <c r="A683" t="s">
        <v>1175</v>
      </c>
      <c r="B683" s="52">
        <v>45462</v>
      </c>
      <c r="C683" t="s">
        <v>45</v>
      </c>
      <c r="D683" t="s">
        <v>46</v>
      </c>
      <c r="E683" t="s">
        <v>27</v>
      </c>
      <c r="F683">
        <v>1000</v>
      </c>
      <c r="G683">
        <v>1000</v>
      </c>
      <c r="H683">
        <v>250</v>
      </c>
      <c r="I683" s="1">
        <f t="shared" si="10"/>
        <v>250</v>
      </c>
      <c r="J683">
        <v>270.47000000000003</v>
      </c>
      <c r="K683" s="1">
        <v>6250</v>
      </c>
      <c r="L683" s="1">
        <v>73867.5</v>
      </c>
      <c r="M683" s="1" t="s">
        <v>149</v>
      </c>
      <c r="N683" s="1"/>
      <c r="O683" s="1"/>
      <c r="P683" s="1"/>
      <c r="Q683" s="62"/>
      <c r="X683">
        <v>2024</v>
      </c>
    </row>
    <row r="684" spans="1:24" x14ac:dyDescent="0.25">
      <c r="A684" t="s">
        <v>1176</v>
      </c>
      <c r="B684" s="52">
        <v>45462</v>
      </c>
      <c r="C684" t="s">
        <v>1172</v>
      </c>
      <c r="D684" t="s">
        <v>31</v>
      </c>
      <c r="E684" t="s">
        <v>37</v>
      </c>
      <c r="F684">
        <v>1000</v>
      </c>
      <c r="G684">
        <v>1000</v>
      </c>
      <c r="H684">
        <v>15</v>
      </c>
      <c r="I684" s="1">
        <f t="shared" si="10"/>
        <v>15</v>
      </c>
      <c r="J684">
        <v>446.81</v>
      </c>
      <c r="K684" s="1">
        <v>1125</v>
      </c>
      <c r="L684" s="1">
        <v>7997.15</v>
      </c>
      <c r="M684" s="1" t="s">
        <v>149</v>
      </c>
      <c r="N684" s="1"/>
      <c r="O684" s="1"/>
      <c r="P684" s="1" t="s">
        <v>149</v>
      </c>
      <c r="Q684" s="62">
        <v>45474</v>
      </c>
      <c r="X684">
        <v>2024</v>
      </c>
    </row>
    <row r="685" spans="1:24" x14ac:dyDescent="0.25">
      <c r="A685" t="s">
        <v>1177</v>
      </c>
      <c r="B685" s="52">
        <v>45462</v>
      </c>
      <c r="C685" t="s">
        <v>255</v>
      </c>
      <c r="D685" t="s">
        <v>83</v>
      </c>
      <c r="E685" t="s">
        <v>37</v>
      </c>
      <c r="F685">
        <v>945</v>
      </c>
      <c r="G685">
        <v>945</v>
      </c>
      <c r="H685">
        <v>100</v>
      </c>
      <c r="I685" s="1">
        <f t="shared" si="10"/>
        <v>89.302499999999995</v>
      </c>
      <c r="J685">
        <v>378.21</v>
      </c>
      <c r="K685" s="1">
        <v>2500</v>
      </c>
      <c r="L685" s="1">
        <v>36274.15</v>
      </c>
      <c r="M685" s="1" t="s">
        <v>149</v>
      </c>
      <c r="N685" s="1"/>
      <c r="O685" s="1"/>
      <c r="P685" s="6" t="s">
        <v>149</v>
      </c>
      <c r="Q685" s="17">
        <v>45491</v>
      </c>
      <c r="S685" s="4" t="s">
        <v>1178</v>
      </c>
      <c r="X685">
        <v>2024</v>
      </c>
    </row>
    <row r="686" spans="1:24" x14ac:dyDescent="0.25">
      <c r="A686" t="s">
        <v>1179</v>
      </c>
      <c r="B686" s="52">
        <v>45462</v>
      </c>
      <c r="C686" t="s">
        <v>255</v>
      </c>
      <c r="D686" t="s">
        <v>83</v>
      </c>
      <c r="E686" t="s">
        <v>32</v>
      </c>
      <c r="F686">
        <v>1000</v>
      </c>
      <c r="G686">
        <v>1000</v>
      </c>
      <c r="H686">
        <v>10</v>
      </c>
      <c r="I686" s="1">
        <f t="shared" si="10"/>
        <v>10</v>
      </c>
      <c r="J686">
        <v>576.08000000000004</v>
      </c>
      <c r="K686" s="1">
        <v>750</v>
      </c>
      <c r="L686" s="1">
        <v>6960.8</v>
      </c>
      <c r="M686" s="1" t="s">
        <v>149</v>
      </c>
      <c r="N686" s="1"/>
      <c r="O686" s="1"/>
      <c r="P686" s="1" t="s">
        <v>149</v>
      </c>
      <c r="Q686" s="62">
        <v>45462</v>
      </c>
      <c r="X686">
        <v>2024</v>
      </c>
    </row>
    <row r="687" spans="1:24" x14ac:dyDescent="0.25">
      <c r="A687" t="s">
        <v>1180</v>
      </c>
      <c r="B687" s="52">
        <v>45462</v>
      </c>
      <c r="C687" t="s">
        <v>1181</v>
      </c>
      <c r="D687" t="s">
        <v>103</v>
      </c>
      <c r="E687" t="s">
        <v>37</v>
      </c>
      <c r="F687">
        <v>1000</v>
      </c>
      <c r="G687">
        <v>1000</v>
      </c>
      <c r="H687">
        <v>5</v>
      </c>
      <c r="I687" s="1">
        <f t="shared" si="10"/>
        <v>5</v>
      </c>
      <c r="J687" s="1">
        <v>500</v>
      </c>
      <c r="K687" s="1">
        <v>375</v>
      </c>
      <c r="L687" s="1">
        <v>3000</v>
      </c>
      <c r="M687" s="1" t="s">
        <v>149</v>
      </c>
      <c r="N687" s="1"/>
      <c r="O687" s="1"/>
      <c r="P687" s="1" t="s">
        <v>149</v>
      </c>
      <c r="Q687" s="62">
        <v>45463</v>
      </c>
      <c r="X687">
        <v>2024</v>
      </c>
    </row>
    <row r="688" spans="1:24" x14ac:dyDescent="0.25">
      <c r="A688" t="s">
        <v>1182</v>
      </c>
      <c r="B688" s="32" t="s">
        <v>1183</v>
      </c>
      <c r="C688" t="s">
        <v>532</v>
      </c>
      <c r="D688" t="s">
        <v>46</v>
      </c>
      <c r="E688" t="s">
        <v>32</v>
      </c>
      <c r="F688">
        <v>2480</v>
      </c>
      <c r="G688">
        <v>1500</v>
      </c>
      <c r="H688">
        <v>226</v>
      </c>
      <c r="I688" s="1">
        <f t="shared" si="10"/>
        <v>840.72</v>
      </c>
      <c r="J688" s="1">
        <v>396.2</v>
      </c>
      <c r="K688" s="1">
        <v>21018</v>
      </c>
      <c r="L688" s="1">
        <v>354111.26</v>
      </c>
      <c r="M688" s="1" t="s">
        <v>149</v>
      </c>
      <c r="N688" s="1"/>
      <c r="O688" s="1"/>
      <c r="P688" s="1"/>
      <c r="Q688" s="62"/>
      <c r="X688">
        <v>2024</v>
      </c>
    </row>
    <row r="689" spans="1:24" x14ac:dyDescent="0.25">
      <c r="B689" s="32" t="s">
        <v>1183</v>
      </c>
      <c r="C689" t="s">
        <v>532</v>
      </c>
      <c r="D689" t="s">
        <v>46</v>
      </c>
      <c r="E689" t="s">
        <v>27</v>
      </c>
      <c r="I689" s="1">
        <v>5000</v>
      </c>
      <c r="J689" s="1">
        <v>240</v>
      </c>
      <c r="K689" s="1" t="s">
        <v>1169</v>
      </c>
      <c r="L689" s="1"/>
      <c r="M689" s="1" t="s">
        <v>149</v>
      </c>
      <c r="N689" s="1"/>
      <c r="O689" s="1" t="s">
        <v>149</v>
      </c>
      <c r="P689" s="1"/>
      <c r="Q689" s="62"/>
      <c r="S689" t="s">
        <v>1184</v>
      </c>
    </row>
    <row r="690" spans="1:24" x14ac:dyDescent="0.25">
      <c r="B690" s="32" t="s">
        <v>1183</v>
      </c>
      <c r="C690" t="s">
        <v>532</v>
      </c>
      <c r="D690" t="s">
        <v>46</v>
      </c>
      <c r="E690" t="s">
        <v>32</v>
      </c>
      <c r="I690" s="1">
        <v>5000</v>
      </c>
      <c r="J690" s="1">
        <v>360</v>
      </c>
      <c r="K690" s="1" t="s">
        <v>1169</v>
      </c>
      <c r="L690" s="1"/>
      <c r="M690" s="1" t="s">
        <v>149</v>
      </c>
      <c r="N690" s="1"/>
      <c r="O690" s="1" t="s">
        <v>149</v>
      </c>
      <c r="P690" s="1"/>
      <c r="Q690" s="62"/>
      <c r="S690" t="s">
        <v>1184</v>
      </c>
    </row>
    <row r="691" spans="1:24" x14ac:dyDescent="0.25">
      <c r="B691" s="32" t="s">
        <v>1183</v>
      </c>
      <c r="C691" t="s">
        <v>532</v>
      </c>
      <c r="D691" t="s">
        <v>46</v>
      </c>
      <c r="E691" t="s">
        <v>27</v>
      </c>
      <c r="I691" s="1">
        <v>5000</v>
      </c>
      <c r="J691" s="1">
        <v>205</v>
      </c>
      <c r="K691" s="1" t="s">
        <v>1169</v>
      </c>
      <c r="L691" s="1"/>
      <c r="M691" s="1" t="s">
        <v>149</v>
      </c>
      <c r="N691" s="1"/>
      <c r="O691" s="1" t="s">
        <v>149</v>
      </c>
      <c r="P691" s="1"/>
      <c r="Q691" s="62"/>
      <c r="S691" t="s">
        <v>1185</v>
      </c>
    </row>
    <row r="692" spans="1:24" x14ac:dyDescent="0.25">
      <c r="B692" s="32" t="s">
        <v>1183</v>
      </c>
      <c r="C692" t="s">
        <v>532</v>
      </c>
      <c r="D692" t="s">
        <v>46</v>
      </c>
      <c r="E692" t="s">
        <v>32</v>
      </c>
      <c r="I692" s="1">
        <v>5000</v>
      </c>
      <c r="J692" s="1">
        <v>315</v>
      </c>
      <c r="K692" s="1" t="s">
        <v>1169</v>
      </c>
      <c r="L692" s="1"/>
      <c r="M692" s="1" t="s">
        <v>149</v>
      </c>
      <c r="N692" s="1"/>
      <c r="O692" s="1" t="s">
        <v>149</v>
      </c>
      <c r="P692" s="1"/>
      <c r="Q692" s="62"/>
      <c r="S692" t="s">
        <v>1185</v>
      </c>
    </row>
    <row r="693" spans="1:24" x14ac:dyDescent="0.25">
      <c r="A693" t="s">
        <v>1186</v>
      </c>
      <c r="B693" s="32" t="s">
        <v>1183</v>
      </c>
      <c r="C693" t="s">
        <v>592</v>
      </c>
      <c r="D693" t="s">
        <v>46</v>
      </c>
      <c r="E693" t="s">
        <v>27</v>
      </c>
      <c r="F693">
        <v>1870</v>
      </c>
      <c r="G693">
        <v>1650</v>
      </c>
      <c r="H693">
        <v>225</v>
      </c>
      <c r="I693" s="1">
        <f>$F693*$G693*$H693/1000000</f>
        <v>694.23749999999995</v>
      </c>
      <c r="J693" s="1">
        <v>256.2</v>
      </c>
      <c r="K693" s="1">
        <v>17356</v>
      </c>
      <c r="L693" s="1">
        <v>195636.83</v>
      </c>
      <c r="M693" s="1" t="s">
        <v>149</v>
      </c>
      <c r="N693" s="1"/>
      <c r="O693" s="1"/>
      <c r="P693" s="1"/>
      <c r="Q693" s="62"/>
      <c r="X693">
        <v>2024</v>
      </c>
    </row>
    <row r="694" spans="1:24" x14ac:dyDescent="0.25">
      <c r="A694" t="s">
        <v>1187</v>
      </c>
      <c r="B694" s="32" t="s">
        <v>1183</v>
      </c>
      <c r="C694" t="s">
        <v>592</v>
      </c>
      <c r="D694" t="s">
        <v>46</v>
      </c>
      <c r="E694" t="s">
        <v>32</v>
      </c>
      <c r="F694">
        <v>1870</v>
      </c>
      <c r="G694">
        <v>1650</v>
      </c>
      <c r="H694">
        <v>225</v>
      </c>
      <c r="I694" s="1">
        <f>$F694*$G694*$H694/1000000</f>
        <v>694.23749999999995</v>
      </c>
      <c r="J694" s="1">
        <v>405.52</v>
      </c>
      <c r="K694" s="1">
        <v>17356</v>
      </c>
      <c r="L694" s="1">
        <v>298884.21000000002</v>
      </c>
      <c r="M694" s="1" t="s">
        <v>149</v>
      </c>
      <c r="N694" s="1"/>
      <c r="O694" s="1"/>
      <c r="P694" s="1"/>
      <c r="Q694" s="62"/>
      <c r="X694">
        <v>2024</v>
      </c>
    </row>
    <row r="695" spans="1:24" x14ac:dyDescent="0.25">
      <c r="B695" s="32" t="s">
        <v>1183</v>
      </c>
      <c r="C695" t="s">
        <v>592</v>
      </c>
      <c r="D695" t="s">
        <v>46</v>
      </c>
      <c r="E695" t="s">
        <v>27</v>
      </c>
      <c r="I695" s="1">
        <v>5000</v>
      </c>
      <c r="J695" s="1">
        <v>240</v>
      </c>
      <c r="K695" s="1" t="s">
        <v>1169</v>
      </c>
      <c r="L695" s="1"/>
      <c r="M695" s="1" t="s">
        <v>149</v>
      </c>
      <c r="N695" s="1"/>
      <c r="O695" s="1" t="s">
        <v>149</v>
      </c>
      <c r="P695" s="1"/>
      <c r="Q695" s="62"/>
      <c r="S695" t="s">
        <v>1184</v>
      </c>
    </row>
    <row r="696" spans="1:24" x14ac:dyDescent="0.25">
      <c r="B696" s="32" t="s">
        <v>1183</v>
      </c>
      <c r="C696" t="s">
        <v>592</v>
      </c>
      <c r="D696" t="s">
        <v>46</v>
      </c>
      <c r="E696" t="s">
        <v>37</v>
      </c>
      <c r="I696" s="1">
        <v>5000</v>
      </c>
      <c r="J696" s="1">
        <v>300</v>
      </c>
      <c r="K696" s="1" t="s">
        <v>1169</v>
      </c>
      <c r="L696" s="1"/>
      <c r="M696" s="1" t="s">
        <v>149</v>
      </c>
      <c r="N696" s="1"/>
      <c r="O696" s="1" t="s">
        <v>149</v>
      </c>
      <c r="P696" s="1"/>
      <c r="Q696" s="62"/>
      <c r="S696" t="s">
        <v>1184</v>
      </c>
    </row>
    <row r="697" spans="1:24" x14ac:dyDescent="0.25">
      <c r="B697" s="32" t="s">
        <v>1183</v>
      </c>
      <c r="C697" t="s">
        <v>592</v>
      </c>
      <c r="D697" t="s">
        <v>46</v>
      </c>
      <c r="E697" t="s">
        <v>32</v>
      </c>
      <c r="I697" s="1">
        <v>5000</v>
      </c>
      <c r="J697" s="1">
        <v>360</v>
      </c>
      <c r="K697" s="1" t="s">
        <v>1169</v>
      </c>
      <c r="L697" s="1"/>
      <c r="M697" s="1" t="s">
        <v>149</v>
      </c>
      <c r="N697" s="1"/>
      <c r="O697" s="1" t="s">
        <v>149</v>
      </c>
      <c r="P697" s="1"/>
      <c r="Q697" s="62"/>
      <c r="S697" t="s">
        <v>1184</v>
      </c>
    </row>
    <row r="698" spans="1:24" x14ac:dyDescent="0.25">
      <c r="B698" s="32" t="s">
        <v>1183</v>
      </c>
      <c r="C698" t="s">
        <v>592</v>
      </c>
      <c r="D698" t="s">
        <v>46</v>
      </c>
      <c r="E698" t="s">
        <v>27</v>
      </c>
      <c r="I698" s="1">
        <v>5000</v>
      </c>
      <c r="J698" s="1">
        <v>205</v>
      </c>
      <c r="K698" s="1" t="s">
        <v>1169</v>
      </c>
      <c r="L698" s="1"/>
      <c r="M698" s="1" t="s">
        <v>149</v>
      </c>
      <c r="N698" s="1"/>
      <c r="O698" s="1" t="s">
        <v>149</v>
      </c>
      <c r="P698" s="1"/>
      <c r="Q698" s="62"/>
      <c r="S698" t="s">
        <v>1185</v>
      </c>
    </row>
    <row r="699" spans="1:24" x14ac:dyDescent="0.25">
      <c r="B699" s="32" t="s">
        <v>1183</v>
      </c>
      <c r="C699" t="s">
        <v>592</v>
      </c>
      <c r="D699" t="s">
        <v>46</v>
      </c>
      <c r="E699" t="s">
        <v>37</v>
      </c>
      <c r="I699" s="1">
        <v>5000</v>
      </c>
      <c r="J699" s="1">
        <v>255</v>
      </c>
      <c r="K699" s="1" t="s">
        <v>1169</v>
      </c>
      <c r="L699" s="1"/>
      <c r="M699" s="1" t="s">
        <v>149</v>
      </c>
      <c r="N699" s="1"/>
      <c r="O699" s="1" t="s">
        <v>149</v>
      </c>
      <c r="P699" s="1"/>
      <c r="Q699" s="62"/>
      <c r="S699" t="s">
        <v>1185</v>
      </c>
    </row>
    <row r="700" spans="1:24" x14ac:dyDescent="0.25">
      <c r="B700" s="32" t="s">
        <v>1183</v>
      </c>
      <c r="C700" t="s">
        <v>592</v>
      </c>
      <c r="D700" t="s">
        <v>46</v>
      </c>
      <c r="E700" t="s">
        <v>32</v>
      </c>
      <c r="I700" s="1">
        <v>5000</v>
      </c>
      <c r="J700" s="1">
        <v>315</v>
      </c>
      <c r="K700" s="1" t="s">
        <v>1169</v>
      </c>
      <c r="L700" s="1"/>
      <c r="M700" s="1" t="s">
        <v>149</v>
      </c>
      <c r="N700" s="1"/>
      <c r="O700" s="1" t="s">
        <v>149</v>
      </c>
      <c r="P700" s="1"/>
      <c r="Q700" s="62"/>
      <c r="S700" t="s">
        <v>1185</v>
      </c>
    </row>
    <row r="701" spans="1:24" x14ac:dyDescent="0.25">
      <c r="A701" t="s">
        <v>1188</v>
      </c>
      <c r="B701" s="52">
        <v>45467</v>
      </c>
      <c r="C701" t="s">
        <v>1051</v>
      </c>
      <c r="D701" t="s">
        <v>157</v>
      </c>
      <c r="E701" t="s">
        <v>27</v>
      </c>
      <c r="F701">
        <v>1000</v>
      </c>
      <c r="G701">
        <v>1000</v>
      </c>
      <c r="H701">
        <v>50</v>
      </c>
      <c r="I701" s="1">
        <f t="shared" ref="I701:I708" si="11">$F701*$G701*$H701/1000000</f>
        <v>50</v>
      </c>
      <c r="J701" s="1">
        <v>301.39999999999998</v>
      </c>
      <c r="K701" s="1">
        <v>2500</v>
      </c>
      <c r="L701" s="1">
        <v>17685</v>
      </c>
      <c r="M701" s="1" t="s">
        <v>149</v>
      </c>
      <c r="N701" s="1"/>
      <c r="O701" s="1"/>
      <c r="P701" s="1"/>
      <c r="Q701" s="62"/>
      <c r="X701">
        <v>2024</v>
      </c>
    </row>
    <row r="702" spans="1:24" x14ac:dyDescent="0.25">
      <c r="A702" t="s">
        <v>1189</v>
      </c>
      <c r="B702" s="52">
        <v>45468</v>
      </c>
      <c r="C702" t="s">
        <v>126</v>
      </c>
      <c r="D702" t="s">
        <v>36</v>
      </c>
      <c r="E702" t="s">
        <v>32</v>
      </c>
      <c r="F702">
        <v>1000</v>
      </c>
      <c r="G702">
        <v>1000</v>
      </c>
      <c r="H702">
        <v>16</v>
      </c>
      <c r="I702" s="1">
        <f t="shared" si="11"/>
        <v>16</v>
      </c>
      <c r="J702" s="1">
        <v>552.08000000000004</v>
      </c>
      <c r="K702" s="1">
        <v>1200</v>
      </c>
      <c r="L702" s="1">
        <v>10116.280000000001</v>
      </c>
      <c r="M702" s="1" t="s">
        <v>149</v>
      </c>
      <c r="N702" s="1"/>
      <c r="O702" s="1"/>
      <c r="P702" s="1"/>
      <c r="Q702" s="62"/>
      <c r="X702">
        <v>2024</v>
      </c>
    </row>
    <row r="703" spans="1:24" x14ac:dyDescent="0.25">
      <c r="A703" t="s">
        <v>1190</v>
      </c>
      <c r="B703" s="52">
        <v>45468</v>
      </c>
      <c r="C703" t="s">
        <v>1191</v>
      </c>
      <c r="D703" t="s">
        <v>83</v>
      </c>
      <c r="E703" t="s">
        <v>27</v>
      </c>
      <c r="F703">
        <v>1000</v>
      </c>
      <c r="G703">
        <v>1000</v>
      </c>
      <c r="H703">
        <v>5</v>
      </c>
      <c r="I703" s="1">
        <f t="shared" si="11"/>
        <v>5</v>
      </c>
      <c r="J703" s="1">
        <v>400</v>
      </c>
      <c r="K703" s="1">
        <v>375</v>
      </c>
      <c r="L703" s="1">
        <v>2500</v>
      </c>
      <c r="M703" s="1" t="s">
        <v>149</v>
      </c>
      <c r="N703" s="1"/>
      <c r="O703" s="1"/>
      <c r="P703" s="1"/>
      <c r="Q703" s="62"/>
      <c r="X703">
        <v>2024</v>
      </c>
    </row>
    <row r="704" spans="1:24" x14ac:dyDescent="0.25">
      <c r="A704" t="s">
        <v>1192</v>
      </c>
      <c r="B704" s="52">
        <v>45468</v>
      </c>
      <c r="C704" t="s">
        <v>832</v>
      </c>
      <c r="D704" t="s">
        <v>31</v>
      </c>
      <c r="E704" t="s">
        <v>27</v>
      </c>
      <c r="F704">
        <v>1000</v>
      </c>
      <c r="G704">
        <v>1000</v>
      </c>
      <c r="H704">
        <v>5</v>
      </c>
      <c r="I704" s="1">
        <f t="shared" si="11"/>
        <v>5</v>
      </c>
      <c r="J704" s="1">
        <v>400</v>
      </c>
      <c r="K704" s="1">
        <v>375</v>
      </c>
      <c r="L704" s="1">
        <v>2450</v>
      </c>
      <c r="M704" s="1" t="s">
        <v>149</v>
      </c>
      <c r="N704" s="1"/>
      <c r="O704" s="1"/>
      <c r="P704" s="1"/>
      <c r="Q704" s="62"/>
      <c r="X704">
        <v>2024</v>
      </c>
    </row>
    <row r="705" spans="1:24" x14ac:dyDescent="0.25">
      <c r="A705" t="s">
        <v>1193</v>
      </c>
      <c r="B705" s="52">
        <v>45468</v>
      </c>
      <c r="C705" t="s">
        <v>1194</v>
      </c>
      <c r="D705" t="s">
        <v>97</v>
      </c>
      <c r="E705" t="s">
        <v>27</v>
      </c>
      <c r="F705">
        <v>1000</v>
      </c>
      <c r="G705">
        <v>1000</v>
      </c>
      <c r="H705">
        <v>5</v>
      </c>
      <c r="I705" s="1">
        <f t="shared" si="11"/>
        <v>5</v>
      </c>
      <c r="J705" s="1">
        <v>400</v>
      </c>
      <c r="K705" s="1">
        <v>375</v>
      </c>
      <c r="L705" s="1">
        <v>2450</v>
      </c>
      <c r="M705" s="1" t="s">
        <v>149</v>
      </c>
      <c r="N705" s="1"/>
      <c r="O705" s="1"/>
      <c r="P705" s="1"/>
      <c r="Q705" s="62"/>
      <c r="X705">
        <v>2024</v>
      </c>
    </row>
    <row r="706" spans="1:24" x14ac:dyDescent="0.25">
      <c r="A706" t="s">
        <v>1195</v>
      </c>
      <c r="B706" s="52">
        <v>45468</v>
      </c>
      <c r="C706" t="s">
        <v>1196</v>
      </c>
      <c r="D706" t="s">
        <v>103</v>
      </c>
      <c r="E706" t="s">
        <v>27</v>
      </c>
      <c r="F706">
        <v>1000</v>
      </c>
      <c r="G706">
        <v>1000</v>
      </c>
      <c r="H706">
        <v>10</v>
      </c>
      <c r="I706" s="1">
        <f t="shared" si="11"/>
        <v>10</v>
      </c>
      <c r="J706" s="1">
        <v>356.92</v>
      </c>
      <c r="K706" s="1">
        <v>750</v>
      </c>
      <c r="L706" s="1">
        <v>4569.2</v>
      </c>
      <c r="M706" s="1" t="s">
        <v>149</v>
      </c>
      <c r="N706" s="1"/>
      <c r="O706" s="1"/>
      <c r="P706" s="1"/>
      <c r="Q706" s="62"/>
    </row>
    <row r="707" spans="1:24" x14ac:dyDescent="0.25">
      <c r="A707" t="s">
        <v>1197</v>
      </c>
      <c r="B707" s="52">
        <v>45468</v>
      </c>
      <c r="C707" t="s">
        <v>1198</v>
      </c>
      <c r="D707" t="s">
        <v>1199</v>
      </c>
      <c r="E707" t="s">
        <v>27</v>
      </c>
      <c r="F707">
        <v>1000</v>
      </c>
      <c r="G707">
        <v>1000</v>
      </c>
      <c r="H707">
        <v>5</v>
      </c>
      <c r="I707" s="1">
        <f t="shared" si="11"/>
        <v>5</v>
      </c>
      <c r="J707" s="1">
        <v>400</v>
      </c>
      <c r="K707" s="1">
        <v>375</v>
      </c>
      <c r="L707" s="1">
        <v>2450</v>
      </c>
      <c r="M707" s="1" t="s">
        <v>149</v>
      </c>
      <c r="N707" s="1"/>
      <c r="O707" s="1"/>
      <c r="P707" s="1" t="s">
        <v>149</v>
      </c>
      <c r="Q707" s="62">
        <v>45468</v>
      </c>
    </row>
    <row r="708" spans="1:24" x14ac:dyDescent="0.25">
      <c r="A708" t="s">
        <v>1200</v>
      </c>
      <c r="B708" s="52">
        <v>45468</v>
      </c>
      <c r="C708" t="s">
        <v>1201</v>
      </c>
      <c r="D708" t="s">
        <v>1202</v>
      </c>
      <c r="E708" t="s">
        <v>32</v>
      </c>
      <c r="F708">
        <v>1000</v>
      </c>
      <c r="G708">
        <v>1000</v>
      </c>
      <c r="H708">
        <v>5</v>
      </c>
      <c r="I708" s="1">
        <f t="shared" si="11"/>
        <v>5</v>
      </c>
      <c r="J708" s="1">
        <v>600</v>
      </c>
      <c r="K708" s="1">
        <v>375</v>
      </c>
      <c r="L708" s="1">
        <v>3650</v>
      </c>
      <c r="M708" s="1" t="s">
        <v>149</v>
      </c>
      <c r="N708" s="1"/>
      <c r="O708" s="1"/>
      <c r="P708" s="1"/>
      <c r="Q708" s="62"/>
    </row>
    <row r="709" spans="1:24" x14ac:dyDescent="0.25">
      <c r="C709" t="s">
        <v>1203</v>
      </c>
      <c r="D709" t="s">
        <v>36</v>
      </c>
      <c r="E709" t="s">
        <v>32</v>
      </c>
      <c r="I709" s="1">
        <v>4000</v>
      </c>
      <c r="J709" s="1">
        <v>360</v>
      </c>
      <c r="K709" s="1" t="s">
        <v>1169</v>
      </c>
      <c r="L709" s="1"/>
      <c r="M709" s="1" t="s">
        <v>149</v>
      </c>
      <c r="N709" s="1"/>
      <c r="O709" s="1" t="s">
        <v>149</v>
      </c>
      <c r="P709" s="1"/>
      <c r="Q709" s="62"/>
      <c r="X709">
        <v>2024</v>
      </c>
    </row>
    <row r="710" spans="1:24" x14ac:dyDescent="0.25">
      <c r="A710" t="s">
        <v>1204</v>
      </c>
      <c r="B710" s="52">
        <v>45469</v>
      </c>
      <c r="C710" t="s">
        <v>1166</v>
      </c>
      <c r="D710" t="s">
        <v>100</v>
      </c>
      <c r="E710" t="s">
        <v>32</v>
      </c>
      <c r="F710">
        <v>1000</v>
      </c>
      <c r="G710">
        <v>1000</v>
      </c>
      <c r="H710">
        <v>5</v>
      </c>
      <c r="I710" s="1">
        <f t="shared" ref="I710:I726" si="12">$F710*$G710*$H710/1000000</f>
        <v>5</v>
      </c>
      <c r="J710">
        <v>600</v>
      </c>
      <c r="K710" s="1">
        <v>375</v>
      </c>
      <c r="L710" s="1">
        <v>3650</v>
      </c>
      <c r="M710" s="1" t="s">
        <v>149</v>
      </c>
      <c r="N710" s="1"/>
      <c r="O710" s="1"/>
      <c r="P710" s="1" t="s">
        <v>149</v>
      </c>
      <c r="Q710" s="62">
        <v>45476</v>
      </c>
      <c r="X710">
        <v>2024</v>
      </c>
    </row>
    <row r="711" spans="1:24" x14ac:dyDescent="0.25">
      <c r="A711" t="s">
        <v>1205</v>
      </c>
      <c r="B711" s="52">
        <v>45469</v>
      </c>
      <c r="C711" t="s">
        <v>2047</v>
      </c>
      <c r="D711" t="s">
        <v>1199</v>
      </c>
      <c r="E711" t="s">
        <v>37</v>
      </c>
      <c r="F711">
        <v>1000</v>
      </c>
      <c r="G711">
        <v>1000</v>
      </c>
      <c r="H711">
        <v>5</v>
      </c>
      <c r="I711" s="1">
        <f t="shared" si="12"/>
        <v>5</v>
      </c>
      <c r="J711">
        <v>500</v>
      </c>
      <c r="K711" s="1">
        <v>375</v>
      </c>
      <c r="L711" s="1">
        <v>2950</v>
      </c>
      <c r="M711" s="1" t="s">
        <v>149</v>
      </c>
      <c r="N711" s="1"/>
      <c r="O711" s="1"/>
      <c r="P711" s="1"/>
      <c r="Q711" s="62"/>
      <c r="X711">
        <v>2024</v>
      </c>
    </row>
    <row r="712" spans="1:24" x14ac:dyDescent="0.25">
      <c r="A712" t="s">
        <v>1206</v>
      </c>
      <c r="B712" s="52">
        <v>45475</v>
      </c>
      <c r="C712" t="s">
        <v>592</v>
      </c>
      <c r="D712" t="s">
        <v>46</v>
      </c>
      <c r="E712" t="s">
        <v>32</v>
      </c>
      <c r="F712">
        <v>1650</v>
      </c>
      <c r="G712">
        <v>330</v>
      </c>
      <c r="H712">
        <v>20</v>
      </c>
      <c r="I712" s="1">
        <f t="shared" si="12"/>
        <v>10.89</v>
      </c>
      <c r="J712">
        <v>570.85</v>
      </c>
      <c r="K712" s="1">
        <v>816.75</v>
      </c>
      <c r="L712" s="1">
        <v>7033.31</v>
      </c>
      <c r="M712" s="1" t="s">
        <v>149</v>
      </c>
      <c r="N712" s="1"/>
      <c r="O712" s="1"/>
      <c r="P712" s="1"/>
      <c r="Q712" s="62"/>
      <c r="X712">
        <v>2024</v>
      </c>
    </row>
    <row r="713" spans="1:24" x14ac:dyDescent="0.25">
      <c r="A713" t="s">
        <v>1207</v>
      </c>
      <c r="B713" s="52">
        <v>45474</v>
      </c>
      <c r="C713" t="s">
        <v>289</v>
      </c>
      <c r="D713" t="s">
        <v>100</v>
      </c>
      <c r="E713" t="s">
        <v>37</v>
      </c>
      <c r="F713">
        <v>1000</v>
      </c>
      <c r="G713">
        <v>1000</v>
      </c>
      <c r="H713">
        <v>20</v>
      </c>
      <c r="I713" s="1">
        <f t="shared" si="12"/>
        <v>20</v>
      </c>
      <c r="J713">
        <v>438.23</v>
      </c>
      <c r="K713" s="1">
        <v>1500</v>
      </c>
      <c r="L713" s="1">
        <v>10484.6</v>
      </c>
      <c r="M713" s="1" t="s">
        <v>149</v>
      </c>
      <c r="N713" s="1"/>
      <c r="O713" s="1"/>
      <c r="P713" s="1" t="s">
        <v>149</v>
      </c>
      <c r="Q713" s="62">
        <v>45481</v>
      </c>
      <c r="X713">
        <v>2024</v>
      </c>
    </row>
    <row r="714" spans="1:24" x14ac:dyDescent="0.25">
      <c r="A714" t="s">
        <v>1208</v>
      </c>
      <c r="B714" s="52">
        <v>45474</v>
      </c>
      <c r="C714" t="s">
        <v>1209</v>
      </c>
      <c r="D714" t="s">
        <v>378</v>
      </c>
      <c r="E714" t="s">
        <v>27</v>
      </c>
      <c r="F714">
        <v>1000</v>
      </c>
      <c r="G714">
        <v>1000</v>
      </c>
      <c r="H714">
        <v>5</v>
      </c>
      <c r="I714" s="1">
        <f t="shared" si="12"/>
        <v>5</v>
      </c>
      <c r="J714">
        <v>400</v>
      </c>
      <c r="K714" s="1">
        <v>375</v>
      </c>
      <c r="L714" s="1">
        <v>2450</v>
      </c>
      <c r="M714" s="1" t="s">
        <v>149</v>
      </c>
      <c r="N714" s="1"/>
      <c r="O714" s="1"/>
      <c r="P714" s="1" t="s">
        <v>149</v>
      </c>
      <c r="Q714" s="62">
        <v>45587</v>
      </c>
      <c r="X714">
        <v>2024</v>
      </c>
    </row>
    <row r="715" spans="1:24" x14ac:dyDescent="0.25">
      <c r="A715" t="s">
        <v>1210</v>
      </c>
      <c r="B715" s="52">
        <v>45475</v>
      </c>
      <c r="C715" t="s">
        <v>1211</v>
      </c>
      <c r="D715" t="s">
        <v>46</v>
      </c>
      <c r="E715" t="s">
        <v>27</v>
      </c>
      <c r="F715">
        <v>1000</v>
      </c>
      <c r="G715">
        <v>1000</v>
      </c>
      <c r="H715">
        <v>5</v>
      </c>
      <c r="I715" s="1">
        <f t="shared" si="12"/>
        <v>5</v>
      </c>
      <c r="J715">
        <v>400</v>
      </c>
      <c r="K715" s="1">
        <v>375</v>
      </c>
      <c r="L715" s="1">
        <v>2500</v>
      </c>
      <c r="M715" s="1" t="s">
        <v>149</v>
      </c>
      <c r="N715" s="1"/>
      <c r="O715" s="1"/>
      <c r="P715" s="1"/>
      <c r="Q715" s="62"/>
      <c r="X715">
        <v>2024</v>
      </c>
    </row>
    <row r="716" spans="1:24" x14ac:dyDescent="0.25">
      <c r="A716" t="s">
        <v>1212</v>
      </c>
      <c r="B716" s="52">
        <v>45475</v>
      </c>
      <c r="C716" t="s">
        <v>508</v>
      </c>
      <c r="D716" t="s">
        <v>31</v>
      </c>
      <c r="E716" t="s">
        <v>32</v>
      </c>
      <c r="F716">
        <v>1508</v>
      </c>
      <c r="G716">
        <v>1508</v>
      </c>
      <c r="H716">
        <v>1200</v>
      </c>
      <c r="I716" s="1">
        <f t="shared" si="12"/>
        <v>2728.8768</v>
      </c>
      <c r="J716" s="1">
        <v>365.66</v>
      </c>
      <c r="K716" s="1">
        <v>68222</v>
      </c>
      <c r="L716" s="1">
        <v>1066064.26</v>
      </c>
      <c r="M716" s="1" t="s">
        <v>149</v>
      </c>
      <c r="N716" s="1"/>
      <c r="O716" s="1" t="s">
        <v>149</v>
      </c>
      <c r="P716" s="1"/>
      <c r="Q716" s="62"/>
      <c r="X716">
        <v>2024</v>
      </c>
    </row>
    <row r="717" spans="1:24" x14ac:dyDescent="0.25">
      <c r="A717" t="s">
        <v>1213</v>
      </c>
      <c r="B717" s="52">
        <v>45476</v>
      </c>
      <c r="C717" t="s">
        <v>45</v>
      </c>
      <c r="D717" t="s">
        <v>46</v>
      </c>
      <c r="E717" t="s">
        <v>37</v>
      </c>
      <c r="F717">
        <v>1000</v>
      </c>
      <c r="G717">
        <v>1000</v>
      </c>
      <c r="H717">
        <v>240</v>
      </c>
      <c r="I717" s="1">
        <f t="shared" si="12"/>
        <v>240</v>
      </c>
      <c r="J717" s="1">
        <v>352.3</v>
      </c>
      <c r="K717" s="1">
        <v>6000</v>
      </c>
      <c r="L717" s="1">
        <v>90552</v>
      </c>
      <c r="M717" s="1" t="s">
        <v>149</v>
      </c>
      <c r="N717" s="1"/>
      <c r="O717" s="1"/>
      <c r="P717" s="1" t="s">
        <v>149</v>
      </c>
      <c r="Q717" s="62">
        <v>45492</v>
      </c>
      <c r="X717">
        <v>2024</v>
      </c>
    </row>
    <row r="718" spans="1:24" x14ac:dyDescent="0.25">
      <c r="A718" t="s">
        <v>1214</v>
      </c>
      <c r="B718" s="52">
        <v>45476</v>
      </c>
      <c r="C718" t="s">
        <v>35</v>
      </c>
      <c r="D718" t="s">
        <v>36</v>
      </c>
      <c r="E718" t="s">
        <v>27</v>
      </c>
      <c r="F718">
        <v>245</v>
      </c>
      <c r="G718">
        <v>245</v>
      </c>
      <c r="H718">
        <v>720</v>
      </c>
      <c r="I718" s="1">
        <f t="shared" si="12"/>
        <v>43.218000000000004</v>
      </c>
      <c r="J718" s="1">
        <v>305.13</v>
      </c>
      <c r="K718" s="1">
        <v>2161</v>
      </c>
      <c r="L718" s="1">
        <v>15348.72</v>
      </c>
      <c r="M718" s="1" t="s">
        <v>149</v>
      </c>
      <c r="N718" s="1"/>
      <c r="O718" s="1"/>
      <c r="P718" s="1"/>
      <c r="Q718" s="62"/>
      <c r="X718">
        <v>2024</v>
      </c>
    </row>
    <row r="719" spans="1:24" x14ac:dyDescent="0.25">
      <c r="A719" t="s">
        <v>1215</v>
      </c>
      <c r="B719" s="52">
        <v>45476</v>
      </c>
      <c r="C719" t="s">
        <v>1216</v>
      </c>
      <c r="D719" t="s">
        <v>1217</v>
      </c>
      <c r="E719" t="s">
        <v>27</v>
      </c>
      <c r="F719">
        <v>1000</v>
      </c>
      <c r="G719">
        <v>1000</v>
      </c>
      <c r="H719">
        <v>5</v>
      </c>
      <c r="I719" s="1">
        <f t="shared" si="12"/>
        <v>5</v>
      </c>
      <c r="J719" s="1">
        <v>400</v>
      </c>
      <c r="K719" s="1">
        <v>375</v>
      </c>
      <c r="L719" s="1">
        <v>2450</v>
      </c>
      <c r="M719" s="1" t="s">
        <v>149</v>
      </c>
      <c r="N719" s="1"/>
      <c r="O719" s="1"/>
      <c r="P719" s="1"/>
      <c r="Q719" s="62"/>
      <c r="X719">
        <v>2024</v>
      </c>
    </row>
    <row r="720" spans="1:24" x14ac:dyDescent="0.25">
      <c r="A720" t="s">
        <v>1218</v>
      </c>
      <c r="B720" s="52">
        <v>45477</v>
      </c>
      <c r="C720" t="s">
        <v>1219</v>
      </c>
      <c r="D720" t="s">
        <v>276</v>
      </c>
      <c r="E720" t="s">
        <v>32</v>
      </c>
      <c r="F720">
        <v>1000</v>
      </c>
      <c r="G720">
        <v>1000</v>
      </c>
      <c r="H720">
        <v>5</v>
      </c>
      <c r="I720" s="1">
        <f t="shared" si="12"/>
        <v>5</v>
      </c>
      <c r="J720" s="1">
        <v>600</v>
      </c>
      <c r="K720" s="1">
        <v>375</v>
      </c>
      <c r="L720" s="1">
        <v>3650</v>
      </c>
      <c r="M720" s="1" t="s">
        <v>149</v>
      </c>
      <c r="N720" s="1"/>
      <c r="O720" s="1"/>
      <c r="P720" s="1"/>
      <c r="Q720" s="62"/>
      <c r="X720">
        <v>2024</v>
      </c>
    </row>
    <row r="721" spans="1:24" x14ac:dyDescent="0.25">
      <c r="A721" t="s">
        <v>1220</v>
      </c>
      <c r="B721" s="52">
        <v>45477</v>
      </c>
      <c r="C721" t="s">
        <v>1221</v>
      </c>
      <c r="D721" t="s">
        <v>57</v>
      </c>
      <c r="E721" t="s">
        <v>27</v>
      </c>
      <c r="F721">
        <v>1000</v>
      </c>
      <c r="G721">
        <v>1000</v>
      </c>
      <c r="H721">
        <v>15</v>
      </c>
      <c r="I721" s="1">
        <f t="shared" si="12"/>
        <v>15</v>
      </c>
      <c r="J721" s="1">
        <v>343.7</v>
      </c>
      <c r="K721" s="1">
        <v>1125</v>
      </c>
      <c r="L721" s="1">
        <v>6655.5</v>
      </c>
      <c r="M721" s="1" t="s">
        <v>149</v>
      </c>
      <c r="N721" s="1"/>
      <c r="O721" s="1"/>
      <c r="P721" s="1"/>
      <c r="Q721" s="62"/>
      <c r="X721">
        <v>2024</v>
      </c>
    </row>
    <row r="722" spans="1:24" x14ac:dyDescent="0.25">
      <c r="A722" t="s">
        <v>1222</v>
      </c>
      <c r="B722" s="52">
        <v>45481</v>
      </c>
      <c r="C722" t="s">
        <v>1223</v>
      </c>
      <c r="D722" t="s">
        <v>31</v>
      </c>
      <c r="E722" t="s">
        <v>27</v>
      </c>
      <c r="F722">
        <v>631</v>
      </c>
      <c r="G722">
        <v>631</v>
      </c>
      <c r="H722">
        <v>120</v>
      </c>
      <c r="I722" s="1">
        <f t="shared" si="12"/>
        <v>47.779319999999998</v>
      </c>
      <c r="J722" s="1">
        <v>302.5</v>
      </c>
      <c r="K722" s="1">
        <v>2389</v>
      </c>
      <c r="L722" s="1">
        <v>16892</v>
      </c>
      <c r="M722" s="1" t="s">
        <v>149</v>
      </c>
      <c r="N722" s="1"/>
      <c r="O722" s="1"/>
      <c r="P722" s="1" t="s">
        <v>149</v>
      </c>
      <c r="Q722" s="62">
        <v>45489</v>
      </c>
      <c r="X722">
        <v>2024</v>
      </c>
    </row>
    <row r="723" spans="1:24" x14ac:dyDescent="0.25">
      <c r="A723" t="s">
        <v>1224</v>
      </c>
      <c r="B723" s="52">
        <v>45482</v>
      </c>
      <c r="C723" t="s">
        <v>1225</v>
      </c>
      <c r="D723" t="s">
        <v>36</v>
      </c>
      <c r="E723" t="s">
        <v>27</v>
      </c>
      <c r="F723">
        <v>1000</v>
      </c>
      <c r="G723">
        <v>1000</v>
      </c>
      <c r="H723">
        <v>5</v>
      </c>
      <c r="I723" s="1">
        <f t="shared" si="12"/>
        <v>5</v>
      </c>
      <c r="J723">
        <v>400</v>
      </c>
      <c r="K723" s="1">
        <v>375</v>
      </c>
      <c r="L723" s="1">
        <v>2450</v>
      </c>
      <c r="M723" s="1" t="s">
        <v>149</v>
      </c>
      <c r="N723" s="1"/>
      <c r="O723" s="1"/>
      <c r="P723" s="1"/>
      <c r="Q723" s="62"/>
      <c r="X723">
        <v>2024</v>
      </c>
    </row>
    <row r="724" spans="1:24" x14ac:dyDescent="0.25">
      <c r="A724" t="s">
        <v>1226</v>
      </c>
      <c r="B724" s="52">
        <v>45482</v>
      </c>
      <c r="C724" t="s">
        <v>1225</v>
      </c>
      <c r="D724" t="s">
        <v>36</v>
      </c>
      <c r="E724" t="s">
        <v>37</v>
      </c>
      <c r="F724">
        <v>1000</v>
      </c>
      <c r="G724">
        <v>1000</v>
      </c>
      <c r="H724">
        <v>5</v>
      </c>
      <c r="I724" s="1">
        <f t="shared" si="12"/>
        <v>5</v>
      </c>
      <c r="J724">
        <v>500</v>
      </c>
      <c r="K724" s="1">
        <v>375</v>
      </c>
      <c r="L724" s="1">
        <v>2950</v>
      </c>
      <c r="M724" s="1" t="s">
        <v>149</v>
      </c>
      <c r="N724" s="1"/>
      <c r="O724" s="1"/>
      <c r="P724" s="1"/>
      <c r="Q724" s="62"/>
      <c r="X724">
        <v>2024</v>
      </c>
    </row>
    <row r="725" spans="1:24" x14ac:dyDescent="0.25">
      <c r="A725" t="s">
        <v>1227</v>
      </c>
      <c r="B725" s="52">
        <v>45482</v>
      </c>
      <c r="C725" t="s">
        <v>1225</v>
      </c>
      <c r="D725" t="s">
        <v>36</v>
      </c>
      <c r="E725" t="s">
        <v>32</v>
      </c>
      <c r="F725">
        <v>1000</v>
      </c>
      <c r="G725">
        <v>1000</v>
      </c>
      <c r="H725">
        <v>5</v>
      </c>
      <c r="I725" s="1">
        <f t="shared" si="12"/>
        <v>5</v>
      </c>
      <c r="J725">
        <v>600</v>
      </c>
      <c r="K725" s="1">
        <v>375</v>
      </c>
      <c r="L725" s="1">
        <v>3650</v>
      </c>
      <c r="M725" s="1" t="s">
        <v>149</v>
      </c>
      <c r="N725" s="1"/>
      <c r="O725" s="1"/>
      <c r="P725" s="1"/>
      <c r="Q725" s="62"/>
      <c r="X725">
        <v>2024</v>
      </c>
    </row>
    <row r="726" spans="1:24" x14ac:dyDescent="0.25">
      <c r="A726" t="s">
        <v>1228</v>
      </c>
      <c r="B726" s="52">
        <v>45488</v>
      </c>
      <c r="C726" t="s">
        <v>1083</v>
      </c>
      <c r="D726" t="s">
        <v>276</v>
      </c>
      <c r="E726" t="s">
        <v>32</v>
      </c>
      <c r="F726">
        <v>1420</v>
      </c>
      <c r="G726">
        <v>720</v>
      </c>
      <c r="H726">
        <v>20</v>
      </c>
      <c r="I726" s="1">
        <f t="shared" si="12"/>
        <v>20.448</v>
      </c>
      <c r="J726" s="1">
        <v>541.96</v>
      </c>
      <c r="K726" s="1">
        <v>1500</v>
      </c>
      <c r="L726" s="1">
        <v>12637.47</v>
      </c>
      <c r="M726" s="1" t="s">
        <v>149</v>
      </c>
      <c r="N726" s="1"/>
      <c r="O726" s="1"/>
      <c r="P726" s="1" t="s">
        <v>149</v>
      </c>
      <c r="Q726" s="62">
        <v>45489</v>
      </c>
      <c r="X726">
        <v>2024</v>
      </c>
    </row>
    <row r="727" spans="1:24" x14ac:dyDescent="0.25">
      <c r="A727" t="s">
        <v>1229</v>
      </c>
      <c r="B727" s="52">
        <v>45489</v>
      </c>
      <c r="C727" t="s">
        <v>1230</v>
      </c>
      <c r="D727" t="s">
        <v>57</v>
      </c>
      <c r="E727" t="s">
        <v>37</v>
      </c>
      <c r="F727">
        <v>1000</v>
      </c>
      <c r="G727">
        <v>1000</v>
      </c>
      <c r="H727">
        <v>5</v>
      </c>
      <c r="I727" s="1">
        <v>5</v>
      </c>
      <c r="J727" s="1">
        <v>500</v>
      </c>
      <c r="K727" s="1">
        <v>375</v>
      </c>
      <c r="L727" s="1">
        <v>3000</v>
      </c>
      <c r="M727" s="1" t="s">
        <v>149</v>
      </c>
      <c r="N727" s="1"/>
      <c r="O727" s="1"/>
      <c r="P727" s="1" t="s">
        <v>149</v>
      </c>
      <c r="Q727" s="62"/>
      <c r="X727">
        <v>2024</v>
      </c>
    </row>
    <row r="728" spans="1:24" x14ac:dyDescent="0.25">
      <c r="A728" t="s">
        <v>1231</v>
      </c>
      <c r="B728" s="52">
        <v>45489</v>
      </c>
      <c r="C728" t="s">
        <v>1232</v>
      </c>
      <c r="D728" t="s">
        <v>31</v>
      </c>
      <c r="E728" t="s">
        <v>27</v>
      </c>
      <c r="F728">
        <v>390</v>
      </c>
      <c r="G728">
        <v>390</v>
      </c>
      <c r="H728">
        <v>132</v>
      </c>
      <c r="I728" s="1">
        <f t="shared" ref="I728:I744" si="13">$F728*$G728*$H728/1000000</f>
        <v>20.077200000000001</v>
      </c>
      <c r="J728">
        <v>336.88</v>
      </c>
      <c r="K728" s="1">
        <v>1003.7</v>
      </c>
      <c r="L728" s="1">
        <v>7764.7</v>
      </c>
      <c r="M728" s="1" t="s">
        <v>149</v>
      </c>
      <c r="N728" s="1"/>
      <c r="O728" s="1"/>
      <c r="P728" s="1" t="s">
        <v>149</v>
      </c>
      <c r="Q728" s="62">
        <v>45498</v>
      </c>
      <c r="X728">
        <v>2024</v>
      </c>
    </row>
    <row r="729" spans="1:24" x14ac:dyDescent="0.25">
      <c r="A729" t="s">
        <v>1233</v>
      </c>
      <c r="B729" s="52">
        <v>45490</v>
      </c>
      <c r="C729" t="s">
        <v>1234</v>
      </c>
      <c r="D729" t="s">
        <v>263</v>
      </c>
      <c r="E729" t="s">
        <v>27</v>
      </c>
      <c r="F729">
        <v>1240</v>
      </c>
      <c r="G729">
        <v>1100</v>
      </c>
      <c r="H729">
        <v>15</v>
      </c>
      <c r="I729" s="1">
        <f t="shared" si="13"/>
        <v>20.46</v>
      </c>
      <c r="J729">
        <v>335.76</v>
      </c>
      <c r="K729" s="1">
        <v>1500</v>
      </c>
      <c r="L729" s="1">
        <v>8774.65</v>
      </c>
      <c r="M729" s="1" t="s">
        <v>149</v>
      </c>
      <c r="N729" s="1"/>
      <c r="O729" s="1"/>
      <c r="P729" s="1"/>
      <c r="Q729" s="62"/>
      <c r="X729">
        <v>2024</v>
      </c>
    </row>
    <row r="730" spans="1:24" x14ac:dyDescent="0.25">
      <c r="A730" t="s">
        <v>1235</v>
      </c>
      <c r="B730" s="52">
        <v>45490</v>
      </c>
      <c r="C730" t="s">
        <v>1236</v>
      </c>
      <c r="D730" t="s">
        <v>100</v>
      </c>
      <c r="E730" t="s">
        <v>37</v>
      </c>
      <c r="F730">
        <v>500</v>
      </c>
      <c r="G730">
        <v>500</v>
      </c>
      <c r="H730">
        <v>400</v>
      </c>
      <c r="I730" s="1">
        <f t="shared" si="13"/>
        <v>100</v>
      </c>
      <c r="J730">
        <v>376.36</v>
      </c>
      <c r="K730" s="1">
        <v>2500</v>
      </c>
      <c r="L730" s="1">
        <v>40581</v>
      </c>
      <c r="M730" s="1" t="s">
        <v>149</v>
      </c>
      <c r="N730" s="1"/>
      <c r="O730" s="1"/>
      <c r="P730" s="1"/>
      <c r="Q730" s="62"/>
      <c r="X730">
        <v>2024</v>
      </c>
    </row>
    <row r="731" spans="1:24" x14ac:dyDescent="0.25">
      <c r="A731" t="s">
        <v>1237</v>
      </c>
      <c r="B731" s="52">
        <v>45495</v>
      </c>
      <c r="C731" t="s">
        <v>1238</v>
      </c>
      <c r="D731" t="s">
        <v>176</v>
      </c>
      <c r="E731" t="s">
        <v>27</v>
      </c>
      <c r="F731">
        <v>800</v>
      </c>
      <c r="G731">
        <v>1200</v>
      </c>
      <c r="H731">
        <v>67</v>
      </c>
      <c r="I731" s="1">
        <f t="shared" si="13"/>
        <v>64.319999999999993</v>
      </c>
      <c r="J731">
        <v>296.10000000000002</v>
      </c>
      <c r="K731" s="1">
        <v>2500</v>
      </c>
      <c r="L731" s="1">
        <v>21930</v>
      </c>
      <c r="M731" s="1" t="s">
        <v>149</v>
      </c>
      <c r="N731" s="1"/>
      <c r="O731" s="1"/>
      <c r="P731" s="1"/>
      <c r="Q731" s="62"/>
      <c r="X731">
        <v>2024</v>
      </c>
    </row>
    <row r="732" spans="1:24" x14ac:dyDescent="0.25">
      <c r="A732" t="s">
        <v>1239</v>
      </c>
      <c r="B732" s="52">
        <v>45495</v>
      </c>
      <c r="C732" t="s">
        <v>255</v>
      </c>
      <c r="D732" t="s">
        <v>256</v>
      </c>
      <c r="E732" t="s">
        <v>32</v>
      </c>
      <c r="F732">
        <v>1000</v>
      </c>
      <c r="G732">
        <v>1000</v>
      </c>
      <c r="H732">
        <v>50</v>
      </c>
      <c r="I732" s="1">
        <f t="shared" si="13"/>
        <v>50</v>
      </c>
      <c r="J732">
        <v>486.47</v>
      </c>
      <c r="K732" s="1">
        <v>2500</v>
      </c>
      <c r="L732" s="1">
        <v>26823.5</v>
      </c>
      <c r="M732" s="1" t="s">
        <v>149</v>
      </c>
      <c r="N732" s="1"/>
      <c r="O732" s="1"/>
      <c r="P732" s="1"/>
      <c r="Q732" s="62"/>
      <c r="X732">
        <v>2024</v>
      </c>
    </row>
    <row r="733" spans="1:24" x14ac:dyDescent="0.25">
      <c r="A733" t="s">
        <v>1240</v>
      </c>
      <c r="B733" s="52">
        <v>45491</v>
      </c>
      <c r="C733" t="s">
        <v>1241</v>
      </c>
      <c r="D733" t="s">
        <v>83</v>
      </c>
      <c r="E733" t="s">
        <v>32</v>
      </c>
      <c r="F733">
        <v>1000</v>
      </c>
      <c r="G733">
        <v>1000</v>
      </c>
      <c r="H733">
        <v>5</v>
      </c>
      <c r="I733" s="1">
        <f t="shared" si="13"/>
        <v>5</v>
      </c>
      <c r="J733">
        <v>600</v>
      </c>
      <c r="K733" s="1">
        <v>375</v>
      </c>
      <c r="L733" s="1">
        <v>3650</v>
      </c>
      <c r="M733" s="1" t="s">
        <v>149</v>
      </c>
      <c r="N733" s="1"/>
      <c r="O733" s="1"/>
      <c r="P733" s="1"/>
      <c r="Q733" s="62"/>
      <c r="X733">
        <v>2024</v>
      </c>
    </row>
    <row r="734" spans="1:24" x14ac:dyDescent="0.25">
      <c r="A734" t="s">
        <v>1242</v>
      </c>
      <c r="B734" s="52">
        <v>45492</v>
      </c>
      <c r="C734" t="s">
        <v>1243</v>
      </c>
      <c r="D734" t="s">
        <v>100</v>
      </c>
      <c r="E734" t="s">
        <v>27</v>
      </c>
      <c r="F734">
        <v>1000</v>
      </c>
      <c r="G734">
        <v>1000</v>
      </c>
      <c r="H734">
        <v>5</v>
      </c>
      <c r="I734" s="1">
        <f t="shared" si="13"/>
        <v>5</v>
      </c>
      <c r="J734">
        <v>400</v>
      </c>
      <c r="K734" s="1">
        <v>375</v>
      </c>
      <c r="L734" s="1">
        <v>2500</v>
      </c>
      <c r="M734" s="1" t="s">
        <v>149</v>
      </c>
      <c r="N734" s="1"/>
      <c r="O734" s="1"/>
      <c r="P734" s="1"/>
      <c r="Q734" s="62"/>
      <c r="X734">
        <v>2024</v>
      </c>
    </row>
    <row r="735" spans="1:24" x14ac:dyDescent="0.25">
      <c r="A735" t="s">
        <v>1244</v>
      </c>
      <c r="B735" s="52">
        <v>45492</v>
      </c>
      <c r="C735" t="s">
        <v>35</v>
      </c>
      <c r="D735" t="s">
        <v>36</v>
      </c>
      <c r="E735" t="s">
        <v>27</v>
      </c>
      <c r="F735">
        <v>245</v>
      </c>
      <c r="G735">
        <v>245</v>
      </c>
      <c r="H735">
        <v>1440</v>
      </c>
      <c r="I735" s="1">
        <f t="shared" si="13"/>
        <v>86.436000000000007</v>
      </c>
      <c r="J735">
        <v>291.38</v>
      </c>
      <c r="K735" s="1">
        <v>4322</v>
      </c>
      <c r="L735" s="1">
        <v>29508.03</v>
      </c>
      <c r="M735" s="1" t="s">
        <v>149</v>
      </c>
      <c r="N735" s="1"/>
      <c r="O735" s="1"/>
      <c r="P735" s="1" t="s">
        <v>149</v>
      </c>
      <c r="Q735" s="62">
        <v>45495</v>
      </c>
      <c r="X735">
        <v>2024</v>
      </c>
    </row>
    <row r="736" spans="1:24" x14ac:dyDescent="0.25">
      <c r="A736" t="s">
        <v>1245</v>
      </c>
      <c r="B736" s="52">
        <v>45495</v>
      </c>
      <c r="C736" t="s">
        <v>1246</v>
      </c>
      <c r="D736" t="s">
        <v>57</v>
      </c>
      <c r="E736" t="s">
        <v>27</v>
      </c>
      <c r="F736">
        <v>1000</v>
      </c>
      <c r="G736">
        <v>1000</v>
      </c>
      <c r="H736">
        <v>5</v>
      </c>
      <c r="I736" s="1">
        <f t="shared" si="13"/>
        <v>5</v>
      </c>
      <c r="J736">
        <v>400</v>
      </c>
      <c r="K736" s="1">
        <v>375</v>
      </c>
      <c r="L736" s="1">
        <v>2500</v>
      </c>
      <c r="M736" s="1" t="s">
        <v>149</v>
      </c>
      <c r="N736" s="1"/>
      <c r="O736" s="1"/>
      <c r="P736" s="1"/>
      <c r="Q736" s="62"/>
      <c r="X736">
        <v>2024</v>
      </c>
    </row>
    <row r="737" spans="1:24" x14ac:dyDescent="0.25">
      <c r="A737" t="s">
        <v>1247</v>
      </c>
      <c r="B737" s="52">
        <v>45495</v>
      </c>
      <c r="C737" t="s">
        <v>1248</v>
      </c>
      <c r="D737" t="s">
        <v>100</v>
      </c>
      <c r="E737" t="s">
        <v>37</v>
      </c>
      <c r="F737">
        <v>1000</v>
      </c>
      <c r="G737">
        <v>1000</v>
      </c>
      <c r="H737">
        <v>5</v>
      </c>
      <c r="I737" s="1">
        <f t="shared" si="13"/>
        <v>5</v>
      </c>
      <c r="J737" s="1">
        <v>500</v>
      </c>
      <c r="K737" s="1">
        <v>375</v>
      </c>
      <c r="L737" s="1">
        <v>3000</v>
      </c>
      <c r="M737" s="1" t="s">
        <v>149</v>
      </c>
      <c r="N737" s="1"/>
      <c r="O737" s="1"/>
      <c r="P737" s="1"/>
      <c r="Q737" s="62"/>
      <c r="X737">
        <v>2024</v>
      </c>
    </row>
    <row r="738" spans="1:24" x14ac:dyDescent="0.25">
      <c r="A738" t="s">
        <v>1249</v>
      </c>
      <c r="B738" s="52">
        <v>45495</v>
      </c>
      <c r="C738" t="s">
        <v>1248</v>
      </c>
      <c r="D738" t="s">
        <v>100</v>
      </c>
      <c r="E738" t="s">
        <v>32</v>
      </c>
      <c r="F738">
        <v>1000</v>
      </c>
      <c r="G738">
        <v>1000</v>
      </c>
      <c r="H738">
        <v>5</v>
      </c>
      <c r="I738" s="1">
        <f t="shared" si="13"/>
        <v>5</v>
      </c>
      <c r="J738">
        <v>600</v>
      </c>
      <c r="K738" s="1">
        <v>375</v>
      </c>
      <c r="L738" s="1">
        <v>3650</v>
      </c>
      <c r="M738" s="1" t="s">
        <v>149</v>
      </c>
      <c r="N738" s="1"/>
      <c r="O738" s="1"/>
      <c r="P738" s="1"/>
      <c r="Q738" s="62"/>
      <c r="X738">
        <v>2024</v>
      </c>
    </row>
    <row r="739" spans="1:24" x14ac:dyDescent="0.25">
      <c r="A739" t="s">
        <v>1250</v>
      </c>
      <c r="B739" s="52">
        <v>45495</v>
      </c>
      <c r="C739" t="s">
        <v>1251</v>
      </c>
      <c r="D739" t="s">
        <v>1252</v>
      </c>
      <c r="E739" t="s">
        <v>27</v>
      </c>
      <c r="F739">
        <v>1000</v>
      </c>
      <c r="G739">
        <v>1000</v>
      </c>
      <c r="H739">
        <v>5</v>
      </c>
      <c r="I739" s="1">
        <f t="shared" si="13"/>
        <v>5</v>
      </c>
      <c r="J739">
        <v>400</v>
      </c>
      <c r="K739" s="1">
        <v>375</v>
      </c>
      <c r="L739" s="1">
        <v>2450</v>
      </c>
      <c r="M739" s="1" t="s">
        <v>149</v>
      </c>
      <c r="N739" s="1"/>
      <c r="O739" s="1"/>
      <c r="P739" s="1" t="s">
        <v>149</v>
      </c>
      <c r="Q739" s="62">
        <v>45510</v>
      </c>
      <c r="X739">
        <v>2024</v>
      </c>
    </row>
    <row r="740" spans="1:24" x14ac:dyDescent="0.25">
      <c r="A740" t="s">
        <v>1253</v>
      </c>
      <c r="B740" s="52">
        <v>45495</v>
      </c>
      <c r="C740" t="s">
        <v>255</v>
      </c>
      <c r="D740" t="s">
        <v>83</v>
      </c>
      <c r="E740" t="s">
        <v>37</v>
      </c>
      <c r="F740">
        <v>945</v>
      </c>
      <c r="G740">
        <v>945</v>
      </c>
      <c r="H740">
        <v>60</v>
      </c>
      <c r="I740" s="1">
        <f t="shared" si="13"/>
        <v>53.581499999999998</v>
      </c>
      <c r="J740">
        <v>389.75</v>
      </c>
      <c r="K740" s="1">
        <v>2500</v>
      </c>
      <c r="L740" s="1">
        <v>23382.799999999999</v>
      </c>
      <c r="M740" s="1" t="s">
        <v>149</v>
      </c>
      <c r="N740" s="1"/>
      <c r="O740" s="1"/>
      <c r="P740" s="1"/>
      <c r="Q740" s="62"/>
      <c r="X740">
        <v>2024</v>
      </c>
    </row>
    <row r="741" spans="1:24" x14ac:dyDescent="0.25">
      <c r="A741" t="s">
        <v>1254</v>
      </c>
      <c r="B741" s="52">
        <v>45130</v>
      </c>
      <c r="C741" t="s">
        <v>1248</v>
      </c>
      <c r="D741" t="s">
        <v>100</v>
      </c>
      <c r="E741" t="s">
        <v>27</v>
      </c>
      <c r="F741">
        <v>1000</v>
      </c>
      <c r="G741">
        <v>1000</v>
      </c>
      <c r="H741">
        <v>5</v>
      </c>
      <c r="I741" s="1">
        <f t="shared" si="13"/>
        <v>5</v>
      </c>
      <c r="J741">
        <v>400</v>
      </c>
      <c r="K741" s="1">
        <v>375</v>
      </c>
      <c r="L741" s="1">
        <v>2500</v>
      </c>
      <c r="M741" s="1" t="s">
        <v>149</v>
      </c>
      <c r="N741" s="1"/>
      <c r="O741" s="1"/>
      <c r="P741" s="1"/>
      <c r="Q741" s="62"/>
      <c r="X741">
        <v>2024</v>
      </c>
    </row>
    <row r="742" spans="1:24" x14ac:dyDescent="0.25">
      <c r="A742" t="s">
        <v>1255</v>
      </c>
      <c r="B742" s="52">
        <v>45496</v>
      </c>
      <c r="C742" t="s">
        <v>1256</v>
      </c>
      <c r="D742" t="s">
        <v>187</v>
      </c>
      <c r="E742" t="s">
        <v>27</v>
      </c>
      <c r="F742">
        <v>1400</v>
      </c>
      <c r="G742">
        <v>1400</v>
      </c>
      <c r="H742">
        <v>110</v>
      </c>
      <c r="I742" s="1">
        <f t="shared" si="13"/>
        <v>215.6</v>
      </c>
      <c r="J742" s="1">
        <v>272.5</v>
      </c>
      <c r="K742" s="1">
        <v>5390</v>
      </c>
      <c r="L742" s="1">
        <v>64141</v>
      </c>
      <c r="M742" s="1" t="s">
        <v>149</v>
      </c>
      <c r="N742" s="1"/>
      <c r="O742" s="1"/>
      <c r="P742" s="1"/>
      <c r="Q742" s="62"/>
      <c r="X742">
        <v>2024</v>
      </c>
    </row>
    <row r="743" spans="1:24" x14ac:dyDescent="0.25">
      <c r="A743" t="s">
        <v>1257</v>
      </c>
      <c r="B743" s="52">
        <v>45496</v>
      </c>
      <c r="C743" t="s">
        <v>1256</v>
      </c>
      <c r="D743" t="s">
        <v>187</v>
      </c>
      <c r="E743" t="s">
        <v>37</v>
      </c>
      <c r="F743">
        <v>1400</v>
      </c>
      <c r="G743">
        <v>1400</v>
      </c>
      <c r="H743">
        <v>110</v>
      </c>
      <c r="I743" s="1">
        <f t="shared" si="13"/>
        <v>215.6</v>
      </c>
      <c r="J743" s="1">
        <v>354.23</v>
      </c>
      <c r="K743" s="1">
        <v>5390</v>
      </c>
      <c r="L743" s="1">
        <v>81761.98</v>
      </c>
      <c r="M743" s="1" t="s">
        <v>149</v>
      </c>
      <c r="N743" s="1"/>
      <c r="O743" s="1"/>
      <c r="P743" s="1"/>
      <c r="Q743" s="62"/>
      <c r="X743">
        <v>2024</v>
      </c>
    </row>
    <row r="744" spans="1:24" x14ac:dyDescent="0.25">
      <c r="A744" t="s">
        <v>1258</v>
      </c>
      <c r="B744" s="52">
        <v>45496</v>
      </c>
      <c r="C744" t="s">
        <v>1256</v>
      </c>
      <c r="D744" t="s">
        <v>187</v>
      </c>
      <c r="E744" t="s">
        <v>32</v>
      </c>
      <c r="F744">
        <v>1400</v>
      </c>
      <c r="G744">
        <v>1400</v>
      </c>
      <c r="H744">
        <v>110</v>
      </c>
      <c r="I744" s="1">
        <f t="shared" si="13"/>
        <v>215.6</v>
      </c>
      <c r="J744" s="1">
        <v>439.81</v>
      </c>
      <c r="K744" s="1">
        <v>5390</v>
      </c>
      <c r="L744" s="1">
        <v>100213.03</v>
      </c>
      <c r="M744" s="1" t="s">
        <v>149</v>
      </c>
      <c r="N744" s="1"/>
      <c r="O744" s="1"/>
      <c r="P744" s="1"/>
      <c r="Q744" s="62"/>
      <c r="X744">
        <v>2024</v>
      </c>
    </row>
    <row r="745" spans="1:24" x14ac:dyDescent="0.25">
      <c r="A745" t="s">
        <v>1259</v>
      </c>
      <c r="B745" s="52">
        <v>45496</v>
      </c>
      <c r="C745" t="s">
        <v>1999</v>
      </c>
      <c r="D745" t="s">
        <v>31</v>
      </c>
      <c r="E745" t="s">
        <v>32</v>
      </c>
      <c r="F745">
        <v>1000</v>
      </c>
      <c r="G745">
        <v>1000</v>
      </c>
      <c r="H745">
        <v>5</v>
      </c>
      <c r="I745" s="1">
        <v>5</v>
      </c>
      <c r="J745" s="1">
        <v>600</v>
      </c>
      <c r="K745" s="1">
        <v>375</v>
      </c>
      <c r="L745" s="1">
        <v>3650</v>
      </c>
      <c r="M745" s="1" t="s">
        <v>149</v>
      </c>
      <c r="N745" s="1"/>
      <c r="O745" s="1"/>
      <c r="P745" s="1"/>
      <c r="Q745" s="62"/>
      <c r="X745">
        <v>2024</v>
      </c>
    </row>
    <row r="746" spans="1:24" x14ac:dyDescent="0.25">
      <c r="A746" t="s">
        <v>1260</v>
      </c>
      <c r="B746" s="52">
        <v>45496</v>
      </c>
      <c r="C746" t="s">
        <v>1261</v>
      </c>
      <c r="D746" t="s">
        <v>525</v>
      </c>
      <c r="E746" t="s">
        <v>37</v>
      </c>
      <c r="F746">
        <v>1000</v>
      </c>
      <c r="G746">
        <v>1000</v>
      </c>
      <c r="H746">
        <v>10</v>
      </c>
      <c r="I746" s="1">
        <f t="shared" ref="I746:I789" si="14">$F746*$G746*$H746/1000000</f>
        <v>10</v>
      </c>
      <c r="J746" s="1">
        <v>464</v>
      </c>
      <c r="K746" s="1">
        <v>750</v>
      </c>
      <c r="L746" s="1">
        <v>5540</v>
      </c>
      <c r="M746" s="1" t="s">
        <v>149</v>
      </c>
      <c r="N746" s="1"/>
      <c r="O746" s="1"/>
      <c r="P746" s="1"/>
      <c r="Q746" s="62"/>
      <c r="X746">
        <v>2024</v>
      </c>
    </row>
    <row r="747" spans="1:24" x14ac:dyDescent="0.25">
      <c r="A747" t="s">
        <v>1262</v>
      </c>
      <c r="B747" s="52">
        <v>45496</v>
      </c>
      <c r="C747" t="s">
        <v>1263</v>
      </c>
      <c r="D747" t="s">
        <v>36</v>
      </c>
      <c r="E747" t="s">
        <v>32</v>
      </c>
      <c r="F747">
        <v>1000</v>
      </c>
      <c r="G747">
        <v>1250</v>
      </c>
      <c r="H747">
        <v>16</v>
      </c>
      <c r="I747" s="1">
        <f t="shared" si="14"/>
        <v>20</v>
      </c>
      <c r="J747" s="6">
        <v>496.07</v>
      </c>
      <c r="K747" s="1">
        <v>1500</v>
      </c>
      <c r="L747" s="1">
        <v>11421.4</v>
      </c>
      <c r="M747" s="1" t="s">
        <v>449</v>
      </c>
      <c r="N747" s="1" t="s">
        <v>33</v>
      </c>
      <c r="O747" s="1"/>
      <c r="P747" s="44" t="s">
        <v>149</v>
      </c>
      <c r="Q747" s="62">
        <v>45509</v>
      </c>
      <c r="X747">
        <v>2024</v>
      </c>
    </row>
    <row r="748" spans="1:24" x14ac:dyDescent="0.25">
      <c r="A748" t="s">
        <v>1264</v>
      </c>
      <c r="B748" s="52">
        <v>45497</v>
      </c>
      <c r="C748" t="s">
        <v>1265</v>
      </c>
      <c r="D748" t="s">
        <v>42</v>
      </c>
      <c r="E748" t="s">
        <v>27</v>
      </c>
      <c r="F748">
        <v>379</v>
      </c>
      <c r="G748">
        <v>379</v>
      </c>
      <c r="H748">
        <v>40</v>
      </c>
      <c r="I748" s="1">
        <f t="shared" si="14"/>
        <v>5.7456399999999999</v>
      </c>
      <c r="J748" s="1">
        <v>386.24</v>
      </c>
      <c r="K748" s="1">
        <v>431.25</v>
      </c>
      <c r="L748" s="1">
        <v>2652.13</v>
      </c>
      <c r="M748" s="1" t="s">
        <v>149</v>
      </c>
      <c r="N748" s="1"/>
      <c r="O748" s="1"/>
      <c r="P748" s="44" t="s">
        <v>149</v>
      </c>
      <c r="Q748" s="62">
        <v>45525</v>
      </c>
      <c r="X748">
        <v>2024</v>
      </c>
    </row>
    <row r="749" spans="1:24" x14ac:dyDescent="0.25">
      <c r="A749" t="s">
        <v>1266</v>
      </c>
      <c r="B749" s="52">
        <v>45497</v>
      </c>
      <c r="C749" t="s">
        <v>1265</v>
      </c>
      <c r="D749" t="s">
        <v>42</v>
      </c>
      <c r="E749" t="s">
        <v>37</v>
      </c>
      <c r="F749">
        <v>379</v>
      </c>
      <c r="G749">
        <v>379</v>
      </c>
      <c r="H749">
        <v>40</v>
      </c>
      <c r="I749" s="1">
        <f t="shared" si="14"/>
        <v>5.7456399999999999</v>
      </c>
      <c r="J749" s="1">
        <v>502.09</v>
      </c>
      <c r="K749" s="1">
        <v>431.25</v>
      </c>
      <c r="L749" s="1">
        <v>3318.27</v>
      </c>
      <c r="M749" s="1" t="s">
        <v>149</v>
      </c>
      <c r="N749" s="1"/>
      <c r="O749" s="1"/>
      <c r="P749" s="44" t="s">
        <v>149</v>
      </c>
      <c r="Q749" s="62">
        <v>45525</v>
      </c>
      <c r="X749">
        <v>2024</v>
      </c>
    </row>
    <row r="750" spans="1:24" x14ac:dyDescent="0.25">
      <c r="A750" t="s">
        <v>1267</v>
      </c>
      <c r="B750" s="52">
        <v>45497</v>
      </c>
      <c r="C750" t="s">
        <v>1265</v>
      </c>
      <c r="D750" t="s">
        <v>42</v>
      </c>
      <c r="E750" t="s">
        <v>32</v>
      </c>
      <c r="F750">
        <v>379</v>
      </c>
      <c r="G750">
        <v>379</v>
      </c>
      <c r="H750">
        <v>40</v>
      </c>
      <c r="I750" s="1">
        <f t="shared" si="14"/>
        <v>5.7456399999999999</v>
      </c>
      <c r="J750" s="1">
        <v>623.39</v>
      </c>
      <c r="K750" s="1">
        <v>431.25</v>
      </c>
      <c r="L750" s="1">
        <v>4015.74</v>
      </c>
      <c r="M750" s="1" t="s">
        <v>149</v>
      </c>
      <c r="N750" s="1"/>
      <c r="O750" s="1"/>
      <c r="P750" s="44" t="s">
        <v>149</v>
      </c>
      <c r="Q750" s="62">
        <v>45525</v>
      </c>
      <c r="X750">
        <v>2024</v>
      </c>
    </row>
    <row r="751" spans="1:24" x14ac:dyDescent="0.25">
      <c r="A751" t="s">
        <v>1268</v>
      </c>
      <c r="B751" s="52">
        <v>45497</v>
      </c>
      <c r="C751" t="s">
        <v>1269</v>
      </c>
      <c r="D751" t="s">
        <v>138</v>
      </c>
      <c r="E751" t="s">
        <v>32</v>
      </c>
      <c r="F751">
        <v>377</v>
      </c>
      <c r="G751">
        <v>377</v>
      </c>
      <c r="H751">
        <v>141</v>
      </c>
      <c r="I751" s="1">
        <f t="shared" si="14"/>
        <v>20.040189000000002</v>
      </c>
      <c r="J751" s="1">
        <v>543.88</v>
      </c>
      <c r="K751" s="1">
        <v>1500</v>
      </c>
      <c r="L751" s="1">
        <v>12399.36</v>
      </c>
      <c r="M751" s="1" t="s">
        <v>149</v>
      </c>
      <c r="N751" s="1"/>
      <c r="O751" s="1"/>
      <c r="P751" s="1"/>
      <c r="Q751" s="62"/>
      <c r="X751">
        <v>2024</v>
      </c>
    </row>
    <row r="752" spans="1:24" x14ac:dyDescent="0.25">
      <c r="A752" t="s">
        <v>1270</v>
      </c>
      <c r="B752" s="52">
        <v>45497</v>
      </c>
      <c r="C752" t="s">
        <v>1269</v>
      </c>
      <c r="D752" t="s">
        <v>138</v>
      </c>
      <c r="E752" t="s">
        <v>27</v>
      </c>
      <c r="F752">
        <v>377</v>
      </c>
      <c r="G752">
        <v>377</v>
      </c>
      <c r="H752">
        <v>141</v>
      </c>
      <c r="I752" s="1">
        <f t="shared" si="14"/>
        <v>20.040189000000002</v>
      </c>
      <c r="J752" s="1">
        <v>336.97</v>
      </c>
      <c r="K752" s="1">
        <v>1500</v>
      </c>
      <c r="L752" s="1">
        <v>8252.8799999999992</v>
      </c>
      <c r="M752" s="1" t="s">
        <v>149</v>
      </c>
      <c r="N752" s="1"/>
      <c r="O752" s="1"/>
      <c r="P752" s="1"/>
      <c r="Q752" s="62"/>
      <c r="X752">
        <v>2024</v>
      </c>
    </row>
    <row r="753" spans="1:24" x14ac:dyDescent="0.25">
      <c r="A753" t="s">
        <v>1271</v>
      </c>
      <c r="B753" s="52">
        <v>45497</v>
      </c>
      <c r="C753" t="s">
        <v>1269</v>
      </c>
      <c r="D753" t="s">
        <v>138</v>
      </c>
      <c r="E753" t="s">
        <v>27</v>
      </c>
      <c r="F753">
        <v>1000</v>
      </c>
      <c r="G753">
        <v>1000</v>
      </c>
      <c r="H753">
        <v>5</v>
      </c>
      <c r="I753" s="1">
        <f t="shared" si="14"/>
        <v>5</v>
      </c>
      <c r="J753" s="1">
        <v>400</v>
      </c>
      <c r="K753" s="1">
        <v>375</v>
      </c>
      <c r="L753" s="1">
        <v>2450</v>
      </c>
      <c r="M753" s="1" t="s">
        <v>149</v>
      </c>
      <c r="N753" s="1"/>
      <c r="O753" s="1"/>
      <c r="P753" s="1"/>
      <c r="Q753" s="62"/>
      <c r="X753">
        <v>2024</v>
      </c>
    </row>
    <row r="754" spans="1:24" x14ac:dyDescent="0.25">
      <c r="A754" t="s">
        <v>1272</v>
      </c>
      <c r="B754" s="52">
        <v>45497</v>
      </c>
      <c r="C754" t="s">
        <v>1269</v>
      </c>
      <c r="D754" t="s">
        <v>138</v>
      </c>
      <c r="E754" t="s">
        <v>32</v>
      </c>
      <c r="F754">
        <v>1000</v>
      </c>
      <c r="G754">
        <v>1000</v>
      </c>
      <c r="H754">
        <v>5</v>
      </c>
      <c r="I754" s="1">
        <f t="shared" si="14"/>
        <v>5</v>
      </c>
      <c r="J754" s="1">
        <v>600</v>
      </c>
      <c r="K754" s="1">
        <v>375</v>
      </c>
      <c r="L754" s="1">
        <v>3650</v>
      </c>
      <c r="M754" s="1" t="s">
        <v>149</v>
      </c>
      <c r="N754" s="1"/>
      <c r="O754" s="1"/>
      <c r="P754" s="1"/>
      <c r="Q754" s="62"/>
      <c r="X754">
        <v>2024</v>
      </c>
    </row>
    <row r="755" spans="1:24" x14ac:dyDescent="0.25">
      <c r="A755" t="s">
        <v>1273</v>
      </c>
      <c r="B755" s="52">
        <v>45498</v>
      </c>
      <c r="C755" t="s">
        <v>1274</v>
      </c>
      <c r="D755" t="s">
        <v>359</v>
      </c>
      <c r="E755" t="s">
        <v>27</v>
      </c>
      <c r="F755">
        <v>1000</v>
      </c>
      <c r="G755">
        <v>1000</v>
      </c>
      <c r="H755">
        <v>5</v>
      </c>
      <c r="I755" s="1">
        <f t="shared" si="14"/>
        <v>5</v>
      </c>
      <c r="J755" s="1">
        <v>400</v>
      </c>
      <c r="K755" s="1">
        <v>375</v>
      </c>
      <c r="L755" s="1">
        <v>2450</v>
      </c>
      <c r="M755" s="1" t="s">
        <v>149</v>
      </c>
      <c r="N755" s="1"/>
      <c r="O755" s="1"/>
      <c r="P755" s="1"/>
      <c r="Q755" s="62"/>
      <c r="X755">
        <v>2024</v>
      </c>
    </row>
    <row r="756" spans="1:24" x14ac:dyDescent="0.25">
      <c r="A756" t="s">
        <v>1275</v>
      </c>
      <c r="B756" s="52">
        <v>45498</v>
      </c>
      <c r="C756" t="s">
        <v>1274</v>
      </c>
      <c r="D756" t="s">
        <v>359</v>
      </c>
      <c r="E756" t="s">
        <v>32</v>
      </c>
      <c r="F756">
        <v>1000</v>
      </c>
      <c r="G756">
        <v>1000</v>
      </c>
      <c r="H756">
        <v>5</v>
      </c>
      <c r="I756" s="1">
        <f t="shared" si="14"/>
        <v>5</v>
      </c>
      <c r="J756" s="1">
        <v>600</v>
      </c>
      <c r="K756" s="1">
        <v>375</v>
      </c>
      <c r="L756" s="1">
        <v>3650</v>
      </c>
      <c r="M756" s="1" t="s">
        <v>149</v>
      </c>
      <c r="N756" s="1"/>
      <c r="O756" s="1"/>
      <c r="P756" s="1"/>
      <c r="Q756" s="62"/>
      <c r="X756">
        <v>2024</v>
      </c>
    </row>
    <row r="757" spans="1:24" x14ac:dyDescent="0.25">
      <c r="A757" t="s">
        <v>1276</v>
      </c>
      <c r="B757" s="52">
        <v>45499</v>
      </c>
      <c r="C757" t="s">
        <v>289</v>
      </c>
      <c r="D757" t="s">
        <v>100</v>
      </c>
      <c r="E757" t="s">
        <v>37</v>
      </c>
      <c r="F757">
        <v>614</v>
      </c>
      <c r="G757">
        <v>654</v>
      </c>
      <c r="H757">
        <v>50</v>
      </c>
      <c r="I757" s="1">
        <f t="shared" si="14"/>
        <v>20.0778</v>
      </c>
      <c r="J757" s="1">
        <v>437.91</v>
      </c>
      <c r="K757" s="1">
        <v>1004</v>
      </c>
      <c r="L757" s="1">
        <v>10498.23</v>
      </c>
      <c r="M757" s="1" t="s">
        <v>149</v>
      </c>
      <c r="N757" s="1"/>
      <c r="O757" s="1"/>
      <c r="P757" s="1"/>
      <c r="Q757" s="62"/>
      <c r="X757">
        <v>2024</v>
      </c>
    </row>
    <row r="758" spans="1:24" x14ac:dyDescent="0.25">
      <c r="A758" t="s">
        <v>1277</v>
      </c>
      <c r="B758" s="52">
        <v>45499</v>
      </c>
      <c r="C758" t="s">
        <v>1278</v>
      </c>
      <c r="D758" t="s">
        <v>57</v>
      </c>
      <c r="E758" t="s">
        <v>27</v>
      </c>
      <c r="F758">
        <v>1000</v>
      </c>
      <c r="G758">
        <v>1000</v>
      </c>
      <c r="H758">
        <v>5</v>
      </c>
      <c r="I758" s="1">
        <f t="shared" si="14"/>
        <v>5</v>
      </c>
      <c r="J758" s="1">
        <v>400</v>
      </c>
      <c r="K758" s="1">
        <v>375</v>
      </c>
      <c r="L758" s="1">
        <v>2500</v>
      </c>
      <c r="M758" s="1" t="s">
        <v>149</v>
      </c>
      <c r="N758" s="1"/>
      <c r="O758" s="1"/>
      <c r="P758" s="1"/>
      <c r="Q758" s="62"/>
      <c r="X758">
        <v>2024</v>
      </c>
    </row>
    <row r="759" spans="1:24" x14ac:dyDescent="0.25">
      <c r="A759" t="s">
        <v>1279</v>
      </c>
      <c r="B759" s="52">
        <v>45504</v>
      </c>
      <c r="C759" t="s">
        <v>1280</v>
      </c>
      <c r="D759" t="s">
        <v>36</v>
      </c>
      <c r="E759" t="s">
        <v>32</v>
      </c>
      <c r="F759">
        <v>1000</v>
      </c>
      <c r="G759">
        <v>1000</v>
      </c>
      <c r="H759">
        <v>24</v>
      </c>
      <c r="I759" s="1">
        <f t="shared" si="14"/>
        <v>24</v>
      </c>
      <c r="J759" s="1">
        <v>528.07000000000005</v>
      </c>
      <c r="K759" s="1">
        <v>1200</v>
      </c>
      <c r="L759" s="1">
        <v>13973.68</v>
      </c>
      <c r="M759" s="1" t="s">
        <v>149</v>
      </c>
      <c r="N759" s="1"/>
      <c r="O759" s="1"/>
      <c r="P759" s="44" t="s">
        <v>149</v>
      </c>
      <c r="Q759" s="62">
        <v>45504</v>
      </c>
      <c r="X759">
        <v>2024</v>
      </c>
    </row>
    <row r="760" spans="1:24" x14ac:dyDescent="0.25">
      <c r="A760" t="s">
        <v>1281</v>
      </c>
      <c r="B760" s="52">
        <v>45499</v>
      </c>
      <c r="C760" t="s">
        <v>1282</v>
      </c>
      <c r="D760" t="s">
        <v>57</v>
      </c>
      <c r="E760" t="s">
        <v>27</v>
      </c>
      <c r="F760">
        <v>1000</v>
      </c>
      <c r="G760">
        <v>1000</v>
      </c>
      <c r="H760">
        <v>5</v>
      </c>
      <c r="I760" s="1">
        <f t="shared" si="14"/>
        <v>5</v>
      </c>
      <c r="J760" s="1">
        <v>400</v>
      </c>
      <c r="K760" s="1">
        <v>375</v>
      </c>
      <c r="L760" s="1">
        <v>2500</v>
      </c>
      <c r="M760" s="1" t="s">
        <v>149</v>
      </c>
      <c r="N760" s="1"/>
      <c r="O760" s="1"/>
      <c r="P760" s="1"/>
      <c r="Q760" s="62"/>
      <c r="X760">
        <v>2024</v>
      </c>
    </row>
    <row r="761" spans="1:24" x14ac:dyDescent="0.25">
      <c r="A761" t="s">
        <v>1283</v>
      </c>
      <c r="B761" s="52">
        <v>45504</v>
      </c>
      <c r="C761" t="s">
        <v>1284</v>
      </c>
      <c r="D761" t="s">
        <v>83</v>
      </c>
      <c r="E761" t="s">
        <v>27</v>
      </c>
      <c r="F761">
        <v>1000</v>
      </c>
      <c r="G761">
        <v>1000</v>
      </c>
      <c r="H761">
        <v>5</v>
      </c>
      <c r="I761" s="1">
        <f t="shared" si="14"/>
        <v>5</v>
      </c>
      <c r="J761" s="1">
        <v>400</v>
      </c>
      <c r="K761" s="1">
        <v>375</v>
      </c>
      <c r="L761" s="1">
        <v>2500</v>
      </c>
      <c r="M761" s="1" t="s">
        <v>149</v>
      </c>
      <c r="N761" s="1"/>
      <c r="O761" s="1"/>
      <c r="P761" s="44" t="s">
        <v>149</v>
      </c>
      <c r="Q761" s="62">
        <v>45583</v>
      </c>
      <c r="X761">
        <v>2024</v>
      </c>
    </row>
    <row r="762" spans="1:24" x14ac:dyDescent="0.25">
      <c r="A762" t="s">
        <v>1285</v>
      </c>
      <c r="B762" s="52">
        <v>45504</v>
      </c>
      <c r="C762" t="s">
        <v>255</v>
      </c>
      <c r="D762" t="s">
        <v>83</v>
      </c>
      <c r="E762" t="s">
        <v>32</v>
      </c>
      <c r="F762">
        <v>1000</v>
      </c>
      <c r="G762">
        <v>1000</v>
      </c>
      <c r="H762">
        <v>36</v>
      </c>
      <c r="I762" s="1">
        <f t="shared" si="14"/>
        <v>36</v>
      </c>
      <c r="J762" s="1">
        <v>501.4</v>
      </c>
      <c r="K762" s="1">
        <v>1800</v>
      </c>
      <c r="L762" s="1">
        <v>19850.400000000001</v>
      </c>
      <c r="M762" s="1" t="s">
        <v>149</v>
      </c>
      <c r="N762" s="1"/>
      <c r="O762" s="1"/>
      <c r="P762" s="44" t="s">
        <v>149</v>
      </c>
      <c r="Q762" s="62">
        <v>45506</v>
      </c>
      <c r="X762">
        <v>2024</v>
      </c>
    </row>
    <row r="763" spans="1:24" x14ac:dyDescent="0.25">
      <c r="A763" t="s">
        <v>1286</v>
      </c>
      <c r="B763" s="52">
        <v>45504</v>
      </c>
      <c r="C763" t="s">
        <v>1287</v>
      </c>
      <c r="D763" t="s">
        <v>57</v>
      </c>
      <c r="E763" t="s">
        <v>27</v>
      </c>
      <c r="F763">
        <v>1000</v>
      </c>
      <c r="G763">
        <v>1000</v>
      </c>
      <c r="H763">
        <v>5</v>
      </c>
      <c r="I763" s="1">
        <f t="shared" si="14"/>
        <v>5</v>
      </c>
      <c r="J763" s="1">
        <v>400</v>
      </c>
      <c r="K763" s="1">
        <v>375</v>
      </c>
      <c r="L763" s="1">
        <v>2500</v>
      </c>
      <c r="M763" s="1" t="s">
        <v>149</v>
      </c>
      <c r="N763" s="1"/>
      <c r="O763" s="1"/>
      <c r="P763" s="1"/>
      <c r="Q763" s="62"/>
      <c r="X763">
        <v>2024</v>
      </c>
    </row>
    <row r="764" spans="1:24" x14ac:dyDescent="0.25">
      <c r="A764" t="s">
        <v>1288</v>
      </c>
      <c r="B764" s="52"/>
      <c r="C764" t="s">
        <v>1289</v>
      </c>
      <c r="E764" t="s">
        <v>27</v>
      </c>
      <c r="F764">
        <v>1700</v>
      </c>
      <c r="G764">
        <v>1700</v>
      </c>
      <c r="H764">
        <v>400</v>
      </c>
      <c r="I764" s="1">
        <f t="shared" si="14"/>
        <v>1156</v>
      </c>
      <c r="J764" s="1">
        <v>260</v>
      </c>
      <c r="K764" s="1">
        <v>28900</v>
      </c>
      <c r="L764" s="1"/>
      <c r="M764" s="1" t="s">
        <v>149</v>
      </c>
      <c r="N764" s="1"/>
      <c r="O764" s="1"/>
      <c r="P764" s="1"/>
      <c r="Q764" s="62"/>
      <c r="X764">
        <v>2024</v>
      </c>
    </row>
    <row r="765" spans="1:24" x14ac:dyDescent="0.25">
      <c r="A765" t="s">
        <v>1290</v>
      </c>
      <c r="B765" s="52">
        <v>45518</v>
      </c>
      <c r="C765" t="s">
        <v>1291</v>
      </c>
      <c r="D765" t="s">
        <v>57</v>
      </c>
      <c r="E765" t="s">
        <v>27</v>
      </c>
      <c r="F765">
        <v>1240</v>
      </c>
      <c r="G765">
        <v>1100</v>
      </c>
      <c r="H765">
        <v>15</v>
      </c>
      <c r="I765" s="1">
        <f t="shared" si="14"/>
        <v>20.46</v>
      </c>
      <c r="J765" s="1">
        <v>335.76</v>
      </c>
      <c r="K765" s="1">
        <v>1500</v>
      </c>
      <c r="L765" s="1">
        <v>8719.65</v>
      </c>
      <c r="M765" s="1" t="s">
        <v>149</v>
      </c>
      <c r="N765" s="1"/>
      <c r="O765" s="1"/>
      <c r="P765" s="1"/>
      <c r="Q765" s="62"/>
      <c r="X765">
        <v>2024</v>
      </c>
    </row>
    <row r="766" spans="1:24" x14ac:dyDescent="0.25">
      <c r="A766" t="s">
        <v>1292</v>
      </c>
      <c r="B766" s="52">
        <v>45504</v>
      </c>
      <c r="C766" t="s">
        <v>1293</v>
      </c>
      <c r="D766" t="s">
        <v>97</v>
      </c>
      <c r="E766" t="s">
        <v>27</v>
      </c>
      <c r="F766">
        <v>1000</v>
      </c>
      <c r="G766">
        <v>1000</v>
      </c>
      <c r="H766">
        <v>5</v>
      </c>
      <c r="I766" s="1">
        <f t="shared" si="14"/>
        <v>5</v>
      </c>
      <c r="J766" s="1">
        <v>400</v>
      </c>
      <c r="K766" s="1">
        <v>375</v>
      </c>
      <c r="L766" s="1">
        <v>2500</v>
      </c>
      <c r="M766" s="1" t="s">
        <v>149</v>
      </c>
      <c r="N766" s="1"/>
      <c r="O766" s="1"/>
      <c r="P766" s="1"/>
      <c r="Q766" s="62"/>
      <c r="X766">
        <v>2024</v>
      </c>
    </row>
    <row r="767" spans="1:24" x14ac:dyDescent="0.25">
      <c r="A767" t="s">
        <v>1294</v>
      </c>
      <c r="B767" s="52">
        <v>45505</v>
      </c>
      <c r="C767" t="s">
        <v>1295</v>
      </c>
      <c r="D767" t="s">
        <v>97</v>
      </c>
      <c r="E767" t="s">
        <v>27</v>
      </c>
      <c r="F767">
        <v>1000</v>
      </c>
      <c r="G767">
        <v>1000</v>
      </c>
      <c r="H767">
        <v>5</v>
      </c>
      <c r="I767" s="1">
        <f t="shared" si="14"/>
        <v>5</v>
      </c>
      <c r="J767" s="1">
        <v>400</v>
      </c>
      <c r="K767" s="1">
        <v>375</v>
      </c>
      <c r="L767" s="1">
        <v>2500</v>
      </c>
      <c r="M767" s="1" t="s">
        <v>149</v>
      </c>
      <c r="N767" s="1"/>
      <c r="O767" s="1"/>
      <c r="P767" s="44" t="s">
        <v>149</v>
      </c>
      <c r="Q767" s="62">
        <v>45506</v>
      </c>
      <c r="X767">
        <v>2024</v>
      </c>
    </row>
    <row r="768" spans="1:24" x14ac:dyDescent="0.25">
      <c r="A768" t="s">
        <v>1296</v>
      </c>
      <c r="B768" s="52">
        <v>45505</v>
      </c>
      <c r="C768" t="s">
        <v>1297</v>
      </c>
      <c r="D768" t="s">
        <v>46</v>
      </c>
      <c r="E768" t="s">
        <v>32</v>
      </c>
      <c r="F768">
        <v>1000</v>
      </c>
      <c r="G768">
        <v>1000</v>
      </c>
      <c r="H768">
        <v>5</v>
      </c>
      <c r="I768" s="1">
        <f t="shared" si="14"/>
        <v>5</v>
      </c>
      <c r="J768" s="1">
        <v>600</v>
      </c>
      <c r="K768" s="1">
        <v>375</v>
      </c>
      <c r="L768" s="1">
        <v>3650</v>
      </c>
      <c r="M768" s="1" t="s">
        <v>149</v>
      </c>
      <c r="N768" s="1"/>
      <c r="O768" s="1"/>
      <c r="P768" s="1"/>
      <c r="Q768" s="62"/>
      <c r="X768">
        <v>2024</v>
      </c>
    </row>
    <row r="769" spans="1:24" x14ac:dyDescent="0.25">
      <c r="A769" t="s">
        <v>1298</v>
      </c>
      <c r="B769" s="52">
        <v>45505</v>
      </c>
      <c r="C769" t="s">
        <v>1297</v>
      </c>
      <c r="D769" t="s">
        <v>46</v>
      </c>
      <c r="E769" t="s">
        <v>32</v>
      </c>
      <c r="F769">
        <v>1000</v>
      </c>
      <c r="G769">
        <v>1000</v>
      </c>
      <c r="H769">
        <v>20</v>
      </c>
      <c r="I769" s="1">
        <f t="shared" si="14"/>
        <v>20</v>
      </c>
      <c r="J769" s="1">
        <v>544.08000000000004</v>
      </c>
      <c r="K769" s="1">
        <v>1500</v>
      </c>
      <c r="L769" s="1">
        <v>12381.6</v>
      </c>
      <c r="M769" s="1" t="s">
        <v>149</v>
      </c>
      <c r="N769" s="1"/>
      <c r="O769" s="1"/>
      <c r="P769" s="44" t="s">
        <v>149</v>
      </c>
      <c r="Q769" s="62">
        <v>45509</v>
      </c>
      <c r="X769">
        <v>2024</v>
      </c>
    </row>
    <row r="770" spans="1:24" x14ac:dyDescent="0.25">
      <c r="A770" t="s">
        <v>1299</v>
      </c>
      <c r="B770" s="52">
        <v>45505</v>
      </c>
      <c r="C770" t="s">
        <v>1300</v>
      </c>
      <c r="D770" t="s">
        <v>36</v>
      </c>
      <c r="E770" t="s">
        <v>27</v>
      </c>
      <c r="F770">
        <v>1000</v>
      </c>
      <c r="G770">
        <v>1000</v>
      </c>
      <c r="H770">
        <v>5</v>
      </c>
      <c r="I770" s="1">
        <f t="shared" si="14"/>
        <v>5</v>
      </c>
      <c r="J770" s="1">
        <v>400</v>
      </c>
      <c r="K770" s="1">
        <v>375</v>
      </c>
      <c r="L770" s="1">
        <v>2450</v>
      </c>
      <c r="M770" s="1" t="s">
        <v>149</v>
      </c>
      <c r="N770" s="1"/>
      <c r="O770" s="1"/>
      <c r="P770" s="62"/>
      <c r="Q770" s="62"/>
      <c r="X770">
        <v>2024</v>
      </c>
    </row>
    <row r="771" spans="1:24" x14ac:dyDescent="0.25">
      <c r="A771" t="s">
        <v>1301</v>
      </c>
      <c r="B771" s="52">
        <v>45509</v>
      </c>
      <c r="C771" t="s">
        <v>508</v>
      </c>
      <c r="D771" t="s">
        <v>31</v>
      </c>
      <c r="E771" t="s">
        <v>32</v>
      </c>
      <c r="F771">
        <v>1512</v>
      </c>
      <c r="G771">
        <v>1512</v>
      </c>
      <c r="H771">
        <v>12</v>
      </c>
      <c r="I771" s="1">
        <f t="shared" si="14"/>
        <v>27.433727999999999</v>
      </c>
      <c r="J771" s="1">
        <v>490.28</v>
      </c>
      <c r="K771" s="1">
        <v>1371.5</v>
      </c>
      <c r="L771" s="1">
        <v>14819.88</v>
      </c>
      <c r="M771" s="1" t="s">
        <v>449</v>
      </c>
      <c r="N771" s="1" t="s">
        <v>149</v>
      </c>
      <c r="O771" s="1"/>
      <c r="P771" s="44" t="s">
        <v>149</v>
      </c>
      <c r="Q771" s="62">
        <v>45512</v>
      </c>
      <c r="S771" t="s">
        <v>1302</v>
      </c>
      <c r="X771">
        <v>2024</v>
      </c>
    </row>
    <row r="772" spans="1:24" x14ac:dyDescent="0.25">
      <c r="A772" t="s">
        <v>1303</v>
      </c>
      <c r="B772" s="52">
        <v>45510</v>
      </c>
      <c r="C772" t="s">
        <v>148</v>
      </c>
      <c r="D772" t="s">
        <v>57</v>
      </c>
      <c r="E772" t="s">
        <v>27</v>
      </c>
      <c r="F772">
        <v>550</v>
      </c>
      <c r="G772">
        <v>550</v>
      </c>
      <c r="H772">
        <v>67</v>
      </c>
      <c r="I772" s="1">
        <f t="shared" si="14"/>
        <v>20.267499999999998</v>
      </c>
      <c r="J772" s="1">
        <v>336.3</v>
      </c>
      <c r="K772" s="1">
        <v>1500</v>
      </c>
      <c r="L772" s="1">
        <v>8316.7999999999993</v>
      </c>
      <c r="M772" s="1" t="s">
        <v>149</v>
      </c>
      <c r="N772" s="1"/>
      <c r="O772" s="1"/>
      <c r="P772" s="1"/>
      <c r="Q772" s="62"/>
      <c r="X772">
        <v>2024</v>
      </c>
    </row>
    <row r="773" spans="1:24" x14ac:dyDescent="0.25">
      <c r="A773" t="s">
        <v>1304</v>
      </c>
      <c r="B773" s="53" t="s">
        <v>1305</v>
      </c>
      <c r="C773" t="s">
        <v>727</v>
      </c>
      <c r="D773" t="s">
        <v>83</v>
      </c>
      <c r="E773" t="s">
        <v>32</v>
      </c>
      <c r="F773">
        <v>1173</v>
      </c>
      <c r="G773">
        <v>2661</v>
      </c>
      <c r="H773">
        <v>180</v>
      </c>
      <c r="I773" s="1">
        <f t="shared" si="14"/>
        <v>561.84353999999996</v>
      </c>
      <c r="J773">
        <v>418.13</v>
      </c>
      <c r="K773" s="1">
        <v>14046</v>
      </c>
      <c r="L773" s="1">
        <v>248968.16</v>
      </c>
      <c r="M773" s="1" t="s">
        <v>149</v>
      </c>
      <c r="N773" s="1"/>
      <c r="O773" s="1" t="s">
        <v>149</v>
      </c>
      <c r="P773" s="1"/>
      <c r="Q773" s="62"/>
      <c r="X773">
        <v>2024</v>
      </c>
    </row>
    <row r="774" spans="1:24" x14ac:dyDescent="0.25">
      <c r="A774" t="s">
        <v>1306</v>
      </c>
      <c r="B774" s="53" t="s">
        <v>1305</v>
      </c>
      <c r="C774" t="s">
        <v>727</v>
      </c>
      <c r="D774" t="s">
        <v>83</v>
      </c>
      <c r="E774" t="s">
        <v>32</v>
      </c>
      <c r="F774">
        <v>1173</v>
      </c>
      <c r="G774">
        <v>2661</v>
      </c>
      <c r="H774">
        <v>360</v>
      </c>
      <c r="I774" s="1">
        <f t="shared" si="14"/>
        <v>1123.6870799999999</v>
      </c>
      <c r="J774">
        <v>385.08</v>
      </c>
      <c r="K774" s="1">
        <v>28092.25</v>
      </c>
      <c r="L774" s="1">
        <v>460802.8</v>
      </c>
      <c r="M774" s="1" t="s">
        <v>149</v>
      </c>
      <c r="N774" s="1"/>
      <c r="O774" s="1" t="s">
        <v>149</v>
      </c>
      <c r="P774" s="1"/>
      <c r="Q774" s="62"/>
      <c r="X774">
        <v>2024</v>
      </c>
    </row>
    <row r="775" spans="1:24" x14ac:dyDescent="0.25">
      <c r="A775" t="s">
        <v>1307</v>
      </c>
      <c r="B775" s="53" t="s">
        <v>1305</v>
      </c>
      <c r="C775" t="s">
        <v>727</v>
      </c>
      <c r="D775" t="s">
        <v>83</v>
      </c>
      <c r="E775" t="s">
        <v>32</v>
      </c>
      <c r="F775">
        <v>1173</v>
      </c>
      <c r="G775">
        <v>2661</v>
      </c>
      <c r="H775">
        <v>2200</v>
      </c>
      <c r="I775" s="1">
        <f t="shared" si="14"/>
        <v>6866.9766</v>
      </c>
      <c r="J775" s="1">
        <v>360</v>
      </c>
      <c r="K775" s="1">
        <v>171674.5</v>
      </c>
      <c r="L775" s="1">
        <v>2643787.2999999998</v>
      </c>
      <c r="M775" s="1" t="s">
        <v>149</v>
      </c>
      <c r="N775" s="1"/>
      <c r="O775" s="1" t="s">
        <v>149</v>
      </c>
      <c r="P775" s="1"/>
      <c r="Q775" s="62"/>
      <c r="X775">
        <v>2024</v>
      </c>
    </row>
    <row r="776" spans="1:24" x14ac:dyDescent="0.25">
      <c r="A776" s="33" t="s">
        <v>1308</v>
      </c>
      <c r="B776" s="52">
        <v>45510</v>
      </c>
      <c r="C776" t="s">
        <v>498</v>
      </c>
      <c r="D776" t="s">
        <v>157</v>
      </c>
      <c r="E776" t="s">
        <v>27</v>
      </c>
      <c r="F776">
        <v>1000</v>
      </c>
      <c r="G776">
        <v>1000</v>
      </c>
      <c r="H776">
        <v>5</v>
      </c>
      <c r="I776" s="1">
        <f t="shared" si="14"/>
        <v>5</v>
      </c>
      <c r="J776" s="1">
        <v>400</v>
      </c>
      <c r="K776" s="1">
        <v>375</v>
      </c>
      <c r="L776" s="1">
        <v>2450</v>
      </c>
      <c r="M776" s="1" t="s">
        <v>149</v>
      </c>
      <c r="N776" s="1"/>
      <c r="O776" s="1"/>
      <c r="P776" s="44" t="s">
        <v>149</v>
      </c>
      <c r="Q776" s="62">
        <v>45531</v>
      </c>
      <c r="X776">
        <v>2024</v>
      </c>
    </row>
    <row r="777" spans="1:24" x14ac:dyDescent="0.25">
      <c r="A777" t="s">
        <v>1309</v>
      </c>
      <c r="B777" s="52">
        <v>45511</v>
      </c>
      <c r="C777" t="s">
        <v>1310</v>
      </c>
      <c r="D777" t="s">
        <v>83</v>
      </c>
      <c r="E777" t="s">
        <v>27</v>
      </c>
      <c r="F777">
        <v>1000</v>
      </c>
      <c r="G777">
        <v>1000</v>
      </c>
      <c r="H777">
        <v>5</v>
      </c>
      <c r="I777" s="1">
        <f t="shared" si="14"/>
        <v>5</v>
      </c>
      <c r="J777" s="1">
        <v>400</v>
      </c>
      <c r="K777" s="1">
        <v>375</v>
      </c>
      <c r="L777" s="1">
        <v>2500</v>
      </c>
      <c r="M777" s="1" t="s">
        <v>149</v>
      </c>
      <c r="N777" s="1"/>
      <c r="O777" s="1"/>
      <c r="P777" s="1"/>
      <c r="Q777" s="62"/>
      <c r="X777">
        <v>2024</v>
      </c>
    </row>
    <row r="778" spans="1:24" x14ac:dyDescent="0.25">
      <c r="A778" s="33" t="s">
        <v>549</v>
      </c>
      <c r="B778" s="52">
        <v>45512</v>
      </c>
      <c r="C778" t="s">
        <v>547</v>
      </c>
      <c r="D778" t="s">
        <v>910</v>
      </c>
      <c r="E778" t="s">
        <v>27</v>
      </c>
      <c r="F778">
        <v>1000</v>
      </c>
      <c r="G778">
        <v>1000</v>
      </c>
      <c r="H778">
        <v>5</v>
      </c>
      <c r="I778" s="1">
        <f t="shared" si="14"/>
        <v>5</v>
      </c>
      <c r="J778" s="1">
        <v>400</v>
      </c>
      <c r="K778" s="1">
        <v>375</v>
      </c>
      <c r="L778" s="1">
        <v>2500</v>
      </c>
      <c r="M778" s="1" t="s">
        <v>149</v>
      </c>
      <c r="N778" s="1"/>
      <c r="O778" s="1"/>
      <c r="P778" s="44" t="s">
        <v>149</v>
      </c>
      <c r="Q778" s="62">
        <v>45512</v>
      </c>
      <c r="X778">
        <v>2024</v>
      </c>
    </row>
    <row r="779" spans="1:24" x14ac:dyDescent="0.25">
      <c r="A779" t="s">
        <v>1311</v>
      </c>
      <c r="B779" s="52">
        <v>45512</v>
      </c>
      <c r="C779" t="s">
        <v>1166</v>
      </c>
      <c r="D779" t="s">
        <v>100</v>
      </c>
      <c r="E779" t="s">
        <v>32</v>
      </c>
      <c r="F779">
        <v>1000</v>
      </c>
      <c r="G779">
        <v>1000</v>
      </c>
      <c r="H779">
        <v>40</v>
      </c>
      <c r="I779" s="1">
        <f t="shared" si="14"/>
        <v>40</v>
      </c>
      <c r="J779" s="1">
        <v>496.07</v>
      </c>
      <c r="K779" s="1">
        <v>2000</v>
      </c>
      <c r="L779" s="1">
        <v>22102.799999999999</v>
      </c>
      <c r="M779" s="1" t="s">
        <v>149</v>
      </c>
      <c r="N779" s="1"/>
      <c r="O779" s="1"/>
      <c r="P779" s="44" t="s">
        <v>149</v>
      </c>
      <c r="Q779" s="62"/>
      <c r="X779">
        <v>2024</v>
      </c>
    </row>
    <row r="780" spans="1:24" x14ac:dyDescent="0.25">
      <c r="A780" t="s">
        <v>1312</v>
      </c>
      <c r="B780" s="52">
        <v>45512</v>
      </c>
      <c r="C780" t="s">
        <v>1313</v>
      </c>
      <c r="D780" t="s">
        <v>36</v>
      </c>
      <c r="E780" t="s">
        <v>27</v>
      </c>
      <c r="F780">
        <v>416</v>
      </c>
      <c r="G780">
        <v>416</v>
      </c>
      <c r="H780">
        <v>116</v>
      </c>
      <c r="I780" s="1">
        <f t="shared" si="14"/>
        <v>20.074496</v>
      </c>
      <c r="J780" s="1">
        <v>336.88</v>
      </c>
      <c r="K780" s="1">
        <v>1500</v>
      </c>
      <c r="L780" s="1">
        <v>8301</v>
      </c>
      <c r="M780" s="1" t="s">
        <v>149</v>
      </c>
      <c r="N780" s="1"/>
      <c r="O780" s="1"/>
      <c r="P780" s="1"/>
      <c r="Q780" s="62"/>
      <c r="X780">
        <v>2024</v>
      </c>
    </row>
    <row r="781" spans="1:24" x14ac:dyDescent="0.25">
      <c r="A781" t="s">
        <v>1314</v>
      </c>
      <c r="B781" s="52">
        <v>45512</v>
      </c>
      <c r="C781" t="s">
        <v>1236</v>
      </c>
      <c r="D781" t="s">
        <v>100</v>
      </c>
      <c r="E781" t="s">
        <v>37</v>
      </c>
      <c r="F781">
        <v>600</v>
      </c>
      <c r="G781">
        <v>600</v>
      </c>
      <c r="H781">
        <v>110</v>
      </c>
      <c r="I781" s="1">
        <f t="shared" si="14"/>
        <v>39.6</v>
      </c>
      <c r="J781" s="1">
        <v>399.94</v>
      </c>
      <c r="K781" s="1">
        <v>1980</v>
      </c>
      <c r="L781" s="1">
        <v>18032.62</v>
      </c>
      <c r="M781" s="1" t="s">
        <v>149</v>
      </c>
      <c r="N781" s="1"/>
      <c r="O781" s="1"/>
      <c r="P781" s="1"/>
      <c r="Q781" s="62"/>
      <c r="X781">
        <v>2024</v>
      </c>
    </row>
    <row r="782" spans="1:24" x14ac:dyDescent="0.25">
      <c r="A782" t="s">
        <v>1315</v>
      </c>
      <c r="B782" s="52">
        <v>45513</v>
      </c>
      <c r="C782" t="s">
        <v>1316</v>
      </c>
      <c r="D782" t="s">
        <v>31</v>
      </c>
      <c r="E782" t="s">
        <v>27</v>
      </c>
      <c r="F782">
        <v>1000</v>
      </c>
      <c r="G782">
        <v>1000</v>
      </c>
      <c r="H782">
        <v>5</v>
      </c>
      <c r="I782" s="1">
        <f t="shared" si="14"/>
        <v>5</v>
      </c>
      <c r="J782" s="1">
        <v>400</v>
      </c>
      <c r="K782" s="1">
        <v>375</v>
      </c>
      <c r="L782" s="1">
        <v>2450</v>
      </c>
      <c r="M782" s="1" t="s">
        <v>149</v>
      </c>
      <c r="N782" s="1"/>
      <c r="O782" s="1"/>
      <c r="P782" s="44" t="s">
        <v>149</v>
      </c>
      <c r="Q782" s="62">
        <v>45533</v>
      </c>
      <c r="X782">
        <v>2024</v>
      </c>
    </row>
    <row r="783" spans="1:24" x14ac:dyDescent="0.25">
      <c r="A783" t="s">
        <v>1317</v>
      </c>
      <c r="B783" s="52">
        <v>45518</v>
      </c>
      <c r="C783" t="s">
        <v>252</v>
      </c>
      <c r="D783" t="s">
        <v>83</v>
      </c>
      <c r="E783" t="s">
        <v>32</v>
      </c>
      <c r="F783">
        <v>1300</v>
      </c>
      <c r="G783">
        <v>1300</v>
      </c>
      <c r="H783">
        <v>12</v>
      </c>
      <c r="I783" s="1">
        <f t="shared" si="14"/>
        <v>20.28</v>
      </c>
      <c r="J783" s="1">
        <v>542.75</v>
      </c>
      <c r="K783" s="1">
        <v>1500</v>
      </c>
      <c r="L783" s="1">
        <v>12856.97</v>
      </c>
      <c r="M783" s="1" t="s">
        <v>149</v>
      </c>
      <c r="N783" s="1"/>
      <c r="O783" s="1"/>
      <c r="P783" s="1"/>
      <c r="Q783" s="62"/>
      <c r="X783">
        <v>2024</v>
      </c>
    </row>
    <row r="784" spans="1:24" x14ac:dyDescent="0.25">
      <c r="A784" t="s">
        <v>1315</v>
      </c>
      <c r="B784" s="52">
        <v>45518</v>
      </c>
      <c r="C784" t="s">
        <v>1318</v>
      </c>
      <c r="D784" t="s">
        <v>31</v>
      </c>
      <c r="E784" t="s">
        <v>32</v>
      </c>
      <c r="F784">
        <v>1000</v>
      </c>
      <c r="G784">
        <v>1000</v>
      </c>
      <c r="H784">
        <v>10</v>
      </c>
      <c r="I784" s="1">
        <f t="shared" si="14"/>
        <v>10</v>
      </c>
      <c r="J784" s="1">
        <v>576.08000000000004</v>
      </c>
      <c r="K784" s="1">
        <v>750</v>
      </c>
      <c r="L784" s="1">
        <v>7060.8</v>
      </c>
      <c r="M784" s="1" t="s">
        <v>149</v>
      </c>
      <c r="N784" s="1"/>
      <c r="O784" s="1"/>
      <c r="P784" s="1"/>
      <c r="Q784" s="62"/>
      <c r="X784">
        <v>2024</v>
      </c>
    </row>
    <row r="785" spans="1:29" x14ac:dyDescent="0.25">
      <c r="A785" t="s">
        <v>1319</v>
      </c>
      <c r="B785" s="52">
        <v>45518</v>
      </c>
      <c r="C785" t="s">
        <v>1318</v>
      </c>
      <c r="D785" t="s">
        <v>31</v>
      </c>
      <c r="E785" t="s">
        <v>37</v>
      </c>
      <c r="F785">
        <v>1000</v>
      </c>
      <c r="G785">
        <v>1000</v>
      </c>
      <c r="H785">
        <v>10</v>
      </c>
      <c r="I785" s="1">
        <f t="shared" si="14"/>
        <v>10</v>
      </c>
      <c r="J785" s="1">
        <v>464</v>
      </c>
      <c r="K785" s="1">
        <v>750</v>
      </c>
      <c r="L785" s="1">
        <v>5540</v>
      </c>
      <c r="M785" s="1" t="s">
        <v>149</v>
      </c>
      <c r="N785" s="1"/>
      <c r="O785" s="1"/>
      <c r="P785" s="1"/>
      <c r="Q785" s="62"/>
      <c r="X785">
        <v>2024</v>
      </c>
    </row>
    <row r="786" spans="1:29" x14ac:dyDescent="0.25">
      <c r="A786" t="s">
        <v>1320</v>
      </c>
      <c r="B786" s="52">
        <v>45524</v>
      </c>
      <c r="C786" t="s">
        <v>474</v>
      </c>
      <c r="D786" t="s">
        <v>100</v>
      </c>
      <c r="E786" t="s">
        <v>27</v>
      </c>
      <c r="F786">
        <v>2500</v>
      </c>
      <c r="G786">
        <v>1600</v>
      </c>
      <c r="H786">
        <v>25</v>
      </c>
      <c r="I786" s="1">
        <f t="shared" si="14"/>
        <v>100</v>
      </c>
      <c r="J786" s="1">
        <v>289.5</v>
      </c>
      <c r="K786" s="1">
        <v>2500</v>
      </c>
      <c r="L786" s="1">
        <v>32010</v>
      </c>
      <c r="M786" s="1" t="s">
        <v>149</v>
      </c>
      <c r="N786" s="1"/>
      <c r="O786" s="1"/>
      <c r="P786" s="1"/>
      <c r="Q786" s="62"/>
      <c r="X786">
        <v>2024</v>
      </c>
    </row>
    <row r="787" spans="1:29" x14ac:dyDescent="0.25">
      <c r="A787" t="s">
        <v>1321</v>
      </c>
      <c r="B787" s="52">
        <v>45524</v>
      </c>
      <c r="C787" t="s">
        <v>1161</v>
      </c>
      <c r="D787" t="s">
        <v>46</v>
      </c>
      <c r="E787" t="s">
        <v>27</v>
      </c>
      <c r="F787">
        <v>380</v>
      </c>
      <c r="G787">
        <v>380</v>
      </c>
      <c r="H787">
        <v>400</v>
      </c>
      <c r="I787" s="1">
        <f t="shared" si="14"/>
        <v>57.76</v>
      </c>
      <c r="J787" s="1">
        <v>298.2</v>
      </c>
      <c r="K787" s="1">
        <v>2500</v>
      </c>
      <c r="L787" s="1">
        <v>19724.03</v>
      </c>
      <c r="M787" s="1" t="s">
        <v>149</v>
      </c>
      <c r="N787" s="1"/>
      <c r="O787" s="1"/>
      <c r="P787" s="1"/>
      <c r="Q787" s="62"/>
      <c r="S787" t="s">
        <v>1322</v>
      </c>
      <c r="T787" s="3">
        <v>45562</v>
      </c>
      <c r="U787">
        <v>298.2</v>
      </c>
      <c r="V787">
        <v>2500</v>
      </c>
      <c r="W787" s="1">
        <v>20087.73</v>
      </c>
      <c r="X787">
        <v>2024</v>
      </c>
      <c r="Y787" t="s">
        <v>1323</v>
      </c>
      <c r="Z787" s="3">
        <v>45567</v>
      </c>
      <c r="AA787">
        <v>297.99</v>
      </c>
      <c r="AB787">
        <v>2500</v>
      </c>
      <c r="AC787" s="1">
        <v>20268.68</v>
      </c>
    </row>
    <row r="788" spans="1:29" x14ac:dyDescent="0.25">
      <c r="A788" t="s">
        <v>1324</v>
      </c>
      <c r="B788" s="52">
        <v>45576</v>
      </c>
      <c r="C788" t="s">
        <v>1161</v>
      </c>
      <c r="D788" t="s">
        <v>46</v>
      </c>
      <c r="E788" t="s">
        <v>27</v>
      </c>
      <c r="F788">
        <v>380.5</v>
      </c>
      <c r="G788">
        <v>380.5</v>
      </c>
      <c r="H788">
        <v>400</v>
      </c>
      <c r="I788" s="1">
        <f t="shared" si="14"/>
        <v>57.912100000000002</v>
      </c>
      <c r="J788" s="1">
        <v>298.2</v>
      </c>
      <c r="K788" s="1">
        <v>2500</v>
      </c>
      <c r="L788" s="1">
        <v>20087.73</v>
      </c>
      <c r="M788" s="1" t="s">
        <v>449</v>
      </c>
      <c r="N788" s="1"/>
      <c r="O788" s="1"/>
      <c r="P788" s="44" t="s">
        <v>149</v>
      </c>
      <c r="Q788" s="62">
        <v>45576</v>
      </c>
      <c r="S788" t="s">
        <v>1325</v>
      </c>
      <c r="T788" s="3"/>
      <c r="W788" s="1"/>
      <c r="X788">
        <v>2024</v>
      </c>
      <c r="Z788" s="3"/>
      <c r="AC788" s="1"/>
    </row>
    <row r="789" spans="1:29" x14ac:dyDescent="0.25">
      <c r="A789" t="s">
        <v>1326</v>
      </c>
      <c r="B789" s="52">
        <v>45527</v>
      </c>
      <c r="C789" t="s">
        <v>1166</v>
      </c>
      <c r="D789" t="s">
        <v>100</v>
      </c>
      <c r="E789" t="s">
        <v>32</v>
      </c>
      <c r="F789">
        <v>500</v>
      </c>
      <c r="G789">
        <v>500</v>
      </c>
      <c r="H789">
        <v>160</v>
      </c>
      <c r="I789" s="1">
        <f t="shared" si="14"/>
        <v>40</v>
      </c>
      <c r="J789" s="1">
        <v>496.07</v>
      </c>
      <c r="K789" s="1">
        <v>2000</v>
      </c>
      <c r="L789" s="1">
        <v>22046.799999999999</v>
      </c>
      <c r="M789" s="1" t="s">
        <v>149</v>
      </c>
      <c r="N789" s="1"/>
      <c r="O789" s="1"/>
      <c r="P789" s="1"/>
      <c r="Q789" s="62"/>
      <c r="X789">
        <v>2024</v>
      </c>
    </row>
    <row r="790" spans="1:29" x14ac:dyDescent="0.25">
      <c r="A790" t="s">
        <v>1327</v>
      </c>
      <c r="B790" s="52">
        <v>45527</v>
      </c>
      <c r="C790" t="s">
        <v>524</v>
      </c>
      <c r="D790" t="s">
        <v>525</v>
      </c>
      <c r="E790" t="s">
        <v>37</v>
      </c>
      <c r="F790">
        <v>1000</v>
      </c>
      <c r="G790">
        <v>1000</v>
      </c>
      <c r="H790">
        <v>9</v>
      </c>
      <c r="I790" s="1">
        <v>9</v>
      </c>
      <c r="J790" s="1">
        <v>469.73</v>
      </c>
      <c r="K790" s="1">
        <v>675</v>
      </c>
      <c r="L790" s="1">
        <v>5127.57</v>
      </c>
      <c r="M790" s="1" t="s">
        <v>149</v>
      </c>
      <c r="N790" s="1"/>
      <c r="O790" s="1"/>
      <c r="P790" s="1"/>
      <c r="Q790" s="62"/>
      <c r="X790">
        <v>2024</v>
      </c>
    </row>
    <row r="791" spans="1:29" x14ac:dyDescent="0.25">
      <c r="A791" t="s">
        <v>1328</v>
      </c>
      <c r="B791" s="52">
        <v>45532</v>
      </c>
      <c r="C791" t="s">
        <v>1166</v>
      </c>
      <c r="D791" t="s">
        <v>100</v>
      </c>
      <c r="E791" t="s">
        <v>32</v>
      </c>
      <c r="F791">
        <v>1000</v>
      </c>
      <c r="G791">
        <v>1000</v>
      </c>
      <c r="H791">
        <v>5</v>
      </c>
      <c r="I791" s="1">
        <f t="shared" ref="I791:I854" si="15">$F791*$G791*$H791/1000000</f>
        <v>5</v>
      </c>
      <c r="J791" s="1">
        <v>600</v>
      </c>
      <c r="K791" s="1">
        <v>375</v>
      </c>
      <c r="L791" s="1">
        <v>3650</v>
      </c>
      <c r="M791" s="1" t="s">
        <v>149</v>
      </c>
      <c r="N791" s="1"/>
      <c r="O791" s="1"/>
      <c r="P791" s="1"/>
      <c r="Q791" s="62"/>
      <c r="X791">
        <v>2024</v>
      </c>
    </row>
    <row r="792" spans="1:29" x14ac:dyDescent="0.25">
      <c r="A792" t="s">
        <v>1329</v>
      </c>
      <c r="B792" s="52">
        <v>45532</v>
      </c>
      <c r="C792" t="s">
        <v>1166</v>
      </c>
      <c r="D792" t="s">
        <v>100</v>
      </c>
      <c r="E792" t="s">
        <v>32</v>
      </c>
      <c r="F792">
        <v>500</v>
      </c>
      <c r="G792">
        <v>500</v>
      </c>
      <c r="H792">
        <v>140</v>
      </c>
      <c r="I792" s="1">
        <f t="shared" si="15"/>
        <v>35</v>
      </c>
      <c r="J792" s="1">
        <v>502.93</v>
      </c>
      <c r="K792" s="1">
        <v>1750</v>
      </c>
      <c r="L792" s="1">
        <v>19552.55</v>
      </c>
      <c r="M792" s="1" t="s">
        <v>149</v>
      </c>
      <c r="N792" s="1"/>
      <c r="O792" s="1"/>
      <c r="P792" s="1"/>
      <c r="Q792" s="62"/>
      <c r="X792">
        <v>2024</v>
      </c>
    </row>
    <row r="793" spans="1:29" x14ac:dyDescent="0.25">
      <c r="A793" t="s">
        <v>1330</v>
      </c>
      <c r="B793" s="52">
        <v>45532</v>
      </c>
      <c r="C793" t="s">
        <v>1331</v>
      </c>
      <c r="D793" t="s">
        <v>57</v>
      </c>
      <c r="E793" t="s">
        <v>27</v>
      </c>
      <c r="F793">
        <v>1000</v>
      </c>
      <c r="G793">
        <v>1000</v>
      </c>
      <c r="H793">
        <v>5</v>
      </c>
      <c r="I793" s="1">
        <f t="shared" si="15"/>
        <v>5</v>
      </c>
      <c r="J793" s="1">
        <v>400</v>
      </c>
      <c r="K793" s="1">
        <v>375</v>
      </c>
      <c r="L793" s="1">
        <v>2500</v>
      </c>
      <c r="M793" s="1" t="s">
        <v>149</v>
      </c>
      <c r="N793" s="1"/>
      <c r="O793" s="1"/>
      <c r="P793" s="1"/>
      <c r="Q793" s="62"/>
      <c r="S793" t="s">
        <v>916</v>
      </c>
      <c r="T793" s="3">
        <v>45628</v>
      </c>
      <c r="X793">
        <v>2024</v>
      </c>
    </row>
    <row r="794" spans="1:29" x14ac:dyDescent="0.25">
      <c r="A794" t="s">
        <v>1332</v>
      </c>
      <c r="B794" s="52">
        <v>45534</v>
      </c>
      <c r="C794" t="s">
        <v>1333</v>
      </c>
      <c r="D794" t="s">
        <v>1334</v>
      </c>
      <c r="E794" t="s">
        <v>27</v>
      </c>
      <c r="F794">
        <v>1000</v>
      </c>
      <c r="G794">
        <v>1000</v>
      </c>
      <c r="H794">
        <v>25</v>
      </c>
      <c r="I794" s="1">
        <f t="shared" si="15"/>
        <v>25</v>
      </c>
      <c r="J794" s="1">
        <v>325.19</v>
      </c>
      <c r="K794" s="1">
        <v>1250</v>
      </c>
      <c r="L794" s="1">
        <v>9379.75</v>
      </c>
      <c r="M794" s="1" t="s">
        <v>149</v>
      </c>
      <c r="N794" s="1"/>
      <c r="O794" s="1"/>
      <c r="P794" s="1"/>
      <c r="Q794" s="62"/>
      <c r="X794">
        <v>2024</v>
      </c>
    </row>
    <row r="795" spans="1:29" x14ac:dyDescent="0.25">
      <c r="A795" t="s">
        <v>1335</v>
      </c>
      <c r="B795" s="52">
        <v>45538</v>
      </c>
      <c r="C795" t="s">
        <v>832</v>
      </c>
      <c r="D795" t="s">
        <v>31</v>
      </c>
      <c r="E795" t="s">
        <v>27</v>
      </c>
      <c r="F795">
        <v>1000</v>
      </c>
      <c r="G795">
        <v>1000</v>
      </c>
      <c r="H795">
        <v>5</v>
      </c>
      <c r="I795" s="1">
        <f t="shared" si="15"/>
        <v>5</v>
      </c>
      <c r="J795" s="1">
        <v>400</v>
      </c>
      <c r="K795" s="1">
        <v>375</v>
      </c>
      <c r="L795" s="1">
        <v>2450</v>
      </c>
      <c r="M795" s="1" t="s">
        <v>149</v>
      </c>
      <c r="N795" s="1"/>
      <c r="O795" s="1"/>
      <c r="P795" s="44" t="s">
        <v>149</v>
      </c>
      <c r="Q795" s="62">
        <v>45538</v>
      </c>
      <c r="X795">
        <v>2024</v>
      </c>
    </row>
    <row r="796" spans="1:29" x14ac:dyDescent="0.25">
      <c r="A796" t="s">
        <v>1336</v>
      </c>
      <c r="B796" s="52">
        <v>45540</v>
      </c>
      <c r="C796" t="s">
        <v>1337</v>
      </c>
      <c r="D796" t="s">
        <v>57</v>
      </c>
      <c r="E796" t="s">
        <v>32</v>
      </c>
      <c r="F796">
        <v>1000</v>
      </c>
      <c r="G796">
        <v>1000</v>
      </c>
      <c r="H796">
        <v>5</v>
      </c>
      <c r="I796" s="1">
        <f t="shared" si="15"/>
        <v>5</v>
      </c>
      <c r="J796" s="1">
        <v>600</v>
      </c>
      <c r="K796" s="1">
        <v>375</v>
      </c>
      <c r="L796" s="1">
        <v>3650</v>
      </c>
      <c r="M796" s="1" t="s">
        <v>149</v>
      </c>
      <c r="N796" s="1"/>
      <c r="O796" s="1"/>
      <c r="P796" s="1"/>
      <c r="Q796" s="62"/>
      <c r="X796">
        <v>2024</v>
      </c>
    </row>
    <row r="797" spans="1:29" x14ac:dyDescent="0.25">
      <c r="A797" t="s">
        <v>1338</v>
      </c>
      <c r="B797" s="52">
        <v>45540</v>
      </c>
      <c r="C797" t="s">
        <v>1339</v>
      </c>
      <c r="D797" t="s">
        <v>187</v>
      </c>
      <c r="E797" t="s">
        <v>27</v>
      </c>
      <c r="F797">
        <v>1000</v>
      </c>
      <c r="G797">
        <v>1000</v>
      </c>
      <c r="H797">
        <v>5</v>
      </c>
      <c r="I797" s="1">
        <f t="shared" si="15"/>
        <v>5</v>
      </c>
      <c r="J797" s="1">
        <v>400</v>
      </c>
      <c r="K797" s="1">
        <v>375</v>
      </c>
      <c r="L797" s="1">
        <v>2500</v>
      </c>
      <c r="M797" s="1" t="s">
        <v>149</v>
      </c>
      <c r="N797" s="1"/>
      <c r="O797" s="1"/>
      <c r="P797" s="1"/>
      <c r="Q797" s="62"/>
      <c r="X797">
        <v>2024</v>
      </c>
    </row>
    <row r="798" spans="1:29" x14ac:dyDescent="0.25">
      <c r="A798" t="s">
        <v>1340</v>
      </c>
      <c r="B798" s="52">
        <v>45540</v>
      </c>
      <c r="C798" t="s">
        <v>1341</v>
      </c>
      <c r="D798" t="s">
        <v>138</v>
      </c>
      <c r="E798" t="s">
        <v>37</v>
      </c>
      <c r="F798">
        <v>1000</v>
      </c>
      <c r="G798">
        <v>1000</v>
      </c>
      <c r="H798">
        <v>5</v>
      </c>
      <c r="I798" s="1">
        <f t="shared" si="15"/>
        <v>5</v>
      </c>
      <c r="J798" s="1">
        <v>500</v>
      </c>
      <c r="K798" s="1">
        <v>375</v>
      </c>
      <c r="L798" s="1">
        <v>2950</v>
      </c>
      <c r="M798" s="1" t="s">
        <v>149</v>
      </c>
      <c r="N798" s="1"/>
      <c r="O798" s="1"/>
      <c r="P798" s="1"/>
      <c r="Q798" s="62"/>
      <c r="X798">
        <v>2024</v>
      </c>
    </row>
    <row r="799" spans="1:29" x14ac:dyDescent="0.25">
      <c r="A799" t="s">
        <v>1342</v>
      </c>
      <c r="B799" s="52">
        <v>45540</v>
      </c>
      <c r="C799" t="s">
        <v>1341</v>
      </c>
      <c r="D799" t="s">
        <v>138</v>
      </c>
      <c r="E799" t="s">
        <v>37</v>
      </c>
      <c r="F799">
        <v>1000</v>
      </c>
      <c r="G799">
        <v>1000</v>
      </c>
      <c r="H799">
        <v>10</v>
      </c>
      <c r="I799" s="1">
        <f t="shared" si="15"/>
        <v>10</v>
      </c>
      <c r="J799" s="1">
        <v>464</v>
      </c>
      <c r="K799" s="1">
        <v>750</v>
      </c>
      <c r="L799" s="1">
        <v>5540</v>
      </c>
      <c r="M799" s="1" t="s">
        <v>149</v>
      </c>
      <c r="N799" s="1"/>
      <c r="O799" s="1"/>
      <c r="P799" s="1"/>
      <c r="Q799" s="62"/>
      <c r="X799">
        <v>2024</v>
      </c>
    </row>
    <row r="800" spans="1:29" x14ac:dyDescent="0.25">
      <c r="A800" t="s">
        <v>1343</v>
      </c>
      <c r="B800" s="52">
        <v>45541</v>
      </c>
      <c r="C800" t="s">
        <v>972</v>
      </c>
      <c r="D800" t="s">
        <v>103</v>
      </c>
      <c r="E800" t="s">
        <v>27</v>
      </c>
      <c r="F800">
        <v>2400</v>
      </c>
      <c r="G800">
        <v>1200</v>
      </c>
      <c r="H800">
        <v>1</v>
      </c>
      <c r="I800" s="1">
        <f t="shared" si="15"/>
        <v>2.88</v>
      </c>
      <c r="J800" s="1">
        <v>343.7</v>
      </c>
      <c r="K800" s="1">
        <v>1500</v>
      </c>
      <c r="L800" s="1">
        <v>10986.38</v>
      </c>
      <c r="M800" s="1" t="s">
        <v>449</v>
      </c>
      <c r="N800" s="1" t="s">
        <v>33</v>
      </c>
      <c r="O800" s="1"/>
      <c r="P800" s="44" t="s">
        <v>149</v>
      </c>
      <c r="Q800" s="62">
        <v>45566</v>
      </c>
      <c r="X800">
        <v>2024</v>
      </c>
    </row>
    <row r="801" spans="1:24" x14ac:dyDescent="0.25">
      <c r="A801" t="s">
        <v>1343</v>
      </c>
      <c r="B801" s="52">
        <v>45541</v>
      </c>
      <c r="C801" t="s">
        <v>972</v>
      </c>
      <c r="D801" t="s">
        <v>103</v>
      </c>
      <c r="E801" t="s">
        <v>27</v>
      </c>
      <c r="F801">
        <v>2400</v>
      </c>
      <c r="G801">
        <v>1500</v>
      </c>
      <c r="H801">
        <v>2</v>
      </c>
      <c r="I801" s="1">
        <f t="shared" si="15"/>
        <v>7.2</v>
      </c>
      <c r="J801" s="1">
        <v>343.7</v>
      </c>
      <c r="K801" s="1"/>
      <c r="L801" s="1"/>
      <c r="M801" s="1" t="s">
        <v>449</v>
      </c>
      <c r="N801" s="1" t="s">
        <v>33</v>
      </c>
      <c r="O801" s="1"/>
      <c r="P801" s="44" t="s">
        <v>149</v>
      </c>
      <c r="Q801" s="62">
        <v>45566</v>
      </c>
      <c r="X801">
        <v>2024</v>
      </c>
    </row>
    <row r="802" spans="1:24" x14ac:dyDescent="0.25">
      <c r="A802" t="s">
        <v>1343</v>
      </c>
      <c r="B802" s="52">
        <v>45541</v>
      </c>
      <c r="C802" t="s">
        <v>972</v>
      </c>
      <c r="D802" t="s">
        <v>103</v>
      </c>
      <c r="E802" t="s">
        <v>32</v>
      </c>
      <c r="F802">
        <v>2400</v>
      </c>
      <c r="G802">
        <v>1200</v>
      </c>
      <c r="H802">
        <v>1</v>
      </c>
      <c r="I802" s="1">
        <f t="shared" si="15"/>
        <v>2.88</v>
      </c>
      <c r="J802" s="1">
        <v>554.75</v>
      </c>
      <c r="K802" s="1"/>
      <c r="L802" s="1"/>
      <c r="M802" s="1" t="s">
        <v>449</v>
      </c>
      <c r="N802" s="1" t="s">
        <v>33</v>
      </c>
      <c r="O802" s="1"/>
      <c r="P802" s="44" t="s">
        <v>149</v>
      </c>
      <c r="Q802" s="62">
        <v>45566</v>
      </c>
      <c r="X802">
        <v>2024</v>
      </c>
    </row>
    <row r="803" spans="1:24" x14ac:dyDescent="0.25">
      <c r="A803" t="s">
        <v>1343</v>
      </c>
      <c r="B803" s="52">
        <v>45541</v>
      </c>
      <c r="C803" t="s">
        <v>972</v>
      </c>
      <c r="D803" t="s">
        <v>103</v>
      </c>
      <c r="E803" t="s">
        <v>32</v>
      </c>
      <c r="F803">
        <v>2400</v>
      </c>
      <c r="G803">
        <v>1500</v>
      </c>
      <c r="H803">
        <v>2</v>
      </c>
      <c r="I803" s="1">
        <f t="shared" si="15"/>
        <v>7.2</v>
      </c>
      <c r="J803" s="1">
        <v>554.75</v>
      </c>
      <c r="K803" s="1"/>
      <c r="L803" s="1"/>
      <c r="M803" s="1" t="s">
        <v>449</v>
      </c>
      <c r="N803" s="1" t="s">
        <v>33</v>
      </c>
      <c r="O803" s="1"/>
      <c r="P803" s="44" t="s">
        <v>149</v>
      </c>
      <c r="Q803" s="62">
        <v>45566</v>
      </c>
      <c r="X803">
        <v>2024</v>
      </c>
    </row>
    <row r="804" spans="1:24" x14ac:dyDescent="0.25">
      <c r="A804" t="s">
        <v>1344</v>
      </c>
      <c r="B804" s="52">
        <v>45541</v>
      </c>
      <c r="C804" t="s">
        <v>1345</v>
      </c>
      <c r="D804" t="s">
        <v>31</v>
      </c>
      <c r="E804" t="s">
        <v>27</v>
      </c>
      <c r="F804">
        <v>1000</v>
      </c>
      <c r="G804">
        <v>1000</v>
      </c>
      <c r="H804">
        <v>5</v>
      </c>
      <c r="I804" s="1">
        <f t="shared" si="15"/>
        <v>5</v>
      </c>
      <c r="J804" s="1">
        <v>400</v>
      </c>
      <c r="K804" s="1">
        <v>375</v>
      </c>
      <c r="L804" s="1">
        <v>2450</v>
      </c>
      <c r="M804" s="1" t="s">
        <v>149</v>
      </c>
      <c r="N804" s="1"/>
      <c r="O804" s="1"/>
      <c r="P804" s="1"/>
      <c r="Q804" s="62"/>
      <c r="X804">
        <v>2024</v>
      </c>
    </row>
    <row r="805" spans="1:24" x14ac:dyDescent="0.25">
      <c r="A805" t="s">
        <v>1346</v>
      </c>
      <c r="B805" s="52">
        <v>45545</v>
      </c>
      <c r="C805" t="s">
        <v>1347</v>
      </c>
      <c r="D805" t="s">
        <v>176</v>
      </c>
      <c r="E805" t="s">
        <v>27</v>
      </c>
      <c r="F805">
        <v>1000</v>
      </c>
      <c r="G805">
        <v>1000</v>
      </c>
      <c r="H805">
        <v>5</v>
      </c>
      <c r="I805" s="1">
        <f t="shared" si="15"/>
        <v>5</v>
      </c>
      <c r="J805" s="1">
        <v>400</v>
      </c>
      <c r="K805" s="1">
        <v>375</v>
      </c>
      <c r="L805" s="1">
        <v>2450</v>
      </c>
      <c r="M805" s="1" t="s">
        <v>149</v>
      </c>
      <c r="N805" s="1"/>
      <c r="O805" s="1"/>
      <c r="P805" s="1"/>
      <c r="Q805" s="62"/>
      <c r="X805">
        <v>2024</v>
      </c>
    </row>
    <row r="806" spans="1:24" x14ac:dyDescent="0.25">
      <c r="A806" t="s">
        <v>1348</v>
      </c>
      <c r="B806" s="52">
        <v>45545</v>
      </c>
      <c r="C806" t="s">
        <v>252</v>
      </c>
      <c r="D806" t="s">
        <v>83</v>
      </c>
      <c r="E806" t="s">
        <v>32</v>
      </c>
      <c r="F806">
        <v>600</v>
      </c>
      <c r="G806">
        <v>900</v>
      </c>
      <c r="H806">
        <v>36</v>
      </c>
      <c r="I806" s="1">
        <f t="shared" si="15"/>
        <v>19.440000000000001</v>
      </c>
      <c r="J806" s="1">
        <v>544.99</v>
      </c>
      <c r="K806" s="1">
        <v>1500</v>
      </c>
      <c r="L806" s="1">
        <v>12244.6</v>
      </c>
      <c r="M806" s="1" t="s">
        <v>149</v>
      </c>
      <c r="N806" s="1"/>
      <c r="O806" s="1"/>
      <c r="P806" s="44" t="s">
        <v>149</v>
      </c>
      <c r="Q806" s="62">
        <v>45559</v>
      </c>
      <c r="X806">
        <v>2024</v>
      </c>
    </row>
    <row r="807" spans="1:24" x14ac:dyDescent="0.25">
      <c r="A807" t="s">
        <v>1349</v>
      </c>
      <c r="B807" s="52">
        <v>45546</v>
      </c>
      <c r="C807" t="s">
        <v>1350</v>
      </c>
      <c r="D807" t="s">
        <v>70</v>
      </c>
      <c r="E807" t="s">
        <v>27</v>
      </c>
      <c r="F807">
        <v>1000</v>
      </c>
      <c r="G807">
        <v>1000</v>
      </c>
      <c r="H807">
        <v>5</v>
      </c>
      <c r="I807" s="1">
        <f t="shared" si="15"/>
        <v>5</v>
      </c>
      <c r="J807" s="1">
        <v>400</v>
      </c>
      <c r="K807" s="1">
        <v>375</v>
      </c>
      <c r="L807" s="1">
        <v>2450</v>
      </c>
      <c r="M807" s="1" t="s">
        <v>149</v>
      </c>
      <c r="N807" s="1"/>
      <c r="O807" s="1"/>
      <c r="P807" s="1"/>
      <c r="Q807" s="62"/>
      <c r="X807">
        <v>2024</v>
      </c>
    </row>
    <row r="808" spans="1:24" x14ac:dyDescent="0.25">
      <c r="A808" t="s">
        <v>1351</v>
      </c>
      <c r="B808" s="52">
        <v>45548</v>
      </c>
      <c r="C808" t="s">
        <v>1352</v>
      </c>
      <c r="D808" t="s">
        <v>157</v>
      </c>
      <c r="E808" t="s">
        <v>27</v>
      </c>
      <c r="F808">
        <v>1000</v>
      </c>
      <c r="G808">
        <v>1000</v>
      </c>
      <c r="H808">
        <v>10</v>
      </c>
      <c r="I808" s="1">
        <f t="shared" si="15"/>
        <v>10</v>
      </c>
      <c r="J808" s="1">
        <v>356.92</v>
      </c>
      <c r="K808" s="1">
        <v>750</v>
      </c>
      <c r="L808" s="1">
        <v>4469.2</v>
      </c>
      <c r="M808" s="1" t="s">
        <v>149</v>
      </c>
      <c r="N808" s="1"/>
      <c r="O808" s="1"/>
      <c r="P808" s="44" t="s">
        <v>149</v>
      </c>
      <c r="Q808" s="62">
        <v>45580</v>
      </c>
      <c r="X808">
        <v>2024</v>
      </c>
    </row>
    <row r="809" spans="1:24" x14ac:dyDescent="0.25">
      <c r="A809" t="s">
        <v>1353</v>
      </c>
      <c r="B809" s="52">
        <v>45551</v>
      </c>
      <c r="C809" t="s">
        <v>1354</v>
      </c>
      <c r="D809" t="s">
        <v>138</v>
      </c>
      <c r="E809" t="s">
        <v>27</v>
      </c>
      <c r="F809">
        <v>1000</v>
      </c>
      <c r="G809">
        <v>1000</v>
      </c>
      <c r="H809">
        <v>5</v>
      </c>
      <c r="I809" s="1">
        <f t="shared" si="15"/>
        <v>5</v>
      </c>
      <c r="J809" s="1">
        <v>400</v>
      </c>
      <c r="K809" s="1">
        <v>375</v>
      </c>
      <c r="L809" s="1">
        <v>2450</v>
      </c>
      <c r="M809" s="1" t="s">
        <v>149</v>
      </c>
      <c r="N809" s="1"/>
      <c r="O809" s="1"/>
      <c r="P809" s="44" t="s">
        <v>149</v>
      </c>
      <c r="Q809" s="62">
        <v>45559</v>
      </c>
      <c r="X809">
        <v>2024</v>
      </c>
    </row>
    <row r="810" spans="1:24" x14ac:dyDescent="0.25">
      <c r="A810" t="s">
        <v>1355</v>
      </c>
      <c r="B810" s="52">
        <v>45555</v>
      </c>
      <c r="C810" t="s">
        <v>443</v>
      </c>
      <c r="D810" t="s">
        <v>52</v>
      </c>
      <c r="E810" t="s">
        <v>27</v>
      </c>
      <c r="F810">
        <v>316</v>
      </c>
      <c r="G810">
        <v>316</v>
      </c>
      <c r="H810">
        <v>60</v>
      </c>
      <c r="I810" s="1">
        <f t="shared" si="15"/>
        <v>5.9913600000000002</v>
      </c>
      <c r="J810" s="1">
        <v>225</v>
      </c>
      <c r="K810" s="1" t="s">
        <v>982</v>
      </c>
      <c r="L810" s="1">
        <v>1382.6</v>
      </c>
      <c r="M810" s="1" t="s">
        <v>149</v>
      </c>
      <c r="N810" s="1"/>
      <c r="O810" s="1"/>
      <c r="P810" s="44" t="s">
        <v>149</v>
      </c>
      <c r="Q810" s="62">
        <v>45561</v>
      </c>
      <c r="X810">
        <v>2024</v>
      </c>
    </row>
    <row r="811" spans="1:24" x14ac:dyDescent="0.25">
      <c r="A811" t="s">
        <v>1356</v>
      </c>
      <c r="B811" s="52">
        <v>45561</v>
      </c>
      <c r="C811" t="s">
        <v>126</v>
      </c>
      <c r="D811" t="s">
        <v>36</v>
      </c>
      <c r="E811" t="s">
        <v>27</v>
      </c>
      <c r="F811">
        <v>416</v>
      </c>
      <c r="G811">
        <v>316</v>
      </c>
      <c r="H811">
        <v>60</v>
      </c>
      <c r="I811" s="1">
        <f t="shared" si="15"/>
        <v>7.8873600000000001</v>
      </c>
      <c r="J811" s="1">
        <v>367.52</v>
      </c>
      <c r="K811" s="1">
        <v>591.75</v>
      </c>
      <c r="L811" s="1">
        <v>3571.48</v>
      </c>
      <c r="M811" s="1" t="s">
        <v>149</v>
      </c>
      <c r="N811" s="1"/>
      <c r="O811" s="1"/>
      <c r="P811" s="1"/>
      <c r="Q811" s="62"/>
      <c r="S811" t="s">
        <v>1357</v>
      </c>
      <c r="X811">
        <v>2024</v>
      </c>
    </row>
    <row r="812" spans="1:24" x14ac:dyDescent="0.25">
      <c r="A812" t="s">
        <v>1358</v>
      </c>
      <c r="B812" s="52">
        <v>45560</v>
      </c>
      <c r="C812" t="s">
        <v>1037</v>
      </c>
      <c r="D812" t="s">
        <v>100</v>
      </c>
      <c r="E812" t="s">
        <v>27</v>
      </c>
      <c r="F812">
        <v>1500</v>
      </c>
      <c r="G812">
        <v>1500</v>
      </c>
      <c r="H812">
        <v>150</v>
      </c>
      <c r="I812" s="1">
        <f t="shared" si="15"/>
        <v>337.5</v>
      </c>
      <c r="J812" s="1">
        <v>267.18</v>
      </c>
      <c r="K812" s="1">
        <v>8437.5</v>
      </c>
      <c r="L812" s="1">
        <v>99740.75</v>
      </c>
      <c r="M812" s="1" t="s">
        <v>149</v>
      </c>
      <c r="N812" s="1"/>
      <c r="O812" s="1"/>
      <c r="P812" s="1"/>
      <c r="Q812" s="62"/>
      <c r="X812">
        <v>2024</v>
      </c>
    </row>
    <row r="813" spans="1:24" x14ac:dyDescent="0.25">
      <c r="A813" t="s">
        <v>1359</v>
      </c>
      <c r="B813" s="52">
        <v>45560</v>
      </c>
      <c r="C813" t="s">
        <v>1360</v>
      </c>
      <c r="D813" t="s">
        <v>359</v>
      </c>
      <c r="E813" t="s">
        <v>27</v>
      </c>
      <c r="F813">
        <v>2500</v>
      </c>
      <c r="G813">
        <v>1200</v>
      </c>
      <c r="H813">
        <v>44</v>
      </c>
      <c r="I813" s="1">
        <f t="shared" si="15"/>
        <v>132</v>
      </c>
      <c r="J813" s="1">
        <v>281.81</v>
      </c>
      <c r="K813" s="1">
        <v>3300</v>
      </c>
      <c r="L813" s="1">
        <v>40498.92</v>
      </c>
      <c r="M813" s="1" t="s">
        <v>149</v>
      </c>
      <c r="N813" s="1"/>
      <c r="O813" s="1"/>
      <c r="P813" s="1"/>
      <c r="Q813" s="62"/>
      <c r="X813">
        <v>2024</v>
      </c>
    </row>
    <row r="814" spans="1:24" x14ac:dyDescent="0.25">
      <c r="A814" t="s">
        <v>1361</v>
      </c>
      <c r="B814" s="52">
        <v>45560</v>
      </c>
      <c r="C814" t="s">
        <v>1362</v>
      </c>
      <c r="D814" t="s">
        <v>699</v>
      </c>
      <c r="E814" t="s">
        <v>27</v>
      </c>
      <c r="F814">
        <v>1000</v>
      </c>
      <c r="G814">
        <v>1000</v>
      </c>
      <c r="H814">
        <v>5</v>
      </c>
      <c r="I814" s="1">
        <f t="shared" si="15"/>
        <v>5</v>
      </c>
      <c r="J814" s="1">
        <v>400</v>
      </c>
      <c r="K814" s="1">
        <v>375</v>
      </c>
      <c r="L814" s="1">
        <v>2450</v>
      </c>
      <c r="M814" s="1" t="s">
        <v>149</v>
      </c>
      <c r="N814" s="1"/>
      <c r="O814" s="1"/>
      <c r="P814" s="1"/>
      <c r="Q814" s="62"/>
      <c r="X814">
        <v>2024</v>
      </c>
    </row>
    <row r="815" spans="1:24" x14ac:dyDescent="0.25">
      <c r="A815" t="s">
        <v>1363</v>
      </c>
      <c r="B815" s="52">
        <v>45560</v>
      </c>
      <c r="C815" t="s">
        <v>380</v>
      </c>
      <c r="D815" t="s">
        <v>97</v>
      </c>
      <c r="E815" t="s">
        <v>27</v>
      </c>
      <c r="F815">
        <v>1000</v>
      </c>
      <c r="G815">
        <v>1000</v>
      </c>
      <c r="H815">
        <v>10</v>
      </c>
      <c r="I815" s="1">
        <f t="shared" si="15"/>
        <v>10</v>
      </c>
      <c r="J815" s="1">
        <v>350</v>
      </c>
      <c r="K815" s="1">
        <v>750</v>
      </c>
      <c r="L815" s="1">
        <v>4385</v>
      </c>
      <c r="M815" s="1" t="s">
        <v>149</v>
      </c>
      <c r="N815" s="1"/>
      <c r="O815" s="1"/>
      <c r="P815" s="1"/>
      <c r="Q815" s="62"/>
      <c r="X815">
        <v>2024</v>
      </c>
    </row>
    <row r="816" spans="1:24" x14ac:dyDescent="0.25">
      <c r="A816" t="s">
        <v>1364</v>
      </c>
      <c r="B816" s="52">
        <v>45560</v>
      </c>
      <c r="C816" s="39" t="s">
        <v>1365</v>
      </c>
      <c r="D816" t="s">
        <v>57</v>
      </c>
      <c r="E816" t="s">
        <v>27</v>
      </c>
      <c r="F816">
        <v>1000</v>
      </c>
      <c r="G816">
        <v>1000</v>
      </c>
      <c r="H816">
        <v>5</v>
      </c>
      <c r="I816" s="1">
        <f t="shared" si="15"/>
        <v>5</v>
      </c>
      <c r="J816" s="1">
        <v>400</v>
      </c>
      <c r="K816" s="1">
        <v>375</v>
      </c>
      <c r="L816" s="1">
        <v>2500</v>
      </c>
      <c r="M816" s="1" t="s">
        <v>149</v>
      </c>
      <c r="N816" s="1"/>
      <c r="O816" s="1"/>
      <c r="P816" s="1"/>
      <c r="Q816" s="62"/>
      <c r="X816">
        <v>2024</v>
      </c>
    </row>
    <row r="817" spans="1:24" x14ac:dyDescent="0.25">
      <c r="A817" t="s">
        <v>1366</v>
      </c>
      <c r="B817" s="52">
        <v>45562</v>
      </c>
      <c r="C817" t="s">
        <v>148</v>
      </c>
      <c r="D817" t="s">
        <v>57</v>
      </c>
      <c r="E817" t="s">
        <v>27</v>
      </c>
      <c r="F817">
        <v>870</v>
      </c>
      <c r="G817">
        <v>870</v>
      </c>
      <c r="H817">
        <v>110</v>
      </c>
      <c r="I817" s="1">
        <f t="shared" si="15"/>
        <v>83.259</v>
      </c>
      <c r="J817" s="1">
        <v>291.89</v>
      </c>
      <c r="K817" s="1">
        <v>2500</v>
      </c>
      <c r="L817" s="1">
        <v>26802.76</v>
      </c>
      <c r="M817" s="1" t="s">
        <v>149</v>
      </c>
      <c r="N817" s="1"/>
      <c r="O817" s="1"/>
      <c r="P817" s="1"/>
      <c r="Q817" s="62"/>
      <c r="X817">
        <v>2024</v>
      </c>
    </row>
    <row r="818" spans="1:24" x14ac:dyDescent="0.25">
      <c r="A818" t="s">
        <v>1367</v>
      </c>
      <c r="B818" s="52">
        <v>45562</v>
      </c>
      <c r="C818" t="s">
        <v>1368</v>
      </c>
      <c r="D818" t="s">
        <v>57</v>
      </c>
      <c r="E818" t="s">
        <v>27</v>
      </c>
      <c r="F818">
        <v>1000</v>
      </c>
      <c r="G818">
        <v>1000</v>
      </c>
      <c r="H818">
        <v>5</v>
      </c>
      <c r="I818" s="1">
        <f t="shared" si="15"/>
        <v>5</v>
      </c>
      <c r="J818" s="1">
        <v>400</v>
      </c>
      <c r="K818" s="1">
        <v>375</v>
      </c>
      <c r="L818" s="1">
        <v>2500</v>
      </c>
      <c r="M818" s="1" t="s">
        <v>149</v>
      </c>
      <c r="N818" s="1"/>
      <c r="O818" s="1"/>
      <c r="P818" s="1"/>
      <c r="Q818" s="62"/>
      <c r="S818" t="s">
        <v>916</v>
      </c>
      <c r="T818" s="3">
        <v>45628</v>
      </c>
      <c r="X818">
        <v>2024</v>
      </c>
    </row>
    <row r="819" spans="1:24" x14ac:dyDescent="0.25">
      <c r="A819" t="s">
        <v>1369</v>
      </c>
      <c r="C819" t="s">
        <v>891</v>
      </c>
      <c r="D819" t="s">
        <v>57</v>
      </c>
      <c r="E819" t="s">
        <v>37</v>
      </c>
      <c r="F819">
        <v>855</v>
      </c>
      <c r="G819">
        <v>855</v>
      </c>
      <c r="H819">
        <v>1824</v>
      </c>
      <c r="I819" s="1">
        <f t="shared" si="15"/>
        <v>1333.3896</v>
      </c>
      <c r="J819" s="1">
        <v>275</v>
      </c>
      <c r="K819" s="1" t="s">
        <v>982</v>
      </c>
      <c r="L819" s="1"/>
      <c r="M819" s="1" t="s">
        <v>149</v>
      </c>
      <c r="N819" s="1"/>
      <c r="O819" s="1"/>
      <c r="P819" s="1"/>
      <c r="Q819" s="62"/>
      <c r="X819">
        <v>2024</v>
      </c>
    </row>
    <row r="820" spans="1:24" x14ac:dyDescent="0.25">
      <c r="C820" t="s">
        <v>891</v>
      </c>
      <c r="D820" t="s">
        <v>57</v>
      </c>
      <c r="E820" t="s">
        <v>37</v>
      </c>
      <c r="F820">
        <v>855</v>
      </c>
      <c r="G820">
        <v>855</v>
      </c>
      <c r="H820">
        <v>76</v>
      </c>
      <c r="I820" s="1">
        <f t="shared" si="15"/>
        <v>55.557899999999997</v>
      </c>
      <c r="J820" s="1">
        <v>275</v>
      </c>
      <c r="K820" s="1" t="s">
        <v>982</v>
      </c>
      <c r="L820" s="1"/>
      <c r="M820" s="1" t="s">
        <v>149</v>
      </c>
      <c r="N820" s="1"/>
      <c r="O820" s="1"/>
      <c r="P820" s="1"/>
      <c r="Q820" s="62"/>
      <c r="X820">
        <v>2024</v>
      </c>
    </row>
    <row r="821" spans="1:24" x14ac:dyDescent="0.25">
      <c r="A821" t="s">
        <v>1370</v>
      </c>
      <c r="B821" s="52">
        <v>45562</v>
      </c>
      <c r="C821" t="s">
        <v>470</v>
      </c>
      <c r="D821" t="s">
        <v>100</v>
      </c>
      <c r="E821" t="s">
        <v>27</v>
      </c>
      <c r="F821">
        <v>1000</v>
      </c>
      <c r="G821">
        <v>1000</v>
      </c>
      <c r="H821">
        <v>5</v>
      </c>
      <c r="I821" s="1">
        <f t="shared" si="15"/>
        <v>5</v>
      </c>
      <c r="J821" s="1">
        <v>400</v>
      </c>
      <c r="K821" s="1">
        <v>375</v>
      </c>
      <c r="L821" s="1">
        <v>2500</v>
      </c>
      <c r="M821" s="1" t="s">
        <v>149</v>
      </c>
      <c r="N821" s="1"/>
      <c r="O821" s="1"/>
      <c r="P821" s="44" t="s">
        <v>149</v>
      </c>
      <c r="Q821" s="62"/>
      <c r="X821">
        <v>2024</v>
      </c>
    </row>
    <row r="822" spans="1:24" x14ac:dyDescent="0.25">
      <c r="A822" t="s">
        <v>1371</v>
      </c>
      <c r="B822" s="52">
        <v>45562</v>
      </c>
      <c r="C822" t="s">
        <v>470</v>
      </c>
      <c r="D822" t="s">
        <v>100</v>
      </c>
      <c r="E822" t="s">
        <v>37</v>
      </c>
      <c r="F822">
        <v>1000</v>
      </c>
      <c r="G822">
        <v>1000</v>
      </c>
      <c r="H822">
        <v>5</v>
      </c>
      <c r="I822" s="1">
        <f t="shared" si="15"/>
        <v>5</v>
      </c>
      <c r="J822" s="1">
        <v>500</v>
      </c>
      <c r="K822" s="1">
        <v>375</v>
      </c>
      <c r="L822" s="1">
        <v>3000</v>
      </c>
      <c r="M822" s="1" t="s">
        <v>149</v>
      </c>
      <c r="N822" s="1"/>
      <c r="O822" s="1"/>
      <c r="P822" s="44" t="s">
        <v>149</v>
      </c>
      <c r="Q822" s="62"/>
      <c r="X822">
        <v>2024</v>
      </c>
    </row>
    <row r="823" spans="1:24" x14ac:dyDescent="0.25">
      <c r="A823" t="s">
        <v>1372</v>
      </c>
      <c r="B823" s="52">
        <v>45562</v>
      </c>
      <c r="C823" t="s">
        <v>470</v>
      </c>
      <c r="D823" t="s">
        <v>100</v>
      </c>
      <c r="E823" t="s">
        <v>32</v>
      </c>
      <c r="F823">
        <v>1000</v>
      </c>
      <c r="G823">
        <v>1000</v>
      </c>
      <c r="H823">
        <v>5</v>
      </c>
      <c r="I823" s="1">
        <f t="shared" si="15"/>
        <v>5</v>
      </c>
      <c r="J823" s="1">
        <v>600</v>
      </c>
      <c r="K823" s="1">
        <v>375</v>
      </c>
      <c r="L823" s="1">
        <v>3650</v>
      </c>
      <c r="M823" s="1" t="s">
        <v>149</v>
      </c>
      <c r="N823" s="1"/>
      <c r="O823" s="1"/>
      <c r="P823" s="1"/>
      <c r="Q823" s="62"/>
      <c r="X823">
        <v>2024</v>
      </c>
    </row>
    <row r="824" spans="1:24" x14ac:dyDescent="0.25">
      <c r="A824" t="s">
        <v>1373</v>
      </c>
      <c r="B824" s="52">
        <v>45562</v>
      </c>
      <c r="C824" t="s">
        <v>1374</v>
      </c>
      <c r="D824" t="s">
        <v>263</v>
      </c>
      <c r="E824" t="s">
        <v>37</v>
      </c>
      <c r="F824">
        <v>1000</v>
      </c>
      <c r="G824">
        <v>1000</v>
      </c>
      <c r="H824">
        <v>5</v>
      </c>
      <c r="I824" s="1">
        <f t="shared" si="15"/>
        <v>5</v>
      </c>
      <c r="J824" s="1">
        <v>500</v>
      </c>
      <c r="K824" s="1">
        <v>375</v>
      </c>
      <c r="L824" s="1">
        <v>3000</v>
      </c>
      <c r="M824" s="1" t="s">
        <v>149</v>
      </c>
      <c r="U824" s="1"/>
      <c r="V824" s="1"/>
      <c r="W824" s="1"/>
      <c r="X824">
        <v>2024</v>
      </c>
    </row>
    <row r="825" spans="1:24" x14ac:dyDescent="0.25">
      <c r="A825" t="s">
        <v>1375</v>
      </c>
      <c r="B825" s="52">
        <v>45566</v>
      </c>
      <c r="C825" t="s">
        <v>1376</v>
      </c>
      <c r="D825" t="s">
        <v>100</v>
      </c>
      <c r="E825" t="s">
        <v>32</v>
      </c>
      <c r="F825">
        <v>1000</v>
      </c>
      <c r="G825">
        <v>1000</v>
      </c>
      <c r="H825">
        <v>5</v>
      </c>
      <c r="I825" s="1">
        <f t="shared" si="15"/>
        <v>5</v>
      </c>
      <c r="J825" s="1">
        <v>600</v>
      </c>
      <c r="K825" s="1">
        <v>375</v>
      </c>
      <c r="L825" s="1">
        <v>3650</v>
      </c>
      <c r="M825" s="1" t="s">
        <v>149</v>
      </c>
      <c r="N825" s="1"/>
      <c r="O825" s="1"/>
      <c r="P825" s="1"/>
      <c r="Q825" s="62"/>
      <c r="X825">
        <v>2024</v>
      </c>
    </row>
    <row r="826" spans="1:24" x14ac:dyDescent="0.25">
      <c r="A826" t="s">
        <v>1377</v>
      </c>
      <c r="B826" s="52">
        <v>45566</v>
      </c>
      <c r="C826" t="s">
        <v>1378</v>
      </c>
      <c r="D826" t="s">
        <v>1140</v>
      </c>
      <c r="E826" t="s">
        <v>27</v>
      </c>
      <c r="F826">
        <v>1000</v>
      </c>
      <c r="G826">
        <v>1000</v>
      </c>
      <c r="H826">
        <v>5</v>
      </c>
      <c r="I826" s="1">
        <f t="shared" si="15"/>
        <v>5</v>
      </c>
      <c r="J826" s="1">
        <v>400</v>
      </c>
      <c r="K826" s="1">
        <v>375</v>
      </c>
      <c r="L826" s="1">
        <v>2500</v>
      </c>
      <c r="M826" s="1" t="s">
        <v>149</v>
      </c>
      <c r="N826" s="1"/>
      <c r="O826" s="1"/>
      <c r="P826" s="1"/>
      <c r="Q826" s="62"/>
      <c r="X826">
        <v>2024</v>
      </c>
    </row>
    <row r="827" spans="1:24" x14ac:dyDescent="0.25">
      <c r="A827" t="s">
        <v>1379</v>
      </c>
      <c r="B827" s="52">
        <v>45566</v>
      </c>
      <c r="C827" t="s">
        <v>1378</v>
      </c>
      <c r="D827" t="s">
        <v>1140</v>
      </c>
      <c r="E827" t="s">
        <v>37</v>
      </c>
      <c r="F827">
        <v>1000</v>
      </c>
      <c r="G827">
        <v>1000</v>
      </c>
      <c r="H827">
        <v>5</v>
      </c>
      <c r="I827" s="1">
        <f t="shared" si="15"/>
        <v>5</v>
      </c>
      <c r="J827" s="1">
        <v>500</v>
      </c>
      <c r="K827" s="1">
        <v>375</v>
      </c>
      <c r="L827" s="1">
        <v>3000</v>
      </c>
      <c r="M827" s="1" t="s">
        <v>149</v>
      </c>
      <c r="N827" s="1"/>
      <c r="O827" s="1"/>
      <c r="P827" s="1"/>
      <c r="Q827" s="62"/>
      <c r="X827">
        <v>2024</v>
      </c>
    </row>
    <row r="828" spans="1:24" x14ac:dyDescent="0.25">
      <c r="A828" t="s">
        <v>1380</v>
      </c>
      <c r="B828" s="52">
        <v>45566</v>
      </c>
      <c r="C828" t="s">
        <v>1378</v>
      </c>
      <c r="D828" t="s">
        <v>1140</v>
      </c>
      <c r="E828" t="s">
        <v>32</v>
      </c>
      <c r="F828">
        <v>1000</v>
      </c>
      <c r="G828">
        <v>1000</v>
      </c>
      <c r="H828">
        <v>5</v>
      </c>
      <c r="I828" s="1">
        <f t="shared" si="15"/>
        <v>5</v>
      </c>
      <c r="J828" s="1">
        <v>600</v>
      </c>
      <c r="K828" s="1">
        <v>375</v>
      </c>
      <c r="L828" s="1">
        <v>3650</v>
      </c>
      <c r="M828" s="1" t="s">
        <v>149</v>
      </c>
      <c r="N828" s="1"/>
      <c r="O828" s="1"/>
      <c r="P828" s="1"/>
      <c r="Q828" s="62"/>
      <c r="X828">
        <v>2024</v>
      </c>
    </row>
    <row r="829" spans="1:24" x14ac:dyDescent="0.25">
      <c r="A829" t="s">
        <v>1381</v>
      </c>
      <c r="B829" s="52">
        <v>45567</v>
      </c>
      <c r="C829" t="s">
        <v>1382</v>
      </c>
      <c r="D829" t="s">
        <v>57</v>
      </c>
      <c r="E829" t="s">
        <v>27</v>
      </c>
      <c r="F829">
        <v>449</v>
      </c>
      <c r="G829">
        <v>449</v>
      </c>
      <c r="H829">
        <v>100</v>
      </c>
      <c r="I829" s="1">
        <f t="shared" si="15"/>
        <v>20.1601</v>
      </c>
      <c r="J829" s="1">
        <v>336.62</v>
      </c>
      <c r="K829" s="1">
        <v>1008</v>
      </c>
      <c r="L829" s="1">
        <v>7909.26</v>
      </c>
      <c r="M829" s="1" t="s">
        <v>149</v>
      </c>
      <c r="N829" s="1"/>
      <c r="O829" s="1"/>
      <c r="P829" s="1"/>
      <c r="Q829" s="62"/>
      <c r="X829">
        <v>2024</v>
      </c>
    </row>
    <row r="830" spans="1:24" x14ac:dyDescent="0.25">
      <c r="A830" t="s">
        <v>1383</v>
      </c>
      <c r="B830" s="52">
        <v>45567</v>
      </c>
      <c r="C830" t="s">
        <v>1384</v>
      </c>
      <c r="D830" t="s">
        <v>1140</v>
      </c>
      <c r="E830" t="s">
        <v>27</v>
      </c>
      <c r="F830">
        <v>1000</v>
      </c>
      <c r="G830">
        <v>1000</v>
      </c>
      <c r="H830">
        <v>5</v>
      </c>
      <c r="I830" s="1">
        <f t="shared" si="15"/>
        <v>5</v>
      </c>
      <c r="J830" s="1">
        <v>400</v>
      </c>
      <c r="K830" s="1">
        <v>375</v>
      </c>
      <c r="L830" s="1">
        <v>2500</v>
      </c>
      <c r="M830" s="1" t="s">
        <v>149</v>
      </c>
      <c r="N830" s="1"/>
      <c r="O830" s="1"/>
      <c r="P830" s="1"/>
      <c r="Q830" s="62"/>
      <c r="X830">
        <v>2024</v>
      </c>
    </row>
    <row r="831" spans="1:24" x14ac:dyDescent="0.25">
      <c r="A831" t="s">
        <v>1385</v>
      </c>
      <c r="B831" s="52">
        <v>45567</v>
      </c>
      <c r="C831" t="s">
        <v>1384</v>
      </c>
      <c r="D831" t="s">
        <v>1140</v>
      </c>
      <c r="E831" t="s">
        <v>37</v>
      </c>
      <c r="F831">
        <v>1000</v>
      </c>
      <c r="G831">
        <v>1000</v>
      </c>
      <c r="H831">
        <v>5</v>
      </c>
      <c r="I831" s="1">
        <f t="shared" si="15"/>
        <v>5</v>
      </c>
      <c r="J831" s="1">
        <v>500</v>
      </c>
      <c r="K831" s="1">
        <v>375</v>
      </c>
      <c r="L831" s="1">
        <v>3000</v>
      </c>
      <c r="M831" s="1" t="s">
        <v>149</v>
      </c>
      <c r="N831" s="1"/>
      <c r="O831" s="1"/>
      <c r="P831" s="1"/>
      <c r="Q831" s="62"/>
      <c r="X831">
        <v>2024</v>
      </c>
    </row>
    <row r="832" spans="1:24" x14ac:dyDescent="0.25">
      <c r="A832" t="s">
        <v>1386</v>
      </c>
      <c r="B832" s="52">
        <v>45567</v>
      </c>
      <c r="C832" t="s">
        <v>1384</v>
      </c>
      <c r="D832" t="s">
        <v>1140</v>
      </c>
      <c r="E832" t="s">
        <v>32</v>
      </c>
      <c r="F832">
        <v>1000</v>
      </c>
      <c r="G832">
        <v>1000</v>
      </c>
      <c r="H832">
        <v>5</v>
      </c>
      <c r="I832" s="1">
        <f t="shared" si="15"/>
        <v>5</v>
      </c>
      <c r="J832" s="1">
        <v>600</v>
      </c>
      <c r="K832" s="1">
        <v>375</v>
      </c>
      <c r="L832" s="1">
        <v>3650</v>
      </c>
      <c r="M832" s="1" t="s">
        <v>149</v>
      </c>
      <c r="N832" s="1"/>
      <c r="O832" s="1"/>
      <c r="P832" s="1"/>
      <c r="Q832" s="62"/>
      <c r="X832">
        <v>2024</v>
      </c>
    </row>
    <row r="833" spans="1:24" x14ac:dyDescent="0.25">
      <c r="A833" t="s">
        <v>1387</v>
      </c>
      <c r="B833" s="52">
        <v>45567</v>
      </c>
      <c r="C833" t="s">
        <v>1194</v>
      </c>
      <c r="D833" t="s">
        <v>97</v>
      </c>
      <c r="E833" t="s">
        <v>27</v>
      </c>
      <c r="F833">
        <v>1000</v>
      </c>
      <c r="G833">
        <v>1000</v>
      </c>
      <c r="H833">
        <v>20</v>
      </c>
      <c r="I833" s="1">
        <f t="shared" si="15"/>
        <v>20</v>
      </c>
      <c r="J833" s="1">
        <v>337</v>
      </c>
      <c r="K833" s="1">
        <v>1500</v>
      </c>
      <c r="L833" s="1">
        <v>8350</v>
      </c>
      <c r="M833" s="1" t="s">
        <v>149</v>
      </c>
      <c r="N833" s="1"/>
      <c r="O833" s="1"/>
      <c r="P833" s="1"/>
      <c r="Q833" s="62"/>
      <c r="X833">
        <v>2024</v>
      </c>
    </row>
    <row r="834" spans="1:24" x14ac:dyDescent="0.25">
      <c r="A834" t="s">
        <v>1388</v>
      </c>
      <c r="B834" s="52">
        <v>45568</v>
      </c>
      <c r="C834" t="s">
        <v>1389</v>
      </c>
      <c r="D834" t="s">
        <v>36</v>
      </c>
      <c r="E834" t="s">
        <v>27</v>
      </c>
      <c r="F834">
        <v>1000</v>
      </c>
      <c r="G834">
        <v>1000</v>
      </c>
      <c r="H834">
        <v>5</v>
      </c>
      <c r="I834" s="1">
        <f t="shared" si="15"/>
        <v>5</v>
      </c>
      <c r="J834" s="1">
        <v>400</v>
      </c>
      <c r="K834" s="1">
        <v>375</v>
      </c>
      <c r="L834" s="1">
        <v>2450</v>
      </c>
      <c r="M834" s="1" t="s">
        <v>149</v>
      </c>
      <c r="N834" s="1"/>
      <c r="O834" s="1"/>
      <c r="P834" s="1"/>
      <c r="Q834" s="62"/>
      <c r="X834">
        <v>2024</v>
      </c>
    </row>
    <row r="835" spans="1:24" x14ac:dyDescent="0.25">
      <c r="A835" t="s">
        <v>1390</v>
      </c>
      <c r="B835" s="52">
        <v>45568</v>
      </c>
      <c r="C835" t="s">
        <v>45</v>
      </c>
      <c r="D835" t="s">
        <v>46</v>
      </c>
      <c r="E835" t="s">
        <v>27</v>
      </c>
      <c r="F835">
        <v>500</v>
      </c>
      <c r="G835">
        <v>500</v>
      </c>
      <c r="H835">
        <v>80</v>
      </c>
      <c r="I835" s="1">
        <f t="shared" si="15"/>
        <v>20</v>
      </c>
      <c r="J835" s="1">
        <v>337</v>
      </c>
      <c r="K835" s="1">
        <v>1500</v>
      </c>
      <c r="L835" s="1">
        <v>8240</v>
      </c>
      <c r="M835" s="1" t="s">
        <v>149</v>
      </c>
      <c r="N835" s="1"/>
      <c r="O835" s="1"/>
      <c r="P835" s="1"/>
      <c r="Q835" s="62"/>
      <c r="X835">
        <v>2024</v>
      </c>
    </row>
    <row r="836" spans="1:24" x14ac:dyDescent="0.25">
      <c r="A836" t="s">
        <v>1391</v>
      </c>
      <c r="B836" s="52">
        <v>45573</v>
      </c>
      <c r="C836" t="s">
        <v>1037</v>
      </c>
      <c r="D836" t="s">
        <v>100</v>
      </c>
      <c r="E836" t="s">
        <v>27</v>
      </c>
      <c r="F836">
        <v>1600</v>
      </c>
      <c r="G836">
        <v>1600</v>
      </c>
      <c r="H836">
        <v>150</v>
      </c>
      <c r="I836" s="1">
        <f t="shared" si="15"/>
        <v>384</v>
      </c>
      <c r="J836" s="1">
        <v>266.04000000000002</v>
      </c>
      <c r="K836" s="1">
        <v>9600</v>
      </c>
      <c r="L836" s="1">
        <v>113235.36</v>
      </c>
      <c r="M836" s="1" t="s">
        <v>149</v>
      </c>
      <c r="N836" s="1"/>
      <c r="O836" s="1"/>
      <c r="P836" s="1"/>
      <c r="Q836" s="62"/>
      <c r="X836">
        <v>2024</v>
      </c>
    </row>
    <row r="837" spans="1:24" x14ac:dyDescent="0.25">
      <c r="A837" t="s">
        <v>1392</v>
      </c>
      <c r="B837" s="52">
        <v>45573</v>
      </c>
      <c r="C837" t="s">
        <v>1393</v>
      </c>
      <c r="D837" t="s">
        <v>100</v>
      </c>
      <c r="E837" t="s">
        <v>27</v>
      </c>
      <c r="F837">
        <v>1000</v>
      </c>
      <c r="G837">
        <v>1000</v>
      </c>
      <c r="H837">
        <v>5</v>
      </c>
      <c r="I837" s="1">
        <f t="shared" si="15"/>
        <v>5</v>
      </c>
      <c r="J837" s="1">
        <v>400</v>
      </c>
      <c r="K837" s="1">
        <v>375</v>
      </c>
      <c r="L837" s="1">
        <v>2500</v>
      </c>
      <c r="M837" s="1" t="s">
        <v>149</v>
      </c>
      <c r="N837" s="1"/>
      <c r="O837" s="1"/>
      <c r="P837" s="44" t="s">
        <v>149</v>
      </c>
      <c r="Q837" s="62">
        <v>45575</v>
      </c>
      <c r="X837">
        <v>2024</v>
      </c>
    </row>
    <row r="838" spans="1:24" x14ac:dyDescent="0.25">
      <c r="A838" t="s">
        <v>1394</v>
      </c>
      <c r="B838" s="52">
        <v>45574</v>
      </c>
      <c r="C838" t="s">
        <v>238</v>
      </c>
      <c r="D838" t="s">
        <v>138</v>
      </c>
      <c r="E838" t="s">
        <v>32</v>
      </c>
      <c r="F838">
        <v>603</v>
      </c>
      <c r="G838">
        <v>489</v>
      </c>
      <c r="H838">
        <v>400</v>
      </c>
      <c r="I838" s="1">
        <f t="shared" si="15"/>
        <v>117.9468</v>
      </c>
      <c r="J838" s="1">
        <v>459.47</v>
      </c>
      <c r="K838" s="1">
        <v>2948.75</v>
      </c>
      <c r="L838">
        <v>57273.24</v>
      </c>
      <c r="M838" s="1" t="s">
        <v>149</v>
      </c>
      <c r="N838" s="1"/>
      <c r="O838" s="1"/>
      <c r="P838" s="1"/>
      <c r="Q838" s="62"/>
      <c r="X838">
        <v>2024</v>
      </c>
    </row>
    <row r="839" spans="1:24" x14ac:dyDescent="0.25">
      <c r="A839" t="s">
        <v>1395</v>
      </c>
      <c r="B839" s="52">
        <v>45574</v>
      </c>
      <c r="C839" t="s">
        <v>238</v>
      </c>
      <c r="D839" t="s">
        <v>138</v>
      </c>
      <c r="E839" t="s">
        <v>32</v>
      </c>
      <c r="F839">
        <v>603</v>
      </c>
      <c r="G839">
        <v>489</v>
      </c>
      <c r="H839">
        <v>800</v>
      </c>
      <c r="I839" s="1">
        <f t="shared" si="15"/>
        <v>235.89359999999999</v>
      </c>
      <c r="J839" s="1">
        <v>437.77</v>
      </c>
      <c r="K839" s="1">
        <v>5897.25</v>
      </c>
      <c r="L839" s="1">
        <v>109312.82</v>
      </c>
      <c r="M839" s="1" t="s">
        <v>149</v>
      </c>
      <c r="N839" s="1"/>
      <c r="O839" s="1"/>
      <c r="P839" s="44" t="s">
        <v>149</v>
      </c>
      <c r="Q839" s="62">
        <v>45580</v>
      </c>
      <c r="X839">
        <v>2024</v>
      </c>
    </row>
    <row r="840" spans="1:24" x14ac:dyDescent="0.25">
      <c r="A840" t="s">
        <v>1396</v>
      </c>
      <c r="B840" s="52">
        <v>45574</v>
      </c>
      <c r="C840" t="s">
        <v>45</v>
      </c>
      <c r="D840" t="s">
        <v>46</v>
      </c>
      <c r="E840" t="s">
        <v>27</v>
      </c>
      <c r="F840">
        <v>1000</v>
      </c>
      <c r="G840">
        <v>1000</v>
      </c>
      <c r="H840">
        <v>15</v>
      </c>
      <c r="I840" s="1">
        <f t="shared" si="15"/>
        <v>15</v>
      </c>
      <c r="J840" s="1">
        <v>343.7</v>
      </c>
      <c r="K840" s="1">
        <v>1125</v>
      </c>
      <c r="L840" s="1">
        <v>6280.5</v>
      </c>
      <c r="M840" s="1" t="s">
        <v>149</v>
      </c>
      <c r="N840" s="1"/>
      <c r="O840" s="1"/>
      <c r="P840" s="1"/>
      <c r="Q840" s="62"/>
      <c r="X840">
        <v>2024</v>
      </c>
    </row>
    <row r="841" spans="1:24" x14ac:dyDescent="0.25">
      <c r="A841" t="s">
        <v>1397</v>
      </c>
      <c r="B841" s="52">
        <v>45581</v>
      </c>
      <c r="C841" t="s">
        <v>1382</v>
      </c>
      <c r="D841" t="s">
        <v>57</v>
      </c>
      <c r="E841" t="s">
        <v>27</v>
      </c>
      <c r="F841">
        <v>449</v>
      </c>
      <c r="G841">
        <v>449</v>
      </c>
      <c r="H841">
        <v>130</v>
      </c>
      <c r="I841" s="1">
        <f t="shared" si="15"/>
        <v>26.208130000000001</v>
      </c>
      <c r="J841" s="1">
        <v>322.99</v>
      </c>
      <c r="K841" s="1">
        <v>1310.5</v>
      </c>
      <c r="L841" s="1">
        <v>9896.07</v>
      </c>
      <c r="M841" s="1" t="s">
        <v>149</v>
      </c>
      <c r="N841" s="1"/>
      <c r="O841" s="1"/>
      <c r="P841" s="1"/>
      <c r="Q841" s="62"/>
      <c r="X841">
        <v>2024</v>
      </c>
    </row>
    <row r="842" spans="1:24" x14ac:dyDescent="0.25">
      <c r="A842" t="s">
        <v>1398</v>
      </c>
      <c r="B842" s="52">
        <v>45576</v>
      </c>
      <c r="C842" t="s">
        <v>1211</v>
      </c>
      <c r="D842" t="s">
        <v>46</v>
      </c>
      <c r="E842" t="s">
        <v>37</v>
      </c>
      <c r="F842">
        <v>1000</v>
      </c>
      <c r="G842">
        <v>1000</v>
      </c>
      <c r="H842">
        <v>10</v>
      </c>
      <c r="I842" s="1">
        <f t="shared" si="15"/>
        <v>10</v>
      </c>
      <c r="J842" s="1">
        <v>464</v>
      </c>
      <c r="K842" s="1">
        <v>750</v>
      </c>
      <c r="L842" s="1">
        <v>5640</v>
      </c>
      <c r="M842" s="1" t="s">
        <v>149</v>
      </c>
      <c r="N842" s="1"/>
      <c r="O842" s="1"/>
      <c r="P842" s="1"/>
      <c r="Q842" s="62"/>
      <c r="X842">
        <v>2024</v>
      </c>
    </row>
    <row r="843" spans="1:24" x14ac:dyDescent="0.25">
      <c r="A843" t="s">
        <v>1399</v>
      </c>
      <c r="B843" s="52">
        <v>45576</v>
      </c>
      <c r="C843" t="s">
        <v>1400</v>
      </c>
      <c r="D843" t="s">
        <v>70</v>
      </c>
      <c r="E843" t="s">
        <v>32</v>
      </c>
      <c r="F843">
        <v>1000</v>
      </c>
      <c r="G843">
        <v>1000</v>
      </c>
      <c r="H843">
        <v>5</v>
      </c>
      <c r="I843" s="1">
        <f t="shared" si="15"/>
        <v>5</v>
      </c>
      <c r="J843" s="1">
        <v>600</v>
      </c>
      <c r="K843" s="1">
        <v>375</v>
      </c>
      <c r="L843" s="1">
        <v>3650</v>
      </c>
      <c r="M843" s="1" t="s">
        <v>149</v>
      </c>
      <c r="N843" s="1"/>
      <c r="O843" s="1"/>
      <c r="P843" s="1"/>
      <c r="Q843" s="62"/>
      <c r="X843">
        <v>2024</v>
      </c>
    </row>
    <row r="844" spans="1:24" x14ac:dyDescent="0.25">
      <c r="A844" t="s">
        <v>1401</v>
      </c>
      <c r="B844" s="52">
        <v>45579</v>
      </c>
      <c r="C844" t="s">
        <v>126</v>
      </c>
      <c r="D844" t="s">
        <v>36</v>
      </c>
      <c r="E844" t="s">
        <v>32</v>
      </c>
      <c r="F844">
        <v>1000</v>
      </c>
      <c r="G844">
        <v>1000</v>
      </c>
      <c r="H844">
        <v>693</v>
      </c>
      <c r="I844" s="1">
        <f t="shared" si="15"/>
        <v>693</v>
      </c>
      <c r="J844" s="1">
        <v>405.62</v>
      </c>
      <c r="K844" s="1">
        <v>17325</v>
      </c>
      <c r="L844" s="1">
        <v>298769.65999999997</v>
      </c>
      <c r="M844" s="1" t="s">
        <v>149</v>
      </c>
      <c r="N844" s="1"/>
      <c r="O844" s="1"/>
      <c r="P844" s="1"/>
      <c r="Q844" s="62"/>
      <c r="X844">
        <v>2024</v>
      </c>
    </row>
    <row r="845" spans="1:24" x14ac:dyDescent="0.25">
      <c r="A845" t="s">
        <v>1402</v>
      </c>
      <c r="B845" s="52">
        <v>45579</v>
      </c>
      <c r="C845" t="s">
        <v>106</v>
      </c>
      <c r="D845" t="s">
        <v>46</v>
      </c>
      <c r="E845" t="s">
        <v>37</v>
      </c>
      <c r="F845">
        <v>2450</v>
      </c>
      <c r="G845">
        <v>1700</v>
      </c>
      <c r="H845">
        <v>20</v>
      </c>
      <c r="I845" s="1">
        <f t="shared" si="15"/>
        <v>83.3</v>
      </c>
      <c r="J845" s="1">
        <v>379.45</v>
      </c>
      <c r="K845" s="1">
        <v>4165</v>
      </c>
      <c r="L845" s="1">
        <v>36123.19</v>
      </c>
      <c r="M845" s="1" t="s">
        <v>149</v>
      </c>
      <c r="N845" s="1"/>
      <c r="O845" s="1"/>
      <c r="P845" s="44" t="s">
        <v>149</v>
      </c>
      <c r="Q845" s="62">
        <v>45581</v>
      </c>
      <c r="X845">
        <v>2024</v>
      </c>
    </row>
    <row r="846" spans="1:24" x14ac:dyDescent="0.25">
      <c r="A846" t="s">
        <v>1403</v>
      </c>
      <c r="B846" s="52">
        <v>45581</v>
      </c>
      <c r="C846" t="s">
        <v>1393</v>
      </c>
      <c r="D846" t="s">
        <v>100</v>
      </c>
      <c r="E846" t="s">
        <v>32</v>
      </c>
      <c r="F846">
        <v>1000</v>
      </c>
      <c r="G846">
        <v>1000</v>
      </c>
      <c r="H846">
        <v>5</v>
      </c>
      <c r="I846" s="1">
        <f t="shared" si="15"/>
        <v>5</v>
      </c>
      <c r="J846" s="1">
        <v>600</v>
      </c>
      <c r="K846" s="1">
        <v>375</v>
      </c>
      <c r="L846" s="1">
        <v>3650</v>
      </c>
      <c r="M846" s="1" t="s">
        <v>149</v>
      </c>
      <c r="N846" s="1"/>
      <c r="O846" s="1"/>
      <c r="P846" s="44" t="s">
        <v>149</v>
      </c>
      <c r="Q846" s="62">
        <v>45586</v>
      </c>
      <c r="X846">
        <v>2024</v>
      </c>
    </row>
    <row r="847" spans="1:24" x14ac:dyDescent="0.25">
      <c r="A847" t="s">
        <v>1404</v>
      </c>
      <c r="B847" s="52">
        <v>45583</v>
      </c>
      <c r="C847" t="s">
        <v>1405</v>
      </c>
      <c r="D847" t="s">
        <v>157</v>
      </c>
      <c r="E847" t="s">
        <v>27</v>
      </c>
      <c r="F847">
        <v>1010</v>
      </c>
      <c r="G847">
        <v>1010</v>
      </c>
      <c r="H847">
        <v>150</v>
      </c>
      <c r="I847" s="1">
        <f t="shared" si="15"/>
        <v>153.01499999999999</v>
      </c>
      <c r="J847" s="1">
        <v>278.51</v>
      </c>
      <c r="K847" s="1">
        <v>3825.5</v>
      </c>
      <c r="L847" s="1">
        <v>46558.1</v>
      </c>
      <c r="M847" s="1" t="s">
        <v>149</v>
      </c>
      <c r="N847" s="1"/>
      <c r="O847" s="1"/>
      <c r="P847" s="1"/>
      <c r="Q847" s="62"/>
      <c r="X847">
        <v>2024</v>
      </c>
    </row>
    <row r="848" spans="1:24" x14ac:dyDescent="0.25">
      <c r="A848" t="s">
        <v>1406</v>
      </c>
      <c r="B848" s="52">
        <v>45588</v>
      </c>
      <c r="C848" t="s">
        <v>171</v>
      </c>
      <c r="D848" t="s">
        <v>31</v>
      </c>
      <c r="E848" t="s">
        <v>27</v>
      </c>
      <c r="F848">
        <v>1209</v>
      </c>
      <c r="G848">
        <v>989</v>
      </c>
      <c r="H848">
        <v>350</v>
      </c>
      <c r="I848" s="1">
        <f t="shared" si="15"/>
        <v>418.49534999999997</v>
      </c>
      <c r="J848" s="1">
        <v>265.36</v>
      </c>
      <c r="K848" s="1">
        <v>10462.5</v>
      </c>
      <c r="L848" s="1">
        <v>121655.66</v>
      </c>
      <c r="M848" s="1" t="s">
        <v>149</v>
      </c>
      <c r="N848" s="1"/>
      <c r="O848" s="1"/>
      <c r="P848" s="1"/>
      <c r="Q848" s="62"/>
      <c r="X848">
        <v>2024</v>
      </c>
    </row>
    <row r="849" spans="1:24" x14ac:dyDescent="0.25">
      <c r="A849" t="s">
        <v>1407</v>
      </c>
      <c r="B849" s="52">
        <v>45588</v>
      </c>
      <c r="C849" t="s">
        <v>171</v>
      </c>
      <c r="D849" t="s">
        <v>31</v>
      </c>
      <c r="E849" t="s">
        <v>27</v>
      </c>
      <c r="F849">
        <v>1209</v>
      </c>
      <c r="G849">
        <v>989</v>
      </c>
      <c r="H849">
        <v>1800</v>
      </c>
      <c r="I849" s="1">
        <f t="shared" si="15"/>
        <v>2152.2618000000002</v>
      </c>
      <c r="J849" s="1">
        <v>265</v>
      </c>
      <c r="K849" s="1" t="s">
        <v>1408</v>
      </c>
      <c r="L849" s="1">
        <v>570868.9</v>
      </c>
      <c r="M849" s="1" t="s">
        <v>149</v>
      </c>
      <c r="N849" s="1"/>
      <c r="O849" s="1"/>
      <c r="P849" s="1"/>
      <c r="Q849" s="62"/>
      <c r="X849">
        <v>2024</v>
      </c>
    </row>
    <row r="850" spans="1:24" x14ac:dyDescent="0.25">
      <c r="A850" t="s">
        <v>1409</v>
      </c>
      <c r="B850" s="52">
        <v>45583</v>
      </c>
      <c r="C850" t="s">
        <v>126</v>
      </c>
      <c r="D850" t="s">
        <v>36</v>
      </c>
      <c r="E850" t="s">
        <v>32</v>
      </c>
      <c r="F850">
        <v>1610</v>
      </c>
      <c r="G850">
        <v>930</v>
      </c>
      <c r="H850">
        <v>693</v>
      </c>
      <c r="I850" s="1">
        <f t="shared" si="15"/>
        <v>1037.6288999999999</v>
      </c>
      <c r="J850" s="1">
        <v>387.82</v>
      </c>
      <c r="K850" s="1">
        <v>25940.75</v>
      </c>
      <c r="L850" s="1">
        <v>428514.42</v>
      </c>
      <c r="M850" s="1" t="s">
        <v>149</v>
      </c>
      <c r="N850" s="1"/>
      <c r="O850" s="1"/>
      <c r="P850" s="1"/>
      <c r="Q850" s="62"/>
      <c r="X850">
        <v>2024</v>
      </c>
    </row>
    <row r="851" spans="1:24" x14ac:dyDescent="0.25">
      <c r="A851" t="s">
        <v>1410</v>
      </c>
      <c r="B851" s="52">
        <v>45583</v>
      </c>
      <c r="C851" t="s">
        <v>1411</v>
      </c>
      <c r="D851" t="s">
        <v>70</v>
      </c>
      <c r="E851" t="s">
        <v>27</v>
      </c>
      <c r="F851">
        <v>1000</v>
      </c>
      <c r="G851">
        <v>1000</v>
      </c>
      <c r="H851">
        <v>5</v>
      </c>
      <c r="I851" s="1">
        <f t="shared" si="15"/>
        <v>5</v>
      </c>
      <c r="J851" s="1">
        <v>400</v>
      </c>
      <c r="K851" s="1">
        <v>375</v>
      </c>
      <c r="L851" s="1">
        <v>2450</v>
      </c>
      <c r="M851" s="1" t="s">
        <v>149</v>
      </c>
      <c r="N851" s="1"/>
      <c r="O851" s="1"/>
      <c r="P851" s="1"/>
      <c r="Q851" s="62"/>
      <c r="X851">
        <v>2024</v>
      </c>
    </row>
    <row r="852" spans="1:24" x14ac:dyDescent="0.25">
      <c r="A852" t="s">
        <v>1412</v>
      </c>
      <c r="B852" s="52">
        <v>45583</v>
      </c>
      <c r="C852" t="s">
        <v>1400</v>
      </c>
      <c r="D852" t="s">
        <v>70</v>
      </c>
      <c r="E852" t="s">
        <v>37</v>
      </c>
      <c r="F852">
        <v>1000</v>
      </c>
      <c r="G852">
        <v>1000</v>
      </c>
      <c r="H852">
        <v>5</v>
      </c>
      <c r="I852" s="1">
        <f t="shared" si="15"/>
        <v>5</v>
      </c>
      <c r="J852" s="1">
        <v>500</v>
      </c>
      <c r="K852" s="1">
        <v>375</v>
      </c>
      <c r="L852" s="1">
        <v>2950</v>
      </c>
      <c r="M852" s="1" t="s">
        <v>149</v>
      </c>
      <c r="N852" s="1"/>
      <c r="O852" s="1"/>
      <c r="P852" s="1"/>
      <c r="Q852" s="62"/>
      <c r="X852">
        <v>2024</v>
      </c>
    </row>
    <row r="853" spans="1:24" x14ac:dyDescent="0.25">
      <c r="A853" t="s">
        <v>1413</v>
      </c>
      <c r="B853" s="52">
        <v>45590</v>
      </c>
      <c r="C853" t="s">
        <v>735</v>
      </c>
      <c r="D853" t="s">
        <v>57</v>
      </c>
      <c r="E853" t="s">
        <v>27</v>
      </c>
      <c r="F853">
        <v>1700</v>
      </c>
      <c r="G853">
        <v>1700</v>
      </c>
      <c r="H853">
        <v>4060</v>
      </c>
      <c r="I853" s="1">
        <f t="shared" si="15"/>
        <v>11733.4</v>
      </c>
      <c r="J853" s="1">
        <v>265</v>
      </c>
      <c r="K853" s="1" t="s">
        <v>1408</v>
      </c>
      <c r="L853" s="1">
        <v>3109351</v>
      </c>
      <c r="M853" s="1" t="s">
        <v>149</v>
      </c>
      <c r="N853" s="1"/>
      <c r="O853" s="1"/>
      <c r="P853" s="1"/>
      <c r="Q853" s="62"/>
      <c r="X853">
        <v>2024</v>
      </c>
    </row>
    <row r="854" spans="1:24" x14ac:dyDescent="0.25">
      <c r="A854" t="s">
        <v>1414</v>
      </c>
      <c r="B854" s="52">
        <v>45594</v>
      </c>
      <c r="C854" t="s">
        <v>1415</v>
      </c>
      <c r="D854" t="s">
        <v>157</v>
      </c>
      <c r="E854" t="s">
        <v>27</v>
      </c>
      <c r="F854">
        <v>1000</v>
      </c>
      <c r="G854">
        <v>1000</v>
      </c>
      <c r="H854">
        <v>5</v>
      </c>
      <c r="I854" s="1">
        <f t="shared" si="15"/>
        <v>5</v>
      </c>
      <c r="J854" s="1">
        <v>400</v>
      </c>
      <c r="K854" s="1">
        <v>375</v>
      </c>
      <c r="L854" s="1">
        <v>2450</v>
      </c>
      <c r="M854" s="1" t="s">
        <v>149</v>
      </c>
      <c r="N854" s="1"/>
      <c r="O854" s="1"/>
      <c r="P854" s="1"/>
      <c r="Q854" s="62"/>
      <c r="X854">
        <v>2024</v>
      </c>
    </row>
    <row r="855" spans="1:24" x14ac:dyDescent="0.25">
      <c r="A855" t="s">
        <v>1416</v>
      </c>
      <c r="B855" s="52">
        <v>45614</v>
      </c>
      <c r="C855" t="s">
        <v>1417</v>
      </c>
      <c r="D855" t="s">
        <v>157</v>
      </c>
      <c r="E855" t="s">
        <v>32</v>
      </c>
      <c r="F855">
        <v>1500</v>
      </c>
      <c r="G855">
        <v>1500</v>
      </c>
      <c r="H855">
        <v>8</v>
      </c>
      <c r="I855" s="1">
        <f t="shared" ref="I855:I877" si="16">$F855*$G855*$H855/1000000</f>
        <v>18</v>
      </c>
      <c r="J855" s="1">
        <v>547.64</v>
      </c>
      <c r="K855" s="1">
        <v>1350</v>
      </c>
      <c r="L855" s="1">
        <v>11262.52</v>
      </c>
      <c r="M855" s="1" t="s">
        <v>149</v>
      </c>
      <c r="N855" s="1"/>
      <c r="O855" s="1"/>
      <c r="P855" s="44" t="s">
        <v>149</v>
      </c>
      <c r="Q855" s="62">
        <v>45617</v>
      </c>
      <c r="X855">
        <v>2024</v>
      </c>
    </row>
    <row r="856" spans="1:24" x14ac:dyDescent="0.25">
      <c r="A856" t="s">
        <v>1418</v>
      </c>
      <c r="B856" s="52">
        <v>45595</v>
      </c>
      <c r="C856" t="s">
        <v>1419</v>
      </c>
      <c r="D856" t="s">
        <v>70</v>
      </c>
      <c r="E856" t="s">
        <v>27</v>
      </c>
      <c r="F856">
        <v>125</v>
      </c>
      <c r="G856">
        <v>1500</v>
      </c>
      <c r="H856">
        <v>107</v>
      </c>
      <c r="I856" s="1">
        <f t="shared" si="16"/>
        <v>20.0625</v>
      </c>
      <c r="J856" s="1">
        <v>336.91</v>
      </c>
      <c r="K856" s="1">
        <v>1500</v>
      </c>
      <c r="L856" s="1">
        <v>8258.41</v>
      </c>
      <c r="M856" s="1" t="s">
        <v>149</v>
      </c>
      <c r="N856" s="1"/>
      <c r="O856" s="1"/>
      <c r="P856" s="1"/>
      <c r="Q856" s="62"/>
      <c r="X856">
        <v>2024</v>
      </c>
    </row>
    <row r="857" spans="1:24" x14ac:dyDescent="0.25">
      <c r="A857" t="s">
        <v>1420</v>
      </c>
      <c r="B857" s="52">
        <v>45601</v>
      </c>
      <c r="C857" t="s">
        <v>1421</v>
      </c>
      <c r="D857" t="s">
        <v>100</v>
      </c>
      <c r="E857" t="s">
        <v>27</v>
      </c>
      <c r="F857">
        <v>1000</v>
      </c>
      <c r="G857">
        <v>1000</v>
      </c>
      <c r="H857">
        <v>5</v>
      </c>
      <c r="I857" s="1">
        <f t="shared" si="16"/>
        <v>5</v>
      </c>
      <c r="J857" s="1">
        <v>400</v>
      </c>
      <c r="K857" s="1">
        <v>375</v>
      </c>
      <c r="L857" s="1">
        <v>2500</v>
      </c>
      <c r="M857" s="1" t="s">
        <v>149</v>
      </c>
      <c r="N857" s="1"/>
      <c r="O857" s="1"/>
      <c r="P857" s="1"/>
      <c r="Q857" s="62"/>
      <c r="X857">
        <v>2024</v>
      </c>
    </row>
    <row r="858" spans="1:24" x14ac:dyDescent="0.25">
      <c r="A858" t="s">
        <v>1422</v>
      </c>
      <c r="B858" s="52">
        <v>45601</v>
      </c>
      <c r="C858" t="s">
        <v>1421</v>
      </c>
      <c r="D858" t="s">
        <v>100</v>
      </c>
      <c r="E858" t="s">
        <v>37</v>
      </c>
      <c r="F858">
        <v>1000</v>
      </c>
      <c r="G858">
        <v>1000</v>
      </c>
      <c r="H858">
        <v>5</v>
      </c>
      <c r="I858" s="1">
        <f t="shared" si="16"/>
        <v>5</v>
      </c>
      <c r="J858" s="1">
        <v>500</v>
      </c>
      <c r="K858" s="1">
        <v>375</v>
      </c>
      <c r="L858" s="1">
        <v>3000</v>
      </c>
      <c r="M858" s="1" t="s">
        <v>149</v>
      </c>
      <c r="N858" s="1"/>
      <c r="O858" s="1"/>
      <c r="P858" s="1"/>
      <c r="Q858" s="62"/>
      <c r="X858">
        <v>2024</v>
      </c>
    </row>
    <row r="859" spans="1:24" x14ac:dyDescent="0.25">
      <c r="A859" t="s">
        <v>1423</v>
      </c>
      <c r="B859" s="52">
        <v>45601</v>
      </c>
      <c r="C859" t="s">
        <v>1421</v>
      </c>
      <c r="D859" t="s">
        <v>100</v>
      </c>
      <c r="E859" t="s">
        <v>32</v>
      </c>
      <c r="F859">
        <v>1000</v>
      </c>
      <c r="G859">
        <v>1000</v>
      </c>
      <c r="H859">
        <v>5</v>
      </c>
      <c r="I859" s="1">
        <f t="shared" si="16"/>
        <v>5</v>
      </c>
      <c r="J859" s="1">
        <v>600</v>
      </c>
      <c r="K859" s="1">
        <v>375</v>
      </c>
      <c r="L859" s="1">
        <v>3650</v>
      </c>
      <c r="M859" s="1" t="s">
        <v>149</v>
      </c>
      <c r="N859" s="1"/>
      <c r="O859" s="1"/>
      <c r="P859" s="1"/>
      <c r="Q859" s="62"/>
      <c r="X859">
        <v>2024</v>
      </c>
    </row>
    <row r="860" spans="1:24" x14ac:dyDescent="0.25">
      <c r="A860" t="s">
        <v>1424</v>
      </c>
      <c r="B860" s="52">
        <v>45601</v>
      </c>
      <c r="C860" t="s">
        <v>1425</v>
      </c>
      <c r="D860" t="s">
        <v>46</v>
      </c>
      <c r="E860" t="s">
        <v>27</v>
      </c>
      <c r="F860">
        <v>1580</v>
      </c>
      <c r="G860">
        <v>2480</v>
      </c>
      <c r="H860">
        <v>100</v>
      </c>
      <c r="I860" s="1">
        <f t="shared" si="16"/>
        <v>391.84</v>
      </c>
      <c r="J860" s="1">
        <v>265.87</v>
      </c>
      <c r="K860" s="1">
        <v>9796</v>
      </c>
      <c r="L860" s="1">
        <v>113974.5</v>
      </c>
      <c r="M860" s="1" t="s">
        <v>149</v>
      </c>
      <c r="N860" s="1"/>
      <c r="O860" s="1"/>
      <c r="P860" s="1"/>
      <c r="Q860" s="62"/>
      <c r="X860">
        <v>2024</v>
      </c>
    </row>
    <row r="861" spans="1:24" x14ac:dyDescent="0.25">
      <c r="A861" t="s">
        <v>1426</v>
      </c>
      <c r="B861" s="52">
        <v>45601</v>
      </c>
      <c r="C861" t="s">
        <v>1425</v>
      </c>
      <c r="D861" t="s">
        <v>46</v>
      </c>
      <c r="E861" t="s">
        <v>37</v>
      </c>
      <c r="F861">
        <v>1580</v>
      </c>
      <c r="G861">
        <v>2480</v>
      </c>
      <c r="H861">
        <v>100</v>
      </c>
      <c r="I861" s="1">
        <f t="shared" si="16"/>
        <v>391.84</v>
      </c>
      <c r="J861" s="1">
        <v>345.63</v>
      </c>
      <c r="K861" s="1">
        <v>9796</v>
      </c>
      <c r="L861" s="1">
        <v>145227.66</v>
      </c>
      <c r="M861" s="1" t="s">
        <v>149</v>
      </c>
      <c r="N861" s="1"/>
      <c r="O861" s="1"/>
      <c r="P861" s="1"/>
      <c r="Q861" s="62"/>
      <c r="X861">
        <v>2024</v>
      </c>
    </row>
    <row r="862" spans="1:24" x14ac:dyDescent="0.25">
      <c r="A862" t="s">
        <v>1427</v>
      </c>
      <c r="B862" s="52">
        <v>45602</v>
      </c>
      <c r="C862" t="s">
        <v>1318</v>
      </c>
      <c r="D862" t="s">
        <v>31</v>
      </c>
      <c r="E862" t="s">
        <v>27</v>
      </c>
      <c r="F862">
        <v>1520</v>
      </c>
      <c r="G862">
        <v>1520</v>
      </c>
      <c r="H862">
        <v>170</v>
      </c>
      <c r="I862" s="1">
        <f t="shared" si="16"/>
        <v>392.76799999999997</v>
      </c>
      <c r="J862" s="1">
        <v>265.85000000000002</v>
      </c>
      <c r="K862" s="1">
        <v>9819.25</v>
      </c>
      <c r="L862" s="1">
        <v>114237.15</v>
      </c>
      <c r="M862" s="1" t="s">
        <v>149</v>
      </c>
      <c r="N862" s="1"/>
      <c r="O862" s="1"/>
      <c r="P862" s="1"/>
      <c r="Q862" s="62"/>
      <c r="X862">
        <v>2024</v>
      </c>
    </row>
    <row r="863" spans="1:24" x14ac:dyDescent="0.25">
      <c r="A863" t="s">
        <v>1428</v>
      </c>
      <c r="B863" s="52">
        <v>45602</v>
      </c>
      <c r="C863" t="s">
        <v>1318</v>
      </c>
      <c r="D863" t="s">
        <v>31</v>
      </c>
      <c r="E863" t="s">
        <v>37</v>
      </c>
      <c r="F863">
        <v>1520</v>
      </c>
      <c r="G863">
        <v>1520</v>
      </c>
      <c r="H863">
        <v>170</v>
      </c>
      <c r="I863" s="1">
        <f t="shared" si="16"/>
        <v>392.76799999999997</v>
      </c>
      <c r="J863" s="1">
        <v>345.61</v>
      </c>
      <c r="K863" s="1">
        <v>9819.25</v>
      </c>
      <c r="L863" s="1">
        <v>145564.49</v>
      </c>
      <c r="M863" s="1" t="s">
        <v>149</v>
      </c>
      <c r="N863" s="1"/>
      <c r="O863" s="1"/>
      <c r="P863" s="1"/>
      <c r="Q863" s="62"/>
      <c r="X863">
        <v>2024</v>
      </c>
    </row>
    <row r="864" spans="1:24" x14ac:dyDescent="0.25">
      <c r="A864" t="s">
        <v>1429</v>
      </c>
      <c r="B864" s="52">
        <v>45603</v>
      </c>
      <c r="C864" s="40" t="s">
        <v>1430</v>
      </c>
      <c r="D864" t="s">
        <v>31</v>
      </c>
      <c r="E864" t="s">
        <v>27</v>
      </c>
      <c r="F864">
        <v>1000</v>
      </c>
      <c r="G864">
        <v>1000</v>
      </c>
      <c r="H864">
        <v>5</v>
      </c>
      <c r="I864" s="1">
        <f t="shared" si="16"/>
        <v>5</v>
      </c>
      <c r="J864" s="1">
        <v>400</v>
      </c>
      <c r="K864" s="1">
        <v>375</v>
      </c>
      <c r="L864" s="1">
        <v>2450</v>
      </c>
      <c r="M864" s="1" t="s">
        <v>149</v>
      </c>
      <c r="N864" s="1"/>
      <c r="O864" s="1"/>
      <c r="P864" s="1"/>
      <c r="Q864" s="62"/>
      <c r="S864" t="s">
        <v>1431</v>
      </c>
      <c r="T864" s="3"/>
      <c r="X864">
        <v>2024</v>
      </c>
    </row>
    <row r="865" spans="1:24" x14ac:dyDescent="0.25">
      <c r="A865" t="s">
        <v>1432</v>
      </c>
      <c r="B865" s="52">
        <v>45603</v>
      </c>
      <c r="C865" t="s">
        <v>1433</v>
      </c>
      <c r="D865" t="s">
        <v>57</v>
      </c>
      <c r="E865" t="s">
        <v>27</v>
      </c>
      <c r="F865">
        <v>1000</v>
      </c>
      <c r="G865">
        <v>1000</v>
      </c>
      <c r="H865">
        <v>5</v>
      </c>
      <c r="I865" s="1">
        <f t="shared" si="16"/>
        <v>5</v>
      </c>
      <c r="J865" s="1">
        <v>400</v>
      </c>
      <c r="K865" s="1">
        <v>375</v>
      </c>
      <c r="L865" s="1">
        <v>2500</v>
      </c>
      <c r="M865" s="1" t="s">
        <v>149</v>
      </c>
      <c r="N865" s="1"/>
      <c r="O865" s="1"/>
      <c r="P865" s="1"/>
      <c r="Q865" s="62"/>
      <c r="X865">
        <v>2024</v>
      </c>
    </row>
    <row r="866" spans="1:24" x14ac:dyDescent="0.25">
      <c r="A866" t="s">
        <v>1434</v>
      </c>
      <c r="B866" s="52">
        <v>45604</v>
      </c>
      <c r="C866" t="s">
        <v>1435</v>
      </c>
      <c r="D866" t="s">
        <v>57</v>
      </c>
      <c r="E866" t="s">
        <v>27</v>
      </c>
      <c r="F866">
        <v>1000</v>
      </c>
      <c r="G866">
        <v>1000</v>
      </c>
      <c r="H866">
        <v>5</v>
      </c>
      <c r="I866" s="1">
        <f t="shared" si="16"/>
        <v>5</v>
      </c>
      <c r="J866" s="1">
        <v>400</v>
      </c>
      <c r="K866" s="1">
        <v>375</v>
      </c>
      <c r="L866" s="1">
        <v>2500</v>
      </c>
      <c r="M866" s="1" t="s">
        <v>149</v>
      </c>
      <c r="N866" s="1"/>
      <c r="O866" s="1"/>
      <c r="P866" s="1"/>
      <c r="Q866" s="62"/>
      <c r="X866">
        <v>2024</v>
      </c>
    </row>
    <row r="867" spans="1:24" x14ac:dyDescent="0.25">
      <c r="A867" t="s">
        <v>1436</v>
      </c>
      <c r="B867" s="52">
        <v>45604</v>
      </c>
      <c r="C867" t="s">
        <v>1435</v>
      </c>
      <c r="D867" t="s">
        <v>57</v>
      </c>
      <c r="E867" t="s">
        <v>32</v>
      </c>
      <c r="F867">
        <v>1000</v>
      </c>
      <c r="G867">
        <v>1000</v>
      </c>
      <c r="H867">
        <v>5</v>
      </c>
      <c r="I867" s="1">
        <f t="shared" si="16"/>
        <v>5</v>
      </c>
      <c r="J867" s="1">
        <v>600</v>
      </c>
      <c r="K867" s="1">
        <v>375</v>
      </c>
      <c r="L867" s="1">
        <v>3650</v>
      </c>
      <c r="M867" s="1" t="s">
        <v>149</v>
      </c>
      <c r="N867" s="1"/>
      <c r="O867" s="1"/>
      <c r="P867" s="1"/>
      <c r="Q867" s="62"/>
      <c r="X867">
        <v>2024</v>
      </c>
    </row>
    <row r="868" spans="1:24" x14ac:dyDescent="0.25">
      <c r="A868" t="s">
        <v>1437</v>
      </c>
      <c r="B868" s="52">
        <v>45604</v>
      </c>
      <c r="C868" t="s">
        <v>1438</v>
      </c>
      <c r="D868" t="s">
        <v>46</v>
      </c>
      <c r="E868" t="s">
        <v>27</v>
      </c>
      <c r="F868">
        <v>922</v>
      </c>
      <c r="G868">
        <v>922</v>
      </c>
      <c r="H868">
        <v>24</v>
      </c>
      <c r="I868" s="1">
        <f t="shared" si="16"/>
        <v>20.402016</v>
      </c>
      <c r="J868" s="1">
        <v>335.92</v>
      </c>
      <c r="K868" s="1">
        <v>1500</v>
      </c>
      <c r="L868" s="1">
        <v>8352.77</v>
      </c>
      <c r="M868" s="1" t="s">
        <v>149</v>
      </c>
      <c r="N868" s="1"/>
      <c r="O868" s="1"/>
      <c r="P868" s="1"/>
      <c r="Q868" s="62"/>
      <c r="X868">
        <v>2024</v>
      </c>
    </row>
    <row r="869" spans="1:24" x14ac:dyDescent="0.25">
      <c r="A869" t="s">
        <v>1439</v>
      </c>
      <c r="B869" s="52">
        <v>45604</v>
      </c>
      <c r="C869" t="s">
        <v>1440</v>
      </c>
      <c r="D869" t="s">
        <v>36</v>
      </c>
      <c r="E869" t="s">
        <v>32</v>
      </c>
      <c r="F869">
        <v>1620</v>
      </c>
      <c r="G869">
        <v>1160</v>
      </c>
      <c r="H869">
        <v>12</v>
      </c>
      <c r="I869" s="1">
        <f t="shared" si="16"/>
        <v>22.5504</v>
      </c>
      <c r="J869" s="1">
        <v>533.22</v>
      </c>
      <c r="K869" s="1">
        <v>1500</v>
      </c>
      <c r="L869" s="1">
        <v>13604</v>
      </c>
      <c r="M869" s="1" t="s">
        <v>149</v>
      </c>
      <c r="N869" s="1"/>
      <c r="O869" s="1"/>
      <c r="P869" s="1"/>
      <c r="Q869" s="62"/>
      <c r="X869">
        <v>2024</v>
      </c>
    </row>
    <row r="870" spans="1:24" x14ac:dyDescent="0.25">
      <c r="A870" t="s">
        <v>1441</v>
      </c>
      <c r="B870" s="52">
        <v>45608</v>
      </c>
      <c r="C870" t="s">
        <v>1442</v>
      </c>
      <c r="D870" t="s">
        <v>36</v>
      </c>
      <c r="E870" t="s">
        <v>37</v>
      </c>
      <c r="F870">
        <v>1020</v>
      </c>
      <c r="G870">
        <v>1020</v>
      </c>
      <c r="H870">
        <v>28</v>
      </c>
      <c r="I870" s="1">
        <f t="shared" si="16"/>
        <v>29.1312</v>
      </c>
      <c r="J870" s="1">
        <v>413.99</v>
      </c>
      <c r="K870" s="1">
        <v>1500</v>
      </c>
      <c r="L870" s="29">
        <v>13619.53</v>
      </c>
      <c r="M870" s="1" t="s">
        <v>149</v>
      </c>
      <c r="N870" s="1"/>
      <c r="O870" s="1"/>
      <c r="P870" s="1"/>
      <c r="Q870" s="62"/>
      <c r="X870">
        <v>2024</v>
      </c>
    </row>
    <row r="871" spans="1:24" x14ac:dyDescent="0.25">
      <c r="A871" t="s">
        <v>1443</v>
      </c>
      <c r="B871" s="52">
        <v>45608</v>
      </c>
      <c r="C871" t="s">
        <v>1419</v>
      </c>
      <c r="D871" t="s">
        <v>70</v>
      </c>
      <c r="E871" t="s">
        <v>27</v>
      </c>
      <c r="F871">
        <v>1000</v>
      </c>
      <c r="G871">
        <v>1000</v>
      </c>
      <c r="H871">
        <v>5</v>
      </c>
      <c r="I871" s="1">
        <f t="shared" si="16"/>
        <v>5</v>
      </c>
      <c r="J871" s="1">
        <v>400</v>
      </c>
      <c r="K871" s="1">
        <v>375</v>
      </c>
      <c r="L871" s="29">
        <v>2450</v>
      </c>
      <c r="M871" s="1" t="s">
        <v>149</v>
      </c>
      <c r="N871" s="1"/>
      <c r="O871" s="1"/>
      <c r="P871" s="1"/>
      <c r="Q871" s="62"/>
      <c r="X871">
        <v>2024</v>
      </c>
    </row>
    <row r="872" spans="1:24" x14ac:dyDescent="0.25">
      <c r="A872" t="s">
        <v>1444</v>
      </c>
      <c r="B872" s="52">
        <v>45608</v>
      </c>
      <c r="C872" t="s">
        <v>1419</v>
      </c>
      <c r="D872" t="s">
        <v>70</v>
      </c>
      <c r="E872" t="s">
        <v>37</v>
      </c>
      <c r="F872">
        <v>1000</v>
      </c>
      <c r="G872">
        <v>1000</v>
      </c>
      <c r="H872">
        <v>5</v>
      </c>
      <c r="I872" s="1">
        <f t="shared" si="16"/>
        <v>5</v>
      </c>
      <c r="J872" s="1">
        <v>500</v>
      </c>
      <c r="K872" s="1">
        <v>375</v>
      </c>
      <c r="L872" s="29">
        <v>2950</v>
      </c>
      <c r="M872" s="1" t="s">
        <v>149</v>
      </c>
      <c r="N872" s="1"/>
      <c r="O872" s="1"/>
      <c r="P872" s="1"/>
      <c r="Q872" s="62"/>
      <c r="X872">
        <v>2024</v>
      </c>
    </row>
    <row r="873" spans="1:24" x14ac:dyDescent="0.25">
      <c r="A873" t="s">
        <v>1445</v>
      </c>
      <c r="B873" s="52">
        <v>45608</v>
      </c>
      <c r="C873" t="s">
        <v>1446</v>
      </c>
      <c r="D873" t="s">
        <v>46</v>
      </c>
      <c r="E873" t="s">
        <v>27</v>
      </c>
      <c r="F873">
        <v>1700</v>
      </c>
      <c r="G873">
        <v>2500</v>
      </c>
      <c r="H873">
        <v>5</v>
      </c>
      <c r="I873" s="1">
        <f t="shared" si="16"/>
        <v>21.25</v>
      </c>
      <c r="J873" s="1">
        <v>333.6</v>
      </c>
      <c r="K873" s="1">
        <v>1500</v>
      </c>
      <c r="L873" s="29">
        <v>8180.1</v>
      </c>
      <c r="M873" s="1" t="s">
        <v>149</v>
      </c>
      <c r="N873" s="1"/>
      <c r="O873" s="1"/>
      <c r="P873" s="1"/>
      <c r="Q873" s="62"/>
      <c r="X873">
        <v>2024</v>
      </c>
    </row>
    <row r="874" spans="1:24" x14ac:dyDescent="0.25">
      <c r="A874" t="s">
        <v>1447</v>
      </c>
      <c r="B874" s="52">
        <v>45608</v>
      </c>
      <c r="C874" t="s">
        <v>1446</v>
      </c>
      <c r="D874" t="s">
        <v>46</v>
      </c>
      <c r="E874" t="s">
        <v>37</v>
      </c>
      <c r="F874">
        <v>1700</v>
      </c>
      <c r="G874">
        <v>2500</v>
      </c>
      <c r="H874">
        <v>5</v>
      </c>
      <c r="I874" s="1">
        <f t="shared" si="16"/>
        <v>21.25</v>
      </c>
      <c r="J874" s="1">
        <v>433.67</v>
      </c>
      <c r="K874" s="1">
        <v>1500</v>
      </c>
      <c r="L874" s="29">
        <v>10093.34</v>
      </c>
      <c r="M874" s="1" t="s">
        <v>149</v>
      </c>
      <c r="N874" s="1"/>
      <c r="O874" s="1"/>
      <c r="P874" s="1"/>
      <c r="Q874" s="62"/>
      <c r="X874">
        <v>2024</v>
      </c>
    </row>
    <row r="875" spans="1:24" x14ac:dyDescent="0.25">
      <c r="A875" s="42" t="s">
        <v>1448</v>
      </c>
      <c r="B875" s="52">
        <v>45632</v>
      </c>
      <c r="C875" t="s">
        <v>1449</v>
      </c>
      <c r="D875" t="s">
        <v>46</v>
      </c>
      <c r="E875" t="s">
        <v>27</v>
      </c>
      <c r="F875">
        <v>1700</v>
      </c>
      <c r="G875">
        <v>2500</v>
      </c>
      <c r="H875">
        <v>5</v>
      </c>
      <c r="I875" s="1">
        <f t="shared" si="16"/>
        <v>21.25</v>
      </c>
      <c r="J875" s="1">
        <v>333.6</v>
      </c>
      <c r="K875" s="1">
        <v>1500</v>
      </c>
      <c r="L875" s="29">
        <v>8180.1</v>
      </c>
      <c r="M875" s="1" t="s">
        <v>149</v>
      </c>
      <c r="N875" s="1"/>
      <c r="O875" s="1"/>
      <c r="P875" s="1"/>
      <c r="Q875" s="62"/>
    </row>
    <row r="876" spans="1:24" x14ac:dyDescent="0.25">
      <c r="A876" s="42" t="s">
        <v>1450</v>
      </c>
      <c r="B876" s="52">
        <v>45632</v>
      </c>
      <c r="C876" t="s">
        <v>1449</v>
      </c>
      <c r="D876" t="s">
        <v>46</v>
      </c>
      <c r="E876" t="s">
        <v>37</v>
      </c>
      <c r="F876">
        <v>1700</v>
      </c>
      <c r="G876">
        <v>2500</v>
      </c>
      <c r="H876">
        <v>5</v>
      </c>
      <c r="I876" s="1">
        <f t="shared" si="16"/>
        <v>21.25</v>
      </c>
      <c r="J876" s="1">
        <v>433.67</v>
      </c>
      <c r="K876" s="1">
        <v>1500</v>
      </c>
      <c r="L876" s="29">
        <v>10093.34</v>
      </c>
      <c r="M876" s="1" t="s">
        <v>149</v>
      </c>
      <c r="N876" s="1"/>
      <c r="O876" s="1"/>
      <c r="P876" s="1"/>
      <c r="Q876" s="62"/>
    </row>
    <row r="877" spans="1:24" x14ac:dyDescent="0.25">
      <c r="A877" t="s">
        <v>1451</v>
      </c>
      <c r="B877" s="52">
        <v>45608</v>
      </c>
      <c r="C877" s="41" t="s">
        <v>1452</v>
      </c>
      <c r="D877" t="s">
        <v>31</v>
      </c>
      <c r="E877" t="s">
        <v>27</v>
      </c>
      <c r="F877">
        <v>1000</v>
      </c>
      <c r="G877">
        <v>1000</v>
      </c>
      <c r="H877">
        <v>5</v>
      </c>
      <c r="I877" s="1">
        <f t="shared" si="16"/>
        <v>5</v>
      </c>
      <c r="J877" s="1">
        <v>400</v>
      </c>
      <c r="K877" s="1">
        <v>375</v>
      </c>
      <c r="L877" s="1">
        <v>2450</v>
      </c>
      <c r="M877" s="1" t="s">
        <v>149</v>
      </c>
      <c r="N877" s="1"/>
      <c r="O877" s="1"/>
      <c r="P877" s="1"/>
      <c r="Q877" s="62"/>
      <c r="X877">
        <v>2024</v>
      </c>
    </row>
    <row r="878" spans="1:24" x14ac:dyDescent="0.25">
      <c r="A878" t="s">
        <v>1453</v>
      </c>
      <c r="B878" s="52">
        <v>45608</v>
      </c>
      <c r="C878" t="s">
        <v>1454</v>
      </c>
      <c r="D878" t="s">
        <v>83</v>
      </c>
      <c r="E878" t="s">
        <v>27</v>
      </c>
      <c r="F878">
        <v>1000</v>
      </c>
      <c r="G878">
        <v>1000</v>
      </c>
      <c r="H878">
        <v>5</v>
      </c>
      <c r="I878" s="1">
        <v>5</v>
      </c>
      <c r="J878" s="1">
        <v>400</v>
      </c>
      <c r="K878" s="1">
        <v>375</v>
      </c>
      <c r="L878" s="29">
        <v>2500</v>
      </c>
      <c r="M878" s="1" t="s">
        <v>149</v>
      </c>
      <c r="N878" s="1"/>
      <c r="O878" s="1"/>
      <c r="P878" s="44" t="s">
        <v>149</v>
      </c>
      <c r="Q878" s="62">
        <v>45653</v>
      </c>
      <c r="X878">
        <v>2024</v>
      </c>
    </row>
    <row r="879" spans="1:24" x14ac:dyDescent="0.25">
      <c r="A879" t="s">
        <v>1455</v>
      </c>
      <c r="B879" s="52">
        <v>45609</v>
      </c>
      <c r="C879" t="s">
        <v>1456</v>
      </c>
      <c r="D879" t="s">
        <v>263</v>
      </c>
      <c r="E879" t="s">
        <v>27</v>
      </c>
      <c r="F879">
        <v>1000</v>
      </c>
      <c r="G879">
        <v>1000</v>
      </c>
      <c r="H879">
        <v>5</v>
      </c>
      <c r="I879" s="1">
        <f t="shared" ref="I879:I942" si="17">$F879*$G879*$H879/1000000</f>
        <v>5</v>
      </c>
      <c r="J879" s="1">
        <v>400</v>
      </c>
      <c r="K879" s="1">
        <v>375</v>
      </c>
      <c r="L879" s="29">
        <v>2500</v>
      </c>
      <c r="M879" s="1" t="s">
        <v>149</v>
      </c>
      <c r="N879" s="1"/>
      <c r="O879" s="1"/>
      <c r="P879" s="1"/>
      <c r="Q879" s="62"/>
      <c r="X879">
        <v>2024</v>
      </c>
    </row>
    <row r="880" spans="1:24" x14ac:dyDescent="0.25">
      <c r="A880" t="s">
        <v>1457</v>
      </c>
      <c r="B880" s="52">
        <v>45609</v>
      </c>
      <c r="C880" t="s">
        <v>1456</v>
      </c>
      <c r="D880" t="s">
        <v>263</v>
      </c>
      <c r="E880" t="s">
        <v>32</v>
      </c>
      <c r="F880">
        <v>1000</v>
      </c>
      <c r="G880">
        <v>1000</v>
      </c>
      <c r="H880">
        <v>5</v>
      </c>
      <c r="I880" s="1">
        <f t="shared" si="17"/>
        <v>5</v>
      </c>
      <c r="J880" s="1">
        <v>600</v>
      </c>
      <c r="K880" s="1">
        <v>375</v>
      </c>
      <c r="L880" s="29">
        <v>3650</v>
      </c>
      <c r="M880" s="1" t="s">
        <v>149</v>
      </c>
      <c r="N880" s="1"/>
      <c r="O880" s="1"/>
      <c r="P880" s="44" t="s">
        <v>149</v>
      </c>
      <c r="Q880" s="62">
        <v>45667</v>
      </c>
      <c r="X880">
        <v>2024</v>
      </c>
    </row>
    <row r="881" spans="1:24" x14ac:dyDescent="0.25">
      <c r="A881" t="s">
        <v>1458</v>
      </c>
      <c r="B881" s="52">
        <v>45614</v>
      </c>
      <c r="C881" t="s">
        <v>1459</v>
      </c>
      <c r="D881" t="s">
        <v>1460</v>
      </c>
      <c r="E881" t="s">
        <v>27</v>
      </c>
      <c r="F881">
        <v>1000</v>
      </c>
      <c r="G881">
        <v>1000</v>
      </c>
      <c r="H881">
        <v>5</v>
      </c>
      <c r="I881" s="1">
        <f t="shared" si="17"/>
        <v>5</v>
      </c>
      <c r="J881" s="1">
        <v>400</v>
      </c>
      <c r="K881" s="1">
        <v>375</v>
      </c>
      <c r="L881" s="29">
        <v>2500</v>
      </c>
      <c r="M881" s="1" t="s">
        <v>149</v>
      </c>
      <c r="N881" s="1"/>
      <c r="O881" s="1"/>
      <c r="P881" s="1"/>
      <c r="Q881" s="62"/>
      <c r="X881">
        <v>2024</v>
      </c>
    </row>
    <row r="882" spans="1:24" x14ac:dyDescent="0.25">
      <c r="A882" t="s">
        <v>1461</v>
      </c>
      <c r="B882" s="52">
        <v>45615</v>
      </c>
      <c r="C882" t="s">
        <v>238</v>
      </c>
      <c r="D882" t="s">
        <v>138</v>
      </c>
      <c r="E882" t="s">
        <v>37</v>
      </c>
      <c r="F882">
        <v>1000</v>
      </c>
      <c r="G882">
        <v>1000</v>
      </c>
      <c r="H882">
        <v>40</v>
      </c>
      <c r="I882" s="1">
        <f t="shared" si="17"/>
        <v>40</v>
      </c>
      <c r="J882" s="1">
        <v>399.56</v>
      </c>
      <c r="K882" s="1">
        <v>2000</v>
      </c>
      <c r="L882" s="1">
        <v>17982.400000000001</v>
      </c>
      <c r="M882" s="1" t="s">
        <v>149</v>
      </c>
      <c r="N882" s="1"/>
      <c r="O882" s="1"/>
      <c r="P882" s="1"/>
      <c r="Q882" s="62"/>
      <c r="S882" t="s">
        <v>1462</v>
      </c>
      <c r="T882" s="3">
        <v>45616</v>
      </c>
      <c r="U882">
        <v>395.26</v>
      </c>
      <c r="V882" s="1">
        <v>2250</v>
      </c>
      <c r="W882" s="1">
        <v>20036.7</v>
      </c>
      <c r="X882">
        <v>2024</v>
      </c>
    </row>
    <row r="883" spans="1:24" x14ac:dyDescent="0.25">
      <c r="A883" t="s">
        <v>1463</v>
      </c>
      <c r="B883" s="52">
        <v>45616</v>
      </c>
      <c r="C883" t="s">
        <v>206</v>
      </c>
      <c r="D883" t="s">
        <v>36</v>
      </c>
      <c r="E883" t="s">
        <v>27</v>
      </c>
      <c r="F883">
        <v>1040</v>
      </c>
      <c r="G883">
        <v>1040</v>
      </c>
      <c r="H883">
        <v>1150</v>
      </c>
      <c r="I883" s="1">
        <f t="shared" si="17"/>
        <v>1243.8399999999999</v>
      </c>
      <c r="J883" s="1">
        <v>248.47</v>
      </c>
      <c r="K883" s="1">
        <v>31096</v>
      </c>
      <c r="L883" s="1">
        <f>Table13[[#This Row],[Total sqm]]*Table13[[#This Row],[Eur /m2]]+Table13[[#This Row],[F P H]]</f>
        <v>340152.92479999998</v>
      </c>
      <c r="M883" s="1" t="s">
        <v>149</v>
      </c>
      <c r="N883" s="1"/>
      <c r="O883" s="1"/>
      <c r="P883" s="1"/>
      <c r="Q883" s="62"/>
      <c r="X883">
        <v>2024</v>
      </c>
    </row>
    <row r="884" spans="1:24" x14ac:dyDescent="0.25">
      <c r="B884" s="52"/>
      <c r="E884" t="s">
        <v>37</v>
      </c>
      <c r="F884">
        <v>1040</v>
      </c>
      <c r="G884">
        <v>1040</v>
      </c>
      <c r="H884">
        <v>1150</v>
      </c>
      <c r="I884" s="1">
        <f t="shared" si="17"/>
        <v>1243.8399999999999</v>
      </c>
      <c r="J884" s="1">
        <v>323.01</v>
      </c>
      <c r="K884" s="1">
        <v>31096</v>
      </c>
      <c r="L884" s="1">
        <f>Table13[[#This Row],[Total sqm]]*Table13[[#This Row],[Eur /m2]]+Table13[[#This Row],[F P H]]</f>
        <v>432868.75839999993</v>
      </c>
      <c r="M884" s="1" t="s">
        <v>149</v>
      </c>
      <c r="N884" s="1"/>
      <c r="O884" s="1"/>
      <c r="P884" s="1"/>
      <c r="Q884" s="62"/>
      <c r="X884">
        <v>2024</v>
      </c>
    </row>
    <row r="885" spans="1:24" x14ac:dyDescent="0.25">
      <c r="B885" s="52"/>
      <c r="E885" t="s">
        <v>32</v>
      </c>
      <c r="F885">
        <v>1040</v>
      </c>
      <c r="G885">
        <v>1040</v>
      </c>
      <c r="H885">
        <v>1150</v>
      </c>
      <c r="I885" s="1">
        <f t="shared" si="17"/>
        <v>1243.8399999999999</v>
      </c>
      <c r="J885" s="1">
        <v>381.9</v>
      </c>
      <c r="K885" s="1">
        <v>31096</v>
      </c>
      <c r="L885" s="1">
        <f>Table13[[#This Row],[Total sqm]]*Table13[[#This Row],[Eur /m2]]+Table13[[#This Row],[F P H]]</f>
        <v>506118.49599999993</v>
      </c>
      <c r="M885" s="1" t="s">
        <v>149</v>
      </c>
      <c r="N885" s="1"/>
      <c r="O885" s="1"/>
      <c r="P885" s="1"/>
      <c r="Q885" s="62"/>
      <c r="X885">
        <v>2024</v>
      </c>
    </row>
    <row r="886" spans="1:24" x14ac:dyDescent="0.25">
      <c r="A886" t="s">
        <v>1464</v>
      </c>
      <c r="B886" s="52">
        <v>45616</v>
      </c>
      <c r="C886" t="s">
        <v>206</v>
      </c>
      <c r="D886" t="s">
        <v>36</v>
      </c>
      <c r="E886" t="s">
        <v>27</v>
      </c>
      <c r="F886">
        <v>1040</v>
      </c>
      <c r="G886">
        <v>1040</v>
      </c>
      <c r="H886">
        <v>1600</v>
      </c>
      <c r="I886" s="1">
        <f t="shared" si="17"/>
        <v>1730.56</v>
      </c>
      <c r="J886" s="1">
        <v>245.5</v>
      </c>
      <c r="K886" s="1">
        <v>43264</v>
      </c>
      <c r="L886" s="1">
        <f>Table13[[#This Row],[Total sqm]]*Table13[[#This Row],[Eur /m2]]+Table13[[#This Row],[F P H]]</f>
        <v>468116.47999999998</v>
      </c>
      <c r="M886" s="1" t="s">
        <v>149</v>
      </c>
      <c r="N886" s="1"/>
      <c r="O886" s="1"/>
      <c r="P886" s="1"/>
      <c r="Q886" s="62"/>
      <c r="X886">
        <v>2024</v>
      </c>
    </row>
    <row r="887" spans="1:24" x14ac:dyDescent="0.25">
      <c r="B887" s="52"/>
      <c r="E887" t="s">
        <v>37</v>
      </c>
      <c r="F887">
        <v>1040</v>
      </c>
      <c r="G887">
        <v>1040</v>
      </c>
      <c r="H887">
        <v>1600</v>
      </c>
      <c r="I887" s="1">
        <f t="shared" si="17"/>
        <v>1730.56</v>
      </c>
      <c r="J887" s="1">
        <v>319.17</v>
      </c>
      <c r="K887" s="1">
        <v>43264</v>
      </c>
      <c r="L887" s="1">
        <f>Table13[[#This Row],[Total sqm]]*Table13[[#This Row],[Eur /m2]]+Table13[[#This Row],[F P H]]</f>
        <v>595606.83519999997</v>
      </c>
      <c r="M887" s="1" t="s">
        <v>149</v>
      </c>
      <c r="N887" s="1"/>
      <c r="O887" s="1"/>
      <c r="P887" s="1"/>
      <c r="Q887" s="62"/>
      <c r="X887">
        <v>2024</v>
      </c>
    </row>
    <row r="888" spans="1:24" x14ac:dyDescent="0.25">
      <c r="B888" s="52"/>
      <c r="E888" t="s">
        <v>32</v>
      </c>
      <c r="F888">
        <v>1040</v>
      </c>
      <c r="G888">
        <v>1040</v>
      </c>
      <c r="H888">
        <v>1600</v>
      </c>
      <c r="I888" s="1">
        <f t="shared" si="17"/>
        <v>1730.56</v>
      </c>
      <c r="J888" s="1">
        <v>373.51</v>
      </c>
      <c r="K888" s="1">
        <v>43264</v>
      </c>
      <c r="L888" s="1">
        <f>Table13[[#This Row],[Total sqm]]*Table13[[#This Row],[Eur /m2]]+Table13[[#This Row],[F P H]]</f>
        <v>689645.4656</v>
      </c>
      <c r="M888" s="1" t="s">
        <v>149</v>
      </c>
      <c r="N888" s="1"/>
      <c r="O888" s="1"/>
      <c r="P888" s="1"/>
      <c r="Q888" s="62"/>
      <c r="X888">
        <v>2024</v>
      </c>
    </row>
    <row r="889" spans="1:24" x14ac:dyDescent="0.25">
      <c r="A889" t="s">
        <v>1465</v>
      </c>
      <c r="B889" s="52">
        <v>45616</v>
      </c>
      <c r="C889" t="s">
        <v>56</v>
      </c>
      <c r="D889" t="s">
        <v>57</v>
      </c>
      <c r="E889" t="s">
        <v>27</v>
      </c>
      <c r="F889">
        <v>2450</v>
      </c>
      <c r="G889">
        <v>1300</v>
      </c>
      <c r="H889">
        <v>7</v>
      </c>
      <c r="I889" s="1">
        <f t="shared" si="17"/>
        <v>22.295000000000002</v>
      </c>
      <c r="J889" s="1">
        <v>330.95</v>
      </c>
      <c r="K889" s="1">
        <v>1115</v>
      </c>
      <c r="L889" s="1">
        <v>8495.19</v>
      </c>
      <c r="M889" s="1" t="s">
        <v>149</v>
      </c>
      <c r="N889" s="1"/>
      <c r="O889" s="1"/>
      <c r="P889" s="1"/>
      <c r="Q889" s="62"/>
      <c r="X889">
        <v>2024</v>
      </c>
    </row>
    <row r="890" spans="1:24" x14ac:dyDescent="0.25">
      <c r="A890" t="s">
        <v>1466</v>
      </c>
      <c r="B890" s="52">
        <v>45616</v>
      </c>
      <c r="C890" t="s">
        <v>206</v>
      </c>
      <c r="D890" t="s">
        <v>36</v>
      </c>
      <c r="E890" t="s">
        <v>37</v>
      </c>
      <c r="F890">
        <v>1040</v>
      </c>
      <c r="G890">
        <v>1040</v>
      </c>
      <c r="H890">
        <v>28</v>
      </c>
      <c r="I890" s="1">
        <f t="shared" si="17"/>
        <v>30.284800000000001</v>
      </c>
      <c r="J890" s="1">
        <v>411.97</v>
      </c>
      <c r="K890" s="1">
        <v>1514</v>
      </c>
      <c r="L890" s="1">
        <v>14048.45</v>
      </c>
      <c r="M890" s="1" t="s">
        <v>149</v>
      </c>
      <c r="N890" s="1"/>
      <c r="O890" s="1"/>
      <c r="P890" s="1"/>
      <c r="Q890" s="62"/>
      <c r="X890">
        <v>2024</v>
      </c>
    </row>
    <row r="891" spans="1:24" x14ac:dyDescent="0.25">
      <c r="A891" t="s">
        <v>1467</v>
      </c>
      <c r="B891" s="52">
        <v>45617</v>
      </c>
      <c r="C891" t="s">
        <v>879</v>
      </c>
      <c r="D891" t="s">
        <v>103</v>
      </c>
      <c r="E891" t="s">
        <v>27</v>
      </c>
      <c r="F891">
        <v>1000</v>
      </c>
      <c r="G891">
        <v>1000</v>
      </c>
      <c r="H891">
        <v>5</v>
      </c>
      <c r="I891" s="1">
        <f t="shared" si="17"/>
        <v>5</v>
      </c>
      <c r="J891" s="1">
        <v>400</v>
      </c>
      <c r="K891" s="1">
        <v>375</v>
      </c>
      <c r="L891" s="1">
        <v>2500</v>
      </c>
      <c r="M891" s="1" t="s">
        <v>149</v>
      </c>
      <c r="N891" s="1"/>
      <c r="O891" s="1"/>
      <c r="P891" s="1"/>
      <c r="Q891" s="62"/>
      <c r="X891">
        <v>2024</v>
      </c>
    </row>
    <row r="892" spans="1:24" x14ac:dyDescent="0.25">
      <c r="A892" t="s">
        <v>1468</v>
      </c>
      <c r="B892" s="52">
        <v>45617</v>
      </c>
      <c r="C892" t="s">
        <v>1469</v>
      </c>
      <c r="D892" t="s">
        <v>263</v>
      </c>
      <c r="E892" t="s">
        <v>32</v>
      </c>
      <c r="F892">
        <v>1000</v>
      </c>
      <c r="G892">
        <v>1000</v>
      </c>
      <c r="H892">
        <v>5</v>
      </c>
      <c r="I892" s="1">
        <f t="shared" si="17"/>
        <v>5</v>
      </c>
      <c r="J892" s="1">
        <v>600</v>
      </c>
      <c r="K892" s="1">
        <v>375</v>
      </c>
      <c r="L892" s="1">
        <v>3650</v>
      </c>
      <c r="M892" s="1" t="s">
        <v>149</v>
      </c>
      <c r="N892" s="1"/>
      <c r="O892" s="1"/>
      <c r="P892" s="44" t="s">
        <v>149</v>
      </c>
      <c r="Q892" s="62">
        <v>45666</v>
      </c>
      <c r="X892">
        <v>2024</v>
      </c>
    </row>
    <row r="893" spans="1:24" x14ac:dyDescent="0.25">
      <c r="A893" t="s">
        <v>1470</v>
      </c>
      <c r="B893" s="52">
        <v>45618</v>
      </c>
      <c r="C893" t="s">
        <v>1471</v>
      </c>
      <c r="D893" t="s">
        <v>31</v>
      </c>
      <c r="E893" t="s">
        <v>27</v>
      </c>
      <c r="F893">
        <v>1000</v>
      </c>
      <c r="G893">
        <v>1000</v>
      </c>
      <c r="H893">
        <v>5</v>
      </c>
      <c r="I893" s="1">
        <f t="shared" si="17"/>
        <v>5</v>
      </c>
      <c r="J893" s="1">
        <v>400</v>
      </c>
      <c r="K893" s="1">
        <v>375</v>
      </c>
      <c r="L893" s="1">
        <v>2450</v>
      </c>
      <c r="M893" s="1" t="s">
        <v>149</v>
      </c>
      <c r="N893" s="1"/>
      <c r="O893" s="1"/>
      <c r="P893" s="1"/>
      <c r="Q893" s="62"/>
      <c r="X893">
        <v>2024</v>
      </c>
    </row>
    <row r="894" spans="1:24" x14ac:dyDescent="0.25">
      <c r="A894" t="s">
        <v>1472</v>
      </c>
      <c r="B894" s="52">
        <v>45618</v>
      </c>
      <c r="C894" t="s">
        <v>1473</v>
      </c>
      <c r="D894" t="s">
        <v>1474</v>
      </c>
      <c r="E894" t="s">
        <v>37</v>
      </c>
      <c r="F894">
        <v>1000</v>
      </c>
      <c r="G894">
        <v>1000</v>
      </c>
      <c r="H894">
        <v>10</v>
      </c>
      <c r="I894" s="1">
        <f t="shared" si="17"/>
        <v>10</v>
      </c>
      <c r="J894" s="1">
        <v>464</v>
      </c>
      <c r="K894" s="1">
        <v>750</v>
      </c>
      <c r="L894" s="1">
        <v>5590</v>
      </c>
      <c r="M894" s="1" t="s">
        <v>149</v>
      </c>
      <c r="N894" s="1"/>
      <c r="O894" s="1"/>
      <c r="P894" s="1"/>
      <c r="Q894" s="62"/>
      <c r="X894">
        <v>2024</v>
      </c>
    </row>
    <row r="895" spans="1:24" x14ac:dyDescent="0.25">
      <c r="A895" t="s">
        <v>1475</v>
      </c>
      <c r="B895" s="52">
        <v>45618</v>
      </c>
      <c r="C895" t="s">
        <v>1476</v>
      </c>
      <c r="D895" t="s">
        <v>91</v>
      </c>
      <c r="E895" t="s">
        <v>27</v>
      </c>
      <c r="F895">
        <v>1000</v>
      </c>
      <c r="G895">
        <v>1000</v>
      </c>
      <c r="H895">
        <v>5</v>
      </c>
      <c r="I895" s="1">
        <f t="shared" si="17"/>
        <v>5</v>
      </c>
      <c r="J895" s="1">
        <v>400</v>
      </c>
      <c r="K895" s="1">
        <v>375</v>
      </c>
      <c r="L895" s="1">
        <v>2500</v>
      </c>
      <c r="M895" s="1" t="s">
        <v>149</v>
      </c>
      <c r="N895" s="1"/>
      <c r="O895" s="1"/>
      <c r="P895" s="1"/>
      <c r="Q895" s="62"/>
      <c r="X895">
        <v>2024</v>
      </c>
    </row>
    <row r="896" spans="1:24" x14ac:dyDescent="0.25">
      <c r="A896" t="s">
        <v>1477</v>
      </c>
      <c r="B896" s="52">
        <v>45622</v>
      </c>
      <c r="C896" t="s">
        <v>1478</v>
      </c>
      <c r="D896" t="s">
        <v>46</v>
      </c>
      <c r="E896" t="s">
        <v>27</v>
      </c>
      <c r="F896">
        <v>1700</v>
      </c>
      <c r="G896">
        <v>1700</v>
      </c>
      <c r="H896">
        <v>52</v>
      </c>
      <c r="I896" s="1">
        <f t="shared" si="17"/>
        <v>150.28</v>
      </c>
      <c r="J896" s="1">
        <v>278.88</v>
      </c>
      <c r="K896" s="1">
        <v>3757</v>
      </c>
      <c r="L896" s="1">
        <v>45987.09</v>
      </c>
      <c r="M896" s="1" t="s">
        <v>149</v>
      </c>
      <c r="N896" s="1"/>
      <c r="O896" s="1"/>
      <c r="P896" s="1"/>
      <c r="Q896" s="62"/>
      <c r="X896">
        <v>2024</v>
      </c>
    </row>
    <row r="897" spans="1:24" x14ac:dyDescent="0.25">
      <c r="A897" t="s">
        <v>1479</v>
      </c>
      <c r="B897" s="52">
        <v>45623</v>
      </c>
      <c r="C897" t="s">
        <v>1480</v>
      </c>
      <c r="D897" t="s">
        <v>1135</v>
      </c>
      <c r="E897" t="s">
        <v>27</v>
      </c>
      <c r="F897">
        <v>627</v>
      </c>
      <c r="G897">
        <v>627</v>
      </c>
      <c r="H897">
        <v>70</v>
      </c>
      <c r="I897" s="1">
        <f t="shared" si="17"/>
        <v>27.519030000000001</v>
      </c>
      <c r="J897" s="73">
        <v>274.95</v>
      </c>
      <c r="K897" s="1">
        <v>688</v>
      </c>
      <c r="L897" s="1">
        <v>8404.6200000000008</v>
      </c>
      <c r="M897" s="1" t="s">
        <v>149</v>
      </c>
      <c r="N897" s="1"/>
      <c r="O897" s="1"/>
      <c r="P897" s="1"/>
      <c r="Q897" s="62"/>
      <c r="X897">
        <v>2024</v>
      </c>
    </row>
    <row r="898" spans="1:24" x14ac:dyDescent="0.25">
      <c r="B898" s="52">
        <v>45623</v>
      </c>
      <c r="C898" t="s">
        <v>1480</v>
      </c>
      <c r="D898" t="s">
        <v>1135</v>
      </c>
      <c r="E898" t="s">
        <v>27</v>
      </c>
      <c r="F898">
        <v>627</v>
      </c>
      <c r="G898">
        <v>627</v>
      </c>
      <c r="H898">
        <v>400</v>
      </c>
      <c r="I898" s="1">
        <f t="shared" si="17"/>
        <v>157.2516</v>
      </c>
      <c r="J898" s="74">
        <v>274.95</v>
      </c>
      <c r="K898" s="1">
        <v>3931.25</v>
      </c>
      <c r="L898" s="1">
        <v>47422.14</v>
      </c>
      <c r="M898" s="1" t="s">
        <v>149</v>
      </c>
      <c r="N898" s="1"/>
      <c r="O898" s="1"/>
      <c r="P898" s="1"/>
      <c r="Q898" s="62"/>
      <c r="X898">
        <v>2024</v>
      </c>
    </row>
    <row r="899" spans="1:24" x14ac:dyDescent="0.25">
      <c r="A899" t="s">
        <v>1481</v>
      </c>
      <c r="B899" s="52">
        <v>45623</v>
      </c>
      <c r="C899" t="s">
        <v>1480</v>
      </c>
      <c r="D899" t="s">
        <v>1135</v>
      </c>
      <c r="E899" t="s">
        <v>27</v>
      </c>
      <c r="F899">
        <v>627</v>
      </c>
      <c r="G899">
        <v>627</v>
      </c>
      <c r="H899">
        <v>800</v>
      </c>
      <c r="I899" s="1">
        <f t="shared" si="17"/>
        <v>314.50319999999999</v>
      </c>
      <c r="J899" s="1">
        <v>267.86</v>
      </c>
      <c r="K899" s="1">
        <v>7862.5</v>
      </c>
      <c r="L899" s="1">
        <v>92499.48</v>
      </c>
      <c r="M899" s="1" t="s">
        <v>149</v>
      </c>
      <c r="N899" s="1"/>
      <c r="O899" s="1"/>
      <c r="P899" s="1"/>
      <c r="Q899" s="62"/>
      <c r="X899">
        <v>2024</v>
      </c>
    </row>
    <row r="900" spans="1:24" x14ac:dyDescent="0.25">
      <c r="A900" t="s">
        <v>1482</v>
      </c>
      <c r="B900" s="52">
        <v>45623</v>
      </c>
      <c r="C900" t="s">
        <v>1095</v>
      </c>
      <c r="D900" t="s">
        <v>83</v>
      </c>
      <c r="E900" t="s">
        <v>32</v>
      </c>
      <c r="F900">
        <v>1000</v>
      </c>
      <c r="G900">
        <v>1000</v>
      </c>
      <c r="H900">
        <v>5</v>
      </c>
      <c r="I900" s="1">
        <f t="shared" si="17"/>
        <v>5</v>
      </c>
      <c r="J900" s="1">
        <v>600</v>
      </c>
      <c r="K900" s="1">
        <v>375</v>
      </c>
      <c r="L900" s="1">
        <v>3650</v>
      </c>
      <c r="M900" s="1" t="s">
        <v>149</v>
      </c>
      <c r="N900" s="1"/>
      <c r="O900" s="1"/>
      <c r="P900" s="1"/>
      <c r="Q900" s="62"/>
      <c r="X900">
        <v>2024</v>
      </c>
    </row>
    <row r="901" spans="1:24" x14ac:dyDescent="0.25">
      <c r="A901" t="s">
        <v>1483</v>
      </c>
      <c r="B901" s="52">
        <v>45623</v>
      </c>
      <c r="C901" t="s">
        <v>974</v>
      </c>
      <c r="D901" t="s">
        <v>263</v>
      </c>
      <c r="E901" t="s">
        <v>37</v>
      </c>
      <c r="F901">
        <v>600</v>
      </c>
      <c r="G901">
        <v>450</v>
      </c>
      <c r="H901">
        <v>132</v>
      </c>
      <c r="I901" s="1">
        <f t="shared" si="17"/>
        <v>35.64</v>
      </c>
      <c r="J901" s="1">
        <v>404.29</v>
      </c>
      <c r="K901" s="1">
        <v>1782</v>
      </c>
      <c r="L901" s="1">
        <v>16190.9</v>
      </c>
      <c r="M901" s="1" t="s">
        <v>149</v>
      </c>
      <c r="N901" s="1"/>
      <c r="O901" s="1"/>
      <c r="P901" s="1"/>
      <c r="Q901" s="62"/>
      <c r="X901">
        <v>2024</v>
      </c>
    </row>
    <row r="902" spans="1:24" x14ac:dyDescent="0.25">
      <c r="A902" t="s">
        <v>1484</v>
      </c>
      <c r="B902" s="52">
        <v>45624</v>
      </c>
      <c r="C902" t="s">
        <v>1485</v>
      </c>
      <c r="D902" t="s">
        <v>336</v>
      </c>
      <c r="E902" t="s">
        <v>27</v>
      </c>
      <c r="F902">
        <v>778</v>
      </c>
      <c r="G902">
        <v>634</v>
      </c>
      <c r="H902">
        <v>450</v>
      </c>
      <c r="I902" s="1">
        <f t="shared" si="17"/>
        <v>221.96340000000001</v>
      </c>
      <c r="J902" s="1">
        <v>272.07</v>
      </c>
      <c r="K902" s="1">
        <v>5549</v>
      </c>
      <c r="L902" s="1">
        <v>66887.66</v>
      </c>
      <c r="M902" s="1" t="s">
        <v>149</v>
      </c>
      <c r="N902" s="1"/>
      <c r="O902" s="1"/>
      <c r="P902" s="44" t="s">
        <v>149</v>
      </c>
      <c r="Q902" s="62">
        <v>45624</v>
      </c>
      <c r="X902">
        <v>2024</v>
      </c>
    </row>
    <row r="903" spans="1:24" x14ac:dyDescent="0.25">
      <c r="A903" t="s">
        <v>1486</v>
      </c>
      <c r="B903" s="52">
        <v>45624</v>
      </c>
      <c r="C903" t="s">
        <v>727</v>
      </c>
      <c r="D903" t="s">
        <v>83</v>
      </c>
      <c r="E903" t="s">
        <v>32</v>
      </c>
      <c r="F903">
        <v>2700</v>
      </c>
      <c r="G903">
        <v>1200</v>
      </c>
      <c r="H903">
        <v>30</v>
      </c>
      <c r="I903" s="1">
        <f t="shared" si="17"/>
        <v>97.2</v>
      </c>
      <c r="J903" s="1">
        <v>467.82</v>
      </c>
      <c r="K903" s="1">
        <v>2500</v>
      </c>
      <c r="L903" s="1">
        <f>Table13[[#This Row],[Total sqm]]*Table13[[#This Row],[Eur /m2]]+Table13[[#This Row],[F P H]]</f>
        <v>47972.103999999999</v>
      </c>
      <c r="M903" s="1" t="s">
        <v>149</v>
      </c>
      <c r="N903" s="1"/>
      <c r="O903" s="1"/>
      <c r="P903" s="1"/>
      <c r="Q903" s="62"/>
      <c r="X903">
        <v>2024</v>
      </c>
    </row>
    <row r="904" spans="1:24" x14ac:dyDescent="0.25">
      <c r="A904" t="s">
        <v>1487</v>
      </c>
      <c r="B904" s="52">
        <v>45625</v>
      </c>
      <c r="C904" t="s">
        <v>1405</v>
      </c>
      <c r="D904" t="s">
        <v>157</v>
      </c>
      <c r="E904" t="s">
        <v>27</v>
      </c>
      <c r="F904">
        <v>1000</v>
      </c>
      <c r="G904">
        <v>1000</v>
      </c>
      <c r="H904">
        <v>10</v>
      </c>
      <c r="I904" s="1">
        <f t="shared" si="17"/>
        <v>10</v>
      </c>
      <c r="J904" s="1">
        <v>356.92</v>
      </c>
      <c r="K904" s="1">
        <v>750</v>
      </c>
      <c r="L904" s="1">
        <v>10940</v>
      </c>
      <c r="M904" s="1" t="s">
        <v>149</v>
      </c>
      <c r="N904" s="1"/>
      <c r="O904" s="1"/>
      <c r="P904" s="44" t="s">
        <v>149</v>
      </c>
      <c r="Q904" s="62">
        <v>45629</v>
      </c>
      <c r="S904" t="s">
        <v>1488</v>
      </c>
      <c r="T904" s="3">
        <v>45629</v>
      </c>
      <c r="U904">
        <v>400</v>
      </c>
      <c r="V904">
        <v>375</v>
      </c>
      <c r="W904" s="1">
        <v>6100</v>
      </c>
      <c r="X904">
        <v>2024</v>
      </c>
    </row>
    <row r="905" spans="1:24" x14ac:dyDescent="0.25">
      <c r="A905" t="s">
        <v>1487</v>
      </c>
      <c r="B905" s="52">
        <v>45625</v>
      </c>
      <c r="C905" t="s">
        <v>1405</v>
      </c>
      <c r="D905" t="s">
        <v>157</v>
      </c>
      <c r="E905" t="s">
        <v>1489</v>
      </c>
      <c r="F905">
        <v>1000</v>
      </c>
      <c r="G905">
        <v>1000</v>
      </c>
      <c r="H905">
        <v>10</v>
      </c>
      <c r="I905" s="1">
        <f t="shared" si="17"/>
        <v>10</v>
      </c>
      <c r="J905" s="1">
        <v>576.08000000000004</v>
      </c>
      <c r="K905" s="1">
        <v>750</v>
      </c>
      <c r="L905" s="1"/>
      <c r="M905" s="1" t="s">
        <v>149</v>
      </c>
      <c r="N905" s="1"/>
      <c r="O905" s="1"/>
      <c r="P905" s="1"/>
      <c r="Q905" s="62"/>
      <c r="S905" t="s">
        <v>1488</v>
      </c>
      <c r="T905" s="3">
        <v>45629</v>
      </c>
      <c r="U905">
        <v>600</v>
      </c>
      <c r="V905">
        <v>375</v>
      </c>
      <c r="X905">
        <v>2024</v>
      </c>
    </row>
    <row r="906" spans="1:24" x14ac:dyDescent="0.25">
      <c r="A906" t="s">
        <v>1490</v>
      </c>
      <c r="B906" s="52">
        <v>45625</v>
      </c>
      <c r="C906" t="s">
        <v>1491</v>
      </c>
      <c r="D906" t="s">
        <v>70</v>
      </c>
      <c r="E906" t="s">
        <v>37</v>
      </c>
      <c r="F906">
        <v>1000</v>
      </c>
      <c r="G906">
        <v>1000</v>
      </c>
      <c r="H906">
        <v>5</v>
      </c>
      <c r="I906" s="1">
        <f t="shared" si="17"/>
        <v>5</v>
      </c>
      <c r="J906" s="1">
        <v>500</v>
      </c>
      <c r="K906" s="1">
        <v>375</v>
      </c>
      <c r="L906" s="1">
        <v>2950</v>
      </c>
      <c r="M906" s="1" t="s">
        <v>149</v>
      </c>
      <c r="N906" s="1"/>
      <c r="O906" s="1"/>
      <c r="P906" s="1"/>
      <c r="Q906" s="62"/>
      <c r="X906">
        <v>2024</v>
      </c>
    </row>
    <row r="907" spans="1:24" x14ac:dyDescent="0.25">
      <c r="A907" t="s">
        <v>1492</v>
      </c>
      <c r="B907" s="52">
        <v>45628</v>
      </c>
      <c r="C907" t="s">
        <v>1493</v>
      </c>
      <c r="D907" t="s">
        <v>46</v>
      </c>
      <c r="E907" t="s">
        <v>37</v>
      </c>
      <c r="F907">
        <v>1000</v>
      </c>
      <c r="G907">
        <v>1000</v>
      </c>
      <c r="H907">
        <v>26</v>
      </c>
      <c r="I907" s="1">
        <f t="shared" si="17"/>
        <v>26</v>
      </c>
      <c r="J907" s="1">
        <v>352.3</v>
      </c>
      <c r="K907" s="1">
        <v>1300</v>
      </c>
      <c r="L907" s="1">
        <v>10459.799999999999</v>
      </c>
      <c r="M907" s="1" t="s">
        <v>449</v>
      </c>
      <c r="N907" s="1" t="s">
        <v>149</v>
      </c>
      <c r="O907" s="1"/>
      <c r="P907" s="44" t="s">
        <v>149</v>
      </c>
      <c r="Q907" s="62">
        <v>45630</v>
      </c>
      <c r="S907" t="s">
        <v>1494</v>
      </c>
      <c r="X907">
        <v>2024</v>
      </c>
    </row>
    <row r="908" spans="1:24" x14ac:dyDescent="0.25">
      <c r="A908" t="s">
        <v>1495</v>
      </c>
      <c r="B908" s="52">
        <v>45629</v>
      </c>
      <c r="C908" t="s">
        <v>1496</v>
      </c>
      <c r="D908" t="s">
        <v>31</v>
      </c>
      <c r="E908" t="s">
        <v>37</v>
      </c>
      <c r="F908">
        <v>1000</v>
      </c>
      <c r="G908">
        <v>1000</v>
      </c>
      <c r="H908">
        <v>10</v>
      </c>
      <c r="I908" s="1">
        <f t="shared" si="17"/>
        <v>10</v>
      </c>
      <c r="J908" s="1">
        <v>464</v>
      </c>
      <c r="K908" s="1">
        <f>375*2</f>
        <v>750</v>
      </c>
      <c r="L908" s="1">
        <v>5540</v>
      </c>
      <c r="M908" s="1" t="s">
        <v>149</v>
      </c>
      <c r="N908" s="1"/>
      <c r="O908" s="1"/>
      <c r="P908" s="1"/>
      <c r="Q908" s="62"/>
      <c r="X908">
        <v>2024</v>
      </c>
    </row>
    <row r="909" spans="1:24" x14ac:dyDescent="0.25">
      <c r="A909" t="s">
        <v>1497</v>
      </c>
      <c r="B909" s="52">
        <v>45629</v>
      </c>
      <c r="C909" t="s">
        <v>1496</v>
      </c>
      <c r="D909" t="s">
        <v>31</v>
      </c>
      <c r="E909" t="s">
        <v>32</v>
      </c>
      <c r="F909">
        <v>1000</v>
      </c>
      <c r="G909">
        <v>1000</v>
      </c>
      <c r="H909">
        <v>10</v>
      </c>
      <c r="I909" s="1">
        <f t="shared" si="17"/>
        <v>10</v>
      </c>
      <c r="J909" s="1">
        <v>576.08000000000004</v>
      </c>
      <c r="K909" s="1">
        <f>375*2</f>
        <v>750</v>
      </c>
      <c r="L909" s="1">
        <v>7060.8</v>
      </c>
      <c r="M909" s="1" t="s">
        <v>149</v>
      </c>
      <c r="N909" s="1"/>
      <c r="O909" s="1"/>
      <c r="P909" s="1"/>
      <c r="Q909" s="62"/>
      <c r="X909">
        <v>2024</v>
      </c>
    </row>
    <row r="910" spans="1:24" x14ac:dyDescent="0.25">
      <c r="A910" t="s">
        <v>1498</v>
      </c>
      <c r="B910" s="52">
        <v>45629</v>
      </c>
      <c r="C910" t="s">
        <v>1485</v>
      </c>
      <c r="D910" t="s">
        <v>336</v>
      </c>
      <c r="E910" t="s">
        <v>27</v>
      </c>
      <c r="F910">
        <v>1000</v>
      </c>
      <c r="G910">
        <v>1000</v>
      </c>
      <c r="H910">
        <v>60</v>
      </c>
      <c r="I910" s="1">
        <f t="shared" si="17"/>
        <v>60</v>
      </c>
      <c r="J910" s="1">
        <v>297.43</v>
      </c>
      <c r="K910" s="1">
        <v>2500</v>
      </c>
      <c r="L910" s="1">
        <v>20345.8</v>
      </c>
      <c r="M910" s="1" t="s">
        <v>149</v>
      </c>
      <c r="N910" s="1"/>
      <c r="O910" s="1"/>
      <c r="P910" s="44" t="s">
        <v>149</v>
      </c>
      <c r="Q910" s="62">
        <v>45629</v>
      </c>
      <c r="X910">
        <v>2024</v>
      </c>
    </row>
    <row r="911" spans="1:24" x14ac:dyDescent="0.25">
      <c r="A911" t="s">
        <v>1499</v>
      </c>
      <c r="B911" s="52">
        <v>45629</v>
      </c>
      <c r="C911" t="s">
        <v>893</v>
      </c>
      <c r="D911" t="s">
        <v>266</v>
      </c>
      <c r="E911" t="s">
        <v>32</v>
      </c>
      <c r="F911">
        <v>1000</v>
      </c>
      <c r="G911">
        <v>1000</v>
      </c>
      <c r="H911">
        <v>5</v>
      </c>
      <c r="I911" s="1">
        <f t="shared" si="17"/>
        <v>5</v>
      </c>
      <c r="J911" s="1">
        <v>600</v>
      </c>
      <c r="K911" s="1">
        <v>375</v>
      </c>
      <c r="L911" s="1">
        <v>3650</v>
      </c>
      <c r="M911" s="1" t="s">
        <v>149</v>
      </c>
      <c r="N911" s="1"/>
      <c r="O911" s="1"/>
      <c r="P911" s="1"/>
      <c r="Q911" s="62"/>
      <c r="X911">
        <v>2024</v>
      </c>
    </row>
    <row r="912" spans="1:24" x14ac:dyDescent="0.25">
      <c r="A912" t="s">
        <v>1500</v>
      </c>
      <c r="B912" s="52">
        <v>45630</v>
      </c>
      <c r="C912" t="s">
        <v>1501</v>
      </c>
      <c r="D912" t="s">
        <v>276</v>
      </c>
      <c r="E912" t="s">
        <v>32</v>
      </c>
      <c r="F912">
        <v>720</v>
      </c>
      <c r="G912">
        <v>1420</v>
      </c>
      <c r="H912">
        <v>20</v>
      </c>
      <c r="I912" s="1">
        <f t="shared" si="17"/>
        <v>20.448</v>
      </c>
      <c r="J912" s="1">
        <v>541.92999999999995</v>
      </c>
      <c r="K912" s="1">
        <v>1500</v>
      </c>
      <c r="L912" s="1">
        <v>12637.47</v>
      </c>
      <c r="M912" s="1" t="s">
        <v>149</v>
      </c>
      <c r="N912" s="1"/>
      <c r="O912" s="1"/>
      <c r="P912" s="1"/>
      <c r="Q912" s="62"/>
      <c r="X912">
        <v>2024</v>
      </c>
    </row>
    <row r="913" spans="1:24" x14ac:dyDescent="0.25">
      <c r="A913" t="s">
        <v>1502</v>
      </c>
      <c r="B913" s="52">
        <v>45630</v>
      </c>
      <c r="C913" t="s">
        <v>1501</v>
      </c>
      <c r="D913" t="s">
        <v>276</v>
      </c>
      <c r="E913" t="s">
        <v>32</v>
      </c>
      <c r="F913">
        <v>1000</v>
      </c>
      <c r="G913">
        <v>1000</v>
      </c>
      <c r="H913">
        <v>15</v>
      </c>
      <c r="I913" s="1">
        <f t="shared" si="17"/>
        <v>15</v>
      </c>
      <c r="J913" s="1">
        <v>554.75</v>
      </c>
      <c r="K913" s="1">
        <v>1125</v>
      </c>
      <c r="L913" s="1">
        <v>10271.25</v>
      </c>
      <c r="M913" s="1" t="s">
        <v>149</v>
      </c>
      <c r="N913" s="1"/>
      <c r="O913" s="1"/>
      <c r="P913" s="1"/>
      <c r="Q913" s="62"/>
      <c r="X913">
        <v>2024</v>
      </c>
    </row>
    <row r="914" spans="1:24" x14ac:dyDescent="0.25">
      <c r="A914" t="s">
        <v>1503</v>
      </c>
      <c r="B914" s="52">
        <v>45631</v>
      </c>
      <c r="C914" t="s">
        <v>1504</v>
      </c>
      <c r="D914" t="s">
        <v>46</v>
      </c>
      <c r="E914" t="s">
        <v>27</v>
      </c>
      <c r="F914">
        <v>1700</v>
      </c>
      <c r="G914">
        <v>1700</v>
      </c>
      <c r="H914">
        <v>250</v>
      </c>
      <c r="I914" s="1">
        <f t="shared" si="17"/>
        <v>722.5</v>
      </c>
      <c r="J914" s="1">
        <v>260</v>
      </c>
      <c r="K914" s="1">
        <v>18062.5</v>
      </c>
      <c r="L914" s="1">
        <v>207172.5</v>
      </c>
      <c r="M914" s="1" t="s">
        <v>149</v>
      </c>
      <c r="N914" s="1"/>
      <c r="O914" s="1"/>
      <c r="P914" s="1"/>
      <c r="Q914" s="62"/>
      <c r="X914">
        <v>2024</v>
      </c>
    </row>
    <row r="915" spans="1:24" x14ac:dyDescent="0.25">
      <c r="A915" t="s">
        <v>1505</v>
      </c>
      <c r="B915" s="52">
        <v>45631</v>
      </c>
      <c r="C915" t="s">
        <v>1506</v>
      </c>
      <c r="D915" t="s">
        <v>260</v>
      </c>
      <c r="E915" t="s">
        <v>27</v>
      </c>
      <c r="F915">
        <v>1000</v>
      </c>
      <c r="G915">
        <v>1000</v>
      </c>
      <c r="H915">
        <v>5</v>
      </c>
      <c r="I915" s="1">
        <f t="shared" si="17"/>
        <v>5</v>
      </c>
      <c r="J915" s="1">
        <v>400</v>
      </c>
      <c r="K915" s="1">
        <v>375</v>
      </c>
      <c r="L915" s="1">
        <v>2450</v>
      </c>
      <c r="M915" s="1" t="s">
        <v>149</v>
      </c>
      <c r="N915" s="1"/>
      <c r="O915" s="1"/>
      <c r="P915" s="1"/>
      <c r="Q915" s="62"/>
      <c r="X915">
        <v>2024</v>
      </c>
    </row>
    <row r="916" spans="1:24" x14ac:dyDescent="0.25">
      <c r="A916" t="s">
        <v>1507</v>
      </c>
      <c r="B916" s="52">
        <v>45637</v>
      </c>
      <c r="C916" t="s">
        <v>1438</v>
      </c>
      <c r="D916" t="s">
        <v>46</v>
      </c>
      <c r="E916" t="s">
        <v>37</v>
      </c>
      <c r="F916">
        <v>855</v>
      </c>
      <c r="G916">
        <v>855</v>
      </c>
      <c r="H916">
        <v>26</v>
      </c>
      <c r="I916" s="1">
        <f t="shared" si="17"/>
        <v>19.00665</v>
      </c>
      <c r="J916" s="1">
        <v>439.56</v>
      </c>
      <c r="K916" s="1">
        <v>1500</v>
      </c>
      <c r="L916" s="1">
        <v>9856.0400000000009</v>
      </c>
      <c r="M916" s="1" t="s">
        <v>149</v>
      </c>
      <c r="N916" s="1"/>
      <c r="O916" s="1"/>
      <c r="P916" s="1"/>
      <c r="Q916" s="62"/>
      <c r="X916">
        <v>2024</v>
      </c>
    </row>
    <row r="917" spans="1:24" x14ac:dyDescent="0.25">
      <c r="A917" t="s">
        <v>1508</v>
      </c>
      <c r="B917" s="52">
        <v>45636</v>
      </c>
      <c r="C917" t="s">
        <v>1509</v>
      </c>
      <c r="D917" t="s">
        <v>138</v>
      </c>
      <c r="E917" t="s">
        <v>37</v>
      </c>
      <c r="F917">
        <v>1000</v>
      </c>
      <c r="G917">
        <v>1000</v>
      </c>
      <c r="H917">
        <v>5</v>
      </c>
      <c r="I917" s="1">
        <f t="shared" si="17"/>
        <v>5</v>
      </c>
      <c r="J917" s="1">
        <v>500</v>
      </c>
      <c r="K917" s="1">
        <v>375</v>
      </c>
      <c r="L917" s="1">
        <v>2950</v>
      </c>
      <c r="M917" s="1" t="s">
        <v>149</v>
      </c>
      <c r="N917" s="1"/>
      <c r="O917" s="1"/>
      <c r="P917" s="1"/>
      <c r="Q917" s="62"/>
      <c r="X917">
        <v>2024</v>
      </c>
    </row>
    <row r="918" spans="1:24" x14ac:dyDescent="0.25">
      <c r="A918" t="s">
        <v>1510</v>
      </c>
      <c r="B918" s="52">
        <v>45637</v>
      </c>
      <c r="C918" t="s">
        <v>195</v>
      </c>
      <c r="D918" t="s">
        <v>46</v>
      </c>
      <c r="E918" t="s">
        <v>37</v>
      </c>
      <c r="F918">
        <v>1700</v>
      </c>
      <c r="G918">
        <v>1700</v>
      </c>
      <c r="H918">
        <v>52</v>
      </c>
      <c r="I918" s="1">
        <f t="shared" si="17"/>
        <v>150.28</v>
      </c>
      <c r="J918" s="1">
        <v>362.56</v>
      </c>
      <c r="K918" s="1">
        <v>3757</v>
      </c>
      <c r="L918" s="1">
        <v>58242.52</v>
      </c>
      <c r="M918" s="1" t="s">
        <v>149</v>
      </c>
      <c r="N918" s="1"/>
      <c r="O918" s="1"/>
      <c r="P918" s="1"/>
      <c r="Q918" s="62"/>
      <c r="X918">
        <v>2024</v>
      </c>
    </row>
    <row r="919" spans="1:24" x14ac:dyDescent="0.25">
      <c r="A919" t="s">
        <v>1511</v>
      </c>
      <c r="B919" s="52">
        <v>45637</v>
      </c>
      <c r="C919" t="s">
        <v>1512</v>
      </c>
      <c r="D919" t="s">
        <v>31</v>
      </c>
      <c r="E919" t="s">
        <v>27</v>
      </c>
      <c r="F919">
        <v>1000</v>
      </c>
      <c r="G919">
        <v>1000</v>
      </c>
      <c r="H919">
        <v>10</v>
      </c>
      <c r="I919" s="1">
        <f t="shared" si="17"/>
        <v>10</v>
      </c>
      <c r="J919" s="1">
        <v>356.92</v>
      </c>
      <c r="K919" s="1">
        <v>750</v>
      </c>
      <c r="L919" s="1">
        <v>4444.2</v>
      </c>
      <c r="M919" s="1" t="s">
        <v>149</v>
      </c>
      <c r="N919" s="1"/>
      <c r="O919" s="1"/>
      <c r="P919" s="44" t="s">
        <v>149</v>
      </c>
      <c r="Q919" s="62">
        <v>45638</v>
      </c>
      <c r="X919">
        <v>2024</v>
      </c>
    </row>
    <row r="920" spans="1:24" x14ac:dyDescent="0.25">
      <c r="A920" t="s">
        <v>1513</v>
      </c>
      <c r="B920" s="52">
        <v>45639</v>
      </c>
      <c r="C920" t="s">
        <v>1514</v>
      </c>
      <c r="D920" t="s">
        <v>36</v>
      </c>
      <c r="E920" t="s">
        <v>32</v>
      </c>
      <c r="F920">
        <v>1610</v>
      </c>
      <c r="G920">
        <v>950</v>
      </c>
      <c r="H920">
        <v>562</v>
      </c>
      <c r="I920" s="1">
        <f t="shared" si="17"/>
        <v>859.57899999999995</v>
      </c>
      <c r="J920" s="1">
        <v>387.82</v>
      </c>
      <c r="K920" s="1">
        <v>21489.5</v>
      </c>
      <c r="L920" s="1"/>
      <c r="M920" s="1" t="s">
        <v>449</v>
      </c>
      <c r="N920" s="1" t="s">
        <v>149</v>
      </c>
      <c r="O920" s="1"/>
      <c r="P920" s="44" t="s">
        <v>149</v>
      </c>
      <c r="Q920" s="62">
        <v>45646</v>
      </c>
      <c r="X920">
        <v>2024</v>
      </c>
    </row>
    <row r="921" spans="1:24" x14ac:dyDescent="0.25">
      <c r="A921" t="s">
        <v>1515</v>
      </c>
      <c r="B921" s="52">
        <v>45639</v>
      </c>
      <c r="C921" t="s">
        <v>974</v>
      </c>
      <c r="D921" t="s">
        <v>263</v>
      </c>
      <c r="E921" t="s">
        <v>32</v>
      </c>
      <c r="F921">
        <v>926</v>
      </c>
      <c r="G921">
        <v>826</v>
      </c>
      <c r="H921">
        <v>27</v>
      </c>
      <c r="I921" s="1">
        <f t="shared" si="17"/>
        <v>20.651651999999999</v>
      </c>
      <c r="J921" s="1">
        <v>541.05999999999995</v>
      </c>
      <c r="K921" s="1">
        <v>1500</v>
      </c>
      <c r="L921" s="1">
        <v>12672.89</v>
      </c>
      <c r="M921" s="1" t="s">
        <v>149</v>
      </c>
      <c r="N921" s="1"/>
      <c r="O921" s="1"/>
      <c r="P921" s="1"/>
      <c r="Q921" s="62"/>
      <c r="X921">
        <v>2024</v>
      </c>
    </row>
    <row r="922" spans="1:24" x14ac:dyDescent="0.25">
      <c r="A922" t="s">
        <v>1516</v>
      </c>
      <c r="B922" s="52">
        <v>45639</v>
      </c>
      <c r="C922" t="s">
        <v>974</v>
      </c>
      <c r="D922" t="s">
        <v>263</v>
      </c>
      <c r="E922" t="s">
        <v>32</v>
      </c>
      <c r="F922">
        <v>1000</v>
      </c>
      <c r="G922">
        <v>1000</v>
      </c>
      <c r="H922">
        <v>20</v>
      </c>
      <c r="I922" s="1">
        <f t="shared" si="17"/>
        <v>20</v>
      </c>
      <c r="J922" s="1">
        <v>544.08000000000004</v>
      </c>
      <c r="K922" s="1">
        <v>1500</v>
      </c>
      <c r="L922" s="1">
        <v>12381.6</v>
      </c>
      <c r="M922" s="1" t="s">
        <v>149</v>
      </c>
      <c r="N922" s="1"/>
      <c r="O922" s="1"/>
      <c r="P922" s="44" t="s">
        <v>149</v>
      </c>
      <c r="Q922" s="62">
        <v>45671</v>
      </c>
      <c r="X922">
        <v>2024</v>
      </c>
    </row>
    <row r="923" spans="1:24" x14ac:dyDescent="0.25">
      <c r="A923" t="s">
        <v>1517</v>
      </c>
      <c r="B923" s="52">
        <v>45639</v>
      </c>
      <c r="C923" t="s">
        <v>1518</v>
      </c>
      <c r="D923" t="s">
        <v>1135</v>
      </c>
      <c r="E923" t="s">
        <v>27</v>
      </c>
      <c r="F923">
        <v>1000</v>
      </c>
      <c r="G923">
        <v>1000</v>
      </c>
      <c r="H923">
        <v>5</v>
      </c>
      <c r="I923" s="1">
        <f t="shared" si="17"/>
        <v>5</v>
      </c>
      <c r="J923" s="1">
        <v>400</v>
      </c>
      <c r="K923" s="1">
        <v>375</v>
      </c>
      <c r="L923" s="1">
        <v>2450</v>
      </c>
      <c r="M923" s="1" t="s">
        <v>149</v>
      </c>
      <c r="N923" s="1"/>
      <c r="O923" s="1"/>
      <c r="P923" s="1"/>
      <c r="Q923" s="62"/>
      <c r="X923">
        <v>2024</v>
      </c>
    </row>
    <row r="924" spans="1:24" x14ac:dyDescent="0.25">
      <c r="A924" t="s">
        <v>1519</v>
      </c>
      <c r="B924" s="52">
        <v>45639</v>
      </c>
      <c r="C924" t="s">
        <v>1518</v>
      </c>
      <c r="D924" t="s">
        <v>1135</v>
      </c>
      <c r="E924" t="s">
        <v>37</v>
      </c>
      <c r="F924">
        <v>1000</v>
      </c>
      <c r="G924">
        <v>1000</v>
      </c>
      <c r="H924">
        <v>5</v>
      </c>
      <c r="I924" s="1">
        <f t="shared" si="17"/>
        <v>5</v>
      </c>
      <c r="J924" s="1">
        <v>500</v>
      </c>
      <c r="K924" s="1">
        <v>375</v>
      </c>
      <c r="L924" s="1">
        <v>2950</v>
      </c>
      <c r="M924" s="1" t="s">
        <v>149</v>
      </c>
      <c r="N924" s="1"/>
      <c r="O924" s="1"/>
      <c r="P924" s="1"/>
      <c r="Q924" s="62"/>
      <c r="X924">
        <v>2024</v>
      </c>
    </row>
    <row r="925" spans="1:24" x14ac:dyDescent="0.25">
      <c r="A925" t="s">
        <v>1520</v>
      </c>
      <c r="B925" s="52">
        <v>45639</v>
      </c>
      <c r="C925" t="s">
        <v>1518</v>
      </c>
      <c r="D925" t="s">
        <v>1135</v>
      </c>
      <c r="E925" t="s">
        <v>32</v>
      </c>
      <c r="F925">
        <v>1000</v>
      </c>
      <c r="G925">
        <v>1000</v>
      </c>
      <c r="H925">
        <v>5</v>
      </c>
      <c r="I925" s="1">
        <f t="shared" si="17"/>
        <v>5</v>
      </c>
      <c r="J925" s="1">
        <v>600</v>
      </c>
      <c r="K925" s="1">
        <v>375</v>
      </c>
      <c r="L925" s="1">
        <v>3650</v>
      </c>
      <c r="M925" s="1" t="s">
        <v>149</v>
      </c>
      <c r="N925" s="1"/>
      <c r="O925" s="1"/>
      <c r="P925" s="1"/>
      <c r="Q925" s="62"/>
      <c r="X925">
        <v>2024</v>
      </c>
    </row>
    <row r="926" spans="1:24" x14ac:dyDescent="0.25">
      <c r="A926" t="s">
        <v>1521</v>
      </c>
      <c r="B926" s="52">
        <v>45643</v>
      </c>
      <c r="C926" t="s">
        <v>1078</v>
      </c>
      <c r="D926" t="s">
        <v>103</v>
      </c>
      <c r="E926" t="s">
        <v>32</v>
      </c>
      <c r="F926">
        <v>1000</v>
      </c>
      <c r="G926">
        <v>1000</v>
      </c>
      <c r="H926">
        <v>5</v>
      </c>
      <c r="I926" s="1">
        <f t="shared" si="17"/>
        <v>5</v>
      </c>
      <c r="J926" s="1">
        <v>600</v>
      </c>
      <c r="K926" s="1">
        <v>375</v>
      </c>
      <c r="L926" s="1">
        <v>3650</v>
      </c>
      <c r="M926" s="1" t="s">
        <v>149</v>
      </c>
      <c r="N926" s="1"/>
      <c r="O926" s="1"/>
      <c r="P926" s="1"/>
      <c r="Q926" s="62"/>
      <c r="X926">
        <v>2024</v>
      </c>
    </row>
    <row r="927" spans="1:24" x14ac:dyDescent="0.25">
      <c r="A927" t="s">
        <v>1522</v>
      </c>
      <c r="B927" s="52">
        <v>45644</v>
      </c>
      <c r="C927" t="s">
        <v>1523</v>
      </c>
      <c r="D927" t="s">
        <v>528</v>
      </c>
      <c r="E927" t="s">
        <v>27</v>
      </c>
      <c r="F927">
        <v>1000</v>
      </c>
      <c r="G927">
        <v>1000</v>
      </c>
      <c r="H927">
        <v>190</v>
      </c>
      <c r="I927" s="1">
        <f t="shared" si="17"/>
        <v>190</v>
      </c>
      <c r="J927" s="1">
        <v>274.47000000000003</v>
      </c>
      <c r="K927" s="1">
        <v>4750</v>
      </c>
      <c r="L927" s="1">
        <v>56899.3</v>
      </c>
      <c r="M927" s="1" t="s">
        <v>149</v>
      </c>
      <c r="N927" s="1"/>
      <c r="O927" s="1"/>
      <c r="P927" s="1"/>
      <c r="Q927" s="62"/>
      <c r="X927">
        <v>2024</v>
      </c>
    </row>
    <row r="928" spans="1:24" x14ac:dyDescent="0.25">
      <c r="A928" t="s">
        <v>1524</v>
      </c>
      <c r="B928" s="52">
        <v>45644</v>
      </c>
      <c r="C928" t="s">
        <v>1525</v>
      </c>
      <c r="D928" t="s">
        <v>83</v>
      </c>
      <c r="E928" t="s">
        <v>27</v>
      </c>
      <c r="F928">
        <v>1000</v>
      </c>
      <c r="G928">
        <v>1000</v>
      </c>
      <c r="H928">
        <v>5</v>
      </c>
      <c r="I928" s="1">
        <f t="shared" si="17"/>
        <v>5</v>
      </c>
      <c r="J928" s="1">
        <v>400</v>
      </c>
      <c r="K928" s="1">
        <v>375</v>
      </c>
      <c r="L928" s="1">
        <v>2500</v>
      </c>
      <c r="M928" s="1" t="s">
        <v>149</v>
      </c>
      <c r="N928" s="1"/>
      <c r="O928" s="1"/>
      <c r="P928" s="1"/>
      <c r="Q928" s="62"/>
      <c r="X928">
        <v>2024</v>
      </c>
    </row>
    <row r="929" spans="1:24" x14ac:dyDescent="0.25">
      <c r="A929" t="s">
        <v>1526</v>
      </c>
      <c r="B929" s="52">
        <v>45645</v>
      </c>
      <c r="C929" t="s">
        <v>1527</v>
      </c>
      <c r="D929" t="s">
        <v>1529</v>
      </c>
      <c r="E929" t="s">
        <v>27</v>
      </c>
      <c r="F929">
        <v>1000</v>
      </c>
      <c r="G929">
        <v>1000</v>
      </c>
      <c r="H929">
        <v>20</v>
      </c>
      <c r="I929" s="1">
        <f t="shared" si="17"/>
        <v>20</v>
      </c>
      <c r="J929" s="1">
        <v>337.09</v>
      </c>
      <c r="K929" s="1">
        <v>1500</v>
      </c>
      <c r="L929" s="1">
        <v>8241.7999999999993</v>
      </c>
      <c r="M929" s="1" t="s">
        <v>149</v>
      </c>
      <c r="N929" s="1"/>
      <c r="O929" s="1"/>
      <c r="P929" s="1"/>
      <c r="Q929" s="62"/>
      <c r="X929">
        <v>2024</v>
      </c>
    </row>
    <row r="930" spans="1:24" s="23" customFormat="1" ht="15.75" thickBot="1" x14ac:dyDescent="0.3">
      <c r="A930" s="46" t="s">
        <v>1528</v>
      </c>
      <c r="B930" s="75">
        <v>45645</v>
      </c>
      <c r="C930" s="46" t="s">
        <v>1527</v>
      </c>
      <c r="D930" s="46" t="s">
        <v>1529</v>
      </c>
      <c r="E930" s="46" t="s">
        <v>27</v>
      </c>
      <c r="F930" s="46">
        <v>1000</v>
      </c>
      <c r="G930" s="46">
        <v>1000</v>
      </c>
      <c r="H930" s="46">
        <v>15</v>
      </c>
      <c r="I930" s="47">
        <f t="shared" si="17"/>
        <v>15</v>
      </c>
      <c r="J930" s="47">
        <v>343.7</v>
      </c>
      <c r="K930" s="47">
        <v>1125</v>
      </c>
      <c r="L930" s="47">
        <v>6280.5</v>
      </c>
      <c r="M930" s="47" t="s">
        <v>149</v>
      </c>
      <c r="N930" s="47"/>
      <c r="O930" s="47"/>
      <c r="P930" s="47"/>
      <c r="Q930" s="48"/>
      <c r="R930" s="46"/>
      <c r="S930" s="46"/>
      <c r="T930" s="46"/>
      <c r="U930" s="46"/>
      <c r="V930" s="46"/>
      <c r="W930" s="46"/>
      <c r="X930">
        <v>2024</v>
      </c>
    </row>
    <row r="931" spans="1:24" s="23" customFormat="1" ht="16.5" thickTop="1" thickBot="1" x14ac:dyDescent="0.3">
      <c r="A931" s="76" t="s">
        <v>1543</v>
      </c>
      <c r="B931" s="77">
        <v>45645</v>
      </c>
      <c r="C931" s="76" t="s">
        <v>1527</v>
      </c>
      <c r="D931" s="76" t="s">
        <v>1529</v>
      </c>
      <c r="E931" s="76" t="s">
        <v>27</v>
      </c>
      <c r="F931" s="76">
        <v>1000</v>
      </c>
      <c r="G931" s="76">
        <v>1000</v>
      </c>
      <c r="H931" s="76">
        <v>15</v>
      </c>
      <c r="I931" s="49">
        <f t="shared" si="17"/>
        <v>15</v>
      </c>
      <c r="J931" s="49">
        <v>343.7</v>
      </c>
      <c r="K931" s="49">
        <v>1125</v>
      </c>
      <c r="L931" s="49">
        <v>6655.5</v>
      </c>
      <c r="M931" s="49" t="s">
        <v>149</v>
      </c>
      <c r="N931" s="49"/>
      <c r="O931" s="49"/>
      <c r="P931" s="78" t="s">
        <v>149</v>
      </c>
      <c r="Q931" s="50">
        <v>45668</v>
      </c>
      <c r="R931" s="76"/>
      <c r="S931" s="76"/>
      <c r="T931" s="76"/>
      <c r="U931" s="76"/>
      <c r="V931" s="76"/>
      <c r="W931" s="76"/>
      <c r="X931">
        <v>2024</v>
      </c>
    </row>
    <row r="932" spans="1:24" s="26" customFormat="1" ht="15.75" thickTop="1" x14ac:dyDescent="0.25">
      <c r="A932" s="26" t="s">
        <v>1530</v>
      </c>
      <c r="B932" s="59">
        <v>45665</v>
      </c>
      <c r="C932" s="26" t="s">
        <v>1531</v>
      </c>
      <c r="D932" s="26" t="s">
        <v>57</v>
      </c>
      <c r="E932" s="26" t="s">
        <v>27</v>
      </c>
      <c r="F932" s="26">
        <v>1000</v>
      </c>
      <c r="G932" s="26">
        <v>1000</v>
      </c>
      <c r="H932" s="26">
        <v>5</v>
      </c>
      <c r="I932" s="27">
        <f t="shared" si="17"/>
        <v>5</v>
      </c>
      <c r="J932" s="27">
        <v>400</v>
      </c>
      <c r="K932" s="27">
        <v>375</v>
      </c>
      <c r="L932" s="27">
        <v>2500</v>
      </c>
      <c r="M932" s="27" t="s">
        <v>149</v>
      </c>
      <c r="N932" s="27"/>
      <c r="O932" s="27"/>
      <c r="P932" s="27"/>
      <c r="Q932" s="28"/>
      <c r="X932">
        <v>2025</v>
      </c>
    </row>
    <row r="933" spans="1:24" x14ac:dyDescent="0.25">
      <c r="A933" t="s">
        <v>1536</v>
      </c>
      <c r="B933" s="52">
        <v>45665</v>
      </c>
      <c r="C933" t="s">
        <v>1537</v>
      </c>
      <c r="D933" t="s">
        <v>57</v>
      </c>
      <c r="E933" t="s">
        <v>27</v>
      </c>
      <c r="F933">
        <v>1000</v>
      </c>
      <c r="G933">
        <v>1000</v>
      </c>
      <c r="H933">
        <v>5</v>
      </c>
      <c r="I933" s="1">
        <f t="shared" si="17"/>
        <v>5</v>
      </c>
      <c r="J933" s="1">
        <v>400</v>
      </c>
      <c r="K933" s="1">
        <v>375</v>
      </c>
      <c r="L933" s="1">
        <v>2500</v>
      </c>
      <c r="M933" s="1" t="s">
        <v>149</v>
      </c>
      <c r="N933" s="1"/>
      <c r="O933" s="1"/>
      <c r="P933" s="1"/>
      <c r="Q933" s="62"/>
      <c r="X933">
        <v>2025</v>
      </c>
    </row>
    <row r="934" spans="1:24" x14ac:dyDescent="0.25">
      <c r="A934" t="s">
        <v>1538</v>
      </c>
      <c r="B934" s="52">
        <v>45665</v>
      </c>
      <c r="C934" t="s">
        <v>1539</v>
      </c>
      <c r="D934" t="s">
        <v>97</v>
      </c>
      <c r="E934" t="s">
        <v>37</v>
      </c>
      <c r="F934">
        <v>1000</v>
      </c>
      <c r="G934">
        <v>1000</v>
      </c>
      <c r="H934">
        <v>5</v>
      </c>
      <c r="I934" s="1">
        <f t="shared" si="17"/>
        <v>5</v>
      </c>
      <c r="J934" s="1">
        <v>500</v>
      </c>
      <c r="K934" s="1">
        <v>375</v>
      </c>
      <c r="L934" s="1">
        <v>3000</v>
      </c>
      <c r="M934" s="1" t="s">
        <v>149</v>
      </c>
      <c r="N934" s="1"/>
      <c r="O934" s="1"/>
      <c r="P934" s="1"/>
      <c r="Q934" s="62"/>
      <c r="X934">
        <v>2025</v>
      </c>
    </row>
    <row r="935" spans="1:24" x14ac:dyDescent="0.25">
      <c r="A935" t="s">
        <v>1544</v>
      </c>
      <c r="B935" s="52">
        <v>45671</v>
      </c>
      <c r="C935" t="s">
        <v>1546</v>
      </c>
      <c r="D935" t="s">
        <v>100</v>
      </c>
      <c r="E935" t="s">
        <v>32</v>
      </c>
      <c r="F935">
        <v>1000</v>
      </c>
      <c r="G935">
        <v>1000</v>
      </c>
      <c r="H935">
        <v>5</v>
      </c>
      <c r="I935" s="1">
        <f t="shared" si="17"/>
        <v>5</v>
      </c>
      <c r="J935" s="1">
        <v>600</v>
      </c>
      <c r="K935" s="1">
        <v>375</v>
      </c>
      <c r="L935" s="1">
        <v>3650</v>
      </c>
      <c r="M935" s="1" t="s">
        <v>149</v>
      </c>
      <c r="N935" s="1"/>
      <c r="O935" s="1"/>
      <c r="P935" s="1"/>
      <c r="Q935" s="62"/>
      <c r="X935">
        <v>2025</v>
      </c>
    </row>
    <row r="936" spans="1:24" x14ac:dyDescent="0.25">
      <c r="A936" t="s">
        <v>1540</v>
      </c>
      <c r="B936" s="52">
        <v>45666</v>
      </c>
      <c r="C936" t="s">
        <v>1542</v>
      </c>
      <c r="D936" t="s">
        <v>57</v>
      </c>
      <c r="E936" t="s">
        <v>27</v>
      </c>
      <c r="F936">
        <v>1000</v>
      </c>
      <c r="G936">
        <v>1000</v>
      </c>
      <c r="H936">
        <v>5</v>
      </c>
      <c r="I936" s="1">
        <f t="shared" si="17"/>
        <v>5</v>
      </c>
      <c r="J936" s="1">
        <v>400</v>
      </c>
      <c r="K936" s="1">
        <v>375</v>
      </c>
      <c r="L936" s="1">
        <v>2500</v>
      </c>
      <c r="M936" s="1" t="s">
        <v>149</v>
      </c>
      <c r="N936" s="1"/>
      <c r="O936" s="1"/>
      <c r="P936" s="1"/>
      <c r="Q936" s="62"/>
      <c r="X936">
        <v>2025</v>
      </c>
    </row>
    <row r="937" spans="1:24" x14ac:dyDescent="0.25">
      <c r="A937" t="s">
        <v>1541</v>
      </c>
      <c r="B937" s="52">
        <v>45666</v>
      </c>
      <c r="C937" t="s">
        <v>1005</v>
      </c>
      <c r="D937" t="s">
        <v>146</v>
      </c>
      <c r="E937" t="s">
        <v>27</v>
      </c>
      <c r="F937">
        <v>298</v>
      </c>
      <c r="G937">
        <v>216</v>
      </c>
      <c r="H937">
        <v>311</v>
      </c>
      <c r="I937" s="1">
        <f t="shared" si="17"/>
        <v>20.018447999999999</v>
      </c>
      <c r="J937" s="1">
        <v>337.04</v>
      </c>
      <c r="K937" s="1">
        <v>1500</v>
      </c>
      <c r="L937" s="1">
        <v>8322.5400000000009</v>
      </c>
      <c r="M937" s="1" t="s">
        <v>149</v>
      </c>
      <c r="N937" s="1"/>
      <c r="O937" s="1"/>
      <c r="P937" s="1"/>
      <c r="Q937" s="62"/>
      <c r="X937">
        <v>2025</v>
      </c>
    </row>
    <row r="938" spans="1:24" x14ac:dyDescent="0.25">
      <c r="A938" t="s">
        <v>1545</v>
      </c>
      <c r="B938" s="52">
        <v>45671</v>
      </c>
      <c r="C938" t="s">
        <v>1546</v>
      </c>
      <c r="D938" t="s">
        <v>100</v>
      </c>
      <c r="E938" t="s">
        <v>27</v>
      </c>
      <c r="F938">
        <v>1000</v>
      </c>
      <c r="G938">
        <v>1000</v>
      </c>
      <c r="H938">
        <v>5</v>
      </c>
      <c r="I938" s="1">
        <f t="shared" si="17"/>
        <v>5</v>
      </c>
      <c r="J938" s="1">
        <v>400</v>
      </c>
      <c r="K938" s="1">
        <v>375</v>
      </c>
      <c r="L938" s="1">
        <v>2500</v>
      </c>
      <c r="M938" s="1" t="s">
        <v>149</v>
      </c>
      <c r="N938" s="1"/>
      <c r="O938" s="1"/>
      <c r="P938" s="44" t="s">
        <v>149</v>
      </c>
      <c r="Q938" s="62">
        <v>45699</v>
      </c>
      <c r="X938">
        <v>2025</v>
      </c>
    </row>
    <row r="939" spans="1:24" x14ac:dyDescent="0.25">
      <c r="A939" t="s">
        <v>1547</v>
      </c>
      <c r="B939" s="52">
        <v>45672</v>
      </c>
      <c r="C939" t="s">
        <v>1548</v>
      </c>
      <c r="D939" t="s">
        <v>46</v>
      </c>
      <c r="E939" t="s">
        <v>27</v>
      </c>
      <c r="F939">
        <v>1700</v>
      </c>
      <c r="G939">
        <v>1700</v>
      </c>
      <c r="H939">
        <v>52</v>
      </c>
      <c r="I939" s="1">
        <f t="shared" si="17"/>
        <v>150.28</v>
      </c>
      <c r="J939" s="1">
        <v>278.88</v>
      </c>
      <c r="K939" s="1">
        <v>3757</v>
      </c>
      <c r="L939" s="1">
        <v>45987.09</v>
      </c>
      <c r="M939" s="1" t="s">
        <v>149</v>
      </c>
      <c r="N939" s="1"/>
      <c r="O939" s="1"/>
      <c r="P939" s="1"/>
      <c r="Q939" s="62"/>
      <c r="S939" t="s">
        <v>1549</v>
      </c>
      <c r="X939">
        <v>2025</v>
      </c>
    </row>
    <row r="940" spans="1:24" x14ac:dyDescent="0.25">
      <c r="A940" t="s">
        <v>1550</v>
      </c>
      <c r="B940" s="52">
        <v>45672</v>
      </c>
      <c r="C940" t="s">
        <v>986</v>
      </c>
      <c r="D940" t="s">
        <v>57</v>
      </c>
      <c r="E940" t="s">
        <v>27</v>
      </c>
      <c r="F940">
        <v>750</v>
      </c>
      <c r="G940">
        <v>750</v>
      </c>
      <c r="H940">
        <v>130</v>
      </c>
      <c r="I940" s="1">
        <f t="shared" si="17"/>
        <v>73.125</v>
      </c>
      <c r="J940" s="1">
        <v>293.87</v>
      </c>
      <c r="K940" s="1">
        <v>2500</v>
      </c>
      <c r="L940" s="1">
        <v>23990.71</v>
      </c>
      <c r="M940" s="1" t="s">
        <v>149</v>
      </c>
      <c r="N940" s="1"/>
      <c r="O940" s="1"/>
      <c r="P940" s="1"/>
      <c r="Q940" s="62"/>
      <c r="X940">
        <v>2025</v>
      </c>
    </row>
    <row r="941" spans="1:24" x14ac:dyDescent="0.25">
      <c r="A941" t="s">
        <v>1551</v>
      </c>
      <c r="B941" s="52">
        <v>45672</v>
      </c>
      <c r="C941" t="s">
        <v>986</v>
      </c>
      <c r="D941" t="s">
        <v>57</v>
      </c>
      <c r="E941" t="s">
        <v>27</v>
      </c>
      <c r="F941">
        <v>1700</v>
      </c>
      <c r="G941">
        <v>1700</v>
      </c>
      <c r="H941">
        <v>374</v>
      </c>
      <c r="I941" s="1">
        <f t="shared" si="17"/>
        <v>1080.8599999999999</v>
      </c>
      <c r="J941" s="1">
        <v>265</v>
      </c>
      <c r="K941" s="1" t="s">
        <v>1408</v>
      </c>
      <c r="L941" s="1">
        <v>286427.90000000002</v>
      </c>
      <c r="M941" s="1" t="s">
        <v>449</v>
      </c>
      <c r="N941" s="1" t="s">
        <v>149</v>
      </c>
      <c r="O941" s="1"/>
      <c r="P941" s="1"/>
      <c r="Q941" s="62"/>
      <c r="X941">
        <v>2025</v>
      </c>
    </row>
    <row r="942" spans="1:24" x14ac:dyDescent="0.25">
      <c r="A942" t="s">
        <v>1552</v>
      </c>
      <c r="B942" s="52">
        <v>45673</v>
      </c>
      <c r="C942" t="s">
        <v>1116</v>
      </c>
      <c r="D942" t="s">
        <v>36</v>
      </c>
      <c r="E942" t="s">
        <v>32</v>
      </c>
      <c r="F942">
        <v>1500</v>
      </c>
      <c r="G942">
        <v>1127</v>
      </c>
      <c r="H942">
        <v>25</v>
      </c>
      <c r="I942" s="1">
        <f t="shared" si="17"/>
        <v>42.262500000000003</v>
      </c>
      <c r="J942" s="1">
        <v>493.5</v>
      </c>
      <c r="K942" s="1">
        <v>2113</v>
      </c>
      <c r="L942" s="1">
        <v>23088.31</v>
      </c>
      <c r="M942" s="1" t="s">
        <v>149</v>
      </c>
      <c r="N942" s="1"/>
      <c r="O942" s="1"/>
      <c r="P942" s="44" t="s">
        <v>149</v>
      </c>
      <c r="Q942" s="62">
        <v>45714</v>
      </c>
      <c r="X942">
        <v>2025</v>
      </c>
    </row>
    <row r="943" spans="1:24" x14ac:dyDescent="0.25">
      <c r="A943" t="s">
        <v>1553</v>
      </c>
      <c r="B943" s="52">
        <v>45672</v>
      </c>
      <c r="C943" t="s">
        <v>1554</v>
      </c>
      <c r="D943" t="s">
        <v>70</v>
      </c>
      <c r="E943" t="s">
        <v>27</v>
      </c>
      <c r="F943">
        <v>1000</v>
      </c>
      <c r="G943">
        <v>1000</v>
      </c>
      <c r="H943">
        <v>5</v>
      </c>
      <c r="I943" s="1">
        <f t="shared" ref="I943:I1006" si="18">$F943*$G943*$H943/1000000</f>
        <v>5</v>
      </c>
      <c r="J943" s="1">
        <v>400</v>
      </c>
      <c r="K943" s="1">
        <v>375</v>
      </c>
      <c r="L943" s="1">
        <v>2450</v>
      </c>
      <c r="M943" s="1" t="s">
        <v>149</v>
      </c>
      <c r="N943" s="1"/>
      <c r="O943" s="1"/>
      <c r="P943" s="1"/>
      <c r="Q943" s="62"/>
      <c r="X943">
        <v>2025</v>
      </c>
    </row>
    <row r="944" spans="1:24" x14ac:dyDescent="0.25">
      <c r="A944" t="s">
        <v>1560</v>
      </c>
      <c r="B944" s="52">
        <v>45674</v>
      </c>
      <c r="C944" t="s">
        <v>1480</v>
      </c>
      <c r="D944" t="s">
        <v>1135</v>
      </c>
      <c r="E944" t="s">
        <v>27</v>
      </c>
      <c r="F944">
        <v>620</v>
      </c>
      <c r="G944">
        <v>620</v>
      </c>
      <c r="H944">
        <v>100</v>
      </c>
      <c r="I944" s="1">
        <f t="shared" si="18"/>
        <v>38.44</v>
      </c>
      <c r="J944" s="1">
        <v>308.55</v>
      </c>
      <c r="K944" s="1">
        <v>1922</v>
      </c>
      <c r="L944" s="1">
        <v>13932.66</v>
      </c>
      <c r="M944" s="1" t="s">
        <v>149</v>
      </c>
      <c r="N944" s="1"/>
      <c r="O944" s="1"/>
      <c r="P944" s="1"/>
      <c r="Q944" s="62"/>
      <c r="X944">
        <v>2025</v>
      </c>
    </row>
    <row r="945" spans="1:24" x14ac:dyDescent="0.25">
      <c r="A945" t="s">
        <v>1555</v>
      </c>
      <c r="B945" s="52">
        <v>45674</v>
      </c>
      <c r="C945" t="s">
        <v>1480</v>
      </c>
      <c r="D945" t="s">
        <v>1135</v>
      </c>
      <c r="E945" t="s">
        <v>27</v>
      </c>
      <c r="F945" s="14">
        <v>612</v>
      </c>
      <c r="G945" s="14">
        <v>612</v>
      </c>
      <c r="H945" s="14">
        <v>300</v>
      </c>
      <c r="I945" s="79">
        <f t="shared" si="18"/>
        <v>112.36320000000001</v>
      </c>
      <c r="J945" s="79">
        <v>286.01</v>
      </c>
      <c r="K945" s="79">
        <v>2809</v>
      </c>
      <c r="L945" s="79">
        <v>35155.08</v>
      </c>
      <c r="M945" s="1" t="s">
        <v>149</v>
      </c>
      <c r="N945" s="1"/>
      <c r="O945" s="1"/>
      <c r="P945" s="44" t="s">
        <v>149</v>
      </c>
      <c r="Q945" s="62">
        <v>45681</v>
      </c>
      <c r="X945">
        <v>2025</v>
      </c>
    </row>
    <row r="946" spans="1:24" x14ac:dyDescent="0.25">
      <c r="A946" t="s">
        <v>1556</v>
      </c>
      <c r="B946" s="52">
        <v>45674</v>
      </c>
      <c r="C946" t="s">
        <v>1480</v>
      </c>
      <c r="D946" t="s">
        <v>1135</v>
      </c>
      <c r="E946" t="s">
        <v>27</v>
      </c>
      <c r="F946">
        <v>620</v>
      </c>
      <c r="G946">
        <v>620</v>
      </c>
      <c r="H946">
        <v>400</v>
      </c>
      <c r="I946" s="1">
        <f t="shared" si="18"/>
        <v>153.76</v>
      </c>
      <c r="J946" s="1">
        <v>278.41000000000003</v>
      </c>
      <c r="K946" s="1">
        <v>3844</v>
      </c>
      <c r="L946" s="1">
        <v>46907.32</v>
      </c>
      <c r="M946" s="1" t="s">
        <v>149</v>
      </c>
      <c r="N946" s="1"/>
      <c r="O946" s="1"/>
      <c r="P946" s="1"/>
      <c r="Q946" s="62"/>
      <c r="X946">
        <v>2025</v>
      </c>
    </row>
    <row r="947" spans="1:24" x14ac:dyDescent="0.25">
      <c r="A947" t="s">
        <v>1557</v>
      </c>
      <c r="B947" s="52">
        <v>45677</v>
      </c>
      <c r="C947" t="s">
        <v>1480</v>
      </c>
      <c r="D947" t="s">
        <v>1135</v>
      </c>
      <c r="E947" t="s">
        <v>27</v>
      </c>
      <c r="F947">
        <v>1000</v>
      </c>
      <c r="G947">
        <v>1000</v>
      </c>
      <c r="H947">
        <v>5</v>
      </c>
      <c r="I947" s="1">
        <f t="shared" si="18"/>
        <v>5</v>
      </c>
      <c r="J947" s="1">
        <v>400</v>
      </c>
      <c r="K947" s="1">
        <v>375</v>
      </c>
      <c r="L947" s="1">
        <v>2500</v>
      </c>
      <c r="M947" s="1" t="s">
        <v>149</v>
      </c>
      <c r="N947" s="1"/>
      <c r="O947" s="1"/>
      <c r="P947" s="1"/>
      <c r="Q947" s="62"/>
      <c r="X947">
        <v>2025</v>
      </c>
    </row>
    <row r="948" spans="1:24" x14ac:dyDescent="0.25">
      <c r="A948" t="s">
        <v>1558</v>
      </c>
      <c r="B948" s="52">
        <v>45677</v>
      </c>
      <c r="C948" t="s">
        <v>781</v>
      </c>
      <c r="D948" t="s">
        <v>100</v>
      </c>
      <c r="E948" t="s">
        <v>37</v>
      </c>
      <c r="F948">
        <v>1000</v>
      </c>
      <c r="G948">
        <v>1000</v>
      </c>
      <c r="H948">
        <v>5</v>
      </c>
      <c r="I948" s="1">
        <f t="shared" si="18"/>
        <v>5</v>
      </c>
      <c r="J948" s="1">
        <v>500</v>
      </c>
      <c r="K948" s="1">
        <v>375</v>
      </c>
      <c r="L948" s="1">
        <v>3000</v>
      </c>
      <c r="M948" s="1" t="s">
        <v>149</v>
      </c>
      <c r="N948" s="1"/>
      <c r="O948" s="1"/>
      <c r="P948" s="1"/>
      <c r="Q948" s="62"/>
      <c r="X948">
        <v>2025</v>
      </c>
    </row>
    <row r="949" spans="1:24" x14ac:dyDescent="0.25">
      <c r="A949" t="s">
        <v>1559</v>
      </c>
      <c r="B949" s="52">
        <v>45681</v>
      </c>
      <c r="C949" t="s">
        <v>1331</v>
      </c>
      <c r="D949" t="s">
        <v>57</v>
      </c>
      <c r="E949" t="s">
        <v>27</v>
      </c>
      <c r="F949">
        <v>1000</v>
      </c>
      <c r="G949">
        <v>1000</v>
      </c>
      <c r="H949">
        <v>5</v>
      </c>
      <c r="I949" s="1">
        <f t="shared" si="18"/>
        <v>5</v>
      </c>
      <c r="J949" s="1">
        <v>400</v>
      </c>
      <c r="K949" s="1">
        <v>375</v>
      </c>
      <c r="L949" s="1">
        <v>2500</v>
      </c>
      <c r="M949" s="1" t="s">
        <v>149</v>
      </c>
      <c r="N949" s="1"/>
      <c r="O949" s="1"/>
      <c r="P949" s="44" t="s">
        <v>149</v>
      </c>
      <c r="Q949" s="62">
        <v>45684</v>
      </c>
      <c r="X949">
        <v>2025</v>
      </c>
    </row>
    <row r="950" spans="1:24" x14ac:dyDescent="0.25">
      <c r="A950" t="s">
        <v>1561</v>
      </c>
      <c r="B950" s="52">
        <v>45688</v>
      </c>
      <c r="C950" t="s">
        <v>1562</v>
      </c>
      <c r="D950" t="s">
        <v>83</v>
      </c>
      <c r="E950" t="s">
        <v>32</v>
      </c>
      <c r="F950">
        <v>900</v>
      </c>
      <c r="G950">
        <v>600</v>
      </c>
      <c r="H950">
        <v>80</v>
      </c>
      <c r="I950" s="1">
        <f t="shared" si="18"/>
        <v>43.2</v>
      </c>
      <c r="J950" s="1">
        <v>492.51</v>
      </c>
      <c r="K950" s="1">
        <v>2160</v>
      </c>
      <c r="L950" s="1">
        <v>23626.43</v>
      </c>
      <c r="M950" s="1" t="s">
        <v>149</v>
      </c>
      <c r="N950" s="1"/>
      <c r="O950" s="1"/>
      <c r="P950" s="1"/>
      <c r="Q950" s="62"/>
      <c r="X950">
        <v>2025</v>
      </c>
    </row>
    <row r="951" spans="1:24" x14ac:dyDescent="0.25">
      <c r="A951" t="s">
        <v>1563</v>
      </c>
      <c r="B951" s="52">
        <v>45688</v>
      </c>
      <c r="C951" t="s">
        <v>1562</v>
      </c>
      <c r="D951" t="s">
        <v>83</v>
      </c>
      <c r="E951" t="s">
        <v>32</v>
      </c>
      <c r="F951">
        <v>572</v>
      </c>
      <c r="G951">
        <v>407</v>
      </c>
      <c r="H951">
        <v>90</v>
      </c>
      <c r="I951" s="1">
        <f t="shared" si="18"/>
        <v>20.952359999999999</v>
      </c>
      <c r="J951" s="1">
        <v>539.72</v>
      </c>
      <c r="K951" s="1">
        <v>1500</v>
      </c>
      <c r="L951" s="1">
        <v>12907.13</v>
      </c>
      <c r="M951" s="1" t="s">
        <v>149</v>
      </c>
      <c r="N951" s="1"/>
      <c r="O951" s="1"/>
      <c r="P951" s="1"/>
      <c r="Q951" s="62"/>
      <c r="X951">
        <v>2025</v>
      </c>
    </row>
    <row r="952" spans="1:24" x14ac:dyDescent="0.25">
      <c r="A952" t="s">
        <v>1564</v>
      </c>
      <c r="B952" s="52">
        <v>45685</v>
      </c>
      <c r="C952" t="s">
        <v>1565</v>
      </c>
      <c r="D952" t="s">
        <v>70</v>
      </c>
      <c r="E952" t="s">
        <v>37</v>
      </c>
      <c r="F952">
        <v>1000</v>
      </c>
      <c r="G952">
        <v>1000</v>
      </c>
      <c r="H952">
        <v>5</v>
      </c>
      <c r="I952" s="1">
        <f t="shared" si="18"/>
        <v>5</v>
      </c>
      <c r="J952" s="1">
        <v>500</v>
      </c>
      <c r="K952" s="1">
        <v>375</v>
      </c>
      <c r="L952" s="1">
        <v>2950</v>
      </c>
      <c r="M952" s="1" t="s">
        <v>149</v>
      </c>
      <c r="N952" s="1"/>
      <c r="O952" s="1"/>
      <c r="P952" s="44" t="s">
        <v>149</v>
      </c>
      <c r="Q952" s="62">
        <v>45714</v>
      </c>
      <c r="X952">
        <v>2025</v>
      </c>
    </row>
    <row r="953" spans="1:24" x14ac:dyDescent="0.25">
      <c r="A953" t="s">
        <v>1567</v>
      </c>
      <c r="B953" s="52">
        <v>45686</v>
      </c>
      <c r="C953" t="s">
        <v>1566</v>
      </c>
      <c r="D953" t="s">
        <v>31</v>
      </c>
      <c r="E953" t="s">
        <v>27</v>
      </c>
      <c r="F953">
        <v>1000</v>
      </c>
      <c r="G953">
        <v>1000</v>
      </c>
      <c r="H953">
        <v>5</v>
      </c>
      <c r="I953" s="1">
        <f t="shared" si="18"/>
        <v>5</v>
      </c>
      <c r="J953" s="1">
        <v>400</v>
      </c>
      <c r="K953" s="1">
        <v>375</v>
      </c>
      <c r="L953" s="1">
        <v>2450</v>
      </c>
      <c r="M953" s="1" t="s">
        <v>149</v>
      </c>
      <c r="N953" s="1"/>
      <c r="O953" s="1"/>
      <c r="P953" s="1"/>
      <c r="Q953" s="62"/>
      <c r="X953">
        <v>2025</v>
      </c>
    </row>
    <row r="954" spans="1:24" x14ac:dyDescent="0.25">
      <c r="A954" t="s">
        <v>1568</v>
      </c>
      <c r="B954" s="52">
        <v>45686</v>
      </c>
      <c r="C954" t="s">
        <v>1569</v>
      </c>
      <c r="D954" t="s">
        <v>52</v>
      </c>
      <c r="E954" t="s">
        <v>27</v>
      </c>
      <c r="F954">
        <v>1000</v>
      </c>
      <c r="G954">
        <v>1000</v>
      </c>
      <c r="H954">
        <v>5</v>
      </c>
      <c r="I954" s="1">
        <f t="shared" si="18"/>
        <v>5</v>
      </c>
      <c r="J954" s="1">
        <v>400</v>
      </c>
      <c r="K954" s="1">
        <v>375</v>
      </c>
      <c r="L954" s="1">
        <v>2450</v>
      </c>
      <c r="M954" s="1" t="s">
        <v>149</v>
      </c>
      <c r="N954" s="1"/>
      <c r="O954" s="1"/>
      <c r="P954" s="1"/>
      <c r="Q954" s="62"/>
      <c r="X954">
        <v>2025</v>
      </c>
    </row>
    <row r="955" spans="1:24" x14ac:dyDescent="0.25">
      <c r="A955" t="s">
        <v>1570</v>
      </c>
      <c r="B955" s="52">
        <v>45686</v>
      </c>
      <c r="C955" t="s">
        <v>1571</v>
      </c>
      <c r="D955" t="s">
        <v>157</v>
      </c>
      <c r="E955" t="s">
        <v>27</v>
      </c>
      <c r="F955">
        <v>1000</v>
      </c>
      <c r="G955">
        <v>1000</v>
      </c>
      <c r="H955">
        <v>5</v>
      </c>
      <c r="I955" s="1">
        <f t="shared" si="18"/>
        <v>5</v>
      </c>
      <c r="J955" s="1">
        <v>400</v>
      </c>
      <c r="K955" s="1">
        <v>375</v>
      </c>
      <c r="L955" s="1">
        <v>2450</v>
      </c>
      <c r="M955" s="1" t="s">
        <v>149</v>
      </c>
      <c r="N955" s="1"/>
      <c r="O955" s="1"/>
      <c r="P955" s="1"/>
      <c r="Q955" s="62"/>
      <c r="X955">
        <v>2025</v>
      </c>
    </row>
    <row r="956" spans="1:24" x14ac:dyDescent="0.25">
      <c r="A956" t="s">
        <v>1572</v>
      </c>
      <c r="B956" s="52">
        <v>45686</v>
      </c>
      <c r="C956" t="s">
        <v>1571</v>
      </c>
      <c r="D956" t="s">
        <v>157</v>
      </c>
      <c r="E956" t="s">
        <v>32</v>
      </c>
      <c r="F956">
        <v>1000</v>
      </c>
      <c r="G956">
        <v>1000</v>
      </c>
      <c r="H956">
        <v>5</v>
      </c>
      <c r="I956" s="1">
        <f t="shared" si="18"/>
        <v>5</v>
      </c>
      <c r="J956" s="1">
        <v>600</v>
      </c>
      <c r="K956" s="1">
        <v>375</v>
      </c>
      <c r="L956" s="1">
        <v>3650</v>
      </c>
      <c r="M956" s="1" t="s">
        <v>149</v>
      </c>
      <c r="N956" s="1"/>
      <c r="O956" s="1"/>
      <c r="P956" s="1"/>
      <c r="Q956" s="62"/>
      <c r="X956">
        <v>2025</v>
      </c>
    </row>
    <row r="957" spans="1:24" x14ac:dyDescent="0.25">
      <c r="A957" t="s">
        <v>1573</v>
      </c>
      <c r="B957" s="52">
        <v>45686</v>
      </c>
      <c r="C957" t="s">
        <v>1574</v>
      </c>
      <c r="D957" t="s">
        <v>283</v>
      </c>
      <c r="E957" t="s">
        <v>27</v>
      </c>
      <c r="F957">
        <v>1000</v>
      </c>
      <c r="G957">
        <v>1000</v>
      </c>
      <c r="H957">
        <v>5</v>
      </c>
      <c r="I957" s="1">
        <f t="shared" si="18"/>
        <v>5</v>
      </c>
      <c r="J957" s="1">
        <v>400</v>
      </c>
      <c r="K957" s="1">
        <v>375</v>
      </c>
      <c r="L957" s="1">
        <v>2500</v>
      </c>
      <c r="M957" s="1" t="s">
        <v>149</v>
      </c>
      <c r="N957" s="1"/>
      <c r="O957" s="1"/>
      <c r="P957" s="1"/>
      <c r="Q957" s="62"/>
      <c r="X957">
        <v>2025</v>
      </c>
    </row>
    <row r="958" spans="1:24" x14ac:dyDescent="0.25">
      <c r="A958" t="s">
        <v>1575</v>
      </c>
      <c r="B958" s="52">
        <v>45686</v>
      </c>
      <c r="C958" t="s">
        <v>754</v>
      </c>
      <c r="D958" t="s">
        <v>70</v>
      </c>
      <c r="E958" t="s">
        <v>27</v>
      </c>
      <c r="F958">
        <v>1000</v>
      </c>
      <c r="G958">
        <v>1000</v>
      </c>
      <c r="H958">
        <v>5</v>
      </c>
      <c r="I958" s="1">
        <f t="shared" si="18"/>
        <v>5</v>
      </c>
      <c r="J958" s="1">
        <v>400</v>
      </c>
      <c r="K958" s="1">
        <v>375</v>
      </c>
      <c r="L958" s="1">
        <v>2450</v>
      </c>
      <c r="M958" s="1" t="s">
        <v>149</v>
      </c>
      <c r="N958" s="1"/>
      <c r="O958" s="1"/>
      <c r="P958" s="1"/>
      <c r="Q958" s="62"/>
      <c r="X958">
        <v>2025</v>
      </c>
    </row>
    <row r="959" spans="1:24" x14ac:dyDescent="0.25">
      <c r="A959" t="s">
        <v>1576</v>
      </c>
      <c r="B959" s="52">
        <v>45687</v>
      </c>
      <c r="C959" t="s">
        <v>1577</v>
      </c>
      <c r="D959" t="s">
        <v>42</v>
      </c>
      <c r="E959" t="s">
        <v>32</v>
      </c>
      <c r="F959">
        <v>1000</v>
      </c>
      <c r="G959">
        <v>1000</v>
      </c>
      <c r="H959">
        <v>5</v>
      </c>
      <c r="I959" s="1">
        <f t="shared" si="18"/>
        <v>5</v>
      </c>
      <c r="J959" s="1">
        <v>600</v>
      </c>
      <c r="K959" s="1">
        <v>375</v>
      </c>
      <c r="L959" s="1">
        <v>3650</v>
      </c>
      <c r="M959" s="1" t="s">
        <v>149</v>
      </c>
      <c r="N959" s="1"/>
      <c r="O959" s="1"/>
      <c r="P959" s="1"/>
      <c r="Q959" s="62"/>
      <c r="X959">
        <v>2025</v>
      </c>
    </row>
    <row r="960" spans="1:24" x14ac:dyDescent="0.25">
      <c r="A960" t="s">
        <v>1578</v>
      </c>
      <c r="B960" s="52">
        <v>45693</v>
      </c>
      <c r="C960" t="s">
        <v>1362</v>
      </c>
      <c r="D960" t="s">
        <v>699</v>
      </c>
      <c r="E960" t="s">
        <v>27</v>
      </c>
      <c r="F960">
        <v>1000</v>
      </c>
      <c r="G960">
        <v>1000</v>
      </c>
      <c r="H960">
        <v>72</v>
      </c>
      <c r="I960" s="1">
        <f t="shared" si="18"/>
        <v>72</v>
      </c>
      <c r="J960" s="1">
        <v>294.14</v>
      </c>
      <c r="K960" s="1">
        <v>2500</v>
      </c>
      <c r="L960" s="1">
        <v>23778.080000000002</v>
      </c>
      <c r="M960" s="1" t="s">
        <v>149</v>
      </c>
      <c r="N960" s="1"/>
      <c r="O960" s="1"/>
      <c r="P960" s="1"/>
      <c r="Q960" s="62"/>
      <c r="X960">
        <v>2025</v>
      </c>
    </row>
    <row r="961" spans="1:24" x14ac:dyDescent="0.25">
      <c r="A961" t="s">
        <v>1579</v>
      </c>
      <c r="B961" s="52">
        <v>45693</v>
      </c>
      <c r="C961" t="s">
        <v>609</v>
      </c>
      <c r="D961" t="s">
        <v>100</v>
      </c>
      <c r="E961" t="s">
        <v>37</v>
      </c>
      <c r="F961">
        <v>1000</v>
      </c>
      <c r="G961">
        <v>1000</v>
      </c>
      <c r="H961">
        <v>5</v>
      </c>
      <c r="I961" s="1">
        <f t="shared" si="18"/>
        <v>5</v>
      </c>
      <c r="J961" s="1">
        <v>500</v>
      </c>
      <c r="K961" s="1">
        <v>375</v>
      </c>
      <c r="L961" s="1">
        <v>3000</v>
      </c>
      <c r="M961" s="1" t="s">
        <v>149</v>
      </c>
      <c r="N961" s="1"/>
      <c r="O961" s="1"/>
      <c r="P961" s="1"/>
      <c r="Q961" s="62"/>
      <c r="X961">
        <v>2025</v>
      </c>
    </row>
    <row r="962" spans="1:24" x14ac:dyDescent="0.25">
      <c r="A962" t="s">
        <v>1580</v>
      </c>
      <c r="B962" s="52">
        <v>45693</v>
      </c>
      <c r="C962" t="s">
        <v>1582</v>
      </c>
      <c r="D962" t="s">
        <v>138</v>
      </c>
      <c r="E962" t="s">
        <v>32</v>
      </c>
      <c r="F962">
        <v>1000</v>
      </c>
      <c r="G962">
        <v>1000</v>
      </c>
      <c r="H962">
        <v>20</v>
      </c>
      <c r="I962" s="1">
        <f t="shared" si="18"/>
        <v>20</v>
      </c>
      <c r="J962" s="1">
        <v>544.08000000000004</v>
      </c>
      <c r="K962" s="1">
        <v>1500</v>
      </c>
      <c r="L962" s="1">
        <v>12621.6</v>
      </c>
      <c r="M962" s="1" t="s">
        <v>149</v>
      </c>
      <c r="N962" s="1"/>
      <c r="O962" s="1"/>
      <c r="P962" s="44" t="s">
        <v>149</v>
      </c>
      <c r="Q962" s="62">
        <v>45700</v>
      </c>
      <c r="X962">
        <v>2025</v>
      </c>
    </row>
    <row r="963" spans="1:24" x14ac:dyDescent="0.25">
      <c r="A963" t="s">
        <v>1581</v>
      </c>
      <c r="B963" s="52">
        <v>45693</v>
      </c>
      <c r="C963" t="s">
        <v>1582</v>
      </c>
      <c r="D963" t="s">
        <v>138</v>
      </c>
      <c r="E963" t="s">
        <v>37</v>
      </c>
      <c r="F963">
        <v>1000</v>
      </c>
      <c r="G963">
        <v>1000</v>
      </c>
      <c r="H963">
        <v>20</v>
      </c>
      <c r="I963" s="1">
        <f t="shared" si="18"/>
        <v>20</v>
      </c>
      <c r="J963" s="1">
        <v>438.23</v>
      </c>
      <c r="K963" s="1">
        <v>1500</v>
      </c>
      <c r="L963" s="1">
        <v>10544.6</v>
      </c>
      <c r="M963" s="1" t="s">
        <v>149</v>
      </c>
      <c r="N963" s="1"/>
      <c r="O963" s="1"/>
      <c r="P963" s="1"/>
      <c r="Q963" s="62"/>
      <c r="X963">
        <v>2025</v>
      </c>
    </row>
    <row r="964" spans="1:24" x14ac:dyDescent="0.25">
      <c r="A964" t="s">
        <v>1583</v>
      </c>
      <c r="B964" s="52">
        <v>45693</v>
      </c>
      <c r="C964" t="s">
        <v>1584</v>
      </c>
      <c r="D964" t="s">
        <v>699</v>
      </c>
      <c r="E964" t="s">
        <v>27</v>
      </c>
      <c r="F964">
        <v>1000</v>
      </c>
      <c r="G964">
        <v>1000</v>
      </c>
      <c r="H964">
        <v>5</v>
      </c>
      <c r="I964" s="1">
        <f t="shared" si="18"/>
        <v>5</v>
      </c>
      <c r="J964" s="1">
        <v>400</v>
      </c>
      <c r="K964" s="1">
        <v>375</v>
      </c>
      <c r="L964" s="1">
        <v>2450</v>
      </c>
      <c r="M964" s="1" t="s">
        <v>149</v>
      </c>
      <c r="N964" s="1"/>
      <c r="O964" s="1"/>
      <c r="P964" s="1"/>
      <c r="Q964" s="62"/>
      <c r="X964">
        <v>2025</v>
      </c>
    </row>
    <row r="965" spans="1:24" x14ac:dyDescent="0.25">
      <c r="A965" t="s">
        <v>1586</v>
      </c>
      <c r="B965" s="52">
        <v>45694</v>
      </c>
      <c r="C965" t="s">
        <v>1585</v>
      </c>
      <c r="D965" t="s">
        <v>100</v>
      </c>
      <c r="E965" t="s">
        <v>37</v>
      </c>
      <c r="F965">
        <v>1000</v>
      </c>
      <c r="G965">
        <v>1000</v>
      </c>
      <c r="H965">
        <v>5</v>
      </c>
      <c r="I965" s="1">
        <f t="shared" si="18"/>
        <v>5</v>
      </c>
      <c r="J965" s="1">
        <v>500</v>
      </c>
      <c r="K965" s="1">
        <v>375</v>
      </c>
      <c r="L965" s="1">
        <v>3000</v>
      </c>
      <c r="M965" s="1" t="s">
        <v>149</v>
      </c>
      <c r="N965" s="1"/>
      <c r="O965" s="1"/>
      <c r="P965" s="44" t="s">
        <v>149</v>
      </c>
      <c r="Q965" s="62">
        <v>45699</v>
      </c>
      <c r="X965">
        <v>2025</v>
      </c>
    </row>
    <row r="966" spans="1:24" x14ac:dyDescent="0.25">
      <c r="A966" t="s">
        <v>1587</v>
      </c>
      <c r="B966" s="52">
        <v>45694</v>
      </c>
      <c r="C966" t="s">
        <v>238</v>
      </c>
      <c r="D966" t="s">
        <v>138</v>
      </c>
      <c r="E966" t="s">
        <v>37</v>
      </c>
      <c r="F966">
        <v>603</v>
      </c>
      <c r="G966">
        <v>489</v>
      </c>
      <c r="H966">
        <v>90</v>
      </c>
      <c r="I966" s="1">
        <f t="shared" si="18"/>
        <v>26.538029999999999</v>
      </c>
      <c r="J966" s="1">
        <v>419.16</v>
      </c>
      <c r="K966" s="1">
        <v>1327</v>
      </c>
      <c r="L966" s="1">
        <v>12451.51</v>
      </c>
      <c r="M966" s="1" t="s">
        <v>149</v>
      </c>
      <c r="N966" s="1"/>
      <c r="O966" s="1"/>
      <c r="P966" s="1"/>
      <c r="Q966" s="62"/>
      <c r="X966">
        <v>2025</v>
      </c>
    </row>
    <row r="967" spans="1:24" x14ac:dyDescent="0.25">
      <c r="A967" t="s">
        <v>1588</v>
      </c>
      <c r="B967" s="52">
        <v>45694</v>
      </c>
      <c r="C967" t="s">
        <v>238</v>
      </c>
      <c r="D967" t="s">
        <v>138</v>
      </c>
      <c r="E967" t="s">
        <v>37</v>
      </c>
      <c r="F967">
        <v>603</v>
      </c>
      <c r="G967">
        <v>489</v>
      </c>
      <c r="H967">
        <v>350</v>
      </c>
      <c r="I967" s="1">
        <f t="shared" si="18"/>
        <v>103.20345</v>
      </c>
      <c r="J967" s="1">
        <v>375.08</v>
      </c>
      <c r="K967" s="1">
        <v>2580</v>
      </c>
      <c r="L967" s="1">
        <v>41288.26</v>
      </c>
      <c r="M967" s="1" t="s">
        <v>149</v>
      </c>
      <c r="N967" s="1"/>
      <c r="O967" s="1"/>
      <c r="P967" s="1"/>
      <c r="Q967" s="62"/>
      <c r="X967">
        <v>2025</v>
      </c>
    </row>
    <row r="968" spans="1:24" x14ac:dyDescent="0.25">
      <c r="A968" t="s">
        <v>1589</v>
      </c>
      <c r="B968" s="52">
        <v>45702</v>
      </c>
      <c r="C968" t="s">
        <v>200</v>
      </c>
      <c r="D968" t="s">
        <v>157</v>
      </c>
      <c r="E968" t="s">
        <v>32</v>
      </c>
      <c r="F968">
        <v>1438</v>
      </c>
      <c r="G968">
        <v>1438</v>
      </c>
      <c r="H968">
        <v>170</v>
      </c>
      <c r="I968" s="1">
        <f t="shared" si="18"/>
        <v>351.53348</v>
      </c>
      <c r="J968" s="1">
        <v>430.63</v>
      </c>
      <c r="K968" s="1">
        <v>8788.25</v>
      </c>
      <c r="L968" s="1">
        <v>160327.60999999999</v>
      </c>
      <c r="M968" s="1" t="s">
        <v>149</v>
      </c>
      <c r="N968" s="1"/>
      <c r="O968" s="1"/>
      <c r="P968" s="15"/>
      <c r="Q968" s="62"/>
      <c r="X968">
        <v>2025</v>
      </c>
    </row>
    <row r="969" spans="1:24" x14ac:dyDescent="0.25">
      <c r="A969" t="s">
        <v>1590</v>
      </c>
      <c r="B969" s="52">
        <v>45702</v>
      </c>
      <c r="C969" t="s">
        <v>200</v>
      </c>
      <c r="D969" t="s">
        <v>157</v>
      </c>
      <c r="E969" t="s">
        <v>27</v>
      </c>
      <c r="F969">
        <v>1438</v>
      </c>
      <c r="G969">
        <v>1438</v>
      </c>
      <c r="H969">
        <v>170</v>
      </c>
      <c r="I969" s="1">
        <f t="shared" si="18"/>
        <v>351.53348</v>
      </c>
      <c r="J969" s="1">
        <v>266.81</v>
      </c>
      <c r="K969" s="1">
        <v>8788.25</v>
      </c>
      <c r="L969" s="1">
        <v>102839.97</v>
      </c>
      <c r="M969" s="1" t="s">
        <v>149</v>
      </c>
      <c r="N969" s="1"/>
      <c r="O969" s="1"/>
      <c r="P969" s="45" t="s">
        <v>149</v>
      </c>
      <c r="Q969" s="62">
        <v>45756</v>
      </c>
      <c r="X969">
        <v>2025</v>
      </c>
    </row>
    <row r="970" spans="1:24" x14ac:dyDescent="0.25">
      <c r="A970" t="s">
        <v>1591</v>
      </c>
      <c r="B970" s="52">
        <v>45694</v>
      </c>
      <c r="C970" t="s">
        <v>1592</v>
      </c>
      <c r="D970" t="s">
        <v>464</v>
      </c>
      <c r="E970" t="s">
        <v>32</v>
      </c>
      <c r="F970">
        <v>1000</v>
      </c>
      <c r="G970">
        <v>1000</v>
      </c>
      <c r="H970">
        <v>5</v>
      </c>
      <c r="I970" s="1">
        <f t="shared" si="18"/>
        <v>5</v>
      </c>
      <c r="J970" s="1">
        <v>600</v>
      </c>
      <c r="K970" s="1">
        <v>375</v>
      </c>
      <c r="L970" s="1">
        <v>3650</v>
      </c>
      <c r="M970" s="1" t="s">
        <v>149</v>
      </c>
      <c r="N970" s="1"/>
      <c r="O970" s="1"/>
      <c r="P970" s="1"/>
      <c r="Q970" s="62"/>
      <c r="X970">
        <v>2025</v>
      </c>
    </row>
    <row r="971" spans="1:24" x14ac:dyDescent="0.25">
      <c r="A971" t="s">
        <v>1593</v>
      </c>
      <c r="B971" s="52">
        <v>45698</v>
      </c>
      <c r="C971" t="s">
        <v>609</v>
      </c>
      <c r="D971" t="s">
        <v>100</v>
      </c>
      <c r="E971" t="s">
        <v>37</v>
      </c>
      <c r="F971">
        <v>1000</v>
      </c>
      <c r="G971">
        <v>1000</v>
      </c>
      <c r="H971">
        <v>15</v>
      </c>
      <c r="I971" s="1">
        <f t="shared" si="18"/>
        <v>15</v>
      </c>
      <c r="J971" s="1">
        <v>446.81</v>
      </c>
      <c r="K971" s="1">
        <v>1125</v>
      </c>
      <c r="L971" s="1">
        <v>8202.15</v>
      </c>
      <c r="M971" s="1" t="s">
        <v>149</v>
      </c>
      <c r="N971" s="1"/>
      <c r="O971" s="1"/>
      <c r="P971" s="44" t="s">
        <v>149</v>
      </c>
      <c r="Q971" s="62">
        <v>45699</v>
      </c>
      <c r="X971">
        <v>2025</v>
      </c>
    </row>
    <row r="972" spans="1:24" x14ac:dyDescent="0.25">
      <c r="A972" t="s">
        <v>1594</v>
      </c>
      <c r="B972" s="52">
        <v>45712</v>
      </c>
      <c r="C972" t="s">
        <v>1236</v>
      </c>
      <c r="D972" t="s">
        <v>100</v>
      </c>
      <c r="E972" t="s">
        <v>37</v>
      </c>
      <c r="F972">
        <v>600</v>
      </c>
      <c r="G972">
        <v>600</v>
      </c>
      <c r="H972">
        <v>56</v>
      </c>
      <c r="I972" s="1">
        <f t="shared" si="18"/>
        <v>20.16</v>
      </c>
      <c r="J972" s="1">
        <v>437.6</v>
      </c>
      <c r="K972" s="1">
        <v>1500</v>
      </c>
      <c r="L972" s="1">
        <v>10457.02</v>
      </c>
      <c r="M972" s="1" t="s">
        <v>149</v>
      </c>
      <c r="N972" s="1"/>
      <c r="O972" s="1"/>
      <c r="P972" s="1"/>
      <c r="Q972" s="62"/>
      <c r="X972">
        <v>2025</v>
      </c>
    </row>
    <row r="973" spans="1:24" x14ac:dyDescent="0.25">
      <c r="A973" t="s">
        <v>1595</v>
      </c>
      <c r="B973" s="52">
        <v>45699</v>
      </c>
      <c r="C973" t="s">
        <v>1596</v>
      </c>
      <c r="D973" t="s">
        <v>70</v>
      </c>
      <c r="E973" t="s">
        <v>32</v>
      </c>
      <c r="F973">
        <v>1000</v>
      </c>
      <c r="G973">
        <v>1000</v>
      </c>
      <c r="H973">
        <v>5</v>
      </c>
      <c r="I973" s="1">
        <f t="shared" si="18"/>
        <v>5</v>
      </c>
      <c r="J973" s="1">
        <v>600</v>
      </c>
      <c r="K973" s="1">
        <v>375</v>
      </c>
      <c r="L973" s="1">
        <v>3650</v>
      </c>
      <c r="M973" s="1" t="s">
        <v>149</v>
      </c>
      <c r="N973" s="1"/>
      <c r="O973" s="1"/>
      <c r="P973" s="1"/>
      <c r="Q973" s="62"/>
      <c r="X973">
        <v>2025</v>
      </c>
    </row>
    <row r="974" spans="1:24" x14ac:dyDescent="0.25">
      <c r="A974" t="s">
        <v>1599</v>
      </c>
      <c r="B974" s="52">
        <v>45699</v>
      </c>
      <c r="C974" t="s">
        <v>1597</v>
      </c>
      <c r="D974" t="s">
        <v>425</v>
      </c>
      <c r="E974" t="s">
        <v>32</v>
      </c>
      <c r="F974">
        <v>1000</v>
      </c>
      <c r="G974">
        <v>1000</v>
      </c>
      <c r="H974">
        <v>5</v>
      </c>
      <c r="I974" s="1">
        <f t="shared" si="18"/>
        <v>5</v>
      </c>
      <c r="J974" s="1">
        <v>600</v>
      </c>
      <c r="K974" s="1">
        <v>375</v>
      </c>
      <c r="L974" s="1">
        <v>3650</v>
      </c>
      <c r="M974" s="1" t="s">
        <v>149</v>
      </c>
      <c r="N974" s="1"/>
      <c r="O974" s="1"/>
      <c r="P974" s="1"/>
      <c r="Q974" s="62"/>
      <c r="X974">
        <v>2025</v>
      </c>
    </row>
    <row r="975" spans="1:24" x14ac:dyDescent="0.25">
      <c r="A975" t="s">
        <v>1600</v>
      </c>
      <c r="B975" s="52">
        <v>45699</v>
      </c>
      <c r="C975" t="s">
        <v>1597</v>
      </c>
      <c r="D975" t="s">
        <v>425</v>
      </c>
      <c r="E975" t="s">
        <v>27</v>
      </c>
      <c r="F975">
        <v>1000</v>
      </c>
      <c r="G975">
        <v>1000</v>
      </c>
      <c r="H975">
        <v>5</v>
      </c>
      <c r="I975" s="1">
        <f t="shared" si="18"/>
        <v>5</v>
      </c>
      <c r="J975" s="1">
        <v>400</v>
      </c>
      <c r="K975" s="1">
        <v>375</v>
      </c>
      <c r="L975" s="1">
        <v>2500</v>
      </c>
      <c r="M975" s="1" t="s">
        <v>149</v>
      </c>
      <c r="N975" s="1"/>
      <c r="O975" s="1"/>
      <c r="P975" s="1"/>
      <c r="Q975" s="62"/>
      <c r="X975">
        <v>2025</v>
      </c>
    </row>
    <row r="976" spans="1:24" x14ac:dyDescent="0.25">
      <c r="A976" t="s">
        <v>1601</v>
      </c>
      <c r="B976" s="52">
        <v>45700</v>
      </c>
      <c r="C976" t="s">
        <v>1598</v>
      </c>
      <c r="D976" t="s">
        <v>699</v>
      </c>
      <c r="E976" t="s">
        <v>27</v>
      </c>
      <c r="F976">
        <v>688</v>
      </c>
      <c r="G976">
        <v>688</v>
      </c>
      <c r="H976">
        <v>105</v>
      </c>
      <c r="I976" s="1">
        <f t="shared" si="18"/>
        <v>49.701120000000003</v>
      </c>
      <c r="J976" s="1">
        <v>301.54000000000002</v>
      </c>
      <c r="K976" s="1">
        <v>2485</v>
      </c>
      <c r="L976" s="1">
        <v>17561.54</v>
      </c>
      <c r="M976" s="1" t="s">
        <v>149</v>
      </c>
      <c r="N976" s="1"/>
      <c r="O976" s="1"/>
      <c r="P976" s="44" t="s">
        <v>149</v>
      </c>
      <c r="Q976" s="62">
        <v>45700</v>
      </c>
      <c r="X976">
        <v>2025</v>
      </c>
    </row>
    <row r="977" spans="1:24" x14ac:dyDescent="0.25">
      <c r="A977" t="s">
        <v>1602</v>
      </c>
      <c r="B977" s="52">
        <v>45701</v>
      </c>
      <c r="C977" t="s">
        <v>1512</v>
      </c>
      <c r="D977" t="s">
        <v>31</v>
      </c>
      <c r="E977" t="s">
        <v>27</v>
      </c>
      <c r="F977">
        <v>1000</v>
      </c>
      <c r="G977">
        <v>1000</v>
      </c>
      <c r="H977">
        <v>50</v>
      </c>
      <c r="I977" s="1">
        <f t="shared" si="18"/>
        <v>50</v>
      </c>
      <c r="J977" s="1">
        <v>301.39999999999998</v>
      </c>
      <c r="K977" s="1">
        <v>2500</v>
      </c>
      <c r="L977" s="1">
        <f>Table13[[#This Row],[Eur /m2]]*Table13[[#This Row],[Total sqm]]+Table13[[#This Row],[F P H]]</f>
        <v>17570</v>
      </c>
      <c r="M977" s="1" t="s">
        <v>149</v>
      </c>
      <c r="N977" s="1"/>
      <c r="O977" s="43" t="s">
        <v>149</v>
      </c>
      <c r="P977" s="1"/>
      <c r="Q977" s="62"/>
      <c r="X977">
        <v>2025</v>
      </c>
    </row>
    <row r="978" spans="1:24" x14ac:dyDescent="0.25">
      <c r="B978" s="52"/>
      <c r="E978" t="s">
        <v>27</v>
      </c>
      <c r="F978">
        <v>1000</v>
      </c>
      <c r="G978">
        <v>1000</v>
      </c>
      <c r="H978">
        <v>100</v>
      </c>
      <c r="I978" s="1">
        <f t="shared" si="18"/>
        <v>100</v>
      </c>
      <c r="J978" s="1">
        <v>289.5</v>
      </c>
      <c r="K978" s="1">
        <v>2500</v>
      </c>
      <c r="L978" s="1">
        <f>Table13[[#This Row],[Eur /m2]]*Table13[[#This Row],[Total sqm]]+Table13[[#This Row],[F P H]]</f>
        <v>31450</v>
      </c>
      <c r="M978" s="1" t="s">
        <v>149</v>
      </c>
      <c r="N978" s="1"/>
      <c r="O978" s="43" t="s">
        <v>149</v>
      </c>
      <c r="P978" s="1"/>
      <c r="Q978" s="62"/>
      <c r="X978">
        <v>2025</v>
      </c>
    </row>
    <row r="979" spans="1:24" x14ac:dyDescent="0.25">
      <c r="B979" s="52"/>
      <c r="E979" t="s">
        <v>27</v>
      </c>
      <c r="F979">
        <v>1000</v>
      </c>
      <c r="G979">
        <v>1000</v>
      </c>
      <c r="H979">
        <v>500</v>
      </c>
      <c r="I979" s="1">
        <f t="shared" si="18"/>
        <v>500</v>
      </c>
      <c r="J979" s="1">
        <v>264.12</v>
      </c>
      <c r="K979" s="1">
        <f>500*25</f>
        <v>12500</v>
      </c>
      <c r="L979" s="1">
        <f>Table13[[#This Row],[Eur /m2]]*Table13[[#This Row],[Total sqm]]+Table13[[#This Row],[F P H]]</f>
        <v>144560</v>
      </c>
      <c r="M979" s="1" t="s">
        <v>149</v>
      </c>
      <c r="N979" s="1"/>
      <c r="O979" s="43" t="s">
        <v>149</v>
      </c>
      <c r="P979" s="1"/>
      <c r="Q979" s="62"/>
      <c r="X979">
        <v>2025</v>
      </c>
    </row>
    <row r="980" spans="1:24" x14ac:dyDescent="0.25">
      <c r="B980" s="52"/>
      <c r="E980" t="s">
        <v>27</v>
      </c>
      <c r="F980">
        <v>1000</v>
      </c>
      <c r="G980">
        <v>1000</v>
      </c>
      <c r="H980">
        <v>1000</v>
      </c>
      <c r="I980" s="1">
        <f t="shared" si="18"/>
        <v>1000</v>
      </c>
      <c r="J980" s="1">
        <v>260</v>
      </c>
      <c r="K980" s="80" t="s">
        <v>1605</v>
      </c>
      <c r="L980" s="1"/>
      <c r="M980" s="1" t="s">
        <v>149</v>
      </c>
      <c r="N980" s="1"/>
      <c r="O980" s="43" t="s">
        <v>149</v>
      </c>
      <c r="P980" s="1"/>
      <c r="Q980" s="62"/>
      <c r="X980">
        <v>2025</v>
      </c>
    </row>
    <row r="981" spans="1:24" x14ac:dyDescent="0.25">
      <c r="B981" s="52"/>
      <c r="E981" t="s">
        <v>27</v>
      </c>
      <c r="F981">
        <v>1000</v>
      </c>
      <c r="G981">
        <v>1000</v>
      </c>
      <c r="H981">
        <v>5000</v>
      </c>
      <c r="I981" s="1">
        <f t="shared" si="18"/>
        <v>5000</v>
      </c>
      <c r="J981" s="1">
        <v>240</v>
      </c>
      <c r="K981" s="80" t="s">
        <v>1605</v>
      </c>
      <c r="L981" s="1"/>
      <c r="M981" s="1" t="s">
        <v>149</v>
      </c>
      <c r="N981" s="1"/>
      <c r="O981" s="43" t="s">
        <v>149</v>
      </c>
      <c r="P981" s="1"/>
      <c r="Q981" s="62"/>
      <c r="X981">
        <v>2025</v>
      </c>
    </row>
    <row r="982" spans="1:24" x14ac:dyDescent="0.25">
      <c r="A982" t="s">
        <v>1603</v>
      </c>
      <c r="B982" s="52">
        <v>45701</v>
      </c>
      <c r="C982" t="s">
        <v>1512</v>
      </c>
      <c r="D982" t="s">
        <v>31</v>
      </c>
      <c r="E982" t="s">
        <v>37</v>
      </c>
      <c r="F982">
        <v>1000</v>
      </c>
      <c r="G982">
        <v>1000</v>
      </c>
      <c r="H982">
        <v>50</v>
      </c>
      <c r="I982" s="1">
        <f t="shared" si="18"/>
        <v>50</v>
      </c>
      <c r="J982" s="1">
        <v>391.82</v>
      </c>
      <c r="K982" s="29">
        <v>2500</v>
      </c>
      <c r="L982" s="1">
        <f>Table13[[#This Row],[Eur /m2]]*Table13[[#This Row],[Total sqm]]+Table13[[#This Row],[F P H]]</f>
        <v>22091</v>
      </c>
      <c r="M982" s="1" t="s">
        <v>149</v>
      </c>
      <c r="N982" s="1"/>
      <c r="O982" s="43" t="s">
        <v>149</v>
      </c>
      <c r="P982" s="1"/>
      <c r="Q982" s="62"/>
      <c r="X982">
        <v>2025</v>
      </c>
    </row>
    <row r="983" spans="1:24" x14ac:dyDescent="0.25">
      <c r="B983" s="52"/>
      <c r="E983" t="s">
        <v>37</v>
      </c>
      <c r="F983">
        <v>1000</v>
      </c>
      <c r="G983">
        <v>1000</v>
      </c>
      <c r="H983">
        <v>100</v>
      </c>
      <c r="I983" s="1">
        <f t="shared" si="18"/>
        <v>100</v>
      </c>
      <c r="J983" s="1">
        <v>376.36</v>
      </c>
      <c r="K983" s="29">
        <v>2500</v>
      </c>
      <c r="L983" s="1">
        <f>Table13[[#This Row],[Eur /m2]]*Table13[[#This Row],[Total sqm]]+Table13[[#This Row],[F P H]]</f>
        <v>40136</v>
      </c>
      <c r="M983" s="1" t="s">
        <v>149</v>
      </c>
      <c r="N983" s="1"/>
      <c r="O983" s="43" t="s">
        <v>149</v>
      </c>
      <c r="P983" s="1"/>
      <c r="Q983" s="62"/>
      <c r="X983">
        <v>2025</v>
      </c>
    </row>
    <row r="984" spans="1:24" x14ac:dyDescent="0.25">
      <c r="B984" s="52"/>
      <c r="E984" t="s">
        <v>37</v>
      </c>
      <c r="F984">
        <v>1000</v>
      </c>
      <c r="G984">
        <v>1000</v>
      </c>
      <c r="H984">
        <v>500</v>
      </c>
      <c r="I984" s="1">
        <f t="shared" si="18"/>
        <v>500</v>
      </c>
      <c r="J984" s="1">
        <v>343.35</v>
      </c>
      <c r="K984" s="29">
        <f>500*25</f>
        <v>12500</v>
      </c>
      <c r="L984" s="1">
        <f>Table13[[#This Row],[Eur /m2]]*Table13[[#This Row],[Total sqm]]+Table13[[#This Row],[F P H]]</f>
        <v>184175</v>
      </c>
      <c r="M984" s="1" t="s">
        <v>149</v>
      </c>
      <c r="N984" s="1"/>
      <c r="O984" s="43" t="s">
        <v>149</v>
      </c>
      <c r="P984" s="1"/>
      <c r="Q984" s="62"/>
      <c r="X984">
        <v>2025</v>
      </c>
    </row>
    <row r="985" spans="1:24" x14ac:dyDescent="0.25">
      <c r="B985" s="52"/>
      <c r="E985" t="s">
        <v>37</v>
      </c>
      <c r="F985">
        <v>1000</v>
      </c>
      <c r="G985">
        <v>1000</v>
      </c>
      <c r="H985">
        <v>1000</v>
      </c>
      <c r="I985" s="1">
        <f t="shared" si="18"/>
        <v>1000</v>
      </c>
      <c r="J985" s="1">
        <v>325</v>
      </c>
      <c r="K985" s="80" t="s">
        <v>1605</v>
      </c>
      <c r="L985" s="1"/>
      <c r="M985" s="1" t="s">
        <v>149</v>
      </c>
      <c r="N985" s="1"/>
      <c r="O985" s="43" t="s">
        <v>149</v>
      </c>
      <c r="P985" s="1"/>
      <c r="Q985" s="62"/>
      <c r="X985">
        <v>2025</v>
      </c>
    </row>
    <row r="986" spans="1:24" x14ac:dyDescent="0.25">
      <c r="B986" s="52"/>
      <c r="E986" t="s">
        <v>37</v>
      </c>
      <c r="F986">
        <v>1000</v>
      </c>
      <c r="G986">
        <v>1000</v>
      </c>
      <c r="H986">
        <v>5000</v>
      </c>
      <c r="I986" s="1">
        <f t="shared" si="18"/>
        <v>5000</v>
      </c>
      <c r="J986" s="1">
        <v>300</v>
      </c>
      <c r="K986" s="80" t="s">
        <v>1605</v>
      </c>
      <c r="L986" s="1"/>
      <c r="M986" s="1" t="s">
        <v>149</v>
      </c>
      <c r="N986" s="1"/>
      <c r="O986" s="43" t="s">
        <v>149</v>
      </c>
      <c r="P986" s="1"/>
      <c r="Q986" s="62"/>
      <c r="X986">
        <v>2025</v>
      </c>
    </row>
    <row r="987" spans="1:24" x14ac:dyDescent="0.25">
      <c r="A987" t="s">
        <v>1604</v>
      </c>
      <c r="B987" s="52">
        <v>45701</v>
      </c>
      <c r="C987" t="s">
        <v>1512</v>
      </c>
      <c r="D987" t="s">
        <v>31</v>
      </c>
      <c r="E987" t="s">
        <v>32</v>
      </c>
      <c r="F987">
        <v>1000</v>
      </c>
      <c r="G987">
        <v>1000</v>
      </c>
      <c r="H987">
        <v>50</v>
      </c>
      <c r="I987" s="1">
        <f t="shared" si="18"/>
        <v>50</v>
      </c>
      <c r="J987" s="1">
        <v>486.47</v>
      </c>
      <c r="K987" s="29">
        <v>2500</v>
      </c>
      <c r="L987" s="1">
        <f>Table13[[#This Row],[Eur /m2]]*Table13[[#This Row],[Total sqm]]+Table13[[#This Row],[F P H]]</f>
        <v>26823.5</v>
      </c>
      <c r="M987" s="1" t="s">
        <v>149</v>
      </c>
      <c r="N987" s="1"/>
      <c r="O987" s="43" t="s">
        <v>149</v>
      </c>
      <c r="P987" s="1"/>
      <c r="Q987" s="62"/>
      <c r="X987">
        <v>2025</v>
      </c>
    </row>
    <row r="988" spans="1:24" x14ac:dyDescent="0.25">
      <c r="B988" s="52"/>
      <c r="E988" t="s">
        <v>32</v>
      </c>
      <c r="F988">
        <v>1000</v>
      </c>
      <c r="G988">
        <v>1000</v>
      </c>
      <c r="H988">
        <v>100</v>
      </c>
      <c r="I988" s="1">
        <f t="shared" si="18"/>
        <v>100</v>
      </c>
      <c r="J988" s="1">
        <v>467.27</v>
      </c>
      <c r="K988" s="29">
        <v>2500</v>
      </c>
      <c r="L988" s="1">
        <f>Table13[[#This Row],[Eur /m2]]*Table13[[#This Row],[Total sqm]]+Table13[[#This Row],[F P H]]</f>
        <v>49227</v>
      </c>
      <c r="M988" s="1" t="s">
        <v>149</v>
      </c>
      <c r="N988" s="1"/>
      <c r="O988" s="43" t="s">
        <v>149</v>
      </c>
      <c r="P988" s="1"/>
      <c r="Q988" s="62"/>
      <c r="X988">
        <v>2025</v>
      </c>
    </row>
    <row r="989" spans="1:24" x14ac:dyDescent="0.25">
      <c r="B989" s="52"/>
      <c r="E989" t="s">
        <v>32</v>
      </c>
      <c r="F989">
        <v>1000</v>
      </c>
      <c r="G989">
        <v>1000</v>
      </c>
      <c r="H989">
        <v>500</v>
      </c>
      <c r="I989" s="1">
        <f t="shared" si="18"/>
        <v>500</v>
      </c>
      <c r="J989" s="1">
        <v>426.3</v>
      </c>
      <c r="K989" s="29">
        <f>500*25</f>
        <v>12500</v>
      </c>
      <c r="L989" s="1">
        <f>Table13[[#This Row],[Eur /m2]]*Table13[[#This Row],[Total sqm]]+Table13[[#This Row],[F P H]]</f>
        <v>225650</v>
      </c>
      <c r="M989" s="1" t="s">
        <v>149</v>
      </c>
      <c r="N989" s="1"/>
      <c r="O989" s="43" t="s">
        <v>149</v>
      </c>
      <c r="P989" s="1"/>
      <c r="Q989" s="62"/>
      <c r="X989">
        <v>2025</v>
      </c>
    </row>
    <row r="990" spans="1:24" x14ac:dyDescent="0.25">
      <c r="B990" s="52"/>
      <c r="E990" t="s">
        <v>32</v>
      </c>
      <c r="F990">
        <v>1000</v>
      </c>
      <c r="G990">
        <v>1000</v>
      </c>
      <c r="H990">
        <v>1000</v>
      </c>
      <c r="I990" s="1">
        <f t="shared" si="18"/>
        <v>1000</v>
      </c>
      <c r="J990" s="1">
        <v>390</v>
      </c>
      <c r="K990" s="80" t="s">
        <v>1605</v>
      </c>
      <c r="L990" s="1"/>
      <c r="M990" s="1" t="s">
        <v>149</v>
      </c>
      <c r="N990" s="1"/>
      <c r="O990" s="43" t="s">
        <v>149</v>
      </c>
      <c r="P990" s="1"/>
      <c r="Q990" s="62"/>
      <c r="X990">
        <v>2025</v>
      </c>
    </row>
    <row r="991" spans="1:24" x14ac:dyDescent="0.25">
      <c r="B991" s="52"/>
      <c r="E991" t="s">
        <v>32</v>
      </c>
      <c r="F991">
        <v>1000</v>
      </c>
      <c r="G991">
        <v>1000</v>
      </c>
      <c r="H991">
        <v>5000</v>
      </c>
      <c r="I991" s="1">
        <f t="shared" si="18"/>
        <v>5000</v>
      </c>
      <c r="J991" s="1">
        <v>360</v>
      </c>
      <c r="K991" s="80" t="s">
        <v>1605</v>
      </c>
      <c r="L991" s="1"/>
      <c r="M991" s="1" t="s">
        <v>149</v>
      </c>
      <c r="N991" s="1"/>
      <c r="O991" s="43" t="s">
        <v>149</v>
      </c>
      <c r="P991" s="1"/>
      <c r="Q991" s="62"/>
      <c r="X991">
        <v>2025</v>
      </c>
    </row>
    <row r="992" spans="1:24" x14ac:dyDescent="0.25">
      <c r="A992" t="s">
        <v>1606</v>
      </c>
      <c r="B992" s="52">
        <v>45702</v>
      </c>
      <c r="C992" t="s">
        <v>1607</v>
      </c>
      <c r="D992" t="s">
        <v>57</v>
      </c>
      <c r="E992" t="s">
        <v>27</v>
      </c>
      <c r="F992">
        <v>1000</v>
      </c>
      <c r="G992">
        <v>1000</v>
      </c>
      <c r="H992">
        <v>5</v>
      </c>
      <c r="I992" s="1">
        <f t="shared" si="18"/>
        <v>5</v>
      </c>
      <c r="J992" s="1">
        <v>400</v>
      </c>
      <c r="K992" s="1">
        <v>375</v>
      </c>
      <c r="L992" s="1">
        <v>2500</v>
      </c>
      <c r="M992" s="1" t="s">
        <v>149</v>
      </c>
      <c r="N992" s="1"/>
      <c r="O992" s="1"/>
      <c r="P992" s="1"/>
      <c r="Q992" s="62"/>
      <c r="X992">
        <v>2025</v>
      </c>
    </row>
    <row r="993" spans="1:24" x14ac:dyDescent="0.25">
      <c r="A993" t="s">
        <v>1608</v>
      </c>
      <c r="B993" s="52">
        <v>45705</v>
      </c>
      <c r="C993" t="s">
        <v>1609</v>
      </c>
      <c r="D993" t="s">
        <v>157</v>
      </c>
      <c r="E993" t="s">
        <v>27</v>
      </c>
      <c r="F993">
        <v>1000</v>
      </c>
      <c r="G993">
        <v>1000</v>
      </c>
      <c r="H993">
        <v>5</v>
      </c>
      <c r="I993" s="1">
        <f t="shared" si="18"/>
        <v>5</v>
      </c>
      <c r="J993" s="1">
        <v>400</v>
      </c>
      <c r="K993" s="1">
        <v>375</v>
      </c>
      <c r="L993" s="1">
        <v>2450</v>
      </c>
      <c r="M993" s="1" t="s">
        <v>149</v>
      </c>
      <c r="N993" s="1"/>
      <c r="O993" s="1"/>
      <c r="P993" s="1"/>
      <c r="Q993" s="62"/>
      <c r="X993">
        <v>2025</v>
      </c>
    </row>
    <row r="994" spans="1:24" x14ac:dyDescent="0.25">
      <c r="A994" t="s">
        <v>1610</v>
      </c>
      <c r="B994" s="52">
        <v>45706</v>
      </c>
      <c r="C994" t="s">
        <v>1611</v>
      </c>
      <c r="D994" t="s">
        <v>276</v>
      </c>
      <c r="E994" t="s">
        <v>37</v>
      </c>
      <c r="F994">
        <v>1000</v>
      </c>
      <c r="G994">
        <v>1000</v>
      </c>
      <c r="H994">
        <v>5</v>
      </c>
      <c r="I994" s="1">
        <f t="shared" si="18"/>
        <v>5</v>
      </c>
      <c r="J994" s="1">
        <v>500</v>
      </c>
      <c r="K994" s="1">
        <v>375</v>
      </c>
      <c r="L994" s="1">
        <v>2950</v>
      </c>
      <c r="M994" s="1" t="s">
        <v>149</v>
      </c>
      <c r="N994" s="1"/>
      <c r="O994" s="1"/>
      <c r="P994" s="44" t="s">
        <v>149</v>
      </c>
      <c r="Q994" s="62">
        <v>45847</v>
      </c>
      <c r="X994">
        <v>2025</v>
      </c>
    </row>
    <row r="995" spans="1:24" x14ac:dyDescent="0.25">
      <c r="A995" t="s">
        <v>1612</v>
      </c>
      <c r="B995" s="52">
        <v>45706</v>
      </c>
      <c r="C995" t="s">
        <v>238</v>
      </c>
      <c r="D995" t="s">
        <v>138</v>
      </c>
      <c r="E995" t="s">
        <v>37</v>
      </c>
      <c r="F995">
        <v>603</v>
      </c>
      <c r="G995">
        <v>489</v>
      </c>
      <c r="H995">
        <f>85+170</f>
        <v>255</v>
      </c>
      <c r="I995" s="1">
        <f t="shared" si="18"/>
        <v>75.191085000000001</v>
      </c>
      <c r="J995" s="1">
        <v>381.45</v>
      </c>
      <c r="K995" s="1">
        <v>2500</v>
      </c>
      <c r="L995" s="1">
        <v>31271.22</v>
      </c>
      <c r="M995" s="1" t="s">
        <v>149</v>
      </c>
      <c r="N995" s="1"/>
      <c r="O995" s="1"/>
      <c r="P995" s="1"/>
      <c r="Q995" s="62"/>
      <c r="X995">
        <v>2025</v>
      </c>
    </row>
    <row r="996" spans="1:24" x14ac:dyDescent="0.25">
      <c r="A996" t="s">
        <v>1613</v>
      </c>
      <c r="B996" s="52">
        <v>45707</v>
      </c>
      <c r="C996" t="s">
        <v>1562</v>
      </c>
      <c r="D996" t="s">
        <v>83</v>
      </c>
      <c r="E996" t="s">
        <v>32</v>
      </c>
      <c r="F996">
        <v>900</v>
      </c>
      <c r="G996">
        <v>600</v>
      </c>
      <c r="H996">
        <v>38</v>
      </c>
      <c r="I996" s="1">
        <f t="shared" si="18"/>
        <v>20.52</v>
      </c>
      <c r="J996" s="1">
        <v>541.64</v>
      </c>
      <c r="K996" s="1">
        <f>Table13[[#This Row],[Total sqm]]*75</f>
        <v>1539</v>
      </c>
      <c r="L996" s="1">
        <v>13088.45</v>
      </c>
      <c r="M996" s="1" t="s">
        <v>149</v>
      </c>
      <c r="N996" s="1"/>
      <c r="O996" s="1"/>
      <c r="P996" s="1"/>
      <c r="Q996" s="62"/>
      <c r="X996">
        <v>2025</v>
      </c>
    </row>
    <row r="997" spans="1:24" x14ac:dyDescent="0.25">
      <c r="A997" t="s">
        <v>1614</v>
      </c>
      <c r="B997" s="52">
        <v>45707</v>
      </c>
      <c r="C997" t="s">
        <v>508</v>
      </c>
      <c r="D997" t="s">
        <v>31</v>
      </c>
      <c r="E997" t="s">
        <v>32</v>
      </c>
      <c r="F997">
        <v>1550</v>
      </c>
      <c r="G997">
        <v>1550</v>
      </c>
      <c r="H997">
        <v>12</v>
      </c>
      <c r="I997" s="1">
        <f t="shared" si="18"/>
        <v>28.83</v>
      </c>
      <c r="J997" s="1">
        <v>490.28</v>
      </c>
      <c r="K997" s="1">
        <v>1441.5</v>
      </c>
      <c r="L997" s="1">
        <f>Table13[[#This Row],[Eur /m2]]*Table13[[#This Row],[Total sqm]]+Table13[[#This Row],[F P H]]</f>
        <v>15576.272399999998</v>
      </c>
      <c r="M997" s="1" t="s">
        <v>449</v>
      </c>
      <c r="N997" s="1" t="s">
        <v>149</v>
      </c>
      <c r="O997" s="1"/>
      <c r="P997" s="44" t="s">
        <v>149</v>
      </c>
      <c r="Q997" s="62">
        <v>45708</v>
      </c>
      <c r="X997">
        <v>2025</v>
      </c>
    </row>
    <row r="998" spans="1:24" x14ac:dyDescent="0.25">
      <c r="A998" t="s">
        <v>1615</v>
      </c>
      <c r="B998" s="52">
        <v>45707</v>
      </c>
      <c r="C998" t="s">
        <v>106</v>
      </c>
      <c r="D998" t="s">
        <v>46</v>
      </c>
      <c r="E998" t="s">
        <v>37</v>
      </c>
      <c r="F998">
        <v>2450</v>
      </c>
      <c r="G998">
        <v>1700</v>
      </c>
      <c r="H998">
        <v>20</v>
      </c>
      <c r="I998" s="1">
        <f t="shared" si="18"/>
        <v>83.3</v>
      </c>
      <c r="J998" s="1">
        <v>379.45</v>
      </c>
      <c r="K998" s="1">
        <v>4165</v>
      </c>
      <c r="L998" s="1">
        <v>36123.19</v>
      </c>
      <c r="M998" s="1" t="s">
        <v>149</v>
      </c>
      <c r="N998" s="1"/>
      <c r="O998" s="1"/>
      <c r="P998" s="44" t="s">
        <v>149</v>
      </c>
      <c r="Q998" s="62">
        <v>45708</v>
      </c>
      <c r="X998">
        <v>2025</v>
      </c>
    </row>
    <row r="999" spans="1:24" x14ac:dyDescent="0.25">
      <c r="A999" t="s">
        <v>1616</v>
      </c>
      <c r="B999" s="52">
        <v>45707</v>
      </c>
      <c r="C999" t="s">
        <v>1607</v>
      </c>
      <c r="D999" t="s">
        <v>57</v>
      </c>
      <c r="E999" t="s">
        <v>32</v>
      </c>
      <c r="F999">
        <v>1000</v>
      </c>
      <c r="G999">
        <v>1000</v>
      </c>
      <c r="H999">
        <v>5</v>
      </c>
      <c r="I999" s="1">
        <f t="shared" si="18"/>
        <v>5</v>
      </c>
      <c r="J999" s="1">
        <v>600</v>
      </c>
      <c r="K999" s="1">
        <v>375</v>
      </c>
      <c r="L999" s="1">
        <v>3650</v>
      </c>
      <c r="M999" s="1" t="s">
        <v>149</v>
      </c>
      <c r="N999" s="1"/>
      <c r="O999" s="1"/>
      <c r="P999" s="1"/>
      <c r="Q999" s="62"/>
      <c r="X999">
        <v>2025</v>
      </c>
    </row>
    <row r="1000" spans="1:24" x14ac:dyDescent="0.25">
      <c r="A1000" t="s">
        <v>1670</v>
      </c>
      <c r="B1000" s="52">
        <v>45707</v>
      </c>
      <c r="C1000" t="s">
        <v>1607</v>
      </c>
      <c r="D1000" t="s">
        <v>57</v>
      </c>
      <c r="I1000" s="1">
        <f t="shared" si="18"/>
        <v>0</v>
      </c>
      <c r="J1000" s="1"/>
      <c r="K1000" s="1"/>
      <c r="L1000" s="1">
        <v>6150</v>
      </c>
      <c r="M1000" s="1" t="s">
        <v>149</v>
      </c>
      <c r="N1000" s="1"/>
      <c r="O1000" s="1"/>
      <c r="P1000" s="44" t="s">
        <v>149</v>
      </c>
      <c r="Q1000" s="62">
        <v>45742</v>
      </c>
      <c r="X1000">
        <v>2025</v>
      </c>
    </row>
    <row r="1001" spans="1:24" x14ac:dyDescent="0.25">
      <c r="A1001" t="s">
        <v>1617</v>
      </c>
      <c r="B1001" s="52">
        <v>45712</v>
      </c>
      <c r="C1001" t="s">
        <v>1618</v>
      </c>
      <c r="D1001" t="s">
        <v>97</v>
      </c>
      <c r="E1001" t="s">
        <v>27</v>
      </c>
      <c r="F1001">
        <v>1000</v>
      </c>
      <c r="G1001">
        <v>1000</v>
      </c>
      <c r="H1001">
        <v>5</v>
      </c>
      <c r="I1001" s="1">
        <f t="shared" si="18"/>
        <v>5</v>
      </c>
      <c r="J1001" s="1">
        <v>400</v>
      </c>
      <c r="K1001" s="1">
        <v>375</v>
      </c>
      <c r="L1001" s="1">
        <v>2500</v>
      </c>
      <c r="M1001" s="1" t="s">
        <v>149</v>
      </c>
      <c r="N1001" s="1"/>
      <c r="O1001" s="1"/>
      <c r="P1001" s="1"/>
      <c r="Q1001" s="62"/>
      <c r="X1001">
        <v>2025</v>
      </c>
    </row>
    <row r="1002" spans="1:24" x14ac:dyDescent="0.25">
      <c r="A1002" t="s">
        <v>1619</v>
      </c>
      <c r="B1002" s="52">
        <v>45713</v>
      </c>
      <c r="C1002" t="s">
        <v>48</v>
      </c>
      <c r="D1002" t="s">
        <v>42</v>
      </c>
      <c r="E1002" t="s">
        <v>27</v>
      </c>
      <c r="F1002">
        <v>1000</v>
      </c>
      <c r="G1002">
        <v>1000</v>
      </c>
      <c r="H1002">
        <v>5</v>
      </c>
      <c r="I1002" s="1">
        <f t="shared" si="18"/>
        <v>5</v>
      </c>
      <c r="J1002" s="1">
        <v>400</v>
      </c>
      <c r="K1002" s="1">
        <v>75</v>
      </c>
      <c r="L1002" s="1">
        <v>2450</v>
      </c>
      <c r="M1002" s="1" t="s">
        <v>149</v>
      </c>
      <c r="N1002" s="1"/>
      <c r="O1002" s="1"/>
      <c r="P1002" s="44" t="s">
        <v>149</v>
      </c>
      <c r="Q1002" s="62">
        <v>45722</v>
      </c>
      <c r="X1002">
        <v>2025</v>
      </c>
    </row>
    <row r="1003" spans="1:24" x14ac:dyDescent="0.25">
      <c r="A1003" t="s">
        <v>1620</v>
      </c>
      <c r="B1003" s="52">
        <v>45713</v>
      </c>
      <c r="C1003" t="s">
        <v>48</v>
      </c>
      <c r="D1003" t="s">
        <v>42</v>
      </c>
      <c r="E1003" t="s">
        <v>37</v>
      </c>
      <c r="F1003">
        <v>1000</v>
      </c>
      <c r="G1003">
        <v>1000</v>
      </c>
      <c r="H1003">
        <v>5</v>
      </c>
      <c r="I1003" s="1">
        <f t="shared" si="18"/>
        <v>5</v>
      </c>
      <c r="J1003" s="1">
        <v>500</v>
      </c>
      <c r="K1003" s="1">
        <v>75</v>
      </c>
      <c r="L1003" s="1">
        <v>2950</v>
      </c>
      <c r="M1003" s="1" t="s">
        <v>149</v>
      </c>
      <c r="N1003" s="1"/>
      <c r="O1003" s="1"/>
      <c r="P1003" s="1"/>
      <c r="Q1003" s="62"/>
      <c r="X1003">
        <v>2025</v>
      </c>
    </row>
    <row r="1004" spans="1:24" x14ac:dyDescent="0.25">
      <c r="A1004" t="s">
        <v>1621</v>
      </c>
      <c r="B1004" s="52">
        <v>45713</v>
      </c>
      <c r="C1004" t="s">
        <v>48</v>
      </c>
      <c r="D1004" t="s">
        <v>42</v>
      </c>
      <c r="E1004" t="s">
        <v>32</v>
      </c>
      <c r="F1004">
        <v>1000</v>
      </c>
      <c r="G1004">
        <v>1000</v>
      </c>
      <c r="H1004">
        <v>5</v>
      </c>
      <c r="I1004" s="1">
        <f t="shared" si="18"/>
        <v>5</v>
      </c>
      <c r="J1004" s="1">
        <v>600</v>
      </c>
      <c r="K1004" s="1">
        <v>275</v>
      </c>
      <c r="L1004" s="1">
        <v>3650</v>
      </c>
      <c r="M1004" s="1" t="s">
        <v>149</v>
      </c>
      <c r="N1004" s="1"/>
      <c r="O1004" s="1"/>
      <c r="P1004" s="1"/>
      <c r="Q1004" s="62"/>
      <c r="X1004">
        <v>2025</v>
      </c>
    </row>
    <row r="1005" spans="1:24" x14ac:dyDescent="0.25">
      <c r="A1005" t="s">
        <v>1622</v>
      </c>
      <c r="B1005" s="52">
        <v>45714</v>
      </c>
      <c r="C1005" t="s">
        <v>1537</v>
      </c>
      <c r="D1005" t="s">
        <v>57</v>
      </c>
      <c r="E1005" t="s">
        <v>27</v>
      </c>
      <c r="F1005">
        <v>1000</v>
      </c>
      <c r="G1005">
        <v>1000</v>
      </c>
      <c r="H1005">
        <v>10</v>
      </c>
      <c r="I1005" s="1">
        <f t="shared" si="18"/>
        <v>10</v>
      </c>
      <c r="J1005" s="1">
        <v>356.92</v>
      </c>
      <c r="K1005" s="1">
        <v>750</v>
      </c>
      <c r="L1005" s="1">
        <v>4544.2</v>
      </c>
      <c r="M1005" s="1" t="s">
        <v>149</v>
      </c>
      <c r="N1005" s="1"/>
      <c r="O1005" s="1"/>
      <c r="P1005" s="44" t="s">
        <v>149</v>
      </c>
      <c r="Q1005" s="62">
        <v>45714</v>
      </c>
      <c r="X1005">
        <v>2025</v>
      </c>
    </row>
    <row r="1006" spans="1:24" x14ac:dyDescent="0.25">
      <c r="A1006" t="s">
        <v>1623</v>
      </c>
      <c r="B1006" s="52">
        <v>45715</v>
      </c>
      <c r="C1006" t="s">
        <v>1624</v>
      </c>
      <c r="D1006" t="s">
        <v>100</v>
      </c>
      <c r="E1006" t="s">
        <v>27</v>
      </c>
      <c r="F1006">
        <v>1700</v>
      </c>
      <c r="G1006">
        <v>1700</v>
      </c>
      <c r="H1006">
        <v>36</v>
      </c>
      <c r="I1006" s="1">
        <f t="shared" si="18"/>
        <v>104.04</v>
      </c>
      <c r="J1006" s="1">
        <v>288.26</v>
      </c>
      <c r="K1006" s="1">
        <v>2601</v>
      </c>
      <c r="L1006" s="1">
        <v>32961.57</v>
      </c>
      <c r="M1006" s="1" t="s">
        <v>149</v>
      </c>
      <c r="N1006" s="1"/>
      <c r="O1006" s="1"/>
      <c r="P1006" s="1"/>
      <c r="Q1006" s="62"/>
      <c r="X1006">
        <v>2025</v>
      </c>
    </row>
    <row r="1007" spans="1:24" x14ac:dyDescent="0.25">
      <c r="A1007" t="s">
        <v>1625</v>
      </c>
      <c r="B1007" s="52">
        <v>45715</v>
      </c>
      <c r="C1007" t="s">
        <v>1626</v>
      </c>
      <c r="D1007" t="s">
        <v>1011</v>
      </c>
      <c r="E1007" t="s">
        <v>27</v>
      </c>
      <c r="F1007">
        <v>1000</v>
      </c>
      <c r="G1007">
        <v>1000</v>
      </c>
      <c r="H1007">
        <v>5</v>
      </c>
      <c r="I1007" s="1">
        <f t="shared" ref="I1007:I1070" si="19">$F1007*$G1007*$H1007/1000000</f>
        <v>5</v>
      </c>
      <c r="J1007" s="1">
        <v>400</v>
      </c>
      <c r="K1007" s="1">
        <v>375</v>
      </c>
      <c r="L1007" s="1">
        <v>2500</v>
      </c>
      <c r="M1007" s="1" t="s">
        <v>149</v>
      </c>
      <c r="N1007" s="1"/>
      <c r="O1007" s="1"/>
      <c r="P1007" s="1"/>
      <c r="Q1007" s="62"/>
      <c r="X1007">
        <v>2025</v>
      </c>
    </row>
    <row r="1008" spans="1:24" x14ac:dyDescent="0.25">
      <c r="A1008" t="s">
        <v>1627</v>
      </c>
      <c r="B1008" s="52">
        <v>45715</v>
      </c>
      <c r="C1008" t="s">
        <v>1628</v>
      </c>
      <c r="D1008" t="s">
        <v>31</v>
      </c>
      <c r="E1008" t="s">
        <v>27</v>
      </c>
      <c r="F1008">
        <v>1000</v>
      </c>
      <c r="G1008">
        <v>1000</v>
      </c>
      <c r="H1008">
        <v>10</v>
      </c>
      <c r="I1008" s="1">
        <f t="shared" si="19"/>
        <v>10</v>
      </c>
      <c r="J1008" s="1">
        <v>356.92</v>
      </c>
      <c r="K1008" s="1">
        <v>750</v>
      </c>
      <c r="L1008" s="1">
        <v>4444.2</v>
      </c>
      <c r="M1008" s="1" t="s">
        <v>149</v>
      </c>
      <c r="N1008" s="1"/>
      <c r="O1008" s="1"/>
      <c r="P1008" s="1"/>
      <c r="Q1008" s="62"/>
      <c r="X1008">
        <v>2025</v>
      </c>
    </row>
    <row r="1009" spans="1:24" x14ac:dyDescent="0.25">
      <c r="A1009" t="s">
        <v>1629</v>
      </c>
      <c r="B1009" s="52">
        <v>45715</v>
      </c>
      <c r="C1009" t="s">
        <v>1630</v>
      </c>
      <c r="D1009" t="s">
        <v>83</v>
      </c>
      <c r="E1009" t="s">
        <v>32</v>
      </c>
      <c r="F1009">
        <v>900</v>
      </c>
      <c r="G1009">
        <v>600</v>
      </c>
      <c r="H1009">
        <v>38</v>
      </c>
      <c r="I1009" s="1">
        <f t="shared" si="19"/>
        <v>20.52</v>
      </c>
      <c r="J1009" s="1">
        <v>494.37</v>
      </c>
      <c r="K1009" s="1">
        <v>2900</v>
      </c>
      <c r="L1009" s="1">
        <v>23876.52</v>
      </c>
      <c r="M1009" s="1" t="s">
        <v>149</v>
      </c>
      <c r="N1009" s="1"/>
      <c r="O1009" s="1"/>
      <c r="P1009" s="1"/>
      <c r="Q1009" s="62"/>
      <c r="X1009">
        <v>2025</v>
      </c>
    </row>
    <row r="1010" spans="1:24" x14ac:dyDescent="0.25">
      <c r="A1010" t="s">
        <v>1629</v>
      </c>
      <c r="B1010" s="52"/>
      <c r="C1010" t="s">
        <v>252</v>
      </c>
      <c r="D1010" t="s">
        <v>83</v>
      </c>
      <c r="E1010" t="s">
        <v>32</v>
      </c>
      <c r="F1010">
        <v>572</v>
      </c>
      <c r="G1010">
        <v>407</v>
      </c>
      <c r="H1010">
        <v>90</v>
      </c>
      <c r="I1010" s="1">
        <f t="shared" si="19"/>
        <v>20.952359999999999</v>
      </c>
      <c r="J1010" s="1">
        <v>494.37</v>
      </c>
      <c r="K1010" s="1"/>
      <c r="L1010" s="1"/>
      <c r="M1010" s="1" t="s">
        <v>149</v>
      </c>
      <c r="N1010" s="1"/>
      <c r="O1010" s="1"/>
      <c r="P1010" s="1"/>
      <c r="Q1010" s="62"/>
      <c r="X1010">
        <v>2025</v>
      </c>
    </row>
    <row r="1011" spans="1:24" x14ac:dyDescent="0.25">
      <c r="A1011" t="s">
        <v>1631</v>
      </c>
      <c r="B1011" s="52">
        <v>45716</v>
      </c>
      <c r="C1011" t="s">
        <v>1632</v>
      </c>
      <c r="D1011" t="s">
        <v>146</v>
      </c>
      <c r="E1011" t="s">
        <v>32</v>
      </c>
      <c r="F1011">
        <v>1000</v>
      </c>
      <c r="G1011">
        <v>1000</v>
      </c>
      <c r="H1011">
        <v>5</v>
      </c>
      <c r="I1011" s="1">
        <f t="shared" si="19"/>
        <v>5</v>
      </c>
      <c r="J1011" s="1">
        <v>600</v>
      </c>
      <c r="K1011" s="1">
        <v>375</v>
      </c>
      <c r="L1011" s="1">
        <v>3650</v>
      </c>
      <c r="M1011" s="1" t="s">
        <v>149</v>
      </c>
      <c r="N1011" s="1"/>
      <c r="O1011" s="1"/>
      <c r="P1011" s="1"/>
      <c r="Q1011" s="62"/>
      <c r="X1011">
        <v>2025</v>
      </c>
    </row>
    <row r="1012" spans="1:24" x14ac:dyDescent="0.25">
      <c r="A1012" t="s">
        <v>1633</v>
      </c>
      <c r="B1012" s="52">
        <v>45716</v>
      </c>
      <c r="C1012" t="s">
        <v>1493</v>
      </c>
      <c r="D1012" t="s">
        <v>46</v>
      </c>
      <c r="E1012" t="s">
        <v>27</v>
      </c>
      <c r="F1012">
        <v>1000</v>
      </c>
      <c r="G1012">
        <v>1000</v>
      </c>
      <c r="H1012">
        <v>5</v>
      </c>
      <c r="I1012" s="1">
        <f t="shared" si="19"/>
        <v>5</v>
      </c>
      <c r="J1012" s="1">
        <v>400</v>
      </c>
      <c r="K1012" s="1">
        <v>375</v>
      </c>
      <c r="L1012" s="1">
        <v>2500</v>
      </c>
      <c r="M1012" s="1" t="s">
        <v>149</v>
      </c>
      <c r="N1012" s="1"/>
      <c r="O1012" s="1"/>
      <c r="P1012" s="1"/>
      <c r="Q1012" s="62"/>
      <c r="X1012">
        <v>2025</v>
      </c>
    </row>
    <row r="1013" spans="1:24" x14ac:dyDescent="0.25">
      <c r="A1013" t="s">
        <v>1634</v>
      </c>
      <c r="B1013" s="52">
        <v>45728</v>
      </c>
      <c r="C1013" t="s">
        <v>1485</v>
      </c>
      <c r="D1013" t="s">
        <v>336</v>
      </c>
      <c r="E1013" t="s">
        <v>27</v>
      </c>
      <c r="F1013">
        <v>778</v>
      </c>
      <c r="G1013">
        <v>634</v>
      </c>
      <c r="H1013">
        <v>350</v>
      </c>
      <c r="I1013" s="1">
        <f t="shared" si="19"/>
        <v>172.63820000000001</v>
      </c>
      <c r="J1013" s="1">
        <v>276.16000000000003</v>
      </c>
      <c r="K1013" s="1">
        <v>4316</v>
      </c>
      <c r="L1013" s="1">
        <v>52112.26</v>
      </c>
      <c r="M1013" s="1" t="s">
        <v>149</v>
      </c>
      <c r="N1013" s="1"/>
      <c r="O1013" s="1"/>
      <c r="P1013" s="44" t="s">
        <v>149</v>
      </c>
      <c r="Q1013" s="62">
        <v>45730</v>
      </c>
      <c r="X1013">
        <v>2025</v>
      </c>
    </row>
    <row r="1014" spans="1:24" x14ac:dyDescent="0.25">
      <c r="A1014" t="s">
        <v>1635</v>
      </c>
      <c r="B1014" s="52">
        <v>45727</v>
      </c>
      <c r="C1014" t="s">
        <v>1636</v>
      </c>
      <c r="D1014" t="s">
        <v>31</v>
      </c>
      <c r="E1014" t="s">
        <v>27</v>
      </c>
      <c r="F1014">
        <v>1000</v>
      </c>
      <c r="G1014">
        <v>1000</v>
      </c>
      <c r="H1014">
        <v>10</v>
      </c>
      <c r="I1014" s="1">
        <f t="shared" si="19"/>
        <v>10</v>
      </c>
      <c r="J1014" s="1">
        <v>356.92</v>
      </c>
      <c r="K1014" s="1">
        <v>750</v>
      </c>
      <c r="L1014" s="1">
        <v>4444.2</v>
      </c>
      <c r="M1014" s="1" t="s">
        <v>149</v>
      </c>
      <c r="N1014" s="1"/>
      <c r="O1014" s="1"/>
      <c r="P1014" s="1"/>
      <c r="Q1014" s="62"/>
      <c r="X1014">
        <v>2025</v>
      </c>
    </row>
    <row r="1015" spans="1:24" x14ac:dyDescent="0.25">
      <c r="A1015" t="s">
        <v>1637</v>
      </c>
      <c r="B1015" s="52">
        <v>45727</v>
      </c>
      <c r="C1015" t="s">
        <v>1546</v>
      </c>
      <c r="D1015" t="s">
        <v>100</v>
      </c>
      <c r="E1015" t="s">
        <v>27</v>
      </c>
      <c r="F1015">
        <v>1000</v>
      </c>
      <c r="G1015">
        <v>1000</v>
      </c>
      <c r="H1015">
        <v>5</v>
      </c>
      <c r="I1015" s="1">
        <f t="shared" si="19"/>
        <v>5</v>
      </c>
      <c r="J1015" s="1">
        <v>400</v>
      </c>
      <c r="K1015" s="1">
        <v>375</v>
      </c>
      <c r="L1015" s="1">
        <v>2500</v>
      </c>
      <c r="M1015" s="1" t="s">
        <v>149</v>
      </c>
      <c r="N1015" s="1"/>
      <c r="O1015" s="1"/>
      <c r="P1015" s="1"/>
      <c r="Q1015" s="62"/>
      <c r="X1015">
        <v>2025</v>
      </c>
    </row>
    <row r="1016" spans="1:24" x14ac:dyDescent="0.25">
      <c r="A1016" t="s">
        <v>1638</v>
      </c>
      <c r="B1016" s="52">
        <v>45728</v>
      </c>
      <c r="C1016" t="s">
        <v>1295</v>
      </c>
      <c r="D1016" t="s">
        <v>97</v>
      </c>
      <c r="E1016" t="s">
        <v>27</v>
      </c>
      <c r="F1016">
        <v>500</v>
      </c>
      <c r="G1016">
        <v>500</v>
      </c>
      <c r="H1016">
        <v>300</v>
      </c>
      <c r="I1016" s="1">
        <f t="shared" si="19"/>
        <v>75</v>
      </c>
      <c r="J1016" s="1">
        <v>293.47000000000003</v>
      </c>
      <c r="K1016" s="1">
        <v>2500</v>
      </c>
      <c r="L1016" s="1">
        <v>24640.25</v>
      </c>
      <c r="M1016" s="1" t="s">
        <v>149</v>
      </c>
      <c r="N1016" s="1"/>
      <c r="O1016" s="1"/>
      <c r="P1016" s="1"/>
      <c r="Q1016" s="62"/>
      <c r="X1016">
        <v>2025</v>
      </c>
    </row>
    <row r="1017" spans="1:24" x14ac:dyDescent="0.25">
      <c r="A1017" t="s">
        <v>1639</v>
      </c>
      <c r="B1017" s="52">
        <v>45728</v>
      </c>
      <c r="C1017" t="s">
        <v>1295</v>
      </c>
      <c r="D1017" t="s">
        <v>97</v>
      </c>
      <c r="E1017" t="s">
        <v>37</v>
      </c>
      <c r="F1017">
        <v>500</v>
      </c>
      <c r="G1017">
        <v>500</v>
      </c>
      <c r="H1017">
        <v>300</v>
      </c>
      <c r="I1017" s="1">
        <f t="shared" si="19"/>
        <v>75</v>
      </c>
      <c r="J1017" s="1">
        <v>381.51</v>
      </c>
      <c r="K1017" s="1">
        <v>2500</v>
      </c>
      <c r="L1017" s="1">
        <v>31243.25</v>
      </c>
      <c r="M1017" s="1" t="s">
        <v>149</v>
      </c>
      <c r="N1017" s="1"/>
      <c r="O1017" s="1"/>
      <c r="P1017" s="1"/>
      <c r="Q1017" s="62"/>
      <c r="X1017">
        <v>2025</v>
      </c>
    </row>
    <row r="1018" spans="1:24" x14ac:dyDescent="0.25">
      <c r="A1018" t="s">
        <v>1640</v>
      </c>
      <c r="B1018" s="52">
        <v>45728</v>
      </c>
      <c r="C1018" t="s">
        <v>1641</v>
      </c>
      <c r="D1018" t="s">
        <v>31</v>
      </c>
      <c r="E1018" t="s">
        <v>27</v>
      </c>
      <c r="F1018">
        <v>1000</v>
      </c>
      <c r="G1018">
        <v>1000</v>
      </c>
      <c r="H1018">
        <v>5</v>
      </c>
      <c r="I1018" s="1">
        <f t="shared" si="19"/>
        <v>5</v>
      </c>
      <c r="J1018" s="1">
        <v>400</v>
      </c>
      <c r="K1018" s="1">
        <v>375</v>
      </c>
      <c r="L1018" s="1">
        <v>2450</v>
      </c>
      <c r="M1018" s="1" t="s">
        <v>149</v>
      </c>
      <c r="N1018" s="1"/>
      <c r="O1018" s="1"/>
      <c r="P1018" s="1"/>
      <c r="Q1018" s="62"/>
      <c r="X1018">
        <v>2025</v>
      </c>
    </row>
    <row r="1019" spans="1:24" x14ac:dyDescent="0.25">
      <c r="A1019" t="s">
        <v>1642</v>
      </c>
      <c r="B1019" s="52">
        <v>45729</v>
      </c>
      <c r="C1019" t="s">
        <v>1649</v>
      </c>
      <c r="D1019" t="s">
        <v>256</v>
      </c>
      <c r="E1019" t="s">
        <v>32</v>
      </c>
      <c r="F1019">
        <v>1000</v>
      </c>
      <c r="G1019">
        <v>1000</v>
      </c>
      <c r="H1019">
        <v>10</v>
      </c>
      <c r="I1019" s="1">
        <f t="shared" si="19"/>
        <v>10</v>
      </c>
      <c r="J1019" s="1">
        <v>576.08000000000004</v>
      </c>
      <c r="K1019" s="1">
        <v>750</v>
      </c>
      <c r="L1019" s="1">
        <v>6960.8</v>
      </c>
      <c r="M1019" s="1" t="s">
        <v>149</v>
      </c>
      <c r="N1019" s="1"/>
      <c r="O1019" s="1"/>
      <c r="P1019" s="1"/>
      <c r="Q1019" s="62"/>
      <c r="X1019">
        <v>2025</v>
      </c>
    </row>
    <row r="1020" spans="1:24" x14ac:dyDescent="0.25">
      <c r="A1020" t="s">
        <v>1643</v>
      </c>
      <c r="B1020" s="52">
        <v>45729</v>
      </c>
      <c r="C1020" t="s">
        <v>1649</v>
      </c>
      <c r="D1020" t="s">
        <v>256</v>
      </c>
      <c r="E1020" t="s">
        <v>32</v>
      </c>
      <c r="F1020">
        <v>1000</v>
      </c>
      <c r="G1020">
        <v>700</v>
      </c>
      <c r="H1020">
        <v>30</v>
      </c>
      <c r="I1020" s="1">
        <f t="shared" si="19"/>
        <v>21</v>
      </c>
      <c r="J1020" s="1">
        <v>539.5</v>
      </c>
      <c r="K1020" s="1">
        <v>1050</v>
      </c>
      <c r="L1020" s="1">
        <f>Table13[[#This Row],[Total sqm]]*Table13[[#This Row],[Eur /m2]]+1050</f>
        <v>12379.5</v>
      </c>
      <c r="M1020" s="1" t="s">
        <v>149</v>
      </c>
      <c r="N1020" s="1"/>
      <c r="O1020" s="1"/>
      <c r="P1020" s="1"/>
      <c r="Q1020" s="62"/>
      <c r="X1020">
        <v>2025</v>
      </c>
    </row>
    <row r="1021" spans="1:24" x14ac:dyDescent="0.25">
      <c r="A1021" t="s">
        <v>1644</v>
      </c>
      <c r="B1021" s="52">
        <v>45729</v>
      </c>
      <c r="C1021" t="s">
        <v>1649</v>
      </c>
      <c r="D1021" t="s">
        <v>256</v>
      </c>
      <c r="E1021" t="s">
        <v>32</v>
      </c>
      <c r="F1021">
        <v>1550</v>
      </c>
      <c r="G1021">
        <v>900</v>
      </c>
      <c r="H1021">
        <v>15</v>
      </c>
      <c r="I1021" s="1">
        <f t="shared" si="19"/>
        <v>20.925000000000001</v>
      </c>
      <c r="J1021" s="1">
        <v>539.79999999999995</v>
      </c>
      <c r="K1021" s="1">
        <v>1046.5</v>
      </c>
      <c r="L1021" s="1">
        <v>12344.51</v>
      </c>
      <c r="M1021" s="1" t="s">
        <v>149</v>
      </c>
      <c r="N1021" s="1"/>
      <c r="O1021" s="1"/>
      <c r="P1021" s="1"/>
      <c r="Q1021" s="62"/>
      <c r="X1021">
        <v>2025</v>
      </c>
    </row>
    <row r="1022" spans="1:24" x14ac:dyDescent="0.25">
      <c r="A1022" t="s">
        <v>1645</v>
      </c>
      <c r="B1022" s="52">
        <v>45729</v>
      </c>
      <c r="C1022" t="s">
        <v>1649</v>
      </c>
      <c r="D1022" t="s">
        <v>256</v>
      </c>
      <c r="E1022" t="s">
        <v>32</v>
      </c>
      <c r="F1022">
        <v>1650</v>
      </c>
      <c r="G1022">
        <v>700</v>
      </c>
      <c r="H1022">
        <v>18</v>
      </c>
      <c r="I1022" s="1">
        <f t="shared" si="19"/>
        <v>20.79</v>
      </c>
      <c r="J1022" s="1">
        <v>540.42999999999995</v>
      </c>
      <c r="K1022" s="1">
        <v>1039.5</v>
      </c>
      <c r="L1022" s="1">
        <f>Table13[[#This Row],[Total sqm]]*Table13[[#This Row],[Eur /m2]]+Table13[[#This Row],[F P H]]</f>
        <v>12275.039699999999</v>
      </c>
      <c r="M1022" s="1" t="s">
        <v>149</v>
      </c>
      <c r="N1022" s="1"/>
      <c r="O1022" s="1"/>
      <c r="P1022" s="1"/>
      <c r="Q1022" s="62"/>
      <c r="X1022">
        <v>2025</v>
      </c>
    </row>
    <row r="1023" spans="1:24" x14ac:dyDescent="0.25">
      <c r="A1023" t="s">
        <v>1646</v>
      </c>
      <c r="B1023" s="52">
        <v>45729</v>
      </c>
      <c r="C1023" t="s">
        <v>1649</v>
      </c>
      <c r="D1023" t="s">
        <v>256</v>
      </c>
      <c r="E1023" t="s">
        <v>32</v>
      </c>
      <c r="F1023">
        <v>2000</v>
      </c>
      <c r="G1023">
        <v>1100</v>
      </c>
      <c r="H1023">
        <v>10</v>
      </c>
      <c r="I1023" s="1">
        <f t="shared" si="19"/>
        <v>22</v>
      </c>
      <c r="J1023" s="1">
        <v>535.35</v>
      </c>
      <c r="K1023" s="1">
        <v>1100</v>
      </c>
      <c r="L1023" s="1">
        <f>Table13[[#This Row],[Total sqm]]*Table13[[#This Row],[Eur /m2]]+Table13[[#This Row],[F P H]]</f>
        <v>12877.7</v>
      </c>
      <c r="M1023" s="1" t="s">
        <v>149</v>
      </c>
      <c r="N1023" s="1"/>
      <c r="O1023" s="1"/>
      <c r="P1023" s="1"/>
      <c r="Q1023" s="62"/>
      <c r="X1023">
        <v>2025</v>
      </c>
    </row>
    <row r="1024" spans="1:24" x14ac:dyDescent="0.25">
      <c r="A1024" t="s">
        <v>1647</v>
      </c>
      <c r="B1024" s="52">
        <v>45729</v>
      </c>
      <c r="C1024" t="s">
        <v>1650</v>
      </c>
      <c r="D1024" t="s">
        <v>57</v>
      </c>
      <c r="E1024" t="s">
        <v>27</v>
      </c>
      <c r="F1024">
        <v>1000</v>
      </c>
      <c r="G1024">
        <v>1000</v>
      </c>
      <c r="H1024">
        <v>5</v>
      </c>
      <c r="I1024" s="1">
        <f t="shared" si="19"/>
        <v>5</v>
      </c>
      <c r="J1024" s="1">
        <v>400</v>
      </c>
      <c r="K1024" s="1">
        <v>375</v>
      </c>
      <c r="L1024" s="1">
        <v>2500</v>
      </c>
      <c r="M1024" s="1" t="s">
        <v>149</v>
      </c>
      <c r="N1024" s="1"/>
      <c r="O1024" s="1"/>
      <c r="P1024" s="1"/>
      <c r="Q1024" s="62"/>
      <c r="X1024">
        <v>2025</v>
      </c>
    </row>
    <row r="1025" spans="1:24" x14ac:dyDescent="0.25">
      <c r="A1025" t="s">
        <v>1648</v>
      </c>
      <c r="B1025" s="52">
        <v>45729</v>
      </c>
      <c r="C1025" t="s">
        <v>1649</v>
      </c>
      <c r="D1025" t="s">
        <v>256</v>
      </c>
      <c r="E1025" t="s">
        <v>32</v>
      </c>
      <c r="F1025">
        <v>2000</v>
      </c>
      <c r="G1025">
        <v>1100</v>
      </c>
      <c r="H1025">
        <v>14</v>
      </c>
      <c r="I1025" s="1">
        <f t="shared" si="19"/>
        <v>30.8</v>
      </c>
      <c r="J1025" s="1">
        <v>510.42</v>
      </c>
      <c r="K1025" s="1">
        <v>1540</v>
      </c>
      <c r="L1025" s="1">
        <f>Table13[[#This Row],[Total sqm]]*Table13[[#This Row],[Eur /m2]]+Table13[[#This Row],[F P H]]</f>
        <v>17260.936000000002</v>
      </c>
      <c r="M1025" s="1" t="s">
        <v>149</v>
      </c>
      <c r="N1025" s="1"/>
      <c r="O1025" s="1"/>
      <c r="P1025" s="1"/>
      <c r="Q1025" s="62"/>
      <c r="X1025">
        <v>2025</v>
      </c>
    </row>
    <row r="1026" spans="1:24" x14ac:dyDescent="0.25">
      <c r="A1026" t="s">
        <v>1652</v>
      </c>
      <c r="B1026" s="52">
        <v>45729</v>
      </c>
      <c r="C1026" t="s">
        <v>1649</v>
      </c>
      <c r="D1026" t="s">
        <v>256</v>
      </c>
      <c r="E1026" t="s">
        <v>32</v>
      </c>
      <c r="F1026">
        <v>2000</v>
      </c>
      <c r="G1026">
        <v>1100</v>
      </c>
      <c r="H1026">
        <v>16</v>
      </c>
      <c r="I1026" s="1">
        <f t="shared" si="19"/>
        <v>35.200000000000003</v>
      </c>
      <c r="J1026" s="1">
        <v>502.61</v>
      </c>
      <c r="K1026" s="1">
        <v>1760</v>
      </c>
      <c r="L1026" s="1">
        <v>19451.87</v>
      </c>
      <c r="M1026" s="1" t="s">
        <v>149</v>
      </c>
      <c r="N1026" s="1"/>
      <c r="O1026" s="1"/>
      <c r="P1026" s="1"/>
      <c r="Q1026" s="62"/>
      <c r="X1026">
        <v>2025</v>
      </c>
    </row>
    <row r="1027" spans="1:24" x14ac:dyDescent="0.25">
      <c r="A1027" t="s">
        <v>1651</v>
      </c>
      <c r="B1027" s="52">
        <v>45729</v>
      </c>
      <c r="C1027" t="s">
        <v>1649</v>
      </c>
      <c r="D1027" t="s">
        <v>256</v>
      </c>
      <c r="E1027" t="s">
        <v>32</v>
      </c>
      <c r="F1027">
        <v>2000</v>
      </c>
      <c r="G1027">
        <v>1100</v>
      </c>
      <c r="H1027">
        <v>16</v>
      </c>
      <c r="I1027" s="1">
        <f t="shared" si="19"/>
        <v>35.200000000000003</v>
      </c>
      <c r="J1027" s="1">
        <v>502.61</v>
      </c>
      <c r="K1027" s="1">
        <v>1760</v>
      </c>
      <c r="L1027" s="1">
        <v>20196.87</v>
      </c>
      <c r="M1027" s="1" t="s">
        <v>149</v>
      </c>
      <c r="N1027" s="1"/>
      <c r="O1027" s="1"/>
      <c r="P1027" s="44" t="s">
        <v>149</v>
      </c>
      <c r="Q1027" s="62">
        <v>45733</v>
      </c>
      <c r="X1027">
        <v>2025</v>
      </c>
    </row>
    <row r="1028" spans="1:24" x14ac:dyDescent="0.25">
      <c r="A1028" t="s">
        <v>1653</v>
      </c>
      <c r="B1028" s="52">
        <v>45729</v>
      </c>
      <c r="C1028" t="s">
        <v>1654</v>
      </c>
      <c r="D1028" t="s">
        <v>176</v>
      </c>
      <c r="E1028" t="s">
        <v>37</v>
      </c>
      <c r="F1028">
        <v>1000</v>
      </c>
      <c r="G1028">
        <v>1000</v>
      </c>
      <c r="H1028">
        <v>5</v>
      </c>
      <c r="I1028" s="1">
        <f t="shared" si="19"/>
        <v>5</v>
      </c>
      <c r="J1028" s="1">
        <v>500</v>
      </c>
      <c r="K1028" s="1">
        <v>375</v>
      </c>
      <c r="L1028" s="1">
        <v>2950</v>
      </c>
      <c r="M1028" s="1" t="s">
        <v>149</v>
      </c>
      <c r="N1028" s="1"/>
      <c r="O1028" s="1"/>
      <c r="P1028" s="44" t="s">
        <v>149</v>
      </c>
      <c r="Q1028" s="62">
        <v>45730</v>
      </c>
      <c r="X1028">
        <v>2025</v>
      </c>
    </row>
    <row r="1029" spans="1:24" x14ac:dyDescent="0.25">
      <c r="A1029" t="s">
        <v>1655</v>
      </c>
      <c r="B1029" s="52">
        <v>45734</v>
      </c>
      <c r="C1029" t="s">
        <v>1649</v>
      </c>
      <c r="D1029" t="s">
        <v>256</v>
      </c>
      <c r="E1029" t="s">
        <v>32</v>
      </c>
      <c r="F1029">
        <v>1000</v>
      </c>
      <c r="G1029">
        <v>1000</v>
      </c>
      <c r="H1029">
        <v>15</v>
      </c>
      <c r="I1029" s="1">
        <f t="shared" si="19"/>
        <v>15</v>
      </c>
      <c r="J1029" s="1">
        <v>554.75</v>
      </c>
      <c r="K1029" s="1">
        <v>1125</v>
      </c>
      <c r="L1029" s="1">
        <v>10271.25</v>
      </c>
      <c r="M1029" s="1" t="s">
        <v>149</v>
      </c>
      <c r="N1029" s="1"/>
      <c r="O1029" s="1"/>
      <c r="P1029" s="44" t="s">
        <v>149</v>
      </c>
      <c r="Q1029" s="62">
        <v>45734</v>
      </c>
      <c r="X1029">
        <v>2025</v>
      </c>
    </row>
    <row r="1030" spans="1:24" x14ac:dyDescent="0.25">
      <c r="A1030" t="s">
        <v>1656</v>
      </c>
      <c r="B1030" s="52">
        <v>45735</v>
      </c>
      <c r="C1030" t="s">
        <v>1657</v>
      </c>
      <c r="D1030" t="s">
        <v>1658</v>
      </c>
      <c r="E1030" t="s">
        <v>27</v>
      </c>
      <c r="F1030">
        <v>1000</v>
      </c>
      <c r="G1030">
        <v>1000</v>
      </c>
      <c r="H1030">
        <v>5</v>
      </c>
      <c r="I1030" s="1">
        <f t="shared" si="19"/>
        <v>5</v>
      </c>
      <c r="J1030" s="1">
        <v>400</v>
      </c>
      <c r="K1030" s="1">
        <v>375</v>
      </c>
      <c r="L1030" s="1">
        <v>2500</v>
      </c>
      <c r="M1030" s="1" t="s">
        <v>149</v>
      </c>
      <c r="N1030" s="1"/>
      <c r="O1030" s="1"/>
      <c r="P1030" s="1"/>
      <c r="Q1030" s="62"/>
      <c r="X1030">
        <v>2025</v>
      </c>
    </row>
    <row r="1031" spans="1:24" x14ac:dyDescent="0.25">
      <c r="A1031" t="s">
        <v>1660</v>
      </c>
      <c r="B1031" s="52">
        <v>45735</v>
      </c>
      <c r="C1031" t="s">
        <v>1659</v>
      </c>
      <c r="D1031" t="s">
        <v>157</v>
      </c>
      <c r="E1031" t="s">
        <v>27</v>
      </c>
      <c r="F1031">
        <v>1000</v>
      </c>
      <c r="G1031">
        <v>1000</v>
      </c>
      <c r="H1031">
        <v>5</v>
      </c>
      <c r="I1031" s="1">
        <f t="shared" si="19"/>
        <v>5</v>
      </c>
      <c r="J1031" s="1">
        <v>400</v>
      </c>
      <c r="K1031" s="1">
        <v>375</v>
      </c>
      <c r="L1031" s="1">
        <v>2450</v>
      </c>
      <c r="M1031" s="1" t="s">
        <v>149</v>
      </c>
      <c r="N1031" s="1"/>
      <c r="O1031" s="1"/>
      <c r="P1031" s="1"/>
      <c r="Q1031" s="62"/>
      <c r="X1031">
        <v>2025</v>
      </c>
    </row>
    <row r="1032" spans="1:24" x14ac:dyDescent="0.25">
      <c r="A1032" t="s">
        <v>1662</v>
      </c>
      <c r="B1032" s="52">
        <v>45735</v>
      </c>
      <c r="C1032" t="s">
        <v>1661</v>
      </c>
      <c r="D1032" t="s">
        <v>176</v>
      </c>
      <c r="E1032" t="s">
        <v>27</v>
      </c>
      <c r="F1032">
        <v>1000</v>
      </c>
      <c r="G1032">
        <v>1000</v>
      </c>
      <c r="H1032">
        <v>5</v>
      </c>
      <c r="I1032" s="1">
        <f t="shared" si="19"/>
        <v>5</v>
      </c>
      <c r="J1032" s="1">
        <v>400</v>
      </c>
      <c r="K1032" s="1">
        <v>375</v>
      </c>
      <c r="L1032" s="1">
        <v>2500</v>
      </c>
      <c r="M1032" s="1" t="s">
        <v>149</v>
      </c>
      <c r="N1032" s="1"/>
      <c r="O1032" s="1"/>
      <c r="P1032" s="1"/>
      <c r="Q1032" s="62"/>
      <c r="X1032">
        <v>2025</v>
      </c>
    </row>
    <row r="1033" spans="1:24" x14ac:dyDescent="0.25">
      <c r="A1033" t="s">
        <v>1663</v>
      </c>
      <c r="B1033" s="52">
        <v>45735</v>
      </c>
      <c r="C1033" t="s">
        <v>1664</v>
      </c>
      <c r="D1033" t="s">
        <v>1011</v>
      </c>
      <c r="E1033" t="s">
        <v>27</v>
      </c>
      <c r="F1033">
        <v>1000</v>
      </c>
      <c r="G1033">
        <v>1000</v>
      </c>
      <c r="H1033">
        <v>5</v>
      </c>
      <c r="I1033" s="1">
        <f t="shared" si="19"/>
        <v>5</v>
      </c>
      <c r="J1033" s="1">
        <v>400</v>
      </c>
      <c r="K1033" s="1">
        <v>375</v>
      </c>
      <c r="L1033" s="1">
        <v>2500</v>
      </c>
      <c r="M1033" s="1" t="s">
        <v>149</v>
      </c>
      <c r="N1033" s="1"/>
      <c r="O1033" s="1"/>
      <c r="P1033" s="1"/>
      <c r="Q1033" s="62"/>
      <c r="X1033">
        <v>2025</v>
      </c>
    </row>
    <row r="1034" spans="1:24" x14ac:dyDescent="0.25">
      <c r="A1034" t="s">
        <v>1665</v>
      </c>
      <c r="B1034" s="52">
        <v>45737</v>
      </c>
      <c r="C1034" t="s">
        <v>1666</v>
      </c>
      <c r="D1034" t="s">
        <v>276</v>
      </c>
      <c r="E1034" t="s">
        <v>27</v>
      </c>
      <c r="F1034">
        <v>1000</v>
      </c>
      <c r="G1034">
        <v>1000</v>
      </c>
      <c r="H1034">
        <v>5</v>
      </c>
      <c r="I1034" s="1">
        <f t="shared" si="19"/>
        <v>5</v>
      </c>
      <c r="J1034" s="1">
        <v>400</v>
      </c>
      <c r="K1034" s="1">
        <v>375</v>
      </c>
      <c r="L1034" s="1">
        <v>2450</v>
      </c>
      <c r="M1034" s="1" t="s">
        <v>149</v>
      </c>
      <c r="N1034" s="1"/>
      <c r="O1034" s="1"/>
      <c r="P1034" s="44" t="s">
        <v>149</v>
      </c>
      <c r="Q1034" s="62">
        <v>45755</v>
      </c>
      <c r="X1034">
        <v>2025</v>
      </c>
    </row>
    <row r="1035" spans="1:24" x14ac:dyDescent="0.25">
      <c r="A1035" t="s">
        <v>1667</v>
      </c>
      <c r="B1035" s="52">
        <v>45737</v>
      </c>
      <c r="C1035" t="s">
        <v>1469</v>
      </c>
      <c r="D1035" t="s">
        <v>263</v>
      </c>
      <c r="E1035" t="s">
        <v>32</v>
      </c>
      <c r="F1035">
        <v>1000</v>
      </c>
      <c r="G1035">
        <v>260</v>
      </c>
      <c r="H1035">
        <v>193</v>
      </c>
      <c r="I1035" s="1">
        <f t="shared" si="19"/>
        <v>50.18</v>
      </c>
      <c r="J1035" s="1">
        <v>486.33</v>
      </c>
      <c r="K1035" s="1">
        <v>2500</v>
      </c>
      <c r="L1035" s="1">
        <v>27354.04</v>
      </c>
      <c r="M1035" s="1" t="s">
        <v>149</v>
      </c>
      <c r="N1035" s="1"/>
      <c r="O1035" s="1"/>
      <c r="P1035" s="44" t="s">
        <v>149</v>
      </c>
      <c r="Q1035" s="62">
        <v>45740</v>
      </c>
      <c r="X1035">
        <v>2025</v>
      </c>
    </row>
    <row r="1036" spans="1:24" x14ac:dyDescent="0.25">
      <c r="A1036" t="s">
        <v>1668</v>
      </c>
      <c r="B1036" s="52">
        <v>45737</v>
      </c>
      <c r="C1036" t="s">
        <v>1666</v>
      </c>
      <c r="D1036" t="s">
        <v>276</v>
      </c>
      <c r="E1036" t="s">
        <v>32</v>
      </c>
      <c r="F1036">
        <v>1000</v>
      </c>
      <c r="G1036">
        <v>1000</v>
      </c>
      <c r="H1036">
        <v>5</v>
      </c>
      <c r="I1036" s="1">
        <f t="shared" si="19"/>
        <v>5</v>
      </c>
      <c r="J1036" s="1">
        <v>600</v>
      </c>
      <c r="K1036" s="1">
        <v>375</v>
      </c>
      <c r="L1036" s="1">
        <v>3650</v>
      </c>
      <c r="M1036" s="1" t="s">
        <v>149</v>
      </c>
      <c r="N1036" s="1"/>
      <c r="O1036" s="1"/>
      <c r="P1036" s="44" t="s">
        <v>149</v>
      </c>
      <c r="Q1036" s="62">
        <v>45926</v>
      </c>
      <c r="X1036">
        <v>2025</v>
      </c>
    </row>
    <row r="1037" spans="1:24" x14ac:dyDescent="0.25">
      <c r="A1037" t="s">
        <v>1669</v>
      </c>
      <c r="B1037" s="52">
        <v>45741</v>
      </c>
      <c r="C1037" t="s">
        <v>1469</v>
      </c>
      <c r="D1037" t="s">
        <v>263</v>
      </c>
      <c r="E1037" t="s">
        <v>32</v>
      </c>
      <c r="F1037">
        <v>1000</v>
      </c>
      <c r="G1037">
        <v>1000</v>
      </c>
      <c r="H1037">
        <v>15</v>
      </c>
      <c r="I1037" s="1">
        <f t="shared" si="19"/>
        <v>15</v>
      </c>
      <c r="J1037" s="1">
        <v>554.75</v>
      </c>
      <c r="K1037" s="1">
        <v>1125</v>
      </c>
      <c r="L1037" s="1">
        <v>10271.25</v>
      </c>
      <c r="M1037" s="1" t="s">
        <v>149</v>
      </c>
      <c r="N1037" s="1"/>
      <c r="O1037" s="1"/>
      <c r="P1037" s="44" t="s">
        <v>149</v>
      </c>
      <c r="Q1037" s="62">
        <v>45742</v>
      </c>
      <c r="X1037">
        <v>2025</v>
      </c>
    </row>
    <row r="1038" spans="1:24" x14ac:dyDescent="0.25">
      <c r="A1038" t="s">
        <v>1671</v>
      </c>
      <c r="B1038" s="52">
        <v>45742</v>
      </c>
      <c r="C1038" t="s">
        <v>1672</v>
      </c>
      <c r="D1038" t="s">
        <v>46</v>
      </c>
      <c r="E1038" t="s">
        <v>37</v>
      </c>
      <c r="F1038">
        <v>1000</v>
      </c>
      <c r="G1038">
        <v>1000</v>
      </c>
      <c r="H1038">
        <v>500</v>
      </c>
      <c r="I1038" s="1">
        <f t="shared" si="19"/>
        <v>500</v>
      </c>
      <c r="J1038" s="1">
        <v>305</v>
      </c>
      <c r="K1038" s="1">
        <v>12500</v>
      </c>
      <c r="L1038" s="1">
        <v>165000</v>
      </c>
      <c r="M1038" s="1" t="s">
        <v>449</v>
      </c>
      <c r="N1038" s="1" t="s">
        <v>149</v>
      </c>
      <c r="O1038" s="1"/>
      <c r="P1038" s="1"/>
      <c r="Q1038" s="62"/>
      <c r="X1038">
        <v>2025</v>
      </c>
    </row>
    <row r="1039" spans="1:24" x14ac:dyDescent="0.25">
      <c r="A1039" t="s">
        <v>1673</v>
      </c>
      <c r="B1039" s="52">
        <v>45742</v>
      </c>
      <c r="C1039" t="s">
        <v>1485</v>
      </c>
      <c r="D1039" t="s">
        <v>336</v>
      </c>
      <c r="E1039" t="s">
        <v>27</v>
      </c>
      <c r="F1039">
        <v>778</v>
      </c>
      <c r="G1039">
        <v>634</v>
      </c>
      <c r="H1039">
        <v>200</v>
      </c>
      <c r="I1039" s="1">
        <f t="shared" si="19"/>
        <v>98.650400000000005</v>
      </c>
      <c r="J1039" s="1">
        <v>276.16000000000003</v>
      </c>
      <c r="K1039" s="1">
        <v>2500</v>
      </c>
      <c r="L1039" s="1">
        <v>29833.18</v>
      </c>
      <c r="M1039" s="1" t="s">
        <v>449</v>
      </c>
      <c r="N1039" s="1" t="s">
        <v>149</v>
      </c>
      <c r="O1039" s="1"/>
      <c r="P1039" s="44" t="s">
        <v>149</v>
      </c>
      <c r="Q1039" s="62">
        <v>45742</v>
      </c>
      <c r="X1039">
        <v>2025</v>
      </c>
    </row>
    <row r="1040" spans="1:24" x14ac:dyDescent="0.25">
      <c r="A1040" t="s">
        <v>1674</v>
      </c>
      <c r="B1040" s="52">
        <v>45743</v>
      </c>
      <c r="C1040" t="s">
        <v>1675</v>
      </c>
      <c r="D1040" t="s">
        <v>248</v>
      </c>
      <c r="E1040" t="s">
        <v>37</v>
      </c>
      <c r="F1040">
        <v>1000</v>
      </c>
      <c r="G1040">
        <v>1000</v>
      </c>
      <c r="H1040">
        <v>5</v>
      </c>
      <c r="I1040" s="1">
        <f t="shared" si="19"/>
        <v>5</v>
      </c>
      <c r="J1040" s="1">
        <v>500</v>
      </c>
      <c r="K1040" s="1">
        <v>375</v>
      </c>
      <c r="L1040" s="1">
        <v>2950</v>
      </c>
      <c r="M1040" s="1" t="s">
        <v>149</v>
      </c>
      <c r="N1040" s="1"/>
      <c r="O1040" s="1"/>
      <c r="P1040" s="44" t="s">
        <v>149</v>
      </c>
      <c r="Q1040" s="62">
        <v>45742</v>
      </c>
      <c r="X1040">
        <v>2025</v>
      </c>
    </row>
    <row r="1041" spans="1:24" x14ac:dyDescent="0.25">
      <c r="A1041" t="s">
        <v>1676</v>
      </c>
      <c r="B1041" s="52">
        <v>45743</v>
      </c>
      <c r="C1041" t="s">
        <v>1677</v>
      </c>
      <c r="D1041" t="s">
        <v>138</v>
      </c>
      <c r="E1041" t="s">
        <v>27</v>
      </c>
      <c r="F1041">
        <v>1000</v>
      </c>
      <c r="G1041">
        <v>1000</v>
      </c>
      <c r="H1041">
        <v>5</v>
      </c>
      <c r="I1041" s="1">
        <f t="shared" si="19"/>
        <v>5</v>
      </c>
      <c r="J1041" s="1">
        <v>400</v>
      </c>
      <c r="K1041" s="1">
        <v>375</v>
      </c>
      <c r="L1041" s="1">
        <v>2450</v>
      </c>
      <c r="M1041" s="1" t="s">
        <v>149</v>
      </c>
      <c r="N1041" s="1"/>
      <c r="O1041" s="1"/>
      <c r="P1041" s="44" t="s">
        <v>149</v>
      </c>
      <c r="Q1041" s="62">
        <v>45821</v>
      </c>
      <c r="X1041">
        <v>2025</v>
      </c>
    </row>
    <row r="1042" spans="1:24" x14ac:dyDescent="0.25">
      <c r="A1042" t="s">
        <v>1678</v>
      </c>
      <c r="B1042" s="52">
        <v>45744</v>
      </c>
      <c r="C1042" t="s">
        <v>255</v>
      </c>
      <c r="D1042" t="s">
        <v>256</v>
      </c>
      <c r="E1042" t="s">
        <v>32</v>
      </c>
      <c r="F1042">
        <v>2150</v>
      </c>
      <c r="G1042">
        <v>1500</v>
      </c>
      <c r="H1042">
        <v>10</v>
      </c>
      <c r="I1042" s="1">
        <f t="shared" si="19"/>
        <v>32.25</v>
      </c>
      <c r="J1042" s="1">
        <v>507.61</v>
      </c>
      <c r="K1042" s="1">
        <v>1612.5</v>
      </c>
      <c r="L1042" s="1">
        <v>17982.919999999998</v>
      </c>
      <c r="M1042" s="1" t="s">
        <v>149</v>
      </c>
      <c r="N1042" s="1"/>
      <c r="O1042" s="1"/>
      <c r="P1042" s="1"/>
      <c r="Q1042" s="62"/>
      <c r="X1042">
        <v>2025</v>
      </c>
    </row>
    <row r="1043" spans="1:24" x14ac:dyDescent="0.25">
      <c r="A1043" t="s">
        <v>1679</v>
      </c>
      <c r="B1043" s="52">
        <v>45748</v>
      </c>
      <c r="C1043" t="s">
        <v>1624</v>
      </c>
      <c r="D1043" t="s">
        <v>100</v>
      </c>
      <c r="E1043" t="s">
        <v>27</v>
      </c>
      <c r="F1043">
        <v>1000</v>
      </c>
      <c r="G1043">
        <v>1000</v>
      </c>
      <c r="H1043">
        <v>5</v>
      </c>
      <c r="I1043" s="1">
        <f t="shared" si="19"/>
        <v>5</v>
      </c>
      <c r="J1043" s="1">
        <v>400</v>
      </c>
      <c r="K1043" s="1">
        <v>375</v>
      </c>
      <c r="L1043" s="1">
        <v>2500</v>
      </c>
      <c r="M1043" s="1" t="s">
        <v>149</v>
      </c>
      <c r="N1043" s="1"/>
      <c r="O1043" s="1"/>
      <c r="P1043" s="1"/>
      <c r="Q1043" s="62"/>
      <c r="X1043">
        <v>2025</v>
      </c>
    </row>
    <row r="1044" spans="1:24" x14ac:dyDescent="0.25">
      <c r="A1044" t="s">
        <v>1680</v>
      </c>
      <c r="B1044" s="52">
        <v>45748</v>
      </c>
      <c r="C1044" t="s">
        <v>1681</v>
      </c>
      <c r="D1044" t="s">
        <v>1682</v>
      </c>
      <c r="E1044" t="s">
        <v>27</v>
      </c>
      <c r="F1044">
        <v>1000</v>
      </c>
      <c r="G1044">
        <v>1000</v>
      </c>
      <c r="H1044">
        <v>5</v>
      </c>
      <c r="I1044" s="1">
        <f t="shared" si="19"/>
        <v>5</v>
      </c>
      <c r="J1044" s="1">
        <v>400</v>
      </c>
      <c r="K1044" s="1">
        <v>375</v>
      </c>
      <c r="L1044" s="1">
        <v>2500</v>
      </c>
      <c r="M1044" s="1" t="s">
        <v>149</v>
      </c>
      <c r="N1044" s="1"/>
      <c r="O1044" s="1"/>
      <c r="P1044" s="1"/>
      <c r="Q1044" s="62"/>
      <c r="X1044">
        <v>2025</v>
      </c>
    </row>
    <row r="1045" spans="1:24" x14ac:dyDescent="0.25">
      <c r="A1045" t="s">
        <v>1683</v>
      </c>
      <c r="B1045" s="52">
        <v>45749</v>
      </c>
      <c r="C1045" t="s">
        <v>1291</v>
      </c>
      <c r="D1045" t="s">
        <v>57</v>
      </c>
      <c r="E1045" t="s">
        <v>27</v>
      </c>
      <c r="F1045">
        <v>1000</v>
      </c>
      <c r="G1045">
        <v>1000</v>
      </c>
      <c r="H1045">
        <v>20</v>
      </c>
      <c r="I1045" s="1">
        <f t="shared" si="19"/>
        <v>20</v>
      </c>
      <c r="J1045" s="1">
        <v>250</v>
      </c>
      <c r="K1045" s="1">
        <v>1500</v>
      </c>
      <c r="L1045" s="1">
        <f>Table13[[#This Row],[Eur /m2]]*Table13[[#This Row],[Total sqm]]+Table13[[#This Row],[F P H]]+350</f>
        <v>6850</v>
      </c>
      <c r="M1045" s="1" t="s">
        <v>449</v>
      </c>
      <c r="N1045" s="1" t="s">
        <v>149</v>
      </c>
      <c r="O1045" s="1"/>
      <c r="P1045" s="44" t="s">
        <v>149</v>
      </c>
      <c r="Q1045" s="62">
        <v>45775</v>
      </c>
      <c r="X1045">
        <v>2025</v>
      </c>
    </row>
    <row r="1046" spans="1:24" x14ac:dyDescent="0.25">
      <c r="A1046" t="s">
        <v>1684</v>
      </c>
      <c r="B1046" s="52">
        <v>45749</v>
      </c>
      <c r="C1046" t="s">
        <v>1514</v>
      </c>
      <c r="D1046" t="s">
        <v>36</v>
      </c>
      <c r="E1046" t="s">
        <v>32</v>
      </c>
      <c r="F1046">
        <v>1610</v>
      </c>
      <c r="G1046">
        <v>950</v>
      </c>
      <c r="H1046">
        <v>86</v>
      </c>
      <c r="I1046" s="1">
        <f t="shared" si="19"/>
        <v>131.53700000000001</v>
      </c>
      <c r="J1046" s="1">
        <v>454.99</v>
      </c>
      <c r="K1046" s="1">
        <v>3288.5</v>
      </c>
      <c r="L1046" s="1">
        <v>63269.88</v>
      </c>
      <c r="M1046" s="1" t="s">
        <v>149</v>
      </c>
      <c r="N1046" s="1"/>
      <c r="O1046" s="1"/>
      <c r="P1046" s="44" t="s">
        <v>149</v>
      </c>
      <c r="Q1046" s="62">
        <v>45764</v>
      </c>
      <c r="X1046">
        <v>2025</v>
      </c>
    </row>
    <row r="1047" spans="1:24" x14ac:dyDescent="0.25">
      <c r="A1047" t="s">
        <v>1685</v>
      </c>
      <c r="B1047" s="52">
        <v>45749</v>
      </c>
      <c r="C1047" t="s">
        <v>1686</v>
      </c>
      <c r="D1047" t="s">
        <v>52</v>
      </c>
      <c r="E1047" t="s">
        <v>32</v>
      </c>
      <c r="F1047">
        <v>1000</v>
      </c>
      <c r="G1047">
        <v>1000</v>
      </c>
      <c r="H1047">
        <v>5</v>
      </c>
      <c r="I1047" s="1">
        <f t="shared" si="19"/>
        <v>5</v>
      </c>
      <c r="J1047" s="1">
        <v>375</v>
      </c>
      <c r="K1047" s="1">
        <v>3000</v>
      </c>
      <c r="L1047" s="1">
        <v>3650</v>
      </c>
      <c r="M1047" s="1" t="s">
        <v>149</v>
      </c>
      <c r="N1047" s="1"/>
      <c r="O1047" s="1"/>
      <c r="P1047" s="44" t="s">
        <v>149</v>
      </c>
      <c r="Q1047" s="62">
        <v>45756</v>
      </c>
      <c r="X1047">
        <v>2025</v>
      </c>
    </row>
    <row r="1048" spans="1:24" x14ac:dyDescent="0.25">
      <c r="A1048" t="s">
        <v>1687</v>
      </c>
      <c r="B1048" s="52">
        <v>45750</v>
      </c>
      <c r="C1048" t="s">
        <v>1650</v>
      </c>
      <c r="D1048" t="s">
        <v>57</v>
      </c>
      <c r="E1048" t="s">
        <v>32</v>
      </c>
      <c r="F1048">
        <v>1000</v>
      </c>
      <c r="G1048">
        <v>1000</v>
      </c>
      <c r="H1048">
        <v>5</v>
      </c>
      <c r="I1048" s="1">
        <f t="shared" si="19"/>
        <v>5</v>
      </c>
      <c r="J1048" s="1">
        <v>600</v>
      </c>
      <c r="K1048" s="1">
        <v>375</v>
      </c>
      <c r="L1048" s="1">
        <v>3650</v>
      </c>
      <c r="M1048" s="1" t="s">
        <v>149</v>
      </c>
      <c r="N1048" s="1"/>
      <c r="O1048" s="1"/>
      <c r="P1048" s="1"/>
      <c r="Q1048" s="62"/>
      <c r="X1048">
        <v>2025</v>
      </c>
    </row>
    <row r="1049" spans="1:24" x14ac:dyDescent="0.25">
      <c r="A1049" t="s">
        <v>1688</v>
      </c>
      <c r="B1049" s="52">
        <v>45750</v>
      </c>
      <c r="C1049" t="s">
        <v>1650</v>
      </c>
      <c r="D1049" t="s">
        <v>57</v>
      </c>
      <c r="E1049" t="s">
        <v>37</v>
      </c>
      <c r="F1049">
        <v>1000</v>
      </c>
      <c r="G1049">
        <v>1000</v>
      </c>
      <c r="H1049">
        <v>5</v>
      </c>
      <c r="I1049" s="1">
        <f t="shared" si="19"/>
        <v>5</v>
      </c>
      <c r="J1049" s="1">
        <v>500</v>
      </c>
      <c r="K1049" s="1">
        <v>375</v>
      </c>
      <c r="L1049" s="1">
        <v>3000</v>
      </c>
      <c r="M1049" s="1" t="s">
        <v>149</v>
      </c>
      <c r="N1049" s="1"/>
      <c r="O1049" s="1"/>
      <c r="P1049" s="1"/>
      <c r="Q1049" s="62"/>
      <c r="X1049">
        <v>2025</v>
      </c>
    </row>
    <row r="1050" spans="1:24" x14ac:dyDescent="0.25">
      <c r="A1050" t="s">
        <v>1689</v>
      </c>
      <c r="B1050" s="52">
        <v>45751</v>
      </c>
      <c r="C1050" t="s">
        <v>1692</v>
      </c>
      <c r="D1050" t="s">
        <v>57</v>
      </c>
      <c r="E1050" t="s">
        <v>27</v>
      </c>
      <c r="F1050">
        <v>880</v>
      </c>
      <c r="G1050">
        <v>880</v>
      </c>
      <c r="H1050">
        <v>100</v>
      </c>
      <c r="I1050" s="1">
        <f t="shared" si="19"/>
        <v>77.44</v>
      </c>
      <c r="J1050" s="1">
        <v>225</v>
      </c>
      <c r="K1050" s="1">
        <v>3872</v>
      </c>
      <c r="L1050" s="1">
        <f>Table13[[#This Row],[Total sqm]]*Table13[[#This Row],[Eur /m2]]+Table13[[#This Row],[F P H]]</f>
        <v>21296</v>
      </c>
      <c r="M1050" s="1" t="s">
        <v>449</v>
      </c>
      <c r="N1050" s="1" t="s">
        <v>149</v>
      </c>
      <c r="O1050" s="1"/>
      <c r="P1050" s="1"/>
      <c r="Q1050" s="62"/>
      <c r="X1050">
        <v>2025</v>
      </c>
    </row>
    <row r="1051" spans="1:24" x14ac:dyDescent="0.25">
      <c r="A1051" t="s">
        <v>1690</v>
      </c>
      <c r="B1051" s="52">
        <v>45751</v>
      </c>
      <c r="C1051" t="s">
        <v>1692</v>
      </c>
      <c r="D1051" t="s">
        <v>57</v>
      </c>
      <c r="E1051" t="s">
        <v>37</v>
      </c>
      <c r="F1051">
        <v>880</v>
      </c>
      <c r="G1051">
        <v>880</v>
      </c>
      <c r="H1051">
        <v>100</v>
      </c>
      <c r="I1051" s="1">
        <f t="shared" si="19"/>
        <v>77.44</v>
      </c>
      <c r="J1051" s="1">
        <v>380.85</v>
      </c>
      <c r="K1051" s="1">
        <v>3872</v>
      </c>
      <c r="L1051" s="1">
        <f>Table13[[#This Row],[Total sqm]]*Table13[[#This Row],[Eur /m2]]+Table13[[#This Row],[F P H]]</f>
        <v>33365.024000000005</v>
      </c>
      <c r="M1051" s="1" t="s">
        <v>149</v>
      </c>
      <c r="N1051" s="1"/>
      <c r="O1051" s="1"/>
      <c r="P1051" s="1"/>
      <c r="Q1051" s="62"/>
      <c r="X1051">
        <v>2025</v>
      </c>
    </row>
    <row r="1052" spans="1:24" x14ac:dyDescent="0.25">
      <c r="A1052" t="s">
        <v>1691</v>
      </c>
      <c r="B1052" s="52">
        <v>45751</v>
      </c>
      <c r="C1052" t="s">
        <v>1692</v>
      </c>
      <c r="D1052" t="s">
        <v>57</v>
      </c>
      <c r="E1052" t="s">
        <v>32</v>
      </c>
      <c r="F1052">
        <v>880</v>
      </c>
      <c r="G1052">
        <v>880</v>
      </c>
      <c r="H1052">
        <v>100</v>
      </c>
      <c r="I1052" s="1">
        <f t="shared" si="19"/>
        <v>77.44</v>
      </c>
      <c r="J1052" s="1">
        <v>472.86</v>
      </c>
      <c r="K1052" s="1">
        <v>3872</v>
      </c>
      <c r="L1052" s="1">
        <f>Table13[[#This Row],[Total sqm]]*Table13[[#This Row],[Eur /m2]]+Table13[[#This Row],[F P H]]</f>
        <v>40490.278400000003</v>
      </c>
      <c r="M1052" s="1" t="s">
        <v>149</v>
      </c>
      <c r="N1052" s="1"/>
      <c r="O1052" s="1"/>
      <c r="P1052" s="1"/>
      <c r="Q1052" s="62"/>
      <c r="X1052">
        <v>2025</v>
      </c>
    </row>
    <row r="1053" spans="1:24" x14ac:dyDescent="0.25">
      <c r="A1053" t="s">
        <v>1693</v>
      </c>
      <c r="B1053" s="52">
        <v>45755</v>
      </c>
      <c r="C1053" t="s">
        <v>1295</v>
      </c>
      <c r="D1053" t="s">
        <v>97</v>
      </c>
      <c r="E1053" t="s">
        <v>37</v>
      </c>
      <c r="F1053">
        <v>1000</v>
      </c>
      <c r="G1053">
        <v>1000</v>
      </c>
      <c r="H1053">
        <v>5</v>
      </c>
      <c r="I1053" s="1">
        <f t="shared" si="19"/>
        <v>5</v>
      </c>
      <c r="J1053" s="1">
        <v>500</v>
      </c>
      <c r="K1053" s="1">
        <v>375</v>
      </c>
      <c r="L1053" s="1">
        <v>2950</v>
      </c>
      <c r="M1053" s="1" t="s">
        <v>149</v>
      </c>
      <c r="N1053" s="1"/>
      <c r="O1053" s="1"/>
      <c r="P1053" s="44" t="s">
        <v>149</v>
      </c>
      <c r="Q1053" s="62">
        <v>45761</v>
      </c>
      <c r="X1053">
        <v>2025</v>
      </c>
    </row>
    <row r="1054" spans="1:24" x14ac:dyDescent="0.25">
      <c r="A1054" t="s">
        <v>1694</v>
      </c>
      <c r="B1054" s="52">
        <v>45396</v>
      </c>
      <c r="C1054" t="s">
        <v>1158</v>
      </c>
      <c r="D1054" t="s">
        <v>36</v>
      </c>
      <c r="E1054" t="s">
        <v>32</v>
      </c>
      <c r="F1054">
        <v>1000</v>
      </c>
      <c r="G1054">
        <v>1000</v>
      </c>
      <c r="H1054">
        <v>5</v>
      </c>
      <c r="I1054" s="1">
        <f t="shared" si="19"/>
        <v>5</v>
      </c>
      <c r="J1054" s="1">
        <v>600</v>
      </c>
      <c r="K1054" s="1">
        <v>375</v>
      </c>
      <c r="L1054" s="1">
        <v>3650</v>
      </c>
      <c r="M1054" s="1" t="s">
        <v>149</v>
      </c>
      <c r="N1054" s="1"/>
      <c r="O1054" s="1"/>
      <c r="P1054" s="44" t="s">
        <v>149</v>
      </c>
      <c r="Q1054" s="62">
        <v>45776</v>
      </c>
      <c r="S1054" t="s">
        <v>2039</v>
      </c>
      <c r="X1054">
        <v>2025</v>
      </c>
    </row>
    <row r="1055" spans="1:24" x14ac:dyDescent="0.25">
      <c r="A1055" t="s">
        <v>1695</v>
      </c>
      <c r="B1055" s="52">
        <v>45761</v>
      </c>
      <c r="C1055" t="s">
        <v>1469</v>
      </c>
      <c r="D1055" t="s">
        <v>263</v>
      </c>
      <c r="E1055" t="s">
        <v>32</v>
      </c>
      <c r="F1055">
        <v>1000</v>
      </c>
      <c r="G1055">
        <v>260</v>
      </c>
      <c r="H1055">
        <v>385</v>
      </c>
      <c r="I1055" s="1">
        <f t="shared" si="19"/>
        <v>100.1</v>
      </c>
      <c r="J1055" s="1">
        <v>467.21</v>
      </c>
      <c r="K1055" s="1">
        <v>2500</v>
      </c>
      <c r="L1055" s="1">
        <v>50083.72</v>
      </c>
      <c r="M1055" s="1" t="s">
        <v>149</v>
      </c>
      <c r="N1055" s="1"/>
      <c r="O1055" s="1"/>
      <c r="P1055" s="1"/>
      <c r="Q1055" s="62"/>
      <c r="X1055">
        <v>2025</v>
      </c>
    </row>
    <row r="1056" spans="1:24" x14ac:dyDescent="0.25">
      <c r="A1056" t="s">
        <v>1696</v>
      </c>
      <c r="B1056" s="52">
        <v>45762</v>
      </c>
      <c r="C1056" t="s">
        <v>1697</v>
      </c>
      <c r="D1056" t="s">
        <v>57</v>
      </c>
      <c r="E1056" t="s">
        <v>27</v>
      </c>
      <c r="F1056">
        <v>505</v>
      </c>
      <c r="G1056">
        <v>505</v>
      </c>
      <c r="H1056">
        <v>62</v>
      </c>
      <c r="I1056" s="1">
        <f t="shared" si="19"/>
        <v>15.81155</v>
      </c>
      <c r="J1056" s="1">
        <v>265</v>
      </c>
      <c r="K1056" s="1">
        <v>395.25</v>
      </c>
      <c r="L1056" s="1">
        <v>4834.8999999999996</v>
      </c>
      <c r="M1056" s="1" t="s">
        <v>449</v>
      </c>
      <c r="N1056" s="1" t="s">
        <v>149</v>
      </c>
      <c r="O1056" s="1"/>
      <c r="P1056" s="1"/>
      <c r="Q1056" s="62"/>
      <c r="X1056">
        <v>2025</v>
      </c>
    </row>
    <row r="1057" spans="1:24" x14ac:dyDescent="0.25">
      <c r="A1057" t="s">
        <v>1698</v>
      </c>
      <c r="B1057" s="52">
        <v>45762</v>
      </c>
      <c r="C1057" t="s">
        <v>1719</v>
      </c>
      <c r="D1057" t="s">
        <v>83</v>
      </c>
      <c r="E1057" t="s">
        <v>32</v>
      </c>
      <c r="F1057">
        <v>1000</v>
      </c>
      <c r="G1057">
        <v>1000</v>
      </c>
      <c r="H1057">
        <v>5</v>
      </c>
      <c r="I1057" s="1">
        <f t="shared" si="19"/>
        <v>5</v>
      </c>
      <c r="J1057" s="1">
        <v>600</v>
      </c>
      <c r="K1057" s="1">
        <v>375</v>
      </c>
      <c r="L1057" s="1">
        <v>3650</v>
      </c>
      <c r="M1057" s="1" t="s">
        <v>149</v>
      </c>
      <c r="N1057" s="1"/>
      <c r="O1057" s="1"/>
      <c r="P1057" s="1"/>
      <c r="Q1057" s="62"/>
      <c r="X1057">
        <v>2025</v>
      </c>
    </row>
    <row r="1058" spans="1:24" x14ac:dyDescent="0.25">
      <c r="A1058" t="s">
        <v>1699</v>
      </c>
      <c r="B1058" s="52">
        <v>45762</v>
      </c>
      <c r="C1058" t="s">
        <v>751</v>
      </c>
      <c r="D1058" t="s">
        <v>157</v>
      </c>
      <c r="E1058" t="s">
        <v>27</v>
      </c>
      <c r="F1058">
        <v>980</v>
      </c>
      <c r="G1058">
        <v>980</v>
      </c>
      <c r="H1058">
        <v>30</v>
      </c>
      <c r="I1058" s="1">
        <f t="shared" si="19"/>
        <v>28.812000000000001</v>
      </c>
      <c r="J1058" s="1">
        <v>318.89999999999998</v>
      </c>
      <c r="K1058" s="1">
        <v>1440.5</v>
      </c>
      <c r="L1058" s="1">
        <v>10733.01</v>
      </c>
      <c r="M1058" s="1" t="s">
        <v>149</v>
      </c>
      <c r="N1058" s="1"/>
      <c r="O1058" s="1"/>
      <c r="P1058" s="44" t="s">
        <v>149</v>
      </c>
      <c r="Q1058" s="62">
        <v>45768</v>
      </c>
      <c r="X1058">
        <v>2025</v>
      </c>
    </row>
    <row r="1059" spans="1:24" x14ac:dyDescent="0.25">
      <c r="A1059" t="s">
        <v>1700</v>
      </c>
      <c r="B1059" s="52">
        <v>45763</v>
      </c>
      <c r="C1059" t="s">
        <v>1701</v>
      </c>
      <c r="D1059" t="s">
        <v>1702</v>
      </c>
      <c r="E1059" t="s">
        <v>37</v>
      </c>
      <c r="F1059">
        <v>1000</v>
      </c>
      <c r="G1059">
        <v>1000</v>
      </c>
      <c r="H1059">
        <v>20</v>
      </c>
      <c r="I1059" s="1">
        <f t="shared" si="19"/>
        <v>20</v>
      </c>
      <c r="J1059" s="1">
        <v>438.23</v>
      </c>
      <c r="K1059" s="1">
        <v>1500</v>
      </c>
      <c r="L1059" s="1">
        <v>10264.6</v>
      </c>
      <c r="M1059" s="1" t="s">
        <v>149</v>
      </c>
      <c r="N1059" s="1"/>
      <c r="O1059" s="1"/>
      <c r="P1059" s="44" t="s">
        <v>149</v>
      </c>
      <c r="Q1059" s="62">
        <v>45792</v>
      </c>
      <c r="X1059">
        <v>2025</v>
      </c>
    </row>
    <row r="1060" spans="1:24" x14ac:dyDescent="0.25">
      <c r="A1060" t="s">
        <v>1703</v>
      </c>
      <c r="B1060" s="52"/>
      <c r="C1060" t="s">
        <v>1704</v>
      </c>
      <c r="D1060" t="s">
        <v>57</v>
      </c>
      <c r="E1060" t="s">
        <v>27</v>
      </c>
      <c r="F1060">
        <v>554</v>
      </c>
      <c r="G1060">
        <v>554</v>
      </c>
      <c r="H1060">
        <v>66</v>
      </c>
      <c r="I1060" s="1">
        <f t="shared" si="19"/>
        <v>20.256456</v>
      </c>
      <c r="J1060" s="1">
        <v>336.33</v>
      </c>
      <c r="K1060" s="1"/>
      <c r="L1060" s="1"/>
      <c r="M1060" s="1" t="s">
        <v>149</v>
      </c>
      <c r="N1060" s="1"/>
      <c r="O1060" s="1"/>
      <c r="P1060" s="1"/>
      <c r="Q1060" s="62"/>
      <c r="X1060">
        <v>2025</v>
      </c>
    </row>
    <row r="1061" spans="1:24" x14ac:dyDescent="0.25">
      <c r="A1061" t="s">
        <v>1705</v>
      </c>
      <c r="B1061" s="52">
        <v>45763</v>
      </c>
      <c r="C1061" t="s">
        <v>1707</v>
      </c>
      <c r="D1061" t="s">
        <v>1706</v>
      </c>
      <c r="E1061" t="s">
        <v>32</v>
      </c>
      <c r="F1061">
        <v>1000</v>
      </c>
      <c r="G1061">
        <v>1000</v>
      </c>
      <c r="H1061">
        <v>5</v>
      </c>
      <c r="I1061" s="1">
        <f t="shared" si="19"/>
        <v>5</v>
      </c>
      <c r="J1061" s="1">
        <v>600</v>
      </c>
      <c r="K1061" s="1">
        <v>375</v>
      </c>
      <c r="L1061" s="1">
        <v>3650</v>
      </c>
      <c r="M1061" s="1" t="s">
        <v>149</v>
      </c>
      <c r="N1061" s="1"/>
      <c r="O1061" s="1"/>
      <c r="P1061" s="1"/>
      <c r="Q1061" s="62"/>
      <c r="X1061">
        <v>2025</v>
      </c>
    </row>
    <row r="1062" spans="1:24" x14ac:dyDescent="0.25">
      <c r="A1062" t="s">
        <v>1708</v>
      </c>
      <c r="B1062" s="52">
        <v>45763</v>
      </c>
      <c r="C1062" t="s">
        <v>751</v>
      </c>
      <c r="D1062" t="s">
        <v>157</v>
      </c>
      <c r="E1062" t="s">
        <v>27</v>
      </c>
      <c r="F1062">
        <v>1000</v>
      </c>
      <c r="G1062">
        <v>1000</v>
      </c>
      <c r="H1062">
        <v>26</v>
      </c>
      <c r="I1062" s="1">
        <f t="shared" si="19"/>
        <v>26</v>
      </c>
      <c r="J1062" s="1">
        <v>323.36</v>
      </c>
      <c r="K1062" s="1">
        <v>1300</v>
      </c>
      <c r="L1062" s="1">
        <f>Table13[[#This Row],[Total sqm]]*Table13[[#This Row],[Eur /m2]]+Table13[[#This Row],[F P H]]+70</f>
        <v>9777.36</v>
      </c>
      <c r="M1062" s="1" t="s">
        <v>149</v>
      </c>
      <c r="N1062" s="1"/>
      <c r="O1062" s="1"/>
      <c r="P1062" s="44" t="s">
        <v>149</v>
      </c>
      <c r="Q1062" s="62">
        <v>45768</v>
      </c>
      <c r="X1062">
        <v>2025</v>
      </c>
    </row>
    <row r="1063" spans="1:24" x14ac:dyDescent="0.25">
      <c r="A1063" t="s">
        <v>1709</v>
      </c>
      <c r="B1063" s="52">
        <v>45763</v>
      </c>
      <c r="C1063" t="s">
        <v>1223</v>
      </c>
      <c r="D1063" t="s">
        <v>31</v>
      </c>
      <c r="E1063" t="s">
        <v>27</v>
      </c>
      <c r="F1063">
        <v>1406</v>
      </c>
      <c r="G1063">
        <v>1226</v>
      </c>
      <c r="H1063">
        <v>25</v>
      </c>
      <c r="I1063" s="1">
        <f t="shared" si="19"/>
        <v>43.093899999999998</v>
      </c>
      <c r="J1063" s="1">
        <v>305.20999999999998</v>
      </c>
      <c r="K1063" s="1">
        <v>2155</v>
      </c>
      <c r="L1063" s="1">
        <v>16698</v>
      </c>
      <c r="M1063" s="1" t="s">
        <v>149</v>
      </c>
      <c r="N1063" s="1"/>
      <c r="O1063" s="1"/>
      <c r="P1063" s="1"/>
      <c r="Q1063" s="62"/>
      <c r="X1063">
        <v>2025</v>
      </c>
    </row>
    <row r="1064" spans="1:24" x14ac:dyDescent="0.25">
      <c r="A1064" t="s">
        <v>1710</v>
      </c>
      <c r="B1064" s="52">
        <v>45764</v>
      </c>
      <c r="C1064" t="s">
        <v>1469</v>
      </c>
      <c r="D1064" t="s">
        <v>263</v>
      </c>
      <c r="E1064" t="s">
        <v>32</v>
      </c>
      <c r="F1064">
        <v>1050</v>
      </c>
      <c r="G1064">
        <v>240</v>
      </c>
      <c r="H1064">
        <v>397</v>
      </c>
      <c r="I1064" s="1">
        <f t="shared" si="19"/>
        <v>100.044</v>
      </c>
      <c r="J1064" s="1">
        <v>467.25</v>
      </c>
      <c r="K1064" s="1">
        <v>2500</v>
      </c>
      <c r="L1064" s="1">
        <v>50059.69</v>
      </c>
      <c r="M1064" s="1" t="s">
        <v>149</v>
      </c>
      <c r="N1064" s="1"/>
      <c r="O1064" s="1"/>
      <c r="P1064" s="44" t="s">
        <v>149</v>
      </c>
      <c r="Q1064" s="62">
        <v>45770</v>
      </c>
      <c r="X1064">
        <v>2025</v>
      </c>
    </row>
    <row r="1065" spans="1:24" x14ac:dyDescent="0.25">
      <c r="A1065" t="s">
        <v>1711</v>
      </c>
      <c r="B1065" s="52">
        <v>45765</v>
      </c>
      <c r="C1065" t="s">
        <v>1713</v>
      </c>
      <c r="D1065" t="s">
        <v>83</v>
      </c>
      <c r="E1065" t="s">
        <v>32</v>
      </c>
      <c r="F1065">
        <v>1000</v>
      </c>
      <c r="G1065">
        <v>1000</v>
      </c>
      <c r="H1065">
        <v>5</v>
      </c>
      <c r="I1065" s="1">
        <f t="shared" si="19"/>
        <v>5</v>
      </c>
      <c r="J1065" s="1">
        <v>600</v>
      </c>
      <c r="K1065" s="1">
        <v>375</v>
      </c>
      <c r="L1065" s="1">
        <v>3650</v>
      </c>
      <c r="M1065" s="1" t="s">
        <v>149</v>
      </c>
      <c r="N1065" s="1"/>
      <c r="O1065" s="1"/>
      <c r="P1065" s="1"/>
      <c r="Q1065" s="62"/>
      <c r="X1065">
        <v>2025</v>
      </c>
    </row>
    <row r="1066" spans="1:24" x14ac:dyDescent="0.25">
      <c r="A1066" t="s">
        <v>1712</v>
      </c>
      <c r="B1066" s="52">
        <v>45765</v>
      </c>
      <c r="C1066" t="s">
        <v>1713</v>
      </c>
      <c r="D1066" t="s">
        <v>83</v>
      </c>
      <c r="E1066" t="s">
        <v>27</v>
      </c>
      <c r="F1066">
        <v>1000</v>
      </c>
      <c r="G1066">
        <v>1000</v>
      </c>
      <c r="H1066">
        <v>5</v>
      </c>
      <c r="I1066" s="1">
        <f t="shared" si="19"/>
        <v>5</v>
      </c>
      <c r="J1066" s="1">
        <v>400</v>
      </c>
      <c r="K1066" s="1">
        <v>375</v>
      </c>
      <c r="L1066" s="1">
        <v>2500</v>
      </c>
      <c r="M1066" s="1" t="s">
        <v>149</v>
      </c>
      <c r="N1066" s="1"/>
      <c r="O1066" s="1"/>
      <c r="P1066" s="1"/>
      <c r="Q1066" s="62"/>
      <c r="X1066">
        <v>2025</v>
      </c>
    </row>
    <row r="1067" spans="1:24" x14ac:dyDescent="0.25">
      <c r="A1067" t="s">
        <v>1714</v>
      </c>
      <c r="B1067" s="52">
        <v>45765</v>
      </c>
      <c r="C1067" t="s">
        <v>407</v>
      </c>
      <c r="D1067" t="s">
        <v>46</v>
      </c>
      <c r="E1067" t="s">
        <v>27</v>
      </c>
      <c r="F1067">
        <v>1000</v>
      </c>
      <c r="G1067">
        <v>1000</v>
      </c>
      <c r="H1067">
        <v>5</v>
      </c>
      <c r="I1067" s="1">
        <f t="shared" si="19"/>
        <v>5</v>
      </c>
      <c r="J1067" s="1">
        <v>300</v>
      </c>
      <c r="K1067" s="1">
        <v>375</v>
      </c>
      <c r="L1067" s="1">
        <v>2000</v>
      </c>
      <c r="M1067" s="1" t="s">
        <v>449</v>
      </c>
      <c r="N1067" s="1" t="s">
        <v>149</v>
      </c>
      <c r="O1067" s="1"/>
      <c r="P1067" s="1"/>
      <c r="Q1067" s="62"/>
      <c r="X1067">
        <v>2025</v>
      </c>
    </row>
    <row r="1068" spans="1:24" x14ac:dyDescent="0.25">
      <c r="A1068" t="s">
        <v>1715</v>
      </c>
      <c r="B1068" s="52">
        <v>45765</v>
      </c>
      <c r="C1068" t="s">
        <v>407</v>
      </c>
      <c r="D1068" t="s">
        <v>46</v>
      </c>
      <c r="E1068" t="s">
        <v>32</v>
      </c>
      <c r="F1068">
        <v>1000</v>
      </c>
      <c r="G1068">
        <v>1000</v>
      </c>
      <c r="H1068">
        <v>5</v>
      </c>
      <c r="I1068" s="1">
        <f t="shared" si="19"/>
        <v>5</v>
      </c>
      <c r="J1068" s="1">
        <v>500</v>
      </c>
      <c r="K1068" s="1">
        <v>375</v>
      </c>
      <c r="L1068" s="1">
        <v>3150</v>
      </c>
      <c r="M1068" s="1" t="s">
        <v>449</v>
      </c>
      <c r="N1068" s="1" t="s">
        <v>149</v>
      </c>
      <c r="O1068" s="1"/>
      <c r="P1068" s="1"/>
      <c r="Q1068" s="62"/>
      <c r="X1068">
        <v>2025</v>
      </c>
    </row>
    <row r="1069" spans="1:24" x14ac:dyDescent="0.25">
      <c r="A1069" t="s">
        <v>1716</v>
      </c>
      <c r="B1069" s="52">
        <v>45770</v>
      </c>
      <c r="C1069" t="s">
        <v>1717</v>
      </c>
      <c r="D1069" t="s">
        <v>83</v>
      </c>
      <c r="I1069" s="1">
        <f t="shared" si="19"/>
        <v>0</v>
      </c>
      <c r="J1069" s="1"/>
      <c r="K1069" s="1">
        <f>K1065+K1066</f>
        <v>750</v>
      </c>
      <c r="L1069" s="1">
        <f>L1066+L1065</f>
        <v>6150</v>
      </c>
      <c r="M1069" s="1" t="s">
        <v>149</v>
      </c>
      <c r="N1069" s="1"/>
      <c r="O1069" s="1"/>
      <c r="P1069" s="1"/>
      <c r="Q1069" s="62"/>
      <c r="X1069">
        <v>2025</v>
      </c>
    </row>
    <row r="1070" spans="1:24" x14ac:dyDescent="0.25">
      <c r="A1070" t="s">
        <v>1720</v>
      </c>
      <c r="B1070" s="52">
        <v>45771</v>
      </c>
      <c r="C1070" t="s">
        <v>1721</v>
      </c>
      <c r="D1070" t="s">
        <v>57</v>
      </c>
      <c r="E1070" t="s">
        <v>37</v>
      </c>
      <c r="F1070">
        <v>1000</v>
      </c>
      <c r="G1070">
        <v>1000</v>
      </c>
      <c r="H1070">
        <v>5</v>
      </c>
      <c r="I1070" s="1">
        <f t="shared" si="19"/>
        <v>5</v>
      </c>
      <c r="J1070" s="1">
        <v>500</v>
      </c>
      <c r="K1070" s="1">
        <v>375</v>
      </c>
      <c r="L1070" s="1">
        <v>3000</v>
      </c>
      <c r="M1070" s="1" t="s">
        <v>149</v>
      </c>
      <c r="N1070" s="1"/>
      <c r="O1070" s="1"/>
      <c r="P1070" s="44" t="s">
        <v>149</v>
      </c>
      <c r="Q1070" s="62">
        <v>45947</v>
      </c>
      <c r="T1070" s="3">
        <v>45943</v>
      </c>
      <c r="U1070">
        <v>500</v>
      </c>
      <c r="V1070">
        <v>375</v>
      </c>
      <c r="W1070">
        <v>3000</v>
      </c>
      <c r="X1070">
        <v>2025</v>
      </c>
    </row>
    <row r="1071" spans="1:24" x14ac:dyDescent="0.25">
      <c r="A1071" t="s">
        <v>2013</v>
      </c>
      <c r="B1071" s="52">
        <v>45771</v>
      </c>
      <c r="C1071" t="s">
        <v>1430</v>
      </c>
      <c r="D1071" t="s">
        <v>31</v>
      </c>
      <c r="E1071" t="s">
        <v>32</v>
      </c>
      <c r="F1071">
        <v>1000</v>
      </c>
      <c r="G1071">
        <v>1000</v>
      </c>
      <c r="H1071">
        <v>5</v>
      </c>
      <c r="I1071" s="1">
        <f t="shared" ref="I1071:I1134" si="20">$F1071*$G1071*$H1071/1000000</f>
        <v>5</v>
      </c>
      <c r="J1071" s="1">
        <v>600</v>
      </c>
      <c r="K1071" s="1">
        <v>375</v>
      </c>
      <c r="L1071" s="1">
        <v>3650</v>
      </c>
      <c r="M1071" s="1" t="s">
        <v>149</v>
      </c>
      <c r="N1071" s="1"/>
      <c r="O1071" s="1"/>
      <c r="P1071" s="44" t="s">
        <v>149</v>
      </c>
      <c r="Q1071" s="62">
        <v>45805</v>
      </c>
      <c r="X1071">
        <v>2025</v>
      </c>
    </row>
    <row r="1072" spans="1:24" x14ac:dyDescent="0.25">
      <c r="A1072" t="s">
        <v>1722</v>
      </c>
      <c r="B1072" s="52">
        <v>45775</v>
      </c>
      <c r="C1072" t="s">
        <v>1723</v>
      </c>
      <c r="D1072" t="s">
        <v>88</v>
      </c>
      <c r="E1072" t="s">
        <v>27</v>
      </c>
      <c r="F1072">
        <v>1000</v>
      </c>
      <c r="G1072">
        <v>1000</v>
      </c>
      <c r="H1072">
        <v>5</v>
      </c>
      <c r="I1072" s="1">
        <f t="shared" si="20"/>
        <v>5</v>
      </c>
      <c r="J1072" s="1">
        <v>400</v>
      </c>
      <c r="K1072" s="1">
        <v>375</v>
      </c>
      <c r="L1072" s="1">
        <v>2500</v>
      </c>
      <c r="M1072" s="1" t="s">
        <v>149</v>
      </c>
      <c r="N1072" s="1"/>
      <c r="O1072" s="1"/>
      <c r="P1072" s="1"/>
      <c r="Q1072" s="62"/>
      <c r="X1072">
        <v>2025</v>
      </c>
    </row>
    <row r="1073" spans="1:24" x14ac:dyDescent="0.25">
      <c r="A1073" t="s">
        <v>1724</v>
      </c>
      <c r="B1073" s="52">
        <v>45775</v>
      </c>
      <c r="C1073" t="s">
        <v>289</v>
      </c>
      <c r="D1073" t="s">
        <v>100</v>
      </c>
      <c r="E1073" t="s">
        <v>37</v>
      </c>
      <c r="F1073">
        <v>1200</v>
      </c>
      <c r="G1073">
        <v>2200</v>
      </c>
      <c r="H1073">
        <v>15</v>
      </c>
      <c r="I1073" s="1">
        <f t="shared" si="20"/>
        <v>39.6</v>
      </c>
      <c r="J1073" s="1">
        <v>434.12</v>
      </c>
      <c r="K1073" s="1">
        <v>1056</v>
      </c>
      <c r="L1073" s="1">
        <v>10576.61</v>
      </c>
      <c r="M1073" s="1" t="s">
        <v>149</v>
      </c>
      <c r="N1073" s="1"/>
      <c r="O1073" s="1"/>
      <c r="P1073" s="1"/>
      <c r="Q1073" s="62"/>
      <c r="X1073">
        <v>2025</v>
      </c>
    </row>
    <row r="1074" spans="1:24" x14ac:dyDescent="0.25">
      <c r="A1074" t="s">
        <v>1725</v>
      </c>
      <c r="B1074" s="52">
        <v>45784</v>
      </c>
      <c r="C1074" t="s">
        <v>1194</v>
      </c>
      <c r="D1074" t="s">
        <v>97</v>
      </c>
      <c r="E1074" t="s">
        <v>27</v>
      </c>
      <c r="F1074">
        <v>1000</v>
      </c>
      <c r="G1074">
        <v>1000</v>
      </c>
      <c r="H1074">
        <v>15</v>
      </c>
      <c r="I1074" s="1">
        <f t="shared" si="20"/>
        <v>15</v>
      </c>
      <c r="J1074" s="1">
        <v>343.7</v>
      </c>
      <c r="K1074" s="1">
        <v>1125</v>
      </c>
      <c r="L1074" s="1"/>
      <c r="M1074" s="1" t="s">
        <v>149</v>
      </c>
      <c r="N1074" s="1"/>
      <c r="O1074" s="1"/>
      <c r="P1074" s="1"/>
      <c r="Q1074" s="62"/>
      <c r="X1074">
        <v>2025</v>
      </c>
    </row>
    <row r="1075" spans="1:24" x14ac:dyDescent="0.25">
      <c r="A1075" t="s">
        <v>1726</v>
      </c>
      <c r="B1075" s="52">
        <v>45776</v>
      </c>
      <c r="C1075" t="s">
        <v>1727</v>
      </c>
      <c r="D1075" t="s">
        <v>176</v>
      </c>
      <c r="E1075" t="s">
        <v>27</v>
      </c>
      <c r="F1075">
        <v>1000</v>
      </c>
      <c r="G1075">
        <v>1000</v>
      </c>
      <c r="H1075">
        <v>5</v>
      </c>
      <c r="I1075" s="1">
        <f t="shared" si="20"/>
        <v>5</v>
      </c>
      <c r="J1075" s="1">
        <v>400</v>
      </c>
      <c r="K1075" s="1">
        <v>375</v>
      </c>
      <c r="L1075" s="1">
        <v>2500</v>
      </c>
      <c r="M1075" s="1" t="s">
        <v>149</v>
      </c>
      <c r="N1075" s="1"/>
      <c r="O1075" s="1"/>
      <c r="P1075" s="1"/>
      <c r="Q1075" s="62"/>
      <c r="X1075">
        <v>2025</v>
      </c>
    </row>
    <row r="1076" spans="1:24" x14ac:dyDescent="0.25">
      <c r="A1076" t="s">
        <v>1728</v>
      </c>
      <c r="B1076" s="52">
        <v>45777</v>
      </c>
      <c r="C1076" t="s">
        <v>255</v>
      </c>
      <c r="D1076" t="s">
        <v>256</v>
      </c>
      <c r="E1076" t="s">
        <v>32</v>
      </c>
      <c r="F1076">
        <v>2116</v>
      </c>
      <c r="G1076">
        <v>1442</v>
      </c>
      <c r="H1076">
        <v>7</v>
      </c>
      <c r="I1076" s="1">
        <f t="shared" si="20"/>
        <v>21.358903999999999</v>
      </c>
      <c r="J1076" s="1">
        <v>537.97</v>
      </c>
      <c r="K1076" s="1">
        <f>Table13[[#This Row],[Total sqm]]*50</f>
        <v>1067.9451999999999</v>
      </c>
      <c r="L1076" s="1">
        <v>12973.99</v>
      </c>
      <c r="M1076" s="1" t="s">
        <v>149</v>
      </c>
      <c r="N1076" s="1"/>
      <c r="O1076" s="1"/>
      <c r="P1076" s="1"/>
      <c r="Q1076" s="62"/>
      <c r="X1076">
        <v>2025</v>
      </c>
    </row>
    <row r="1077" spans="1:24" x14ac:dyDescent="0.25">
      <c r="A1077" t="s">
        <v>1729</v>
      </c>
      <c r="B1077" s="52">
        <v>45782</v>
      </c>
      <c r="C1077" t="s">
        <v>265</v>
      </c>
      <c r="D1077" t="s">
        <v>266</v>
      </c>
      <c r="E1077" t="s">
        <v>37</v>
      </c>
      <c r="F1077">
        <v>916</v>
      </c>
      <c r="G1077">
        <v>730</v>
      </c>
      <c r="H1077">
        <v>50</v>
      </c>
      <c r="I1077" s="1">
        <f t="shared" si="20"/>
        <v>33.433999999999997</v>
      </c>
      <c r="J1077" s="1">
        <v>347.44</v>
      </c>
      <c r="K1077" s="1">
        <f>Table13[[#This Row],[Total sqm]]*50</f>
        <v>1671.6999999999998</v>
      </c>
      <c r="L1077" s="29">
        <v>13596.62</v>
      </c>
      <c r="M1077" s="1" t="s">
        <v>449</v>
      </c>
      <c r="N1077" s="1" t="s">
        <v>149</v>
      </c>
      <c r="O1077" s="1"/>
      <c r="P1077" s="1"/>
      <c r="Q1077" s="62"/>
      <c r="X1077">
        <v>2025</v>
      </c>
    </row>
    <row r="1078" spans="1:24" x14ac:dyDescent="0.25">
      <c r="A1078" t="s">
        <v>1730</v>
      </c>
      <c r="B1078" s="52">
        <v>45782</v>
      </c>
      <c r="C1078" t="s">
        <v>265</v>
      </c>
      <c r="D1078" t="s">
        <v>266</v>
      </c>
      <c r="E1078" t="s">
        <v>37</v>
      </c>
      <c r="F1078">
        <v>916</v>
      </c>
      <c r="G1078">
        <v>730</v>
      </c>
      <c r="H1078">
        <v>4000</v>
      </c>
      <c r="I1078" s="1">
        <f t="shared" si="20"/>
        <v>2674.72</v>
      </c>
      <c r="J1078" s="1">
        <v>315.69</v>
      </c>
      <c r="K1078" s="1">
        <f>Table13[[#This Row],[Total sqm]]*25</f>
        <v>66868</v>
      </c>
      <c r="L1078" s="1">
        <f>Table13[[#This Row],[Eur /m2]]*Table13[[#This Row],[Total sqm]]+Table13[[#This Row],[F P H]]+2780</f>
        <v>914030.35679999995</v>
      </c>
      <c r="M1078" s="1" t="s">
        <v>449</v>
      </c>
      <c r="N1078" s="1" t="s">
        <v>149</v>
      </c>
      <c r="O1078" s="1"/>
      <c r="P1078" s="1"/>
      <c r="Q1078" s="62"/>
      <c r="X1078">
        <v>2025</v>
      </c>
    </row>
    <row r="1079" spans="1:24" x14ac:dyDescent="0.25">
      <c r="A1079" t="s">
        <v>1731</v>
      </c>
      <c r="B1079" s="52">
        <v>45782</v>
      </c>
      <c r="C1079" t="s">
        <v>265</v>
      </c>
      <c r="D1079" t="s">
        <v>266</v>
      </c>
      <c r="E1079" t="s">
        <v>37</v>
      </c>
      <c r="F1079">
        <v>916</v>
      </c>
      <c r="G1079">
        <v>730</v>
      </c>
      <c r="H1079">
        <v>4000</v>
      </c>
      <c r="I1079" s="1">
        <f t="shared" si="20"/>
        <v>2674.72</v>
      </c>
      <c r="J1079" s="1">
        <v>315.69</v>
      </c>
      <c r="K1079" s="1">
        <f>Table13[[#This Row],[Total sqm]]*25</f>
        <v>66868</v>
      </c>
      <c r="L1079" s="1">
        <v>745153.89</v>
      </c>
      <c r="M1079" s="1" t="s">
        <v>449</v>
      </c>
      <c r="N1079" s="1" t="s">
        <v>149</v>
      </c>
      <c r="O1079" s="1"/>
      <c r="P1079" s="1"/>
      <c r="Q1079" s="62"/>
      <c r="X1079">
        <v>2025</v>
      </c>
    </row>
    <row r="1080" spans="1:24" x14ac:dyDescent="0.25">
      <c r="A1080" t="s">
        <v>1732</v>
      </c>
      <c r="B1080" s="52">
        <v>45782</v>
      </c>
      <c r="C1080" t="s">
        <v>1733</v>
      </c>
      <c r="D1080" t="s">
        <v>263</v>
      </c>
      <c r="E1080" t="s">
        <v>37</v>
      </c>
      <c r="F1080">
        <v>1000</v>
      </c>
      <c r="G1080">
        <v>1000</v>
      </c>
      <c r="H1080">
        <v>5</v>
      </c>
      <c r="I1080" s="1">
        <f t="shared" si="20"/>
        <v>5</v>
      </c>
      <c r="J1080" s="1">
        <v>500</v>
      </c>
      <c r="K1080" s="1">
        <v>375</v>
      </c>
      <c r="L1080" s="1">
        <v>3000</v>
      </c>
      <c r="M1080" s="1" t="s">
        <v>149</v>
      </c>
      <c r="N1080" s="1"/>
      <c r="O1080" s="1"/>
      <c r="P1080" s="1"/>
      <c r="Q1080" s="62"/>
      <c r="X1080">
        <v>2025</v>
      </c>
    </row>
    <row r="1081" spans="1:24" x14ac:dyDescent="0.25">
      <c r="A1081" t="s">
        <v>1734</v>
      </c>
      <c r="B1081" s="52">
        <v>45783</v>
      </c>
      <c r="C1081" t="s">
        <v>255</v>
      </c>
      <c r="D1081" t="s">
        <v>256</v>
      </c>
      <c r="E1081" t="s">
        <v>32</v>
      </c>
      <c r="F1081">
        <v>2116</v>
      </c>
      <c r="G1081">
        <v>1442</v>
      </c>
      <c r="H1081">
        <v>5</v>
      </c>
      <c r="I1081" s="1">
        <f t="shared" si="20"/>
        <v>15.256360000000001</v>
      </c>
      <c r="J1081" s="1">
        <v>554.01</v>
      </c>
      <c r="K1081" s="1">
        <f>Table13[[#This Row],[Total sqm]]*75</f>
        <v>1144.2270000000001</v>
      </c>
      <c r="L1081" s="1">
        <v>9968.69</v>
      </c>
      <c r="M1081" s="1" t="s">
        <v>149</v>
      </c>
      <c r="N1081" s="1"/>
      <c r="O1081" s="1"/>
      <c r="P1081" s="1"/>
      <c r="Q1081" s="62"/>
      <c r="X1081">
        <v>2025</v>
      </c>
    </row>
    <row r="1082" spans="1:24" x14ac:dyDescent="0.25">
      <c r="A1082" t="s">
        <v>1735</v>
      </c>
      <c r="B1082" s="52">
        <v>45783</v>
      </c>
      <c r="C1082" t="s">
        <v>255</v>
      </c>
      <c r="D1082" t="s">
        <v>256</v>
      </c>
      <c r="E1082" t="s">
        <v>32</v>
      </c>
      <c r="F1082">
        <v>2116</v>
      </c>
      <c r="G1082">
        <v>1442</v>
      </c>
      <c r="H1082">
        <v>60</v>
      </c>
      <c r="I1082" s="1">
        <f t="shared" si="20"/>
        <v>183.07632000000001</v>
      </c>
      <c r="J1082" s="1">
        <v>444.03</v>
      </c>
      <c r="K1082" s="1">
        <f>Table13[[#This Row],[Total sqm]]*75</f>
        <v>13730.724</v>
      </c>
      <c r="L1082" s="1">
        <v>86450.01</v>
      </c>
      <c r="M1082" s="1" t="s">
        <v>149</v>
      </c>
      <c r="N1082" s="1"/>
      <c r="O1082" s="1"/>
      <c r="P1082" s="1"/>
      <c r="Q1082" s="62"/>
      <c r="X1082">
        <v>2025</v>
      </c>
    </row>
    <row r="1083" spans="1:24" x14ac:dyDescent="0.25">
      <c r="A1083" t="s">
        <v>1736</v>
      </c>
      <c r="B1083" s="52">
        <v>45784</v>
      </c>
      <c r="C1083" t="s">
        <v>1737</v>
      </c>
      <c r="D1083" t="s">
        <v>83</v>
      </c>
      <c r="E1083" t="s">
        <v>27</v>
      </c>
      <c r="F1083">
        <v>1000</v>
      </c>
      <c r="G1083">
        <v>1000</v>
      </c>
      <c r="H1083">
        <v>5</v>
      </c>
      <c r="I1083" s="1">
        <f t="shared" si="20"/>
        <v>5</v>
      </c>
      <c r="J1083" s="1">
        <v>400</v>
      </c>
      <c r="K1083" s="1">
        <v>375</v>
      </c>
      <c r="L1083" s="1">
        <v>2500</v>
      </c>
      <c r="M1083" s="1" t="s">
        <v>149</v>
      </c>
      <c r="N1083" s="1"/>
      <c r="O1083" s="1"/>
      <c r="P1083" s="1"/>
      <c r="Q1083" s="62"/>
      <c r="X1083">
        <v>2025</v>
      </c>
    </row>
    <row r="1084" spans="1:24" x14ac:dyDescent="0.25">
      <c r="A1084" t="s">
        <v>1738</v>
      </c>
      <c r="B1084" s="52">
        <v>45785</v>
      </c>
      <c r="C1084" t="s">
        <v>1737</v>
      </c>
      <c r="D1084" t="s">
        <v>83</v>
      </c>
      <c r="E1084" t="s">
        <v>37</v>
      </c>
      <c r="F1084">
        <v>1000</v>
      </c>
      <c r="G1084">
        <v>1000</v>
      </c>
      <c r="H1084">
        <v>5</v>
      </c>
      <c r="I1084" s="1">
        <f t="shared" si="20"/>
        <v>5</v>
      </c>
      <c r="J1084" s="1">
        <v>500</v>
      </c>
      <c r="K1084" s="1">
        <v>375</v>
      </c>
      <c r="L1084" s="1">
        <v>3000</v>
      </c>
      <c r="M1084" s="1" t="s">
        <v>149</v>
      </c>
      <c r="N1084" s="1"/>
      <c r="O1084" s="1"/>
      <c r="P1084" s="44" t="s">
        <v>149</v>
      </c>
      <c r="Q1084" s="62">
        <v>45785</v>
      </c>
      <c r="X1084">
        <v>2025</v>
      </c>
    </row>
    <row r="1085" spans="1:24" x14ac:dyDescent="0.25">
      <c r="A1085" t="s">
        <v>1739</v>
      </c>
      <c r="B1085" s="52">
        <v>45785</v>
      </c>
      <c r="C1085" t="s">
        <v>1741</v>
      </c>
      <c r="D1085" t="s">
        <v>100</v>
      </c>
      <c r="E1085" t="s">
        <v>37</v>
      </c>
      <c r="F1085">
        <v>1000</v>
      </c>
      <c r="G1085">
        <v>1000</v>
      </c>
      <c r="H1085">
        <v>5</v>
      </c>
      <c r="I1085" s="1">
        <f t="shared" si="20"/>
        <v>5</v>
      </c>
      <c r="J1085" s="1">
        <v>500</v>
      </c>
      <c r="K1085" s="1">
        <v>375</v>
      </c>
      <c r="L1085" s="1">
        <v>3000</v>
      </c>
      <c r="M1085" s="1" t="s">
        <v>149</v>
      </c>
      <c r="N1085" s="1"/>
      <c r="O1085" s="1"/>
      <c r="P1085" s="1"/>
      <c r="Q1085" s="62"/>
      <c r="X1085">
        <v>2025</v>
      </c>
    </row>
    <row r="1086" spans="1:24" x14ac:dyDescent="0.25">
      <c r="A1086" t="s">
        <v>1740</v>
      </c>
      <c r="B1086" s="52">
        <v>45785</v>
      </c>
      <c r="C1086" t="s">
        <v>1741</v>
      </c>
      <c r="D1086" t="s">
        <v>100</v>
      </c>
      <c r="E1086" t="s">
        <v>32</v>
      </c>
      <c r="F1086">
        <v>1000</v>
      </c>
      <c r="G1086">
        <v>1000</v>
      </c>
      <c r="H1086">
        <v>5</v>
      </c>
      <c r="I1086" s="1">
        <f t="shared" si="20"/>
        <v>5</v>
      </c>
      <c r="J1086" s="1">
        <v>600</v>
      </c>
      <c r="K1086" s="1">
        <v>375</v>
      </c>
      <c r="L1086" s="1">
        <v>3650</v>
      </c>
      <c r="M1086" s="1" t="s">
        <v>149</v>
      </c>
      <c r="N1086" s="1"/>
      <c r="O1086" s="1"/>
      <c r="P1086" s="1" t="s">
        <v>149</v>
      </c>
      <c r="Q1086" s="62">
        <v>45973</v>
      </c>
      <c r="S1086" t="s">
        <v>2040</v>
      </c>
      <c r="T1086" s="3">
        <v>45973</v>
      </c>
      <c r="U1086">
        <v>600</v>
      </c>
      <c r="V1086">
        <v>375</v>
      </c>
      <c r="W1086">
        <v>3650</v>
      </c>
      <c r="X1086">
        <v>2025</v>
      </c>
    </row>
    <row r="1087" spans="1:24" x14ac:dyDescent="0.25">
      <c r="A1087" t="s">
        <v>1742</v>
      </c>
      <c r="B1087" s="52" t="s">
        <v>1745</v>
      </c>
      <c r="C1087" t="s">
        <v>1744</v>
      </c>
      <c r="D1087" t="s">
        <v>46</v>
      </c>
      <c r="E1087" t="s">
        <v>27</v>
      </c>
      <c r="F1087">
        <v>2400</v>
      </c>
      <c r="G1087">
        <v>1500</v>
      </c>
      <c r="H1087">
        <v>170</v>
      </c>
      <c r="I1087" s="1">
        <f t="shared" si="20"/>
        <v>612</v>
      </c>
      <c r="J1087" s="1">
        <v>259.33</v>
      </c>
      <c r="K1087" s="1">
        <v>15300</v>
      </c>
      <c r="L1087" s="1">
        <v>174009.96</v>
      </c>
      <c r="M1087" s="1" t="s">
        <v>149</v>
      </c>
      <c r="N1087" s="1"/>
      <c r="O1087" s="1"/>
      <c r="P1087" s="1"/>
      <c r="Q1087" s="62"/>
      <c r="X1087">
        <v>2025</v>
      </c>
    </row>
    <row r="1088" spans="1:24" x14ac:dyDescent="0.25">
      <c r="A1088" t="s">
        <v>1743</v>
      </c>
      <c r="B1088" s="52" t="s">
        <v>1745</v>
      </c>
      <c r="C1088" t="s">
        <v>1744</v>
      </c>
      <c r="D1088" t="s">
        <v>46</v>
      </c>
      <c r="E1088" t="s">
        <v>32</v>
      </c>
      <c r="F1088">
        <v>2400</v>
      </c>
      <c r="G1088">
        <v>1500</v>
      </c>
      <c r="H1088">
        <v>170</v>
      </c>
      <c r="I1088" s="1">
        <f t="shared" si="20"/>
        <v>612</v>
      </c>
      <c r="J1088" s="1">
        <v>412.7</v>
      </c>
      <c r="K1088" s="1">
        <v>15300</v>
      </c>
      <c r="L1088" s="1">
        <v>267872.40000000002</v>
      </c>
      <c r="M1088" s="1" t="s">
        <v>149</v>
      </c>
      <c r="N1088" s="1"/>
      <c r="O1088" s="1"/>
      <c r="P1088" s="1"/>
      <c r="Q1088" s="62"/>
      <c r="X1088">
        <v>2025</v>
      </c>
    </row>
    <row r="1089" spans="1:24" x14ac:dyDescent="0.25">
      <c r="A1089" t="s">
        <v>1746</v>
      </c>
      <c r="B1089" s="52">
        <v>45792</v>
      </c>
      <c r="C1089" t="s">
        <v>1624</v>
      </c>
      <c r="D1089" t="s">
        <v>100</v>
      </c>
      <c r="E1089" t="s">
        <v>27</v>
      </c>
      <c r="F1089">
        <v>1020</v>
      </c>
      <c r="G1089">
        <v>1020</v>
      </c>
      <c r="H1089">
        <v>360</v>
      </c>
      <c r="I1089" s="1">
        <f t="shared" si="20"/>
        <v>374.54399999999998</v>
      </c>
      <c r="J1089" s="1">
        <v>266.25</v>
      </c>
      <c r="K1089" s="1">
        <v>9363.5</v>
      </c>
      <c r="L1089" s="1">
        <v>1099954.78</v>
      </c>
      <c r="M1089" s="1" t="s">
        <v>149</v>
      </c>
      <c r="N1089" s="1"/>
      <c r="O1089" s="1"/>
      <c r="P1089" s="1"/>
      <c r="Q1089" s="62"/>
      <c r="X1089">
        <v>2025</v>
      </c>
    </row>
    <row r="1090" spans="1:24" x14ac:dyDescent="0.25">
      <c r="A1090" t="s">
        <v>1747</v>
      </c>
      <c r="B1090" s="52">
        <v>45793</v>
      </c>
      <c r="C1090" t="s">
        <v>424</v>
      </c>
      <c r="D1090" t="s">
        <v>425</v>
      </c>
      <c r="E1090" t="s">
        <v>27</v>
      </c>
      <c r="F1090">
        <v>1000</v>
      </c>
      <c r="G1090">
        <v>1000</v>
      </c>
      <c r="H1090">
        <v>10</v>
      </c>
      <c r="I1090" s="1">
        <f t="shared" si="20"/>
        <v>10</v>
      </c>
      <c r="J1090" s="1">
        <v>356.92</v>
      </c>
      <c r="K1090" s="1">
        <v>750</v>
      </c>
      <c r="L1090" s="1">
        <v>4444.2</v>
      </c>
      <c r="M1090" s="1" t="s">
        <v>149</v>
      </c>
      <c r="N1090" s="1"/>
      <c r="O1090" s="1"/>
      <c r="P1090" s="1"/>
      <c r="Q1090" s="62"/>
      <c r="X1090">
        <v>2025</v>
      </c>
    </row>
    <row r="1091" spans="1:24" ht="30" x14ac:dyDescent="0.25">
      <c r="A1091" t="s">
        <v>1748</v>
      </c>
      <c r="B1091" s="52">
        <v>45793</v>
      </c>
      <c r="C1091" s="12" t="s">
        <v>1749</v>
      </c>
      <c r="D1091" t="s">
        <v>425</v>
      </c>
      <c r="E1091" t="s">
        <v>27</v>
      </c>
      <c r="F1091">
        <v>1000</v>
      </c>
      <c r="G1091">
        <v>1000</v>
      </c>
      <c r="H1091">
        <v>5</v>
      </c>
      <c r="I1091" s="1">
        <f t="shared" si="20"/>
        <v>5</v>
      </c>
      <c r="J1091" s="1">
        <v>400</v>
      </c>
      <c r="K1091" s="1">
        <v>375</v>
      </c>
      <c r="L1091" s="1">
        <v>2500</v>
      </c>
      <c r="M1091" s="1" t="s">
        <v>149</v>
      </c>
      <c r="N1091" s="1"/>
      <c r="O1091" s="1"/>
      <c r="P1091" s="1"/>
      <c r="Q1091" s="62"/>
      <c r="X1091">
        <v>2025</v>
      </c>
    </row>
    <row r="1092" spans="1:24" x14ac:dyDescent="0.25">
      <c r="A1092" t="s">
        <v>1750</v>
      </c>
      <c r="B1092" s="52" t="s">
        <v>1752</v>
      </c>
      <c r="C1092" t="s">
        <v>742</v>
      </c>
      <c r="D1092" t="s">
        <v>57</v>
      </c>
      <c r="E1092" t="s">
        <v>27</v>
      </c>
      <c r="F1092">
        <v>1000</v>
      </c>
      <c r="G1092">
        <v>1000</v>
      </c>
      <c r="H1092">
        <v>5</v>
      </c>
      <c r="I1092" s="1">
        <f t="shared" si="20"/>
        <v>5</v>
      </c>
      <c r="J1092" s="1">
        <v>270</v>
      </c>
      <c r="K1092" s="1">
        <v>375</v>
      </c>
      <c r="L1092" s="1">
        <f>Table13[[#This Row],[Eur /m2]]*Table13[[#This Row],[Total sqm]]+375+125</f>
        <v>1850</v>
      </c>
      <c r="M1092" s="1" t="s">
        <v>449</v>
      </c>
      <c r="N1092" s="1" t="s">
        <v>149</v>
      </c>
      <c r="O1092" s="1"/>
      <c r="P1092" s="44" t="s">
        <v>149</v>
      </c>
      <c r="Q1092" s="62">
        <v>45800</v>
      </c>
      <c r="X1092">
        <v>2025</v>
      </c>
    </row>
    <row r="1093" spans="1:24" x14ac:dyDescent="0.25">
      <c r="A1093" t="s">
        <v>1751</v>
      </c>
      <c r="B1093" s="52" t="s">
        <v>1752</v>
      </c>
      <c r="C1093" t="s">
        <v>742</v>
      </c>
      <c r="D1093" t="s">
        <v>57</v>
      </c>
      <c r="E1093" t="s">
        <v>32</v>
      </c>
      <c r="F1093">
        <v>1000</v>
      </c>
      <c r="G1093">
        <v>1000</v>
      </c>
      <c r="H1093">
        <v>5</v>
      </c>
      <c r="I1093" s="1">
        <f t="shared" si="20"/>
        <v>5</v>
      </c>
      <c r="J1093" s="1">
        <v>390</v>
      </c>
      <c r="K1093" s="1">
        <v>375</v>
      </c>
      <c r="L1093" s="1">
        <f>Table13[[#This Row],[Eur /m2]]*Table13[[#This Row],[Total sqm]]+375+275</f>
        <v>2600</v>
      </c>
      <c r="M1093" s="1" t="s">
        <v>449</v>
      </c>
      <c r="N1093" s="1" t="s">
        <v>149</v>
      </c>
      <c r="O1093" s="1"/>
      <c r="P1093" s="1"/>
      <c r="Q1093" s="62"/>
      <c r="X1093">
        <v>2025</v>
      </c>
    </row>
    <row r="1094" spans="1:24" x14ac:dyDescent="0.25">
      <c r="A1094" t="s">
        <v>1753</v>
      </c>
      <c r="B1094" s="52">
        <v>45797</v>
      </c>
      <c r="C1094" t="s">
        <v>514</v>
      </c>
      <c r="D1094" t="s">
        <v>157</v>
      </c>
      <c r="E1094" t="s">
        <v>37</v>
      </c>
      <c r="F1094">
        <v>850</v>
      </c>
      <c r="G1094">
        <v>850</v>
      </c>
      <c r="H1094">
        <v>150</v>
      </c>
      <c r="I1094" s="1">
        <f t="shared" si="20"/>
        <v>108.375</v>
      </c>
      <c r="J1094" s="1">
        <v>373.16</v>
      </c>
      <c r="K1094" s="1">
        <v>2709.5</v>
      </c>
      <c r="L1094" s="1">
        <v>43282.58</v>
      </c>
      <c r="M1094" s="1" t="s">
        <v>149</v>
      </c>
      <c r="N1094" s="1"/>
      <c r="O1094" s="1"/>
      <c r="P1094" s="1"/>
      <c r="Q1094" s="62"/>
      <c r="X1094">
        <v>2025</v>
      </c>
    </row>
    <row r="1095" spans="1:24" x14ac:dyDescent="0.25">
      <c r="A1095" t="s">
        <v>1754</v>
      </c>
      <c r="B1095" s="52" t="s">
        <v>1758</v>
      </c>
      <c r="C1095" t="s">
        <v>742</v>
      </c>
      <c r="D1095" t="s">
        <v>57</v>
      </c>
      <c r="E1095" t="s">
        <v>37</v>
      </c>
      <c r="F1095">
        <v>1000</v>
      </c>
      <c r="G1095">
        <v>1000</v>
      </c>
      <c r="H1095">
        <v>5</v>
      </c>
      <c r="I1095" s="1">
        <f t="shared" si="20"/>
        <v>5</v>
      </c>
      <c r="J1095" s="1">
        <v>325</v>
      </c>
      <c r="K1095" s="1">
        <v>375</v>
      </c>
      <c r="L1095" s="1">
        <f>Table13[[#This Row],[Eur /m2]]*Table13[[#This Row],[Total sqm]]+Table13[[#This Row],[F P H]]+275</f>
        <v>2275</v>
      </c>
      <c r="M1095" s="1" t="s">
        <v>449</v>
      </c>
      <c r="N1095" s="1" t="s">
        <v>149</v>
      </c>
      <c r="O1095" s="1"/>
      <c r="P1095" s="1"/>
      <c r="Q1095" s="62"/>
      <c r="X1095">
        <v>2025</v>
      </c>
    </row>
    <row r="1096" spans="1:24" x14ac:dyDescent="0.25">
      <c r="A1096" t="s">
        <v>1755</v>
      </c>
      <c r="B1096" s="52" t="s">
        <v>1758</v>
      </c>
      <c r="C1096" t="s">
        <v>742</v>
      </c>
      <c r="D1096" t="s">
        <v>57</v>
      </c>
      <c r="E1096" t="s">
        <v>32</v>
      </c>
      <c r="F1096">
        <v>1000</v>
      </c>
      <c r="G1096">
        <v>1000</v>
      </c>
      <c r="H1096">
        <v>110</v>
      </c>
      <c r="I1096" s="1">
        <f t="shared" si="20"/>
        <v>110</v>
      </c>
      <c r="J1096" s="1">
        <v>390</v>
      </c>
      <c r="K1096" s="1">
        <f>110*25</f>
        <v>2750</v>
      </c>
      <c r="L1096" s="1">
        <f>Table13[[#This Row],[Eur /m2]]*Table13[[#This Row],[Total sqm]]+2750</f>
        <v>45650</v>
      </c>
      <c r="M1096" s="1" t="s">
        <v>449</v>
      </c>
      <c r="N1096" s="1" t="s">
        <v>149</v>
      </c>
      <c r="O1096" s="1"/>
      <c r="P1096" s="1"/>
      <c r="Q1096" s="62"/>
      <c r="X1096">
        <v>2025</v>
      </c>
    </row>
    <row r="1097" spans="1:24" x14ac:dyDescent="0.25">
      <c r="A1097" t="s">
        <v>1756</v>
      </c>
      <c r="B1097" s="52" t="s">
        <v>1758</v>
      </c>
      <c r="C1097" t="s">
        <v>742</v>
      </c>
      <c r="D1097" t="s">
        <v>57</v>
      </c>
      <c r="E1097" t="s">
        <v>27</v>
      </c>
      <c r="F1097">
        <v>1000</v>
      </c>
      <c r="G1097">
        <v>1000</v>
      </c>
      <c r="H1097">
        <v>110</v>
      </c>
      <c r="I1097" s="1">
        <f t="shared" si="20"/>
        <v>110</v>
      </c>
      <c r="J1097" s="1">
        <v>270</v>
      </c>
      <c r="K1097" s="1">
        <v>2750</v>
      </c>
      <c r="L1097" s="1">
        <f>Table13[[#This Row],[Eur /m2]]*Table13[[#This Row],[Total sqm]]+2750</f>
        <v>32450</v>
      </c>
      <c r="M1097" s="1" t="s">
        <v>449</v>
      </c>
      <c r="N1097" s="1" t="s">
        <v>149</v>
      </c>
      <c r="O1097" s="1"/>
      <c r="P1097" s="1"/>
      <c r="Q1097" s="62"/>
      <c r="X1097">
        <v>2025</v>
      </c>
    </row>
    <row r="1098" spans="1:24" x14ac:dyDescent="0.25">
      <c r="A1098" t="s">
        <v>1757</v>
      </c>
      <c r="B1098" s="52" t="s">
        <v>1758</v>
      </c>
      <c r="C1098" t="s">
        <v>742</v>
      </c>
      <c r="D1098" t="s">
        <v>57</v>
      </c>
      <c r="E1098" t="s">
        <v>37</v>
      </c>
      <c r="F1098">
        <v>1000</v>
      </c>
      <c r="G1098">
        <v>1000</v>
      </c>
      <c r="H1098">
        <v>110</v>
      </c>
      <c r="I1098" s="1">
        <f t="shared" si="20"/>
        <v>110</v>
      </c>
      <c r="J1098" s="1">
        <v>325</v>
      </c>
      <c r="K1098" s="1">
        <v>2750</v>
      </c>
      <c r="L1098" s="1">
        <f>Table13[[#This Row],[Eur /m2]]*Table13[[#This Row],[Total sqm]]+2750</f>
        <v>38500</v>
      </c>
      <c r="M1098" s="1" t="s">
        <v>449</v>
      </c>
      <c r="N1098" s="1" t="s">
        <v>149</v>
      </c>
      <c r="O1098" s="1"/>
      <c r="P1098" s="1"/>
      <c r="Q1098" s="62"/>
      <c r="X1098">
        <v>2025</v>
      </c>
    </row>
    <row r="1099" spans="1:24" x14ac:dyDescent="0.25">
      <c r="A1099" t="s">
        <v>1759</v>
      </c>
      <c r="B1099" s="52">
        <v>45797</v>
      </c>
      <c r="C1099" t="s">
        <v>1760</v>
      </c>
      <c r="D1099" t="s">
        <v>83</v>
      </c>
      <c r="E1099" t="s">
        <v>37</v>
      </c>
      <c r="F1099">
        <v>1000</v>
      </c>
      <c r="G1099">
        <v>1000</v>
      </c>
      <c r="H1099">
        <v>5</v>
      </c>
      <c r="I1099" s="1">
        <f t="shared" si="20"/>
        <v>5</v>
      </c>
      <c r="J1099" s="1">
        <v>500</v>
      </c>
      <c r="K1099" s="1">
        <v>375</v>
      </c>
      <c r="L1099" s="1">
        <v>3000</v>
      </c>
      <c r="M1099" s="1" t="s">
        <v>149</v>
      </c>
      <c r="N1099" s="1"/>
      <c r="O1099" s="1"/>
      <c r="P1099" s="44" t="s">
        <v>149</v>
      </c>
      <c r="Q1099" s="62">
        <v>45825</v>
      </c>
      <c r="X1099">
        <v>2025</v>
      </c>
    </row>
    <row r="1100" spans="1:24" x14ac:dyDescent="0.25">
      <c r="A1100" t="s">
        <v>1772</v>
      </c>
      <c r="B1100" s="52">
        <v>45797</v>
      </c>
      <c r="C1100" t="s">
        <v>1469</v>
      </c>
      <c r="D1100" t="s">
        <v>263</v>
      </c>
      <c r="E1100" t="s">
        <v>32</v>
      </c>
      <c r="F1100">
        <v>1000</v>
      </c>
      <c r="G1100">
        <v>1000</v>
      </c>
      <c r="H1100">
        <v>5</v>
      </c>
      <c r="I1100" s="1">
        <f t="shared" si="20"/>
        <v>5</v>
      </c>
      <c r="J1100" s="1">
        <v>600</v>
      </c>
      <c r="K1100" s="1">
        <v>375</v>
      </c>
      <c r="L1100" s="1">
        <v>3650</v>
      </c>
      <c r="M1100" s="1" t="s">
        <v>149</v>
      </c>
      <c r="N1100" s="1"/>
      <c r="O1100" s="1"/>
      <c r="P1100" s="44" t="s">
        <v>149</v>
      </c>
      <c r="Q1100" s="62">
        <v>45803</v>
      </c>
      <c r="X1100">
        <v>2025</v>
      </c>
    </row>
    <row r="1101" spans="1:24" x14ac:dyDescent="0.25">
      <c r="A1101" t="s">
        <v>1761</v>
      </c>
      <c r="B1101" s="52">
        <v>45797</v>
      </c>
      <c r="C1101" t="s">
        <v>1762</v>
      </c>
      <c r="D1101" t="s">
        <v>46</v>
      </c>
      <c r="E1101" t="s">
        <v>37</v>
      </c>
      <c r="F1101">
        <v>1000</v>
      </c>
      <c r="G1101">
        <v>1000</v>
      </c>
      <c r="H1101">
        <v>10</v>
      </c>
      <c r="I1101" s="1">
        <f t="shared" si="20"/>
        <v>10</v>
      </c>
      <c r="J1101" s="1">
        <v>464</v>
      </c>
      <c r="K1101" s="1">
        <v>750</v>
      </c>
      <c r="L1101" s="1">
        <v>5615</v>
      </c>
      <c r="M1101" s="1" t="s">
        <v>149</v>
      </c>
      <c r="N1101" s="1"/>
      <c r="O1101" s="1"/>
      <c r="P1101" s="1"/>
      <c r="Q1101" s="62"/>
      <c r="X1101">
        <v>2025</v>
      </c>
    </row>
    <row r="1102" spans="1:24" x14ac:dyDescent="0.25">
      <c r="A1102" t="s">
        <v>1763</v>
      </c>
      <c r="B1102" s="52">
        <v>45799</v>
      </c>
      <c r="C1102" t="s">
        <v>514</v>
      </c>
      <c r="D1102" t="s">
        <v>157</v>
      </c>
      <c r="E1102" t="s">
        <v>37</v>
      </c>
      <c r="F1102">
        <v>900</v>
      </c>
      <c r="G1102">
        <v>900</v>
      </c>
      <c r="H1102">
        <v>150</v>
      </c>
      <c r="I1102" s="1">
        <f t="shared" si="20"/>
        <v>121.5</v>
      </c>
      <c r="J1102" s="1">
        <v>369.05</v>
      </c>
      <c r="K1102" s="1">
        <v>3037.5</v>
      </c>
      <c r="L1102" s="1">
        <v>48037.08</v>
      </c>
      <c r="M1102" s="1" t="s">
        <v>149</v>
      </c>
      <c r="N1102" s="1"/>
      <c r="O1102" s="1"/>
      <c r="P1102" s="1"/>
      <c r="Q1102" s="62"/>
      <c r="S1102" t="s">
        <v>1802</v>
      </c>
      <c r="T1102" s="3">
        <v>45819</v>
      </c>
      <c r="U1102">
        <v>369.05</v>
      </c>
      <c r="V1102">
        <v>3037.5</v>
      </c>
      <c r="W1102">
        <v>48037.08</v>
      </c>
      <c r="X1102">
        <v>2025</v>
      </c>
    </row>
    <row r="1103" spans="1:24" x14ac:dyDescent="0.25">
      <c r="A1103" t="s">
        <v>1764</v>
      </c>
      <c r="B1103" s="52">
        <v>45800</v>
      </c>
      <c r="C1103" t="s">
        <v>1767</v>
      </c>
      <c r="D1103" t="s">
        <v>187</v>
      </c>
      <c r="E1103" t="s">
        <v>27</v>
      </c>
      <c r="F1103">
        <v>1000</v>
      </c>
      <c r="G1103">
        <v>1000</v>
      </c>
      <c r="H1103">
        <v>5</v>
      </c>
      <c r="I1103" s="1">
        <f t="shared" si="20"/>
        <v>5</v>
      </c>
      <c r="J1103" s="1">
        <v>400</v>
      </c>
      <c r="K1103" s="1">
        <v>375</v>
      </c>
      <c r="L1103" s="1">
        <v>2500</v>
      </c>
      <c r="M1103" s="1" t="s">
        <v>149</v>
      </c>
      <c r="N1103" s="1"/>
      <c r="O1103" s="1"/>
      <c r="P1103" s="1"/>
      <c r="Q1103" s="62"/>
      <c r="X1103">
        <v>2025</v>
      </c>
    </row>
    <row r="1104" spans="1:24" x14ac:dyDescent="0.25">
      <c r="A1104" t="s">
        <v>1765</v>
      </c>
      <c r="B1104" s="52">
        <v>45800</v>
      </c>
      <c r="C1104" t="s">
        <v>1767</v>
      </c>
      <c r="D1104" t="s">
        <v>187</v>
      </c>
      <c r="E1104" t="s">
        <v>37</v>
      </c>
      <c r="F1104">
        <v>1000</v>
      </c>
      <c r="G1104">
        <v>1000</v>
      </c>
      <c r="H1104">
        <v>5</v>
      </c>
      <c r="I1104" s="1">
        <f t="shared" si="20"/>
        <v>5</v>
      </c>
      <c r="J1104" s="1">
        <v>500</v>
      </c>
      <c r="K1104" s="1">
        <v>375</v>
      </c>
      <c r="L1104" s="1">
        <v>3000</v>
      </c>
      <c r="M1104" s="1" t="s">
        <v>149</v>
      </c>
      <c r="N1104" s="1"/>
      <c r="O1104" s="1"/>
      <c r="P1104" s="1"/>
      <c r="Q1104" s="62"/>
      <c r="X1104">
        <v>2025</v>
      </c>
    </row>
    <row r="1105" spans="1:24" x14ac:dyDescent="0.25">
      <c r="A1105" t="s">
        <v>1766</v>
      </c>
      <c r="B1105" s="52">
        <v>45800</v>
      </c>
      <c r="C1105" t="s">
        <v>1767</v>
      </c>
      <c r="D1105" t="s">
        <v>187</v>
      </c>
      <c r="E1105" t="s">
        <v>32</v>
      </c>
      <c r="F1105">
        <v>1000</v>
      </c>
      <c r="G1105">
        <v>1000</v>
      </c>
      <c r="H1105">
        <v>5</v>
      </c>
      <c r="I1105" s="1">
        <f t="shared" si="20"/>
        <v>5</v>
      </c>
      <c r="J1105" s="1">
        <v>600</v>
      </c>
      <c r="K1105" s="1">
        <v>375</v>
      </c>
      <c r="L1105" s="1">
        <v>3650</v>
      </c>
      <c r="M1105" s="1" t="s">
        <v>149</v>
      </c>
      <c r="N1105" s="1"/>
      <c r="O1105" s="1"/>
      <c r="P1105" s="1"/>
      <c r="Q1105" s="62"/>
      <c r="X1105">
        <v>2025</v>
      </c>
    </row>
    <row r="1106" spans="1:24" x14ac:dyDescent="0.25">
      <c r="A1106" t="s">
        <v>1768</v>
      </c>
      <c r="B1106" s="52">
        <v>45800</v>
      </c>
      <c r="C1106" t="s">
        <v>1236</v>
      </c>
      <c r="D1106" t="s">
        <v>100</v>
      </c>
      <c r="E1106" t="s">
        <v>37</v>
      </c>
      <c r="F1106">
        <v>600</v>
      </c>
      <c r="G1106">
        <v>600</v>
      </c>
      <c r="H1106">
        <v>110</v>
      </c>
      <c r="I1106" s="1">
        <f t="shared" si="20"/>
        <v>39.6</v>
      </c>
      <c r="J1106" s="1">
        <v>399.94</v>
      </c>
      <c r="K1106" s="1">
        <v>1980</v>
      </c>
      <c r="L1106" s="1">
        <v>18022.8</v>
      </c>
      <c r="M1106" s="1" t="s">
        <v>149</v>
      </c>
      <c r="N1106" s="1"/>
      <c r="O1106" s="1"/>
      <c r="P1106" s="44" t="s">
        <v>149</v>
      </c>
      <c r="Q1106" s="62">
        <v>45818</v>
      </c>
      <c r="S1106" s="4" t="s">
        <v>1769</v>
      </c>
      <c r="X1106">
        <v>2025</v>
      </c>
    </row>
    <row r="1107" spans="1:24" x14ac:dyDescent="0.25">
      <c r="A1107" t="s">
        <v>1770</v>
      </c>
      <c r="B1107" s="52">
        <v>45805</v>
      </c>
      <c r="C1107" t="s">
        <v>1771</v>
      </c>
      <c r="D1107" t="s">
        <v>46</v>
      </c>
      <c r="E1107" t="s">
        <v>27</v>
      </c>
      <c r="F1107">
        <v>1236</v>
      </c>
      <c r="G1107">
        <v>1236</v>
      </c>
      <c r="H1107">
        <v>14</v>
      </c>
      <c r="I1107" s="1">
        <f t="shared" si="20"/>
        <v>21.387744000000001</v>
      </c>
      <c r="J1107" s="1">
        <v>333.22</v>
      </c>
      <c r="K1107" s="1">
        <v>1069.5</v>
      </c>
      <c r="L1107" s="1">
        <v>8197.08</v>
      </c>
      <c r="M1107" s="1" t="s">
        <v>149</v>
      </c>
      <c r="N1107" s="1"/>
      <c r="O1107" s="1"/>
      <c r="P1107" s="1"/>
      <c r="Q1107" s="62"/>
      <c r="X1107">
        <v>2025</v>
      </c>
    </row>
    <row r="1108" spans="1:24" x14ac:dyDescent="0.25">
      <c r="A1108" t="s">
        <v>1773</v>
      </c>
      <c r="B1108" s="52">
        <v>45804</v>
      </c>
      <c r="C1108" t="s">
        <v>1704</v>
      </c>
      <c r="D1108" t="s">
        <v>57</v>
      </c>
      <c r="E1108" t="s">
        <v>27</v>
      </c>
      <c r="F1108">
        <v>554</v>
      </c>
      <c r="G1108">
        <v>554</v>
      </c>
      <c r="H1108">
        <v>260</v>
      </c>
      <c r="I1108" s="1">
        <f t="shared" si="20"/>
        <v>79.798159999999996</v>
      </c>
      <c r="J1108" s="1">
        <v>292.51</v>
      </c>
      <c r="K1108" s="1">
        <v>3990</v>
      </c>
      <c r="L1108" s="1">
        <v>28100</v>
      </c>
      <c r="M1108" s="1" t="s">
        <v>149</v>
      </c>
      <c r="N1108" s="1"/>
      <c r="O1108" s="1"/>
      <c r="P1108" s="1"/>
      <c r="Q1108" s="62"/>
      <c r="X1108">
        <v>2025</v>
      </c>
    </row>
    <row r="1109" spans="1:24" x14ac:dyDescent="0.25">
      <c r="A1109" t="s">
        <v>1774</v>
      </c>
      <c r="B1109" s="52">
        <v>45805</v>
      </c>
      <c r="C1109" t="s">
        <v>1771</v>
      </c>
      <c r="D1109" t="s">
        <v>46</v>
      </c>
      <c r="E1109" t="s">
        <v>27</v>
      </c>
      <c r="F1109">
        <v>574</v>
      </c>
      <c r="G1109">
        <v>574</v>
      </c>
      <c r="H1109">
        <v>65</v>
      </c>
      <c r="I1109" s="1">
        <f t="shared" si="20"/>
        <v>21.415939999999999</v>
      </c>
      <c r="J1109" s="1">
        <v>333.15</v>
      </c>
      <c r="K1109" s="1">
        <v>1071</v>
      </c>
      <c r="L1109" s="1">
        <v>8207.07</v>
      </c>
      <c r="M1109" s="1" t="s">
        <v>149</v>
      </c>
      <c r="N1109" s="1"/>
      <c r="O1109" s="1"/>
      <c r="P1109" s="1"/>
      <c r="Q1109" s="62"/>
      <c r="X1109">
        <v>2025</v>
      </c>
    </row>
    <row r="1110" spans="1:24" x14ac:dyDescent="0.25">
      <c r="A1110" t="s">
        <v>1775</v>
      </c>
      <c r="B1110" s="52">
        <v>45805</v>
      </c>
      <c r="C1110" t="s">
        <v>1778</v>
      </c>
      <c r="D1110" t="s">
        <v>100</v>
      </c>
      <c r="E1110" t="s">
        <v>27</v>
      </c>
      <c r="F1110">
        <v>1000</v>
      </c>
      <c r="G1110">
        <v>1000</v>
      </c>
      <c r="H1110">
        <v>5</v>
      </c>
      <c r="I1110" s="1">
        <f t="shared" si="20"/>
        <v>5</v>
      </c>
      <c r="J1110" s="1">
        <v>400</v>
      </c>
      <c r="K1110" s="1">
        <v>375</v>
      </c>
      <c r="L1110" s="1">
        <v>2500</v>
      </c>
      <c r="M1110" s="1" t="s">
        <v>149</v>
      </c>
      <c r="N1110" s="1"/>
      <c r="O1110" s="1"/>
      <c r="P1110" s="1"/>
      <c r="Q1110" s="62"/>
      <c r="X1110">
        <v>2025</v>
      </c>
    </row>
    <row r="1111" spans="1:24" x14ac:dyDescent="0.25">
      <c r="A1111" t="s">
        <v>1776</v>
      </c>
      <c r="B1111" s="52">
        <v>45805</v>
      </c>
      <c r="C1111" t="s">
        <v>1778</v>
      </c>
      <c r="D1111" t="s">
        <v>100</v>
      </c>
      <c r="E1111" t="s">
        <v>37</v>
      </c>
      <c r="F1111">
        <v>1000</v>
      </c>
      <c r="G1111">
        <v>1000</v>
      </c>
      <c r="H1111">
        <v>5</v>
      </c>
      <c r="I1111" s="1">
        <f t="shared" si="20"/>
        <v>5</v>
      </c>
      <c r="J1111" s="1">
        <v>500</v>
      </c>
      <c r="K1111" s="1">
        <v>375</v>
      </c>
      <c r="L1111" s="1">
        <v>3000</v>
      </c>
      <c r="M1111" s="1" t="s">
        <v>149</v>
      </c>
      <c r="N1111" s="1"/>
      <c r="O1111" s="1"/>
      <c r="P1111" s="1"/>
      <c r="Q1111" s="62"/>
      <c r="X1111">
        <v>2025</v>
      </c>
    </row>
    <row r="1112" spans="1:24" x14ac:dyDescent="0.25">
      <c r="A1112" t="s">
        <v>1777</v>
      </c>
      <c r="B1112" s="52">
        <v>45805</v>
      </c>
      <c r="C1112" t="s">
        <v>1778</v>
      </c>
      <c r="D1112" t="s">
        <v>100</v>
      </c>
      <c r="E1112" t="s">
        <v>32</v>
      </c>
      <c r="F1112">
        <v>1000</v>
      </c>
      <c r="G1112">
        <v>1000</v>
      </c>
      <c r="H1112">
        <v>5</v>
      </c>
      <c r="I1112" s="1">
        <f t="shared" si="20"/>
        <v>5</v>
      </c>
      <c r="J1112" s="1">
        <v>600</v>
      </c>
      <c r="K1112" s="1">
        <v>375</v>
      </c>
      <c r="L1112" s="1">
        <v>3650</v>
      </c>
      <c r="M1112" s="1" t="s">
        <v>149</v>
      </c>
      <c r="N1112" s="1"/>
      <c r="O1112" s="1"/>
      <c r="P1112" s="1"/>
      <c r="Q1112" s="62"/>
      <c r="X1112">
        <v>2025</v>
      </c>
    </row>
    <row r="1113" spans="1:24" x14ac:dyDescent="0.25">
      <c r="A1113" t="s">
        <v>1779</v>
      </c>
      <c r="B1113" s="52">
        <v>45805</v>
      </c>
      <c r="C1113" t="s">
        <v>1780</v>
      </c>
      <c r="D1113" t="s">
        <v>46</v>
      </c>
      <c r="E1113" t="s">
        <v>27</v>
      </c>
      <c r="F1113">
        <v>1000</v>
      </c>
      <c r="G1113">
        <v>1000</v>
      </c>
      <c r="H1113">
        <v>20</v>
      </c>
      <c r="I1113" s="1">
        <f t="shared" si="20"/>
        <v>20</v>
      </c>
      <c r="J1113" s="1">
        <v>337.09</v>
      </c>
      <c r="K1113" s="1">
        <f>75*20</f>
        <v>1500</v>
      </c>
      <c r="L1113" s="1">
        <v>8391.7999999999993</v>
      </c>
      <c r="M1113" s="1" t="s">
        <v>149</v>
      </c>
      <c r="N1113" s="1"/>
      <c r="O1113" s="1"/>
      <c r="P1113" s="1"/>
      <c r="Q1113" s="62"/>
      <c r="X1113">
        <v>2025</v>
      </c>
    </row>
    <row r="1114" spans="1:24" x14ac:dyDescent="0.25">
      <c r="A1114" t="s">
        <v>1781</v>
      </c>
      <c r="B1114" s="52">
        <v>45805</v>
      </c>
      <c r="C1114" t="s">
        <v>1236</v>
      </c>
      <c r="D1114" t="s">
        <v>100</v>
      </c>
      <c r="E1114" t="s">
        <v>37</v>
      </c>
      <c r="F1114">
        <v>1005</v>
      </c>
      <c r="G1114">
        <v>715</v>
      </c>
      <c r="H1114">
        <v>230</v>
      </c>
      <c r="I1114" s="1">
        <f t="shared" si="20"/>
        <v>165.27225000000001</v>
      </c>
      <c r="J1114" s="1">
        <v>357.35</v>
      </c>
      <c r="K1114" s="1">
        <v>4131.75</v>
      </c>
      <c r="L1114" s="1">
        <v>63792.85</v>
      </c>
      <c r="M1114" s="1" t="s">
        <v>449</v>
      </c>
      <c r="N1114" s="1" t="s">
        <v>149</v>
      </c>
      <c r="O1114" s="1"/>
      <c r="P1114" s="44" t="s">
        <v>149</v>
      </c>
      <c r="Q1114" s="62">
        <v>45819</v>
      </c>
      <c r="X1114">
        <v>2025</v>
      </c>
    </row>
    <row r="1115" spans="1:24" x14ac:dyDescent="0.25">
      <c r="A1115" t="s">
        <v>1782</v>
      </c>
      <c r="B1115" s="52">
        <v>45805</v>
      </c>
      <c r="C1115" s="12" t="s">
        <v>1783</v>
      </c>
      <c r="D1115" t="s">
        <v>83</v>
      </c>
      <c r="E1115" t="s">
        <v>32</v>
      </c>
      <c r="F1115">
        <v>1000</v>
      </c>
      <c r="G1115">
        <v>1000</v>
      </c>
      <c r="H1115">
        <v>5</v>
      </c>
      <c r="I1115" s="1">
        <f t="shared" si="20"/>
        <v>5</v>
      </c>
      <c r="J1115" s="1">
        <v>600</v>
      </c>
      <c r="K1115" s="1">
        <v>375</v>
      </c>
      <c r="L1115" s="1">
        <v>3650</v>
      </c>
      <c r="M1115" s="1" t="s">
        <v>149</v>
      </c>
      <c r="N1115" s="1"/>
      <c r="O1115" s="1"/>
      <c r="P1115" s="1"/>
      <c r="Q1115" s="62"/>
      <c r="X1115">
        <v>2025</v>
      </c>
    </row>
    <row r="1116" spans="1:24" x14ac:dyDescent="0.25">
      <c r="A1116" t="s">
        <v>1784</v>
      </c>
      <c r="B1116" s="52">
        <v>45805</v>
      </c>
      <c r="C1116" t="s">
        <v>1785</v>
      </c>
      <c r="D1116" t="s">
        <v>31</v>
      </c>
      <c r="E1116" t="s">
        <v>27</v>
      </c>
      <c r="F1116">
        <v>631</v>
      </c>
      <c r="G1116">
        <v>631</v>
      </c>
      <c r="H1116">
        <v>220</v>
      </c>
      <c r="I1116" s="1">
        <f t="shared" si="20"/>
        <v>87.595420000000004</v>
      </c>
      <c r="J1116" s="1">
        <v>291.19</v>
      </c>
      <c r="K1116" s="1">
        <v>2500</v>
      </c>
      <c r="L1116" s="1">
        <v>28005.33</v>
      </c>
      <c r="M1116" s="1" t="s">
        <v>149</v>
      </c>
      <c r="N1116" s="1"/>
      <c r="O1116" s="1"/>
      <c r="P1116" s="44" t="s">
        <v>149</v>
      </c>
      <c r="Q1116" s="62">
        <v>45821</v>
      </c>
      <c r="X1116">
        <v>2025</v>
      </c>
    </row>
    <row r="1117" spans="1:24" x14ac:dyDescent="0.25">
      <c r="A1117" t="s">
        <v>1786</v>
      </c>
      <c r="B1117" s="52">
        <v>45807</v>
      </c>
      <c r="C1117" t="s">
        <v>255</v>
      </c>
      <c r="D1117" t="s">
        <v>256</v>
      </c>
      <c r="E1117" t="s">
        <v>32</v>
      </c>
      <c r="F1117">
        <v>2116</v>
      </c>
      <c r="G1117">
        <v>1442</v>
      </c>
      <c r="H1117">
        <v>600</v>
      </c>
      <c r="I1117" s="1">
        <f t="shared" si="20"/>
        <v>1830.7632000000001</v>
      </c>
      <c r="J1117" s="1">
        <v>372.32</v>
      </c>
      <c r="K1117" s="1">
        <v>45769</v>
      </c>
      <c r="L1117" s="1">
        <v>727397.56</v>
      </c>
      <c r="M1117" s="1" t="s">
        <v>149</v>
      </c>
      <c r="N1117" s="1"/>
      <c r="O1117" s="1" t="s">
        <v>33</v>
      </c>
      <c r="P1117" s="1"/>
      <c r="Q1117" s="62"/>
      <c r="X1117">
        <v>2025</v>
      </c>
    </row>
    <row r="1118" spans="1:24" x14ac:dyDescent="0.25">
      <c r="A1118" t="s">
        <v>1787</v>
      </c>
      <c r="B1118" s="52">
        <v>45811</v>
      </c>
      <c r="C1118" t="s">
        <v>1469</v>
      </c>
      <c r="D1118" t="s">
        <v>263</v>
      </c>
      <c r="E1118" t="s">
        <v>32</v>
      </c>
      <c r="F1118">
        <v>1000</v>
      </c>
      <c r="G1118">
        <v>1000</v>
      </c>
      <c r="H1118">
        <v>20</v>
      </c>
      <c r="I1118" s="1">
        <f t="shared" si="20"/>
        <v>20</v>
      </c>
      <c r="J1118" s="1">
        <v>544.08000000000004</v>
      </c>
      <c r="K1118" s="1">
        <v>1500</v>
      </c>
      <c r="L1118" s="1">
        <f>Table13[[#This Row],[Eur /m2]]*Table13[[#This Row],[Total sqm]]+Table13[[#This Row],[F P H]]+420</f>
        <v>12801.6</v>
      </c>
      <c r="M1118" s="1" t="s">
        <v>149</v>
      </c>
      <c r="N1118" s="1"/>
      <c r="O1118" s="1"/>
      <c r="P1118" s="44" t="s">
        <v>149</v>
      </c>
      <c r="Q1118" s="62">
        <v>45812</v>
      </c>
      <c r="X1118">
        <v>2025</v>
      </c>
    </row>
    <row r="1119" spans="1:24" x14ac:dyDescent="0.25">
      <c r="A1119" t="s">
        <v>1788</v>
      </c>
      <c r="B1119" s="52">
        <v>45812</v>
      </c>
      <c r="C1119" t="s">
        <v>1789</v>
      </c>
      <c r="D1119" t="s">
        <v>46</v>
      </c>
      <c r="E1119" t="s">
        <v>27</v>
      </c>
      <c r="F1119">
        <v>1000</v>
      </c>
      <c r="G1119">
        <v>1000</v>
      </c>
      <c r="H1119">
        <v>10</v>
      </c>
      <c r="I1119" s="1">
        <f t="shared" si="20"/>
        <v>10</v>
      </c>
      <c r="J1119" s="1">
        <v>356.92</v>
      </c>
      <c r="K1119" s="1">
        <v>750</v>
      </c>
      <c r="L1119" s="1">
        <v>4544.2</v>
      </c>
      <c r="M1119" s="1" t="s">
        <v>149</v>
      </c>
      <c r="N1119" s="1"/>
      <c r="O1119" s="1"/>
      <c r="P1119" s="1"/>
      <c r="Q1119" s="62"/>
      <c r="X1119">
        <v>2025</v>
      </c>
    </row>
    <row r="1120" spans="1:24" x14ac:dyDescent="0.25">
      <c r="A1120" t="s">
        <v>1790</v>
      </c>
      <c r="B1120" s="52">
        <v>45812</v>
      </c>
      <c r="C1120" t="s">
        <v>1783</v>
      </c>
      <c r="D1120" t="s">
        <v>83</v>
      </c>
      <c r="E1120" t="s">
        <v>27</v>
      </c>
      <c r="F1120">
        <v>1000</v>
      </c>
      <c r="G1120">
        <v>1000</v>
      </c>
      <c r="H1120">
        <v>5</v>
      </c>
      <c r="I1120" s="1">
        <f t="shared" si="20"/>
        <v>5</v>
      </c>
      <c r="J1120" s="1">
        <v>400</v>
      </c>
      <c r="K1120" s="1">
        <v>375</v>
      </c>
      <c r="L1120" s="1">
        <v>2500</v>
      </c>
      <c r="M1120" s="1" t="s">
        <v>149</v>
      </c>
      <c r="N1120" s="1"/>
      <c r="O1120" s="1"/>
      <c r="P1120" s="1"/>
      <c r="Q1120" s="62"/>
      <c r="X1120">
        <v>2025</v>
      </c>
    </row>
    <row r="1121" spans="1:24" x14ac:dyDescent="0.25">
      <c r="A1121" t="s">
        <v>1792</v>
      </c>
      <c r="B1121" s="52" t="s">
        <v>1794</v>
      </c>
      <c r="C1121" t="s">
        <v>1791</v>
      </c>
      <c r="D1121" t="s">
        <v>46</v>
      </c>
      <c r="E1121" t="s">
        <v>27</v>
      </c>
      <c r="F1121">
        <v>930</v>
      </c>
      <c r="G1121">
        <v>930</v>
      </c>
      <c r="H1121">
        <v>145</v>
      </c>
      <c r="I1121" s="1">
        <f t="shared" si="20"/>
        <v>125.4105</v>
      </c>
      <c r="J1121" s="1">
        <v>270</v>
      </c>
      <c r="K1121" s="1">
        <v>3135.25</v>
      </c>
      <c r="L1121" s="1">
        <v>36995.949999999997</v>
      </c>
      <c r="M1121" s="1" t="s">
        <v>449</v>
      </c>
      <c r="N1121" s="1" t="s">
        <v>149</v>
      </c>
      <c r="O1121" s="1"/>
      <c r="P1121" s="1"/>
      <c r="Q1121" s="62"/>
      <c r="X1121">
        <v>2025</v>
      </c>
    </row>
    <row r="1122" spans="1:24" x14ac:dyDescent="0.25">
      <c r="A1122" t="s">
        <v>1793</v>
      </c>
      <c r="B1122" s="52" t="s">
        <v>1794</v>
      </c>
      <c r="C1122" t="s">
        <v>1791</v>
      </c>
      <c r="D1122" t="s">
        <v>46</v>
      </c>
      <c r="E1122" t="s">
        <v>37</v>
      </c>
      <c r="F1122">
        <v>930</v>
      </c>
      <c r="G1122">
        <v>930</v>
      </c>
      <c r="H1122">
        <v>145</v>
      </c>
      <c r="I1122" s="1">
        <f t="shared" si="20"/>
        <v>125.4105</v>
      </c>
      <c r="J1122" s="1">
        <v>368</v>
      </c>
      <c r="K1122" s="1">
        <v>3135.25</v>
      </c>
      <c r="L1122" s="1">
        <v>49286.13</v>
      </c>
      <c r="M1122" s="1" t="s">
        <v>149</v>
      </c>
      <c r="N1122" s="1"/>
      <c r="O1122" s="1"/>
      <c r="P1122" s="1"/>
      <c r="Q1122" s="62"/>
      <c r="X1122">
        <v>2025</v>
      </c>
    </row>
    <row r="1123" spans="1:24" x14ac:dyDescent="0.25">
      <c r="A1123" t="s">
        <v>1795</v>
      </c>
      <c r="B1123" s="52">
        <v>45813</v>
      </c>
      <c r="C1123" t="s">
        <v>1827</v>
      </c>
      <c r="D1123" t="s">
        <v>31</v>
      </c>
      <c r="E1123" t="s">
        <v>37</v>
      </c>
      <c r="F1123">
        <v>1000</v>
      </c>
      <c r="G1123">
        <v>1000</v>
      </c>
      <c r="H1123">
        <v>5</v>
      </c>
      <c r="I1123" s="1">
        <f t="shared" si="20"/>
        <v>5</v>
      </c>
      <c r="J1123" s="1">
        <v>500</v>
      </c>
      <c r="K1123" s="1">
        <v>375</v>
      </c>
      <c r="L1123" s="1">
        <v>2950</v>
      </c>
      <c r="M1123" s="1" t="s">
        <v>149</v>
      </c>
      <c r="N1123" s="1"/>
      <c r="O1123" s="1"/>
      <c r="P1123" s="44" t="s">
        <v>149</v>
      </c>
      <c r="Q1123" s="62">
        <v>45831</v>
      </c>
      <c r="X1123">
        <v>2025</v>
      </c>
    </row>
    <row r="1124" spans="1:24" x14ac:dyDescent="0.25">
      <c r="A1124" t="s">
        <v>1796</v>
      </c>
      <c r="B1124" s="52">
        <v>45818</v>
      </c>
      <c r="C1124" t="s">
        <v>1223</v>
      </c>
      <c r="D1124" t="s">
        <v>31</v>
      </c>
      <c r="E1124" t="s">
        <v>27</v>
      </c>
      <c r="F1124">
        <v>1405</v>
      </c>
      <c r="G1124">
        <v>1224</v>
      </c>
      <c r="H1124">
        <v>15</v>
      </c>
      <c r="I1124" s="1">
        <f t="shared" si="20"/>
        <v>25.7958</v>
      </c>
      <c r="J1124" s="1">
        <v>323.72000000000003</v>
      </c>
      <c r="K1124" s="1">
        <v>1290</v>
      </c>
      <c r="L1124" s="1">
        <v>9721.98</v>
      </c>
      <c r="M1124" s="1" t="s">
        <v>149</v>
      </c>
      <c r="N1124" s="1"/>
      <c r="O1124" s="1"/>
      <c r="P1124" s="1"/>
      <c r="Q1124" s="62"/>
      <c r="X1124">
        <v>2025</v>
      </c>
    </row>
    <row r="1125" spans="1:24" x14ac:dyDescent="0.25">
      <c r="A1125" t="s">
        <v>1797</v>
      </c>
      <c r="B1125" s="52">
        <v>45818</v>
      </c>
      <c r="C1125" t="s">
        <v>1166</v>
      </c>
      <c r="D1125" t="s">
        <v>100</v>
      </c>
      <c r="E1125" t="s">
        <v>32</v>
      </c>
      <c r="F1125">
        <v>500</v>
      </c>
      <c r="G1125">
        <v>500</v>
      </c>
      <c r="H1125">
        <v>80</v>
      </c>
      <c r="I1125" s="1">
        <f t="shared" si="20"/>
        <v>20</v>
      </c>
      <c r="J1125" s="1">
        <v>544.08000000000004</v>
      </c>
      <c r="K1125" s="1">
        <v>1500</v>
      </c>
      <c r="L1125" s="1">
        <v>12531.6</v>
      </c>
      <c r="M1125" s="1" t="s">
        <v>149</v>
      </c>
      <c r="N1125" s="1"/>
      <c r="O1125" s="1"/>
      <c r="P1125" s="44" t="s">
        <v>149</v>
      </c>
      <c r="Q1125" s="62">
        <v>45833</v>
      </c>
      <c r="X1125">
        <v>2025</v>
      </c>
    </row>
    <row r="1126" spans="1:24" x14ac:dyDescent="0.25">
      <c r="A1126" t="s">
        <v>1798</v>
      </c>
      <c r="B1126" s="52">
        <v>45818</v>
      </c>
      <c r="C1126" t="s">
        <v>1801</v>
      </c>
      <c r="D1126" t="s">
        <v>1135</v>
      </c>
      <c r="E1126" t="s">
        <v>27</v>
      </c>
      <c r="F1126">
        <v>1000</v>
      </c>
      <c r="G1126">
        <v>1000</v>
      </c>
      <c r="H1126">
        <v>5</v>
      </c>
      <c r="I1126" s="1">
        <f t="shared" si="20"/>
        <v>5</v>
      </c>
      <c r="J1126" s="1">
        <v>400</v>
      </c>
      <c r="K1126" s="1">
        <v>375</v>
      </c>
      <c r="L1126" s="1">
        <v>2450</v>
      </c>
      <c r="M1126" s="1" t="s">
        <v>149</v>
      </c>
      <c r="N1126" s="1"/>
      <c r="O1126" s="1"/>
      <c r="P1126" s="44" t="s">
        <v>149</v>
      </c>
      <c r="Q1126" s="62">
        <v>45819</v>
      </c>
      <c r="S1126" t="s">
        <v>1806</v>
      </c>
      <c r="T1126" s="3">
        <v>45819</v>
      </c>
      <c r="U1126">
        <v>356.92</v>
      </c>
      <c r="V1126">
        <v>750</v>
      </c>
      <c r="W1126">
        <v>4444.2</v>
      </c>
      <c r="X1126">
        <v>2025</v>
      </c>
    </row>
    <row r="1127" spans="1:24" x14ac:dyDescent="0.25">
      <c r="A1127" t="s">
        <v>1799</v>
      </c>
      <c r="B1127" s="52">
        <v>45818</v>
      </c>
      <c r="C1127" t="s">
        <v>1801</v>
      </c>
      <c r="D1127" t="s">
        <v>1135</v>
      </c>
      <c r="E1127" t="s">
        <v>37</v>
      </c>
      <c r="F1127">
        <v>1000</v>
      </c>
      <c r="G1127">
        <v>1000</v>
      </c>
      <c r="H1127">
        <v>5</v>
      </c>
      <c r="I1127" s="1">
        <f t="shared" si="20"/>
        <v>5</v>
      </c>
      <c r="J1127" s="1">
        <v>500</v>
      </c>
      <c r="K1127" s="1">
        <v>375</v>
      </c>
      <c r="L1127" s="1">
        <v>2950</v>
      </c>
      <c r="M1127" s="1" t="s">
        <v>149</v>
      </c>
      <c r="N1127" s="1"/>
      <c r="O1127" s="1"/>
      <c r="P1127" s="1"/>
      <c r="Q1127" s="62"/>
      <c r="X1127">
        <v>2025</v>
      </c>
    </row>
    <row r="1128" spans="1:24" x14ac:dyDescent="0.25">
      <c r="A1128" t="s">
        <v>1800</v>
      </c>
      <c r="B1128" s="52">
        <v>45818</v>
      </c>
      <c r="C1128" t="s">
        <v>1801</v>
      </c>
      <c r="D1128" t="s">
        <v>1135</v>
      </c>
      <c r="E1128" t="s">
        <v>32</v>
      </c>
      <c r="F1128">
        <v>1000</v>
      </c>
      <c r="G1128">
        <v>1000</v>
      </c>
      <c r="H1128">
        <v>5</v>
      </c>
      <c r="I1128" s="1">
        <f t="shared" si="20"/>
        <v>5</v>
      </c>
      <c r="J1128" s="1">
        <v>600</v>
      </c>
      <c r="K1128" s="1">
        <v>375</v>
      </c>
      <c r="L1128" s="1">
        <v>3650</v>
      </c>
      <c r="M1128" s="1" t="s">
        <v>149</v>
      </c>
      <c r="N1128" s="1"/>
      <c r="O1128" s="1"/>
      <c r="P1128" s="1"/>
      <c r="Q1128" s="62"/>
      <c r="X1128">
        <v>2025</v>
      </c>
    </row>
    <row r="1129" spans="1:24" x14ac:dyDescent="0.25">
      <c r="A1129" t="s">
        <v>1804</v>
      </c>
      <c r="B1129" s="52">
        <v>45819</v>
      </c>
      <c r="C1129" t="s">
        <v>1803</v>
      </c>
      <c r="D1129" t="s">
        <v>36</v>
      </c>
      <c r="E1129" t="s">
        <v>32</v>
      </c>
      <c r="F1129">
        <v>1000</v>
      </c>
      <c r="G1129">
        <v>1000</v>
      </c>
      <c r="H1129">
        <v>5</v>
      </c>
      <c r="I1129" s="1">
        <f t="shared" si="20"/>
        <v>5</v>
      </c>
      <c r="J1129" s="1">
        <v>600</v>
      </c>
      <c r="K1129" s="1">
        <v>375</v>
      </c>
      <c r="L1129" s="1">
        <v>3650</v>
      </c>
      <c r="M1129" s="1" t="s">
        <v>149</v>
      </c>
      <c r="N1129" s="1"/>
      <c r="O1129" s="1"/>
      <c r="P1129" s="1"/>
      <c r="Q1129" s="62"/>
      <c r="X1129">
        <v>2025</v>
      </c>
    </row>
    <row r="1130" spans="1:24" x14ac:dyDescent="0.25">
      <c r="A1130" t="s">
        <v>1805</v>
      </c>
      <c r="B1130" s="52">
        <v>45819</v>
      </c>
      <c r="C1130" t="s">
        <v>1539</v>
      </c>
      <c r="D1130" t="s">
        <v>97</v>
      </c>
      <c r="E1130" t="s">
        <v>32</v>
      </c>
      <c r="F1130">
        <v>1000</v>
      </c>
      <c r="G1130">
        <v>1000</v>
      </c>
      <c r="H1130">
        <v>5</v>
      </c>
      <c r="I1130" s="1">
        <f t="shared" si="20"/>
        <v>5</v>
      </c>
      <c r="J1130" s="1">
        <v>600</v>
      </c>
      <c r="K1130" s="1">
        <v>375</v>
      </c>
      <c r="L1130" s="1">
        <v>3650</v>
      </c>
      <c r="M1130" s="1" t="s">
        <v>149</v>
      </c>
      <c r="N1130" s="1"/>
      <c r="O1130" s="1"/>
      <c r="P1130" s="1"/>
      <c r="Q1130" s="62"/>
      <c r="X1130">
        <v>2025</v>
      </c>
    </row>
    <row r="1131" spans="1:24" x14ac:dyDescent="0.25">
      <c r="A1131" t="s">
        <v>1807</v>
      </c>
      <c r="B1131" s="52">
        <v>45820</v>
      </c>
      <c r="C1131" t="s">
        <v>1808</v>
      </c>
      <c r="D1131" t="s">
        <v>266</v>
      </c>
      <c r="E1131" t="s">
        <v>32</v>
      </c>
      <c r="F1131">
        <v>1000</v>
      </c>
      <c r="G1131">
        <v>1000</v>
      </c>
      <c r="H1131">
        <v>5</v>
      </c>
      <c r="I1131" s="1">
        <f t="shared" si="20"/>
        <v>5</v>
      </c>
      <c r="J1131" s="1">
        <v>600</v>
      </c>
      <c r="K1131" s="1">
        <v>3735</v>
      </c>
      <c r="L1131" s="1">
        <v>3650</v>
      </c>
      <c r="M1131" s="1" t="s">
        <v>149</v>
      </c>
      <c r="N1131" s="1"/>
      <c r="O1131" s="1"/>
      <c r="P1131" s="44" t="s">
        <v>149</v>
      </c>
      <c r="Q1131" s="62">
        <v>45826</v>
      </c>
      <c r="X1131">
        <v>2025</v>
      </c>
    </row>
    <row r="1132" spans="1:24" x14ac:dyDescent="0.25">
      <c r="A1132" t="s">
        <v>1809</v>
      </c>
      <c r="B1132" s="52">
        <v>45821</v>
      </c>
      <c r="C1132" t="s">
        <v>745</v>
      </c>
      <c r="D1132" t="s">
        <v>31</v>
      </c>
      <c r="E1132" t="s">
        <v>37</v>
      </c>
      <c r="F1132">
        <v>1000</v>
      </c>
      <c r="G1132">
        <v>1000</v>
      </c>
      <c r="H1132">
        <v>5</v>
      </c>
      <c r="I1132" s="1">
        <f t="shared" si="20"/>
        <v>5</v>
      </c>
      <c r="J1132" s="1">
        <v>500</v>
      </c>
      <c r="K1132" s="1">
        <v>375</v>
      </c>
      <c r="L1132" s="1">
        <v>2950</v>
      </c>
      <c r="M1132" s="1" t="s">
        <v>149</v>
      </c>
      <c r="N1132" s="1"/>
      <c r="O1132" s="1"/>
      <c r="P1132" s="1"/>
      <c r="Q1132" s="62"/>
      <c r="X1132">
        <v>2025</v>
      </c>
    </row>
    <row r="1133" spans="1:24" x14ac:dyDescent="0.25">
      <c r="A1133" t="s">
        <v>1811</v>
      </c>
      <c r="B1133" s="52">
        <v>45824</v>
      </c>
      <c r="C1133" t="s">
        <v>1810</v>
      </c>
      <c r="D1133" t="s">
        <v>100</v>
      </c>
      <c r="E1133" t="s">
        <v>32</v>
      </c>
      <c r="F1133">
        <v>1000</v>
      </c>
      <c r="G1133">
        <v>1000</v>
      </c>
      <c r="H1133">
        <v>5</v>
      </c>
      <c r="I1133" s="1">
        <f t="shared" si="20"/>
        <v>5</v>
      </c>
      <c r="J1133" s="1">
        <v>600</v>
      </c>
      <c r="K1133" s="1">
        <v>375</v>
      </c>
      <c r="L1133" s="1">
        <v>3650</v>
      </c>
      <c r="M1133" s="1" t="s">
        <v>149</v>
      </c>
      <c r="N1133" s="1"/>
      <c r="O1133" s="1"/>
      <c r="P1133" s="44" t="s">
        <v>149</v>
      </c>
      <c r="Q1133" s="62">
        <v>45826</v>
      </c>
      <c r="X1133">
        <v>2025</v>
      </c>
    </row>
    <row r="1134" spans="1:24" x14ac:dyDescent="0.25">
      <c r="A1134" t="s">
        <v>1812</v>
      </c>
      <c r="B1134" s="52">
        <v>45827</v>
      </c>
      <c r="C1134" t="s">
        <v>1440</v>
      </c>
      <c r="D1134" t="s">
        <v>36</v>
      </c>
      <c r="E1134" t="s">
        <v>32</v>
      </c>
      <c r="F1134">
        <v>1610</v>
      </c>
      <c r="G1134">
        <v>950</v>
      </c>
      <c r="H1134">
        <v>112</v>
      </c>
      <c r="I1134" s="1">
        <f t="shared" si="20"/>
        <v>171.304</v>
      </c>
      <c r="J1134" s="1">
        <v>430</v>
      </c>
      <c r="K1134" s="1">
        <v>4282.5</v>
      </c>
      <c r="L1134" s="1">
        <v>78041.5</v>
      </c>
      <c r="M1134" s="1" t="s">
        <v>449</v>
      </c>
      <c r="N1134" s="1" t="s">
        <v>33</v>
      </c>
      <c r="O1134" s="1"/>
      <c r="P1134" s="1"/>
      <c r="Q1134" s="62"/>
      <c r="S1134" t="s">
        <v>1813</v>
      </c>
      <c r="X1134">
        <v>2025</v>
      </c>
    </row>
    <row r="1135" spans="1:24" x14ac:dyDescent="0.25">
      <c r="A1135" t="s">
        <v>1814</v>
      </c>
      <c r="B1135" s="52" t="s">
        <v>1818</v>
      </c>
      <c r="C1135" t="s">
        <v>1815</v>
      </c>
      <c r="D1135" t="s">
        <v>46</v>
      </c>
      <c r="E1135" t="s">
        <v>27</v>
      </c>
      <c r="F1135">
        <v>2160</v>
      </c>
      <c r="G1135">
        <v>1260</v>
      </c>
      <c r="H1135">
        <v>5</v>
      </c>
      <c r="I1135" s="1">
        <f t="shared" ref="I1135:I1198" si="21">$F1135*$G1135*$H1135/1000000</f>
        <v>13.608000000000001</v>
      </c>
      <c r="J1135" s="1">
        <v>285</v>
      </c>
      <c r="K1135" s="1">
        <v>1361</v>
      </c>
      <c r="L1135" s="1">
        <v>9935.2999999999993</v>
      </c>
      <c r="M1135" s="1" t="s">
        <v>449</v>
      </c>
      <c r="N1135" s="1" t="s">
        <v>149</v>
      </c>
      <c r="O1135" s="1"/>
      <c r="P1135" s="44" t="s">
        <v>149</v>
      </c>
      <c r="Q1135" s="62">
        <v>45831</v>
      </c>
      <c r="S1135" t="s">
        <v>1820</v>
      </c>
      <c r="T1135" s="3">
        <v>45828</v>
      </c>
      <c r="U1135">
        <v>285</v>
      </c>
      <c r="V1135" s="1">
        <v>1361</v>
      </c>
      <c r="W1135" s="1">
        <v>8574.2999999999993</v>
      </c>
      <c r="X1135">
        <v>2025</v>
      </c>
    </row>
    <row r="1136" spans="1:24" x14ac:dyDescent="0.25">
      <c r="A1136" t="s">
        <v>1814</v>
      </c>
      <c r="B1136" s="52"/>
      <c r="C1136" t="s">
        <v>1815</v>
      </c>
      <c r="D1136" t="s">
        <v>46</v>
      </c>
      <c r="E1136" t="s">
        <v>32</v>
      </c>
      <c r="F1136">
        <v>2160</v>
      </c>
      <c r="G1136">
        <v>1260</v>
      </c>
      <c r="H1136">
        <v>5</v>
      </c>
      <c r="I1136" s="1">
        <f t="shared" si="21"/>
        <v>13.608000000000001</v>
      </c>
      <c r="J1136" s="1">
        <v>345</v>
      </c>
      <c r="K1136" s="1"/>
      <c r="L1136" s="1"/>
      <c r="M1136" s="1" t="s">
        <v>449</v>
      </c>
      <c r="N1136" s="1" t="s">
        <v>149</v>
      </c>
      <c r="O1136" s="1"/>
      <c r="P1136" s="44" t="s">
        <v>149</v>
      </c>
      <c r="Q1136" s="62">
        <v>45831</v>
      </c>
      <c r="S1136" t="s">
        <v>1820</v>
      </c>
      <c r="T1136" s="3">
        <v>45828</v>
      </c>
      <c r="U1136">
        <v>345</v>
      </c>
      <c r="X1136">
        <v>2025</v>
      </c>
    </row>
    <row r="1137" spans="1:24" x14ac:dyDescent="0.25">
      <c r="A1137" t="s">
        <v>1816</v>
      </c>
      <c r="B1137" s="52">
        <v>45828</v>
      </c>
      <c r="C1137" t="s">
        <v>1596</v>
      </c>
      <c r="D1137" t="s">
        <v>70</v>
      </c>
      <c r="E1137" t="s">
        <v>37</v>
      </c>
      <c r="F1137">
        <v>1000</v>
      </c>
      <c r="G1137">
        <v>1000</v>
      </c>
      <c r="H1137">
        <v>5</v>
      </c>
      <c r="I1137" s="1">
        <f t="shared" si="21"/>
        <v>5</v>
      </c>
      <c r="J1137" s="1">
        <v>500</v>
      </c>
      <c r="K1137" s="1">
        <v>375</v>
      </c>
      <c r="L1137" s="1">
        <v>2950</v>
      </c>
      <c r="M1137" s="1" t="s">
        <v>149</v>
      </c>
      <c r="N1137" s="1"/>
      <c r="O1137" s="1"/>
      <c r="P1137" s="44" t="s">
        <v>149</v>
      </c>
      <c r="Q1137" s="62">
        <v>45834</v>
      </c>
      <c r="X1137">
        <v>2025</v>
      </c>
    </row>
    <row r="1138" spans="1:24" x14ac:dyDescent="0.25">
      <c r="A1138" t="s">
        <v>1817</v>
      </c>
      <c r="B1138" s="52" t="s">
        <v>1818</v>
      </c>
      <c r="C1138" t="s">
        <v>407</v>
      </c>
      <c r="D1138" t="s">
        <v>46</v>
      </c>
      <c r="E1138" t="s">
        <v>27</v>
      </c>
      <c r="F1138">
        <v>1300</v>
      </c>
      <c r="G1138">
        <v>1300</v>
      </c>
      <c r="H1138">
        <v>2</v>
      </c>
      <c r="I1138" s="1">
        <f t="shared" si="21"/>
        <v>3.38</v>
      </c>
      <c r="J1138" s="1">
        <v>270</v>
      </c>
      <c r="K1138" s="1">
        <v>1394.25</v>
      </c>
      <c r="L1138" s="1">
        <v>7799.35</v>
      </c>
      <c r="M1138" s="1" t="s">
        <v>449</v>
      </c>
      <c r="N1138" s="1" t="s">
        <v>149</v>
      </c>
      <c r="O1138" s="1"/>
      <c r="P1138" s="1"/>
      <c r="Q1138" s="62"/>
      <c r="S1138" t="s">
        <v>1834</v>
      </c>
      <c r="T1138" s="3">
        <v>45835</v>
      </c>
      <c r="U1138" t="s">
        <v>982</v>
      </c>
      <c r="V1138" s="1">
        <v>1014</v>
      </c>
      <c r="W1138" s="1">
        <v>5847.4</v>
      </c>
      <c r="X1138">
        <v>2025</v>
      </c>
    </row>
    <row r="1139" spans="1:24" x14ac:dyDescent="0.25">
      <c r="A1139" t="s">
        <v>1817</v>
      </c>
      <c r="B1139" s="52"/>
      <c r="C1139" t="s">
        <v>407</v>
      </c>
      <c r="D1139" t="s">
        <v>46</v>
      </c>
      <c r="E1139" t="s">
        <v>37</v>
      </c>
      <c r="F1139">
        <v>1300</v>
      </c>
      <c r="G1139">
        <v>1300</v>
      </c>
      <c r="H1139">
        <v>4</v>
      </c>
      <c r="I1139" s="1">
        <f t="shared" si="21"/>
        <v>6.76</v>
      </c>
      <c r="J1139" s="1">
        <v>325</v>
      </c>
      <c r="K1139" s="1"/>
      <c r="L1139" s="1"/>
      <c r="M1139" s="1" t="s">
        <v>449</v>
      </c>
      <c r="N1139" s="1" t="s">
        <v>149</v>
      </c>
      <c r="O1139" s="1"/>
      <c r="P1139" s="1"/>
      <c r="Q1139" s="62"/>
      <c r="U1139">
        <v>325</v>
      </c>
      <c r="X1139">
        <v>2025</v>
      </c>
    </row>
    <row r="1140" spans="1:24" x14ac:dyDescent="0.25">
      <c r="A1140" t="s">
        <v>1817</v>
      </c>
      <c r="B1140" s="52"/>
      <c r="C1140" t="s">
        <v>407</v>
      </c>
      <c r="D1140" t="s">
        <v>46</v>
      </c>
      <c r="E1140" t="s">
        <v>32</v>
      </c>
      <c r="F1140">
        <v>1300</v>
      </c>
      <c r="G1140">
        <v>1300</v>
      </c>
      <c r="H1140">
        <v>5</v>
      </c>
      <c r="I1140" s="1">
        <f t="shared" si="21"/>
        <v>8.4499999999999993</v>
      </c>
      <c r="J1140" s="1">
        <v>390</v>
      </c>
      <c r="K1140" s="1"/>
      <c r="L1140" s="1"/>
      <c r="M1140" s="1" t="s">
        <v>449</v>
      </c>
      <c r="N1140" s="1" t="s">
        <v>149</v>
      </c>
      <c r="O1140" s="1"/>
      <c r="P1140" s="1"/>
      <c r="Q1140" s="62"/>
      <c r="U1140">
        <v>390</v>
      </c>
      <c r="X1140">
        <v>2025</v>
      </c>
    </row>
    <row r="1141" spans="1:24" x14ac:dyDescent="0.25">
      <c r="A1141" t="s">
        <v>1819</v>
      </c>
      <c r="B1141" s="52" t="s">
        <v>1818</v>
      </c>
      <c r="C1141" t="s">
        <v>405</v>
      </c>
      <c r="D1141" t="s">
        <v>46</v>
      </c>
      <c r="E1141" t="s">
        <v>27</v>
      </c>
      <c r="F1141">
        <v>2450</v>
      </c>
      <c r="G1141">
        <v>1550</v>
      </c>
      <c r="H1141">
        <v>10</v>
      </c>
      <c r="I1141" s="1">
        <f t="shared" si="21"/>
        <v>37.975000000000001</v>
      </c>
      <c r="J1141" s="1">
        <v>308.93</v>
      </c>
      <c r="K1141" s="1">
        <v>1899</v>
      </c>
      <c r="L1141" s="1">
        <v>13632.16</v>
      </c>
      <c r="M1141" s="1" t="s">
        <v>149</v>
      </c>
      <c r="N1141" s="1"/>
      <c r="O1141" s="1"/>
      <c r="P1141" s="1"/>
      <c r="Q1141" s="62"/>
      <c r="X1141">
        <v>2025</v>
      </c>
    </row>
    <row r="1142" spans="1:24" x14ac:dyDescent="0.25">
      <c r="A1142" t="s">
        <v>1821</v>
      </c>
      <c r="B1142" s="52">
        <v>45828</v>
      </c>
      <c r="C1142" t="s">
        <v>1822</v>
      </c>
      <c r="D1142" t="s">
        <v>157</v>
      </c>
      <c r="E1142" t="s">
        <v>37</v>
      </c>
      <c r="F1142">
        <v>900</v>
      </c>
      <c r="G1142">
        <v>900</v>
      </c>
      <c r="H1142">
        <v>40</v>
      </c>
      <c r="I1142" s="1">
        <f t="shared" si="21"/>
        <v>32.4</v>
      </c>
      <c r="J1142" s="1">
        <v>369.05</v>
      </c>
      <c r="K1142" s="1">
        <v>1620</v>
      </c>
      <c r="L1142" s="1">
        <v>13717.22</v>
      </c>
      <c r="M1142" s="1" t="s">
        <v>449</v>
      </c>
      <c r="N1142" s="1" t="s">
        <v>149</v>
      </c>
      <c r="O1142" s="1"/>
      <c r="P1142" s="1"/>
      <c r="Q1142" s="62"/>
      <c r="S1142" t="s">
        <v>1823</v>
      </c>
      <c r="X1142">
        <v>2025</v>
      </c>
    </row>
    <row r="1143" spans="1:24" x14ac:dyDescent="0.25">
      <c r="A1143" t="s">
        <v>1824</v>
      </c>
      <c r="B1143" s="52">
        <v>45828</v>
      </c>
      <c r="C1143" t="s">
        <v>1826</v>
      </c>
      <c r="D1143" t="s">
        <v>57</v>
      </c>
      <c r="E1143" t="s">
        <v>37</v>
      </c>
      <c r="F1143">
        <v>1000</v>
      </c>
      <c r="G1143">
        <v>1000</v>
      </c>
      <c r="H1143">
        <v>5</v>
      </c>
      <c r="I1143" s="1">
        <f t="shared" si="21"/>
        <v>5</v>
      </c>
      <c r="J1143" s="1">
        <v>500</v>
      </c>
      <c r="K1143" s="1">
        <v>375</v>
      </c>
      <c r="L1143" s="1">
        <v>2500</v>
      </c>
      <c r="M1143" s="1" t="s">
        <v>149</v>
      </c>
      <c r="N1143" s="1"/>
      <c r="O1143" s="1"/>
      <c r="P1143" s="1"/>
      <c r="Q1143" s="62"/>
      <c r="X1143">
        <v>2025</v>
      </c>
    </row>
    <row r="1144" spans="1:24" x14ac:dyDescent="0.25">
      <c r="A1144" t="s">
        <v>1825</v>
      </c>
      <c r="B1144" s="52">
        <v>45832</v>
      </c>
      <c r="C1144" t="s">
        <v>195</v>
      </c>
      <c r="D1144" t="s">
        <v>46</v>
      </c>
      <c r="E1144" t="s">
        <v>37</v>
      </c>
      <c r="F1144">
        <v>600</v>
      </c>
      <c r="G1144">
        <v>600</v>
      </c>
      <c r="H1144">
        <v>56</v>
      </c>
      <c r="I1144" s="1">
        <f t="shared" si="21"/>
        <v>20.16</v>
      </c>
      <c r="J1144" s="1">
        <v>437.6</v>
      </c>
      <c r="K1144" s="1">
        <v>1500</v>
      </c>
      <c r="L1144" s="1">
        <v>10322.02</v>
      </c>
      <c r="M1144" s="1" t="s">
        <v>149</v>
      </c>
      <c r="N1144" s="1"/>
      <c r="O1144" s="1"/>
      <c r="P1144" s="1"/>
      <c r="Q1144" s="62"/>
      <c r="X1144">
        <v>2025</v>
      </c>
    </row>
    <row r="1145" spans="1:24" x14ac:dyDescent="0.25">
      <c r="A1145" t="s">
        <v>1828</v>
      </c>
      <c r="B1145" s="52">
        <v>45832</v>
      </c>
      <c r="C1145" t="s">
        <v>1829</v>
      </c>
      <c r="D1145" t="s">
        <v>31</v>
      </c>
      <c r="E1145" t="s">
        <v>27</v>
      </c>
      <c r="F1145">
        <v>1000</v>
      </c>
      <c r="G1145">
        <v>1000</v>
      </c>
      <c r="H1145">
        <v>5</v>
      </c>
      <c r="I1145" s="1">
        <f t="shared" si="21"/>
        <v>5</v>
      </c>
      <c r="J1145" s="1">
        <v>400</v>
      </c>
      <c r="K1145" s="1">
        <v>375</v>
      </c>
      <c r="L1145" s="1">
        <v>2450</v>
      </c>
      <c r="M1145" s="1" t="s">
        <v>149</v>
      </c>
      <c r="N1145" s="1"/>
      <c r="O1145" s="1"/>
      <c r="P1145" s="44" t="s">
        <v>149</v>
      </c>
      <c r="Q1145" s="62">
        <v>45842</v>
      </c>
      <c r="X1145">
        <v>2025</v>
      </c>
    </row>
    <row r="1146" spans="1:24" x14ac:dyDescent="0.25">
      <c r="A1146" t="s">
        <v>1831</v>
      </c>
      <c r="B1146" s="52">
        <v>45835</v>
      </c>
      <c r="C1146" t="s">
        <v>1833</v>
      </c>
      <c r="D1146" t="s">
        <v>157</v>
      </c>
      <c r="E1146" t="s">
        <v>32</v>
      </c>
      <c r="F1146">
        <v>1000</v>
      </c>
      <c r="G1146">
        <v>1000</v>
      </c>
      <c r="H1146">
        <v>5</v>
      </c>
      <c r="I1146" s="1">
        <f t="shared" si="21"/>
        <v>5</v>
      </c>
      <c r="J1146" s="1">
        <v>600</v>
      </c>
      <c r="K1146" s="1">
        <v>375</v>
      </c>
      <c r="L1146" s="1">
        <v>3650</v>
      </c>
      <c r="M1146" s="1" t="s">
        <v>149</v>
      </c>
      <c r="N1146" s="1"/>
      <c r="O1146" s="1"/>
      <c r="P1146" s="1"/>
      <c r="Q1146" s="62"/>
      <c r="X1146">
        <v>2025</v>
      </c>
    </row>
    <row r="1147" spans="1:24" x14ac:dyDescent="0.25">
      <c r="A1147" t="s">
        <v>1832</v>
      </c>
      <c r="B1147" s="52">
        <v>45835</v>
      </c>
      <c r="C1147" t="s">
        <v>1265</v>
      </c>
      <c r="D1147" t="s">
        <v>42</v>
      </c>
      <c r="E1147" t="s">
        <v>27</v>
      </c>
      <c r="F1147">
        <v>379</v>
      </c>
      <c r="G1147">
        <v>379</v>
      </c>
      <c r="H1147">
        <v>1000</v>
      </c>
      <c r="I1147" s="1">
        <f t="shared" si="21"/>
        <v>143.64099999999999</v>
      </c>
      <c r="J1147" s="1">
        <v>270</v>
      </c>
      <c r="K1147" s="1" t="s">
        <v>982</v>
      </c>
      <c r="L1147" s="1">
        <v>38782.800000000003</v>
      </c>
      <c r="M1147" s="1" t="s">
        <v>449</v>
      </c>
      <c r="N1147" s="1" t="s">
        <v>149</v>
      </c>
      <c r="O1147" s="1"/>
      <c r="P1147" s="1"/>
      <c r="Q1147" s="62"/>
      <c r="S1147" t="s">
        <v>1830</v>
      </c>
      <c r="X1147">
        <v>2025</v>
      </c>
    </row>
    <row r="1148" spans="1:24" x14ac:dyDescent="0.25">
      <c r="A1148" t="s">
        <v>1835</v>
      </c>
      <c r="B1148" s="52">
        <v>45835</v>
      </c>
      <c r="C1148" t="s">
        <v>1836</v>
      </c>
      <c r="D1148" t="s">
        <v>157</v>
      </c>
      <c r="E1148" t="s">
        <v>27</v>
      </c>
      <c r="F1148">
        <v>1000</v>
      </c>
      <c r="G1148">
        <v>1000</v>
      </c>
      <c r="H1148">
        <v>5</v>
      </c>
      <c r="I1148" s="1">
        <f t="shared" si="21"/>
        <v>5</v>
      </c>
      <c r="J1148" s="1">
        <v>400</v>
      </c>
      <c r="K1148" s="1">
        <v>375</v>
      </c>
      <c r="L1148" s="1">
        <v>2450</v>
      </c>
      <c r="M1148" s="1" t="s">
        <v>149</v>
      </c>
      <c r="N1148" s="1"/>
      <c r="O1148" s="1"/>
      <c r="P1148" s="1"/>
      <c r="Q1148" s="62"/>
      <c r="X1148">
        <v>2025</v>
      </c>
    </row>
    <row r="1149" spans="1:24" x14ac:dyDescent="0.25">
      <c r="A1149" t="s">
        <v>1837</v>
      </c>
      <c r="B1149" s="52">
        <v>45839</v>
      </c>
      <c r="C1149" t="s">
        <v>466</v>
      </c>
      <c r="D1149" t="s">
        <v>157</v>
      </c>
      <c r="E1149" t="s">
        <v>32</v>
      </c>
      <c r="F1149">
        <v>1500</v>
      </c>
      <c r="G1149">
        <v>1500</v>
      </c>
      <c r="H1149">
        <v>9</v>
      </c>
      <c r="I1149" s="1">
        <f t="shared" si="21"/>
        <v>20.25</v>
      </c>
      <c r="J1149" s="1">
        <v>542.89</v>
      </c>
      <c r="K1149" s="1">
        <v>1500</v>
      </c>
      <c r="L1149" s="1">
        <v>12583.52</v>
      </c>
      <c r="M1149" s="1" t="s">
        <v>149</v>
      </c>
      <c r="N1149" s="1"/>
      <c r="O1149" s="1"/>
      <c r="P1149" s="1"/>
      <c r="Q1149" s="62"/>
      <c r="X1149">
        <v>2025</v>
      </c>
    </row>
    <row r="1150" spans="1:24" x14ac:dyDescent="0.25">
      <c r="A1150" t="s">
        <v>1838</v>
      </c>
      <c r="B1150" s="52">
        <v>45839</v>
      </c>
      <c r="C1150" t="s">
        <v>1839</v>
      </c>
      <c r="D1150" t="s">
        <v>256</v>
      </c>
      <c r="E1150" t="s">
        <v>32</v>
      </c>
      <c r="F1150">
        <v>2150</v>
      </c>
      <c r="G1150">
        <v>1500</v>
      </c>
      <c r="H1150">
        <v>7</v>
      </c>
      <c r="I1150" s="1">
        <f t="shared" si="21"/>
        <v>22.574999999999999</v>
      </c>
      <c r="J1150" s="1">
        <v>533.11</v>
      </c>
      <c r="K1150" s="1">
        <v>1129</v>
      </c>
      <c r="L1150" s="1">
        <v>13166.62</v>
      </c>
      <c r="M1150" s="1" t="s">
        <v>149</v>
      </c>
      <c r="N1150" s="1"/>
      <c r="O1150" s="1"/>
      <c r="P1150" s="1"/>
      <c r="Q1150" s="62"/>
      <c r="X1150">
        <v>2025</v>
      </c>
    </row>
    <row r="1151" spans="1:24" x14ac:dyDescent="0.25">
      <c r="A1151" t="s">
        <v>1840</v>
      </c>
      <c r="B1151" s="52" t="s">
        <v>1841</v>
      </c>
      <c r="C1151" t="s">
        <v>1234</v>
      </c>
      <c r="D1151" t="s">
        <v>263</v>
      </c>
      <c r="E1151" t="s">
        <v>27</v>
      </c>
      <c r="F1151">
        <v>960</v>
      </c>
      <c r="G1151">
        <v>634</v>
      </c>
      <c r="H1151">
        <v>10</v>
      </c>
      <c r="I1151" s="1">
        <f t="shared" si="21"/>
        <v>6.0864000000000003</v>
      </c>
      <c r="J1151" s="1"/>
      <c r="K1151" s="1"/>
      <c r="L1151" s="1"/>
      <c r="M1151" s="1"/>
      <c r="N1151" s="1"/>
      <c r="O1151" s="1"/>
      <c r="P1151" s="1"/>
      <c r="Q1151" s="62"/>
      <c r="X1151">
        <v>2025</v>
      </c>
    </row>
    <row r="1152" spans="1:24" x14ac:dyDescent="0.25">
      <c r="A1152" t="s">
        <v>1842</v>
      </c>
      <c r="B1152" s="52">
        <v>45842</v>
      </c>
      <c r="C1152" t="s">
        <v>195</v>
      </c>
      <c r="D1152" t="s">
        <v>46</v>
      </c>
      <c r="E1152" t="s">
        <v>37</v>
      </c>
      <c r="F1152">
        <v>1000</v>
      </c>
      <c r="G1152">
        <v>1000</v>
      </c>
      <c r="H1152">
        <v>50</v>
      </c>
      <c r="I1152" s="1">
        <f t="shared" si="21"/>
        <v>50</v>
      </c>
      <c r="J1152" s="1">
        <v>391.82</v>
      </c>
      <c r="K1152" s="1">
        <v>2500</v>
      </c>
      <c r="L1152" s="1">
        <v>22091</v>
      </c>
      <c r="M1152" s="1" t="s">
        <v>149</v>
      </c>
      <c r="N1152" s="1"/>
      <c r="O1152" s="1"/>
      <c r="P1152" s="1"/>
      <c r="Q1152" s="62"/>
      <c r="X1152">
        <v>2025</v>
      </c>
    </row>
    <row r="1153" spans="1:24" x14ac:dyDescent="0.25">
      <c r="A1153" t="s">
        <v>1843</v>
      </c>
      <c r="B1153" s="52">
        <v>45842</v>
      </c>
      <c r="C1153" t="s">
        <v>785</v>
      </c>
      <c r="D1153" t="s">
        <v>100</v>
      </c>
      <c r="E1153" t="s">
        <v>32</v>
      </c>
      <c r="F1153">
        <v>1030</v>
      </c>
      <c r="G1153">
        <v>920</v>
      </c>
      <c r="H1153">
        <v>30</v>
      </c>
      <c r="I1153" s="1">
        <f t="shared" si="21"/>
        <v>28.428000000000001</v>
      </c>
      <c r="J1153" s="1">
        <v>515.61</v>
      </c>
      <c r="K1153" s="1">
        <v>1421.5</v>
      </c>
      <c r="L1153" s="1">
        <v>16310.29</v>
      </c>
      <c r="M1153" s="1" t="s">
        <v>149</v>
      </c>
      <c r="N1153" s="1"/>
      <c r="O1153" s="1"/>
      <c r="P1153" s="1"/>
      <c r="Q1153" s="62"/>
      <c r="X1153">
        <v>2025</v>
      </c>
    </row>
    <row r="1154" spans="1:24" x14ac:dyDescent="0.25">
      <c r="A1154" t="s">
        <v>1845</v>
      </c>
      <c r="B1154" s="52">
        <v>45842</v>
      </c>
      <c r="C1154" t="s">
        <v>1844</v>
      </c>
      <c r="D1154" t="s">
        <v>263</v>
      </c>
      <c r="E1154" t="s">
        <v>37</v>
      </c>
      <c r="F1154">
        <v>1000</v>
      </c>
      <c r="G1154">
        <v>1000</v>
      </c>
      <c r="H1154">
        <v>20</v>
      </c>
      <c r="I1154" s="1">
        <f t="shared" si="21"/>
        <v>20</v>
      </c>
      <c r="J1154" s="1">
        <v>438.23</v>
      </c>
      <c r="K1154" s="1">
        <v>1500</v>
      </c>
      <c r="L1154" s="1">
        <v>10264.6</v>
      </c>
      <c r="M1154" s="1" t="s">
        <v>149</v>
      </c>
      <c r="N1154" s="1"/>
      <c r="O1154" s="1"/>
      <c r="P1154" s="44" t="s">
        <v>149</v>
      </c>
      <c r="Q1154" s="62">
        <v>45848</v>
      </c>
      <c r="X1154">
        <v>2025</v>
      </c>
    </row>
    <row r="1155" spans="1:24" x14ac:dyDescent="0.25">
      <c r="A1155" t="s">
        <v>1846</v>
      </c>
      <c r="B1155" s="53" t="s">
        <v>1848</v>
      </c>
      <c r="C1155" t="s">
        <v>675</v>
      </c>
      <c r="D1155" t="s">
        <v>46</v>
      </c>
      <c r="E1155" t="s">
        <v>27</v>
      </c>
      <c r="F1155">
        <v>1000</v>
      </c>
      <c r="G1155">
        <v>1000</v>
      </c>
      <c r="H1155">
        <v>900</v>
      </c>
      <c r="I1155" s="1">
        <f t="shared" si="21"/>
        <v>900</v>
      </c>
      <c r="J1155" s="1">
        <v>260</v>
      </c>
      <c r="K1155" s="1">
        <v>22500</v>
      </c>
      <c r="L1155" s="1">
        <v>256500</v>
      </c>
      <c r="M1155" s="1" t="s">
        <v>149</v>
      </c>
      <c r="N1155" s="1"/>
      <c r="O1155" s="1"/>
      <c r="P1155" s="1"/>
      <c r="Q1155" s="62"/>
      <c r="X1155">
        <v>2025</v>
      </c>
    </row>
    <row r="1156" spans="1:24" x14ac:dyDescent="0.25">
      <c r="A1156" t="s">
        <v>1847</v>
      </c>
      <c r="B1156" s="53" t="s">
        <v>1848</v>
      </c>
      <c r="C1156" t="s">
        <v>675</v>
      </c>
      <c r="D1156" t="s">
        <v>46</v>
      </c>
      <c r="E1156" t="s">
        <v>37</v>
      </c>
      <c r="F1156">
        <v>1000</v>
      </c>
      <c r="G1156">
        <v>1000</v>
      </c>
      <c r="H1156">
        <v>900</v>
      </c>
      <c r="I1156" s="1">
        <f t="shared" si="21"/>
        <v>900</v>
      </c>
      <c r="J1156" s="1">
        <v>328.24</v>
      </c>
      <c r="K1156" s="1">
        <v>22500</v>
      </c>
      <c r="L1156" s="1">
        <v>317916</v>
      </c>
      <c r="M1156" s="1" t="s">
        <v>149</v>
      </c>
      <c r="N1156" s="1"/>
      <c r="O1156" s="1"/>
      <c r="P1156" s="1"/>
      <c r="Q1156" s="62"/>
      <c r="X1156">
        <v>2025</v>
      </c>
    </row>
    <row r="1157" spans="1:24" x14ac:dyDescent="0.25">
      <c r="A1157" t="s">
        <v>1849</v>
      </c>
      <c r="B1157" s="52">
        <v>45842</v>
      </c>
      <c r="C1157" t="s">
        <v>1005</v>
      </c>
      <c r="D1157" t="s">
        <v>146</v>
      </c>
      <c r="E1157" t="s">
        <v>27</v>
      </c>
      <c r="F1157">
        <v>298</v>
      </c>
      <c r="G1157">
        <v>216</v>
      </c>
      <c r="H1157">
        <v>311</v>
      </c>
      <c r="I1157" s="1">
        <f t="shared" si="21"/>
        <v>20.018447999999999</v>
      </c>
      <c r="J1157" s="1">
        <v>337.04</v>
      </c>
      <c r="K1157" s="1">
        <v>1500</v>
      </c>
      <c r="L1157" s="1">
        <v>8322.5400000000009</v>
      </c>
      <c r="M1157" s="1" t="s">
        <v>149</v>
      </c>
      <c r="N1157" s="1"/>
      <c r="O1157" s="1"/>
      <c r="P1157" s="1"/>
      <c r="Q1157" s="62"/>
      <c r="X1157">
        <v>2025</v>
      </c>
    </row>
    <row r="1158" spans="1:24" x14ac:dyDescent="0.25">
      <c r="A1158" t="s">
        <v>1850</v>
      </c>
      <c r="B1158" s="52">
        <v>45846</v>
      </c>
      <c r="C1158" t="s">
        <v>1852</v>
      </c>
      <c r="D1158" t="s">
        <v>100</v>
      </c>
      <c r="E1158" t="s">
        <v>27</v>
      </c>
      <c r="F1158">
        <v>1000</v>
      </c>
      <c r="G1158">
        <v>1000</v>
      </c>
      <c r="H1158">
        <v>5</v>
      </c>
      <c r="I1158" s="1">
        <f t="shared" si="21"/>
        <v>5</v>
      </c>
      <c r="J1158" s="1">
        <v>400</v>
      </c>
      <c r="K1158" s="1">
        <v>375</v>
      </c>
      <c r="L1158" s="1">
        <v>2500</v>
      </c>
      <c r="M1158" s="1" t="s">
        <v>149</v>
      </c>
      <c r="N1158" s="1"/>
      <c r="O1158" s="1"/>
      <c r="P1158" s="1"/>
      <c r="Q1158" s="62"/>
      <c r="X1158">
        <v>2025</v>
      </c>
    </row>
    <row r="1159" spans="1:24" x14ac:dyDescent="0.25">
      <c r="A1159" t="s">
        <v>1851</v>
      </c>
      <c r="B1159" s="52">
        <v>45846</v>
      </c>
      <c r="C1159" t="s">
        <v>1852</v>
      </c>
      <c r="D1159" t="s">
        <v>100</v>
      </c>
      <c r="E1159" t="s">
        <v>37</v>
      </c>
      <c r="F1159">
        <v>1000</v>
      </c>
      <c r="G1159">
        <v>1000</v>
      </c>
      <c r="H1159">
        <v>5</v>
      </c>
      <c r="I1159" s="1">
        <f t="shared" si="21"/>
        <v>5</v>
      </c>
      <c r="J1159" s="1">
        <v>500</v>
      </c>
      <c r="K1159" s="1">
        <v>375</v>
      </c>
      <c r="L1159" s="1">
        <v>3000</v>
      </c>
      <c r="M1159" s="1" t="s">
        <v>149</v>
      </c>
      <c r="N1159" s="1"/>
      <c r="O1159" s="1"/>
      <c r="P1159" s="1"/>
      <c r="Q1159" s="62"/>
      <c r="X1159">
        <v>2025</v>
      </c>
    </row>
    <row r="1160" spans="1:24" x14ac:dyDescent="0.25">
      <c r="A1160" t="s">
        <v>1853</v>
      </c>
      <c r="B1160" s="52">
        <v>45846</v>
      </c>
      <c r="C1160" t="s">
        <v>1854</v>
      </c>
      <c r="D1160" t="s">
        <v>699</v>
      </c>
      <c r="E1160" t="s">
        <v>27</v>
      </c>
      <c r="F1160">
        <v>686</v>
      </c>
      <c r="G1160">
        <v>686</v>
      </c>
      <c r="H1160">
        <v>105</v>
      </c>
      <c r="I1160" s="1">
        <f t="shared" si="21"/>
        <v>49.412579999999998</v>
      </c>
      <c r="J1160" s="1">
        <v>301.68</v>
      </c>
      <c r="K1160" s="1">
        <f>50*49.41</f>
        <v>2470.5</v>
      </c>
      <c r="L1160" s="1">
        <v>17466.5</v>
      </c>
      <c r="M1160" s="1" t="s">
        <v>149</v>
      </c>
      <c r="N1160" s="1"/>
      <c r="O1160" s="1"/>
      <c r="P1160" s="1"/>
      <c r="Q1160" s="62"/>
      <c r="X1160">
        <v>2025</v>
      </c>
    </row>
    <row r="1161" spans="1:24" x14ac:dyDescent="0.25">
      <c r="A1161" t="s">
        <v>1855</v>
      </c>
      <c r="B1161" s="52" t="s">
        <v>1860</v>
      </c>
      <c r="C1161" t="s">
        <v>1857</v>
      </c>
      <c r="D1161" t="s">
        <v>46</v>
      </c>
      <c r="E1161" t="s">
        <v>37</v>
      </c>
      <c r="F1161">
        <v>1900</v>
      </c>
      <c r="G1161">
        <v>1700</v>
      </c>
      <c r="H1161">
        <v>2477</v>
      </c>
      <c r="I1161" s="1">
        <f t="shared" si="21"/>
        <v>8000.71</v>
      </c>
      <c r="J1161" s="1">
        <v>325</v>
      </c>
      <c r="K1161" s="1">
        <v>200017.75</v>
      </c>
      <c r="L1161" s="1">
        <v>2800248.5</v>
      </c>
      <c r="M1161" s="1" t="s">
        <v>149</v>
      </c>
      <c r="N1161" s="1"/>
      <c r="O1161" s="1"/>
      <c r="P1161" s="1"/>
      <c r="Q1161" s="62"/>
      <c r="X1161">
        <v>2025</v>
      </c>
    </row>
    <row r="1162" spans="1:24" x14ac:dyDescent="0.25">
      <c r="A1162" t="s">
        <v>1856</v>
      </c>
      <c r="B1162" s="52" t="s">
        <v>1860</v>
      </c>
      <c r="C1162" t="s">
        <v>1857</v>
      </c>
      <c r="D1162" t="s">
        <v>46</v>
      </c>
      <c r="E1162" t="s">
        <v>37</v>
      </c>
      <c r="F1162">
        <v>1900</v>
      </c>
      <c r="G1162">
        <v>1900</v>
      </c>
      <c r="H1162">
        <v>2217</v>
      </c>
      <c r="I1162" s="1">
        <f t="shared" si="21"/>
        <v>8003.37</v>
      </c>
      <c r="J1162" s="1">
        <v>325</v>
      </c>
      <c r="K1162" s="1">
        <v>200084.25</v>
      </c>
      <c r="L1162" s="1">
        <v>2801179.5</v>
      </c>
      <c r="M1162" s="1" t="s">
        <v>149</v>
      </c>
      <c r="N1162" s="1"/>
      <c r="O1162" s="1"/>
      <c r="P1162" s="1"/>
      <c r="Q1162" s="62"/>
      <c r="X1162">
        <v>2025</v>
      </c>
    </row>
    <row r="1163" spans="1:24" x14ac:dyDescent="0.25">
      <c r="A1163" t="s">
        <v>1858</v>
      </c>
      <c r="B1163" s="52">
        <v>45847</v>
      </c>
      <c r="C1163" t="s">
        <v>1419</v>
      </c>
      <c r="D1163" t="s">
        <v>70</v>
      </c>
      <c r="E1163" t="s">
        <v>37</v>
      </c>
      <c r="F1163">
        <v>2750</v>
      </c>
      <c r="G1163">
        <v>1000</v>
      </c>
      <c r="H1163">
        <v>15</v>
      </c>
      <c r="I1163" s="1">
        <f t="shared" si="21"/>
        <v>41.25</v>
      </c>
      <c r="J1163" s="1">
        <v>398.39</v>
      </c>
      <c r="K1163" s="1">
        <v>2062.5</v>
      </c>
      <c r="L1163" s="1">
        <v>18496.09</v>
      </c>
      <c r="M1163" s="1" t="s">
        <v>149</v>
      </c>
      <c r="N1163" s="1"/>
      <c r="O1163" s="1"/>
      <c r="P1163" s="1"/>
      <c r="Q1163" s="62"/>
      <c r="X1163">
        <v>2025</v>
      </c>
    </row>
    <row r="1164" spans="1:24" x14ac:dyDescent="0.25">
      <c r="A1164" t="s">
        <v>1859</v>
      </c>
      <c r="B1164" s="52">
        <v>45847</v>
      </c>
      <c r="C1164" t="s">
        <v>1419</v>
      </c>
      <c r="D1164" t="s">
        <v>70</v>
      </c>
      <c r="E1164" t="s">
        <v>37</v>
      </c>
      <c r="F1164">
        <v>2750</v>
      </c>
      <c r="G1164">
        <v>125</v>
      </c>
      <c r="H1164">
        <v>120</v>
      </c>
      <c r="I1164" s="1">
        <f t="shared" si="21"/>
        <v>41.25</v>
      </c>
      <c r="J1164" s="1">
        <v>398.39</v>
      </c>
      <c r="K1164" s="1">
        <v>2062.5</v>
      </c>
      <c r="L1164" s="1">
        <v>18496.09</v>
      </c>
      <c r="M1164" s="1" t="s">
        <v>149</v>
      </c>
      <c r="N1164" s="1"/>
      <c r="O1164" s="1"/>
      <c r="P1164" s="1"/>
      <c r="Q1164" s="62"/>
      <c r="X1164">
        <v>2025</v>
      </c>
    </row>
    <row r="1165" spans="1:24" x14ac:dyDescent="0.25">
      <c r="A1165" t="s">
        <v>1861</v>
      </c>
      <c r="B1165" s="52">
        <v>45848</v>
      </c>
      <c r="C1165" t="s">
        <v>1440</v>
      </c>
      <c r="D1165" t="s">
        <v>36</v>
      </c>
      <c r="E1165" t="s">
        <v>1862</v>
      </c>
      <c r="F1165">
        <v>860</v>
      </c>
      <c r="G1165">
        <v>760</v>
      </c>
      <c r="H1165">
        <v>1800</v>
      </c>
      <c r="I1165" s="1">
        <f t="shared" si="21"/>
        <v>1176.48</v>
      </c>
      <c r="J1165" s="1">
        <v>120</v>
      </c>
      <c r="K1165" s="1"/>
      <c r="L1165" s="1">
        <v>141177.60000000001</v>
      </c>
      <c r="M1165" s="1" t="s">
        <v>449</v>
      </c>
      <c r="N1165" s="1" t="s">
        <v>149</v>
      </c>
      <c r="O1165" s="1"/>
      <c r="P1165" s="1"/>
      <c r="Q1165" s="62"/>
      <c r="X1165">
        <v>2025</v>
      </c>
    </row>
    <row r="1166" spans="1:24" x14ac:dyDescent="0.25">
      <c r="A1166" t="s">
        <v>1863</v>
      </c>
      <c r="B1166" s="52">
        <v>45853</v>
      </c>
      <c r="C1166" t="s">
        <v>1295</v>
      </c>
      <c r="D1166" t="s">
        <v>283</v>
      </c>
      <c r="E1166" t="s">
        <v>37</v>
      </c>
      <c r="F1166">
        <v>675</v>
      </c>
      <c r="G1166">
        <v>675</v>
      </c>
      <c r="H1166">
        <v>1170</v>
      </c>
      <c r="I1166" s="1">
        <f t="shared" si="21"/>
        <v>533.08124999999995</v>
      </c>
      <c r="J1166" s="1">
        <v>341.25</v>
      </c>
      <c r="K1166" s="1">
        <v>8531.25</v>
      </c>
      <c r="L1166" s="1">
        <v>190704.8</v>
      </c>
      <c r="M1166" s="1" t="s">
        <v>149</v>
      </c>
      <c r="N1166" s="1"/>
      <c r="O1166" s="1"/>
      <c r="P1166" s="1"/>
      <c r="Q1166" s="62"/>
      <c r="X1166">
        <v>2025</v>
      </c>
    </row>
    <row r="1167" spans="1:24" x14ac:dyDescent="0.25">
      <c r="A1167" t="s">
        <v>1864</v>
      </c>
      <c r="B1167" s="52">
        <v>45853</v>
      </c>
      <c r="C1167" t="s">
        <v>1295</v>
      </c>
      <c r="D1167" t="s">
        <v>283</v>
      </c>
      <c r="E1167" t="s">
        <v>37</v>
      </c>
      <c r="F1167">
        <v>1000</v>
      </c>
      <c r="G1167">
        <v>1000</v>
      </c>
      <c r="H1167">
        <v>15</v>
      </c>
      <c r="I1167" s="1">
        <f t="shared" si="21"/>
        <v>15</v>
      </c>
      <c r="J1167">
        <v>446.81</v>
      </c>
      <c r="K1167" s="1">
        <v>1125</v>
      </c>
      <c r="L1167" s="1">
        <v>7997.15</v>
      </c>
      <c r="M1167" s="1" t="s">
        <v>149</v>
      </c>
      <c r="N1167" s="1"/>
      <c r="O1167" s="1"/>
      <c r="P1167" s="1"/>
      <c r="Q1167" s="62"/>
      <c r="X1167">
        <v>2025</v>
      </c>
    </row>
    <row r="1168" spans="1:24" x14ac:dyDescent="0.25">
      <c r="A1168" t="s">
        <v>1865</v>
      </c>
      <c r="B1168" s="52">
        <v>45856</v>
      </c>
      <c r="C1168" t="s">
        <v>1501</v>
      </c>
      <c r="D1168" t="s">
        <v>276</v>
      </c>
      <c r="E1168" t="s">
        <v>32</v>
      </c>
      <c r="F1168">
        <v>1000</v>
      </c>
      <c r="G1168">
        <v>1000</v>
      </c>
      <c r="H1168">
        <v>15</v>
      </c>
      <c r="I1168" s="1">
        <f t="shared" si="21"/>
        <v>15</v>
      </c>
      <c r="J1168" s="1">
        <v>554.75</v>
      </c>
      <c r="K1168" s="1">
        <v>1125</v>
      </c>
      <c r="L1168" s="1">
        <v>10271.25</v>
      </c>
      <c r="M1168" s="1" t="s">
        <v>149</v>
      </c>
      <c r="N1168" s="1"/>
      <c r="O1168" s="1"/>
      <c r="P1168" s="44" t="s">
        <v>149</v>
      </c>
      <c r="Q1168" s="62">
        <v>45863</v>
      </c>
      <c r="X1168">
        <v>2025</v>
      </c>
    </row>
    <row r="1169" spans="1:24" x14ac:dyDescent="0.25">
      <c r="A1169" t="s">
        <v>1866</v>
      </c>
      <c r="B1169" s="52">
        <v>45856</v>
      </c>
      <c r="C1169" t="s">
        <v>1867</v>
      </c>
      <c r="D1169" t="s">
        <v>57</v>
      </c>
      <c r="E1169" t="s">
        <v>27</v>
      </c>
      <c r="F1169">
        <v>1300</v>
      </c>
      <c r="G1169">
        <v>1300</v>
      </c>
      <c r="H1169">
        <v>150</v>
      </c>
      <c r="I1169" s="1">
        <f t="shared" si="21"/>
        <v>253.5</v>
      </c>
      <c r="J1169" s="1">
        <v>270.27999999999997</v>
      </c>
      <c r="K1169" s="1">
        <v>6337.5</v>
      </c>
      <c r="L1169" s="1">
        <f>68515.98+6337.5</f>
        <v>74853.48</v>
      </c>
      <c r="M1169" s="1" t="s">
        <v>149</v>
      </c>
      <c r="N1169" s="1"/>
      <c r="O1169" s="1"/>
      <c r="P1169" s="1"/>
      <c r="Q1169" s="62"/>
      <c r="X1169">
        <v>2025</v>
      </c>
    </row>
    <row r="1170" spans="1:24" x14ac:dyDescent="0.25">
      <c r="A1170" t="s">
        <v>1868</v>
      </c>
      <c r="B1170" s="52">
        <v>45860</v>
      </c>
      <c r="C1170" t="s">
        <v>1469</v>
      </c>
      <c r="D1170" t="s">
        <v>263</v>
      </c>
      <c r="E1170" t="s">
        <v>32</v>
      </c>
      <c r="F1170">
        <v>1050</v>
      </c>
      <c r="G1170">
        <v>240</v>
      </c>
      <c r="H1170">
        <v>300</v>
      </c>
      <c r="I1170" s="1">
        <f t="shared" si="21"/>
        <v>75.599999999999994</v>
      </c>
      <c r="J1170" s="1">
        <v>473.46</v>
      </c>
      <c r="K1170" s="1">
        <v>3780</v>
      </c>
      <c r="L1170" s="1">
        <v>40323.57</v>
      </c>
      <c r="M1170" s="1" t="s">
        <v>149</v>
      </c>
      <c r="N1170" s="1"/>
      <c r="O1170" s="1"/>
      <c r="P1170" s="44" t="s">
        <v>149</v>
      </c>
      <c r="Q1170" s="62">
        <v>45867</v>
      </c>
      <c r="X1170">
        <v>2025</v>
      </c>
    </row>
    <row r="1171" spans="1:24" x14ac:dyDescent="0.25">
      <c r="A1171" t="s">
        <v>1869</v>
      </c>
      <c r="B1171" s="52">
        <v>45860</v>
      </c>
      <c r="C1171" t="s">
        <v>1469</v>
      </c>
      <c r="D1171" t="s">
        <v>263</v>
      </c>
      <c r="E1171" t="s">
        <v>32</v>
      </c>
      <c r="F1171">
        <v>1000</v>
      </c>
      <c r="G1171">
        <v>1000</v>
      </c>
      <c r="H1171">
        <v>40</v>
      </c>
      <c r="I1171" s="1">
        <f t="shared" si="21"/>
        <v>40</v>
      </c>
      <c r="J1171" s="1">
        <v>496.07</v>
      </c>
      <c r="K1171" s="1">
        <v>2000</v>
      </c>
      <c r="L1171" s="1">
        <v>22362.799999999999</v>
      </c>
      <c r="M1171" s="1" t="s">
        <v>149</v>
      </c>
      <c r="N1171" s="1"/>
      <c r="O1171" s="1"/>
      <c r="P1171" s="44" t="s">
        <v>149</v>
      </c>
      <c r="Q1171" s="62">
        <v>45867</v>
      </c>
      <c r="X1171">
        <v>2025</v>
      </c>
    </row>
    <row r="1172" spans="1:24" x14ac:dyDescent="0.25">
      <c r="A1172" t="s">
        <v>1870</v>
      </c>
      <c r="B1172" s="52">
        <v>45860</v>
      </c>
      <c r="C1172" t="s">
        <v>1871</v>
      </c>
      <c r="D1172" t="s">
        <v>46</v>
      </c>
      <c r="E1172" t="s">
        <v>32</v>
      </c>
      <c r="F1172">
        <v>1000</v>
      </c>
      <c r="G1172">
        <v>1000</v>
      </c>
      <c r="H1172">
        <v>5</v>
      </c>
      <c r="I1172" s="1">
        <f t="shared" si="21"/>
        <v>5</v>
      </c>
      <c r="J1172" s="1">
        <v>600</v>
      </c>
      <c r="K1172" s="1">
        <v>375</v>
      </c>
      <c r="L1172" s="1">
        <v>3650</v>
      </c>
      <c r="M1172" s="1" t="s">
        <v>149</v>
      </c>
      <c r="N1172" s="1"/>
      <c r="O1172" s="1"/>
      <c r="P1172" s="1"/>
      <c r="Q1172" s="62"/>
      <c r="X1172">
        <v>2025</v>
      </c>
    </row>
    <row r="1173" spans="1:24" x14ac:dyDescent="0.25">
      <c r="A1173" t="s">
        <v>1872</v>
      </c>
      <c r="B1173" s="52">
        <v>45860</v>
      </c>
      <c r="C1173" t="s">
        <v>1873</v>
      </c>
      <c r="D1173" t="s">
        <v>57</v>
      </c>
      <c r="E1173" t="s">
        <v>27</v>
      </c>
      <c r="F1173">
        <v>1000</v>
      </c>
      <c r="G1173">
        <v>1000</v>
      </c>
      <c r="H1173">
        <v>26</v>
      </c>
      <c r="I1173" s="1">
        <f t="shared" si="21"/>
        <v>26</v>
      </c>
      <c r="J1173" s="1">
        <v>323.36</v>
      </c>
      <c r="K1173" s="1">
        <f>26*50</f>
        <v>1300</v>
      </c>
      <c r="L1173" s="1">
        <v>9707.36</v>
      </c>
      <c r="M1173" s="1" t="s">
        <v>149</v>
      </c>
      <c r="N1173" s="1"/>
      <c r="O1173" s="1"/>
      <c r="P1173" s="1"/>
      <c r="Q1173" s="62"/>
      <c r="X1173">
        <v>2025</v>
      </c>
    </row>
    <row r="1174" spans="1:24" x14ac:dyDescent="0.25">
      <c r="A1174" t="s">
        <v>1874</v>
      </c>
      <c r="B1174" s="52">
        <v>45860</v>
      </c>
      <c r="C1174" t="s">
        <v>1875</v>
      </c>
      <c r="D1174" t="s">
        <v>83</v>
      </c>
      <c r="E1174" t="s">
        <v>32</v>
      </c>
      <c r="F1174">
        <v>1000</v>
      </c>
      <c r="G1174">
        <v>1000</v>
      </c>
      <c r="H1174">
        <v>5</v>
      </c>
      <c r="I1174" s="1">
        <f t="shared" si="21"/>
        <v>5</v>
      </c>
      <c r="J1174" s="1">
        <v>600</v>
      </c>
      <c r="K1174" s="1">
        <v>375</v>
      </c>
      <c r="L1174" s="1">
        <v>3650</v>
      </c>
      <c r="M1174" s="1" t="s">
        <v>149</v>
      </c>
      <c r="N1174" s="1"/>
      <c r="O1174" s="1"/>
      <c r="P1174" s="1"/>
      <c r="Q1174" s="62"/>
      <c r="X1174">
        <v>2025</v>
      </c>
    </row>
    <row r="1175" spans="1:24" x14ac:dyDescent="0.25">
      <c r="A1175" t="s">
        <v>1876</v>
      </c>
      <c r="B1175" s="52">
        <v>45860</v>
      </c>
      <c r="C1175" t="s">
        <v>1875</v>
      </c>
      <c r="D1175" t="s">
        <v>83</v>
      </c>
      <c r="E1175" t="s">
        <v>27</v>
      </c>
      <c r="F1175">
        <v>1000</v>
      </c>
      <c r="G1175">
        <v>1000</v>
      </c>
      <c r="H1175">
        <v>5</v>
      </c>
      <c r="I1175" s="1">
        <f t="shared" si="21"/>
        <v>5</v>
      </c>
      <c r="J1175" s="1">
        <v>400</v>
      </c>
      <c r="K1175" s="1">
        <v>375</v>
      </c>
      <c r="L1175" s="1">
        <v>2500</v>
      </c>
      <c r="M1175" s="1" t="s">
        <v>149</v>
      </c>
      <c r="N1175" s="1"/>
      <c r="O1175" s="1"/>
      <c r="P1175" s="1"/>
      <c r="Q1175" s="62"/>
      <c r="X1175">
        <v>2025</v>
      </c>
    </row>
    <row r="1176" spans="1:24" x14ac:dyDescent="0.25">
      <c r="A1176" t="s">
        <v>1877</v>
      </c>
      <c r="B1176" s="52">
        <v>45861</v>
      </c>
      <c r="C1176" t="s">
        <v>1852</v>
      </c>
      <c r="D1176" t="s">
        <v>100</v>
      </c>
      <c r="E1176" t="s">
        <v>32</v>
      </c>
      <c r="F1176">
        <v>1000</v>
      </c>
      <c r="G1176">
        <v>1000</v>
      </c>
      <c r="H1176">
        <v>5</v>
      </c>
      <c r="I1176" s="1">
        <f t="shared" si="21"/>
        <v>5</v>
      </c>
      <c r="J1176" s="1">
        <v>600</v>
      </c>
      <c r="K1176" s="1">
        <v>375</v>
      </c>
      <c r="L1176" s="1">
        <v>3650</v>
      </c>
      <c r="M1176" s="1" t="s">
        <v>149</v>
      </c>
      <c r="N1176" s="1"/>
      <c r="O1176" s="1"/>
      <c r="P1176" s="1"/>
      <c r="Q1176" s="62"/>
      <c r="X1176">
        <v>2025</v>
      </c>
    </row>
    <row r="1177" spans="1:24" x14ac:dyDescent="0.25">
      <c r="A1177" t="s">
        <v>1878</v>
      </c>
      <c r="B1177" s="52">
        <v>45861</v>
      </c>
      <c r="C1177" t="s">
        <v>1879</v>
      </c>
      <c r="D1177" t="s">
        <v>57</v>
      </c>
      <c r="E1177" t="s">
        <v>37</v>
      </c>
      <c r="F1177">
        <v>1000</v>
      </c>
      <c r="G1177">
        <v>1000</v>
      </c>
      <c r="H1177">
        <v>5</v>
      </c>
      <c r="I1177" s="1">
        <f t="shared" si="21"/>
        <v>5</v>
      </c>
      <c r="J1177" s="1">
        <v>500</v>
      </c>
      <c r="K1177" s="1">
        <v>375</v>
      </c>
      <c r="L1177" s="1">
        <v>3000</v>
      </c>
      <c r="M1177" s="1" t="s">
        <v>149</v>
      </c>
      <c r="N1177" s="1"/>
      <c r="O1177" s="1"/>
      <c r="P1177" s="1"/>
      <c r="Q1177" s="62"/>
      <c r="X1177">
        <v>2025</v>
      </c>
    </row>
    <row r="1178" spans="1:24" x14ac:dyDescent="0.25">
      <c r="A1178" t="s">
        <v>1880</v>
      </c>
      <c r="B1178" s="52">
        <v>45863</v>
      </c>
      <c r="C1178" t="s">
        <v>1882</v>
      </c>
      <c r="D1178" t="s">
        <v>36</v>
      </c>
      <c r="E1178" t="s">
        <v>32</v>
      </c>
      <c r="F1178">
        <v>1620</v>
      </c>
      <c r="G1178">
        <v>1160</v>
      </c>
      <c r="H1178">
        <v>17</v>
      </c>
      <c r="I1178" s="1">
        <f t="shared" si="21"/>
        <v>31.946400000000001</v>
      </c>
      <c r="J1178" s="1">
        <v>508.16</v>
      </c>
      <c r="K1178" s="1">
        <v>1597.5</v>
      </c>
      <c r="L1178" s="1">
        <v>15436</v>
      </c>
      <c r="M1178" s="1" t="s">
        <v>449</v>
      </c>
      <c r="N1178" s="1" t="s">
        <v>149</v>
      </c>
      <c r="O1178" s="1"/>
      <c r="P1178" s="44" t="s">
        <v>149</v>
      </c>
      <c r="Q1178" s="62">
        <v>45901</v>
      </c>
      <c r="X1178">
        <v>2025</v>
      </c>
    </row>
    <row r="1179" spans="1:24" x14ac:dyDescent="0.25">
      <c r="A1179" t="s">
        <v>1881</v>
      </c>
      <c r="B1179" s="52">
        <v>45863</v>
      </c>
      <c r="C1179" t="s">
        <v>1882</v>
      </c>
      <c r="D1179" t="s">
        <v>36</v>
      </c>
      <c r="E1179" t="s">
        <v>32</v>
      </c>
      <c r="F1179">
        <v>1620</v>
      </c>
      <c r="G1179">
        <v>1160</v>
      </c>
      <c r="H1179">
        <v>34</v>
      </c>
      <c r="I1179" s="1">
        <f t="shared" si="21"/>
        <v>63.892800000000001</v>
      </c>
      <c r="J1179" s="1">
        <v>478.12</v>
      </c>
      <c r="K1179" s="1">
        <v>3194.5</v>
      </c>
      <c r="L1179" s="1">
        <v>30767.200000000001</v>
      </c>
      <c r="M1179" s="1" t="s">
        <v>449</v>
      </c>
      <c r="N1179" s="1" t="s">
        <v>149</v>
      </c>
      <c r="O1179" s="1"/>
      <c r="P1179" s="1"/>
      <c r="Q1179" s="62"/>
      <c r="X1179">
        <v>2025</v>
      </c>
    </row>
    <row r="1180" spans="1:24" x14ac:dyDescent="0.25">
      <c r="A1180" t="s">
        <v>1883</v>
      </c>
      <c r="B1180" s="52">
        <v>45863</v>
      </c>
      <c r="C1180" t="s">
        <v>1546</v>
      </c>
      <c r="D1180" t="s">
        <v>100</v>
      </c>
      <c r="E1180" t="s">
        <v>27</v>
      </c>
      <c r="F1180">
        <v>1000</v>
      </c>
      <c r="G1180">
        <v>1000</v>
      </c>
      <c r="H1180">
        <v>1000</v>
      </c>
      <c r="I1180" s="1">
        <f t="shared" si="21"/>
        <v>1000</v>
      </c>
      <c r="J1180" s="1">
        <v>260</v>
      </c>
      <c r="K1180" s="1">
        <v>25000</v>
      </c>
      <c r="L1180" s="1">
        <v>285000</v>
      </c>
      <c r="M1180" s="1" t="s">
        <v>149</v>
      </c>
      <c r="N1180" s="1"/>
      <c r="O1180" s="1"/>
      <c r="P1180" s="1"/>
      <c r="Q1180" s="62"/>
      <c r="X1180">
        <v>2025</v>
      </c>
    </row>
    <row r="1181" spans="1:24" x14ac:dyDescent="0.25">
      <c r="A1181" t="s">
        <v>1884</v>
      </c>
      <c r="B1181" s="52">
        <v>45863</v>
      </c>
      <c r="C1181" t="s">
        <v>1886</v>
      </c>
      <c r="D1181" t="s">
        <v>1887</v>
      </c>
      <c r="E1181" t="s">
        <v>27</v>
      </c>
      <c r="F1181">
        <v>1000</v>
      </c>
      <c r="G1181">
        <v>1000</v>
      </c>
      <c r="H1181">
        <v>5</v>
      </c>
      <c r="I1181" s="1">
        <f t="shared" si="21"/>
        <v>5</v>
      </c>
      <c r="J1181" s="1">
        <v>400</v>
      </c>
      <c r="K1181" s="1">
        <v>375</v>
      </c>
      <c r="L1181" s="1">
        <v>2500</v>
      </c>
      <c r="M1181" s="1" t="s">
        <v>149</v>
      </c>
      <c r="N1181" s="1"/>
      <c r="O1181" s="1"/>
      <c r="P1181" s="1"/>
      <c r="Q1181" s="62"/>
      <c r="X1181">
        <v>2025</v>
      </c>
    </row>
    <row r="1182" spans="1:24" x14ac:dyDescent="0.25">
      <c r="A1182" t="s">
        <v>1885</v>
      </c>
      <c r="B1182" s="52">
        <v>45863</v>
      </c>
      <c r="C1182" t="s">
        <v>1886</v>
      </c>
      <c r="D1182" t="s">
        <v>1887</v>
      </c>
      <c r="E1182" t="s">
        <v>32</v>
      </c>
      <c r="F1182">
        <v>1000</v>
      </c>
      <c r="G1182">
        <v>1000</v>
      </c>
      <c r="H1182">
        <v>5</v>
      </c>
      <c r="I1182" s="1">
        <f t="shared" si="21"/>
        <v>5</v>
      </c>
      <c r="J1182" s="1">
        <v>600</v>
      </c>
      <c r="K1182" s="1">
        <v>375</v>
      </c>
      <c r="L1182" s="1">
        <v>3650</v>
      </c>
      <c r="M1182" s="1" t="s">
        <v>149</v>
      </c>
      <c r="N1182" s="1"/>
      <c r="O1182" s="1"/>
      <c r="P1182" s="1"/>
      <c r="Q1182" s="62"/>
      <c r="X1182">
        <v>2025</v>
      </c>
    </row>
    <row r="1183" spans="1:24" x14ac:dyDescent="0.25">
      <c r="A1183" t="s">
        <v>1888</v>
      </c>
      <c r="B1183" s="52">
        <v>45863</v>
      </c>
      <c r="C1183" t="s">
        <v>1889</v>
      </c>
      <c r="D1183" t="s">
        <v>57</v>
      </c>
      <c r="E1183" t="s">
        <v>27</v>
      </c>
      <c r="F1183">
        <v>1000</v>
      </c>
      <c r="G1183">
        <v>1000</v>
      </c>
      <c r="H1183">
        <v>5</v>
      </c>
      <c r="I1183" s="1">
        <f t="shared" si="21"/>
        <v>5</v>
      </c>
      <c r="J1183" s="1">
        <v>400</v>
      </c>
      <c r="K1183" s="1">
        <v>375</v>
      </c>
      <c r="L1183" s="1">
        <v>2500</v>
      </c>
      <c r="M1183" s="1" t="s">
        <v>149</v>
      </c>
      <c r="N1183" s="1"/>
      <c r="O1183" s="1"/>
      <c r="P1183" s="1"/>
      <c r="Q1183" s="62"/>
      <c r="X1183">
        <v>2025</v>
      </c>
    </row>
    <row r="1184" spans="1:24" x14ac:dyDescent="0.25">
      <c r="A1184" t="s">
        <v>1890</v>
      </c>
      <c r="B1184" s="52">
        <v>45863</v>
      </c>
      <c r="C1184" t="s">
        <v>1893</v>
      </c>
      <c r="D1184" t="s">
        <v>57</v>
      </c>
      <c r="E1184" t="s">
        <v>27</v>
      </c>
      <c r="F1184">
        <v>1000</v>
      </c>
      <c r="G1184">
        <v>1000</v>
      </c>
      <c r="H1184">
        <v>5</v>
      </c>
      <c r="I1184" s="1">
        <f t="shared" si="21"/>
        <v>5</v>
      </c>
      <c r="J1184" s="1">
        <v>400</v>
      </c>
      <c r="K1184" s="1">
        <v>375</v>
      </c>
      <c r="L1184" s="1">
        <v>2500</v>
      </c>
      <c r="M1184" s="1" t="s">
        <v>149</v>
      </c>
      <c r="N1184" s="1"/>
      <c r="O1184" s="1"/>
      <c r="P1184" s="1"/>
      <c r="Q1184" s="62"/>
      <c r="X1184">
        <v>2025</v>
      </c>
    </row>
    <row r="1185" spans="1:24" x14ac:dyDescent="0.25">
      <c r="A1185" t="s">
        <v>1891</v>
      </c>
      <c r="B1185" s="52">
        <v>45863</v>
      </c>
      <c r="C1185" t="s">
        <v>1893</v>
      </c>
      <c r="D1185" t="s">
        <v>57</v>
      </c>
      <c r="E1185" t="s">
        <v>37</v>
      </c>
      <c r="F1185">
        <v>1000</v>
      </c>
      <c r="G1185">
        <v>1000</v>
      </c>
      <c r="H1185">
        <v>5</v>
      </c>
      <c r="I1185" s="1">
        <f t="shared" si="21"/>
        <v>5</v>
      </c>
      <c r="J1185" s="1">
        <v>500</v>
      </c>
      <c r="K1185" s="1">
        <v>375</v>
      </c>
      <c r="L1185" s="1">
        <v>3000</v>
      </c>
      <c r="M1185" s="1" t="s">
        <v>149</v>
      </c>
      <c r="N1185" s="1"/>
      <c r="O1185" s="1"/>
      <c r="P1185" s="1"/>
      <c r="Q1185" s="62"/>
      <c r="X1185">
        <v>2025</v>
      </c>
    </row>
    <row r="1186" spans="1:24" x14ac:dyDescent="0.25">
      <c r="A1186" t="s">
        <v>1892</v>
      </c>
      <c r="B1186" s="52">
        <v>45863</v>
      </c>
      <c r="C1186" t="s">
        <v>1893</v>
      </c>
      <c r="D1186" t="s">
        <v>57</v>
      </c>
      <c r="E1186" t="s">
        <v>1894</v>
      </c>
      <c r="F1186">
        <v>1000</v>
      </c>
      <c r="G1186">
        <v>1000</v>
      </c>
      <c r="H1186">
        <v>5</v>
      </c>
      <c r="I1186" s="1">
        <f t="shared" si="21"/>
        <v>5</v>
      </c>
      <c r="J1186" s="1">
        <v>600</v>
      </c>
      <c r="K1186" s="1">
        <v>375</v>
      </c>
      <c r="L1186" s="1">
        <v>3650</v>
      </c>
      <c r="M1186" s="1" t="s">
        <v>149</v>
      </c>
      <c r="N1186" s="1"/>
      <c r="O1186" s="1"/>
      <c r="P1186" s="1"/>
      <c r="Q1186" s="62"/>
      <c r="X1186">
        <v>2025</v>
      </c>
    </row>
    <row r="1187" spans="1:24" x14ac:dyDescent="0.25">
      <c r="A1187" t="s">
        <v>1895</v>
      </c>
      <c r="B1187" s="52">
        <v>45863</v>
      </c>
      <c r="C1187" t="s">
        <v>1896</v>
      </c>
      <c r="D1187" t="s">
        <v>80</v>
      </c>
      <c r="E1187" t="s">
        <v>27</v>
      </c>
      <c r="F1187">
        <v>1000</v>
      </c>
      <c r="G1187">
        <v>1000</v>
      </c>
      <c r="H1187">
        <v>5</v>
      </c>
      <c r="I1187" s="1">
        <f t="shared" si="21"/>
        <v>5</v>
      </c>
      <c r="J1187" s="1">
        <v>400</v>
      </c>
      <c r="K1187" s="1">
        <v>375</v>
      </c>
      <c r="L1187" s="1">
        <v>2500</v>
      </c>
      <c r="M1187" s="1" t="s">
        <v>149</v>
      </c>
      <c r="N1187" s="1"/>
      <c r="O1187" s="1"/>
      <c r="P1187" s="1"/>
      <c r="Q1187" s="62"/>
      <c r="X1187">
        <v>2025</v>
      </c>
    </row>
    <row r="1188" spans="1:24" x14ac:dyDescent="0.25">
      <c r="A1188" t="s">
        <v>1897</v>
      </c>
      <c r="B1188" s="52">
        <v>45867</v>
      </c>
      <c r="C1188" t="s">
        <v>1903</v>
      </c>
      <c r="D1188" t="s">
        <v>100</v>
      </c>
      <c r="E1188" t="s">
        <v>27</v>
      </c>
      <c r="F1188">
        <v>613</v>
      </c>
      <c r="G1188">
        <v>653</v>
      </c>
      <c r="H1188">
        <v>65</v>
      </c>
      <c r="I1188" s="1">
        <f t="shared" si="21"/>
        <v>26.018785000000001</v>
      </c>
      <c r="J1188" s="1">
        <v>323.33</v>
      </c>
      <c r="K1188" s="1">
        <f>Table13[[#This Row],[Total sqm]]*50</f>
        <v>1300.9392500000001</v>
      </c>
      <c r="L1188" s="1">
        <v>9863.99</v>
      </c>
      <c r="M1188" s="1" t="s">
        <v>149</v>
      </c>
      <c r="N1188" s="1"/>
      <c r="O1188" s="1"/>
      <c r="P1188" s="1"/>
      <c r="Q1188" s="62"/>
      <c r="X1188">
        <v>2025</v>
      </c>
    </row>
    <row r="1189" spans="1:24" x14ac:dyDescent="0.25">
      <c r="A1189" t="s">
        <v>1898</v>
      </c>
      <c r="B1189" s="52">
        <v>45867</v>
      </c>
      <c r="C1189" t="s">
        <v>1903</v>
      </c>
      <c r="D1189" t="s">
        <v>100</v>
      </c>
      <c r="E1189" t="s">
        <v>27</v>
      </c>
      <c r="F1189">
        <v>1023</v>
      </c>
      <c r="G1189">
        <v>1077</v>
      </c>
      <c r="H1189">
        <v>140</v>
      </c>
      <c r="I1189" s="1">
        <f t="shared" si="21"/>
        <v>154.24794</v>
      </c>
      <c r="J1189" s="1">
        <v>278.33999999999997</v>
      </c>
      <c r="K1189" s="1">
        <v>3856.2</v>
      </c>
      <c r="L1189" s="1">
        <v>47240.160000000003</v>
      </c>
      <c r="M1189" s="1" t="s">
        <v>149</v>
      </c>
      <c r="N1189" s="1"/>
      <c r="O1189" s="1"/>
      <c r="P1189" s="1"/>
      <c r="Q1189" s="62"/>
      <c r="X1189">
        <v>2025</v>
      </c>
    </row>
    <row r="1190" spans="1:24" x14ac:dyDescent="0.25">
      <c r="A1190" t="s">
        <v>1899</v>
      </c>
      <c r="B1190" s="52">
        <v>45867</v>
      </c>
      <c r="C1190" t="s">
        <v>1903</v>
      </c>
      <c r="D1190" t="s">
        <v>100</v>
      </c>
      <c r="E1190" t="s">
        <v>27</v>
      </c>
      <c r="F1190">
        <v>504</v>
      </c>
      <c r="G1190">
        <v>504</v>
      </c>
      <c r="H1190">
        <v>110</v>
      </c>
      <c r="I1190" s="1">
        <f t="shared" si="21"/>
        <v>27.941759999999999</v>
      </c>
      <c r="J1190" s="1">
        <v>320.18</v>
      </c>
      <c r="K1190" s="1">
        <f>Table13[[#This Row],[Total sqm]]*50</f>
        <v>1397.088</v>
      </c>
      <c r="L1190" s="1">
        <v>10552.92</v>
      </c>
      <c r="M1190" s="1" t="s">
        <v>149</v>
      </c>
      <c r="N1190" s="1"/>
      <c r="O1190" s="1"/>
      <c r="P1190" s="1"/>
      <c r="Q1190" s="62"/>
      <c r="X1190">
        <v>2025</v>
      </c>
    </row>
    <row r="1191" spans="1:24" x14ac:dyDescent="0.25">
      <c r="A1191" t="s">
        <v>1900</v>
      </c>
      <c r="B1191" s="52">
        <v>45867</v>
      </c>
      <c r="C1191" t="s">
        <v>1903</v>
      </c>
      <c r="D1191" t="s">
        <v>100</v>
      </c>
      <c r="E1191" t="s">
        <v>37</v>
      </c>
      <c r="F1191">
        <v>613</v>
      </c>
      <c r="G1191">
        <v>653</v>
      </c>
      <c r="H1191">
        <v>65</v>
      </c>
      <c r="I1191" s="1">
        <f t="shared" si="21"/>
        <v>26.018785000000001</v>
      </c>
      <c r="J1191" s="1">
        <v>420.33</v>
      </c>
      <c r="K1191" s="1">
        <f>Table13[[#This Row],[Total sqm]]*50</f>
        <v>1300.9392500000001</v>
      </c>
      <c r="L1191" s="1">
        <v>12387.93</v>
      </c>
      <c r="M1191" s="1" t="s">
        <v>149</v>
      </c>
      <c r="N1191" s="1"/>
      <c r="O1191" s="1"/>
      <c r="P1191" s="1"/>
      <c r="Q1191" s="62"/>
      <c r="X1191">
        <v>2025</v>
      </c>
    </row>
    <row r="1192" spans="1:24" x14ac:dyDescent="0.25">
      <c r="A1192" t="s">
        <v>1901</v>
      </c>
      <c r="B1192" s="52">
        <v>45867</v>
      </c>
      <c r="C1192" t="s">
        <v>1903</v>
      </c>
      <c r="D1192" t="s">
        <v>100</v>
      </c>
      <c r="E1192" t="s">
        <v>37</v>
      </c>
      <c r="F1192">
        <v>1023</v>
      </c>
      <c r="G1192">
        <v>1077</v>
      </c>
      <c r="H1192">
        <v>140</v>
      </c>
      <c r="I1192" s="1">
        <f t="shared" si="21"/>
        <v>154.24794</v>
      </c>
      <c r="J1192" s="1">
        <v>361.85</v>
      </c>
      <c r="K1192" s="1">
        <v>3856.2</v>
      </c>
      <c r="L1192" s="1">
        <v>60121.56</v>
      </c>
      <c r="M1192" s="1" t="s">
        <v>149</v>
      </c>
      <c r="N1192" s="1"/>
      <c r="O1192" s="1"/>
      <c r="P1192" s="1"/>
      <c r="Q1192" s="62"/>
      <c r="X1192">
        <v>2025</v>
      </c>
    </row>
    <row r="1193" spans="1:24" x14ac:dyDescent="0.25">
      <c r="A1193" t="s">
        <v>1902</v>
      </c>
      <c r="B1193" s="52">
        <v>45867</v>
      </c>
      <c r="C1193" t="s">
        <v>1903</v>
      </c>
      <c r="D1193" t="s">
        <v>100</v>
      </c>
      <c r="E1193" t="s">
        <v>37</v>
      </c>
      <c r="F1193">
        <v>504</v>
      </c>
      <c r="G1193">
        <v>504</v>
      </c>
      <c r="H1193">
        <v>110</v>
      </c>
      <c r="I1193" s="1">
        <f t="shared" si="21"/>
        <v>27.941759999999999</v>
      </c>
      <c r="J1193" s="1">
        <v>416.24</v>
      </c>
      <c r="K1193" s="1">
        <f>Table13[[#This Row],[Total sqm]]*50</f>
        <v>1397.088</v>
      </c>
      <c r="L1193" s="1">
        <v>13263.84</v>
      </c>
      <c r="M1193" s="1" t="s">
        <v>149</v>
      </c>
      <c r="N1193" s="1"/>
      <c r="O1193" s="1"/>
      <c r="P1193" s="1"/>
      <c r="Q1193" s="62"/>
      <c r="X1193">
        <v>2025</v>
      </c>
    </row>
    <row r="1194" spans="1:24" x14ac:dyDescent="0.25">
      <c r="A1194" t="s">
        <v>1904</v>
      </c>
      <c r="B1194" s="52">
        <v>45867</v>
      </c>
      <c r="C1194" t="s">
        <v>1569</v>
      </c>
      <c r="D1194" t="s">
        <v>52</v>
      </c>
      <c r="E1194" t="s">
        <v>27</v>
      </c>
      <c r="F1194">
        <v>1000</v>
      </c>
      <c r="G1194">
        <v>1000</v>
      </c>
      <c r="H1194">
        <v>5</v>
      </c>
      <c r="I1194" s="1">
        <f t="shared" si="21"/>
        <v>5</v>
      </c>
      <c r="J1194" s="1">
        <v>400</v>
      </c>
      <c r="K1194" s="1">
        <v>375</v>
      </c>
      <c r="L1194" s="1">
        <v>2450</v>
      </c>
      <c r="M1194" s="1" t="s">
        <v>149</v>
      </c>
      <c r="N1194" s="1"/>
      <c r="O1194" s="1"/>
      <c r="P1194" s="44" t="s">
        <v>149</v>
      </c>
      <c r="Q1194" s="62">
        <v>45868</v>
      </c>
      <c r="X1194">
        <v>2025</v>
      </c>
    </row>
    <row r="1195" spans="1:24" x14ac:dyDescent="0.25">
      <c r="A1195" t="s">
        <v>1905</v>
      </c>
      <c r="B1195" s="52">
        <v>45867</v>
      </c>
      <c r="C1195" t="s">
        <v>1906</v>
      </c>
      <c r="D1195" t="s">
        <v>57</v>
      </c>
      <c r="E1195" t="s">
        <v>27</v>
      </c>
      <c r="F1195">
        <v>1000</v>
      </c>
      <c r="G1195">
        <v>1000</v>
      </c>
      <c r="H1195">
        <v>5</v>
      </c>
      <c r="I1195" s="1">
        <f t="shared" si="21"/>
        <v>5</v>
      </c>
      <c r="J1195" s="1">
        <v>400</v>
      </c>
      <c r="K1195" s="1">
        <v>375</v>
      </c>
      <c r="L1195" s="1">
        <v>2500</v>
      </c>
      <c r="M1195" s="1" t="s">
        <v>149</v>
      </c>
      <c r="N1195" s="1"/>
      <c r="O1195" s="1"/>
      <c r="P1195" s="1"/>
      <c r="Q1195" s="62"/>
      <c r="T1195" s="3">
        <v>45915</v>
      </c>
      <c r="U1195">
        <v>400</v>
      </c>
      <c r="V1195">
        <v>375</v>
      </c>
      <c r="W1195">
        <v>2500</v>
      </c>
      <c r="X1195">
        <v>2025</v>
      </c>
    </row>
    <row r="1196" spans="1:24" x14ac:dyDescent="0.25">
      <c r="A1196" t="s">
        <v>1907</v>
      </c>
      <c r="B1196" s="52">
        <v>45867</v>
      </c>
      <c r="C1196" t="s">
        <v>466</v>
      </c>
      <c r="D1196" t="s">
        <v>157</v>
      </c>
      <c r="E1196" t="s">
        <v>27</v>
      </c>
      <c r="F1196">
        <v>1438</v>
      </c>
      <c r="G1196">
        <v>1438</v>
      </c>
      <c r="H1196">
        <v>25</v>
      </c>
      <c r="I1196" s="1">
        <f t="shared" si="21"/>
        <v>51.696100000000001</v>
      </c>
      <c r="J1196" s="1">
        <v>300.62</v>
      </c>
      <c r="K1196" s="1">
        <v>2585</v>
      </c>
      <c r="L1196" s="1">
        <v>17946.43</v>
      </c>
      <c r="M1196" s="1" t="s">
        <v>149</v>
      </c>
      <c r="N1196" s="1"/>
      <c r="O1196" s="1"/>
      <c r="P1196" s="1"/>
      <c r="Q1196" s="62"/>
      <c r="X1196">
        <v>2025</v>
      </c>
    </row>
    <row r="1197" spans="1:24" x14ac:dyDescent="0.25">
      <c r="A1197" t="s">
        <v>1908</v>
      </c>
      <c r="B1197" s="52">
        <v>45869</v>
      </c>
      <c r="C1197" t="s">
        <v>1514</v>
      </c>
      <c r="D1197" t="s">
        <v>36</v>
      </c>
      <c r="E1197" t="s">
        <v>32</v>
      </c>
      <c r="F1197">
        <v>1610</v>
      </c>
      <c r="G1197">
        <v>950</v>
      </c>
      <c r="H1197">
        <v>785</v>
      </c>
      <c r="I1197" s="1">
        <f t="shared" si="21"/>
        <v>1200.6575</v>
      </c>
      <c r="J1197" s="1">
        <v>325</v>
      </c>
      <c r="K1197" s="1">
        <v>30016.5</v>
      </c>
      <c r="L1197" s="1">
        <v>420981</v>
      </c>
      <c r="M1197" s="1" t="s">
        <v>449</v>
      </c>
      <c r="N1197" s="1" t="s">
        <v>149</v>
      </c>
      <c r="O1197" s="1"/>
      <c r="P1197" s="44" t="s">
        <v>149</v>
      </c>
      <c r="Q1197" s="62">
        <v>45867</v>
      </c>
      <c r="S1197" t="s">
        <v>1922</v>
      </c>
      <c r="X1197">
        <v>2025</v>
      </c>
    </row>
    <row r="1198" spans="1:24" x14ac:dyDescent="0.25">
      <c r="A1198" t="s">
        <v>1909</v>
      </c>
      <c r="B1198" s="52">
        <v>45869</v>
      </c>
      <c r="C1198" t="s">
        <v>1910</v>
      </c>
      <c r="D1198" t="s">
        <v>83</v>
      </c>
      <c r="E1198" t="s">
        <v>27</v>
      </c>
      <c r="F1198">
        <v>1000</v>
      </c>
      <c r="G1198">
        <v>1000</v>
      </c>
      <c r="H1198">
        <v>5</v>
      </c>
      <c r="I1198" s="1">
        <f t="shared" si="21"/>
        <v>5</v>
      </c>
      <c r="J1198" s="1">
        <v>400</v>
      </c>
      <c r="K1198" s="1">
        <v>375</v>
      </c>
      <c r="L1198" s="1">
        <v>2500</v>
      </c>
      <c r="M1198" s="1" t="s">
        <v>149</v>
      </c>
      <c r="N1198" s="1"/>
      <c r="O1198" s="1"/>
      <c r="P1198" s="1"/>
      <c r="Q1198" s="62"/>
      <c r="X1198">
        <v>2025</v>
      </c>
    </row>
    <row r="1199" spans="1:24" x14ac:dyDescent="0.25">
      <c r="A1199" t="s">
        <v>1911</v>
      </c>
      <c r="B1199" s="52">
        <v>45873</v>
      </c>
      <c r="C1199" t="s">
        <v>742</v>
      </c>
      <c r="D1199" t="s">
        <v>57</v>
      </c>
      <c r="E1199" t="s">
        <v>27</v>
      </c>
      <c r="F1199">
        <v>1000</v>
      </c>
      <c r="G1199">
        <v>1000</v>
      </c>
      <c r="H1199">
        <v>5</v>
      </c>
      <c r="I1199" s="1">
        <f t="shared" ref="I1199:I1262" si="22">$F1199*$G1199*$H1199/1000000</f>
        <v>5</v>
      </c>
      <c r="J1199" s="1">
        <v>270</v>
      </c>
      <c r="K1199" s="1">
        <v>375</v>
      </c>
      <c r="L1199" s="1">
        <v>1725</v>
      </c>
      <c r="M1199" s="1" t="s">
        <v>449</v>
      </c>
      <c r="N1199" s="1" t="s">
        <v>149</v>
      </c>
      <c r="O1199" s="1"/>
      <c r="P1199" s="44" t="s">
        <v>149</v>
      </c>
      <c r="Q1199" s="62">
        <v>45876</v>
      </c>
      <c r="S1199" t="s">
        <v>1921</v>
      </c>
      <c r="X1199">
        <v>2025</v>
      </c>
    </row>
    <row r="1200" spans="1:24" x14ac:dyDescent="0.25">
      <c r="A1200" t="s">
        <v>1913</v>
      </c>
      <c r="B1200" s="52">
        <v>45874</v>
      </c>
      <c r="C1200" t="s">
        <v>1912</v>
      </c>
      <c r="D1200" t="s">
        <v>46</v>
      </c>
      <c r="E1200" t="s">
        <v>27</v>
      </c>
      <c r="F1200">
        <v>1700</v>
      </c>
      <c r="G1200">
        <v>1700</v>
      </c>
      <c r="H1200">
        <v>311</v>
      </c>
      <c r="I1200" s="1">
        <f t="shared" si="22"/>
        <v>898.79</v>
      </c>
      <c r="J1200" s="1">
        <v>250</v>
      </c>
      <c r="K1200" s="1">
        <v>0</v>
      </c>
      <c r="L1200" s="1">
        <f>Table13[[#This Row],[Total sqm]]*Table13[[#This Row],[Eur /m2]]</f>
        <v>224697.5</v>
      </c>
      <c r="M1200" s="1" t="s">
        <v>449</v>
      </c>
      <c r="N1200" s="1" t="s">
        <v>149</v>
      </c>
      <c r="O1200" s="1"/>
      <c r="P1200" s="1"/>
      <c r="Q1200" s="62"/>
      <c r="X1200">
        <v>2025</v>
      </c>
    </row>
    <row r="1201" spans="1:24" x14ac:dyDescent="0.25">
      <c r="B1201" s="52"/>
      <c r="D1201" t="s">
        <v>46</v>
      </c>
      <c r="E1201" t="s">
        <v>27</v>
      </c>
      <c r="F1201">
        <v>1700</v>
      </c>
      <c r="G1201">
        <v>1700</v>
      </c>
      <c r="H1201">
        <v>35</v>
      </c>
      <c r="I1201" s="1">
        <f t="shared" si="22"/>
        <v>101.15</v>
      </c>
      <c r="J1201" s="1">
        <v>0</v>
      </c>
      <c r="K1201" s="1">
        <v>0</v>
      </c>
      <c r="L1201" s="1">
        <v>0</v>
      </c>
      <c r="M1201" s="1" t="s">
        <v>449</v>
      </c>
      <c r="N1201" s="1" t="s">
        <v>149</v>
      </c>
      <c r="O1201" s="1"/>
      <c r="P1201" s="1"/>
      <c r="Q1201" s="62"/>
      <c r="X1201">
        <v>2025</v>
      </c>
    </row>
    <row r="1202" spans="1:24" x14ac:dyDescent="0.25">
      <c r="A1202" t="s">
        <v>1914</v>
      </c>
      <c r="B1202" s="52">
        <v>45874</v>
      </c>
      <c r="C1202" t="s">
        <v>1915</v>
      </c>
      <c r="D1202" t="s">
        <v>157</v>
      </c>
      <c r="E1202" t="s">
        <v>27</v>
      </c>
      <c r="F1202">
        <v>1438</v>
      </c>
      <c r="G1202">
        <v>1438</v>
      </c>
      <c r="H1202">
        <v>12</v>
      </c>
      <c r="I1202" s="1">
        <f t="shared" si="22"/>
        <v>24.814128</v>
      </c>
      <c r="J1202" s="1">
        <v>325.56</v>
      </c>
      <c r="K1202" s="1">
        <v>1240.5</v>
      </c>
      <c r="L1202" s="1">
        <v>9417.64</v>
      </c>
      <c r="M1202" s="1" t="s">
        <v>149</v>
      </c>
      <c r="N1202" s="1"/>
      <c r="O1202" s="1"/>
      <c r="P1202" s="44" t="s">
        <v>149</v>
      </c>
      <c r="Q1202" s="62">
        <v>45874</v>
      </c>
      <c r="X1202">
        <v>2025</v>
      </c>
    </row>
    <row r="1203" spans="1:24" x14ac:dyDescent="0.25">
      <c r="A1203" t="s">
        <v>1916</v>
      </c>
      <c r="B1203" s="52">
        <v>45876</v>
      </c>
      <c r="C1203" t="s">
        <v>508</v>
      </c>
      <c r="D1203" t="s">
        <v>31</v>
      </c>
      <c r="E1203" t="s">
        <v>27</v>
      </c>
      <c r="F1203">
        <v>1512</v>
      </c>
      <c r="G1203">
        <v>1512</v>
      </c>
      <c r="H1203">
        <v>22</v>
      </c>
      <c r="I1203" s="1">
        <f t="shared" si="22"/>
        <v>50.295167999999997</v>
      </c>
      <c r="J1203" s="1">
        <v>490.28</v>
      </c>
      <c r="K1203" s="1">
        <v>2515</v>
      </c>
      <c r="L1203" s="1">
        <v>17353.5</v>
      </c>
      <c r="M1203" s="1" t="s">
        <v>449</v>
      </c>
      <c r="N1203" s="1" t="s">
        <v>149</v>
      </c>
      <c r="O1203" s="1"/>
      <c r="P1203" s="1"/>
      <c r="Q1203" s="62"/>
      <c r="X1203">
        <v>2025</v>
      </c>
    </row>
    <row r="1204" spans="1:24" x14ac:dyDescent="0.25">
      <c r="A1204" t="s">
        <v>1917</v>
      </c>
      <c r="B1204" s="52">
        <v>45876</v>
      </c>
      <c r="C1204" t="s">
        <v>508</v>
      </c>
      <c r="D1204" t="s">
        <v>31</v>
      </c>
      <c r="E1204" t="s">
        <v>32</v>
      </c>
      <c r="F1204">
        <v>1512</v>
      </c>
      <c r="G1204">
        <v>1512</v>
      </c>
      <c r="H1204">
        <v>22</v>
      </c>
      <c r="I1204" s="1">
        <f t="shared" si="22"/>
        <v>50.295167999999997</v>
      </c>
      <c r="J1204" s="1">
        <v>295</v>
      </c>
      <c r="K1204" s="1">
        <v>2515</v>
      </c>
      <c r="L1204" s="1">
        <v>27176.080000000002</v>
      </c>
      <c r="M1204" s="1" t="s">
        <v>449</v>
      </c>
      <c r="N1204" s="1" t="s">
        <v>149</v>
      </c>
      <c r="O1204" s="1"/>
      <c r="P1204" s="1"/>
      <c r="Q1204" s="62"/>
      <c r="X1204">
        <v>2025</v>
      </c>
    </row>
    <row r="1205" spans="1:24" x14ac:dyDescent="0.25">
      <c r="A1205" t="s">
        <v>1918</v>
      </c>
      <c r="B1205" s="52">
        <v>45876</v>
      </c>
      <c r="C1205" t="s">
        <v>1919</v>
      </c>
      <c r="D1205" t="s">
        <v>57</v>
      </c>
      <c r="E1205" t="s">
        <v>27</v>
      </c>
      <c r="F1205">
        <v>1000</v>
      </c>
      <c r="G1205">
        <v>1000</v>
      </c>
      <c r="H1205">
        <v>5</v>
      </c>
      <c r="I1205" s="1">
        <f t="shared" si="22"/>
        <v>5</v>
      </c>
      <c r="J1205" s="1">
        <v>270</v>
      </c>
      <c r="K1205" s="1">
        <v>125</v>
      </c>
      <c r="L1205" s="1">
        <v>1850</v>
      </c>
      <c r="M1205" s="1" t="s">
        <v>449</v>
      </c>
      <c r="N1205" s="1" t="s">
        <v>149</v>
      </c>
      <c r="O1205" s="1"/>
      <c r="P1205" s="1"/>
      <c r="Q1205" s="62"/>
      <c r="X1205">
        <v>2025</v>
      </c>
    </row>
    <row r="1206" spans="1:24" x14ac:dyDescent="0.25">
      <c r="A1206" t="s">
        <v>1920</v>
      </c>
      <c r="B1206" s="52">
        <v>45876</v>
      </c>
      <c r="C1206" t="s">
        <v>1829</v>
      </c>
      <c r="D1206" t="s">
        <v>31</v>
      </c>
      <c r="E1206" t="s">
        <v>27</v>
      </c>
      <c r="F1206">
        <v>1500</v>
      </c>
      <c r="G1206">
        <v>1500</v>
      </c>
      <c r="H1206">
        <v>2</v>
      </c>
      <c r="I1206" s="1">
        <f t="shared" si="22"/>
        <v>4.5</v>
      </c>
      <c r="J1206" s="1">
        <v>400</v>
      </c>
      <c r="K1206" s="1">
        <v>375</v>
      </c>
      <c r="L1206" s="1">
        <v>2295</v>
      </c>
      <c r="M1206" s="1" t="s">
        <v>449</v>
      </c>
      <c r="N1206" s="1" t="s">
        <v>149</v>
      </c>
      <c r="O1206" s="1"/>
      <c r="P1206" s="44" t="s">
        <v>149</v>
      </c>
      <c r="Q1206" s="62">
        <v>45877</v>
      </c>
      <c r="X1206">
        <v>2025</v>
      </c>
    </row>
    <row r="1207" spans="1:24" x14ac:dyDescent="0.25">
      <c r="A1207" t="s">
        <v>1923</v>
      </c>
      <c r="B1207" s="52">
        <v>45881</v>
      </c>
      <c r="C1207" t="s">
        <v>1546</v>
      </c>
      <c r="D1207" t="s">
        <v>100</v>
      </c>
      <c r="E1207" t="s">
        <v>27</v>
      </c>
      <c r="F1207">
        <v>1000</v>
      </c>
      <c r="G1207">
        <v>1000</v>
      </c>
      <c r="H1207">
        <v>1000</v>
      </c>
      <c r="I1207" s="1">
        <f t="shared" si="22"/>
        <v>1000</v>
      </c>
      <c r="J1207" s="1">
        <v>260</v>
      </c>
      <c r="K1207" s="1">
        <v>25000</v>
      </c>
      <c r="L1207" s="1">
        <f>285000+1250</f>
        <v>286250</v>
      </c>
      <c r="M1207" s="1" t="s">
        <v>149</v>
      </c>
      <c r="N1207" s="1"/>
      <c r="O1207" s="1"/>
      <c r="P1207" s="1"/>
      <c r="Q1207" s="62"/>
      <c r="X1207">
        <v>2025</v>
      </c>
    </row>
    <row r="1208" spans="1:24" x14ac:dyDescent="0.25">
      <c r="A1208" t="s">
        <v>1925</v>
      </c>
      <c r="B1208" s="52">
        <v>45881</v>
      </c>
      <c r="C1208" t="s">
        <v>1546</v>
      </c>
      <c r="D1208" t="s">
        <v>100</v>
      </c>
      <c r="E1208" t="s">
        <v>1924</v>
      </c>
      <c r="F1208">
        <v>1000</v>
      </c>
      <c r="G1208">
        <v>1000</v>
      </c>
      <c r="H1208">
        <v>10</v>
      </c>
      <c r="I1208" s="1">
        <f t="shared" si="22"/>
        <v>10</v>
      </c>
      <c r="J1208" s="1">
        <v>356.92</v>
      </c>
      <c r="K1208" s="1">
        <v>750</v>
      </c>
      <c r="L1208" s="1">
        <v>4544.2</v>
      </c>
      <c r="M1208" s="1" t="s">
        <v>149</v>
      </c>
      <c r="N1208" s="1"/>
      <c r="O1208" s="1"/>
      <c r="P1208" s="44" t="s">
        <v>149</v>
      </c>
      <c r="Q1208" s="62">
        <v>45910</v>
      </c>
      <c r="S1208" t="s">
        <v>1958</v>
      </c>
      <c r="T1208" s="3">
        <v>45910</v>
      </c>
      <c r="U1208">
        <v>356.95</v>
      </c>
      <c r="V1208">
        <v>750</v>
      </c>
      <c r="W1208" s="1">
        <v>4544.2</v>
      </c>
      <c r="X1208">
        <v>2025</v>
      </c>
    </row>
    <row r="1209" spans="1:24" x14ac:dyDescent="0.25">
      <c r="A1209" t="s">
        <v>1926</v>
      </c>
      <c r="B1209" s="52">
        <v>45881</v>
      </c>
      <c r="C1209" t="s">
        <v>1927</v>
      </c>
      <c r="D1209" t="s">
        <v>31</v>
      </c>
      <c r="E1209" t="s">
        <v>32</v>
      </c>
      <c r="F1209">
        <v>1000</v>
      </c>
      <c r="G1209">
        <v>1000</v>
      </c>
      <c r="H1209">
        <v>5</v>
      </c>
      <c r="I1209" s="1">
        <f t="shared" si="22"/>
        <v>5</v>
      </c>
      <c r="J1209" s="1">
        <v>600</v>
      </c>
      <c r="K1209" s="1">
        <v>375</v>
      </c>
      <c r="L1209" s="1">
        <v>3650</v>
      </c>
      <c r="M1209" s="1" t="s">
        <v>149</v>
      </c>
      <c r="N1209" s="1"/>
      <c r="O1209" s="1"/>
      <c r="P1209" s="44" t="s">
        <v>149</v>
      </c>
      <c r="Q1209" s="62">
        <v>45884</v>
      </c>
      <c r="W1209" s="1"/>
      <c r="X1209">
        <v>2025</v>
      </c>
    </row>
    <row r="1210" spans="1:24" x14ac:dyDescent="0.25">
      <c r="A1210" t="s">
        <v>1928</v>
      </c>
      <c r="B1210" s="52">
        <v>45887</v>
      </c>
      <c r="C1210" t="s">
        <v>1265</v>
      </c>
      <c r="D1210" t="s">
        <v>42</v>
      </c>
      <c r="E1210" t="s">
        <v>27</v>
      </c>
      <c r="F1210">
        <v>379</v>
      </c>
      <c r="G1210">
        <v>379</v>
      </c>
      <c r="H1210">
        <v>7200</v>
      </c>
      <c r="I1210" s="1">
        <f t="shared" si="22"/>
        <v>1034.2152000000001</v>
      </c>
      <c r="J1210" s="1">
        <v>265</v>
      </c>
      <c r="K1210" s="1">
        <v>0</v>
      </c>
      <c r="L1210" s="1">
        <v>274052.40000000002</v>
      </c>
      <c r="M1210" s="1" t="s">
        <v>449</v>
      </c>
      <c r="N1210" s="1" t="s">
        <v>149</v>
      </c>
      <c r="O1210" s="1"/>
      <c r="P1210" s="1"/>
      <c r="Q1210" s="62"/>
      <c r="W1210" s="1"/>
      <c r="X1210">
        <v>2025</v>
      </c>
    </row>
    <row r="1211" spans="1:24" x14ac:dyDescent="0.25">
      <c r="A1211" t="s">
        <v>1930</v>
      </c>
      <c r="B1211" s="52">
        <v>45888</v>
      </c>
      <c r="C1211" t="s">
        <v>1929</v>
      </c>
      <c r="D1211" t="s">
        <v>46</v>
      </c>
      <c r="E1211" t="s">
        <v>27</v>
      </c>
      <c r="F1211">
        <v>1700</v>
      </c>
      <c r="G1211">
        <v>1700</v>
      </c>
      <c r="H1211">
        <v>400</v>
      </c>
      <c r="I1211" s="1">
        <f t="shared" si="22"/>
        <v>1156</v>
      </c>
      <c r="J1211" s="1">
        <v>265</v>
      </c>
      <c r="K1211" s="1">
        <v>0</v>
      </c>
      <c r="L1211" s="1">
        <v>306340</v>
      </c>
      <c r="M1211" s="1" t="s">
        <v>449</v>
      </c>
      <c r="N1211" s="1" t="s">
        <v>149</v>
      </c>
      <c r="O1211" s="1"/>
      <c r="P1211" s="1"/>
      <c r="Q1211" s="62"/>
      <c r="W1211" s="1"/>
      <c r="X1211">
        <v>2025</v>
      </c>
    </row>
    <row r="1212" spans="1:24" x14ac:dyDescent="0.25">
      <c r="A1212" t="s">
        <v>1931</v>
      </c>
      <c r="B1212" s="52">
        <v>45891</v>
      </c>
      <c r="C1212" t="s">
        <v>1783</v>
      </c>
      <c r="D1212" t="s">
        <v>83</v>
      </c>
      <c r="E1212" t="s">
        <v>32</v>
      </c>
      <c r="F1212">
        <v>1000</v>
      </c>
      <c r="G1212">
        <v>1000</v>
      </c>
      <c r="H1212">
        <v>5</v>
      </c>
      <c r="I1212" s="1">
        <f t="shared" si="22"/>
        <v>5</v>
      </c>
      <c r="J1212" s="1">
        <v>600</v>
      </c>
      <c r="K1212" s="1">
        <v>375</v>
      </c>
      <c r="L1212" s="1">
        <v>3650</v>
      </c>
      <c r="M1212" s="1" t="s">
        <v>149</v>
      </c>
      <c r="N1212" s="1"/>
      <c r="O1212" s="1"/>
      <c r="P1212" s="1" t="s">
        <v>149</v>
      </c>
      <c r="Q1212" s="62"/>
      <c r="T1212" s="3">
        <v>46036</v>
      </c>
      <c r="U1212">
        <v>600</v>
      </c>
      <c r="V1212">
        <v>375</v>
      </c>
      <c r="W1212" s="1">
        <v>3650</v>
      </c>
      <c r="X1212">
        <v>2025</v>
      </c>
    </row>
    <row r="1213" spans="1:24" x14ac:dyDescent="0.25">
      <c r="A1213" t="s">
        <v>1932</v>
      </c>
      <c r="B1213" s="52">
        <v>45894</v>
      </c>
      <c r="C1213" t="s">
        <v>972</v>
      </c>
      <c r="D1213" t="s">
        <v>103</v>
      </c>
      <c r="E1213" t="s">
        <v>27</v>
      </c>
      <c r="F1213">
        <v>2382</v>
      </c>
      <c r="G1213">
        <v>1187</v>
      </c>
      <c r="H1213">
        <v>10</v>
      </c>
      <c r="I1213" s="1">
        <f t="shared" si="22"/>
        <v>28.274339999999999</v>
      </c>
      <c r="J1213" s="1">
        <v>343.7</v>
      </c>
      <c r="K1213" s="1">
        <v>2500</v>
      </c>
      <c r="L1213" s="1">
        <v>25341.71</v>
      </c>
      <c r="M1213" s="1" t="s">
        <v>449</v>
      </c>
      <c r="N1213" s="1" t="s">
        <v>149</v>
      </c>
      <c r="O1213" s="1"/>
      <c r="P1213" s="44" t="s">
        <v>149</v>
      </c>
      <c r="Q1213" s="62">
        <v>45932</v>
      </c>
      <c r="S1213" t="s">
        <v>1995</v>
      </c>
      <c r="T1213" s="3">
        <v>45912</v>
      </c>
      <c r="U1213">
        <v>343.7</v>
      </c>
      <c r="V1213">
        <v>2500</v>
      </c>
      <c r="W1213" s="1">
        <v>25262.34</v>
      </c>
      <c r="X1213">
        <v>2025</v>
      </c>
    </row>
    <row r="1214" spans="1:24" x14ac:dyDescent="0.25">
      <c r="A1214" t="s">
        <v>1932</v>
      </c>
      <c r="B1214" s="52">
        <v>45894</v>
      </c>
      <c r="C1214" t="s">
        <v>972</v>
      </c>
      <c r="D1214" t="s">
        <v>103</v>
      </c>
      <c r="E1214" t="s">
        <v>32</v>
      </c>
      <c r="F1214">
        <v>2382</v>
      </c>
      <c r="G1214">
        <v>1187</v>
      </c>
      <c r="H1214">
        <v>10</v>
      </c>
      <c r="I1214" s="1">
        <f t="shared" si="22"/>
        <v>28.274339999999999</v>
      </c>
      <c r="J1214" s="1">
        <v>450</v>
      </c>
      <c r="K1214" s="1"/>
      <c r="L1214" s="1"/>
      <c r="M1214" s="1" t="s">
        <v>449</v>
      </c>
      <c r="N1214" s="1" t="s">
        <v>149</v>
      </c>
      <c r="O1214" s="1"/>
      <c r="P1214" s="44" t="s">
        <v>149</v>
      </c>
      <c r="Q1214" s="62">
        <v>45932</v>
      </c>
      <c r="X1214">
        <v>2025</v>
      </c>
    </row>
    <row r="1215" spans="1:24" x14ac:dyDescent="0.25">
      <c r="A1215" t="s">
        <v>1933</v>
      </c>
      <c r="B1215" s="52">
        <v>45891</v>
      </c>
      <c r="C1215" t="s">
        <v>265</v>
      </c>
      <c r="D1215" t="s">
        <v>266</v>
      </c>
      <c r="E1215" t="s">
        <v>37</v>
      </c>
      <c r="F1215">
        <v>1000</v>
      </c>
      <c r="G1215">
        <v>1000</v>
      </c>
      <c r="H1215">
        <v>5</v>
      </c>
      <c r="I1215" s="1">
        <f t="shared" si="22"/>
        <v>5</v>
      </c>
      <c r="J1215" s="1">
        <v>347.44</v>
      </c>
      <c r="K1215" s="1">
        <v>375</v>
      </c>
      <c r="L1215" s="1">
        <v>2187.1999999999998</v>
      </c>
      <c r="M1215" s="1" t="s">
        <v>449</v>
      </c>
      <c r="N1215" s="1" t="s">
        <v>149</v>
      </c>
      <c r="O1215" s="1"/>
      <c r="P1215" s="44" t="s">
        <v>149</v>
      </c>
      <c r="Q1215" s="62">
        <v>45910</v>
      </c>
      <c r="X1215">
        <v>2025</v>
      </c>
    </row>
    <row r="1216" spans="1:24" x14ac:dyDescent="0.25">
      <c r="A1216" t="s">
        <v>1934</v>
      </c>
      <c r="B1216" s="52">
        <v>45891</v>
      </c>
      <c r="C1216" t="s">
        <v>1935</v>
      </c>
      <c r="D1216" t="s">
        <v>80</v>
      </c>
      <c r="E1216" t="s">
        <v>27</v>
      </c>
      <c r="F1216">
        <v>1000</v>
      </c>
      <c r="G1216">
        <v>1000</v>
      </c>
      <c r="H1216">
        <v>5</v>
      </c>
      <c r="I1216" s="1">
        <f t="shared" si="22"/>
        <v>5</v>
      </c>
      <c r="J1216" s="1">
        <v>400</v>
      </c>
      <c r="K1216" s="1">
        <v>375</v>
      </c>
      <c r="L1216" s="1">
        <v>2500</v>
      </c>
      <c r="M1216" s="1" t="s">
        <v>149</v>
      </c>
      <c r="N1216" s="1"/>
      <c r="O1216" s="1"/>
      <c r="P1216" s="1"/>
      <c r="Q1216" s="62"/>
      <c r="X1216">
        <v>2025</v>
      </c>
    </row>
    <row r="1217" spans="1:24" x14ac:dyDescent="0.25">
      <c r="A1217" t="s">
        <v>1936</v>
      </c>
      <c r="B1217" s="52">
        <v>45891</v>
      </c>
      <c r="C1217" t="s">
        <v>1937</v>
      </c>
      <c r="D1217" t="s">
        <v>57</v>
      </c>
      <c r="E1217" t="s">
        <v>27</v>
      </c>
      <c r="F1217">
        <v>1000</v>
      </c>
      <c r="G1217">
        <v>1000</v>
      </c>
      <c r="H1217">
        <v>5</v>
      </c>
      <c r="I1217" s="1">
        <f t="shared" si="22"/>
        <v>5</v>
      </c>
      <c r="J1217" s="1">
        <v>400</v>
      </c>
      <c r="K1217" s="1">
        <v>375</v>
      </c>
      <c r="L1217" s="1">
        <v>2500</v>
      </c>
      <c r="M1217" s="1" t="s">
        <v>149</v>
      </c>
      <c r="N1217" s="1"/>
      <c r="O1217" s="1"/>
      <c r="P1217" s="1"/>
      <c r="Q1217" s="62"/>
      <c r="X1217">
        <v>2025</v>
      </c>
    </row>
    <row r="1218" spans="1:24" x14ac:dyDescent="0.25">
      <c r="A1218" t="s">
        <v>1938</v>
      </c>
      <c r="B1218" s="52">
        <v>45894</v>
      </c>
      <c r="C1218" t="s">
        <v>1939</v>
      </c>
      <c r="D1218" t="s">
        <v>88</v>
      </c>
      <c r="E1218" t="s">
        <v>27</v>
      </c>
      <c r="F1218">
        <v>1000</v>
      </c>
      <c r="G1218">
        <v>1000</v>
      </c>
      <c r="H1218">
        <v>5</v>
      </c>
      <c r="I1218" s="1">
        <f t="shared" si="22"/>
        <v>5</v>
      </c>
      <c r="J1218" s="1">
        <v>400</v>
      </c>
      <c r="K1218" s="1">
        <v>375</v>
      </c>
      <c r="L1218" s="1">
        <v>2500</v>
      </c>
      <c r="M1218" s="1" t="s">
        <v>149</v>
      </c>
      <c r="N1218" s="1"/>
      <c r="O1218" s="1"/>
      <c r="P1218" s="44" t="s">
        <v>149</v>
      </c>
      <c r="Q1218" s="62">
        <v>45968</v>
      </c>
      <c r="X1218">
        <v>2025</v>
      </c>
    </row>
    <row r="1219" spans="1:24" x14ac:dyDescent="0.25">
      <c r="A1219" t="s">
        <v>1940</v>
      </c>
      <c r="B1219" s="52">
        <v>45894</v>
      </c>
      <c r="C1219" t="s">
        <v>1929</v>
      </c>
      <c r="D1219" t="s">
        <v>46</v>
      </c>
      <c r="E1219" t="s">
        <v>27</v>
      </c>
      <c r="F1219">
        <v>1700</v>
      </c>
      <c r="G1219">
        <v>1700</v>
      </c>
      <c r="H1219">
        <v>4400</v>
      </c>
      <c r="I1219" s="1">
        <f t="shared" si="22"/>
        <v>12716</v>
      </c>
      <c r="J1219" s="1">
        <v>190</v>
      </c>
      <c r="K1219" s="1">
        <v>0</v>
      </c>
      <c r="L1219" s="1">
        <v>2390608</v>
      </c>
      <c r="M1219" s="1" t="s">
        <v>449</v>
      </c>
      <c r="N1219" s="1" t="s">
        <v>33</v>
      </c>
      <c r="O1219" s="1"/>
      <c r="P1219" s="1"/>
      <c r="Q1219" s="62"/>
      <c r="X1219">
        <v>2025</v>
      </c>
    </row>
    <row r="1220" spans="1:24" x14ac:dyDescent="0.25">
      <c r="A1220" t="s">
        <v>1941</v>
      </c>
      <c r="B1220" s="52">
        <v>45898</v>
      </c>
      <c r="C1220" t="s">
        <v>891</v>
      </c>
      <c r="D1220" t="s">
        <v>57</v>
      </c>
      <c r="E1220" t="s">
        <v>37</v>
      </c>
      <c r="F1220">
        <v>420</v>
      </c>
      <c r="G1220">
        <v>420</v>
      </c>
      <c r="H1220">
        <v>100</v>
      </c>
      <c r="I1220" s="1">
        <f t="shared" si="22"/>
        <v>17.64</v>
      </c>
      <c r="J1220" s="1">
        <v>275</v>
      </c>
      <c r="K1220" s="1" t="s">
        <v>982</v>
      </c>
      <c r="L1220" s="1">
        <v>4981</v>
      </c>
      <c r="M1220" s="1" t="s">
        <v>149</v>
      </c>
      <c r="N1220" s="1"/>
      <c r="O1220" s="1"/>
      <c r="P1220" s="1"/>
      <c r="Q1220" s="62"/>
      <c r="X1220">
        <v>2025</v>
      </c>
    </row>
    <row r="1221" spans="1:24" x14ac:dyDescent="0.25">
      <c r="A1221" t="s">
        <v>1942</v>
      </c>
      <c r="B1221" s="52">
        <v>45898</v>
      </c>
      <c r="C1221" t="s">
        <v>1211</v>
      </c>
      <c r="D1221" t="s">
        <v>46</v>
      </c>
      <c r="E1221" t="s">
        <v>27</v>
      </c>
      <c r="F1221">
        <v>1460</v>
      </c>
      <c r="G1221">
        <v>1460</v>
      </c>
      <c r="H1221">
        <v>26</v>
      </c>
      <c r="I1221" s="1">
        <f t="shared" si="22"/>
        <v>55.421599999999998</v>
      </c>
      <c r="J1221" s="1">
        <v>265</v>
      </c>
      <c r="K1221" s="1" t="s">
        <v>982</v>
      </c>
      <c r="L1221" s="1">
        <v>14686.3</v>
      </c>
      <c r="M1221" s="1" t="s">
        <v>449</v>
      </c>
      <c r="N1221" s="1" t="s">
        <v>33</v>
      </c>
      <c r="O1221" s="1"/>
      <c r="P1221" s="1"/>
      <c r="Q1221" s="62"/>
      <c r="X1221">
        <v>2025</v>
      </c>
    </row>
    <row r="1222" spans="1:24" x14ac:dyDescent="0.25">
      <c r="A1222" t="s">
        <v>1943</v>
      </c>
      <c r="B1222" s="52">
        <v>45898</v>
      </c>
      <c r="C1222" t="s">
        <v>1211</v>
      </c>
      <c r="D1222" t="s">
        <v>46</v>
      </c>
      <c r="E1222" t="s">
        <v>37</v>
      </c>
      <c r="F1222">
        <v>1460</v>
      </c>
      <c r="G1222">
        <v>1460</v>
      </c>
      <c r="H1222">
        <v>26</v>
      </c>
      <c r="I1222" s="1">
        <f t="shared" si="22"/>
        <v>55.421599999999998</v>
      </c>
      <c r="J1222" s="1">
        <v>315</v>
      </c>
      <c r="K1222" s="1" t="s">
        <v>982</v>
      </c>
      <c r="L1222" s="1">
        <v>17457.3</v>
      </c>
      <c r="M1222" s="1" t="s">
        <v>449</v>
      </c>
      <c r="N1222" s="1" t="s">
        <v>33</v>
      </c>
      <c r="O1222" s="1"/>
      <c r="P1222" s="1"/>
      <c r="Q1222" s="62"/>
      <c r="X1222">
        <v>2025</v>
      </c>
    </row>
    <row r="1223" spans="1:24" x14ac:dyDescent="0.25">
      <c r="A1223" t="s">
        <v>1944</v>
      </c>
      <c r="B1223" s="52">
        <v>45898</v>
      </c>
      <c r="C1223" t="s">
        <v>1945</v>
      </c>
      <c r="D1223" t="s">
        <v>70</v>
      </c>
      <c r="E1223" t="s">
        <v>27</v>
      </c>
      <c r="F1223">
        <v>1000</v>
      </c>
      <c r="G1223">
        <v>1000</v>
      </c>
      <c r="H1223">
        <v>5</v>
      </c>
      <c r="I1223" s="1">
        <f t="shared" si="22"/>
        <v>5</v>
      </c>
      <c r="J1223" s="1">
        <v>400</v>
      </c>
      <c r="K1223" s="1">
        <v>375</v>
      </c>
      <c r="L1223" s="1">
        <v>2450</v>
      </c>
      <c r="M1223" s="1" t="s">
        <v>149</v>
      </c>
      <c r="N1223" s="1"/>
      <c r="O1223" s="1"/>
      <c r="P1223" s="1"/>
      <c r="Q1223" s="62"/>
      <c r="X1223">
        <v>2025</v>
      </c>
    </row>
    <row r="1224" spans="1:24" x14ac:dyDescent="0.25">
      <c r="A1224" t="s">
        <v>1946</v>
      </c>
      <c r="B1224" s="52">
        <v>45898</v>
      </c>
      <c r="C1224" t="s">
        <v>1430</v>
      </c>
      <c r="D1224" t="s">
        <v>31</v>
      </c>
      <c r="E1224" t="s">
        <v>37</v>
      </c>
      <c r="F1224">
        <v>1000</v>
      </c>
      <c r="G1224">
        <v>100</v>
      </c>
      <c r="H1224">
        <v>5</v>
      </c>
      <c r="I1224" s="1">
        <f t="shared" si="22"/>
        <v>0.5</v>
      </c>
      <c r="J1224" s="1">
        <v>500</v>
      </c>
      <c r="K1224" s="1">
        <v>375</v>
      </c>
      <c r="L1224" s="1">
        <v>2950</v>
      </c>
      <c r="M1224" s="1" t="s">
        <v>149</v>
      </c>
      <c r="N1224" s="1"/>
      <c r="O1224" s="1"/>
      <c r="P1224" s="1"/>
      <c r="Q1224" s="62"/>
      <c r="X1224">
        <v>2025</v>
      </c>
    </row>
    <row r="1225" spans="1:24" x14ac:dyDescent="0.25">
      <c r="A1225" t="s">
        <v>1947</v>
      </c>
      <c r="B1225" s="52">
        <v>45902</v>
      </c>
      <c r="C1225" t="s">
        <v>742</v>
      </c>
      <c r="D1225" t="s">
        <v>57</v>
      </c>
      <c r="E1225" t="s">
        <v>27</v>
      </c>
      <c r="F1225">
        <v>1000</v>
      </c>
      <c r="G1225">
        <v>1000</v>
      </c>
      <c r="H1225">
        <v>30</v>
      </c>
      <c r="I1225" s="1">
        <f t="shared" si="22"/>
        <v>30</v>
      </c>
      <c r="J1225" s="1">
        <v>265</v>
      </c>
      <c r="K1225" s="1">
        <v>1500</v>
      </c>
      <c r="L1225" s="1">
        <v>9450</v>
      </c>
      <c r="M1225" s="1" t="s">
        <v>449</v>
      </c>
      <c r="N1225" s="1" t="s">
        <v>149</v>
      </c>
      <c r="O1225" s="1"/>
      <c r="P1225" s="1"/>
      <c r="Q1225" s="62"/>
      <c r="X1225">
        <v>2025</v>
      </c>
    </row>
    <row r="1226" spans="1:24" x14ac:dyDescent="0.25">
      <c r="A1226" t="s">
        <v>1948</v>
      </c>
      <c r="B1226" s="52">
        <v>45902</v>
      </c>
      <c r="C1226" t="s">
        <v>1912</v>
      </c>
      <c r="D1226" t="s">
        <v>46</v>
      </c>
      <c r="E1226" t="s">
        <v>27</v>
      </c>
      <c r="F1226">
        <v>1250</v>
      </c>
      <c r="G1226">
        <v>1250</v>
      </c>
      <c r="H1226">
        <v>120</v>
      </c>
      <c r="I1226" s="1">
        <f t="shared" si="22"/>
        <v>187.5</v>
      </c>
      <c r="J1226" s="1">
        <v>225</v>
      </c>
      <c r="K1226" s="1" t="s">
        <v>982</v>
      </c>
      <c r="L1226" s="1">
        <v>42187.5</v>
      </c>
      <c r="M1226" s="1" t="s">
        <v>449</v>
      </c>
      <c r="N1226" s="1" t="s">
        <v>33</v>
      </c>
      <c r="O1226" s="1"/>
      <c r="P1226" s="1"/>
      <c r="Q1226" s="62"/>
      <c r="X1226">
        <v>2025</v>
      </c>
    </row>
    <row r="1227" spans="1:24" x14ac:dyDescent="0.25">
      <c r="A1227" t="s">
        <v>1949</v>
      </c>
      <c r="B1227" s="52">
        <v>45902</v>
      </c>
      <c r="C1227" t="s">
        <v>195</v>
      </c>
      <c r="D1227" t="s">
        <v>46</v>
      </c>
      <c r="E1227" t="s">
        <v>27</v>
      </c>
      <c r="F1227">
        <v>1000</v>
      </c>
      <c r="G1227">
        <v>1000</v>
      </c>
      <c r="H1227">
        <v>14</v>
      </c>
      <c r="I1227" s="1">
        <f t="shared" si="22"/>
        <v>14</v>
      </c>
      <c r="J1227" s="1">
        <v>345.59</v>
      </c>
      <c r="K1227" s="1">
        <v>1050</v>
      </c>
      <c r="L1227" s="1">
        <v>13227.9</v>
      </c>
      <c r="M1227" s="1" t="s">
        <v>149</v>
      </c>
      <c r="N1227" s="1"/>
      <c r="O1227" s="1"/>
      <c r="P1227" s="1"/>
      <c r="Q1227" s="62"/>
      <c r="X1227">
        <v>2025</v>
      </c>
    </row>
    <row r="1228" spans="1:24" x14ac:dyDescent="0.25">
      <c r="A1228" t="s">
        <v>1949</v>
      </c>
      <c r="B1228" s="52">
        <v>45902</v>
      </c>
      <c r="C1228" t="s">
        <v>195</v>
      </c>
      <c r="D1228" t="s">
        <v>46</v>
      </c>
      <c r="E1228" t="s">
        <v>37</v>
      </c>
      <c r="F1228">
        <v>1000</v>
      </c>
      <c r="G1228">
        <v>1000</v>
      </c>
      <c r="H1228">
        <v>14</v>
      </c>
      <c r="I1228" s="1">
        <f t="shared" si="22"/>
        <v>14</v>
      </c>
      <c r="J1228" s="1">
        <v>449.26</v>
      </c>
      <c r="K1228" s="1">
        <v>1050</v>
      </c>
      <c r="L1228" s="1"/>
      <c r="M1228" s="1" t="s">
        <v>149</v>
      </c>
      <c r="N1228" s="1"/>
      <c r="O1228" s="1"/>
      <c r="P1228" s="1"/>
      <c r="Q1228" s="62"/>
      <c r="X1228">
        <v>2025</v>
      </c>
    </row>
    <row r="1229" spans="1:24" x14ac:dyDescent="0.25">
      <c r="A1229" t="s">
        <v>1950</v>
      </c>
      <c r="B1229" s="52">
        <v>45902</v>
      </c>
      <c r="C1229" t="s">
        <v>1037</v>
      </c>
      <c r="D1229" t="s">
        <v>100</v>
      </c>
      <c r="E1229" t="s">
        <v>27</v>
      </c>
      <c r="F1229">
        <v>1500</v>
      </c>
      <c r="G1229">
        <v>1500</v>
      </c>
      <c r="H1229">
        <v>150</v>
      </c>
      <c r="I1229" s="1">
        <f t="shared" si="22"/>
        <v>337.5</v>
      </c>
      <c r="J1229" s="1">
        <v>267.18</v>
      </c>
      <c r="K1229" s="1">
        <v>8437.5</v>
      </c>
      <c r="L1229" s="1">
        <v>99395.75</v>
      </c>
      <c r="M1229" s="1" t="s">
        <v>149</v>
      </c>
      <c r="N1229" s="1"/>
      <c r="O1229" s="1"/>
      <c r="P1229" s="44" t="s">
        <v>149</v>
      </c>
      <c r="Q1229" s="62">
        <v>45924</v>
      </c>
      <c r="S1229" t="s">
        <v>1958</v>
      </c>
      <c r="X1229">
        <v>2025</v>
      </c>
    </row>
    <row r="1230" spans="1:24" x14ac:dyDescent="0.25">
      <c r="A1230" t="s">
        <v>1951</v>
      </c>
      <c r="B1230" s="52">
        <v>45902</v>
      </c>
      <c r="C1230" t="s">
        <v>1929</v>
      </c>
      <c r="D1230" t="s">
        <v>46</v>
      </c>
      <c r="E1230" t="s">
        <v>27</v>
      </c>
      <c r="F1230">
        <v>1700</v>
      </c>
      <c r="G1230">
        <v>1700</v>
      </c>
      <c r="H1230">
        <v>800</v>
      </c>
      <c r="I1230" s="1">
        <f t="shared" si="22"/>
        <v>2312</v>
      </c>
      <c r="J1230" s="1">
        <v>188</v>
      </c>
      <c r="K1230" s="1" t="s">
        <v>982</v>
      </c>
      <c r="L1230" s="1">
        <v>407490</v>
      </c>
      <c r="M1230" s="1" t="s">
        <v>449</v>
      </c>
      <c r="N1230" s="1" t="s">
        <v>33</v>
      </c>
      <c r="O1230" s="1"/>
      <c r="P1230" s="1"/>
      <c r="Q1230" s="62"/>
      <c r="X1230">
        <v>2025</v>
      </c>
    </row>
    <row r="1231" spans="1:24" x14ac:dyDescent="0.25">
      <c r="A1231" t="s">
        <v>1953</v>
      </c>
      <c r="B1231" s="52">
        <v>45902</v>
      </c>
      <c r="C1231" t="s">
        <v>1952</v>
      </c>
      <c r="D1231" t="s">
        <v>1135</v>
      </c>
      <c r="E1231" t="s">
        <v>32</v>
      </c>
      <c r="F1231">
        <v>1000</v>
      </c>
      <c r="G1231">
        <v>1000</v>
      </c>
      <c r="H1231">
        <v>5</v>
      </c>
      <c r="I1231" s="1">
        <f t="shared" si="22"/>
        <v>5</v>
      </c>
      <c r="J1231" s="1">
        <v>600</v>
      </c>
      <c r="K1231" s="1">
        <v>375</v>
      </c>
      <c r="L1231" s="1">
        <v>3650</v>
      </c>
      <c r="M1231" s="1" t="s">
        <v>149</v>
      </c>
      <c r="N1231" s="1"/>
      <c r="O1231" s="1"/>
      <c r="P1231" s="1"/>
      <c r="Q1231" s="62"/>
      <c r="X1231">
        <v>2025</v>
      </c>
    </row>
    <row r="1232" spans="1:24" x14ac:dyDescent="0.25">
      <c r="A1232" t="s">
        <v>1954</v>
      </c>
      <c r="B1232" s="52">
        <v>45904</v>
      </c>
      <c r="C1232" t="s">
        <v>1955</v>
      </c>
      <c r="D1232" t="s">
        <v>46</v>
      </c>
      <c r="E1232" t="s">
        <v>27</v>
      </c>
      <c r="F1232">
        <v>1000</v>
      </c>
      <c r="G1232">
        <v>1000</v>
      </c>
      <c r="H1232">
        <v>10</v>
      </c>
      <c r="I1232" s="1">
        <f t="shared" si="22"/>
        <v>10</v>
      </c>
      <c r="J1232" s="1">
        <v>265</v>
      </c>
      <c r="K1232" s="1">
        <v>675</v>
      </c>
      <c r="L1232" s="1">
        <v>13650</v>
      </c>
      <c r="M1232" s="1" t="s">
        <v>449</v>
      </c>
      <c r="N1232" s="1" t="s">
        <v>33</v>
      </c>
      <c r="O1232" s="1"/>
      <c r="P1232" s="1"/>
      <c r="Q1232" s="62"/>
      <c r="X1232">
        <v>2025</v>
      </c>
    </row>
    <row r="1233" spans="1:24" x14ac:dyDescent="0.25">
      <c r="A1233" t="s">
        <v>1954</v>
      </c>
      <c r="B1233" s="52">
        <v>45904</v>
      </c>
      <c r="C1233" t="s">
        <v>1955</v>
      </c>
      <c r="D1233" t="s">
        <v>46</v>
      </c>
      <c r="E1233" t="s">
        <v>37</v>
      </c>
      <c r="F1233">
        <v>1000</v>
      </c>
      <c r="G1233">
        <v>1000</v>
      </c>
      <c r="H1233">
        <v>10</v>
      </c>
      <c r="I1233" s="1">
        <f t="shared" si="22"/>
        <v>10</v>
      </c>
      <c r="J1233" s="1">
        <v>295</v>
      </c>
      <c r="K1233" s="1"/>
      <c r="L1233" s="1"/>
      <c r="M1233" s="1" t="s">
        <v>449</v>
      </c>
      <c r="N1233" s="1" t="s">
        <v>149</v>
      </c>
      <c r="O1233" s="1"/>
      <c r="P1233" s="1"/>
      <c r="Q1233" s="62"/>
      <c r="X1233">
        <v>2025</v>
      </c>
    </row>
    <row r="1234" spans="1:24" x14ac:dyDescent="0.25">
      <c r="A1234" t="s">
        <v>1954</v>
      </c>
      <c r="B1234" s="52">
        <v>45904</v>
      </c>
      <c r="C1234" t="s">
        <v>1955</v>
      </c>
      <c r="D1234" t="s">
        <v>46</v>
      </c>
      <c r="E1234" t="s">
        <v>32</v>
      </c>
      <c r="F1234">
        <v>1000</v>
      </c>
      <c r="G1234">
        <v>1000</v>
      </c>
      <c r="H1234">
        <v>20</v>
      </c>
      <c r="I1234" s="1">
        <f t="shared" si="22"/>
        <v>20</v>
      </c>
      <c r="J1234" s="1">
        <v>350</v>
      </c>
      <c r="K1234" s="1"/>
      <c r="L1234" s="1"/>
      <c r="M1234" s="1" t="s">
        <v>449</v>
      </c>
      <c r="N1234" s="1" t="s">
        <v>149</v>
      </c>
      <c r="O1234" s="1"/>
      <c r="P1234" s="1"/>
      <c r="Q1234" s="62"/>
      <c r="X1234">
        <v>2025</v>
      </c>
    </row>
    <row r="1235" spans="1:24" x14ac:dyDescent="0.25">
      <c r="A1235" t="s">
        <v>1956</v>
      </c>
      <c r="B1235" s="52">
        <v>45905</v>
      </c>
      <c r="C1235" t="s">
        <v>1236</v>
      </c>
      <c r="D1235" t="s">
        <v>100</v>
      </c>
      <c r="E1235" t="s">
        <v>37</v>
      </c>
      <c r="F1235">
        <v>600</v>
      </c>
      <c r="G1235">
        <v>600</v>
      </c>
      <c r="H1235">
        <v>300</v>
      </c>
      <c r="I1235" s="1">
        <f t="shared" si="22"/>
        <v>108</v>
      </c>
      <c r="J1235" s="1">
        <v>357.35</v>
      </c>
      <c r="K1235" s="1">
        <v>4109</v>
      </c>
      <c r="L1235" s="1">
        <v>43304.5</v>
      </c>
      <c r="M1235" s="1" t="s">
        <v>449</v>
      </c>
      <c r="N1235" s="1" t="s">
        <v>149</v>
      </c>
      <c r="O1235" s="1"/>
      <c r="P1235" s="44" t="s">
        <v>149</v>
      </c>
      <c r="Q1235" s="62">
        <v>45931</v>
      </c>
      <c r="S1235" t="s">
        <v>1965</v>
      </c>
      <c r="T1235" s="3">
        <v>45912</v>
      </c>
      <c r="U1235">
        <v>357.35</v>
      </c>
      <c r="V1235" s="1">
        <v>2700</v>
      </c>
      <c r="W1235" s="1">
        <v>41653.800000000003</v>
      </c>
      <c r="X1235">
        <v>2025</v>
      </c>
    </row>
    <row r="1236" spans="1:24" x14ac:dyDescent="0.25">
      <c r="A1236" t="s">
        <v>1957</v>
      </c>
      <c r="B1236" s="52">
        <v>45909</v>
      </c>
      <c r="C1236" t="s">
        <v>169</v>
      </c>
      <c r="D1236" t="s">
        <v>103</v>
      </c>
      <c r="E1236" t="s">
        <v>27</v>
      </c>
      <c r="F1236">
        <v>1200</v>
      </c>
      <c r="G1236">
        <v>1200</v>
      </c>
      <c r="H1236">
        <v>350</v>
      </c>
      <c r="I1236" s="1">
        <f t="shared" si="22"/>
        <v>504</v>
      </c>
      <c r="J1236" s="1">
        <v>263.91000000000003</v>
      </c>
      <c r="K1236" s="1">
        <v>12600</v>
      </c>
      <c r="L1236" s="1">
        <v>145610.64000000001</v>
      </c>
      <c r="M1236" s="1" t="s">
        <v>149</v>
      </c>
      <c r="N1236" s="1"/>
      <c r="O1236" s="1"/>
      <c r="P1236" s="44" t="s">
        <v>149</v>
      </c>
      <c r="Q1236" s="62">
        <v>45931</v>
      </c>
      <c r="X1236">
        <v>2025</v>
      </c>
    </row>
    <row r="1237" spans="1:24" x14ac:dyDescent="0.25">
      <c r="A1237" t="s">
        <v>1959</v>
      </c>
      <c r="B1237" s="52">
        <v>45911</v>
      </c>
      <c r="C1237" t="s">
        <v>1960</v>
      </c>
      <c r="D1237" t="s">
        <v>31</v>
      </c>
      <c r="E1237" t="s">
        <v>27</v>
      </c>
      <c r="F1237">
        <v>631</v>
      </c>
      <c r="G1237">
        <v>631</v>
      </c>
      <c r="H1237">
        <v>268</v>
      </c>
      <c r="I1237" s="1">
        <f t="shared" si="22"/>
        <v>106.707148</v>
      </c>
      <c r="J1237" s="1">
        <v>287.51</v>
      </c>
      <c r="K1237" s="1">
        <v>2667.75</v>
      </c>
      <c r="L1237" s="1">
        <v>33467.94</v>
      </c>
      <c r="M1237" s="1" t="s">
        <v>149</v>
      </c>
      <c r="N1237" s="1"/>
      <c r="O1237" s="1"/>
      <c r="P1237" s="1"/>
      <c r="Q1237" s="62"/>
      <c r="X1237">
        <v>2025</v>
      </c>
    </row>
    <row r="1238" spans="1:24" x14ac:dyDescent="0.25">
      <c r="A1238" t="s">
        <v>1961</v>
      </c>
      <c r="B1238" s="52">
        <v>45911</v>
      </c>
      <c r="C1238" t="s">
        <v>1960</v>
      </c>
      <c r="D1238" t="s">
        <v>31</v>
      </c>
      <c r="E1238" t="s">
        <v>37</v>
      </c>
      <c r="F1238">
        <v>631</v>
      </c>
      <c r="G1238">
        <v>631</v>
      </c>
      <c r="H1238">
        <v>268</v>
      </c>
      <c r="I1238" s="1">
        <f t="shared" si="22"/>
        <v>106.707148</v>
      </c>
      <c r="J1238" s="1">
        <v>373.76</v>
      </c>
      <c r="K1238" s="1">
        <v>2667.75</v>
      </c>
      <c r="L1238" s="1">
        <v>42671.68</v>
      </c>
      <c r="M1238" s="1" t="s">
        <v>149</v>
      </c>
      <c r="N1238" s="1"/>
      <c r="O1238" s="1"/>
      <c r="P1238" s="1"/>
      <c r="Q1238" s="62"/>
      <c r="X1238">
        <v>2025</v>
      </c>
    </row>
    <row r="1239" spans="1:24" x14ac:dyDescent="0.25">
      <c r="A1239" t="s">
        <v>1962</v>
      </c>
      <c r="B1239" s="52">
        <v>45911</v>
      </c>
      <c r="C1239" t="s">
        <v>1960</v>
      </c>
      <c r="D1239" t="s">
        <v>31</v>
      </c>
      <c r="E1239" t="s">
        <v>32</v>
      </c>
      <c r="F1239">
        <v>631</v>
      </c>
      <c r="G1239">
        <v>631</v>
      </c>
      <c r="H1239">
        <v>268</v>
      </c>
      <c r="I1239" s="1">
        <f t="shared" si="22"/>
        <v>106.707148</v>
      </c>
      <c r="J1239" s="1">
        <v>464.05</v>
      </c>
      <c r="K1239" s="1">
        <v>2667.75</v>
      </c>
      <c r="L1239" s="1">
        <v>52292.53</v>
      </c>
      <c r="M1239" s="1" t="s">
        <v>149</v>
      </c>
      <c r="N1239" s="1"/>
      <c r="O1239" s="1"/>
      <c r="P1239" s="1"/>
      <c r="Q1239" s="62"/>
      <c r="X1239">
        <v>2025</v>
      </c>
    </row>
    <row r="1240" spans="1:24" x14ac:dyDescent="0.25">
      <c r="A1240" t="s">
        <v>1964</v>
      </c>
      <c r="B1240" s="52">
        <v>45912</v>
      </c>
      <c r="C1240" t="s">
        <v>1963</v>
      </c>
      <c r="D1240" t="s">
        <v>248</v>
      </c>
      <c r="E1240" t="s">
        <v>27</v>
      </c>
      <c r="F1240">
        <v>1200</v>
      </c>
      <c r="G1240">
        <v>800</v>
      </c>
      <c r="H1240">
        <v>21</v>
      </c>
      <c r="I1240" s="1">
        <f t="shared" si="22"/>
        <v>20.16</v>
      </c>
      <c r="J1240" s="1">
        <v>336.62</v>
      </c>
      <c r="K1240" s="1">
        <v>1500</v>
      </c>
      <c r="L1240" s="1">
        <v>8406.26</v>
      </c>
      <c r="M1240" s="1" t="s">
        <v>149</v>
      </c>
      <c r="N1240" s="1"/>
      <c r="O1240" s="1"/>
      <c r="P1240" s="1"/>
      <c r="Q1240" s="62"/>
      <c r="X1240">
        <v>2025</v>
      </c>
    </row>
    <row r="1241" spans="1:24" x14ac:dyDescent="0.25">
      <c r="A1241" t="s">
        <v>1967</v>
      </c>
      <c r="B1241" s="52">
        <v>45912</v>
      </c>
      <c r="C1241" t="s">
        <v>1966</v>
      </c>
      <c r="D1241" t="s">
        <v>57</v>
      </c>
      <c r="E1241" t="s">
        <v>27</v>
      </c>
      <c r="F1241">
        <v>1000</v>
      </c>
      <c r="G1241">
        <v>1000</v>
      </c>
      <c r="H1241">
        <v>100</v>
      </c>
      <c r="I1241" s="1">
        <f t="shared" si="22"/>
        <v>100</v>
      </c>
      <c r="J1241" s="1">
        <v>289.5</v>
      </c>
      <c r="K1241" s="1">
        <v>2500</v>
      </c>
      <c r="L1241" s="1">
        <v>31450</v>
      </c>
      <c r="M1241" s="1" t="s">
        <v>149</v>
      </c>
      <c r="N1241" s="1"/>
      <c r="O1241" s="1"/>
      <c r="P1241" s="1"/>
      <c r="Q1241" s="62"/>
      <c r="X1241">
        <v>2025</v>
      </c>
    </row>
    <row r="1242" spans="1:24" x14ac:dyDescent="0.25">
      <c r="A1242" t="s">
        <v>1968</v>
      </c>
      <c r="B1242" s="52">
        <v>45912</v>
      </c>
      <c r="C1242" t="s">
        <v>781</v>
      </c>
      <c r="D1242" t="s">
        <v>100</v>
      </c>
      <c r="E1242" t="s">
        <v>32</v>
      </c>
      <c r="F1242">
        <v>1000</v>
      </c>
      <c r="G1242">
        <v>1000</v>
      </c>
      <c r="H1242">
        <v>5</v>
      </c>
      <c r="I1242" s="1">
        <f t="shared" si="22"/>
        <v>5</v>
      </c>
      <c r="J1242" s="1">
        <v>600</v>
      </c>
      <c r="K1242" s="1">
        <v>375</v>
      </c>
      <c r="L1242" s="1">
        <v>3650</v>
      </c>
      <c r="M1242" s="1" t="s">
        <v>149</v>
      </c>
      <c r="N1242" s="1"/>
      <c r="O1242" s="1"/>
      <c r="P1242" s="1"/>
      <c r="Q1242" s="62"/>
      <c r="X1242">
        <v>2025</v>
      </c>
    </row>
    <row r="1243" spans="1:24" x14ac:dyDescent="0.25">
      <c r="A1243" t="s">
        <v>1969</v>
      </c>
      <c r="B1243" s="52">
        <v>45912</v>
      </c>
      <c r="C1243" t="s">
        <v>1546</v>
      </c>
      <c r="D1243" t="s">
        <v>100</v>
      </c>
      <c r="E1243" t="s">
        <v>32</v>
      </c>
      <c r="F1243">
        <v>1000</v>
      </c>
      <c r="G1243">
        <v>1000</v>
      </c>
      <c r="H1243">
        <v>5</v>
      </c>
      <c r="I1243" s="1">
        <f t="shared" si="22"/>
        <v>5</v>
      </c>
      <c r="J1243" s="1">
        <v>600</v>
      </c>
      <c r="K1243" s="1">
        <v>375</v>
      </c>
      <c r="L1243" s="1">
        <v>3650</v>
      </c>
      <c r="M1243" s="1" t="s">
        <v>149</v>
      </c>
      <c r="N1243" s="1"/>
      <c r="O1243" s="1"/>
      <c r="P1243" s="1"/>
      <c r="Q1243" s="62"/>
      <c r="X1243">
        <v>2025</v>
      </c>
    </row>
    <row r="1244" spans="1:24" x14ac:dyDescent="0.25">
      <c r="A1244" t="s">
        <v>1970</v>
      </c>
      <c r="B1244" s="52">
        <v>45912</v>
      </c>
      <c r="C1244" t="s">
        <v>1971</v>
      </c>
      <c r="D1244" t="s">
        <v>100</v>
      </c>
      <c r="E1244" t="s">
        <v>37</v>
      </c>
      <c r="F1244">
        <v>1000</v>
      </c>
      <c r="G1244">
        <v>1000</v>
      </c>
      <c r="H1244">
        <v>5</v>
      </c>
      <c r="I1244" s="1">
        <f t="shared" si="22"/>
        <v>5</v>
      </c>
      <c r="J1244" s="1">
        <v>500</v>
      </c>
      <c r="K1244" s="1">
        <v>375</v>
      </c>
      <c r="L1244" s="1">
        <v>3000</v>
      </c>
      <c r="M1244" s="1" t="s">
        <v>149</v>
      </c>
      <c r="N1244" s="1"/>
      <c r="O1244" s="1"/>
      <c r="P1244" s="1"/>
      <c r="Q1244" s="62"/>
      <c r="X1244">
        <v>2025</v>
      </c>
    </row>
    <row r="1245" spans="1:24" x14ac:dyDescent="0.25">
      <c r="A1245" t="s">
        <v>1972</v>
      </c>
      <c r="B1245" s="52">
        <v>45912</v>
      </c>
      <c r="C1245" t="s">
        <v>1971</v>
      </c>
      <c r="D1245" t="s">
        <v>100</v>
      </c>
      <c r="E1245" t="s">
        <v>32</v>
      </c>
      <c r="F1245">
        <v>1000</v>
      </c>
      <c r="G1245">
        <v>1000</v>
      </c>
      <c r="H1245">
        <v>5</v>
      </c>
      <c r="I1245" s="1">
        <f t="shared" si="22"/>
        <v>5</v>
      </c>
      <c r="J1245" s="1">
        <v>600</v>
      </c>
      <c r="K1245" s="1">
        <v>375</v>
      </c>
      <c r="L1245" s="1">
        <v>3650</v>
      </c>
      <c r="M1245" s="1" t="s">
        <v>149</v>
      </c>
      <c r="N1245" s="1"/>
      <c r="O1245" s="1"/>
      <c r="P1245" s="1"/>
      <c r="Q1245" s="62"/>
      <c r="X1245">
        <v>2025</v>
      </c>
    </row>
    <row r="1246" spans="1:24" x14ac:dyDescent="0.25">
      <c r="A1246" t="s">
        <v>1973</v>
      </c>
      <c r="B1246" s="52">
        <v>45916</v>
      </c>
      <c r="C1246" t="s">
        <v>1974</v>
      </c>
      <c r="D1246" t="s">
        <v>57</v>
      </c>
      <c r="E1246" t="s">
        <v>27</v>
      </c>
      <c r="F1246">
        <v>1000</v>
      </c>
      <c r="G1246">
        <v>1000</v>
      </c>
      <c r="H1246">
        <v>5</v>
      </c>
      <c r="I1246" s="1">
        <f t="shared" si="22"/>
        <v>5</v>
      </c>
      <c r="J1246" s="1">
        <v>400</v>
      </c>
      <c r="K1246" s="1">
        <v>375</v>
      </c>
      <c r="L1246" s="1">
        <v>2500</v>
      </c>
      <c r="M1246" s="1" t="s">
        <v>149</v>
      </c>
      <c r="N1246" s="1"/>
      <c r="O1246" s="1"/>
      <c r="P1246" s="1"/>
      <c r="Q1246" s="62"/>
      <c r="X1246">
        <v>2025</v>
      </c>
    </row>
    <row r="1247" spans="1:24" x14ac:dyDescent="0.25">
      <c r="A1247" t="s">
        <v>1975</v>
      </c>
      <c r="B1247" s="52">
        <v>45919</v>
      </c>
      <c r="C1247" t="s">
        <v>41</v>
      </c>
      <c r="D1247" t="s">
        <v>276</v>
      </c>
      <c r="E1247" t="s">
        <v>37</v>
      </c>
      <c r="F1247">
        <v>1420</v>
      </c>
      <c r="G1247">
        <v>1250</v>
      </c>
      <c r="H1247">
        <v>290</v>
      </c>
      <c r="I1247" s="1">
        <f t="shared" si="22"/>
        <v>514.75</v>
      </c>
      <c r="J1247" s="1">
        <v>285</v>
      </c>
      <c r="K1247" s="1" t="s">
        <v>982</v>
      </c>
      <c r="L1247" s="1">
        <v>147111.75</v>
      </c>
      <c r="M1247" s="1" t="s">
        <v>449</v>
      </c>
      <c r="N1247" s="1" t="s">
        <v>149</v>
      </c>
      <c r="O1247" s="1"/>
      <c r="P1247" s="1"/>
      <c r="Q1247" s="62"/>
      <c r="S1247" t="s">
        <v>1989</v>
      </c>
      <c r="T1247" s="3">
        <v>45929</v>
      </c>
      <c r="U1247">
        <v>285</v>
      </c>
      <c r="V1247" t="s">
        <v>982</v>
      </c>
      <c r="W1247" s="1">
        <v>126866.75</v>
      </c>
      <c r="X1247">
        <v>2025</v>
      </c>
    </row>
    <row r="1248" spans="1:24" x14ac:dyDescent="0.25">
      <c r="A1248" t="s">
        <v>1976</v>
      </c>
      <c r="B1248" s="52">
        <v>45919</v>
      </c>
      <c r="C1248" t="s">
        <v>1977</v>
      </c>
      <c r="D1248" t="s">
        <v>100</v>
      </c>
      <c r="E1248" t="s">
        <v>27</v>
      </c>
      <c r="F1248">
        <v>1000</v>
      </c>
      <c r="G1248">
        <v>1000</v>
      </c>
      <c r="H1248">
        <v>5</v>
      </c>
      <c r="I1248" s="1">
        <f t="shared" si="22"/>
        <v>5</v>
      </c>
      <c r="J1248" s="1">
        <v>500</v>
      </c>
      <c r="K1248" s="1">
        <v>375</v>
      </c>
      <c r="L1248" s="1">
        <v>3000</v>
      </c>
      <c r="M1248" s="1" t="s">
        <v>149</v>
      </c>
      <c r="N1248" s="1"/>
      <c r="O1248" s="1"/>
      <c r="P1248" s="44" t="s">
        <v>149</v>
      </c>
      <c r="Q1248" s="62">
        <v>45929</v>
      </c>
      <c r="X1248">
        <v>2025</v>
      </c>
    </row>
    <row r="1249" spans="1:24" x14ac:dyDescent="0.25">
      <c r="A1249" t="s">
        <v>1978</v>
      </c>
      <c r="B1249" s="52">
        <v>45919</v>
      </c>
      <c r="C1249" t="s">
        <v>508</v>
      </c>
      <c r="D1249" t="s">
        <v>31</v>
      </c>
      <c r="E1249" t="s">
        <v>32</v>
      </c>
      <c r="F1249">
        <v>1000</v>
      </c>
      <c r="G1249">
        <v>1000</v>
      </c>
      <c r="H1249">
        <v>5</v>
      </c>
      <c r="I1249" s="1">
        <f t="shared" si="22"/>
        <v>5</v>
      </c>
      <c r="J1249" s="1">
        <v>295</v>
      </c>
      <c r="K1249" s="1">
        <v>375</v>
      </c>
      <c r="L1249" s="1">
        <v>2125</v>
      </c>
      <c r="M1249" s="1" t="s">
        <v>449</v>
      </c>
      <c r="N1249" s="1" t="s">
        <v>149</v>
      </c>
      <c r="O1249" s="1"/>
      <c r="P1249" s="1"/>
      <c r="Q1249" s="62"/>
      <c r="X1249">
        <v>2025</v>
      </c>
    </row>
    <row r="1250" spans="1:24" x14ac:dyDescent="0.25">
      <c r="A1250" t="s">
        <v>1979</v>
      </c>
      <c r="B1250" s="52">
        <v>45919</v>
      </c>
      <c r="C1250" t="s">
        <v>195</v>
      </c>
      <c r="D1250" t="s">
        <v>46</v>
      </c>
      <c r="E1250" t="s">
        <v>27</v>
      </c>
      <c r="F1250">
        <v>1700</v>
      </c>
      <c r="G1250">
        <v>1700</v>
      </c>
      <c r="H1250">
        <v>100</v>
      </c>
      <c r="I1250" s="1">
        <f t="shared" si="22"/>
        <v>289</v>
      </c>
      <c r="J1250" s="1">
        <v>268.75</v>
      </c>
      <c r="K1250" s="1">
        <v>7225</v>
      </c>
      <c r="L1250" s="1">
        <v>84893.75</v>
      </c>
      <c r="M1250" s="1" t="s">
        <v>149</v>
      </c>
      <c r="N1250" s="1"/>
      <c r="O1250" s="1"/>
      <c r="P1250" s="1"/>
      <c r="Q1250" s="62"/>
      <c r="X1250">
        <v>2025</v>
      </c>
    </row>
    <row r="1251" spans="1:24" x14ac:dyDescent="0.25">
      <c r="A1251" t="s">
        <v>1980</v>
      </c>
      <c r="B1251" s="52">
        <v>45919</v>
      </c>
      <c r="C1251" t="s">
        <v>195</v>
      </c>
      <c r="D1251" t="s">
        <v>46</v>
      </c>
      <c r="E1251" t="s">
        <v>37</v>
      </c>
      <c r="F1251">
        <v>1700</v>
      </c>
      <c r="G1251">
        <v>1700</v>
      </c>
      <c r="H1251">
        <v>100</v>
      </c>
      <c r="I1251" s="1">
        <f t="shared" si="22"/>
        <v>289</v>
      </c>
      <c r="J1251" s="1">
        <v>349.38</v>
      </c>
      <c r="K1251" s="1">
        <v>7225</v>
      </c>
      <c r="L1251" s="1">
        <v>108195.82</v>
      </c>
      <c r="M1251" s="1" t="s">
        <v>149</v>
      </c>
      <c r="N1251" s="1"/>
      <c r="O1251" s="1"/>
      <c r="P1251" s="1"/>
      <c r="Q1251" s="62"/>
      <c r="X1251">
        <v>2025</v>
      </c>
    </row>
    <row r="1252" spans="1:24" x14ac:dyDescent="0.25">
      <c r="A1252" t="s">
        <v>1981</v>
      </c>
      <c r="B1252" s="52">
        <v>45922</v>
      </c>
      <c r="C1252" t="s">
        <v>1977</v>
      </c>
      <c r="D1252" t="s">
        <v>100</v>
      </c>
      <c r="E1252" t="s">
        <v>32</v>
      </c>
      <c r="F1252">
        <v>1000</v>
      </c>
      <c r="G1252">
        <v>1000</v>
      </c>
      <c r="H1252">
        <v>5</v>
      </c>
      <c r="I1252" s="1">
        <f t="shared" si="22"/>
        <v>5</v>
      </c>
      <c r="J1252" s="1">
        <v>600</v>
      </c>
      <c r="K1252" s="1">
        <v>375</v>
      </c>
      <c r="L1252" s="1">
        <v>3650</v>
      </c>
      <c r="M1252" s="1" t="s">
        <v>149</v>
      </c>
      <c r="N1252" s="1"/>
      <c r="O1252" s="1"/>
      <c r="P1252" s="44" t="s">
        <v>149</v>
      </c>
      <c r="Q1252" s="62">
        <v>45929</v>
      </c>
      <c r="X1252">
        <v>2025</v>
      </c>
    </row>
    <row r="1253" spans="1:24" x14ac:dyDescent="0.25">
      <c r="A1253" t="s">
        <v>1982</v>
      </c>
      <c r="B1253" s="52">
        <v>45923</v>
      </c>
      <c r="C1253" t="s">
        <v>1983</v>
      </c>
      <c r="D1253" t="s">
        <v>52</v>
      </c>
      <c r="E1253" t="s">
        <v>27</v>
      </c>
      <c r="F1253">
        <v>297</v>
      </c>
      <c r="G1253">
        <v>297</v>
      </c>
      <c r="H1253">
        <v>440</v>
      </c>
      <c r="I1253" s="1">
        <f t="shared" si="22"/>
        <v>38.811959999999999</v>
      </c>
      <c r="J1253" s="1">
        <v>308.26</v>
      </c>
      <c r="K1253" s="1">
        <v>1940.5</v>
      </c>
      <c r="L1253" s="1">
        <f>11963.57+125+1940.5</f>
        <v>14029.07</v>
      </c>
      <c r="M1253" s="1" t="s">
        <v>149</v>
      </c>
      <c r="N1253" s="1"/>
      <c r="O1253" s="1"/>
      <c r="P1253" s="44" t="s">
        <v>149</v>
      </c>
      <c r="Q1253" s="62">
        <v>45951</v>
      </c>
      <c r="X1253">
        <v>2025</v>
      </c>
    </row>
    <row r="1254" spans="1:24" x14ac:dyDescent="0.25">
      <c r="A1254" t="s">
        <v>1984</v>
      </c>
      <c r="B1254" s="52">
        <v>45924</v>
      </c>
      <c r="C1254" t="s">
        <v>1937</v>
      </c>
      <c r="D1254" t="s">
        <v>57</v>
      </c>
      <c r="E1254" t="s">
        <v>27</v>
      </c>
      <c r="F1254">
        <v>1000</v>
      </c>
      <c r="G1254">
        <v>1000</v>
      </c>
      <c r="H1254">
        <v>5</v>
      </c>
      <c r="I1254" s="1">
        <f t="shared" si="22"/>
        <v>5</v>
      </c>
      <c r="J1254" s="1">
        <v>400</v>
      </c>
      <c r="K1254" s="1">
        <v>375</v>
      </c>
      <c r="L1254" s="1">
        <v>2500</v>
      </c>
      <c r="M1254" s="1" t="s">
        <v>149</v>
      </c>
      <c r="N1254" s="1"/>
      <c r="O1254" s="1"/>
      <c r="P1254" s="1"/>
      <c r="Q1254" s="62"/>
      <c r="X1254">
        <v>2025</v>
      </c>
    </row>
    <row r="1255" spans="1:24" x14ac:dyDescent="0.25">
      <c r="A1255" t="s">
        <v>1985</v>
      </c>
      <c r="B1255" s="52">
        <v>45924</v>
      </c>
      <c r="C1255" t="s">
        <v>1986</v>
      </c>
      <c r="D1255" t="s">
        <v>83</v>
      </c>
      <c r="E1255" t="s">
        <v>32</v>
      </c>
      <c r="F1255">
        <v>1000</v>
      </c>
      <c r="G1255">
        <v>1000</v>
      </c>
      <c r="H1255">
        <v>5</v>
      </c>
      <c r="I1255" s="1">
        <f t="shared" si="22"/>
        <v>5</v>
      </c>
      <c r="J1255" s="1">
        <v>600</v>
      </c>
      <c r="K1255" s="1">
        <v>375</v>
      </c>
      <c r="L1255" s="1">
        <v>3650</v>
      </c>
      <c r="M1255" s="1" t="s">
        <v>149</v>
      </c>
      <c r="N1255" s="1"/>
      <c r="O1255" s="1"/>
      <c r="P1255" s="1"/>
      <c r="Q1255" s="62"/>
      <c r="X1255">
        <v>2025</v>
      </c>
    </row>
    <row r="1256" spans="1:24" x14ac:dyDescent="0.25">
      <c r="A1256" t="s">
        <v>1987</v>
      </c>
      <c r="B1256" s="52">
        <v>45926</v>
      </c>
      <c r="C1256" t="s">
        <v>1829</v>
      </c>
      <c r="D1256" t="s">
        <v>31</v>
      </c>
      <c r="E1256" t="s">
        <v>27</v>
      </c>
      <c r="F1256">
        <v>1150</v>
      </c>
      <c r="G1256">
        <v>950</v>
      </c>
      <c r="H1256">
        <v>19</v>
      </c>
      <c r="I1256" s="1">
        <f t="shared" si="22"/>
        <v>20.7575</v>
      </c>
      <c r="J1256" s="1">
        <v>334.91</v>
      </c>
      <c r="K1256" s="1">
        <v>1500</v>
      </c>
      <c r="L1256" s="1">
        <v>8592.73</v>
      </c>
      <c r="M1256" s="1" t="s">
        <v>149</v>
      </c>
      <c r="N1256" s="1"/>
      <c r="O1256" s="1"/>
      <c r="P1256" s="1"/>
      <c r="Q1256" s="62"/>
      <c r="X1256">
        <v>2025</v>
      </c>
    </row>
    <row r="1257" spans="1:24" x14ac:dyDescent="0.25">
      <c r="A1257" t="s">
        <v>1988</v>
      </c>
      <c r="B1257" s="52">
        <v>45929</v>
      </c>
      <c r="C1257" t="s">
        <v>1514</v>
      </c>
      <c r="D1257" t="s">
        <v>36</v>
      </c>
      <c r="E1257" t="s">
        <v>27</v>
      </c>
      <c r="F1257">
        <v>416</v>
      </c>
      <c r="G1257">
        <v>316</v>
      </c>
      <c r="H1257">
        <v>60</v>
      </c>
      <c r="I1257" s="1">
        <f t="shared" si="22"/>
        <v>7.8873600000000001</v>
      </c>
      <c r="J1257" s="1">
        <v>367.52</v>
      </c>
      <c r="K1257" s="1">
        <v>591.75</v>
      </c>
      <c r="L1257" s="1">
        <v>3571.48</v>
      </c>
      <c r="M1257" s="1" t="s">
        <v>149</v>
      </c>
      <c r="N1257" s="1"/>
      <c r="O1257" s="1"/>
      <c r="P1257" s="44" t="s">
        <v>149</v>
      </c>
      <c r="Q1257" s="62">
        <v>45843</v>
      </c>
      <c r="X1257">
        <v>2025</v>
      </c>
    </row>
    <row r="1258" spans="1:24" x14ac:dyDescent="0.25">
      <c r="A1258" t="s">
        <v>1990</v>
      </c>
      <c r="B1258" s="52">
        <v>45930</v>
      </c>
      <c r="C1258" t="s">
        <v>1992</v>
      </c>
      <c r="D1258" t="s">
        <v>83</v>
      </c>
      <c r="E1258" t="s">
        <v>27</v>
      </c>
      <c r="F1258">
        <v>1000</v>
      </c>
      <c r="G1258">
        <v>1000</v>
      </c>
      <c r="H1258">
        <v>5</v>
      </c>
      <c r="I1258" s="1">
        <f t="shared" si="22"/>
        <v>5</v>
      </c>
      <c r="J1258" s="1">
        <v>400</v>
      </c>
      <c r="K1258" s="1">
        <v>375</v>
      </c>
      <c r="L1258" s="1">
        <v>2500</v>
      </c>
      <c r="M1258" s="1" t="s">
        <v>149</v>
      </c>
      <c r="N1258" s="1"/>
      <c r="O1258" s="1"/>
      <c r="P1258" s="1"/>
      <c r="Q1258" s="62"/>
      <c r="S1258" t="s">
        <v>2052</v>
      </c>
      <c r="T1258" s="3">
        <v>45980</v>
      </c>
      <c r="U1258" t="s">
        <v>2053</v>
      </c>
      <c r="X1258">
        <v>2025</v>
      </c>
    </row>
    <row r="1259" spans="1:24" x14ac:dyDescent="0.25">
      <c r="A1259" t="s">
        <v>1991</v>
      </c>
      <c r="B1259" s="52">
        <v>45930</v>
      </c>
      <c r="C1259" t="s">
        <v>1992</v>
      </c>
      <c r="D1259" t="s">
        <v>83</v>
      </c>
      <c r="E1259" t="s">
        <v>32</v>
      </c>
      <c r="F1259">
        <v>1000</v>
      </c>
      <c r="G1259">
        <v>1000</v>
      </c>
      <c r="H1259">
        <v>5</v>
      </c>
      <c r="I1259" s="1">
        <f t="shared" si="22"/>
        <v>5</v>
      </c>
      <c r="J1259" s="1">
        <v>600</v>
      </c>
      <c r="K1259" s="1">
        <v>375</v>
      </c>
      <c r="L1259" s="1">
        <v>3650</v>
      </c>
      <c r="M1259" s="1" t="s">
        <v>149</v>
      </c>
      <c r="N1259" s="1"/>
      <c r="O1259" s="1"/>
      <c r="P1259" s="1"/>
      <c r="Q1259" s="62"/>
      <c r="X1259">
        <v>2025</v>
      </c>
    </row>
    <row r="1260" spans="1:24" x14ac:dyDescent="0.25">
      <c r="A1260" t="s">
        <v>1993</v>
      </c>
      <c r="B1260" s="52">
        <v>45930</v>
      </c>
      <c r="C1260" t="s">
        <v>1047</v>
      </c>
      <c r="D1260" t="s">
        <v>1994</v>
      </c>
      <c r="E1260" t="s">
        <v>32</v>
      </c>
      <c r="F1260">
        <v>1000</v>
      </c>
      <c r="G1260">
        <v>1000</v>
      </c>
      <c r="H1260">
        <v>20</v>
      </c>
      <c r="I1260" s="1">
        <f t="shared" si="22"/>
        <v>20</v>
      </c>
      <c r="J1260" s="1">
        <v>544.08000000000004</v>
      </c>
      <c r="K1260" s="1">
        <v>1500</v>
      </c>
      <c r="L1260" s="1">
        <f>90+1500+(Table13[[#This Row],[Eur /m2]]*Table13[[#This Row],[Total sqm]])</f>
        <v>12471.6</v>
      </c>
      <c r="M1260" s="1" t="s">
        <v>149</v>
      </c>
      <c r="N1260" s="1"/>
      <c r="O1260" s="1"/>
      <c r="P1260" s="1"/>
      <c r="Q1260" s="62"/>
      <c r="X1260">
        <v>2025</v>
      </c>
    </row>
    <row r="1261" spans="1:24" x14ac:dyDescent="0.25">
      <c r="A1261" t="s">
        <v>1996</v>
      </c>
      <c r="B1261" s="52">
        <v>45933</v>
      </c>
      <c r="C1261" t="s">
        <v>1265</v>
      </c>
      <c r="D1261" t="s">
        <v>42</v>
      </c>
      <c r="E1261" t="s">
        <v>27</v>
      </c>
      <c r="F1261">
        <v>379</v>
      </c>
      <c r="G1261">
        <v>379</v>
      </c>
      <c r="H1261">
        <v>200</v>
      </c>
      <c r="I1261" s="1">
        <f t="shared" si="22"/>
        <v>28.728200000000001</v>
      </c>
      <c r="J1261" s="1">
        <v>319.02</v>
      </c>
      <c r="K1261" s="1">
        <v>1436.5</v>
      </c>
      <c r="L1261" s="1">
        <f>9165.44+Table13[[#This Row],[F P H]]+75</f>
        <v>10676.94</v>
      </c>
      <c r="M1261" s="1" t="s">
        <v>149</v>
      </c>
      <c r="N1261" s="1"/>
      <c r="O1261" s="1"/>
      <c r="P1261" s="1" t="s">
        <v>149</v>
      </c>
      <c r="Q1261" s="62">
        <v>45937</v>
      </c>
      <c r="T1261" s="3">
        <v>45968</v>
      </c>
      <c r="U1261">
        <v>310.75</v>
      </c>
      <c r="V1261" s="1">
        <v>1795.5</v>
      </c>
      <c r="W1261" s="1">
        <v>13029.53</v>
      </c>
      <c r="X1261">
        <v>2025</v>
      </c>
    </row>
    <row r="1262" spans="1:24" x14ac:dyDescent="0.25">
      <c r="A1262" t="s">
        <v>1997</v>
      </c>
      <c r="B1262" s="52">
        <v>45933</v>
      </c>
      <c r="C1262" t="s">
        <v>745</v>
      </c>
      <c r="D1262" t="s">
        <v>31</v>
      </c>
      <c r="E1262" t="s">
        <v>37</v>
      </c>
      <c r="F1262">
        <v>1000</v>
      </c>
      <c r="G1262">
        <v>1000</v>
      </c>
      <c r="H1262">
        <v>5</v>
      </c>
      <c r="I1262" s="1">
        <f t="shared" si="22"/>
        <v>5</v>
      </c>
      <c r="J1262" s="1">
        <v>500</v>
      </c>
      <c r="K1262" s="1">
        <v>375</v>
      </c>
      <c r="L1262" s="1">
        <v>2950</v>
      </c>
      <c r="M1262" s="1" t="s">
        <v>149</v>
      </c>
      <c r="N1262" s="1"/>
      <c r="O1262" s="1"/>
      <c r="P1262" s="1"/>
      <c r="Q1262" s="62"/>
      <c r="X1262">
        <v>2025</v>
      </c>
    </row>
    <row r="1263" spans="1:24" x14ac:dyDescent="0.25">
      <c r="A1263" t="s">
        <v>1998</v>
      </c>
      <c r="B1263" s="52">
        <v>45933</v>
      </c>
      <c r="C1263" t="s">
        <v>206</v>
      </c>
      <c r="D1263" t="s">
        <v>36</v>
      </c>
      <c r="E1263" t="s">
        <v>37</v>
      </c>
      <c r="F1263">
        <v>1040</v>
      </c>
      <c r="G1263">
        <v>1040</v>
      </c>
      <c r="H1263">
        <v>1150</v>
      </c>
      <c r="I1263" s="1">
        <f t="shared" ref="I1263:I1411" si="23">$F1263*$G1263*$H1263/1000000</f>
        <v>1243.8399999999999</v>
      </c>
      <c r="J1263" s="1">
        <v>265</v>
      </c>
      <c r="K1263" s="1">
        <v>31096</v>
      </c>
      <c r="L1263" s="1">
        <v>360713.6</v>
      </c>
      <c r="M1263" s="1" t="s">
        <v>449</v>
      </c>
      <c r="N1263" s="1" t="s">
        <v>149</v>
      </c>
      <c r="O1263" s="1"/>
      <c r="P1263" s="1"/>
      <c r="Q1263" s="62"/>
      <c r="X1263">
        <v>2025</v>
      </c>
    </row>
    <row r="1264" spans="1:24" x14ac:dyDescent="0.25">
      <c r="A1264" t="s">
        <v>2000</v>
      </c>
      <c r="B1264" s="52">
        <v>45937</v>
      </c>
      <c r="C1264" t="s">
        <v>2003</v>
      </c>
      <c r="D1264" t="s">
        <v>83</v>
      </c>
      <c r="E1264" t="s">
        <v>27</v>
      </c>
      <c r="F1264">
        <v>1000</v>
      </c>
      <c r="G1264">
        <v>1000</v>
      </c>
      <c r="H1264">
        <v>5</v>
      </c>
      <c r="I1264" s="1">
        <f t="shared" si="23"/>
        <v>5</v>
      </c>
      <c r="J1264" s="1">
        <v>400</v>
      </c>
      <c r="K1264" s="1">
        <v>375</v>
      </c>
      <c r="L1264" s="1">
        <v>2500</v>
      </c>
      <c r="M1264" s="1" t="s">
        <v>149</v>
      </c>
      <c r="N1264" s="1"/>
      <c r="O1264" s="1"/>
      <c r="P1264" s="1"/>
      <c r="Q1264" s="62"/>
      <c r="X1264">
        <v>2025</v>
      </c>
    </row>
    <row r="1265" spans="1:24" x14ac:dyDescent="0.25">
      <c r="A1265" t="s">
        <v>2001</v>
      </c>
      <c r="B1265" s="52">
        <v>45937</v>
      </c>
      <c r="C1265" t="s">
        <v>2003</v>
      </c>
      <c r="D1265" t="s">
        <v>83</v>
      </c>
      <c r="E1265" t="s">
        <v>37</v>
      </c>
      <c r="F1265">
        <v>1000</v>
      </c>
      <c r="G1265">
        <v>1000</v>
      </c>
      <c r="H1265">
        <v>5</v>
      </c>
      <c r="I1265" s="1">
        <f t="shared" si="23"/>
        <v>5</v>
      </c>
      <c r="J1265" s="1">
        <v>500</v>
      </c>
      <c r="K1265" s="1">
        <v>375</v>
      </c>
      <c r="L1265" s="1">
        <v>3000</v>
      </c>
      <c r="M1265" s="1" t="s">
        <v>149</v>
      </c>
      <c r="N1265" s="1"/>
      <c r="O1265" s="1"/>
      <c r="P1265" s="1"/>
      <c r="Q1265" s="62"/>
      <c r="X1265">
        <v>2025</v>
      </c>
    </row>
    <row r="1266" spans="1:24" x14ac:dyDescent="0.25">
      <c r="A1266" t="s">
        <v>2002</v>
      </c>
      <c r="B1266" s="52">
        <v>45937</v>
      </c>
      <c r="C1266" t="s">
        <v>2003</v>
      </c>
      <c r="D1266" t="s">
        <v>83</v>
      </c>
      <c r="E1266" t="s">
        <v>32</v>
      </c>
      <c r="F1266">
        <v>1000</v>
      </c>
      <c r="G1266">
        <v>1000</v>
      </c>
      <c r="H1266">
        <v>5</v>
      </c>
      <c r="I1266" s="1">
        <f t="shared" si="23"/>
        <v>5</v>
      </c>
      <c r="J1266" s="1">
        <v>600</v>
      </c>
      <c r="K1266" s="1">
        <v>375</v>
      </c>
      <c r="L1266" s="1">
        <v>3650</v>
      </c>
      <c r="M1266" s="1" t="s">
        <v>149</v>
      </c>
      <c r="N1266" s="1"/>
      <c r="O1266" s="1"/>
      <c r="P1266" s="1"/>
      <c r="Q1266" s="62"/>
      <c r="X1266">
        <v>2025</v>
      </c>
    </row>
    <row r="1267" spans="1:24" x14ac:dyDescent="0.25">
      <c r="A1267" t="s">
        <v>2004</v>
      </c>
      <c r="B1267" s="52">
        <v>45938</v>
      </c>
      <c r="C1267" t="s">
        <v>1469</v>
      </c>
      <c r="D1267" t="s">
        <v>263</v>
      </c>
      <c r="E1267" t="s">
        <v>32</v>
      </c>
      <c r="F1267">
        <v>1050</v>
      </c>
      <c r="G1267">
        <v>240</v>
      </c>
      <c r="H1267">
        <v>500</v>
      </c>
      <c r="I1267" s="1">
        <f t="shared" si="23"/>
        <v>126</v>
      </c>
      <c r="J1267" s="1">
        <v>456.7</v>
      </c>
      <c r="K1267" s="1">
        <v>3150</v>
      </c>
      <c r="L1267" s="1">
        <v>61754.2</v>
      </c>
      <c r="M1267" s="1" t="s">
        <v>149</v>
      </c>
      <c r="N1267" s="1"/>
      <c r="O1267" s="1"/>
      <c r="P1267" s="44" t="s">
        <v>149</v>
      </c>
      <c r="Q1267" s="62">
        <v>45958</v>
      </c>
      <c r="S1267" t="s">
        <v>2034</v>
      </c>
      <c r="T1267" s="3">
        <v>45952</v>
      </c>
      <c r="U1267">
        <v>456.7</v>
      </c>
      <c r="V1267">
        <v>3150</v>
      </c>
      <c r="W1267" s="1">
        <v>60694.2</v>
      </c>
      <c r="X1267">
        <v>2025</v>
      </c>
    </row>
    <row r="1268" spans="1:24" x14ac:dyDescent="0.25">
      <c r="A1268" t="s">
        <v>2005</v>
      </c>
      <c r="B1268" s="52">
        <v>45938</v>
      </c>
      <c r="C1268" t="s">
        <v>742</v>
      </c>
      <c r="D1268" t="s">
        <v>57</v>
      </c>
      <c r="E1268" t="s">
        <v>27</v>
      </c>
      <c r="F1268">
        <v>1000</v>
      </c>
      <c r="G1268">
        <v>1000</v>
      </c>
      <c r="H1268">
        <v>10</v>
      </c>
      <c r="I1268" s="1">
        <f t="shared" si="23"/>
        <v>10</v>
      </c>
      <c r="J1268" s="1">
        <v>270</v>
      </c>
      <c r="K1268" s="1">
        <v>750</v>
      </c>
      <c r="L1268" s="1">
        <v>3450</v>
      </c>
      <c r="M1268" s="1" t="s">
        <v>449</v>
      </c>
      <c r="N1268" s="1" t="s">
        <v>149</v>
      </c>
      <c r="O1268" s="1"/>
      <c r="P1268" s="1"/>
      <c r="Q1268" s="62"/>
      <c r="W1268" s="1"/>
      <c r="X1268">
        <v>2025</v>
      </c>
    </row>
    <row r="1269" spans="1:24" x14ac:dyDescent="0.25">
      <c r="A1269" t="s">
        <v>2006</v>
      </c>
      <c r="B1269" s="52">
        <v>45940</v>
      </c>
      <c r="C1269" t="s">
        <v>470</v>
      </c>
      <c r="D1269" t="s">
        <v>100</v>
      </c>
      <c r="E1269" t="s">
        <v>27</v>
      </c>
      <c r="F1269">
        <v>1000</v>
      </c>
      <c r="G1269">
        <v>1000</v>
      </c>
      <c r="H1269">
        <v>5</v>
      </c>
      <c r="I1269" s="1">
        <f t="shared" si="23"/>
        <v>5</v>
      </c>
      <c r="J1269" s="1">
        <v>400</v>
      </c>
      <c r="K1269" s="1">
        <v>375</v>
      </c>
      <c r="L1269" s="1">
        <v>2500</v>
      </c>
      <c r="M1269" s="1" t="s">
        <v>149</v>
      </c>
      <c r="N1269" s="1"/>
      <c r="O1269" s="1"/>
      <c r="P1269" s="1"/>
      <c r="Q1269" s="62"/>
      <c r="W1269" s="1"/>
      <c r="X1269">
        <v>2025</v>
      </c>
    </row>
    <row r="1270" spans="1:24" x14ac:dyDescent="0.25">
      <c r="A1270" t="s">
        <v>2007</v>
      </c>
      <c r="B1270" s="52">
        <v>45940</v>
      </c>
      <c r="C1270" t="s">
        <v>470</v>
      </c>
      <c r="D1270" t="s">
        <v>100</v>
      </c>
      <c r="E1270" t="s">
        <v>37</v>
      </c>
      <c r="F1270">
        <v>1000</v>
      </c>
      <c r="G1270">
        <v>1000</v>
      </c>
      <c r="H1270">
        <v>5</v>
      </c>
      <c r="I1270" s="1">
        <f t="shared" si="23"/>
        <v>5</v>
      </c>
      <c r="J1270" s="1">
        <v>500</v>
      </c>
      <c r="K1270" s="1">
        <v>375</v>
      </c>
      <c r="L1270" s="1">
        <v>3000</v>
      </c>
      <c r="M1270" s="1" t="s">
        <v>149</v>
      </c>
      <c r="N1270" s="1"/>
      <c r="O1270" s="1"/>
      <c r="P1270" s="1"/>
      <c r="Q1270" s="62"/>
      <c r="W1270" s="1"/>
      <c r="X1270">
        <v>2025</v>
      </c>
    </row>
    <row r="1271" spans="1:24" x14ac:dyDescent="0.25">
      <c r="A1271" t="s">
        <v>2008</v>
      </c>
      <c r="B1271" s="52">
        <v>45940</v>
      </c>
      <c r="C1271" t="s">
        <v>470</v>
      </c>
      <c r="D1271" t="s">
        <v>100</v>
      </c>
      <c r="E1271" t="s">
        <v>32</v>
      </c>
      <c r="F1271">
        <v>1000</v>
      </c>
      <c r="G1271">
        <v>1000</v>
      </c>
      <c r="H1271">
        <v>5</v>
      </c>
      <c r="I1271" s="1">
        <f t="shared" si="23"/>
        <v>5</v>
      </c>
      <c r="J1271" s="1">
        <v>600</v>
      </c>
      <c r="K1271" s="1">
        <v>375</v>
      </c>
      <c r="L1271" s="1">
        <v>3650</v>
      </c>
      <c r="M1271" s="1" t="s">
        <v>149</v>
      </c>
      <c r="N1271" s="1"/>
      <c r="O1271" s="1"/>
      <c r="P1271" s="1"/>
      <c r="Q1271" s="62"/>
      <c r="W1271" s="1"/>
      <c r="X1271">
        <v>2025</v>
      </c>
    </row>
    <row r="1272" spans="1:24" x14ac:dyDescent="0.25">
      <c r="A1272" t="s">
        <v>2010</v>
      </c>
      <c r="B1272" s="52">
        <v>45940</v>
      </c>
      <c r="C1272" s="63" t="s">
        <v>2009</v>
      </c>
      <c r="D1272" t="s">
        <v>91</v>
      </c>
      <c r="E1272" t="s">
        <v>32</v>
      </c>
      <c r="F1272">
        <v>1000</v>
      </c>
      <c r="G1272">
        <v>1000</v>
      </c>
      <c r="H1272">
        <v>5</v>
      </c>
      <c r="I1272" s="1">
        <f t="shared" si="23"/>
        <v>5</v>
      </c>
      <c r="J1272" s="1">
        <v>600</v>
      </c>
      <c r="K1272" s="1">
        <v>375</v>
      </c>
      <c r="L1272" s="1">
        <v>3650</v>
      </c>
      <c r="M1272" s="1" t="s">
        <v>149</v>
      </c>
      <c r="N1272" s="1"/>
      <c r="O1272" s="1"/>
      <c r="P1272" s="1"/>
      <c r="Q1272" s="62"/>
      <c r="W1272" s="1"/>
      <c r="X1272">
        <v>2025</v>
      </c>
    </row>
    <row r="1273" spans="1:24" x14ac:dyDescent="0.25">
      <c r="A1273" t="s">
        <v>2011</v>
      </c>
      <c r="B1273" s="52">
        <v>45940</v>
      </c>
      <c r="C1273" t="s">
        <v>2012</v>
      </c>
      <c r="D1273" t="s">
        <v>157</v>
      </c>
      <c r="E1273" t="s">
        <v>32</v>
      </c>
      <c r="F1273">
        <v>1000</v>
      </c>
      <c r="G1273">
        <v>1000</v>
      </c>
      <c r="H1273">
        <v>5</v>
      </c>
      <c r="I1273" s="1">
        <f t="shared" si="23"/>
        <v>5</v>
      </c>
      <c r="J1273" s="1">
        <v>600</v>
      </c>
      <c r="K1273" s="1">
        <v>375</v>
      </c>
      <c r="L1273" s="1">
        <v>3650</v>
      </c>
      <c r="M1273" s="1" t="s">
        <v>149</v>
      </c>
      <c r="N1273" s="1"/>
      <c r="O1273" s="1"/>
      <c r="P1273" s="1"/>
      <c r="Q1273" s="62"/>
      <c r="W1273" s="1"/>
      <c r="X1273">
        <v>2025</v>
      </c>
    </row>
    <row r="1274" spans="1:24" x14ac:dyDescent="0.25">
      <c r="A1274" t="s">
        <v>2014</v>
      </c>
      <c r="B1274" s="52">
        <v>45943</v>
      </c>
      <c r="C1274" t="s">
        <v>56</v>
      </c>
      <c r="D1274" t="s">
        <v>57</v>
      </c>
      <c r="E1274" t="s">
        <v>27</v>
      </c>
      <c r="F1274">
        <v>1200</v>
      </c>
      <c r="G1274">
        <v>2400</v>
      </c>
      <c r="H1274">
        <v>7</v>
      </c>
      <c r="I1274" s="1">
        <f t="shared" si="23"/>
        <v>20.16</v>
      </c>
      <c r="J1274" s="1">
        <v>336.62</v>
      </c>
      <c r="K1274" s="1">
        <f>50*Table13[[#This Row],[Total sqm]]</f>
        <v>1008</v>
      </c>
      <c r="L1274" s="1">
        <v>8154.26</v>
      </c>
      <c r="M1274" s="1" t="s">
        <v>149</v>
      </c>
      <c r="N1274" s="1"/>
      <c r="O1274" s="1"/>
      <c r="P1274" s="1"/>
      <c r="Q1274" s="62"/>
      <c r="W1274" s="1"/>
      <c r="X1274">
        <v>2025</v>
      </c>
    </row>
    <row r="1275" spans="1:24" x14ac:dyDescent="0.25">
      <c r="A1275" t="s">
        <v>2015</v>
      </c>
      <c r="B1275" s="52">
        <v>45943</v>
      </c>
      <c r="C1275" t="s">
        <v>1677</v>
      </c>
      <c r="D1275" t="s">
        <v>138</v>
      </c>
      <c r="E1275" t="s">
        <v>27</v>
      </c>
      <c r="F1275">
        <v>1000</v>
      </c>
      <c r="G1275">
        <v>1000</v>
      </c>
      <c r="H1275">
        <v>5</v>
      </c>
      <c r="I1275" s="1">
        <f t="shared" si="23"/>
        <v>5</v>
      </c>
      <c r="J1275" s="1">
        <v>400</v>
      </c>
      <c r="K1275" s="1">
        <v>375</v>
      </c>
      <c r="L1275" s="1">
        <v>2450</v>
      </c>
      <c r="M1275" s="1" t="s">
        <v>149</v>
      </c>
      <c r="N1275" s="1"/>
      <c r="O1275" s="1"/>
      <c r="P1275" s="1"/>
      <c r="Q1275" s="62"/>
      <c r="W1275" s="1"/>
      <c r="X1275">
        <v>2025</v>
      </c>
    </row>
    <row r="1276" spans="1:24" x14ac:dyDescent="0.25">
      <c r="A1276" t="s">
        <v>2016</v>
      </c>
      <c r="B1276" s="52">
        <v>45947</v>
      </c>
      <c r="C1276" t="s">
        <v>169</v>
      </c>
      <c r="D1276" t="s">
        <v>103</v>
      </c>
      <c r="E1276" t="s">
        <v>27</v>
      </c>
      <c r="F1276">
        <v>1200</v>
      </c>
      <c r="G1276">
        <v>1200</v>
      </c>
      <c r="H1276">
        <v>174</v>
      </c>
      <c r="I1276" s="1">
        <f t="shared" si="23"/>
        <v>250.56</v>
      </c>
      <c r="J1276" s="1">
        <v>270.44</v>
      </c>
      <c r="K1276" s="1">
        <v>6264</v>
      </c>
      <c r="L1276" s="1">
        <v>74685.45</v>
      </c>
      <c r="M1276" s="1" t="s">
        <v>149</v>
      </c>
      <c r="N1276" s="1"/>
      <c r="O1276" s="1"/>
      <c r="P1276" s="44" t="s">
        <v>149</v>
      </c>
      <c r="Q1276" s="62">
        <v>45953</v>
      </c>
      <c r="W1276" s="1"/>
      <c r="X1276">
        <v>2025</v>
      </c>
    </row>
    <row r="1277" spans="1:24" x14ac:dyDescent="0.25">
      <c r="A1277" t="s">
        <v>2017</v>
      </c>
      <c r="B1277" s="52">
        <v>45951</v>
      </c>
      <c r="C1277" t="s">
        <v>1501</v>
      </c>
      <c r="D1277" t="s">
        <v>276</v>
      </c>
      <c r="E1277" t="s">
        <v>32</v>
      </c>
      <c r="F1277">
        <v>1000</v>
      </c>
      <c r="G1277">
        <v>1000</v>
      </c>
      <c r="H1277">
        <v>15</v>
      </c>
      <c r="I1277" s="1">
        <f t="shared" si="23"/>
        <v>15</v>
      </c>
      <c r="J1277" s="1">
        <v>554.75</v>
      </c>
      <c r="K1277" s="1">
        <v>1125</v>
      </c>
      <c r="L1277" s="1">
        <v>10271.25</v>
      </c>
      <c r="M1277" s="1" t="s">
        <v>149</v>
      </c>
      <c r="N1277" s="1"/>
      <c r="O1277" s="1"/>
      <c r="P1277" s="1"/>
      <c r="Q1277" s="62"/>
      <c r="S1277" t="s">
        <v>2033</v>
      </c>
      <c r="T1277" s="3">
        <v>45959</v>
      </c>
      <c r="U1277">
        <v>499.27499999999998</v>
      </c>
      <c r="V1277">
        <v>1125</v>
      </c>
      <c r="W1277" s="1">
        <v>9439.1299999999992</v>
      </c>
      <c r="X1277">
        <v>2025</v>
      </c>
    </row>
    <row r="1278" spans="1:24" x14ac:dyDescent="0.25">
      <c r="A1278" t="s">
        <v>2019</v>
      </c>
      <c r="B1278" s="52">
        <v>45953</v>
      </c>
      <c r="C1278" t="s">
        <v>2018</v>
      </c>
      <c r="D1278" t="s">
        <v>157</v>
      </c>
      <c r="E1278" t="s">
        <v>32</v>
      </c>
      <c r="F1278">
        <v>1000</v>
      </c>
      <c r="G1278">
        <v>1000</v>
      </c>
      <c r="H1278">
        <v>5</v>
      </c>
      <c r="I1278" s="1">
        <f t="shared" si="23"/>
        <v>5</v>
      </c>
      <c r="J1278" s="1">
        <v>600</v>
      </c>
      <c r="K1278" s="1">
        <v>375</v>
      </c>
      <c r="L1278" s="1">
        <v>3650</v>
      </c>
      <c r="M1278" s="1" t="s">
        <v>149</v>
      </c>
      <c r="N1278" s="1"/>
      <c r="O1278" s="1"/>
      <c r="P1278" s="1"/>
      <c r="Q1278" s="62"/>
      <c r="W1278" s="1"/>
      <c r="X1278">
        <v>2025</v>
      </c>
    </row>
    <row r="1279" spans="1:24" x14ac:dyDescent="0.25">
      <c r="A1279" t="s">
        <v>2020</v>
      </c>
      <c r="B1279" s="52">
        <v>45952</v>
      </c>
      <c r="C1279" t="s">
        <v>2023</v>
      </c>
      <c r="D1279" t="s">
        <v>31</v>
      </c>
      <c r="E1279" t="s">
        <v>27</v>
      </c>
      <c r="F1279">
        <v>1000</v>
      </c>
      <c r="G1279">
        <v>1000</v>
      </c>
      <c r="H1279">
        <v>5</v>
      </c>
      <c r="I1279" s="1">
        <f t="shared" si="23"/>
        <v>5</v>
      </c>
      <c r="J1279" s="1">
        <v>400</v>
      </c>
      <c r="K1279" s="1">
        <v>375</v>
      </c>
      <c r="L1279" s="1">
        <v>2450</v>
      </c>
      <c r="M1279" s="1" t="s">
        <v>149</v>
      </c>
      <c r="N1279" s="1"/>
      <c r="O1279" s="1"/>
      <c r="P1279" s="1"/>
      <c r="Q1279" s="62"/>
      <c r="W1279" s="1"/>
      <c r="X1279">
        <v>2025</v>
      </c>
    </row>
    <row r="1280" spans="1:24" x14ac:dyDescent="0.25">
      <c r="A1280" t="s">
        <v>2021</v>
      </c>
      <c r="B1280" s="52">
        <v>45952</v>
      </c>
      <c r="C1280" t="s">
        <v>2023</v>
      </c>
      <c r="D1280" t="s">
        <v>31</v>
      </c>
      <c r="E1280" t="s">
        <v>37</v>
      </c>
      <c r="F1280">
        <v>1000</v>
      </c>
      <c r="G1280">
        <v>1000</v>
      </c>
      <c r="H1280">
        <v>5</v>
      </c>
      <c r="I1280" s="1">
        <f t="shared" si="23"/>
        <v>5</v>
      </c>
      <c r="J1280" s="1">
        <v>500</v>
      </c>
      <c r="K1280" s="1">
        <v>375</v>
      </c>
      <c r="L1280" s="1">
        <v>2950</v>
      </c>
      <c r="M1280" s="1" t="s">
        <v>149</v>
      </c>
      <c r="N1280" s="1"/>
      <c r="O1280" s="1"/>
      <c r="P1280" s="1"/>
      <c r="Q1280" s="62"/>
      <c r="W1280" s="1"/>
      <c r="X1280">
        <v>2025</v>
      </c>
    </row>
    <row r="1281" spans="1:24" x14ac:dyDescent="0.25">
      <c r="A1281" t="s">
        <v>2022</v>
      </c>
      <c r="B1281" s="52">
        <v>45952</v>
      </c>
      <c r="C1281" t="s">
        <v>2023</v>
      </c>
      <c r="D1281" t="s">
        <v>31</v>
      </c>
      <c r="E1281" t="s">
        <v>32</v>
      </c>
      <c r="F1281">
        <v>1000</v>
      </c>
      <c r="G1281">
        <v>1000</v>
      </c>
      <c r="H1281">
        <v>5</v>
      </c>
      <c r="I1281" s="1">
        <f t="shared" si="23"/>
        <v>5</v>
      </c>
      <c r="J1281" s="1">
        <v>600</v>
      </c>
      <c r="K1281" s="1">
        <v>375</v>
      </c>
      <c r="L1281" s="1">
        <v>3650</v>
      </c>
      <c r="M1281" s="1" t="s">
        <v>149</v>
      </c>
      <c r="N1281" s="1"/>
      <c r="O1281" s="1"/>
      <c r="P1281" s="1"/>
      <c r="Q1281" s="62"/>
      <c r="W1281" s="1"/>
      <c r="X1281">
        <v>2025</v>
      </c>
    </row>
    <row r="1282" spans="1:24" x14ac:dyDescent="0.25">
      <c r="A1282" t="s">
        <v>2024</v>
      </c>
      <c r="B1282" s="52">
        <v>45954</v>
      </c>
      <c r="C1282" t="s">
        <v>2025</v>
      </c>
      <c r="D1282" t="s">
        <v>1252</v>
      </c>
      <c r="E1282" t="s">
        <v>27</v>
      </c>
      <c r="F1282">
        <v>1000</v>
      </c>
      <c r="G1282">
        <v>1000</v>
      </c>
      <c r="H1282">
        <v>5</v>
      </c>
      <c r="I1282" s="1">
        <f t="shared" si="23"/>
        <v>5</v>
      </c>
      <c r="J1282" s="1">
        <v>400</v>
      </c>
      <c r="K1282" s="1">
        <v>375</v>
      </c>
      <c r="L1282" s="1">
        <v>2450</v>
      </c>
      <c r="M1282" s="1" t="s">
        <v>149</v>
      </c>
      <c r="N1282" s="1"/>
      <c r="O1282" s="1"/>
      <c r="P1282" s="1"/>
      <c r="Q1282" s="62"/>
      <c r="W1282" s="1"/>
    </row>
    <row r="1283" spans="1:24" x14ac:dyDescent="0.25">
      <c r="A1283" t="s">
        <v>2026</v>
      </c>
      <c r="B1283" s="52">
        <v>45954</v>
      </c>
      <c r="C1283" t="s">
        <v>2025</v>
      </c>
      <c r="D1283" t="s">
        <v>1252</v>
      </c>
      <c r="E1283" t="s">
        <v>37</v>
      </c>
      <c r="F1283">
        <v>1000</v>
      </c>
      <c r="G1283">
        <v>1000</v>
      </c>
      <c r="H1283">
        <v>5</v>
      </c>
      <c r="I1283" s="1">
        <f t="shared" si="23"/>
        <v>5</v>
      </c>
      <c r="J1283" s="1">
        <v>500</v>
      </c>
      <c r="K1283" s="1">
        <v>375</v>
      </c>
      <c r="L1283" s="1">
        <v>2950</v>
      </c>
      <c r="M1283" s="1" t="s">
        <v>149</v>
      </c>
      <c r="N1283" s="1"/>
      <c r="O1283" s="1"/>
      <c r="P1283" s="1" t="s">
        <v>149</v>
      </c>
      <c r="Q1283" s="62">
        <v>46002</v>
      </c>
      <c r="W1283" s="1"/>
    </row>
    <row r="1284" spans="1:24" x14ac:dyDescent="0.25">
      <c r="A1284" t="s">
        <v>2027</v>
      </c>
      <c r="B1284" s="52">
        <v>45954</v>
      </c>
      <c r="C1284" t="s">
        <v>2025</v>
      </c>
      <c r="D1284" t="s">
        <v>1252</v>
      </c>
      <c r="E1284" t="s">
        <v>32</v>
      </c>
      <c r="F1284">
        <v>1000</v>
      </c>
      <c r="G1284">
        <v>1000</v>
      </c>
      <c r="H1284">
        <v>5</v>
      </c>
      <c r="I1284" s="1">
        <f t="shared" si="23"/>
        <v>5</v>
      </c>
      <c r="J1284" s="1">
        <v>600</v>
      </c>
      <c r="K1284" s="1">
        <v>375</v>
      </c>
      <c r="L1284" s="1">
        <v>3650</v>
      </c>
      <c r="M1284" s="1" t="s">
        <v>149</v>
      </c>
      <c r="N1284" s="1"/>
      <c r="O1284" s="1"/>
      <c r="P1284" s="1"/>
      <c r="Q1284" s="62"/>
      <c r="W1284" s="1"/>
    </row>
    <row r="1285" spans="1:24" x14ac:dyDescent="0.25">
      <c r="A1285" t="s">
        <v>2028</v>
      </c>
      <c r="B1285" s="52">
        <v>45954</v>
      </c>
      <c r="C1285" t="s">
        <v>2029</v>
      </c>
      <c r="D1285" t="s">
        <v>146</v>
      </c>
      <c r="E1285" t="s">
        <v>37</v>
      </c>
      <c r="F1285">
        <v>1000</v>
      </c>
      <c r="G1285">
        <v>1000</v>
      </c>
      <c r="H1285">
        <v>10</v>
      </c>
      <c r="I1285" s="1">
        <f t="shared" si="23"/>
        <v>10</v>
      </c>
      <c r="J1285" s="1">
        <v>464</v>
      </c>
      <c r="K1285" s="1">
        <f>375*2</f>
        <v>750</v>
      </c>
      <c r="L1285" s="1">
        <v>5540</v>
      </c>
      <c r="M1285" s="1" t="s">
        <v>149</v>
      </c>
      <c r="N1285" s="1"/>
      <c r="O1285" s="1"/>
      <c r="P1285" s="1"/>
      <c r="Q1285" s="62"/>
      <c r="W1285" s="1"/>
    </row>
    <row r="1286" spans="1:24" x14ac:dyDescent="0.25">
      <c r="A1286" t="s">
        <v>2030</v>
      </c>
      <c r="B1286" s="52">
        <v>45954</v>
      </c>
      <c r="C1286" t="s">
        <v>2031</v>
      </c>
      <c r="D1286" t="s">
        <v>36</v>
      </c>
      <c r="E1286" t="s">
        <v>27</v>
      </c>
      <c r="F1286">
        <v>1000</v>
      </c>
      <c r="G1286">
        <v>1000</v>
      </c>
      <c r="H1286">
        <v>5</v>
      </c>
      <c r="I1286" s="1">
        <f t="shared" si="23"/>
        <v>5</v>
      </c>
      <c r="J1286" s="1">
        <v>400</v>
      </c>
      <c r="K1286" s="1">
        <v>375</v>
      </c>
      <c r="L1286" s="1">
        <v>2450</v>
      </c>
      <c r="M1286" s="1" t="s">
        <v>149</v>
      </c>
      <c r="N1286" s="1"/>
      <c r="O1286" s="1"/>
      <c r="P1286" s="1"/>
      <c r="Q1286" s="62"/>
      <c r="W1286" s="1"/>
    </row>
    <row r="1287" spans="1:24" x14ac:dyDescent="0.25">
      <c r="A1287" t="s">
        <v>2032</v>
      </c>
      <c r="B1287" s="52">
        <v>45957</v>
      </c>
      <c r="C1287" t="s">
        <v>1419</v>
      </c>
      <c r="D1287" t="s">
        <v>70</v>
      </c>
      <c r="E1287" t="s">
        <v>37</v>
      </c>
      <c r="F1287">
        <v>2800</v>
      </c>
      <c r="G1287">
        <v>125</v>
      </c>
      <c r="H1287">
        <v>100</v>
      </c>
      <c r="I1287" s="1">
        <f t="shared" si="23"/>
        <v>35</v>
      </c>
      <c r="J1287" s="1">
        <v>405.08</v>
      </c>
      <c r="K1287" s="1">
        <v>1750</v>
      </c>
      <c r="L1287" s="1">
        <v>15927.8</v>
      </c>
      <c r="M1287" s="1" t="s">
        <v>149</v>
      </c>
      <c r="N1287" s="1"/>
      <c r="O1287" s="1"/>
      <c r="P1287" s="44" t="s">
        <v>149</v>
      </c>
      <c r="Q1287" s="62">
        <v>45968</v>
      </c>
      <c r="W1287" s="1"/>
      <c r="X1287">
        <v>2025</v>
      </c>
    </row>
    <row r="1288" spans="1:24" x14ac:dyDescent="0.25">
      <c r="A1288" t="s">
        <v>2035</v>
      </c>
      <c r="B1288" s="52">
        <v>45961</v>
      </c>
      <c r="C1288" t="s">
        <v>252</v>
      </c>
      <c r="D1288" t="s">
        <v>83</v>
      </c>
      <c r="E1288" t="s">
        <v>32</v>
      </c>
      <c r="F1288">
        <v>572</v>
      </c>
      <c r="G1288">
        <v>407</v>
      </c>
      <c r="H1288">
        <v>280</v>
      </c>
      <c r="I1288" s="1">
        <f t="shared" si="23"/>
        <v>65.185119999999998</v>
      </c>
      <c r="J1288" s="1">
        <v>477.52</v>
      </c>
      <c r="K1288" s="1">
        <f>65.19*50</f>
        <v>3259.5</v>
      </c>
      <c r="L1288" s="1">
        <v>34609.03</v>
      </c>
      <c r="M1288" s="1" t="s">
        <v>149</v>
      </c>
      <c r="N1288" s="1"/>
      <c r="O1288" s="1"/>
      <c r="P1288" s="1"/>
      <c r="Q1288" s="62"/>
      <c r="W1288" s="1"/>
    </row>
    <row r="1289" spans="1:24" x14ac:dyDescent="0.25">
      <c r="A1289" t="s">
        <v>2036</v>
      </c>
      <c r="B1289" s="52">
        <v>45961</v>
      </c>
      <c r="C1289" t="s">
        <v>1430</v>
      </c>
      <c r="D1289" t="s">
        <v>31</v>
      </c>
      <c r="E1289" t="s">
        <v>27</v>
      </c>
      <c r="F1289">
        <v>1000</v>
      </c>
      <c r="G1289">
        <v>1000</v>
      </c>
      <c r="H1289">
        <v>5</v>
      </c>
      <c r="I1289" s="1">
        <f t="shared" si="23"/>
        <v>5</v>
      </c>
      <c r="J1289" s="1">
        <v>400</v>
      </c>
      <c r="K1289" s="1">
        <v>375</v>
      </c>
      <c r="L1289" s="1">
        <v>2450</v>
      </c>
      <c r="M1289" s="1" t="s">
        <v>149</v>
      </c>
      <c r="N1289" s="1"/>
      <c r="O1289" s="1"/>
      <c r="P1289" s="1"/>
      <c r="Q1289" s="62"/>
      <c r="W1289" s="1"/>
    </row>
    <row r="1290" spans="1:24" x14ac:dyDescent="0.25">
      <c r="A1290" t="s">
        <v>2037</v>
      </c>
      <c r="B1290" s="52">
        <v>45966</v>
      </c>
      <c r="C1290" t="s">
        <v>2038</v>
      </c>
      <c r="D1290" t="s">
        <v>283</v>
      </c>
      <c r="E1290" t="s">
        <v>27</v>
      </c>
      <c r="F1290">
        <v>1000</v>
      </c>
      <c r="G1290">
        <v>1000</v>
      </c>
      <c r="H1290">
        <v>5</v>
      </c>
      <c r="I1290" s="1">
        <f t="shared" si="23"/>
        <v>5</v>
      </c>
      <c r="J1290" s="1">
        <v>400</v>
      </c>
      <c r="K1290" s="1">
        <v>375</v>
      </c>
      <c r="L1290" s="1">
        <v>2500</v>
      </c>
      <c r="M1290" s="1" t="s">
        <v>149</v>
      </c>
      <c r="N1290" s="1"/>
      <c r="O1290" s="1"/>
      <c r="P1290" s="1"/>
      <c r="Q1290" s="62"/>
      <c r="W1290" s="1"/>
    </row>
    <row r="1291" spans="1:24" x14ac:dyDescent="0.25">
      <c r="A1291" t="s">
        <v>2041</v>
      </c>
      <c r="B1291" s="52">
        <v>45973</v>
      </c>
      <c r="C1291" t="s">
        <v>2042</v>
      </c>
      <c r="D1291" t="s">
        <v>1140</v>
      </c>
      <c r="E1291" t="s">
        <v>32</v>
      </c>
      <c r="F1291">
        <v>1000</v>
      </c>
      <c r="G1291">
        <v>1000</v>
      </c>
      <c r="H1291">
        <v>5</v>
      </c>
      <c r="I1291" s="1">
        <f t="shared" si="23"/>
        <v>5</v>
      </c>
      <c r="J1291" s="1">
        <v>600</v>
      </c>
      <c r="K1291" s="1">
        <v>375</v>
      </c>
      <c r="L1291" s="1">
        <v>3650</v>
      </c>
      <c r="M1291" s="1" t="s">
        <v>149</v>
      </c>
      <c r="N1291" s="1"/>
      <c r="O1291" s="1"/>
      <c r="P1291" s="1"/>
      <c r="Q1291" s="62"/>
      <c r="W1291" s="1"/>
    </row>
    <row r="1292" spans="1:24" x14ac:dyDescent="0.25">
      <c r="A1292" t="s">
        <v>2044</v>
      </c>
      <c r="B1292" s="52">
        <v>45978</v>
      </c>
      <c r="C1292" t="s">
        <v>2043</v>
      </c>
      <c r="D1292" t="s">
        <v>100</v>
      </c>
      <c r="E1292" t="s">
        <v>37</v>
      </c>
      <c r="F1292">
        <v>1000</v>
      </c>
      <c r="G1292">
        <v>1000</v>
      </c>
      <c r="H1292">
        <v>5</v>
      </c>
      <c r="I1292" s="1">
        <f t="shared" si="23"/>
        <v>5</v>
      </c>
      <c r="J1292" s="1">
        <v>500</v>
      </c>
      <c r="K1292" s="1">
        <v>375</v>
      </c>
      <c r="L1292" s="1">
        <v>3000</v>
      </c>
      <c r="M1292" s="1" t="s">
        <v>149</v>
      </c>
      <c r="N1292" s="1"/>
      <c r="O1292" s="1"/>
      <c r="P1292" s="1"/>
      <c r="Q1292" s="62"/>
      <c r="W1292" s="1"/>
    </row>
    <row r="1293" spans="1:24" x14ac:dyDescent="0.25">
      <c r="A1293" t="s">
        <v>2045</v>
      </c>
      <c r="B1293" s="52">
        <v>45978</v>
      </c>
      <c r="C1293" t="s">
        <v>2043</v>
      </c>
      <c r="D1293" t="s">
        <v>100</v>
      </c>
      <c r="E1293" t="s">
        <v>32</v>
      </c>
      <c r="F1293">
        <v>1000</v>
      </c>
      <c r="G1293">
        <v>1000</v>
      </c>
      <c r="H1293">
        <v>5</v>
      </c>
      <c r="I1293" s="1">
        <f t="shared" si="23"/>
        <v>5</v>
      </c>
      <c r="J1293" s="1">
        <v>600</v>
      </c>
      <c r="K1293" s="1">
        <v>375</v>
      </c>
      <c r="L1293" s="1">
        <v>3650</v>
      </c>
      <c r="M1293" s="1" t="s">
        <v>149</v>
      </c>
      <c r="N1293" s="1"/>
      <c r="O1293" s="1"/>
      <c r="P1293" s="1"/>
      <c r="Q1293" s="62"/>
      <c r="W1293" s="1"/>
    </row>
    <row r="1294" spans="1:24" x14ac:dyDescent="0.25">
      <c r="A1294" t="s">
        <v>2046</v>
      </c>
      <c r="B1294" s="52">
        <v>45979</v>
      </c>
      <c r="C1294" t="s">
        <v>1005</v>
      </c>
      <c r="D1294" t="s">
        <v>2048</v>
      </c>
      <c r="E1294" t="s">
        <v>27</v>
      </c>
      <c r="F1294">
        <v>1000</v>
      </c>
      <c r="G1294">
        <v>1000</v>
      </c>
      <c r="H1294">
        <v>5</v>
      </c>
      <c r="I1294" s="1">
        <f t="shared" si="23"/>
        <v>5</v>
      </c>
      <c r="J1294" s="1">
        <v>400</v>
      </c>
      <c r="K1294" s="1">
        <v>375</v>
      </c>
      <c r="L1294" s="1">
        <v>2450</v>
      </c>
      <c r="M1294" s="1" t="s">
        <v>149</v>
      </c>
      <c r="N1294" s="1"/>
      <c r="O1294" s="1"/>
      <c r="P1294" s="1" t="s">
        <v>149</v>
      </c>
      <c r="Q1294" s="62">
        <v>45979</v>
      </c>
      <c r="W1294" s="1"/>
    </row>
    <row r="1295" spans="1:24" x14ac:dyDescent="0.25">
      <c r="A1295" t="s">
        <v>2049</v>
      </c>
      <c r="B1295" s="52">
        <v>45980</v>
      </c>
      <c r="C1295" t="s">
        <v>2050</v>
      </c>
      <c r="D1295" t="s">
        <v>276</v>
      </c>
      <c r="E1295" t="s">
        <v>37</v>
      </c>
      <c r="F1295">
        <v>1420</v>
      </c>
      <c r="G1295">
        <v>1250</v>
      </c>
      <c r="H1295">
        <v>30</v>
      </c>
      <c r="I1295" s="1">
        <f t="shared" si="23"/>
        <v>53.25</v>
      </c>
      <c r="J1295" s="1">
        <v>285</v>
      </c>
      <c r="K1295" s="1" t="s">
        <v>982</v>
      </c>
      <c r="L1295" s="1">
        <v>15316.25</v>
      </c>
      <c r="M1295" s="1" t="s">
        <v>449</v>
      </c>
      <c r="N1295" s="1" t="s">
        <v>149</v>
      </c>
      <c r="O1295" s="1"/>
      <c r="P1295" s="1" t="s">
        <v>149</v>
      </c>
      <c r="Q1295" s="62">
        <v>45985</v>
      </c>
      <c r="W1295" s="1"/>
    </row>
    <row r="1296" spans="1:24" x14ac:dyDescent="0.25">
      <c r="A1296" t="s">
        <v>2051</v>
      </c>
      <c r="B1296" s="52">
        <v>45982</v>
      </c>
      <c r="C1296" t="s">
        <v>2058</v>
      </c>
      <c r="D1296" t="s">
        <v>46</v>
      </c>
      <c r="E1296" t="s">
        <v>32</v>
      </c>
      <c r="F1296">
        <v>1000</v>
      </c>
      <c r="G1296">
        <v>1000</v>
      </c>
      <c r="H1296">
        <v>10</v>
      </c>
      <c r="I1296" s="1">
        <f t="shared" si="23"/>
        <v>10</v>
      </c>
      <c r="J1296" s="1">
        <v>576.08000000000004</v>
      </c>
      <c r="K1296" s="1">
        <v>750</v>
      </c>
      <c r="L1296" s="1">
        <v>7010.8</v>
      </c>
      <c r="M1296" s="1" t="s">
        <v>149</v>
      </c>
      <c r="N1296" s="1"/>
      <c r="O1296" s="1"/>
      <c r="P1296" s="1"/>
      <c r="Q1296" s="62"/>
      <c r="W1296" s="1"/>
    </row>
    <row r="1297" spans="1:23" x14ac:dyDescent="0.25">
      <c r="A1297" t="s">
        <v>2054</v>
      </c>
      <c r="B1297" s="52">
        <v>45982</v>
      </c>
      <c r="C1297" t="s">
        <v>2058</v>
      </c>
      <c r="D1297" t="s">
        <v>46</v>
      </c>
      <c r="E1297" t="s">
        <v>32</v>
      </c>
      <c r="F1297">
        <v>1250</v>
      </c>
      <c r="G1297">
        <v>1250</v>
      </c>
      <c r="H1297">
        <v>10</v>
      </c>
      <c r="I1297" s="1">
        <f t="shared" si="23"/>
        <v>15.625</v>
      </c>
      <c r="J1297" s="1">
        <v>553.02</v>
      </c>
      <c r="K1297" s="1">
        <v>1172.25</v>
      </c>
      <c r="L1297" s="1">
        <v>9815.9500000000007</v>
      </c>
      <c r="M1297" s="1" t="s">
        <v>149</v>
      </c>
      <c r="N1297" s="1"/>
      <c r="O1297" s="1"/>
      <c r="P1297" s="1"/>
      <c r="Q1297" s="62"/>
      <c r="W1297" s="1"/>
    </row>
    <row r="1298" spans="1:23" x14ac:dyDescent="0.25">
      <c r="A1298" t="s">
        <v>2055</v>
      </c>
      <c r="B1298" s="52">
        <v>45982</v>
      </c>
      <c r="C1298" t="s">
        <v>1041</v>
      </c>
      <c r="D1298" t="s">
        <v>1042</v>
      </c>
      <c r="E1298" t="s">
        <v>27</v>
      </c>
      <c r="F1298">
        <v>680</v>
      </c>
      <c r="G1298">
        <v>680</v>
      </c>
      <c r="H1298">
        <v>20</v>
      </c>
      <c r="I1298" s="1">
        <f t="shared" si="23"/>
        <v>9.2479999999999993</v>
      </c>
      <c r="J1298" s="1">
        <v>265</v>
      </c>
      <c r="K1298" s="1" t="s">
        <v>982</v>
      </c>
      <c r="L1298" s="1">
        <v>2451.25</v>
      </c>
      <c r="M1298" s="1" t="s">
        <v>449</v>
      </c>
      <c r="N1298" s="1" t="s">
        <v>149</v>
      </c>
      <c r="O1298" s="1"/>
      <c r="P1298" s="1"/>
      <c r="Q1298" s="62"/>
      <c r="W1298" s="1"/>
    </row>
    <row r="1299" spans="1:23" x14ac:dyDescent="0.25">
      <c r="A1299" t="s">
        <v>2057</v>
      </c>
      <c r="B1299" s="52">
        <v>45982</v>
      </c>
      <c r="C1299" t="s">
        <v>1041</v>
      </c>
      <c r="D1299" t="s">
        <v>1042</v>
      </c>
      <c r="E1299" t="s">
        <v>27</v>
      </c>
      <c r="F1299">
        <v>680</v>
      </c>
      <c r="G1299">
        <v>680</v>
      </c>
      <c r="H1299">
        <v>500</v>
      </c>
      <c r="I1299" s="1">
        <f t="shared" si="23"/>
        <v>231.2</v>
      </c>
      <c r="J1299" s="1">
        <v>265</v>
      </c>
      <c r="K1299" s="1" t="s">
        <v>982</v>
      </c>
      <c r="L1299" s="1">
        <v>61268</v>
      </c>
      <c r="M1299" s="1" t="s">
        <v>449</v>
      </c>
      <c r="N1299" s="1" t="s">
        <v>149</v>
      </c>
      <c r="O1299" s="1"/>
      <c r="P1299" s="1"/>
      <c r="Q1299" s="62"/>
      <c r="W1299" s="1"/>
    </row>
    <row r="1300" spans="1:23" x14ac:dyDescent="0.25">
      <c r="A1300" t="s">
        <v>2059</v>
      </c>
      <c r="B1300" s="52">
        <v>45982</v>
      </c>
      <c r="C1300" t="s">
        <v>2056</v>
      </c>
      <c r="D1300" t="s">
        <v>52</v>
      </c>
      <c r="E1300" t="s">
        <v>27</v>
      </c>
      <c r="F1300">
        <v>637</v>
      </c>
      <c r="G1300">
        <v>637</v>
      </c>
      <c r="H1300">
        <v>270</v>
      </c>
      <c r="I1300" s="1">
        <f t="shared" si="23"/>
        <v>109.55763</v>
      </c>
      <c r="J1300" s="1">
        <v>265</v>
      </c>
      <c r="K1300" s="1" t="s">
        <v>982</v>
      </c>
      <c r="L1300" s="1">
        <v>29160.75</v>
      </c>
      <c r="M1300" s="1" t="s">
        <v>449</v>
      </c>
      <c r="N1300" s="1" t="s">
        <v>149</v>
      </c>
      <c r="O1300" s="1"/>
      <c r="P1300" s="1" t="s">
        <v>149</v>
      </c>
      <c r="Q1300" s="62">
        <v>45996</v>
      </c>
      <c r="W1300" s="1"/>
    </row>
    <row r="1301" spans="1:23" x14ac:dyDescent="0.25">
      <c r="A1301" t="s">
        <v>2060</v>
      </c>
      <c r="B1301" s="52" t="s">
        <v>2062</v>
      </c>
      <c r="C1301" t="s">
        <v>2061</v>
      </c>
      <c r="D1301" t="s">
        <v>31</v>
      </c>
      <c r="E1301" t="s">
        <v>32</v>
      </c>
      <c r="F1301">
        <v>1000</v>
      </c>
      <c r="G1301">
        <v>1000</v>
      </c>
      <c r="H1301">
        <v>5</v>
      </c>
      <c r="I1301" s="1">
        <f t="shared" si="23"/>
        <v>5</v>
      </c>
      <c r="J1301" s="1">
        <v>600</v>
      </c>
      <c r="K1301" s="1">
        <v>375</v>
      </c>
      <c r="L1301" s="1">
        <v>3650</v>
      </c>
      <c r="M1301" s="1" t="s">
        <v>149</v>
      </c>
      <c r="N1301" s="1"/>
      <c r="O1301" s="1"/>
      <c r="P1301" s="1" t="s">
        <v>149</v>
      </c>
      <c r="Q1301" s="62">
        <v>45992</v>
      </c>
      <c r="W1301" s="1"/>
    </row>
    <row r="1302" spans="1:23" x14ac:dyDescent="0.25">
      <c r="A1302" t="s">
        <v>2064</v>
      </c>
      <c r="B1302" s="52">
        <v>45982</v>
      </c>
      <c r="C1302" t="s">
        <v>2063</v>
      </c>
      <c r="D1302" t="s">
        <v>103</v>
      </c>
      <c r="E1302" t="s">
        <v>32</v>
      </c>
      <c r="F1302">
        <v>1000</v>
      </c>
      <c r="G1302">
        <v>1000</v>
      </c>
      <c r="H1302">
        <v>5</v>
      </c>
      <c r="I1302" s="1">
        <f t="shared" si="23"/>
        <v>5</v>
      </c>
      <c r="J1302" s="1">
        <v>600</v>
      </c>
      <c r="K1302" s="1">
        <v>375</v>
      </c>
      <c r="L1302" s="1">
        <v>3650</v>
      </c>
      <c r="M1302" s="1" t="s">
        <v>149</v>
      </c>
      <c r="N1302" s="1"/>
      <c r="O1302" s="1"/>
      <c r="P1302" s="1"/>
      <c r="Q1302" s="62"/>
    </row>
    <row r="1303" spans="1:23" x14ac:dyDescent="0.25">
      <c r="A1303" t="s">
        <v>2069</v>
      </c>
      <c r="B1303" s="52">
        <v>45986</v>
      </c>
      <c r="C1303" t="s">
        <v>452</v>
      </c>
      <c r="D1303" t="s">
        <v>36</v>
      </c>
      <c r="E1303" t="s">
        <v>32</v>
      </c>
      <c r="F1303">
        <v>1000</v>
      </c>
      <c r="G1303">
        <v>1000</v>
      </c>
      <c r="H1303">
        <v>5</v>
      </c>
      <c r="I1303" s="1">
        <f t="shared" si="23"/>
        <v>5</v>
      </c>
      <c r="J1303" s="1">
        <v>600</v>
      </c>
      <c r="K1303" s="1">
        <v>375</v>
      </c>
      <c r="L1303" s="1">
        <v>3650</v>
      </c>
      <c r="M1303" s="1" t="s">
        <v>149</v>
      </c>
      <c r="N1303" s="1"/>
      <c r="O1303" s="1"/>
      <c r="P1303" s="1"/>
      <c r="Q1303" s="62"/>
    </row>
    <row r="1304" spans="1:23" x14ac:dyDescent="0.25">
      <c r="A1304" t="s">
        <v>2070</v>
      </c>
      <c r="B1304" s="52">
        <v>45986</v>
      </c>
      <c r="C1304" t="s">
        <v>41</v>
      </c>
      <c r="D1304" t="s">
        <v>42</v>
      </c>
      <c r="E1304" t="s">
        <v>27</v>
      </c>
      <c r="F1304">
        <v>1677</v>
      </c>
      <c r="G1304">
        <v>1677</v>
      </c>
      <c r="H1304">
        <v>25</v>
      </c>
      <c r="I1304" s="1">
        <f t="shared" si="23"/>
        <v>70.308224999999993</v>
      </c>
      <c r="J1304" s="1">
        <v>225</v>
      </c>
      <c r="K1304" s="1" t="s">
        <v>982</v>
      </c>
      <c r="L1304" s="1">
        <v>15819.75</v>
      </c>
      <c r="M1304" s="1" t="s">
        <v>449</v>
      </c>
      <c r="N1304" s="1" t="s">
        <v>149</v>
      </c>
      <c r="O1304" s="1"/>
      <c r="P1304" s="1" t="s">
        <v>149</v>
      </c>
      <c r="Q1304" s="62">
        <v>46003</v>
      </c>
    </row>
    <row r="1305" spans="1:23" x14ac:dyDescent="0.25">
      <c r="A1305" t="s">
        <v>2071</v>
      </c>
      <c r="B1305" s="52">
        <v>45987</v>
      </c>
      <c r="C1305" t="s">
        <v>2076</v>
      </c>
      <c r="D1305" t="s">
        <v>46</v>
      </c>
      <c r="E1305" t="s">
        <v>32</v>
      </c>
      <c r="F1305">
        <v>1500</v>
      </c>
      <c r="G1305">
        <v>1500</v>
      </c>
      <c r="H1305">
        <v>10</v>
      </c>
      <c r="I1305" s="1">
        <f t="shared" si="23"/>
        <v>22.5</v>
      </c>
      <c r="J1305" s="1">
        <v>533.4</v>
      </c>
      <c r="K1305" s="1">
        <v>1500</v>
      </c>
      <c r="L1305" s="1">
        <v>13851.5</v>
      </c>
      <c r="M1305" s="1" t="s">
        <v>149</v>
      </c>
      <c r="N1305" s="1"/>
      <c r="O1305" s="1"/>
      <c r="P1305" s="1" t="s">
        <v>149</v>
      </c>
      <c r="Q1305" s="62">
        <v>45989</v>
      </c>
    </row>
    <row r="1306" spans="1:23" x14ac:dyDescent="0.25">
      <c r="A1306" t="s">
        <v>2072</v>
      </c>
      <c r="B1306" s="52">
        <v>45988</v>
      </c>
      <c r="C1306" t="s">
        <v>1291</v>
      </c>
      <c r="D1306" t="s">
        <v>57</v>
      </c>
      <c r="E1306" t="s">
        <v>27</v>
      </c>
      <c r="F1306">
        <v>575</v>
      </c>
      <c r="G1306">
        <v>575</v>
      </c>
      <c r="H1306">
        <v>90</v>
      </c>
      <c r="I1306" s="1">
        <f t="shared" si="23"/>
        <v>29.756250000000001</v>
      </c>
      <c r="J1306" s="1">
        <v>250</v>
      </c>
      <c r="K1306" s="1">
        <v>1500</v>
      </c>
      <c r="L1306" s="1">
        <v>9290</v>
      </c>
      <c r="M1306" s="1" t="s">
        <v>449</v>
      </c>
      <c r="N1306" s="1" t="s">
        <v>149</v>
      </c>
      <c r="O1306" s="1"/>
      <c r="P1306" s="1"/>
      <c r="Q1306" s="62"/>
    </row>
    <row r="1307" spans="1:23" x14ac:dyDescent="0.25">
      <c r="A1307" t="s">
        <v>2073</v>
      </c>
      <c r="B1307" s="52">
        <v>45988</v>
      </c>
      <c r="C1307" t="s">
        <v>2074</v>
      </c>
      <c r="D1307" t="s">
        <v>100</v>
      </c>
      <c r="E1307" t="s">
        <v>27</v>
      </c>
      <c r="F1307">
        <v>1700</v>
      </c>
      <c r="G1307">
        <v>1700</v>
      </c>
      <c r="H1307">
        <v>5</v>
      </c>
      <c r="I1307" s="1">
        <f t="shared" si="23"/>
        <v>14.45</v>
      </c>
      <c r="J1307" s="1">
        <v>336.41</v>
      </c>
      <c r="K1307" s="1">
        <v>1500</v>
      </c>
      <c r="L1307" s="1">
        <v>6546.1</v>
      </c>
      <c r="M1307" s="1" t="s">
        <v>149</v>
      </c>
      <c r="N1307" s="1"/>
      <c r="O1307" s="1"/>
      <c r="P1307" s="1" t="s">
        <v>149</v>
      </c>
      <c r="Q1307" s="62">
        <v>45995</v>
      </c>
    </row>
    <row r="1308" spans="1:23" x14ac:dyDescent="0.25">
      <c r="A1308" t="s">
        <v>2075</v>
      </c>
      <c r="B1308" s="52">
        <v>45989</v>
      </c>
      <c r="C1308" t="s">
        <v>1692</v>
      </c>
      <c r="D1308" t="s">
        <v>57</v>
      </c>
      <c r="E1308" t="s">
        <v>27</v>
      </c>
      <c r="F1308">
        <v>1000</v>
      </c>
      <c r="G1308">
        <v>1000</v>
      </c>
      <c r="H1308">
        <v>100</v>
      </c>
      <c r="I1308" s="1">
        <f t="shared" si="23"/>
        <v>100</v>
      </c>
      <c r="J1308" s="1">
        <v>215</v>
      </c>
      <c r="K1308" s="1" t="s">
        <v>982</v>
      </c>
      <c r="L1308" s="1">
        <v>16223.75</v>
      </c>
      <c r="M1308" s="1" t="s">
        <v>449</v>
      </c>
      <c r="N1308" s="1" t="s">
        <v>149</v>
      </c>
      <c r="O1308" s="1"/>
      <c r="P1308" s="1"/>
      <c r="Q1308" s="62"/>
    </row>
    <row r="1309" spans="1:23" x14ac:dyDescent="0.25">
      <c r="A1309" t="s">
        <v>2077</v>
      </c>
      <c r="B1309" s="52">
        <v>45993</v>
      </c>
      <c r="C1309" t="s">
        <v>2078</v>
      </c>
      <c r="D1309" t="s">
        <v>57</v>
      </c>
      <c r="E1309" t="s">
        <v>27</v>
      </c>
      <c r="F1309">
        <v>1000</v>
      </c>
      <c r="G1309">
        <v>1000</v>
      </c>
      <c r="H1309">
        <v>5</v>
      </c>
      <c r="I1309" s="1">
        <f t="shared" si="23"/>
        <v>5</v>
      </c>
      <c r="J1309" s="1">
        <v>400</v>
      </c>
      <c r="K1309" s="1">
        <v>375</v>
      </c>
      <c r="L1309" s="1">
        <v>2500</v>
      </c>
      <c r="M1309" s="1" t="s">
        <v>149</v>
      </c>
      <c r="N1309" s="1"/>
      <c r="O1309" s="1"/>
      <c r="P1309" s="1"/>
      <c r="Q1309" s="62"/>
    </row>
    <row r="1310" spans="1:23" x14ac:dyDescent="0.25">
      <c r="A1310" t="s">
        <v>2079</v>
      </c>
      <c r="B1310" s="52">
        <v>45994</v>
      </c>
      <c r="C1310" t="s">
        <v>2080</v>
      </c>
      <c r="D1310" t="s">
        <v>157</v>
      </c>
      <c r="E1310" t="s">
        <v>37</v>
      </c>
      <c r="F1310">
        <v>900</v>
      </c>
      <c r="G1310">
        <v>900</v>
      </c>
      <c r="H1310">
        <v>150</v>
      </c>
      <c r="I1310" s="1">
        <f t="shared" si="23"/>
        <v>121.5</v>
      </c>
      <c r="J1310" s="1">
        <v>369.05</v>
      </c>
      <c r="K1310" s="1">
        <f>121.5*25</f>
        <v>3037.5</v>
      </c>
      <c r="L1310" s="1">
        <v>47997.08</v>
      </c>
      <c r="M1310" s="1" t="s">
        <v>149</v>
      </c>
      <c r="N1310" s="1"/>
      <c r="O1310" s="1"/>
      <c r="P1310" s="1"/>
      <c r="Q1310" s="62"/>
    </row>
    <row r="1311" spans="1:23" x14ac:dyDescent="0.25">
      <c r="A1311" t="s">
        <v>2081</v>
      </c>
      <c r="B1311" s="52">
        <v>45994</v>
      </c>
      <c r="C1311" t="s">
        <v>2080</v>
      </c>
      <c r="D1311" t="s">
        <v>157</v>
      </c>
      <c r="E1311" t="s">
        <v>32</v>
      </c>
      <c r="F1311">
        <v>900</v>
      </c>
      <c r="G1311">
        <v>900</v>
      </c>
      <c r="H1311">
        <v>40</v>
      </c>
      <c r="I1311" s="1">
        <f t="shared" si="23"/>
        <v>32.4</v>
      </c>
      <c r="J1311" s="1">
        <v>507.33</v>
      </c>
      <c r="K1311" s="1">
        <f>32.4*50</f>
        <v>1620</v>
      </c>
      <c r="L1311" s="1">
        <v>18157.490000000002</v>
      </c>
      <c r="M1311" s="1" t="s">
        <v>149</v>
      </c>
      <c r="N1311" s="1"/>
      <c r="O1311" s="1"/>
      <c r="P1311" s="1"/>
      <c r="Q1311" s="62"/>
    </row>
    <row r="1312" spans="1:23" x14ac:dyDescent="0.25">
      <c r="A1312" t="s">
        <v>2082</v>
      </c>
      <c r="B1312" s="52">
        <v>45994</v>
      </c>
      <c r="C1312" t="s">
        <v>2083</v>
      </c>
      <c r="D1312" t="s">
        <v>36</v>
      </c>
      <c r="E1312" t="s">
        <v>32</v>
      </c>
      <c r="F1312">
        <v>1000</v>
      </c>
      <c r="G1312">
        <v>1000</v>
      </c>
      <c r="H1312">
        <v>5</v>
      </c>
      <c r="I1312" s="1">
        <f t="shared" si="23"/>
        <v>5</v>
      </c>
      <c r="J1312" s="1">
        <v>600</v>
      </c>
      <c r="K1312" s="1">
        <v>375</v>
      </c>
      <c r="L1312" s="1">
        <v>3650</v>
      </c>
      <c r="M1312" s="1" t="s">
        <v>149</v>
      </c>
      <c r="N1312" s="1"/>
      <c r="O1312" s="1"/>
      <c r="P1312" s="1"/>
      <c r="Q1312" s="62"/>
    </row>
    <row r="1313" spans="1:24" x14ac:dyDescent="0.25">
      <c r="A1313" t="s">
        <v>2084</v>
      </c>
      <c r="B1313" s="52">
        <v>45995</v>
      </c>
      <c r="C1313" t="s">
        <v>1469</v>
      </c>
      <c r="D1313" t="s">
        <v>263</v>
      </c>
      <c r="E1313" t="s">
        <v>32</v>
      </c>
      <c r="F1313">
        <v>1000</v>
      </c>
      <c r="G1313">
        <v>450</v>
      </c>
      <c r="H1313">
        <v>70</v>
      </c>
      <c r="I1313" s="1">
        <f t="shared" si="23"/>
        <v>31.5</v>
      </c>
      <c r="J1313" s="1">
        <v>509.02</v>
      </c>
      <c r="K1313" s="1">
        <f>31.5*50</f>
        <v>1575</v>
      </c>
      <c r="L1313" s="1">
        <v>17609.13</v>
      </c>
      <c r="M1313" s="1" t="s">
        <v>149</v>
      </c>
      <c r="N1313" s="1"/>
      <c r="O1313" s="1"/>
      <c r="P1313" s="1"/>
      <c r="Q1313" s="62"/>
      <c r="S1313" s="12"/>
      <c r="T1313" s="62"/>
    </row>
    <row r="1314" spans="1:24" x14ac:dyDescent="0.25">
      <c r="A1314" t="s">
        <v>2099</v>
      </c>
      <c r="B1314" s="52"/>
      <c r="E1314" t="s">
        <v>32</v>
      </c>
      <c r="F1314">
        <v>1000</v>
      </c>
      <c r="G1314">
        <v>450</v>
      </c>
      <c r="H1314">
        <v>140</v>
      </c>
      <c r="I1314" s="1">
        <f t="shared" si="23"/>
        <v>63</v>
      </c>
      <c r="J1314" s="1">
        <v>478.54</v>
      </c>
      <c r="K1314" s="1">
        <v>3150</v>
      </c>
      <c r="L1314" s="1">
        <v>33298.019999999997</v>
      </c>
      <c r="M1314" s="1" t="s">
        <v>149</v>
      </c>
      <c r="N1314" s="1"/>
      <c r="O1314" s="1"/>
      <c r="P1314" s="1"/>
      <c r="Q1314" s="62"/>
      <c r="S1314" s="12" t="s">
        <v>2098</v>
      </c>
      <c r="T1314" s="62">
        <v>46002</v>
      </c>
    </row>
    <row r="1315" spans="1:24" x14ac:dyDescent="0.25">
      <c r="A1315" t="s">
        <v>2100</v>
      </c>
      <c r="B1315" s="52"/>
      <c r="E1315" t="s">
        <v>32</v>
      </c>
      <c r="F1315">
        <v>1000</v>
      </c>
      <c r="G1315">
        <v>450</v>
      </c>
      <c r="H1315">
        <v>200</v>
      </c>
      <c r="I1315" s="1">
        <f t="shared" si="23"/>
        <v>90</v>
      </c>
      <c r="J1315" s="1">
        <v>469.39</v>
      </c>
      <c r="K1315" s="1">
        <f>Table13[[#This Row],[Total sqm]]*50</f>
        <v>4500</v>
      </c>
      <c r="L1315" s="1">
        <f>Table13[[#This Row],[Eur /m2]]*Table13[[#This Row],[Total sqm]]+Table13[[#This Row],[F P H]]</f>
        <v>46745.1</v>
      </c>
      <c r="M1315" s="1" t="s">
        <v>149</v>
      </c>
      <c r="N1315" s="1"/>
      <c r="O1315" s="1"/>
      <c r="P1315" s="1"/>
      <c r="Q1315" s="62"/>
      <c r="S1315" s="12"/>
      <c r="T1315" s="62"/>
    </row>
    <row r="1316" spans="1:24" x14ac:dyDescent="0.25">
      <c r="A1316" t="s">
        <v>2101</v>
      </c>
      <c r="B1316" s="52"/>
      <c r="E1316" t="s">
        <v>32</v>
      </c>
      <c r="F1316">
        <v>1000</v>
      </c>
      <c r="G1316">
        <v>450</v>
      </c>
      <c r="H1316">
        <v>225</v>
      </c>
      <c r="I1316" s="1">
        <f t="shared" si="23"/>
        <v>101.25</v>
      </c>
      <c r="J1316" s="1">
        <v>466.64</v>
      </c>
      <c r="K1316" s="1">
        <f>Table13[[#This Row],[Total sqm]]*25</f>
        <v>2531.25</v>
      </c>
      <c r="L1316" s="1">
        <f>Table13[[#This Row],[Eur /m2]]*Table13[[#This Row],[Total sqm]]+Table13[[#This Row],[F P H]]</f>
        <v>49778.549999999996</v>
      </c>
      <c r="M1316" s="1" t="s">
        <v>149</v>
      </c>
      <c r="N1316" s="1"/>
      <c r="O1316" s="1"/>
      <c r="P1316" s="1"/>
      <c r="Q1316" s="62"/>
      <c r="S1316" s="12"/>
      <c r="T1316" s="62"/>
    </row>
    <row r="1317" spans="1:24" x14ac:dyDescent="0.25">
      <c r="A1317" t="s">
        <v>2103</v>
      </c>
      <c r="B1317" s="52"/>
      <c r="E1317" t="s">
        <v>32</v>
      </c>
      <c r="F1317">
        <v>1000</v>
      </c>
      <c r="G1317">
        <v>450</v>
      </c>
      <c r="H1317">
        <v>250</v>
      </c>
      <c r="I1317" s="1">
        <f t="shared" si="23"/>
        <v>112.5</v>
      </c>
      <c r="J1317" s="1">
        <v>461.57</v>
      </c>
      <c r="K1317" s="1">
        <f>Table13[[#This Row],[Total sqm]]*25</f>
        <v>2812.5</v>
      </c>
      <c r="L1317" s="1">
        <f>51926.63+2812.5</f>
        <v>54739.13</v>
      </c>
      <c r="M1317" s="1" t="s">
        <v>149</v>
      </c>
      <c r="N1317" s="1"/>
      <c r="O1317" s="1"/>
      <c r="P1317" s="1"/>
      <c r="Q1317" s="62"/>
      <c r="S1317" s="12"/>
      <c r="T1317" s="62"/>
    </row>
    <row r="1318" spans="1:24" x14ac:dyDescent="0.25">
      <c r="A1318" t="s">
        <v>2085</v>
      </c>
      <c r="B1318" s="52">
        <v>45995</v>
      </c>
      <c r="C1318" t="s">
        <v>1440</v>
      </c>
      <c r="D1318" t="s">
        <v>36</v>
      </c>
      <c r="E1318" t="s">
        <v>32</v>
      </c>
      <c r="F1318">
        <v>950</v>
      </c>
      <c r="G1318">
        <v>1610</v>
      </c>
      <c r="H1318">
        <v>150</v>
      </c>
      <c r="I1318" s="1">
        <f t="shared" si="23"/>
        <v>229.42500000000001</v>
      </c>
      <c r="J1318" s="1">
        <v>335</v>
      </c>
      <c r="K1318" s="1">
        <v>5735.75</v>
      </c>
      <c r="L1318" s="1">
        <v>82814.8</v>
      </c>
      <c r="M1318" s="1" t="s">
        <v>449</v>
      </c>
      <c r="N1318" s="1" t="s">
        <v>149</v>
      </c>
      <c r="O1318" s="1"/>
      <c r="P1318" s="1" t="s">
        <v>149</v>
      </c>
      <c r="Q1318" s="62">
        <v>45987</v>
      </c>
    </row>
    <row r="1319" spans="1:24" x14ac:dyDescent="0.25">
      <c r="A1319" t="s">
        <v>2086</v>
      </c>
      <c r="B1319" s="52">
        <v>45995</v>
      </c>
      <c r="C1319" t="s">
        <v>1419</v>
      </c>
      <c r="D1319" t="s">
        <v>2087</v>
      </c>
      <c r="E1319" t="s">
        <v>32</v>
      </c>
      <c r="F1319">
        <v>1000</v>
      </c>
      <c r="G1319">
        <v>1000</v>
      </c>
      <c r="H1319">
        <v>5</v>
      </c>
      <c r="I1319" s="1">
        <f t="shared" si="23"/>
        <v>5</v>
      </c>
      <c r="J1319" s="1">
        <v>600</v>
      </c>
      <c r="K1319" s="1">
        <v>275</v>
      </c>
      <c r="L1319" s="1">
        <v>3650</v>
      </c>
      <c r="M1319" s="1" t="s">
        <v>149</v>
      </c>
      <c r="N1319" s="1"/>
      <c r="O1319" s="1"/>
      <c r="P1319" s="1"/>
      <c r="Q1319" s="62"/>
    </row>
    <row r="1320" spans="1:24" x14ac:dyDescent="0.25">
      <c r="A1320" t="s">
        <v>2088</v>
      </c>
      <c r="B1320" s="52">
        <v>46001</v>
      </c>
      <c r="C1320" t="s">
        <v>222</v>
      </c>
      <c r="D1320" t="s">
        <v>57</v>
      </c>
      <c r="E1320" t="s">
        <v>27</v>
      </c>
      <c r="F1320">
        <v>600</v>
      </c>
      <c r="G1320">
        <v>600</v>
      </c>
      <c r="H1320">
        <v>56</v>
      </c>
      <c r="I1320" s="1">
        <f t="shared" si="23"/>
        <v>20.16</v>
      </c>
      <c r="J1320" s="1">
        <v>336.62</v>
      </c>
      <c r="K1320" s="1">
        <v>1500</v>
      </c>
      <c r="L1320" s="1">
        <v>8451.26</v>
      </c>
      <c r="M1320" s="1" t="s">
        <v>149</v>
      </c>
      <c r="N1320" s="1"/>
      <c r="O1320" s="1"/>
      <c r="P1320" s="1"/>
      <c r="Q1320" s="62"/>
      <c r="X1320">
        <v>2025</v>
      </c>
    </row>
    <row r="1321" spans="1:24" x14ac:dyDescent="0.25">
      <c r="A1321" t="s">
        <v>2089</v>
      </c>
      <c r="B1321" s="52">
        <v>45999</v>
      </c>
      <c r="C1321" t="s">
        <v>2094</v>
      </c>
      <c r="D1321" t="s">
        <v>100</v>
      </c>
      <c r="E1321" t="s">
        <v>27</v>
      </c>
      <c r="F1321">
        <v>1253</v>
      </c>
      <c r="G1321">
        <v>1253</v>
      </c>
      <c r="H1321">
        <v>20</v>
      </c>
      <c r="I1321" s="1">
        <f t="shared" si="23"/>
        <v>31.400179999999999</v>
      </c>
      <c r="J1321" s="1">
        <v>315.49</v>
      </c>
      <c r="K1321" s="1">
        <v>1570</v>
      </c>
      <c r="L1321" s="1">
        <v>11636.39</v>
      </c>
      <c r="M1321" s="1" t="s">
        <v>149</v>
      </c>
      <c r="N1321" s="1"/>
      <c r="O1321" s="1"/>
      <c r="P1321" s="1"/>
      <c r="Q1321" s="62"/>
    </row>
    <row r="1322" spans="1:24" x14ac:dyDescent="0.25">
      <c r="A1322" t="s">
        <v>2102</v>
      </c>
      <c r="B1322" s="52"/>
      <c r="D1322" t="s">
        <v>100</v>
      </c>
      <c r="E1322" t="s">
        <v>27</v>
      </c>
      <c r="F1322">
        <v>1253</v>
      </c>
      <c r="G1322">
        <v>1253</v>
      </c>
      <c r="H1322">
        <v>18</v>
      </c>
      <c r="I1322" s="1">
        <f t="shared" si="23"/>
        <v>28.260162000000001</v>
      </c>
      <c r="J1322" s="1">
        <v>319.7</v>
      </c>
      <c r="K1322" s="1">
        <f>Table13[[#This Row],[Total sqm]]*50</f>
        <v>1413.0081</v>
      </c>
      <c r="L1322" s="1">
        <v>10607.75</v>
      </c>
      <c r="M1322" s="1" t="s">
        <v>149</v>
      </c>
      <c r="N1322" s="1"/>
      <c r="O1322" s="1"/>
      <c r="P1322" s="1"/>
      <c r="Q1322" s="62"/>
    </row>
    <row r="1323" spans="1:24" x14ac:dyDescent="0.25">
      <c r="A1323" t="s">
        <v>2090</v>
      </c>
      <c r="B1323" s="52">
        <v>45999</v>
      </c>
      <c r="C1323" t="s">
        <v>2091</v>
      </c>
      <c r="D1323" t="s">
        <v>83</v>
      </c>
      <c r="E1323" t="s">
        <v>27</v>
      </c>
      <c r="F1323">
        <v>1000</v>
      </c>
      <c r="G1323">
        <v>1000</v>
      </c>
      <c r="H1323">
        <v>5</v>
      </c>
      <c r="I1323" s="1">
        <f t="shared" si="23"/>
        <v>5</v>
      </c>
      <c r="J1323" s="1">
        <v>400</v>
      </c>
      <c r="K1323" s="1">
        <v>375</v>
      </c>
      <c r="L1323" s="1">
        <v>2500</v>
      </c>
      <c r="M1323" s="1" t="s">
        <v>149</v>
      </c>
      <c r="N1323" s="1"/>
      <c r="O1323" s="1"/>
      <c r="P1323" s="1"/>
      <c r="Q1323" s="62"/>
    </row>
    <row r="1324" spans="1:24" x14ac:dyDescent="0.25">
      <c r="A1324" t="s">
        <v>2092</v>
      </c>
      <c r="B1324" s="52">
        <v>45999</v>
      </c>
      <c r="C1324" t="s">
        <v>2091</v>
      </c>
      <c r="D1324" t="s">
        <v>83</v>
      </c>
      <c r="E1324" t="s">
        <v>37</v>
      </c>
      <c r="F1324">
        <v>1000</v>
      </c>
      <c r="G1324">
        <v>1000</v>
      </c>
      <c r="H1324">
        <v>5</v>
      </c>
      <c r="I1324" s="1">
        <f t="shared" si="23"/>
        <v>5</v>
      </c>
      <c r="J1324" s="1">
        <v>500</v>
      </c>
      <c r="K1324" s="1">
        <v>375</v>
      </c>
      <c r="L1324" s="1">
        <v>3000</v>
      </c>
      <c r="M1324" s="1" t="s">
        <v>149</v>
      </c>
      <c r="N1324" s="1"/>
      <c r="O1324" s="1"/>
      <c r="P1324" s="1"/>
      <c r="Q1324" s="62"/>
    </row>
    <row r="1325" spans="1:24" x14ac:dyDescent="0.25">
      <c r="A1325" t="s">
        <v>2093</v>
      </c>
      <c r="B1325" s="52">
        <v>45999</v>
      </c>
      <c r="C1325" t="s">
        <v>2091</v>
      </c>
      <c r="D1325" t="s">
        <v>83</v>
      </c>
      <c r="E1325" t="s">
        <v>32</v>
      </c>
      <c r="F1325">
        <v>1000</v>
      </c>
      <c r="G1325">
        <v>1000</v>
      </c>
      <c r="H1325">
        <v>5</v>
      </c>
      <c r="I1325" s="1">
        <f t="shared" si="23"/>
        <v>5</v>
      </c>
      <c r="J1325" s="1">
        <v>600</v>
      </c>
      <c r="K1325" s="1">
        <v>375</v>
      </c>
      <c r="L1325" s="1">
        <v>3650</v>
      </c>
      <c r="M1325" s="1" t="s">
        <v>149</v>
      </c>
      <c r="N1325" s="1"/>
      <c r="O1325" s="1"/>
      <c r="P1325" s="1"/>
      <c r="Q1325" s="62"/>
    </row>
    <row r="1326" spans="1:24" x14ac:dyDescent="0.25">
      <c r="A1326" t="s">
        <v>2095</v>
      </c>
      <c r="B1326" s="52">
        <v>46000</v>
      </c>
      <c r="C1326" t="s">
        <v>2096</v>
      </c>
      <c r="D1326" t="s">
        <v>26</v>
      </c>
      <c r="E1326" t="s">
        <v>27</v>
      </c>
      <c r="F1326">
        <v>1000</v>
      </c>
      <c r="G1326">
        <v>1000</v>
      </c>
      <c r="H1326">
        <v>5</v>
      </c>
      <c r="I1326" s="1">
        <f t="shared" si="23"/>
        <v>5</v>
      </c>
      <c r="J1326" s="1">
        <v>400</v>
      </c>
      <c r="K1326" s="1">
        <v>375</v>
      </c>
      <c r="L1326" s="1">
        <v>2500</v>
      </c>
      <c r="M1326" s="1" t="s">
        <v>149</v>
      </c>
      <c r="N1326" s="1"/>
      <c r="O1326" s="1"/>
      <c r="P1326" s="1"/>
      <c r="Q1326" s="62"/>
    </row>
    <row r="1327" spans="1:24" x14ac:dyDescent="0.25">
      <c r="A1327" t="s">
        <v>2097</v>
      </c>
      <c r="B1327" s="52">
        <v>46001</v>
      </c>
      <c r="C1327" t="s">
        <v>222</v>
      </c>
      <c r="D1327" t="s">
        <v>57</v>
      </c>
      <c r="E1327" t="s">
        <v>37</v>
      </c>
      <c r="F1327">
        <v>600</v>
      </c>
      <c r="G1327">
        <v>600</v>
      </c>
      <c r="H1327">
        <v>56</v>
      </c>
      <c r="I1327" s="1">
        <f t="shared" si="23"/>
        <v>20.16</v>
      </c>
      <c r="J1327" s="1">
        <v>437.6</v>
      </c>
      <c r="K1327" s="1">
        <v>1500</v>
      </c>
      <c r="L1327" s="1">
        <v>10487.02</v>
      </c>
      <c r="M1327" s="1" t="s">
        <v>149</v>
      </c>
      <c r="N1327" s="1"/>
      <c r="O1327" s="1"/>
      <c r="P1327" s="1"/>
      <c r="Q1327" s="62"/>
    </row>
    <row r="1328" spans="1:24" x14ac:dyDescent="0.25">
      <c r="A1328" t="s">
        <v>2113</v>
      </c>
      <c r="B1328" s="52">
        <v>46024</v>
      </c>
      <c r="C1328" t="s">
        <v>255</v>
      </c>
      <c r="D1328" t="s">
        <v>256</v>
      </c>
      <c r="E1328" t="s">
        <v>32</v>
      </c>
      <c r="F1328">
        <v>1000</v>
      </c>
      <c r="G1328">
        <v>1000</v>
      </c>
      <c r="H1328">
        <v>30</v>
      </c>
      <c r="I1328" s="1">
        <f t="shared" si="23"/>
        <v>30</v>
      </c>
      <c r="J1328" s="1">
        <v>512.07000000000005</v>
      </c>
      <c r="K1328" s="1">
        <v>1500</v>
      </c>
      <c r="L1328" s="1">
        <v>17874.099999999999</v>
      </c>
      <c r="M1328" s="1" t="s">
        <v>149</v>
      </c>
      <c r="N1328" s="1"/>
      <c r="O1328" s="1"/>
      <c r="P1328" s="1" t="s">
        <v>149</v>
      </c>
      <c r="Q1328" s="62">
        <v>46027</v>
      </c>
    </row>
    <row r="1329" spans="1:23" x14ac:dyDescent="0.25">
      <c r="A1329" t="s">
        <v>2104</v>
      </c>
      <c r="B1329" s="52">
        <v>46007</v>
      </c>
      <c r="C1329" t="s">
        <v>171</v>
      </c>
      <c r="D1329" t="s">
        <v>31</v>
      </c>
      <c r="E1329" t="s">
        <v>27</v>
      </c>
      <c r="F1329">
        <v>1212</v>
      </c>
      <c r="G1329">
        <v>988</v>
      </c>
      <c r="H1329">
        <v>120</v>
      </c>
      <c r="I1329" s="1">
        <f t="shared" si="23"/>
        <v>143.69471999999999</v>
      </c>
      <c r="J1329" s="1">
        <v>279.86</v>
      </c>
      <c r="K1329" s="1">
        <v>3592</v>
      </c>
      <c r="L1329" s="1">
        <v>43927.8</v>
      </c>
      <c r="M1329" s="1" t="s">
        <v>149</v>
      </c>
      <c r="N1329" s="1"/>
      <c r="O1329" s="1"/>
      <c r="P1329" s="1" t="s">
        <v>149</v>
      </c>
      <c r="Q1329" s="62">
        <v>46038</v>
      </c>
    </row>
    <row r="1330" spans="1:23" x14ac:dyDescent="0.25">
      <c r="A1330" t="s">
        <v>2105</v>
      </c>
      <c r="B1330" s="52">
        <v>46009</v>
      </c>
      <c r="C1330" t="s">
        <v>2106</v>
      </c>
      <c r="D1330" t="s">
        <v>100</v>
      </c>
      <c r="E1330" t="s">
        <v>27</v>
      </c>
      <c r="F1330">
        <v>1020</v>
      </c>
      <c r="G1330">
        <v>1020</v>
      </c>
      <c r="H1330">
        <v>344</v>
      </c>
      <c r="I1330" s="1">
        <f t="shared" si="23"/>
        <v>357.89760000000001</v>
      </c>
      <c r="J1330" s="1">
        <v>266.64</v>
      </c>
      <c r="K1330" s="1">
        <f>25*Table13[[#This Row],[Total sqm]]</f>
        <v>8947.44</v>
      </c>
      <c r="L1330" s="1">
        <v>105267.96</v>
      </c>
      <c r="M1330" s="1" t="s">
        <v>149</v>
      </c>
      <c r="N1330" s="1"/>
      <c r="O1330" s="1"/>
      <c r="P1330" s="1"/>
      <c r="Q1330" s="62"/>
    </row>
    <row r="1331" spans="1:23" x14ac:dyDescent="0.25">
      <c r="A1331" t="s">
        <v>2107</v>
      </c>
      <c r="B1331" s="52">
        <v>46009</v>
      </c>
      <c r="C1331" t="s">
        <v>938</v>
      </c>
      <c r="D1331" t="s">
        <v>939</v>
      </c>
      <c r="E1331" t="s">
        <v>27</v>
      </c>
      <c r="F1331">
        <v>1000</v>
      </c>
      <c r="G1331">
        <v>1000</v>
      </c>
      <c r="H1331">
        <v>5</v>
      </c>
      <c r="I1331" s="1">
        <f>$F1331*$G1331*$H1331/1000000</f>
        <v>5</v>
      </c>
      <c r="J1331" s="1">
        <v>400</v>
      </c>
      <c r="K1331" s="1">
        <v>375</v>
      </c>
      <c r="L1331" s="1">
        <v>2450</v>
      </c>
      <c r="M1331" s="1" t="s">
        <v>149</v>
      </c>
      <c r="N1331" s="1"/>
      <c r="O1331" s="1"/>
      <c r="P1331" s="1"/>
      <c r="Q1331" s="62"/>
    </row>
    <row r="1332" spans="1:23" x14ac:dyDescent="0.25">
      <c r="A1332" t="s">
        <v>2108</v>
      </c>
      <c r="B1332" s="52">
        <v>46009</v>
      </c>
      <c r="C1332" t="s">
        <v>2111</v>
      </c>
      <c r="D1332" t="s">
        <v>100</v>
      </c>
      <c r="E1332" t="s">
        <v>27</v>
      </c>
      <c r="F1332">
        <v>1000</v>
      </c>
      <c r="G1332">
        <v>1000</v>
      </c>
      <c r="H1332">
        <v>5</v>
      </c>
      <c r="I1332" s="1">
        <f t="shared" ref="I1332:I1333" si="24">$F1332*$G1332*$H1332/1000000</f>
        <v>5</v>
      </c>
      <c r="J1332" s="1">
        <v>400</v>
      </c>
      <c r="K1332" s="1">
        <v>375</v>
      </c>
      <c r="L1332" s="1">
        <v>2500</v>
      </c>
      <c r="M1332" s="1" t="s">
        <v>149</v>
      </c>
      <c r="N1332" s="1"/>
      <c r="O1332" s="1"/>
      <c r="P1332" s="1"/>
      <c r="Q1332" s="62"/>
    </row>
    <row r="1333" spans="1:23" x14ac:dyDescent="0.25">
      <c r="A1333" t="s">
        <v>2109</v>
      </c>
      <c r="B1333" s="52">
        <v>46009</v>
      </c>
      <c r="C1333" t="s">
        <v>2111</v>
      </c>
      <c r="D1333" t="s">
        <v>100</v>
      </c>
      <c r="E1333" t="s">
        <v>37</v>
      </c>
      <c r="F1333">
        <v>1000</v>
      </c>
      <c r="G1333">
        <v>1000</v>
      </c>
      <c r="H1333">
        <v>5</v>
      </c>
      <c r="I1333" s="1">
        <f t="shared" si="24"/>
        <v>5</v>
      </c>
      <c r="J1333" s="1">
        <v>500</v>
      </c>
      <c r="K1333" s="1">
        <v>375</v>
      </c>
      <c r="L1333" s="1">
        <v>3000</v>
      </c>
      <c r="M1333" s="1" t="s">
        <v>149</v>
      </c>
      <c r="N1333" s="1"/>
      <c r="O1333" s="1"/>
      <c r="P1333" s="1"/>
      <c r="Q1333" s="62"/>
    </row>
    <row r="1334" spans="1:23" ht="15.75" thickBot="1" x14ac:dyDescent="0.3">
      <c r="A1334" t="s">
        <v>2110</v>
      </c>
      <c r="B1334" s="52">
        <v>46009</v>
      </c>
      <c r="C1334" t="s">
        <v>2111</v>
      </c>
      <c r="D1334" t="s">
        <v>100</v>
      </c>
      <c r="E1334" t="s">
        <v>32</v>
      </c>
      <c r="F1334">
        <v>1000</v>
      </c>
      <c r="G1334">
        <v>1000</v>
      </c>
      <c r="H1334">
        <v>5</v>
      </c>
      <c r="I1334" s="1">
        <f>$F1334*$G1334*$H1334/1000000</f>
        <v>5</v>
      </c>
      <c r="J1334" s="1">
        <v>600</v>
      </c>
      <c r="K1334" s="1">
        <v>375</v>
      </c>
      <c r="L1334" s="1">
        <v>3650</v>
      </c>
      <c r="M1334" s="1" t="s">
        <v>149</v>
      </c>
      <c r="N1334" s="1"/>
      <c r="O1334" s="1"/>
      <c r="P1334" s="1"/>
      <c r="Q1334" s="62"/>
    </row>
    <row r="1335" spans="1:23" s="68" customFormat="1" ht="15.75" thickTop="1" x14ac:dyDescent="0.25">
      <c r="A1335" s="68" t="s">
        <v>2112</v>
      </c>
      <c r="B1335" s="70">
        <v>46024</v>
      </c>
      <c r="C1335" s="68" t="s">
        <v>1291</v>
      </c>
      <c r="D1335" s="68" t="s">
        <v>57</v>
      </c>
      <c r="E1335" s="68" t="s">
        <v>27</v>
      </c>
      <c r="F1335" s="68">
        <v>735</v>
      </c>
      <c r="G1335" s="68">
        <v>735</v>
      </c>
      <c r="H1335" s="68">
        <v>90</v>
      </c>
      <c r="I1335" s="71">
        <f t="shared" ref="I1335:I1336" si="25">$F1335*$G1335*$H1335/1000000</f>
        <v>48.620249999999999</v>
      </c>
      <c r="J1335" s="71">
        <v>235</v>
      </c>
      <c r="K1335" s="71">
        <v>2431</v>
      </c>
      <c r="L1335" s="71">
        <v>14331.7</v>
      </c>
      <c r="M1335" s="1" t="s">
        <v>449</v>
      </c>
      <c r="N1335" s="71" t="s">
        <v>149</v>
      </c>
      <c r="O1335" s="71"/>
      <c r="P1335" s="71"/>
      <c r="Q1335" s="72"/>
    </row>
    <row r="1336" spans="1:23" s="66" customFormat="1" x14ac:dyDescent="0.25">
      <c r="A1336" s="67" t="s">
        <v>2114</v>
      </c>
      <c r="B1336" s="69">
        <v>46024</v>
      </c>
      <c r="C1336" s="67" t="s">
        <v>1300</v>
      </c>
      <c r="D1336" s="67" t="s">
        <v>36</v>
      </c>
      <c r="E1336" s="67" t="s">
        <v>27</v>
      </c>
      <c r="F1336" s="67">
        <v>1000</v>
      </c>
      <c r="G1336" s="67">
        <v>1000</v>
      </c>
      <c r="H1336" s="67">
        <v>5</v>
      </c>
      <c r="I1336" s="64">
        <f t="shared" si="25"/>
        <v>5</v>
      </c>
      <c r="J1336" s="64">
        <v>400</v>
      </c>
      <c r="K1336" s="64">
        <v>375</v>
      </c>
      <c r="L1336" s="64">
        <v>2450</v>
      </c>
      <c r="M1336" s="64" t="s">
        <v>149</v>
      </c>
      <c r="N1336" s="64"/>
      <c r="O1336" s="64"/>
      <c r="P1336" s="64"/>
      <c r="Q1336" s="65"/>
      <c r="R1336" s="67"/>
      <c r="S1336" s="67"/>
      <c r="T1336" s="67"/>
      <c r="U1336" s="67"/>
      <c r="V1336" s="67"/>
      <c r="W1336" s="67"/>
    </row>
    <row r="1337" spans="1:23" s="46" customFormat="1" x14ac:dyDescent="0.25">
      <c r="A1337" s="46" t="s">
        <v>2115</v>
      </c>
      <c r="B1337" s="75">
        <v>46028</v>
      </c>
      <c r="C1337" s="46" t="s">
        <v>1078</v>
      </c>
      <c r="D1337" s="46" t="s">
        <v>103</v>
      </c>
      <c r="E1337" s="46" t="s">
        <v>37</v>
      </c>
      <c r="F1337" s="46">
        <v>1000</v>
      </c>
      <c r="G1337" s="46">
        <v>1000</v>
      </c>
      <c r="H1337" s="46">
        <v>5</v>
      </c>
      <c r="I1337" s="47">
        <f>$F1337*$G1337*$H1337/1000000</f>
        <v>5</v>
      </c>
      <c r="J1337" s="47">
        <v>500</v>
      </c>
      <c r="K1337" s="47">
        <v>375</v>
      </c>
      <c r="L1337" s="47">
        <v>3000</v>
      </c>
      <c r="M1337" s="47" t="s">
        <v>149</v>
      </c>
      <c r="N1337" s="47"/>
      <c r="O1337" s="47"/>
      <c r="P1337" s="47" t="s">
        <v>149</v>
      </c>
      <c r="Q1337" s="48">
        <v>46048</v>
      </c>
    </row>
    <row r="1338" spans="1:23" x14ac:dyDescent="0.25">
      <c r="A1338" t="s">
        <v>2116</v>
      </c>
      <c r="B1338" s="52">
        <v>46028</v>
      </c>
      <c r="C1338" t="s">
        <v>1025</v>
      </c>
      <c r="D1338" t="s">
        <v>100</v>
      </c>
      <c r="E1338" t="s">
        <v>27</v>
      </c>
      <c r="F1338">
        <v>1077</v>
      </c>
      <c r="G1338">
        <v>1026</v>
      </c>
      <c r="H1338">
        <v>140</v>
      </c>
      <c r="I1338" s="1">
        <f t="shared" ref="I1338:I1355" si="26">$F1338*$G1338*$H1338/1000000</f>
        <v>154.70027999999999</v>
      </c>
      <c r="J1338" s="1">
        <v>260</v>
      </c>
      <c r="K1338" s="1">
        <f>Table13[[#This Row],[Total sqm]]*25</f>
        <v>3867.5069999999996</v>
      </c>
      <c r="L1338" s="1">
        <v>44309.5</v>
      </c>
      <c r="M1338" s="1" t="s">
        <v>149</v>
      </c>
      <c r="N1338" s="1"/>
      <c r="O1338" s="1"/>
      <c r="P1338" s="1"/>
      <c r="Q1338" s="62"/>
    </row>
    <row r="1339" spans="1:23" x14ac:dyDescent="0.25">
      <c r="A1339" t="s">
        <v>2117</v>
      </c>
      <c r="B1339" s="52">
        <v>46030</v>
      </c>
      <c r="C1339" t="s">
        <v>1937</v>
      </c>
      <c r="D1339" t="s">
        <v>57</v>
      </c>
      <c r="E1339" t="s">
        <v>37</v>
      </c>
      <c r="F1339">
        <v>449</v>
      </c>
      <c r="G1339">
        <v>449</v>
      </c>
      <c r="H1339">
        <v>50</v>
      </c>
      <c r="I1339" s="1">
        <f t="shared" si="26"/>
        <v>10.08005</v>
      </c>
      <c r="J1339" s="1">
        <v>325</v>
      </c>
      <c r="K1339" s="1">
        <v>756</v>
      </c>
      <c r="L1339" s="1">
        <v>4252</v>
      </c>
      <c r="M1339" s="1" t="s">
        <v>149</v>
      </c>
      <c r="N1339" s="1"/>
      <c r="O1339" s="1"/>
      <c r="P1339" s="1"/>
      <c r="Q1339" s="62"/>
    </row>
    <row r="1340" spans="1:23" x14ac:dyDescent="0.25">
      <c r="A1340" t="s">
        <v>2118</v>
      </c>
      <c r="B1340" s="52">
        <v>46028</v>
      </c>
      <c r="C1340" t="s">
        <v>2120</v>
      </c>
      <c r="D1340" t="s">
        <v>83</v>
      </c>
      <c r="E1340" t="s">
        <v>32</v>
      </c>
      <c r="F1340">
        <v>1000</v>
      </c>
      <c r="G1340">
        <v>1000</v>
      </c>
      <c r="H1340">
        <v>5</v>
      </c>
      <c r="I1340" s="1">
        <f t="shared" si="26"/>
        <v>5</v>
      </c>
      <c r="J1340" s="1">
        <v>600</v>
      </c>
      <c r="K1340" s="1">
        <v>375</v>
      </c>
      <c r="L1340" s="1">
        <v>3650</v>
      </c>
      <c r="M1340" s="1" t="s">
        <v>149</v>
      </c>
      <c r="N1340" s="1"/>
      <c r="O1340" s="1"/>
      <c r="P1340" s="1"/>
      <c r="Q1340" s="62"/>
    </row>
    <row r="1341" spans="1:23" x14ac:dyDescent="0.25">
      <c r="A1341" t="s">
        <v>2119</v>
      </c>
      <c r="B1341" s="52">
        <v>46030</v>
      </c>
      <c r="C1341" t="s">
        <v>1937</v>
      </c>
      <c r="D1341" t="s">
        <v>57</v>
      </c>
      <c r="E1341" t="s">
        <v>27</v>
      </c>
      <c r="F1341">
        <v>449</v>
      </c>
      <c r="G1341">
        <v>449</v>
      </c>
      <c r="H1341">
        <v>50</v>
      </c>
      <c r="I1341" s="1">
        <f t="shared" si="26"/>
        <v>10.08005</v>
      </c>
      <c r="J1341" s="1">
        <v>285</v>
      </c>
      <c r="K1341" s="1">
        <v>756</v>
      </c>
      <c r="L1341" s="1">
        <v>3848.8</v>
      </c>
      <c r="M1341" s="1" t="s">
        <v>149</v>
      </c>
      <c r="N1341" s="1"/>
      <c r="O1341" s="1"/>
      <c r="P1341" s="1"/>
      <c r="Q1341" s="62"/>
    </row>
    <row r="1342" spans="1:23" x14ac:dyDescent="0.25">
      <c r="A1342" t="s">
        <v>2121</v>
      </c>
      <c r="B1342" s="52">
        <v>46034</v>
      </c>
      <c r="C1342" t="s">
        <v>2123</v>
      </c>
      <c r="D1342" t="s">
        <v>46</v>
      </c>
      <c r="E1342" t="s">
        <v>37</v>
      </c>
      <c r="F1342">
        <v>1000</v>
      </c>
      <c r="G1342">
        <v>1000</v>
      </c>
      <c r="H1342">
        <v>200</v>
      </c>
      <c r="I1342" s="1">
        <f t="shared" si="26"/>
        <v>200</v>
      </c>
      <c r="J1342" s="1">
        <v>305</v>
      </c>
      <c r="K1342" s="1">
        <v>5000</v>
      </c>
      <c r="L1342" s="1">
        <v>66348</v>
      </c>
      <c r="M1342" s="1" t="s">
        <v>149</v>
      </c>
      <c r="N1342" s="1"/>
      <c r="O1342" s="1"/>
      <c r="P1342" s="1"/>
      <c r="Q1342" s="62"/>
    </row>
    <row r="1343" spans="1:23" x14ac:dyDescent="0.25">
      <c r="A1343" t="s">
        <v>2122</v>
      </c>
      <c r="B1343" s="52">
        <v>46034</v>
      </c>
      <c r="C1343" t="s">
        <v>2123</v>
      </c>
      <c r="D1343" t="s">
        <v>46</v>
      </c>
      <c r="E1343" t="s">
        <v>27</v>
      </c>
      <c r="F1343">
        <v>1000</v>
      </c>
      <c r="G1343">
        <v>1000</v>
      </c>
      <c r="H1343">
        <v>200</v>
      </c>
      <c r="I1343" s="1">
        <f t="shared" si="26"/>
        <v>200</v>
      </c>
      <c r="J1343" s="1">
        <v>210</v>
      </c>
      <c r="K1343" s="1">
        <v>5000</v>
      </c>
      <c r="L1343" s="1">
        <v>47348</v>
      </c>
      <c r="M1343" s="1" t="s">
        <v>149</v>
      </c>
      <c r="N1343" s="1"/>
      <c r="O1343" s="1"/>
      <c r="P1343" s="1"/>
      <c r="Q1343" s="62"/>
    </row>
    <row r="1344" spans="1:23" x14ac:dyDescent="0.25">
      <c r="A1344" t="s">
        <v>2124</v>
      </c>
      <c r="B1344" s="52">
        <v>46035</v>
      </c>
      <c r="C1344" t="s">
        <v>252</v>
      </c>
      <c r="D1344" t="s">
        <v>83</v>
      </c>
      <c r="E1344" t="s">
        <v>32</v>
      </c>
      <c r="F1344">
        <v>572</v>
      </c>
      <c r="G1344">
        <v>407</v>
      </c>
      <c r="H1344">
        <v>450</v>
      </c>
      <c r="I1344" s="1">
        <f t="shared" si="26"/>
        <v>104.76179999999999</v>
      </c>
      <c r="J1344" s="1">
        <v>467</v>
      </c>
      <c r="K1344" s="1">
        <v>2619</v>
      </c>
      <c r="L1344" s="1">
        <v>51712.92</v>
      </c>
      <c r="M1344" s="1" t="s">
        <v>149</v>
      </c>
      <c r="N1344" s="1"/>
      <c r="O1344" s="1"/>
      <c r="P1344" s="1"/>
      <c r="Q1344" s="62"/>
    </row>
    <row r="1345" spans="1:17" x14ac:dyDescent="0.25">
      <c r="A1345" t="s">
        <v>2125</v>
      </c>
      <c r="B1345" s="52">
        <v>46034</v>
      </c>
      <c r="C1345" t="s">
        <v>972</v>
      </c>
      <c r="D1345" t="s">
        <v>103</v>
      </c>
      <c r="E1345" t="s">
        <v>32</v>
      </c>
      <c r="F1345">
        <v>1000</v>
      </c>
      <c r="G1345">
        <v>1000</v>
      </c>
      <c r="H1345">
        <v>5</v>
      </c>
      <c r="I1345" s="1">
        <f t="shared" si="26"/>
        <v>5</v>
      </c>
      <c r="J1345" s="1">
        <v>450</v>
      </c>
      <c r="K1345" s="1">
        <v>375</v>
      </c>
      <c r="L1345" s="1">
        <v>2900</v>
      </c>
      <c r="M1345" s="1" t="s">
        <v>449</v>
      </c>
      <c r="N1345" s="1" t="s">
        <v>149</v>
      </c>
      <c r="O1345" s="1"/>
      <c r="P1345" s="1"/>
      <c r="Q1345" s="62"/>
    </row>
    <row r="1346" spans="1:17" x14ac:dyDescent="0.25">
      <c r="A1346" t="s">
        <v>2126</v>
      </c>
      <c r="B1346" s="52">
        <v>46034</v>
      </c>
      <c r="C1346" t="s">
        <v>2128</v>
      </c>
      <c r="D1346" t="s">
        <v>283</v>
      </c>
      <c r="E1346" t="s">
        <v>27</v>
      </c>
      <c r="F1346">
        <v>1000</v>
      </c>
      <c r="G1346">
        <v>1000</v>
      </c>
      <c r="H1346">
        <v>30</v>
      </c>
      <c r="I1346" s="1">
        <f t="shared" si="26"/>
        <v>30</v>
      </c>
      <c r="J1346" s="1">
        <v>337</v>
      </c>
      <c r="K1346" s="1">
        <v>1500</v>
      </c>
      <c r="L1346" s="1"/>
      <c r="M1346" s="1" t="s">
        <v>149</v>
      </c>
      <c r="N1346" s="1"/>
      <c r="O1346" s="1"/>
      <c r="P1346" s="1"/>
      <c r="Q1346" s="62"/>
    </row>
    <row r="1347" spans="1:17" x14ac:dyDescent="0.25">
      <c r="A1347" t="s">
        <v>2127</v>
      </c>
      <c r="B1347" s="52">
        <v>46031</v>
      </c>
      <c r="C1347" t="s">
        <v>2137</v>
      </c>
      <c r="D1347" t="s">
        <v>418</v>
      </c>
      <c r="E1347" t="s">
        <v>32</v>
      </c>
      <c r="F1347">
        <v>1000</v>
      </c>
      <c r="G1347">
        <v>1000</v>
      </c>
      <c r="H1347">
        <v>5</v>
      </c>
      <c r="I1347" s="1">
        <f t="shared" si="26"/>
        <v>5</v>
      </c>
      <c r="J1347" s="1">
        <v>600</v>
      </c>
      <c r="K1347" s="1">
        <v>375</v>
      </c>
      <c r="L1347" s="1">
        <v>3650</v>
      </c>
      <c r="M1347" s="1" t="s">
        <v>149</v>
      </c>
      <c r="N1347" s="1"/>
      <c r="O1347" s="1"/>
      <c r="P1347" s="1" t="s">
        <v>149</v>
      </c>
      <c r="Q1347" s="62">
        <v>46031</v>
      </c>
    </row>
    <row r="1348" spans="1:17" x14ac:dyDescent="0.25">
      <c r="A1348" t="s">
        <v>2129</v>
      </c>
      <c r="B1348" s="52">
        <v>46034</v>
      </c>
      <c r="C1348" t="s">
        <v>1927</v>
      </c>
      <c r="D1348" t="s">
        <v>31</v>
      </c>
      <c r="E1348" t="s">
        <v>32</v>
      </c>
      <c r="F1348">
        <v>1000</v>
      </c>
      <c r="G1348">
        <v>1000</v>
      </c>
      <c r="H1348">
        <v>5</v>
      </c>
      <c r="I1348" s="1">
        <f t="shared" si="26"/>
        <v>5</v>
      </c>
      <c r="J1348" s="1">
        <v>600</v>
      </c>
      <c r="K1348" s="1">
        <v>375</v>
      </c>
      <c r="L1348" s="1">
        <v>3650</v>
      </c>
      <c r="M1348" s="1" t="s">
        <v>149</v>
      </c>
      <c r="N1348" s="1"/>
      <c r="O1348" s="1"/>
      <c r="P1348" s="1"/>
      <c r="Q1348" s="62"/>
    </row>
    <row r="1349" spans="1:17" x14ac:dyDescent="0.25">
      <c r="A1349" t="s">
        <v>2130</v>
      </c>
      <c r="B1349" s="52">
        <v>46034</v>
      </c>
      <c r="C1349" t="s">
        <v>1512</v>
      </c>
      <c r="D1349" t="s">
        <v>31</v>
      </c>
      <c r="E1349" t="s">
        <v>27</v>
      </c>
      <c r="F1349">
        <v>1000</v>
      </c>
      <c r="G1349">
        <v>1000</v>
      </c>
      <c r="H1349">
        <v>10</v>
      </c>
      <c r="I1349" s="1">
        <f t="shared" si="26"/>
        <v>10</v>
      </c>
      <c r="J1349" s="1">
        <v>350</v>
      </c>
      <c r="K1349" s="1">
        <v>750</v>
      </c>
      <c r="L1349" s="1">
        <v>4375</v>
      </c>
      <c r="M1349" s="1" t="s">
        <v>149</v>
      </c>
      <c r="N1349" s="1"/>
      <c r="O1349" s="1"/>
      <c r="P1349" s="1"/>
      <c r="Q1349" s="62"/>
    </row>
    <row r="1350" spans="1:17" x14ac:dyDescent="0.25">
      <c r="A1350" t="s">
        <v>2131</v>
      </c>
      <c r="B1350" s="52">
        <v>46035</v>
      </c>
      <c r="C1350" t="s">
        <v>243</v>
      </c>
      <c r="D1350" t="s">
        <v>103</v>
      </c>
      <c r="E1350" t="s">
        <v>27</v>
      </c>
      <c r="F1350">
        <v>1000</v>
      </c>
      <c r="G1350">
        <v>1000</v>
      </c>
      <c r="H1350">
        <v>10</v>
      </c>
      <c r="I1350" s="1">
        <f t="shared" si="26"/>
        <v>10</v>
      </c>
      <c r="J1350" s="1">
        <v>350</v>
      </c>
      <c r="K1350" s="1">
        <v>750</v>
      </c>
      <c r="L1350" s="1">
        <v>4475</v>
      </c>
      <c r="M1350" s="1" t="s">
        <v>149</v>
      </c>
      <c r="N1350" s="1"/>
      <c r="O1350" s="1"/>
      <c r="P1350" s="1" t="s">
        <v>149</v>
      </c>
      <c r="Q1350" s="62">
        <v>46035</v>
      </c>
    </row>
    <row r="1351" spans="1:17" x14ac:dyDescent="0.25">
      <c r="A1351" t="s">
        <v>2132</v>
      </c>
      <c r="B1351" s="52">
        <v>46037</v>
      </c>
      <c r="C1351" t="s">
        <v>1971</v>
      </c>
      <c r="D1351" t="s">
        <v>100</v>
      </c>
      <c r="E1351" t="s">
        <v>27</v>
      </c>
      <c r="F1351">
        <v>1700</v>
      </c>
      <c r="G1351">
        <v>1700</v>
      </c>
      <c r="H1351">
        <v>50</v>
      </c>
      <c r="I1351" s="1">
        <f t="shared" si="26"/>
        <v>144.5</v>
      </c>
      <c r="J1351" s="1">
        <v>260</v>
      </c>
      <c r="K1351" s="1">
        <v>3612.5</v>
      </c>
      <c r="L1351" s="1">
        <v>41449.5</v>
      </c>
      <c r="M1351" s="1" t="s">
        <v>149</v>
      </c>
      <c r="N1351" s="1"/>
      <c r="O1351" s="1"/>
      <c r="P1351" s="1"/>
      <c r="Q1351" s="62"/>
    </row>
    <row r="1352" spans="1:17" x14ac:dyDescent="0.25">
      <c r="A1352" t="s">
        <v>2133</v>
      </c>
      <c r="B1352" s="52">
        <v>46037</v>
      </c>
      <c r="C1352" t="s">
        <v>1971</v>
      </c>
      <c r="D1352" t="s">
        <v>100</v>
      </c>
      <c r="E1352" t="s">
        <v>37</v>
      </c>
      <c r="F1352">
        <v>1700</v>
      </c>
      <c r="G1352">
        <v>1700</v>
      </c>
      <c r="H1352">
        <v>50</v>
      </c>
      <c r="I1352" s="1">
        <f t="shared" si="26"/>
        <v>144.5</v>
      </c>
      <c r="J1352" s="1">
        <v>338</v>
      </c>
      <c r="K1352" s="1">
        <v>3612.5</v>
      </c>
      <c r="L1352" s="1">
        <v>52720.5</v>
      </c>
      <c r="M1352" s="1" t="s">
        <v>149</v>
      </c>
      <c r="N1352" s="1"/>
      <c r="O1352" s="1"/>
      <c r="P1352" s="1"/>
      <c r="Q1352" s="62"/>
    </row>
    <row r="1353" spans="1:17" x14ac:dyDescent="0.25">
      <c r="A1353" t="s">
        <v>2136</v>
      </c>
      <c r="B1353" s="52">
        <v>46037</v>
      </c>
      <c r="C1353" t="s">
        <v>2134</v>
      </c>
      <c r="D1353" t="s">
        <v>2135</v>
      </c>
      <c r="E1353" t="s">
        <v>27</v>
      </c>
      <c r="F1353">
        <v>1000</v>
      </c>
      <c r="G1353">
        <v>1000</v>
      </c>
      <c r="H1353">
        <v>5</v>
      </c>
      <c r="I1353" s="1">
        <f t="shared" si="26"/>
        <v>5</v>
      </c>
      <c r="J1353" s="1">
        <v>400</v>
      </c>
      <c r="K1353" s="1">
        <v>375</v>
      </c>
      <c r="L1353" s="1">
        <v>2450</v>
      </c>
      <c r="M1353" s="1" t="s">
        <v>149</v>
      </c>
      <c r="N1353" s="1"/>
      <c r="O1353" s="1"/>
      <c r="P1353" s="1"/>
      <c r="Q1353" s="62"/>
    </row>
    <row r="1354" spans="1:17" x14ac:dyDescent="0.25">
      <c r="A1354" t="s">
        <v>2138</v>
      </c>
      <c r="B1354" s="52">
        <v>46042</v>
      </c>
      <c r="C1354" t="s">
        <v>2139</v>
      </c>
      <c r="D1354" t="s">
        <v>2087</v>
      </c>
      <c r="E1354" t="s">
        <v>32</v>
      </c>
      <c r="F1354">
        <v>1000</v>
      </c>
      <c r="G1354">
        <v>1000</v>
      </c>
      <c r="H1354">
        <v>5</v>
      </c>
      <c r="I1354" s="1">
        <f t="shared" si="26"/>
        <v>5</v>
      </c>
      <c r="J1354" s="1">
        <v>600</v>
      </c>
      <c r="K1354" s="1">
        <v>375</v>
      </c>
      <c r="L1354" s="1">
        <v>3650</v>
      </c>
      <c r="M1354" s="1" t="s">
        <v>149</v>
      </c>
      <c r="N1354" s="1"/>
      <c r="O1354" s="1"/>
      <c r="P1354" s="1"/>
      <c r="Q1354" s="62"/>
    </row>
    <row r="1355" spans="1:17" x14ac:dyDescent="0.25">
      <c r="A1355" t="s">
        <v>2140</v>
      </c>
      <c r="B1355" s="52">
        <v>46045</v>
      </c>
      <c r="C1355" t="s">
        <v>195</v>
      </c>
      <c r="D1355" t="s">
        <v>46</v>
      </c>
      <c r="E1355" t="s">
        <v>27</v>
      </c>
      <c r="F1355">
        <v>1000</v>
      </c>
      <c r="G1355">
        <v>1000</v>
      </c>
      <c r="H1355">
        <v>5</v>
      </c>
      <c r="I1355" s="1">
        <f t="shared" si="26"/>
        <v>5</v>
      </c>
      <c r="J1355" s="1">
        <v>250</v>
      </c>
      <c r="K1355" s="1">
        <v>375</v>
      </c>
      <c r="L1355" s="1">
        <v>1750</v>
      </c>
      <c r="M1355" s="1" t="s">
        <v>149</v>
      </c>
      <c r="N1355" s="1"/>
      <c r="O1355" s="1"/>
      <c r="P1355" s="1"/>
      <c r="Q1355" s="62"/>
    </row>
    <row r="1356" spans="1:17" x14ac:dyDescent="0.25">
      <c r="A1356" t="s">
        <v>2141</v>
      </c>
      <c r="B1356" s="52">
        <v>46045</v>
      </c>
      <c r="C1356" t="s">
        <v>195</v>
      </c>
      <c r="D1356" t="s">
        <v>46</v>
      </c>
      <c r="E1356" t="s">
        <v>37</v>
      </c>
      <c r="F1356">
        <v>1000</v>
      </c>
      <c r="G1356">
        <v>1000</v>
      </c>
      <c r="H1356">
        <v>5</v>
      </c>
      <c r="I1356" s="1">
        <f>$F1356*$G1356*$H1356/1000000</f>
        <v>5</v>
      </c>
      <c r="J1356" s="1">
        <v>340</v>
      </c>
      <c r="K1356" s="1">
        <v>375</v>
      </c>
      <c r="L1356" s="1">
        <v>2200</v>
      </c>
      <c r="M1356" s="1" t="s">
        <v>149</v>
      </c>
      <c r="N1356" s="1"/>
      <c r="O1356" s="1"/>
      <c r="P1356" s="1"/>
      <c r="Q1356" s="62"/>
    </row>
    <row r="1357" spans="1:17" x14ac:dyDescent="0.25">
      <c r="A1357" t="s">
        <v>2142</v>
      </c>
      <c r="B1357" s="52">
        <v>46045</v>
      </c>
      <c r="C1357" t="s">
        <v>195</v>
      </c>
      <c r="D1357" t="s">
        <v>46</v>
      </c>
      <c r="E1357" t="s">
        <v>32</v>
      </c>
      <c r="F1357">
        <v>1000</v>
      </c>
      <c r="G1357">
        <v>1000</v>
      </c>
      <c r="H1357">
        <v>5</v>
      </c>
      <c r="I1357" s="1">
        <f t="shared" ref="I1357:I1367" si="27">$F1357*$G1357*$H1357/1000000</f>
        <v>5</v>
      </c>
      <c r="J1357" s="1">
        <v>400</v>
      </c>
      <c r="K1357" s="1">
        <v>375</v>
      </c>
      <c r="L1357" s="1">
        <v>2650</v>
      </c>
      <c r="M1357" s="1" t="s">
        <v>149</v>
      </c>
      <c r="N1357" s="1"/>
      <c r="O1357" s="1"/>
      <c r="P1357" s="1"/>
      <c r="Q1357" s="62"/>
    </row>
    <row r="1358" spans="1:17" x14ac:dyDescent="0.25">
      <c r="A1358" t="s">
        <v>2143</v>
      </c>
      <c r="B1358" s="52">
        <v>46045</v>
      </c>
      <c r="C1358" t="s">
        <v>2123</v>
      </c>
      <c r="D1358" t="s">
        <v>46</v>
      </c>
      <c r="E1358" t="s">
        <v>32</v>
      </c>
      <c r="F1358">
        <v>1000</v>
      </c>
      <c r="G1358">
        <v>1000</v>
      </c>
      <c r="H1358">
        <v>200</v>
      </c>
      <c r="I1358" s="1">
        <f t="shared" si="27"/>
        <v>200</v>
      </c>
      <c r="J1358" s="1">
        <v>378</v>
      </c>
      <c r="K1358" s="1">
        <v>5000</v>
      </c>
      <c r="L1358" s="1">
        <v>80948</v>
      </c>
      <c r="M1358" s="1" t="s">
        <v>149</v>
      </c>
      <c r="N1358" s="1"/>
      <c r="O1358" s="1"/>
      <c r="P1358" s="1"/>
      <c r="Q1358" s="62"/>
    </row>
    <row r="1359" spans="1:17" x14ac:dyDescent="0.25">
      <c r="A1359" t="s">
        <v>2144</v>
      </c>
      <c r="B1359" s="52">
        <v>46048</v>
      </c>
      <c r="C1359" t="s">
        <v>1236</v>
      </c>
      <c r="D1359" t="s">
        <v>100</v>
      </c>
      <c r="E1359" t="s">
        <v>37</v>
      </c>
      <c r="F1359">
        <v>500</v>
      </c>
      <c r="G1359">
        <v>500</v>
      </c>
      <c r="H1359">
        <v>80</v>
      </c>
      <c r="I1359" s="1">
        <f t="shared" ref="I1359:I1364" si="28">$F1359*$G1359*$H1359/1000000</f>
        <v>20</v>
      </c>
      <c r="J1359" s="1">
        <v>438</v>
      </c>
      <c r="K1359" s="1">
        <v>1500</v>
      </c>
      <c r="L1359" s="1">
        <v>10400</v>
      </c>
      <c r="M1359" s="1" t="s">
        <v>149</v>
      </c>
      <c r="N1359" s="1"/>
      <c r="O1359" s="1"/>
      <c r="P1359" s="1"/>
      <c r="Q1359" s="62"/>
    </row>
    <row r="1360" spans="1:17" x14ac:dyDescent="0.25">
      <c r="A1360" t="s">
        <v>2145</v>
      </c>
      <c r="B1360" s="52">
        <v>46048</v>
      </c>
      <c r="C1360" t="s">
        <v>1236</v>
      </c>
      <c r="D1360" t="s">
        <v>100</v>
      </c>
      <c r="E1360" t="s">
        <v>37</v>
      </c>
      <c r="F1360">
        <v>500</v>
      </c>
      <c r="G1360">
        <v>500</v>
      </c>
      <c r="H1360">
        <v>1000</v>
      </c>
      <c r="I1360" s="1">
        <f t="shared" si="28"/>
        <v>250</v>
      </c>
      <c r="J1360" s="1">
        <v>317</v>
      </c>
      <c r="K1360" s="1">
        <v>6250</v>
      </c>
      <c r="L1360" s="1">
        <v>86150</v>
      </c>
      <c r="M1360" s="1" t="s">
        <v>149</v>
      </c>
      <c r="N1360" s="1"/>
      <c r="O1360" s="1"/>
      <c r="P1360" s="1"/>
      <c r="Q1360" s="62"/>
    </row>
    <row r="1361" spans="1:19" x14ac:dyDescent="0.25">
      <c r="A1361" t="s">
        <v>2146</v>
      </c>
      <c r="B1361" s="52">
        <v>46048</v>
      </c>
      <c r="C1361" t="s">
        <v>1236</v>
      </c>
      <c r="D1361" t="s">
        <v>100</v>
      </c>
      <c r="E1361" t="s">
        <v>37</v>
      </c>
      <c r="F1361">
        <v>1005</v>
      </c>
      <c r="G1361">
        <v>715</v>
      </c>
      <c r="H1361">
        <v>28</v>
      </c>
      <c r="I1361" s="1">
        <f t="shared" si="28"/>
        <v>20.120100000000001</v>
      </c>
      <c r="J1361" s="1">
        <v>438</v>
      </c>
      <c r="K1361" s="1">
        <v>1509</v>
      </c>
      <c r="L1361" s="1">
        <v>10471.44</v>
      </c>
      <c r="M1361" s="1" t="s">
        <v>149</v>
      </c>
      <c r="N1361" s="1"/>
      <c r="O1361" s="1"/>
      <c r="P1361" s="1"/>
      <c r="Q1361" s="62"/>
    </row>
    <row r="1362" spans="1:19" x14ac:dyDescent="0.25">
      <c r="A1362" t="s">
        <v>2147</v>
      </c>
      <c r="B1362" s="52">
        <v>46048</v>
      </c>
      <c r="C1362" t="s">
        <v>1236</v>
      </c>
      <c r="D1362" t="s">
        <v>100</v>
      </c>
      <c r="E1362" t="s">
        <v>37</v>
      </c>
      <c r="F1362">
        <v>1005</v>
      </c>
      <c r="G1362">
        <v>715</v>
      </c>
      <c r="H1362">
        <v>1000</v>
      </c>
      <c r="I1362" s="1">
        <f t="shared" si="28"/>
        <v>718.57500000000005</v>
      </c>
      <c r="J1362" s="1">
        <v>309</v>
      </c>
      <c r="K1362" s="1">
        <v>17964.5</v>
      </c>
      <c r="L1362" s="1">
        <v>241404.5</v>
      </c>
      <c r="M1362" s="1" t="s">
        <v>149</v>
      </c>
      <c r="N1362" s="1"/>
      <c r="O1362" s="1"/>
      <c r="P1362" s="1"/>
      <c r="Q1362" s="62"/>
    </row>
    <row r="1363" spans="1:19" x14ac:dyDescent="0.25">
      <c r="A1363" t="s">
        <v>2148</v>
      </c>
      <c r="B1363" s="55" t="s">
        <v>2149</v>
      </c>
      <c r="C1363" t="s">
        <v>255</v>
      </c>
      <c r="D1363" t="s">
        <v>256</v>
      </c>
      <c r="E1363" t="s">
        <v>32</v>
      </c>
      <c r="F1363">
        <v>933</v>
      </c>
      <c r="G1363">
        <v>711</v>
      </c>
      <c r="H1363">
        <v>31</v>
      </c>
      <c r="I1363" s="1">
        <f t="shared" si="28"/>
        <v>20.564253000000001</v>
      </c>
      <c r="J1363" s="1">
        <v>544</v>
      </c>
      <c r="K1363" s="1">
        <v>1028</v>
      </c>
      <c r="L1363" s="1">
        <v>12442.64</v>
      </c>
      <c r="M1363" s="1" t="s">
        <v>149</v>
      </c>
      <c r="N1363" s="1"/>
      <c r="O1363" s="1"/>
      <c r="P1363" s="1"/>
      <c r="Q1363" s="62"/>
    </row>
    <row r="1364" spans="1:19" x14ac:dyDescent="0.25">
      <c r="A1364" t="s">
        <v>2151</v>
      </c>
      <c r="B1364" s="52">
        <v>46051</v>
      </c>
      <c r="C1364" t="s">
        <v>2150</v>
      </c>
      <c r="D1364" t="s">
        <v>57</v>
      </c>
      <c r="E1364" t="s">
        <v>27</v>
      </c>
      <c r="F1364">
        <v>1700</v>
      </c>
      <c r="G1364">
        <v>1700</v>
      </c>
      <c r="H1364">
        <v>300</v>
      </c>
      <c r="I1364" s="1">
        <f t="shared" si="28"/>
        <v>867</v>
      </c>
      <c r="J1364" s="1">
        <v>215</v>
      </c>
      <c r="K1364" s="1" t="s">
        <v>1408</v>
      </c>
      <c r="L1364" s="1">
        <v>187855</v>
      </c>
      <c r="M1364" s="1" t="s">
        <v>449</v>
      </c>
      <c r="N1364" s="1" t="s">
        <v>149</v>
      </c>
      <c r="O1364" s="1"/>
      <c r="P1364" s="1"/>
      <c r="Q1364" s="62"/>
    </row>
    <row r="1365" spans="1:19" x14ac:dyDescent="0.25">
      <c r="A1365" t="s">
        <v>2152</v>
      </c>
      <c r="B1365" s="52">
        <v>46051</v>
      </c>
      <c r="C1365" t="s">
        <v>2150</v>
      </c>
      <c r="D1365" t="s">
        <v>57</v>
      </c>
      <c r="E1365" t="s">
        <v>27</v>
      </c>
      <c r="F1365">
        <v>1700</v>
      </c>
      <c r="G1365">
        <v>1700</v>
      </c>
      <c r="H1365">
        <v>6000</v>
      </c>
      <c r="I1365" s="1">
        <f t="shared" si="27"/>
        <v>17340</v>
      </c>
      <c r="J1365" s="1">
        <v>190</v>
      </c>
      <c r="K1365" s="1" t="s">
        <v>1408</v>
      </c>
      <c r="L1365" s="1">
        <v>3294600</v>
      </c>
      <c r="M1365" s="1" t="s">
        <v>449</v>
      </c>
      <c r="N1365" s="1" t="s">
        <v>149</v>
      </c>
      <c r="O1365" s="1"/>
      <c r="P1365" s="1"/>
      <c r="Q1365" s="62"/>
    </row>
    <row r="1366" spans="1:19" x14ac:dyDescent="0.25">
      <c r="A1366" t="s">
        <v>2153</v>
      </c>
      <c r="B1366" s="52">
        <v>46052</v>
      </c>
      <c r="C1366" t="s">
        <v>2155</v>
      </c>
      <c r="D1366" t="s">
        <v>57</v>
      </c>
      <c r="E1366" t="s">
        <v>27</v>
      </c>
      <c r="F1366">
        <v>1682</v>
      </c>
      <c r="G1366">
        <v>1682</v>
      </c>
      <c r="H1366">
        <v>6000</v>
      </c>
      <c r="I1366" s="1">
        <f t="shared" si="27"/>
        <v>16974.743999999999</v>
      </c>
      <c r="J1366" s="1">
        <v>160</v>
      </c>
      <c r="K1366" s="1" t="s">
        <v>1408</v>
      </c>
      <c r="L1366" s="1">
        <v>2715958.4</v>
      </c>
      <c r="M1366" s="1" t="s">
        <v>449</v>
      </c>
      <c r="N1366" s="1" t="s">
        <v>149</v>
      </c>
      <c r="O1366" s="1"/>
      <c r="P1366" s="1"/>
      <c r="Q1366" s="62"/>
      <c r="S1366" t="s">
        <v>2157</v>
      </c>
    </row>
    <row r="1367" spans="1:19" x14ac:dyDescent="0.25">
      <c r="A1367" t="s">
        <v>2154</v>
      </c>
      <c r="B1367" s="52">
        <v>46052</v>
      </c>
      <c r="C1367" t="s">
        <v>41</v>
      </c>
      <c r="D1367" t="s">
        <v>57</v>
      </c>
      <c r="E1367" t="s">
        <v>27</v>
      </c>
      <c r="F1367">
        <v>1682</v>
      </c>
      <c r="G1367">
        <v>1682</v>
      </c>
      <c r="H1367">
        <v>6000</v>
      </c>
      <c r="I1367" s="1">
        <f t="shared" si="27"/>
        <v>16974.743999999999</v>
      </c>
      <c r="J1367" s="1">
        <v>170</v>
      </c>
      <c r="K1367" s="1" t="s">
        <v>1408</v>
      </c>
      <c r="L1367" s="1">
        <v>2885705.8</v>
      </c>
      <c r="M1367" s="1" t="s">
        <v>449</v>
      </c>
      <c r="N1367" s="1" t="s">
        <v>149</v>
      </c>
      <c r="O1367" s="1"/>
      <c r="P1367" s="1"/>
      <c r="Q1367" s="62"/>
      <c r="S1367" t="s">
        <v>2156</v>
      </c>
    </row>
    <row r="1368" spans="1:19" x14ac:dyDescent="0.25">
      <c r="A1368" t="s">
        <v>2158</v>
      </c>
      <c r="B1368" s="52" t="s">
        <v>2160</v>
      </c>
      <c r="C1368" t="s">
        <v>222</v>
      </c>
      <c r="D1368" t="s">
        <v>57</v>
      </c>
      <c r="E1368" t="s">
        <v>27</v>
      </c>
      <c r="F1368">
        <v>1900</v>
      </c>
      <c r="G1368">
        <v>1900</v>
      </c>
      <c r="H1368">
        <v>300</v>
      </c>
      <c r="I1368" s="1">
        <f t="shared" ref="I1368:I1373" si="29">$F1368*$G1368*$H1368/1000000</f>
        <v>1083</v>
      </c>
      <c r="J1368" s="1">
        <v>215</v>
      </c>
      <c r="K1368" s="1" t="s">
        <v>1408</v>
      </c>
      <c r="L1368" s="1">
        <v>234520</v>
      </c>
      <c r="M1368" s="1" t="s">
        <v>449</v>
      </c>
      <c r="N1368" s="1" t="s">
        <v>149</v>
      </c>
      <c r="O1368" s="1"/>
      <c r="P1368" s="1"/>
      <c r="Q1368" s="62"/>
    </row>
    <row r="1369" spans="1:19" x14ac:dyDescent="0.25">
      <c r="A1369" t="s">
        <v>2159</v>
      </c>
      <c r="B1369" s="52" t="s">
        <v>2160</v>
      </c>
      <c r="C1369" t="s">
        <v>222</v>
      </c>
      <c r="D1369" t="s">
        <v>57</v>
      </c>
      <c r="E1369" t="s">
        <v>27</v>
      </c>
      <c r="F1369">
        <v>1900</v>
      </c>
      <c r="G1369">
        <v>1900</v>
      </c>
      <c r="H1369">
        <v>3000</v>
      </c>
      <c r="I1369" s="1">
        <f t="shared" si="29"/>
        <v>10830</v>
      </c>
      <c r="J1369" s="1">
        <v>200</v>
      </c>
      <c r="K1369" s="1" t="s">
        <v>1408</v>
      </c>
      <c r="L1369" s="1">
        <v>2166000</v>
      </c>
      <c r="M1369" s="1" t="s">
        <v>449</v>
      </c>
      <c r="N1369" s="1" t="s">
        <v>149</v>
      </c>
      <c r="O1369" s="1"/>
      <c r="P1369" s="1"/>
      <c r="Q1369" s="62"/>
    </row>
    <row r="1370" spans="1:19" x14ac:dyDescent="0.25">
      <c r="A1370" t="s">
        <v>2162</v>
      </c>
      <c r="B1370" s="52" t="s">
        <v>2160</v>
      </c>
      <c r="C1370" t="s">
        <v>222</v>
      </c>
      <c r="D1370" t="s">
        <v>57</v>
      </c>
      <c r="E1370" t="s">
        <v>27</v>
      </c>
      <c r="F1370">
        <v>1900</v>
      </c>
      <c r="G1370">
        <v>1900</v>
      </c>
      <c r="H1370">
        <v>6000</v>
      </c>
      <c r="I1370" s="1">
        <f t="shared" si="29"/>
        <v>21660</v>
      </c>
      <c r="J1370" s="1">
        <v>190</v>
      </c>
      <c r="K1370" s="1" t="s">
        <v>1408</v>
      </c>
      <c r="L1370" s="1">
        <v>4115400</v>
      </c>
      <c r="M1370" s="1" t="s">
        <v>449</v>
      </c>
      <c r="N1370" s="1" t="s">
        <v>149</v>
      </c>
      <c r="O1370" s="1"/>
      <c r="P1370" s="1"/>
      <c r="Q1370" s="62"/>
    </row>
    <row r="1371" spans="1:19" x14ac:dyDescent="0.25">
      <c r="A1371" t="s">
        <v>2161</v>
      </c>
      <c r="B1371" s="55" t="s">
        <v>2164</v>
      </c>
      <c r="C1371" t="s">
        <v>1485</v>
      </c>
      <c r="D1371" t="s">
        <v>336</v>
      </c>
      <c r="E1371" t="s">
        <v>27</v>
      </c>
      <c r="F1371">
        <v>778</v>
      </c>
      <c r="G1371">
        <v>634</v>
      </c>
      <c r="H1371">
        <v>200</v>
      </c>
      <c r="I1371" s="1">
        <f t="shared" si="29"/>
        <v>98.650400000000005</v>
      </c>
      <c r="J1371" s="1">
        <v>289</v>
      </c>
      <c r="K1371" s="1">
        <v>2528</v>
      </c>
      <c r="L1371" s="1"/>
      <c r="M1371" s="1" t="s">
        <v>449</v>
      </c>
      <c r="N1371" s="1" t="s">
        <v>149</v>
      </c>
      <c r="O1371" s="1"/>
      <c r="P1371" s="1"/>
      <c r="Q1371" s="62"/>
    </row>
    <row r="1372" spans="1:19" x14ac:dyDescent="0.25">
      <c r="A1372" t="s">
        <v>2163</v>
      </c>
      <c r="B1372" s="52">
        <v>46057</v>
      </c>
      <c r="C1372" t="s">
        <v>1166</v>
      </c>
      <c r="D1372" t="s">
        <v>100</v>
      </c>
      <c r="E1372" t="s">
        <v>27</v>
      </c>
      <c r="F1372">
        <v>1000</v>
      </c>
      <c r="G1372">
        <v>1000</v>
      </c>
      <c r="H1372">
        <v>5</v>
      </c>
      <c r="I1372" s="1">
        <f t="shared" si="29"/>
        <v>5</v>
      </c>
      <c r="J1372" s="1">
        <v>400</v>
      </c>
      <c r="K1372" s="1">
        <v>125</v>
      </c>
      <c r="L1372" s="1">
        <v>2500</v>
      </c>
      <c r="M1372" s="1" t="s">
        <v>149</v>
      </c>
      <c r="N1372" s="1"/>
      <c r="O1372" s="1"/>
      <c r="P1372" s="1"/>
      <c r="Q1372" s="62"/>
    </row>
    <row r="1373" spans="1:19" x14ac:dyDescent="0.25">
      <c r="A1373" t="s">
        <v>2165</v>
      </c>
      <c r="B1373" s="52">
        <v>46057</v>
      </c>
      <c r="C1373" t="s">
        <v>1265</v>
      </c>
      <c r="D1373" t="s">
        <v>42</v>
      </c>
      <c r="E1373" t="s">
        <v>27</v>
      </c>
      <c r="F1373">
        <v>379</v>
      </c>
      <c r="G1373">
        <v>379</v>
      </c>
      <c r="H1373">
        <v>600</v>
      </c>
      <c r="I1373" s="1">
        <f t="shared" si="29"/>
        <v>86.184600000000003</v>
      </c>
      <c r="J1373" s="1">
        <v>337</v>
      </c>
      <c r="K1373" s="1">
        <v>4309</v>
      </c>
      <c r="L1373" s="1">
        <v>33351.660000000003</v>
      </c>
      <c r="M1373" s="1" t="s">
        <v>149</v>
      </c>
      <c r="N1373" s="1"/>
      <c r="O1373" s="1"/>
      <c r="P1373" s="1" t="s">
        <v>149</v>
      </c>
      <c r="Q1373" s="62">
        <v>46057</v>
      </c>
    </row>
    <row r="1374" spans="1:19" x14ac:dyDescent="0.25">
      <c r="A1374" t="s">
        <v>2166</v>
      </c>
      <c r="B1374" s="52">
        <v>46059</v>
      </c>
      <c r="C1374" t="s">
        <v>1960</v>
      </c>
      <c r="D1374" t="s">
        <v>31</v>
      </c>
      <c r="E1374" t="s">
        <v>27</v>
      </c>
      <c r="F1374">
        <v>631</v>
      </c>
      <c r="G1374">
        <v>631</v>
      </c>
      <c r="H1374">
        <v>60</v>
      </c>
      <c r="I1374" s="1">
        <f t="shared" ref="I1374:I1376" si="30">$F1374*$G1374*$H1374/1000000</f>
        <v>23.889659999999999</v>
      </c>
      <c r="J1374" s="1">
        <v>337</v>
      </c>
      <c r="K1374" s="1">
        <v>1194.5</v>
      </c>
      <c r="L1374" s="1">
        <v>9245.43</v>
      </c>
      <c r="M1374" s="1" t="s">
        <v>149</v>
      </c>
      <c r="N1374" s="1"/>
      <c r="O1374" s="1"/>
      <c r="P1374" s="1"/>
      <c r="Q1374" s="62"/>
    </row>
    <row r="1375" spans="1:19" x14ac:dyDescent="0.25">
      <c r="A1375" t="s">
        <v>2167</v>
      </c>
      <c r="B1375" s="52">
        <v>46059</v>
      </c>
      <c r="C1375" t="s">
        <v>1546</v>
      </c>
      <c r="D1375" t="s">
        <v>100</v>
      </c>
      <c r="E1375" t="s">
        <v>27</v>
      </c>
      <c r="F1375">
        <v>1000</v>
      </c>
      <c r="G1375">
        <v>1000</v>
      </c>
      <c r="H1375">
        <v>5</v>
      </c>
      <c r="I1375" s="1">
        <f t="shared" si="30"/>
        <v>5</v>
      </c>
      <c r="J1375" s="1">
        <v>400</v>
      </c>
      <c r="K1375" s="1">
        <v>125</v>
      </c>
      <c r="L1375" s="1">
        <v>2500</v>
      </c>
      <c r="M1375" s="1" t="s">
        <v>149</v>
      </c>
      <c r="N1375" s="1"/>
      <c r="O1375" s="1"/>
      <c r="P1375" s="1"/>
      <c r="Q1375" s="62"/>
    </row>
    <row r="1376" spans="1:19" x14ac:dyDescent="0.25">
      <c r="A1376" t="s">
        <v>2168</v>
      </c>
      <c r="B1376" s="52">
        <v>46059</v>
      </c>
      <c r="C1376" t="s">
        <v>1525</v>
      </c>
      <c r="D1376" t="s">
        <v>83</v>
      </c>
      <c r="E1376" t="s">
        <v>32</v>
      </c>
      <c r="F1376">
        <v>1000</v>
      </c>
      <c r="G1376">
        <v>1000</v>
      </c>
      <c r="H1376">
        <v>5</v>
      </c>
      <c r="I1376" s="1">
        <f t="shared" si="30"/>
        <v>5</v>
      </c>
      <c r="J1376" s="1">
        <v>600</v>
      </c>
      <c r="K1376" s="1">
        <v>375</v>
      </c>
      <c r="L1376" s="1">
        <v>3650</v>
      </c>
      <c r="M1376" s="1" t="s">
        <v>149</v>
      </c>
      <c r="N1376" s="1"/>
      <c r="O1376" s="1"/>
      <c r="P1376" s="1"/>
      <c r="Q1376" s="62"/>
    </row>
    <row r="1377" spans="1:23" x14ac:dyDescent="0.25">
      <c r="A1377" t="s">
        <v>2169</v>
      </c>
      <c r="B1377" s="52">
        <v>46059</v>
      </c>
      <c r="C1377" t="s">
        <v>1960</v>
      </c>
      <c r="D1377" t="s">
        <v>31</v>
      </c>
      <c r="E1377" t="s">
        <v>27</v>
      </c>
      <c r="F1377">
        <v>631</v>
      </c>
      <c r="G1377">
        <v>631</v>
      </c>
      <c r="H1377">
        <v>250</v>
      </c>
      <c r="I1377" s="1">
        <f t="shared" ref="I1377:I1382" si="31">$F1377*$G1377*$H1377/1000000</f>
        <v>99.54025</v>
      </c>
      <c r="J1377" s="1">
        <v>289</v>
      </c>
      <c r="K1377" s="1">
        <v>2491</v>
      </c>
      <c r="L1377" s="1">
        <v>31255.56</v>
      </c>
      <c r="M1377" s="1" t="s">
        <v>149</v>
      </c>
      <c r="N1377" s="1"/>
      <c r="O1377" s="1"/>
      <c r="P1377" s="1"/>
      <c r="Q1377" s="62"/>
    </row>
    <row r="1378" spans="1:23" x14ac:dyDescent="0.25">
      <c r="A1378" t="s">
        <v>2171</v>
      </c>
      <c r="B1378" s="52">
        <v>46059</v>
      </c>
      <c r="C1378" t="s">
        <v>2170</v>
      </c>
      <c r="D1378" t="s">
        <v>187</v>
      </c>
      <c r="E1378" t="s">
        <v>27</v>
      </c>
      <c r="F1378">
        <v>1000</v>
      </c>
      <c r="G1378">
        <v>1000</v>
      </c>
      <c r="H1378">
        <v>5</v>
      </c>
      <c r="I1378" s="1">
        <f t="shared" si="31"/>
        <v>5</v>
      </c>
      <c r="J1378" s="1">
        <v>400</v>
      </c>
      <c r="K1378" s="1">
        <v>375</v>
      </c>
      <c r="L1378" s="1">
        <v>2500</v>
      </c>
      <c r="M1378" s="1" t="s">
        <v>149</v>
      </c>
      <c r="N1378" s="1"/>
      <c r="O1378" s="1"/>
      <c r="P1378" s="1"/>
      <c r="Q1378" s="62"/>
    </row>
    <row r="1379" spans="1:23" x14ac:dyDescent="0.25">
      <c r="A1379" t="s">
        <v>2172</v>
      </c>
      <c r="B1379" s="52">
        <v>46062</v>
      </c>
      <c r="C1379" t="s">
        <v>1912</v>
      </c>
      <c r="D1379" t="s">
        <v>46</v>
      </c>
      <c r="E1379" t="s">
        <v>27</v>
      </c>
      <c r="F1379">
        <v>1720</v>
      </c>
      <c r="G1379">
        <v>1720</v>
      </c>
      <c r="H1379">
        <v>330</v>
      </c>
      <c r="I1379" s="1">
        <f t="shared" si="31"/>
        <v>976.27200000000005</v>
      </c>
      <c r="J1379" s="1">
        <v>195</v>
      </c>
      <c r="K1379" s="1">
        <v>14644.05</v>
      </c>
      <c r="L1379" s="1">
        <v>205016.7</v>
      </c>
      <c r="M1379" s="1" t="s">
        <v>449</v>
      </c>
      <c r="N1379" s="1" t="s">
        <v>149</v>
      </c>
      <c r="O1379" s="1"/>
      <c r="P1379" s="1"/>
      <c r="Q1379" s="62"/>
      <c r="T1379" s="3">
        <v>46062</v>
      </c>
      <c r="U1379">
        <v>195</v>
      </c>
      <c r="V1379">
        <v>0</v>
      </c>
      <c r="W1379" s="1">
        <v>190372.65</v>
      </c>
    </row>
    <row r="1380" spans="1:23" x14ac:dyDescent="0.25">
      <c r="A1380" t="s">
        <v>2173</v>
      </c>
      <c r="B1380" s="52">
        <v>46063</v>
      </c>
      <c r="C1380" t="s">
        <v>1417</v>
      </c>
      <c r="D1380" t="s">
        <v>157</v>
      </c>
      <c r="E1380" t="s">
        <v>27</v>
      </c>
      <c r="F1380">
        <v>1700</v>
      </c>
      <c r="G1380">
        <v>1700</v>
      </c>
      <c r="H1380">
        <v>9</v>
      </c>
      <c r="I1380" s="1">
        <f t="shared" si="31"/>
        <v>26.01</v>
      </c>
      <c r="J1380" s="1">
        <v>337</v>
      </c>
      <c r="K1380" s="1">
        <v>1300.5</v>
      </c>
      <c r="L1380" s="1">
        <f>Table13[[#This Row],[Total sqm]]*Table13[[#This Row],[Eur /m2]]+Table13[[#This Row],[F P H]]</f>
        <v>10065.870000000001</v>
      </c>
      <c r="M1380" s="1" t="s">
        <v>149</v>
      </c>
      <c r="N1380" s="1"/>
      <c r="O1380" s="1"/>
      <c r="P1380" s="1" t="s">
        <v>149</v>
      </c>
      <c r="Q1380" s="62">
        <v>46070</v>
      </c>
    </row>
    <row r="1381" spans="1:23" x14ac:dyDescent="0.25">
      <c r="A1381" t="s">
        <v>2174</v>
      </c>
      <c r="B1381" s="52">
        <v>46063</v>
      </c>
      <c r="C1381" t="s">
        <v>1417</v>
      </c>
      <c r="D1381" t="s">
        <v>157</v>
      </c>
      <c r="E1381" t="s">
        <v>27</v>
      </c>
      <c r="F1381">
        <v>1700</v>
      </c>
      <c r="G1381">
        <v>1700</v>
      </c>
      <c r="H1381">
        <v>34</v>
      </c>
      <c r="I1381" s="1">
        <f t="shared" si="31"/>
        <v>98.26</v>
      </c>
      <c r="J1381" s="1">
        <v>337</v>
      </c>
      <c r="K1381" s="1">
        <v>4913</v>
      </c>
      <c r="L1381" s="1">
        <f>Table13[[#This Row],[Total sqm]]*Table13[[#This Row],[Eur /m2]]+Table13[[#This Row],[F P H]]</f>
        <v>38026.620000000003</v>
      </c>
      <c r="M1381" s="1" t="s">
        <v>149</v>
      </c>
      <c r="N1381" s="1"/>
      <c r="O1381" s="1"/>
      <c r="P1381" s="1"/>
      <c r="Q1381" s="62"/>
    </row>
    <row r="1382" spans="1:23" x14ac:dyDescent="0.25">
      <c r="A1382" t="s">
        <v>2175</v>
      </c>
      <c r="B1382" s="52" t="s">
        <v>124</v>
      </c>
      <c r="C1382" t="s">
        <v>1417</v>
      </c>
      <c r="D1382" t="s">
        <v>157</v>
      </c>
      <c r="E1382" t="s">
        <v>27</v>
      </c>
      <c r="F1382">
        <v>1700</v>
      </c>
      <c r="G1382">
        <v>1700</v>
      </c>
      <c r="H1382">
        <f>9+34</f>
        <v>43</v>
      </c>
      <c r="I1382" s="1">
        <f t="shared" si="31"/>
        <v>124.27</v>
      </c>
      <c r="J1382" s="1">
        <v>289</v>
      </c>
      <c r="K1382" s="1">
        <v>3106.75</v>
      </c>
      <c r="L1382" s="1">
        <f>Table13[[#This Row],[Total sqm]]*Table13[[#This Row],[Eur /m2]]+3106.75</f>
        <v>39020.78</v>
      </c>
      <c r="M1382" s="1" t="s">
        <v>149</v>
      </c>
      <c r="N1382" s="1"/>
      <c r="O1382" s="1"/>
      <c r="P1382" s="1"/>
      <c r="Q1382" s="62"/>
    </row>
    <row r="1383" spans="1:23" x14ac:dyDescent="0.25">
      <c r="A1383" t="s">
        <v>2176</v>
      </c>
      <c r="B1383" s="52">
        <v>46063</v>
      </c>
      <c r="C1383" t="s">
        <v>2177</v>
      </c>
      <c r="D1383" t="s">
        <v>276</v>
      </c>
      <c r="E1383" t="s">
        <v>27</v>
      </c>
      <c r="F1383">
        <v>1000</v>
      </c>
      <c r="G1383">
        <v>1000</v>
      </c>
      <c r="H1383">
        <v>5</v>
      </c>
      <c r="I1383" s="1">
        <f t="shared" ref="I1383:I1385" si="32">$F1383*$G1383*$H1383/1000000</f>
        <v>5</v>
      </c>
      <c r="J1383" s="1">
        <v>400</v>
      </c>
      <c r="K1383" s="1">
        <v>75</v>
      </c>
      <c r="L1383" s="1">
        <v>2450</v>
      </c>
      <c r="M1383" s="1" t="s">
        <v>149</v>
      </c>
      <c r="N1383" s="1"/>
      <c r="O1383" s="1"/>
      <c r="P1383" s="1"/>
      <c r="Q1383" s="62"/>
    </row>
    <row r="1384" spans="1:23" x14ac:dyDescent="0.25">
      <c r="A1384" t="s">
        <v>2178</v>
      </c>
      <c r="B1384" s="52">
        <v>46064</v>
      </c>
      <c r="C1384" t="s">
        <v>1912</v>
      </c>
      <c r="D1384" t="s">
        <v>46</v>
      </c>
      <c r="E1384" t="s">
        <v>27</v>
      </c>
      <c r="F1384">
        <v>1720</v>
      </c>
      <c r="G1384">
        <v>1720</v>
      </c>
      <c r="H1384">
        <v>330</v>
      </c>
      <c r="I1384" s="1">
        <f t="shared" si="32"/>
        <v>976.27200000000005</v>
      </c>
      <c r="J1384" s="1">
        <v>195</v>
      </c>
      <c r="K1384" s="1">
        <v>0</v>
      </c>
      <c r="L1384" s="1">
        <v>190372.65</v>
      </c>
      <c r="M1384" s="1" t="s">
        <v>449</v>
      </c>
      <c r="N1384" s="1" t="s">
        <v>149</v>
      </c>
      <c r="O1384" s="1"/>
      <c r="P1384" s="1" t="s">
        <v>149</v>
      </c>
      <c r="Q1384" s="62">
        <v>46086</v>
      </c>
      <c r="S1384" t="s">
        <v>2179</v>
      </c>
    </row>
    <row r="1385" spans="1:23" x14ac:dyDescent="0.25">
      <c r="A1385" t="s">
        <v>2180</v>
      </c>
      <c r="B1385" s="52">
        <v>46065</v>
      </c>
      <c r="C1385" t="s">
        <v>891</v>
      </c>
      <c r="D1385" t="s">
        <v>57</v>
      </c>
      <c r="E1385" t="s">
        <v>37</v>
      </c>
      <c r="F1385">
        <v>1420</v>
      </c>
      <c r="G1385">
        <v>1250</v>
      </c>
      <c r="H1385">
        <v>60</v>
      </c>
      <c r="I1385" s="1">
        <f t="shared" si="32"/>
        <v>106.5</v>
      </c>
      <c r="J1385" s="1">
        <v>250</v>
      </c>
      <c r="K1385" s="1" t="s">
        <v>1408</v>
      </c>
      <c r="L1385" s="1">
        <v>27055</v>
      </c>
      <c r="M1385" s="1" t="s">
        <v>449</v>
      </c>
      <c r="N1385" s="1" t="s">
        <v>149</v>
      </c>
      <c r="O1385" s="1"/>
      <c r="P1385" s="1"/>
      <c r="Q1385" s="62"/>
    </row>
    <row r="1386" spans="1:23" x14ac:dyDescent="0.25">
      <c r="A1386" t="s">
        <v>2185</v>
      </c>
      <c r="B1386" s="52">
        <v>46065</v>
      </c>
      <c r="C1386" t="s">
        <v>1539</v>
      </c>
      <c r="D1386" t="s">
        <v>283</v>
      </c>
      <c r="E1386" t="s">
        <v>27</v>
      </c>
      <c r="F1386">
        <v>1000</v>
      </c>
      <c r="G1386">
        <v>1000</v>
      </c>
      <c r="H1386">
        <v>5</v>
      </c>
      <c r="I1386" s="1">
        <f t="shared" ref="I1386:I1394" si="33">$F1386*$G1386*$H1386/1000000</f>
        <v>5</v>
      </c>
      <c r="J1386" s="1">
        <v>400</v>
      </c>
      <c r="K1386" s="1">
        <v>375</v>
      </c>
      <c r="L1386" s="1">
        <v>2500</v>
      </c>
      <c r="M1386" s="1" t="s">
        <v>149</v>
      </c>
      <c r="N1386" s="1"/>
      <c r="O1386" s="1"/>
      <c r="P1386" s="1"/>
      <c r="Q1386" s="62"/>
    </row>
    <row r="1387" spans="1:23" x14ac:dyDescent="0.25">
      <c r="A1387" t="s">
        <v>2181</v>
      </c>
      <c r="B1387" s="52" t="s">
        <v>2190</v>
      </c>
      <c r="C1387" t="s">
        <v>222</v>
      </c>
      <c r="D1387" t="s">
        <v>57</v>
      </c>
      <c r="E1387" t="s">
        <v>27</v>
      </c>
      <c r="F1387">
        <v>1900</v>
      </c>
      <c r="G1387">
        <v>1900</v>
      </c>
      <c r="H1387">
        <v>8520</v>
      </c>
      <c r="I1387" s="1">
        <f t="shared" ref="I1387:I1395" si="34">$F1387*$G1387*$H1387/1000000</f>
        <v>30757.200000000001</v>
      </c>
      <c r="J1387" s="1">
        <v>205</v>
      </c>
      <c r="K1387" s="1">
        <v>461358</v>
      </c>
      <c r="L1387" s="1">
        <v>6766584</v>
      </c>
      <c r="M1387" s="1" t="s">
        <v>449</v>
      </c>
      <c r="N1387" s="1" t="s">
        <v>149</v>
      </c>
      <c r="O1387" s="1"/>
      <c r="P1387" s="1"/>
      <c r="Q1387" s="62"/>
    </row>
    <row r="1388" spans="1:23" x14ac:dyDescent="0.25">
      <c r="A1388" t="s">
        <v>2182</v>
      </c>
      <c r="B1388" s="52" t="s">
        <v>2190</v>
      </c>
      <c r="C1388" t="s">
        <v>222</v>
      </c>
      <c r="D1388" t="s">
        <v>57</v>
      </c>
      <c r="E1388" t="s">
        <v>27</v>
      </c>
      <c r="F1388">
        <v>1900</v>
      </c>
      <c r="G1388">
        <v>1900</v>
      </c>
      <c r="H1388">
        <v>17040</v>
      </c>
      <c r="I1388" s="1">
        <f t="shared" si="34"/>
        <v>61514.400000000001</v>
      </c>
      <c r="J1388" s="1">
        <v>195</v>
      </c>
      <c r="K1388" s="1" t="s">
        <v>1408</v>
      </c>
      <c r="L1388" s="1">
        <v>11995308</v>
      </c>
      <c r="M1388" s="1" t="s">
        <v>449</v>
      </c>
      <c r="N1388" s="1" t="s">
        <v>149</v>
      </c>
      <c r="O1388" s="1"/>
      <c r="P1388" s="1"/>
      <c r="Q1388" s="62"/>
    </row>
    <row r="1389" spans="1:23" x14ac:dyDescent="0.25">
      <c r="A1389" t="s">
        <v>2183</v>
      </c>
      <c r="B1389" s="52" t="s">
        <v>2190</v>
      </c>
      <c r="C1389" t="s">
        <v>222</v>
      </c>
      <c r="D1389" t="s">
        <v>57</v>
      </c>
      <c r="E1389" t="s">
        <v>27</v>
      </c>
      <c r="F1389">
        <v>1900</v>
      </c>
      <c r="G1389">
        <v>1900</v>
      </c>
      <c r="H1389">
        <v>42600</v>
      </c>
      <c r="I1389" s="1">
        <f t="shared" si="34"/>
        <v>153786</v>
      </c>
      <c r="J1389" s="1">
        <v>190</v>
      </c>
      <c r="K1389" s="1" t="s">
        <v>1408</v>
      </c>
      <c r="L1389" s="1">
        <v>29219340</v>
      </c>
      <c r="M1389" s="1" t="s">
        <v>449</v>
      </c>
      <c r="N1389" s="1" t="s">
        <v>149</v>
      </c>
      <c r="O1389" s="1"/>
      <c r="P1389" s="1"/>
      <c r="Q1389" s="62"/>
    </row>
    <row r="1390" spans="1:23" ht="15" customHeight="1" x14ac:dyDescent="0.25">
      <c r="A1390" t="s">
        <v>2184</v>
      </c>
      <c r="B1390" s="52" t="s">
        <v>2190</v>
      </c>
      <c r="C1390" t="s">
        <v>222</v>
      </c>
      <c r="D1390" t="s">
        <v>57</v>
      </c>
      <c r="E1390" t="s">
        <v>27</v>
      </c>
      <c r="F1390">
        <v>1900</v>
      </c>
      <c r="G1390">
        <v>1900</v>
      </c>
      <c r="H1390">
        <v>85200</v>
      </c>
      <c r="I1390" s="1">
        <f t="shared" si="34"/>
        <v>307572</v>
      </c>
      <c r="J1390" s="1">
        <v>185</v>
      </c>
      <c r="K1390" s="1" t="s">
        <v>1408</v>
      </c>
      <c r="L1390" s="1">
        <v>56900820</v>
      </c>
      <c r="M1390" s="1" t="s">
        <v>449</v>
      </c>
      <c r="N1390" s="1" t="s">
        <v>149</v>
      </c>
      <c r="O1390" s="1"/>
      <c r="P1390" s="1"/>
      <c r="Q1390" s="62"/>
    </row>
    <row r="1391" spans="1:23" x14ac:dyDescent="0.25">
      <c r="A1391" t="s">
        <v>2186</v>
      </c>
      <c r="B1391" s="52">
        <v>46065</v>
      </c>
      <c r="C1391" t="s">
        <v>1539</v>
      </c>
      <c r="D1391" t="s">
        <v>283</v>
      </c>
      <c r="E1391" t="s">
        <v>37</v>
      </c>
      <c r="F1391">
        <v>1000</v>
      </c>
      <c r="G1391">
        <v>1000</v>
      </c>
      <c r="H1391">
        <v>5</v>
      </c>
      <c r="I1391" s="1">
        <f t="shared" si="34"/>
        <v>5</v>
      </c>
      <c r="J1391" s="1">
        <v>500</v>
      </c>
      <c r="K1391" s="1">
        <v>375</v>
      </c>
      <c r="L1391" s="1">
        <v>3000</v>
      </c>
      <c r="M1391" s="1" t="s">
        <v>149</v>
      </c>
      <c r="N1391" s="1"/>
      <c r="O1391" s="1"/>
      <c r="P1391" s="1"/>
      <c r="Q1391" s="62"/>
    </row>
    <row r="1392" spans="1:23" x14ac:dyDescent="0.25">
      <c r="A1392" t="s">
        <v>2187</v>
      </c>
      <c r="B1392" s="52">
        <v>46066</v>
      </c>
      <c r="C1392" t="s">
        <v>2188</v>
      </c>
      <c r="D1392" t="s">
        <v>2189</v>
      </c>
      <c r="E1392" t="s">
        <v>32</v>
      </c>
      <c r="F1392">
        <v>1000</v>
      </c>
      <c r="G1392">
        <v>1000</v>
      </c>
      <c r="H1392">
        <v>5</v>
      </c>
      <c r="I1392" s="1">
        <f t="shared" si="34"/>
        <v>5</v>
      </c>
      <c r="J1392" s="1">
        <v>600</v>
      </c>
      <c r="K1392" s="1">
        <v>375</v>
      </c>
      <c r="L1392" s="1">
        <v>3650</v>
      </c>
      <c r="M1392" s="1" t="s">
        <v>149</v>
      </c>
      <c r="N1392" s="1"/>
      <c r="O1392" s="1"/>
      <c r="P1392" s="1"/>
      <c r="Q1392" s="62"/>
    </row>
    <row r="1393" spans="1:19" x14ac:dyDescent="0.25">
      <c r="A1393" t="s">
        <v>2191</v>
      </c>
      <c r="B1393" s="52">
        <v>46069</v>
      </c>
      <c r="C1393" t="s">
        <v>1047</v>
      </c>
      <c r="D1393" t="s">
        <v>1994</v>
      </c>
      <c r="E1393" t="s">
        <v>32</v>
      </c>
      <c r="F1393">
        <v>1000</v>
      </c>
      <c r="G1393">
        <v>1000</v>
      </c>
      <c r="H1393">
        <v>20</v>
      </c>
      <c r="I1393" s="1">
        <f t="shared" si="34"/>
        <v>20</v>
      </c>
      <c r="J1393" s="1">
        <v>544.08000000000004</v>
      </c>
      <c r="K1393" s="1">
        <v>1500</v>
      </c>
      <c r="L1393" s="1">
        <f>90+1500+(Table13[[#This Row],[Eur /m2]]*Table13[[#This Row],[Total sqm]])</f>
        <v>12471.6</v>
      </c>
      <c r="M1393" s="1" t="s">
        <v>149</v>
      </c>
      <c r="N1393" s="1"/>
      <c r="O1393" s="1"/>
      <c r="P1393" s="1"/>
      <c r="Q1393" s="62"/>
    </row>
    <row r="1394" spans="1:19" x14ac:dyDescent="0.25">
      <c r="A1394" t="s">
        <v>2192</v>
      </c>
      <c r="B1394" s="52">
        <v>46070</v>
      </c>
      <c r="C1394" t="s">
        <v>1459</v>
      </c>
      <c r="D1394" t="s">
        <v>26</v>
      </c>
      <c r="E1394" t="s">
        <v>27</v>
      </c>
      <c r="F1394">
        <v>1000</v>
      </c>
      <c r="G1394">
        <v>1000</v>
      </c>
      <c r="H1394">
        <v>5</v>
      </c>
      <c r="I1394" s="1">
        <f t="shared" si="33"/>
        <v>5</v>
      </c>
      <c r="J1394" s="1">
        <v>400</v>
      </c>
      <c r="K1394" s="1">
        <v>375</v>
      </c>
      <c r="L1394" s="1">
        <v>2500</v>
      </c>
      <c r="M1394" s="1" t="s">
        <v>149</v>
      </c>
      <c r="N1394" s="1"/>
      <c r="O1394" s="1"/>
      <c r="P1394" s="1"/>
      <c r="Q1394" s="62"/>
    </row>
    <row r="1395" spans="1:19" x14ac:dyDescent="0.25">
      <c r="A1395" t="s">
        <v>2193</v>
      </c>
      <c r="B1395" s="52">
        <v>46071</v>
      </c>
      <c r="C1395" t="s">
        <v>1047</v>
      </c>
      <c r="D1395" t="s">
        <v>1994</v>
      </c>
      <c r="E1395" t="s">
        <v>32</v>
      </c>
      <c r="F1395">
        <v>1000</v>
      </c>
      <c r="G1395">
        <v>1000</v>
      </c>
      <c r="H1395">
        <v>10</v>
      </c>
      <c r="I1395" s="1">
        <f t="shared" si="34"/>
        <v>10</v>
      </c>
      <c r="J1395" s="1">
        <v>555</v>
      </c>
      <c r="K1395" s="1">
        <v>750</v>
      </c>
      <c r="L1395" s="1">
        <f>Table13[[#This Row],[Eur /m2]]*Table13[[#This Row],[Total sqm]]+Table13[[#This Row],[F P H]]+550</f>
        <v>6850</v>
      </c>
      <c r="M1395" s="1" t="s">
        <v>149</v>
      </c>
      <c r="N1395" s="1"/>
      <c r="O1395" s="1"/>
      <c r="P1395" s="1"/>
      <c r="Q1395" s="62"/>
    </row>
    <row r="1396" spans="1:19" x14ac:dyDescent="0.25">
      <c r="A1396" t="s">
        <v>2194</v>
      </c>
      <c r="B1396" s="52">
        <v>46072</v>
      </c>
      <c r="C1396" t="s">
        <v>2196</v>
      </c>
      <c r="D1396" t="s">
        <v>1994</v>
      </c>
      <c r="E1396" t="s">
        <v>27</v>
      </c>
      <c r="F1396">
        <v>1000</v>
      </c>
      <c r="G1396">
        <v>1000</v>
      </c>
      <c r="H1396">
        <v>5</v>
      </c>
      <c r="I1396" s="1">
        <f t="shared" ref="I1396:I1397" si="35">$F1396*$G1396*$H1396/1000000</f>
        <v>5</v>
      </c>
      <c r="J1396" s="1">
        <v>400</v>
      </c>
      <c r="K1396" s="1">
        <v>375</v>
      </c>
      <c r="L1396" s="1">
        <v>2450</v>
      </c>
      <c r="M1396" s="1" t="s">
        <v>149</v>
      </c>
      <c r="N1396" s="1"/>
      <c r="O1396" s="1"/>
      <c r="P1396" s="1"/>
      <c r="Q1396" s="62"/>
    </row>
    <row r="1397" spans="1:19" x14ac:dyDescent="0.25">
      <c r="A1397" t="s">
        <v>2195</v>
      </c>
      <c r="B1397" s="52">
        <v>46072</v>
      </c>
      <c r="C1397" t="s">
        <v>2196</v>
      </c>
      <c r="D1397" t="s">
        <v>1994</v>
      </c>
      <c r="E1397" t="s">
        <v>27</v>
      </c>
      <c r="F1397">
        <v>119</v>
      </c>
      <c r="G1397">
        <v>105</v>
      </c>
      <c r="H1397">
        <v>3131</v>
      </c>
      <c r="I1397" s="1">
        <f t="shared" si="35"/>
        <v>39.121845</v>
      </c>
      <c r="J1397" s="1">
        <v>337</v>
      </c>
      <c r="K1397" s="1">
        <v>1956</v>
      </c>
      <c r="L1397" s="1">
        <v>15139.44</v>
      </c>
      <c r="M1397" s="1" t="s">
        <v>149</v>
      </c>
      <c r="N1397" s="1"/>
      <c r="O1397" s="1"/>
      <c r="P1397" s="1"/>
      <c r="Q1397" s="62"/>
    </row>
    <row r="1398" spans="1:19" x14ac:dyDescent="0.25">
      <c r="A1398" t="s">
        <v>2197</v>
      </c>
      <c r="B1398" s="52">
        <v>46072</v>
      </c>
      <c r="C1398" t="s">
        <v>2196</v>
      </c>
      <c r="D1398" t="s">
        <v>1994</v>
      </c>
      <c r="E1398" t="s">
        <v>27</v>
      </c>
      <c r="F1398">
        <v>119</v>
      </c>
      <c r="G1398">
        <v>105</v>
      </c>
      <c r="H1398">
        <v>3240000</v>
      </c>
      <c r="I1398" s="1">
        <f>$F1398*$G1398*$H1398/1000000</f>
        <v>40483.800000000003</v>
      </c>
      <c r="J1398" s="1">
        <v>194</v>
      </c>
      <c r="K1398" s="1">
        <f>25*Table13[[#This Row],[Total sqm]]</f>
        <v>1012095.0000000001</v>
      </c>
      <c r="L1398" s="1">
        <f>Table13[[#This Row],[F P H]]+(Table13[[#This Row],[Eur /m2]]*Table13[[#This Row],[Total sqm]])</f>
        <v>8865952.2000000011</v>
      </c>
      <c r="M1398" s="1" t="s">
        <v>149</v>
      </c>
      <c r="N1398" s="1"/>
      <c r="O1398" s="1"/>
      <c r="P1398" s="1"/>
      <c r="Q1398" s="62"/>
    </row>
    <row r="1399" spans="1:19" x14ac:dyDescent="0.25">
      <c r="A1399" t="s">
        <v>2198</v>
      </c>
      <c r="B1399" s="52">
        <v>46078</v>
      </c>
      <c r="C1399" t="s">
        <v>2201</v>
      </c>
      <c r="D1399" t="s">
        <v>100</v>
      </c>
      <c r="E1399" t="s">
        <v>27</v>
      </c>
      <c r="F1399">
        <v>1000</v>
      </c>
      <c r="G1399">
        <v>1000</v>
      </c>
      <c r="H1399">
        <v>5</v>
      </c>
      <c r="I1399" s="1">
        <f t="shared" ref="I1399:I1402" si="36">$F1399*$G1399*$H1399/1000000</f>
        <v>5</v>
      </c>
      <c r="J1399" s="1">
        <v>400</v>
      </c>
      <c r="K1399" s="1">
        <v>375</v>
      </c>
      <c r="L1399" s="1">
        <v>2500</v>
      </c>
      <c r="M1399" s="1" t="s">
        <v>149</v>
      </c>
      <c r="N1399" s="1"/>
      <c r="O1399" s="1"/>
      <c r="P1399" s="1"/>
      <c r="Q1399" s="62"/>
    </row>
    <row r="1400" spans="1:19" x14ac:dyDescent="0.25">
      <c r="A1400" t="s">
        <v>2199</v>
      </c>
      <c r="B1400" s="52">
        <v>46078</v>
      </c>
      <c r="C1400" t="s">
        <v>2201</v>
      </c>
      <c r="D1400" t="s">
        <v>100</v>
      </c>
      <c r="E1400" t="s">
        <v>37</v>
      </c>
      <c r="F1400">
        <v>1000</v>
      </c>
      <c r="G1400">
        <v>1000</v>
      </c>
      <c r="H1400">
        <v>5</v>
      </c>
      <c r="I1400" s="1">
        <f t="shared" si="36"/>
        <v>5</v>
      </c>
      <c r="J1400" s="1">
        <v>500</v>
      </c>
      <c r="K1400" s="1">
        <v>375</v>
      </c>
      <c r="L1400" s="1">
        <v>3000</v>
      </c>
      <c r="M1400" s="1" t="s">
        <v>149</v>
      </c>
      <c r="N1400" s="1"/>
      <c r="O1400" s="1"/>
      <c r="P1400" s="1"/>
      <c r="Q1400" s="62"/>
    </row>
    <row r="1401" spans="1:19" x14ac:dyDescent="0.25">
      <c r="A1401" t="s">
        <v>2200</v>
      </c>
      <c r="B1401" s="52">
        <v>46078</v>
      </c>
      <c r="C1401" t="s">
        <v>2201</v>
      </c>
      <c r="D1401" t="s">
        <v>100</v>
      </c>
      <c r="E1401" t="s">
        <v>32</v>
      </c>
      <c r="F1401">
        <v>1000</v>
      </c>
      <c r="G1401">
        <v>1000</v>
      </c>
      <c r="H1401">
        <v>5</v>
      </c>
      <c r="I1401" s="1">
        <f t="shared" si="36"/>
        <v>5</v>
      </c>
      <c r="J1401" s="1">
        <v>600</v>
      </c>
      <c r="K1401" s="1">
        <v>375</v>
      </c>
      <c r="L1401" s="1">
        <v>3650</v>
      </c>
      <c r="M1401" s="1" t="s">
        <v>149</v>
      </c>
      <c r="N1401" s="1"/>
      <c r="O1401" s="1"/>
      <c r="P1401" s="1"/>
      <c r="Q1401" s="62"/>
    </row>
    <row r="1402" spans="1:19" x14ac:dyDescent="0.25">
      <c r="A1402" t="s">
        <v>2202</v>
      </c>
      <c r="B1402" s="52">
        <v>46078</v>
      </c>
      <c r="C1402" t="s">
        <v>1003</v>
      </c>
      <c r="D1402" t="s">
        <v>283</v>
      </c>
      <c r="E1402" t="s">
        <v>32</v>
      </c>
      <c r="F1402">
        <v>1000</v>
      </c>
      <c r="G1402">
        <v>1000</v>
      </c>
      <c r="H1402">
        <v>5</v>
      </c>
      <c r="I1402" s="1">
        <f t="shared" si="36"/>
        <v>5</v>
      </c>
      <c r="J1402" s="1">
        <v>600</v>
      </c>
      <c r="K1402" s="1">
        <v>375</v>
      </c>
      <c r="L1402" s="1">
        <v>3650</v>
      </c>
      <c r="M1402" s="1" t="s">
        <v>149</v>
      </c>
      <c r="N1402" s="1"/>
      <c r="O1402" s="1"/>
      <c r="P1402" s="1"/>
      <c r="Q1402" s="62"/>
    </row>
    <row r="1403" spans="1:19" x14ac:dyDescent="0.25">
      <c r="A1403" t="s">
        <v>2203</v>
      </c>
      <c r="B1403" s="52">
        <v>46078</v>
      </c>
      <c r="C1403" t="s">
        <v>115</v>
      </c>
      <c r="D1403" t="s">
        <v>31</v>
      </c>
      <c r="E1403" t="s">
        <v>2204</v>
      </c>
      <c r="F1403">
        <v>2410</v>
      </c>
      <c r="G1403">
        <v>1262</v>
      </c>
      <c r="H1403">
        <v>25</v>
      </c>
      <c r="I1403" s="1">
        <f t="shared" ref="I1403:I1404" si="37">$F1403*$G1403*$H1403/1000000</f>
        <v>76.035499999999999</v>
      </c>
      <c r="J1403" s="1">
        <v>371</v>
      </c>
      <c r="K1403" s="1">
        <v>3994</v>
      </c>
      <c r="L1403" s="1">
        <v>32203</v>
      </c>
      <c r="M1403" s="1" t="s">
        <v>449</v>
      </c>
      <c r="N1403" s="1" t="s">
        <v>149</v>
      </c>
      <c r="O1403" s="1"/>
      <c r="P1403" s="1"/>
      <c r="Q1403" s="62"/>
      <c r="S1403" t="s">
        <v>2206</v>
      </c>
    </row>
    <row r="1404" spans="1:19" x14ac:dyDescent="0.25">
      <c r="A1404" t="s">
        <v>2205</v>
      </c>
      <c r="B1404" s="52">
        <v>46078</v>
      </c>
      <c r="C1404" t="s">
        <v>1161</v>
      </c>
      <c r="D1404" t="s">
        <v>46</v>
      </c>
      <c r="E1404" t="s">
        <v>27</v>
      </c>
      <c r="F1404">
        <v>380</v>
      </c>
      <c r="G1404">
        <v>380</v>
      </c>
      <c r="H1404">
        <v>1000</v>
      </c>
      <c r="I1404" s="1">
        <f t="shared" si="37"/>
        <v>144.4</v>
      </c>
      <c r="J1404" s="1">
        <v>210</v>
      </c>
      <c r="K1404" s="1">
        <v>3610</v>
      </c>
      <c r="L1404" s="1">
        <v>34264</v>
      </c>
      <c r="M1404" s="1" t="s">
        <v>149</v>
      </c>
      <c r="N1404" s="1"/>
      <c r="O1404" s="1"/>
      <c r="P1404" s="1"/>
      <c r="Q1404" s="62"/>
    </row>
    <row r="1405" spans="1:19" x14ac:dyDescent="0.25">
      <c r="A1405" t="s">
        <v>2207</v>
      </c>
      <c r="B1405" s="52">
        <v>46080</v>
      </c>
      <c r="C1405" t="s">
        <v>2208</v>
      </c>
      <c r="D1405" t="s">
        <v>2209</v>
      </c>
      <c r="E1405" t="s">
        <v>27</v>
      </c>
      <c r="F1405">
        <v>1000</v>
      </c>
      <c r="G1405">
        <v>1000</v>
      </c>
      <c r="H1405">
        <v>5</v>
      </c>
      <c r="I1405" s="1">
        <f t="shared" ref="I1405:I1409" si="38">$F1405*$G1405*$H1405/1000000</f>
        <v>5</v>
      </c>
      <c r="J1405" s="1">
        <v>400</v>
      </c>
      <c r="K1405" s="1">
        <v>375</v>
      </c>
      <c r="L1405" s="1">
        <v>2500</v>
      </c>
      <c r="M1405" s="1" t="s">
        <v>149</v>
      </c>
      <c r="N1405" s="1"/>
      <c r="O1405" s="1"/>
      <c r="P1405" s="1"/>
      <c r="Q1405" s="62"/>
    </row>
    <row r="1406" spans="1:19" x14ac:dyDescent="0.25">
      <c r="A1406" t="s">
        <v>2210</v>
      </c>
      <c r="B1406" s="52">
        <v>46083</v>
      </c>
      <c r="C1406" t="s">
        <v>2211</v>
      </c>
      <c r="D1406" t="s">
        <v>70</v>
      </c>
      <c r="E1406" t="s">
        <v>27</v>
      </c>
      <c r="F1406">
        <v>1000</v>
      </c>
      <c r="G1406">
        <v>1000</v>
      </c>
      <c r="H1406">
        <v>5</v>
      </c>
      <c r="I1406" s="1">
        <f t="shared" si="38"/>
        <v>5</v>
      </c>
      <c r="J1406" s="1">
        <v>400</v>
      </c>
      <c r="K1406" s="1">
        <v>375</v>
      </c>
      <c r="L1406" s="1">
        <v>2450</v>
      </c>
      <c r="M1406" s="1" t="s">
        <v>149</v>
      </c>
      <c r="N1406" s="1"/>
      <c r="O1406" s="1"/>
      <c r="P1406" s="1"/>
      <c r="Q1406" s="62"/>
    </row>
    <row r="1407" spans="1:19" x14ac:dyDescent="0.25">
      <c r="A1407" t="s">
        <v>2212</v>
      </c>
      <c r="B1407" s="52">
        <v>46084</v>
      </c>
      <c r="C1407" t="s">
        <v>2213</v>
      </c>
      <c r="D1407" t="s">
        <v>46</v>
      </c>
      <c r="E1407" t="s">
        <v>27</v>
      </c>
      <c r="F1407">
        <v>1500</v>
      </c>
      <c r="G1407">
        <v>1500</v>
      </c>
      <c r="H1407">
        <v>280</v>
      </c>
      <c r="I1407" s="1">
        <f t="shared" si="38"/>
        <v>630</v>
      </c>
      <c r="J1407" s="1">
        <v>195</v>
      </c>
      <c r="K1407" s="1">
        <v>15750</v>
      </c>
      <c r="L1407" s="1">
        <v>138600</v>
      </c>
      <c r="M1407" s="1" t="s">
        <v>149</v>
      </c>
      <c r="N1407" s="1"/>
      <c r="O1407" s="1"/>
      <c r="P1407" s="1"/>
      <c r="Q1407" s="62"/>
    </row>
    <row r="1408" spans="1:19" x14ac:dyDescent="0.25">
      <c r="A1408" t="s">
        <v>2214</v>
      </c>
      <c r="B1408" s="52">
        <v>46085</v>
      </c>
      <c r="C1408" t="s">
        <v>2106</v>
      </c>
      <c r="D1408" t="s">
        <v>100</v>
      </c>
      <c r="E1408" t="s">
        <v>27</v>
      </c>
      <c r="F1408">
        <v>1020</v>
      </c>
      <c r="G1408">
        <v>1020</v>
      </c>
      <c r="H1408">
        <v>350</v>
      </c>
      <c r="I1408" s="1">
        <f t="shared" si="23"/>
        <v>364.14</v>
      </c>
      <c r="J1408" s="1">
        <v>243</v>
      </c>
      <c r="K1408" s="1">
        <f>25*Table13[[#This Row],[Total sqm]]</f>
        <v>9103.5</v>
      </c>
      <c r="L1408" s="1">
        <v>98479.52</v>
      </c>
      <c r="M1408" s="1" t="s">
        <v>149</v>
      </c>
      <c r="N1408" s="1"/>
      <c r="O1408" s="1"/>
      <c r="P1408" s="1"/>
      <c r="Q1408" s="62"/>
    </row>
    <row r="1409" spans="1:17" x14ac:dyDescent="0.25">
      <c r="A1409" t="s">
        <v>2215</v>
      </c>
      <c r="B1409" s="52">
        <v>46087</v>
      </c>
      <c r="C1409" t="s">
        <v>1697</v>
      </c>
      <c r="D1409" t="s">
        <v>57</v>
      </c>
      <c r="E1409" t="s">
        <v>27</v>
      </c>
      <c r="F1409">
        <v>1850</v>
      </c>
      <c r="G1409">
        <v>1850</v>
      </c>
      <c r="H1409">
        <v>185</v>
      </c>
      <c r="I1409" s="1">
        <f t="shared" si="38"/>
        <v>633.16250000000002</v>
      </c>
      <c r="J1409" s="1">
        <v>220</v>
      </c>
      <c r="K1409" s="1">
        <v>15829</v>
      </c>
      <c r="L1409" s="1">
        <v>156114.20000000001</v>
      </c>
      <c r="M1409" s="1" t="s">
        <v>449</v>
      </c>
      <c r="N1409" s="1" t="s">
        <v>149</v>
      </c>
      <c r="O1409" s="1"/>
      <c r="P1409" s="1"/>
      <c r="Q1409" s="62"/>
    </row>
    <row r="1410" spans="1:17" x14ac:dyDescent="0.25">
      <c r="A1410" t="s">
        <v>2216</v>
      </c>
      <c r="B1410" s="52">
        <v>46087</v>
      </c>
      <c r="C1410" t="s">
        <v>1236</v>
      </c>
      <c r="D1410" t="s">
        <v>100</v>
      </c>
      <c r="E1410" t="s">
        <v>37</v>
      </c>
      <c r="F1410">
        <v>1005</v>
      </c>
      <c r="G1410">
        <v>715</v>
      </c>
      <c r="H1410">
        <v>330</v>
      </c>
      <c r="I1410" s="1">
        <f>$F1410*$G1410*$H1410/1000000</f>
        <v>237.12975</v>
      </c>
      <c r="J1410" s="1">
        <v>338</v>
      </c>
      <c r="K1410" s="1">
        <f>25*Table13[[#This Row],[Total sqm]]</f>
        <v>5928.2437499999996</v>
      </c>
      <c r="L1410" s="1">
        <v>86798.64</v>
      </c>
      <c r="M1410" s="1" t="s">
        <v>149</v>
      </c>
      <c r="N1410" s="1"/>
      <c r="O1410" s="1"/>
      <c r="P1410" s="1"/>
      <c r="Q1410" s="62"/>
    </row>
    <row r="1411" spans="1:17" x14ac:dyDescent="0.25">
      <c r="B1411" s="52"/>
      <c r="I1411" s="1">
        <f t="shared" si="23"/>
        <v>0</v>
      </c>
      <c r="J1411" s="1"/>
      <c r="K1411" s="1"/>
      <c r="L1411" s="1"/>
      <c r="M1411" s="1"/>
      <c r="N1411" s="1"/>
      <c r="O1411" s="1"/>
      <c r="P1411" s="1"/>
      <c r="Q1411" s="62"/>
    </row>
    <row r="1412" spans="1:17" x14ac:dyDescent="0.25">
      <c r="K1412" s="1"/>
      <c r="M1412" s="1"/>
      <c r="N1412" s="1"/>
      <c r="O1412" s="1"/>
      <c r="P1412" s="1"/>
      <c r="Q1412" s="62"/>
    </row>
    <row r="1416" spans="1:17" ht="15.75" thickBot="1" x14ac:dyDescent="0.3"/>
    <row r="1417" spans="1:17" ht="15.75" thickTop="1" x14ac:dyDescent="0.25">
      <c r="A1417" s="36" t="s">
        <v>1532</v>
      </c>
      <c r="B1417" s="61"/>
      <c r="C1417" s="34"/>
    </row>
    <row r="1418" spans="1:17" x14ac:dyDescent="0.25">
      <c r="A1418" s="37" t="s">
        <v>145</v>
      </c>
      <c r="C1418" s="35"/>
    </row>
    <row r="1419" spans="1:17" x14ac:dyDescent="0.25">
      <c r="A1419" s="37" t="s">
        <v>1533</v>
      </c>
      <c r="C1419" s="35"/>
    </row>
    <row r="1420" spans="1:17" ht="15.75" thickBot="1" x14ac:dyDescent="0.3">
      <c r="A1420" s="81" t="s">
        <v>1718</v>
      </c>
      <c r="B1420" s="82"/>
      <c r="C1420" s="83"/>
    </row>
    <row r="1421" spans="1:17" ht="15.75" thickTop="1" x14ac:dyDescent="0.25"/>
    <row r="1422" spans="1:17" x14ac:dyDescent="0.25">
      <c r="A1422" s="38" t="s">
        <v>1534</v>
      </c>
    </row>
    <row r="1423" spans="1:17" x14ac:dyDescent="0.25">
      <c r="A1423" s="38" t="s">
        <v>470</v>
      </c>
    </row>
    <row r="1424" spans="1:17" x14ac:dyDescent="0.25">
      <c r="A1424" s="38" t="s">
        <v>1535</v>
      </c>
      <c r="K1424" s="1"/>
    </row>
    <row r="1425" spans="11:12" x14ac:dyDescent="0.25">
      <c r="K1425" s="1"/>
      <c r="L1425" s="1"/>
    </row>
    <row r="1426" spans="11:12" x14ac:dyDescent="0.25">
      <c r="K1426" s="1"/>
    </row>
    <row r="1427" spans="11:12" x14ac:dyDescent="0.25">
      <c r="K1427" s="1"/>
    </row>
    <row r="1428" spans="11:12" x14ac:dyDescent="0.25">
      <c r="K1428" s="1"/>
    </row>
    <row r="1429" spans="11:12" x14ac:dyDescent="0.25">
      <c r="K1429" s="1"/>
    </row>
    <row r="1430" spans="11:12" x14ac:dyDescent="0.25">
      <c r="K1430" s="1"/>
    </row>
    <row r="1431" spans="11:12" x14ac:dyDescent="0.25">
      <c r="K1431" s="1"/>
    </row>
    <row r="1432" spans="11:12" x14ac:dyDescent="0.25">
      <c r="K1432" s="1"/>
    </row>
    <row r="1433" spans="11:12" x14ac:dyDescent="0.25">
      <c r="K1433" s="1"/>
    </row>
    <row r="1434" spans="11:12" x14ac:dyDescent="0.25">
      <c r="K1434" s="1"/>
    </row>
    <row r="1435" spans="11:12" x14ac:dyDescent="0.25">
      <c r="K1435" s="1"/>
    </row>
    <row r="1436" spans="11:12" x14ac:dyDescent="0.25">
      <c r="K1436" s="1"/>
    </row>
  </sheetData>
  <mergeCells count="1">
    <mergeCell ref="A1420:C1420"/>
  </mergeCells>
  <phoneticPr fontId="3" type="noConversion"/>
  <dataValidations count="2">
    <dataValidation type="list" allowBlank="1" showInputMessage="1" showErrorMessage="1" sqref="M624 P544:P555 P2:P542 O1078:O1101 N1079:N1091 N1093:N1094 N1098:N1101 N1096 N1117:O1234 N2:O1077 N1236:O1410" xr:uid="{8D8DC2BF-49AB-4BF3-A7DD-1028ACBDA674}">
      <formula1>$Y$3:$Y$4</formula1>
    </dataValidation>
    <dataValidation type="date" allowBlank="1" showInputMessage="1" showErrorMessage="1" sqref="P770 Q1:Q998 Q1413:Q1048576 Q1117:Q1234 Q1000:Q1094 Q1236:Q1410" xr:uid="{802C9C91-9B82-429C-9449-345B3819449E}">
      <formula1>36526</formula1>
      <formula2>117974</formula2>
    </dataValidation>
  </dataValidations>
  <pageMargins left="0.7" right="0.7" top="0.75" bottom="0.75" header="0.3" footer="0.3"/>
  <pageSetup paperSize="9" orientation="portrait" r:id="rId1"/>
  <drawing r:id="rId2"/>
  <legacy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containsText" priority="3" operator="containsText" id="{0BC1D044-8E85-4FE2-AF80-0C14743CDE04}">
            <xm:f>NOT(ISERROR(SEARCH($Y$4,M276)))</xm:f>
            <xm:f>$Y$4</xm:f>
            <x14:dxf>
              <font>
                <b/>
                <i val="0"/>
                <color theme="0"/>
              </font>
              <fill>
                <patternFill>
                  <bgColor rgb="FFFF0000"/>
                </patternFill>
              </fill>
            </x14:dxf>
          </x14:cfRule>
          <x14:cfRule type="containsText" priority="4" operator="containsText" id="{27BBCCE7-7496-4527-8D91-41DD9AB7DC10}">
            <xm:f>NOT(ISERROR(SEARCH($Y$3,M276)))</xm:f>
            <xm:f>$Y$3</xm:f>
            <x14:dxf>
              <font>
                <b/>
                <i val="0"/>
              </font>
              <fill>
                <patternFill>
                  <bgColor theme="9" tint="0.39994506668294322"/>
                </patternFill>
              </fill>
            </x14:dxf>
          </x14:cfRule>
          <xm:sqref>M276</xm:sqref>
        </x14:conditionalFormatting>
        <x14:conditionalFormatting xmlns:xm="http://schemas.microsoft.com/office/excel/2006/main">
          <x14:cfRule type="containsText" priority="86" operator="containsText" id="{3D89D8D2-AB5C-425D-86E2-8DAD98C85C3B}">
            <xm:f>NOT(ISERROR(SEARCH($Y$3,M424)))</xm:f>
            <xm:f>$Y$3</xm:f>
            <x14:dxf>
              <font>
                <b/>
                <i val="0"/>
              </font>
              <fill>
                <patternFill>
                  <bgColor theme="9" tint="0.39994506668294322"/>
                </patternFill>
              </fill>
            </x14:dxf>
          </x14:cfRule>
          <x14:cfRule type="containsText" priority="85" operator="containsText" id="{91ED40A4-0A34-4373-A93A-B13A5408B65F}">
            <xm:f>NOT(ISERROR(SEARCH($Y$4,M424)))</xm:f>
            <xm:f>$Y$4</xm:f>
            <x14:dxf>
              <font>
                <b/>
                <i val="0"/>
                <color theme="0"/>
              </font>
              <fill>
                <patternFill>
                  <bgColor rgb="FFFF0000"/>
                </patternFill>
              </fill>
            </x14:dxf>
          </x14:cfRule>
          <xm:sqref>M424:M426</xm:sqref>
        </x14:conditionalFormatting>
        <x14:conditionalFormatting xmlns:xm="http://schemas.microsoft.com/office/excel/2006/main">
          <x14:cfRule type="containsText" priority="2" operator="containsText" id="{C8EF620F-EAC1-45FC-BEED-AF5658EC4C0F}">
            <xm:f>NOT(ISERROR(SEARCH($Y$3,M440)))</xm:f>
            <xm:f>$Y$3</xm:f>
            <x14:dxf>
              <font>
                <b/>
                <i val="0"/>
              </font>
              <fill>
                <patternFill>
                  <bgColor theme="9" tint="0.39994506668294322"/>
                </patternFill>
              </fill>
            </x14:dxf>
          </x14:cfRule>
          <x14:cfRule type="containsText" priority="1" operator="containsText" id="{9E1529BF-2740-4663-B711-4D435D08371D}">
            <xm:f>NOT(ISERROR(SEARCH($Y$4,M440)))</xm:f>
            <xm:f>$Y$4</xm:f>
            <x14:dxf>
              <font>
                <b/>
                <i val="0"/>
                <color theme="0"/>
              </font>
              <fill>
                <patternFill>
                  <bgColor rgb="FFFF0000"/>
                </patternFill>
              </fill>
            </x14:dxf>
          </x14:cfRule>
          <xm:sqref>M440:M1412</xm:sqref>
        </x14:conditionalFormatting>
        <x14:conditionalFormatting xmlns:xm="http://schemas.microsoft.com/office/excel/2006/main">
          <x14:cfRule type="containsText" priority="88" operator="containsText" id="{EA0FBA19-39A8-4C0A-BEBB-07D56379B913}">
            <xm:f>NOT(ISERROR(SEARCH($Y$4,M2)))</xm:f>
            <xm:f>$Y$4</xm:f>
            <x14:dxf>
              <font>
                <b/>
                <i val="0"/>
                <color theme="0"/>
              </font>
              <fill>
                <patternFill>
                  <bgColor rgb="FFFF0000"/>
                </patternFill>
              </fill>
            </x14:dxf>
          </x14:cfRule>
          <x14:cfRule type="containsText" priority="89" operator="containsText" id="{38A6989F-ABF4-4BE7-9ACE-0BFF00ED327E}">
            <xm:f>NOT(ISERROR(SEARCH($Y$3,M2)))</xm:f>
            <xm:f>$Y$3</xm:f>
            <x14:dxf>
              <font>
                <b/>
                <i val="0"/>
              </font>
              <fill>
                <patternFill>
                  <bgColor theme="9" tint="0.39994506668294322"/>
                </patternFill>
              </fill>
            </x14:dxf>
          </x14:cfRule>
          <xm:sqref>M2:N275 P2:Q439 O2:O823 N276 M277:N423 N424:N426 M427:N439 N440:N442 Q440:Q442 P440:P444 O825:O976 O992:O1094 O1117:O1234 O1236:O1410 N1334</xm:sqref>
        </x14:conditionalFormatting>
        <x14:conditionalFormatting xmlns:xm="http://schemas.microsoft.com/office/excel/2006/main">
          <x14:cfRule type="containsText" priority="80" operator="containsText" id="{12E97942-B41C-4947-A235-EC8E96B7CDF0}">
            <xm:f>NOT(ISERROR(SEARCH($Y$3,P446)))</xm:f>
            <xm:f>$Y$3</xm:f>
            <x14:dxf>
              <font>
                <b/>
                <i val="0"/>
              </font>
              <fill>
                <patternFill>
                  <bgColor theme="9" tint="0.39994506668294322"/>
                </patternFill>
              </fill>
            </x14:dxf>
          </x14:cfRule>
          <x14:cfRule type="containsText" priority="79" operator="containsText" id="{AC138C61-AD9E-4952-AB24-87F54AED4F99}">
            <xm:f>NOT(ISERROR(SEARCH($Y$4,P446)))</xm:f>
            <xm:f>$Y$4</xm:f>
            <x14:dxf>
              <font>
                <b/>
                <i val="0"/>
                <color theme="0"/>
              </font>
              <fill>
                <patternFill>
                  <bgColor rgb="FFFF0000"/>
                </patternFill>
              </fill>
            </x14:dxf>
          </x14:cfRule>
          <xm:sqref>P446</xm:sqref>
        </x14:conditionalFormatting>
        <x14:conditionalFormatting xmlns:xm="http://schemas.microsoft.com/office/excel/2006/main">
          <x14:cfRule type="containsText" priority="84" operator="containsText" id="{4C75172A-8CB5-4B3D-AA13-63D4B56C0878}">
            <xm:f>NOT(ISERROR(SEARCH($Y$3,P448)))</xm:f>
            <xm:f>$Y$3</xm:f>
            <x14:dxf>
              <font>
                <b/>
                <i val="0"/>
              </font>
              <fill>
                <patternFill>
                  <bgColor theme="9" tint="0.39994506668294322"/>
                </patternFill>
              </fill>
            </x14:dxf>
          </x14:cfRule>
          <x14:cfRule type="containsText" priority="83" operator="containsText" id="{99FD450A-BFEF-4094-9D06-5E2C85A56DDA}">
            <xm:f>NOT(ISERROR(SEARCH($Y$4,P448)))</xm:f>
            <xm:f>$Y$4</xm:f>
            <x14:dxf>
              <font>
                <b/>
                <i val="0"/>
                <color theme="0"/>
              </font>
              <fill>
                <patternFill>
                  <bgColor rgb="FFFF0000"/>
                </patternFill>
              </fill>
            </x14:dxf>
          </x14:cfRule>
          <xm:sqref>P448</xm:sqref>
        </x14:conditionalFormatting>
        <x14:conditionalFormatting xmlns:xm="http://schemas.microsoft.com/office/excel/2006/main">
          <x14:cfRule type="containsText" priority="82" operator="containsText" id="{3AB0D27C-E388-4026-B393-0E591DBADA3E}">
            <xm:f>NOT(ISERROR(SEARCH($Y$3,P451)))</xm:f>
            <xm:f>$Y$3</xm:f>
            <x14:dxf>
              <font>
                <b/>
                <i val="0"/>
              </font>
              <fill>
                <patternFill>
                  <bgColor theme="9" tint="0.39994506668294322"/>
                </patternFill>
              </fill>
            </x14:dxf>
          </x14:cfRule>
          <x14:cfRule type="containsText" priority="81" operator="containsText" id="{79D7094E-27AB-4D43-B003-A110E6BDF71C}">
            <xm:f>NOT(ISERROR(SEARCH($Y$4,P451)))</xm:f>
            <xm:f>$Y$4</xm:f>
            <x14:dxf>
              <font>
                <b/>
                <i val="0"/>
                <color theme="0"/>
              </font>
              <fill>
                <patternFill>
                  <bgColor rgb="FFFF0000"/>
                </patternFill>
              </fill>
            </x14:dxf>
          </x14:cfRule>
          <xm:sqref>P451</xm:sqref>
        </x14:conditionalFormatting>
        <x14:conditionalFormatting xmlns:xm="http://schemas.microsoft.com/office/excel/2006/main">
          <x14:cfRule type="containsText" priority="78" operator="containsText" id="{E04A80CE-03F6-4D02-9D8D-119341156305}">
            <xm:f>NOT(ISERROR(SEARCH($Y$3,P467)))</xm:f>
            <xm:f>$Y$3</xm:f>
            <x14:dxf>
              <font>
                <b/>
                <i val="0"/>
              </font>
              <fill>
                <patternFill>
                  <bgColor theme="9" tint="0.39994506668294322"/>
                </patternFill>
              </fill>
            </x14:dxf>
          </x14:cfRule>
          <x14:cfRule type="containsText" priority="77" operator="containsText" id="{665593A0-BA67-4C81-AAB7-A6C5F6E82A07}">
            <xm:f>NOT(ISERROR(SEARCH($Y$4,P467)))</xm:f>
            <xm:f>$Y$4</xm:f>
            <x14:dxf>
              <font>
                <b/>
                <i val="0"/>
                <color theme="0"/>
              </font>
              <fill>
                <patternFill>
                  <bgColor rgb="FFFF0000"/>
                </patternFill>
              </fill>
            </x14:dxf>
          </x14:cfRule>
          <xm:sqref>P467:P470</xm:sqref>
        </x14:conditionalFormatting>
        <x14:conditionalFormatting xmlns:xm="http://schemas.microsoft.com/office/excel/2006/main">
          <x14:cfRule type="containsText" priority="55" operator="containsText" id="{4F13896B-A0BD-40DD-8BF4-F44204DCE027}">
            <xm:f>NOT(ISERROR(SEARCH($Y$4,P472)))</xm:f>
            <xm:f>$Y$4</xm:f>
            <x14:dxf>
              <font>
                <b/>
                <i val="0"/>
                <color theme="0"/>
              </font>
              <fill>
                <patternFill>
                  <bgColor rgb="FFFF0000"/>
                </patternFill>
              </fill>
            </x14:dxf>
          </x14:cfRule>
          <x14:cfRule type="containsText" priority="56" operator="containsText" id="{CF186A36-C6F7-4A58-A3F4-1E23EC15653C}">
            <xm:f>NOT(ISERROR(SEARCH($Y$3,P472)))</xm:f>
            <xm:f>$Y$3</xm:f>
            <x14:dxf>
              <font>
                <b/>
                <i val="0"/>
              </font>
              <fill>
                <patternFill>
                  <bgColor theme="9" tint="0.39994506668294322"/>
                </patternFill>
              </fill>
            </x14:dxf>
          </x14:cfRule>
          <xm:sqref>P472:P473</xm:sqref>
        </x14:conditionalFormatting>
        <x14:conditionalFormatting xmlns:xm="http://schemas.microsoft.com/office/excel/2006/main">
          <x14:cfRule type="containsText" priority="54" operator="containsText" id="{F2EB1BD8-0A21-4CC1-8C42-0764BD20E900}">
            <xm:f>NOT(ISERROR(SEARCH($Y$3,P478)))</xm:f>
            <xm:f>$Y$3</xm:f>
            <x14:dxf>
              <font>
                <b/>
                <i val="0"/>
              </font>
              <fill>
                <patternFill>
                  <bgColor theme="9" tint="0.39994506668294322"/>
                </patternFill>
              </fill>
            </x14:dxf>
          </x14:cfRule>
          <x14:cfRule type="containsText" priority="53" operator="containsText" id="{067C05FA-5BF4-40B4-BA00-94FE6BAA5671}">
            <xm:f>NOT(ISERROR(SEARCH($Y$4,P478)))</xm:f>
            <xm:f>$Y$4</xm:f>
            <x14:dxf>
              <font>
                <b/>
                <i val="0"/>
                <color theme="0"/>
              </font>
              <fill>
                <patternFill>
                  <bgColor rgb="FFFF0000"/>
                </patternFill>
              </fill>
            </x14:dxf>
          </x14:cfRule>
          <xm:sqref>P478:P479</xm:sqref>
        </x14:conditionalFormatting>
        <x14:conditionalFormatting xmlns:xm="http://schemas.microsoft.com/office/excel/2006/main">
          <x14:cfRule type="containsText" priority="72" operator="containsText" id="{73CECAA0-50E8-4109-863D-8E1139248BC7}">
            <xm:f>NOT(ISERROR(SEARCH($Y$3,P486)))</xm:f>
            <xm:f>$Y$3</xm:f>
            <x14:dxf>
              <font>
                <b/>
                <i val="0"/>
              </font>
              <fill>
                <patternFill>
                  <bgColor theme="9" tint="0.39994506668294322"/>
                </patternFill>
              </fill>
            </x14:dxf>
          </x14:cfRule>
          <x14:cfRule type="containsText" priority="71" operator="containsText" id="{572A6457-D696-4B4B-B0FA-9D3DA93EC603}">
            <xm:f>NOT(ISERROR(SEARCH($Y$4,P486)))</xm:f>
            <xm:f>$Y$4</xm:f>
            <x14:dxf>
              <font>
                <b/>
                <i val="0"/>
                <color theme="0"/>
              </font>
              <fill>
                <patternFill>
                  <bgColor rgb="FFFF0000"/>
                </patternFill>
              </fill>
            </x14:dxf>
          </x14:cfRule>
          <xm:sqref>P486:P495</xm:sqref>
        </x14:conditionalFormatting>
        <x14:conditionalFormatting xmlns:xm="http://schemas.microsoft.com/office/excel/2006/main">
          <x14:cfRule type="containsText" priority="70" operator="containsText" id="{7ECF1F62-CC3D-40A6-A362-8C298BA96690}">
            <xm:f>NOT(ISERROR(SEARCH($Y$3,P501)))</xm:f>
            <xm:f>$Y$3</xm:f>
            <x14:dxf>
              <font>
                <b/>
                <i val="0"/>
              </font>
              <fill>
                <patternFill>
                  <bgColor theme="9" tint="0.39994506668294322"/>
                </patternFill>
              </fill>
            </x14:dxf>
          </x14:cfRule>
          <x14:cfRule type="containsText" priority="69" operator="containsText" id="{161A54BD-F463-4004-97E9-D56BAD217F47}">
            <xm:f>NOT(ISERROR(SEARCH($Y$4,P501)))</xm:f>
            <xm:f>$Y$4</xm:f>
            <x14:dxf>
              <font>
                <b/>
                <i val="0"/>
                <color theme="0"/>
              </font>
              <fill>
                <patternFill>
                  <bgColor rgb="FFFF0000"/>
                </patternFill>
              </fill>
            </x14:dxf>
          </x14:cfRule>
          <xm:sqref>P501</xm:sqref>
        </x14:conditionalFormatting>
        <x14:conditionalFormatting xmlns:xm="http://schemas.microsoft.com/office/excel/2006/main">
          <x14:cfRule type="containsText" priority="67" operator="containsText" id="{CF087E7A-B279-43CC-9FE9-171F8EC8B6DE}">
            <xm:f>NOT(ISERROR(SEARCH($Y$4,P505)))</xm:f>
            <xm:f>$Y$4</xm:f>
            <x14:dxf>
              <font>
                <b/>
                <i val="0"/>
                <color theme="0"/>
              </font>
              <fill>
                <patternFill>
                  <bgColor rgb="FFFF0000"/>
                </patternFill>
              </fill>
            </x14:dxf>
          </x14:cfRule>
          <x14:cfRule type="containsText" priority="68" operator="containsText" id="{71DA01C6-59AA-4A54-ACA4-05C9F1EC754E}">
            <xm:f>NOT(ISERROR(SEARCH($Y$3,P505)))</xm:f>
            <xm:f>$Y$3</xm:f>
            <x14:dxf>
              <font>
                <b/>
                <i val="0"/>
              </font>
              <fill>
                <patternFill>
                  <bgColor theme="9" tint="0.39994506668294322"/>
                </patternFill>
              </fill>
            </x14:dxf>
          </x14:cfRule>
          <xm:sqref>P505</xm:sqref>
        </x14:conditionalFormatting>
        <x14:conditionalFormatting xmlns:xm="http://schemas.microsoft.com/office/excel/2006/main">
          <x14:cfRule type="containsText" priority="63" operator="containsText" id="{6C9B938B-D81F-4F4C-A6FB-D188D22BD15B}">
            <xm:f>NOT(ISERROR(SEARCH($Y$4,P507)))</xm:f>
            <xm:f>$Y$4</xm:f>
            <x14:dxf>
              <font>
                <b/>
                <i val="0"/>
                <color theme="0"/>
              </font>
              <fill>
                <patternFill>
                  <bgColor rgb="FFFF0000"/>
                </patternFill>
              </fill>
            </x14:dxf>
          </x14:cfRule>
          <x14:cfRule type="containsText" priority="64" operator="containsText" id="{25EB25DD-3DD5-4ECE-840A-E303835D4019}">
            <xm:f>NOT(ISERROR(SEARCH($Y$3,P507)))</xm:f>
            <xm:f>$Y$3</xm:f>
            <x14:dxf>
              <font>
                <b/>
                <i val="0"/>
              </font>
              <fill>
                <patternFill>
                  <bgColor theme="9" tint="0.39994506668294322"/>
                </patternFill>
              </fill>
            </x14:dxf>
          </x14:cfRule>
          <xm:sqref>P507:P508</xm:sqref>
        </x14:conditionalFormatting>
        <x14:conditionalFormatting xmlns:xm="http://schemas.microsoft.com/office/excel/2006/main">
          <x14:cfRule type="containsText" priority="43" operator="containsText" id="{95F3A06E-452E-4E07-A473-D957B144C731}">
            <xm:f>NOT(ISERROR(SEARCH($Y$4,P511)))</xm:f>
            <xm:f>$Y$4</xm:f>
            <x14:dxf>
              <font>
                <b/>
                <i val="0"/>
                <color theme="0"/>
              </font>
              <fill>
                <patternFill>
                  <bgColor rgb="FFFF0000"/>
                </patternFill>
              </fill>
            </x14:dxf>
          </x14:cfRule>
          <x14:cfRule type="containsText" priority="44" operator="containsText" id="{6A29D99C-CC41-4DBB-AA33-D8853FD20B48}">
            <xm:f>NOT(ISERROR(SEARCH($Y$3,P511)))</xm:f>
            <xm:f>$Y$3</xm:f>
            <x14:dxf>
              <font>
                <b/>
                <i val="0"/>
              </font>
              <fill>
                <patternFill>
                  <bgColor theme="9" tint="0.39994506668294322"/>
                </patternFill>
              </fill>
            </x14:dxf>
          </x14:cfRule>
          <xm:sqref>P511</xm:sqref>
        </x14:conditionalFormatting>
        <x14:conditionalFormatting xmlns:xm="http://schemas.microsoft.com/office/excel/2006/main">
          <x14:cfRule type="containsText" priority="60" operator="containsText" id="{E8981BD7-973A-4C36-BFE7-DA1AF1EC519E}">
            <xm:f>NOT(ISERROR(SEARCH($Y$3,P519)))</xm:f>
            <xm:f>$Y$3</xm:f>
            <x14:dxf>
              <font>
                <b/>
                <i val="0"/>
              </font>
              <fill>
                <patternFill>
                  <bgColor theme="9" tint="0.39994506668294322"/>
                </patternFill>
              </fill>
            </x14:dxf>
          </x14:cfRule>
          <x14:cfRule type="containsText" priority="59" operator="containsText" id="{5AD61DC8-3462-4E6C-AF4A-DF63D2F312A2}">
            <xm:f>NOT(ISERROR(SEARCH($Y$4,P519)))</xm:f>
            <xm:f>$Y$4</xm:f>
            <x14:dxf>
              <font>
                <b/>
                <i val="0"/>
                <color theme="0"/>
              </font>
              <fill>
                <patternFill>
                  <bgColor rgb="FFFF0000"/>
                </patternFill>
              </fill>
            </x14:dxf>
          </x14:cfRule>
          <xm:sqref>P519</xm:sqref>
        </x14:conditionalFormatting>
        <x14:conditionalFormatting xmlns:xm="http://schemas.microsoft.com/office/excel/2006/main">
          <x14:cfRule type="containsText" priority="50" operator="containsText" id="{8FA7F229-0C98-4344-8EA5-C8A211961F7C}">
            <xm:f>NOT(ISERROR(SEARCH($Y$3,P521)))</xm:f>
            <xm:f>$Y$3</xm:f>
            <x14:dxf>
              <font>
                <b/>
                <i val="0"/>
              </font>
              <fill>
                <patternFill>
                  <bgColor theme="9" tint="0.39994506668294322"/>
                </patternFill>
              </fill>
            </x14:dxf>
          </x14:cfRule>
          <x14:cfRule type="containsText" priority="49" operator="containsText" id="{1C70AA9C-E2C4-4A84-87AC-4EE66288777A}">
            <xm:f>NOT(ISERROR(SEARCH($Y$4,P521)))</xm:f>
            <xm:f>$Y$4</xm:f>
            <x14:dxf>
              <font>
                <b/>
                <i val="0"/>
                <color theme="0"/>
              </font>
              <fill>
                <patternFill>
                  <bgColor rgb="FFFF0000"/>
                </patternFill>
              </fill>
            </x14:dxf>
          </x14:cfRule>
          <xm:sqref>P521:P522</xm:sqref>
        </x14:conditionalFormatting>
        <x14:conditionalFormatting xmlns:xm="http://schemas.microsoft.com/office/excel/2006/main">
          <x14:cfRule type="containsText" priority="45" operator="containsText" id="{825A4045-9EC8-4C4C-BCAB-C1B37ADAD969}">
            <xm:f>NOT(ISERROR(SEARCH($Y$4,P524)))</xm:f>
            <xm:f>$Y$4</xm:f>
            <x14:dxf>
              <font>
                <b/>
                <i val="0"/>
                <color theme="0"/>
              </font>
              <fill>
                <patternFill>
                  <bgColor rgb="FFFF0000"/>
                </patternFill>
              </fill>
            </x14:dxf>
          </x14:cfRule>
          <x14:cfRule type="containsText" priority="46" operator="containsText" id="{7F4212EB-F395-4B15-84B1-655E8D5DC0D9}">
            <xm:f>NOT(ISERROR(SEARCH($Y$3,P524)))</xm:f>
            <xm:f>$Y$3</xm:f>
            <x14:dxf>
              <font>
                <b/>
                <i val="0"/>
              </font>
              <fill>
                <patternFill>
                  <bgColor theme="9" tint="0.39994506668294322"/>
                </patternFill>
              </fill>
            </x14:dxf>
          </x14:cfRule>
          <xm:sqref>P524</xm:sqref>
        </x14:conditionalFormatting>
        <x14:conditionalFormatting xmlns:xm="http://schemas.microsoft.com/office/excel/2006/main">
          <x14:cfRule type="containsText" priority="51" operator="containsText" id="{90C1E9B6-CE9C-442D-B23E-5D1A995A96C4}">
            <xm:f>NOT(ISERROR(SEARCH($Y$4,P526)))</xm:f>
            <xm:f>$Y$4</xm:f>
            <x14:dxf>
              <font>
                <b/>
                <i val="0"/>
                <color theme="0"/>
              </font>
              <fill>
                <patternFill>
                  <bgColor rgb="FFFF0000"/>
                </patternFill>
              </fill>
            </x14:dxf>
          </x14:cfRule>
          <x14:cfRule type="containsText" priority="52" operator="containsText" id="{BAB31CF9-ED36-4402-A346-C5D9095D60F4}">
            <xm:f>NOT(ISERROR(SEARCH($Y$3,P526)))</xm:f>
            <xm:f>$Y$3</xm:f>
            <x14:dxf>
              <font>
                <b/>
                <i val="0"/>
              </font>
              <fill>
                <patternFill>
                  <bgColor theme="9" tint="0.39994506668294322"/>
                </patternFill>
              </fill>
            </x14:dxf>
          </x14:cfRule>
          <xm:sqref>P526</xm:sqref>
        </x14:conditionalFormatting>
        <x14:conditionalFormatting xmlns:xm="http://schemas.microsoft.com/office/excel/2006/main">
          <x14:cfRule type="containsText" priority="40" operator="containsText" id="{576C16FC-3676-413E-9FB6-49A4DEBF79C0}">
            <xm:f>NOT(ISERROR(SEARCH($Y$3,P543)))</xm:f>
            <xm:f>$Y$3</xm:f>
            <x14:dxf>
              <font>
                <b/>
                <i val="0"/>
              </font>
              <fill>
                <patternFill>
                  <bgColor theme="9" tint="0.39994506668294322"/>
                </patternFill>
              </fill>
            </x14:dxf>
          </x14:cfRule>
          <x14:cfRule type="containsText" priority="39" operator="containsText" id="{A9592E70-7FE3-4FD9-AD38-5BE92E14EA66}">
            <xm:f>NOT(ISERROR(SEARCH($Y$4,P543)))</xm:f>
            <xm:f>$Y$4</xm:f>
            <x14:dxf>
              <font>
                <b/>
                <i val="0"/>
                <color theme="0"/>
              </font>
              <fill>
                <patternFill>
                  <bgColor rgb="FFFF0000"/>
                </patternFill>
              </fill>
            </x14:dxf>
          </x14:cfRule>
          <xm:sqref>P543</xm:sqref>
        </x14:conditionalFormatting>
        <x14:conditionalFormatting xmlns:xm="http://schemas.microsoft.com/office/excel/2006/main">
          <x14:cfRule type="containsText" priority="18" operator="containsText" id="{33B5A605-4FC6-434D-BDA5-CBE68A02BED4}">
            <xm:f>NOT(ISERROR(SEARCH($Y$3,P549)))</xm:f>
            <xm:f>$Y$3</xm:f>
            <x14:dxf>
              <font>
                <b/>
                <i val="0"/>
              </font>
              <fill>
                <patternFill>
                  <bgColor theme="9" tint="0.39994506668294322"/>
                </patternFill>
              </fill>
            </x14:dxf>
          </x14:cfRule>
          <x14:cfRule type="containsText" priority="17" operator="containsText" id="{CC9E8CA5-619F-4953-A827-FB539833CF87}">
            <xm:f>NOT(ISERROR(SEARCH($Y$4,P549)))</xm:f>
            <xm:f>$Y$4</xm:f>
            <x14:dxf>
              <font>
                <b/>
                <i val="0"/>
                <color theme="0"/>
              </font>
              <fill>
                <patternFill>
                  <bgColor rgb="FFFF0000"/>
                </patternFill>
              </fill>
            </x14:dxf>
          </x14:cfRule>
          <xm:sqref>P549:P552</xm:sqref>
        </x14:conditionalFormatting>
        <x14:conditionalFormatting xmlns:xm="http://schemas.microsoft.com/office/excel/2006/main">
          <x14:cfRule type="containsText" priority="23" operator="containsText" id="{8624C727-FDEE-4C2D-A1AB-59C021E63E0B}">
            <xm:f>NOT(ISERROR(SEARCH($Y$4,P563)))</xm:f>
            <xm:f>$Y$4</xm:f>
            <x14:dxf>
              <font>
                <b/>
                <i val="0"/>
                <color theme="0"/>
              </font>
              <fill>
                <patternFill>
                  <bgColor rgb="FFFF0000"/>
                </patternFill>
              </fill>
            </x14:dxf>
          </x14:cfRule>
          <x14:cfRule type="containsText" priority="24" operator="containsText" id="{0F6D1FF3-A8EC-4665-B071-6A84B3C99107}">
            <xm:f>NOT(ISERROR(SEARCH($Y$3,P563)))</xm:f>
            <xm:f>$Y$3</xm:f>
            <x14:dxf>
              <font>
                <b/>
                <i val="0"/>
              </font>
              <fill>
                <patternFill>
                  <bgColor theme="9" tint="0.39994506668294322"/>
                </patternFill>
              </fill>
            </x14:dxf>
          </x14:cfRule>
          <xm:sqref>P563</xm:sqref>
        </x14:conditionalFormatting>
        <x14:conditionalFormatting xmlns:xm="http://schemas.microsoft.com/office/excel/2006/main">
          <x14:cfRule type="containsText" priority="87" operator="containsText" id="{CE5EC986-D88C-4601-9BB4-02474A4206BE}">
            <xm:f>NOT(ISERROR(SEARCH($Y$3,Y4)))</xm:f>
            <xm:f>$Y$3</xm:f>
            <x14:dxf>
              <font>
                <b/>
                <i val="0"/>
                <strike val="0"/>
                <color theme="0"/>
              </font>
              <fill>
                <patternFill>
                  <bgColor rgb="FFFF0000"/>
                </patternFill>
              </fill>
            </x14:dxf>
          </x14:cfRule>
          <xm:sqref>Y4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43E98-F57E-4A62-9754-1A72EF5F1273}">
  <dimension ref="A1:C4"/>
  <sheetViews>
    <sheetView tabSelected="1" workbookViewId="0">
      <selection activeCell="B2" sqref="B2"/>
    </sheetView>
  </sheetViews>
  <sheetFormatPr defaultRowHeight="15" x14ac:dyDescent="0.25"/>
  <cols>
    <col min="1" max="1" width="31.5703125" bestFit="1" customWidth="1"/>
  </cols>
  <sheetData>
    <row r="1" spans="1:3" x14ac:dyDescent="0.25">
      <c r="A1" t="s">
        <v>2066</v>
      </c>
      <c r="B1" t="s">
        <v>2067</v>
      </c>
      <c r="C1" t="s">
        <v>2068</v>
      </c>
    </row>
    <row r="2" spans="1:3" x14ac:dyDescent="0.25">
      <c r="A2" t="s">
        <v>2065</v>
      </c>
      <c r="B2" t="s">
        <v>27</v>
      </c>
      <c r="C2">
        <v>265</v>
      </c>
    </row>
    <row r="3" spans="1:3" x14ac:dyDescent="0.25">
      <c r="A3" t="s">
        <v>1041</v>
      </c>
      <c r="B3" t="s">
        <v>27</v>
      </c>
      <c r="C3">
        <v>265</v>
      </c>
    </row>
    <row r="4" spans="1:3" x14ac:dyDescent="0.25">
      <c r="A4" t="s">
        <v>2050</v>
      </c>
      <c r="B4" t="s">
        <v>37</v>
      </c>
      <c r="C4">
        <v>285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08A743A69AE0643AA6C477D52605EDC" ma:contentTypeVersion="3" ma:contentTypeDescription="Create a new document." ma:contentTypeScope="" ma:versionID="0cf707057188a8a8c1fefef4c68991f3">
  <xsd:schema xmlns:xsd="http://www.w3.org/2001/XMLSchema" xmlns:xs="http://www.w3.org/2001/XMLSchema" xmlns:p="http://schemas.microsoft.com/office/2006/metadata/properties" xmlns:ns2="4bd705b6-d79b-457a-af1b-1e6d3495c53c" targetNamespace="http://schemas.microsoft.com/office/2006/metadata/properties" ma:root="true" ma:fieldsID="b55a9bcf6655cbaf2caa79ef3d2ff888" ns2:_="">
    <xsd:import namespace="4bd705b6-d79b-457a-af1b-1e6d3495c53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d705b6-d79b-457a-af1b-1e6d3495c53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94BF420-B627-4719-B4C9-33973D818E57}">
  <ds:schemaRefs>
    <ds:schemaRef ds:uri="http://schemas.microsoft.com/sharepoint/v3/contenttype/forms"/>
  </ds:schemaRefs>
</ds:datastoreItem>
</file>

<file path=customXml/itemProps2.xml><?xml version="1.0" encoding="utf-8"?>
<ds:datastoreItem xmlns:ds="http://schemas.openxmlformats.org/officeDocument/2006/customXml" ds:itemID="{6C5A7730-D31B-461D-8587-3F672EC4E0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d705b6-d79b-457a-af1b-1e6d3495c53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346B6C9-8A43-4056-968B-E67578246E0D}">
  <ds:schemaRefs>
    <ds:schemaRef ds:uri="http://purl.org/dc/terms/"/>
    <ds:schemaRef ds:uri="06025d3b-5885-43ac-b78a-7be2de409fc4"/>
    <ds:schemaRef ds:uri="http://schemas.microsoft.com/office/2006/documentManagement/types"/>
    <ds:schemaRef ds:uri="http://schemas.openxmlformats.org/package/2006/metadata/core-properties"/>
    <ds:schemaRef ds:uri="http://purl.org/dc/elements/1.1/"/>
    <ds:schemaRef ds:uri="http://schemas.microsoft.com/office/2006/metadata/properties"/>
    <ds:schemaRef ds:uri="f129cd2d-9bea-4ce9-b453-15bf51ebfd6d"/>
    <ds:schemaRef ds:uri="http://schemas.microsoft.com/office/infopath/2007/PartnerControls"/>
    <ds:schemaRef ds:uri="http://www.w3.org/XML/1998/namespace"/>
    <ds:schemaRef ds:uri="http://purl.org/dc/dcmitype/"/>
  </ds:schemaRefs>
</ds:datastoreItem>
</file>

<file path=docMetadata/LabelInfo.xml><?xml version="1.0" encoding="utf-8"?>
<clbl:labelList xmlns:clbl="http://schemas.microsoft.com/office/2020/mipLabelMetadata">
  <clbl:label id="{97e959a5-ac28-45db-ac5e-51662f663cf0}" enabled="0" method="" siteId="{97e959a5-ac28-45db-ac5e-51662f663cf0}"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5657-8081</vt:lpstr>
      <vt:lpstr>Pricing</vt:lpstr>
    </vt:vector>
  </TitlesOfParts>
  <Manager/>
  <Company>Agfa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Bals , Ann</dc:creator>
  <cp:keywords/>
  <dc:description/>
  <cp:lastModifiedBy>sreevidya n</cp:lastModifiedBy>
  <cp:revision/>
  <dcterms:created xsi:type="dcterms:W3CDTF">2023-01-18T09:28:42Z</dcterms:created>
  <dcterms:modified xsi:type="dcterms:W3CDTF">2026-03-17T07:40:24Z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0x010100808A743A69AE0643AA6C477D52605EDC</vt:lpwstr>
  </property>
</Properties>
</file>