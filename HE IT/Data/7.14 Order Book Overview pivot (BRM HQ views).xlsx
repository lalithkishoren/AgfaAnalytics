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5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be\medical\medical\controlling\Preparation Presentations\"/>
    </mc:Choice>
  </mc:AlternateContent>
  <xr:revisionPtr revIDLastSave="0" documentId="13_ncr:1_{91C985E9-354D-4A76-B3D4-D27216F25943}" xr6:coauthVersionLast="47" xr6:coauthVersionMax="47" xr10:uidLastSave="{00000000-0000-0000-0000-000000000000}"/>
  <bookViews>
    <workbookView xWindow="-110" yWindow="-110" windowWidth="19420" windowHeight="10420" tabRatio="868" xr2:uid="{00000000-000D-0000-FFFF-FFFF00000000}"/>
  </bookViews>
  <sheets>
    <sheet name="Default pivot" sheetId="1" r:id="rId1"/>
    <sheet name="Total OB evo" sheetId="62" r:id="rId2"/>
    <sheet name="S1 per region" sheetId="71" r:id="rId3"/>
    <sheet name="S1 per RevStr" sheetId="85" r:id="rId4"/>
    <sheet name="S1 per RevStr (2)" sheetId="101" r:id="rId5"/>
    <sheet name="S2 per region" sheetId="88" r:id="rId6"/>
    <sheet name="S2 per RevStr" sheetId="91" r:id="rId7"/>
    <sheet name="S4 per region" sheetId="95" r:id="rId8"/>
    <sheet name="S4 per RevStr" sheetId="97" r:id="rId9"/>
    <sheet name="IT per RevStr" sheetId="78" r:id="rId10"/>
    <sheet name="S1 per region (2)" sheetId="79" state="hidden" r:id="rId11"/>
    <sheet name="S2 per region (2)" sheetId="83" state="hidden" r:id="rId12"/>
    <sheet name="IT per RevStr Grp" sheetId="100" r:id="rId13"/>
    <sheet name="IT per RevStr (2)" sheetId="98" r:id="rId14"/>
    <sheet name="IT per RevStr (3)" sheetId="99" r:id="rId15"/>
    <sheet name="S1 OB EI" sheetId="77" r:id="rId16"/>
    <sheet name="BExRepositorySheet" sheetId="102" state="veryHidden" r:id="rId17"/>
    <sheet name="S1 OB EI per region" sheetId="93" r:id="rId18"/>
    <sheet name="H1 per Region" sheetId="29" state="hidden" r:id="rId19"/>
  </sheets>
  <calcPr calcId="191029"/>
  <pivotCaches>
    <pivotCache cacheId="77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01" i="83" l="1"/>
  <c r="AO100" i="83"/>
  <c r="AO99" i="83"/>
  <c r="AO98" i="83"/>
  <c r="AO97" i="83"/>
  <c r="AO96" i="83"/>
  <c r="AO95" i="83"/>
  <c r="AO94" i="83"/>
  <c r="AO93" i="83"/>
  <c r="AO92" i="83"/>
  <c r="AO91" i="83"/>
  <c r="AO90" i="83"/>
  <c r="AO89" i="83"/>
  <c r="AO88" i="83"/>
  <c r="AO87" i="83"/>
  <c r="AO86" i="83"/>
  <c r="AO85" i="83"/>
  <c r="AE81" i="83"/>
  <c r="AE82" i="83" s="1"/>
  <c r="Z79" i="83"/>
  <c r="Y79" i="83"/>
  <c r="X79" i="83"/>
  <c r="W79" i="83"/>
  <c r="V79" i="83"/>
  <c r="U79" i="83"/>
  <c r="T79" i="83"/>
  <c r="S79" i="83"/>
  <c r="R79" i="83"/>
  <c r="Q79" i="83"/>
  <c r="P79" i="83"/>
  <c r="O79" i="83"/>
  <c r="N79" i="83"/>
  <c r="M79" i="83"/>
  <c r="L79" i="83"/>
  <c r="K79" i="83"/>
  <c r="J79" i="83"/>
  <c r="I79" i="83"/>
  <c r="H79" i="83"/>
  <c r="G79" i="83"/>
  <c r="F79" i="83"/>
  <c r="E79" i="83"/>
  <c r="D79" i="83"/>
  <c r="C79" i="83"/>
  <c r="Z78" i="83"/>
  <c r="Y78" i="83"/>
  <c r="X78" i="83"/>
  <c r="W78" i="83"/>
  <c r="V78" i="83"/>
  <c r="U78" i="83"/>
  <c r="T78" i="83"/>
  <c r="S78" i="83"/>
  <c r="R78" i="83"/>
  <c r="Q78" i="83"/>
  <c r="Q99" i="83" s="1"/>
  <c r="Q100" i="83" s="1"/>
  <c r="P78" i="83"/>
  <c r="P99" i="83" s="1"/>
  <c r="P100" i="83" s="1"/>
  <c r="O78" i="83"/>
  <c r="O99" i="83" s="1"/>
  <c r="O100" i="83" s="1"/>
  <c r="N78" i="83"/>
  <c r="M78" i="83"/>
  <c r="L78" i="83"/>
  <c r="L99" i="83" s="1"/>
  <c r="L100" i="83" s="1"/>
  <c r="K78" i="83"/>
  <c r="K99" i="83" s="1"/>
  <c r="K100" i="83" s="1"/>
  <c r="J78" i="83"/>
  <c r="J99" i="83" s="1"/>
  <c r="J100" i="83" s="1"/>
  <c r="I78" i="83"/>
  <c r="I99" i="83" s="1"/>
  <c r="I100" i="83" s="1"/>
  <c r="H78" i="83"/>
  <c r="H99" i="83" s="1"/>
  <c r="H100" i="83" s="1"/>
  <c r="G78" i="83"/>
  <c r="G99" i="83" s="1"/>
  <c r="G100" i="83" s="1"/>
  <c r="F78" i="83"/>
  <c r="E78" i="83"/>
  <c r="E99" i="83" s="1"/>
  <c r="E100" i="83" s="1"/>
  <c r="D78" i="83"/>
  <c r="D99" i="83" s="1"/>
  <c r="D100" i="83" s="1"/>
  <c r="C78" i="83"/>
  <c r="C99" i="83" s="1"/>
  <c r="C100" i="83" s="1"/>
  <c r="Z76" i="83"/>
  <c r="Z97" i="83" s="1"/>
  <c r="Z98" i="83" s="1"/>
  <c r="Y76" i="83"/>
  <c r="Y97" i="83" s="1"/>
  <c r="Y98" i="83" s="1"/>
  <c r="X76" i="83"/>
  <c r="X97" i="83" s="1"/>
  <c r="X98" i="83" s="1"/>
  <c r="W76" i="83"/>
  <c r="W97" i="83" s="1"/>
  <c r="W98" i="83" s="1"/>
  <c r="V76" i="83"/>
  <c r="V97" i="83" s="1"/>
  <c r="V98" i="83" s="1"/>
  <c r="U76" i="83"/>
  <c r="U97" i="83" s="1"/>
  <c r="U98" i="83" s="1"/>
  <c r="T76" i="83"/>
  <c r="T97" i="83" s="1"/>
  <c r="T98" i="83" s="1"/>
  <c r="S76" i="83"/>
  <c r="S97" i="83" s="1"/>
  <c r="S98" i="83" s="1"/>
  <c r="R76" i="83"/>
  <c r="R97" i="83" s="1"/>
  <c r="R98" i="83" s="1"/>
  <c r="Q76" i="83"/>
  <c r="Q97" i="83" s="1"/>
  <c r="Q98" i="83" s="1"/>
  <c r="P76" i="83"/>
  <c r="P97" i="83" s="1"/>
  <c r="P98" i="83" s="1"/>
  <c r="O76" i="83"/>
  <c r="O97" i="83" s="1"/>
  <c r="O98" i="83" s="1"/>
  <c r="N76" i="83"/>
  <c r="N97" i="83" s="1"/>
  <c r="N98" i="83" s="1"/>
  <c r="M76" i="83"/>
  <c r="M97" i="83" s="1"/>
  <c r="M98" i="83" s="1"/>
  <c r="L76" i="83"/>
  <c r="L97" i="83" s="1"/>
  <c r="L98" i="83" s="1"/>
  <c r="K76" i="83"/>
  <c r="K97" i="83" s="1"/>
  <c r="K98" i="83" s="1"/>
  <c r="J76" i="83"/>
  <c r="J97" i="83" s="1"/>
  <c r="J98" i="83" s="1"/>
  <c r="I76" i="83"/>
  <c r="I97" i="83" s="1"/>
  <c r="I98" i="83" s="1"/>
  <c r="H76" i="83"/>
  <c r="H97" i="83" s="1"/>
  <c r="H98" i="83" s="1"/>
  <c r="G76" i="83"/>
  <c r="G97" i="83" s="1"/>
  <c r="G98" i="83" s="1"/>
  <c r="F76" i="83"/>
  <c r="F97" i="83" s="1"/>
  <c r="F98" i="83" s="1"/>
  <c r="E76" i="83"/>
  <c r="E97" i="83" s="1"/>
  <c r="E98" i="83" s="1"/>
  <c r="D76" i="83"/>
  <c r="D97" i="83" s="1"/>
  <c r="D98" i="83" s="1"/>
  <c r="C76" i="83"/>
  <c r="C97" i="83" s="1"/>
  <c r="C98" i="83" s="1"/>
  <c r="Z74" i="83"/>
  <c r="Z95" i="83" s="1"/>
  <c r="Z96" i="83" s="1"/>
  <c r="Y74" i="83"/>
  <c r="Y95" i="83" s="1"/>
  <c r="Y96" i="83" s="1"/>
  <c r="X74" i="83"/>
  <c r="X95" i="83" s="1"/>
  <c r="X96" i="83" s="1"/>
  <c r="W74" i="83"/>
  <c r="W95" i="83" s="1"/>
  <c r="W96" i="83" s="1"/>
  <c r="V74" i="83"/>
  <c r="V95" i="83" s="1"/>
  <c r="V96" i="83" s="1"/>
  <c r="U74" i="83"/>
  <c r="U95" i="83" s="1"/>
  <c r="U96" i="83" s="1"/>
  <c r="T74" i="83"/>
  <c r="T95" i="83" s="1"/>
  <c r="T96" i="83" s="1"/>
  <c r="S74" i="83"/>
  <c r="S95" i="83" s="1"/>
  <c r="S96" i="83" s="1"/>
  <c r="R74" i="83"/>
  <c r="R95" i="83" s="1"/>
  <c r="R96" i="83" s="1"/>
  <c r="Q74" i="83"/>
  <c r="Q95" i="83" s="1"/>
  <c r="Q96" i="83" s="1"/>
  <c r="P74" i="83"/>
  <c r="P95" i="83" s="1"/>
  <c r="P96" i="83" s="1"/>
  <c r="O74" i="83"/>
  <c r="O95" i="83" s="1"/>
  <c r="O96" i="83" s="1"/>
  <c r="N74" i="83"/>
  <c r="N95" i="83" s="1"/>
  <c r="N96" i="83" s="1"/>
  <c r="M74" i="83"/>
  <c r="M95" i="83" s="1"/>
  <c r="M96" i="83" s="1"/>
  <c r="L74" i="83"/>
  <c r="L95" i="83" s="1"/>
  <c r="L96" i="83" s="1"/>
  <c r="K74" i="83"/>
  <c r="K95" i="83" s="1"/>
  <c r="K96" i="83" s="1"/>
  <c r="J74" i="83"/>
  <c r="J95" i="83" s="1"/>
  <c r="J96" i="83" s="1"/>
  <c r="I74" i="83"/>
  <c r="I95" i="83" s="1"/>
  <c r="I96" i="83" s="1"/>
  <c r="H74" i="83"/>
  <c r="H95" i="83" s="1"/>
  <c r="H96" i="83" s="1"/>
  <c r="G74" i="83"/>
  <c r="G95" i="83" s="1"/>
  <c r="G96" i="83" s="1"/>
  <c r="F74" i="83"/>
  <c r="F95" i="83" s="1"/>
  <c r="F96" i="83" s="1"/>
  <c r="E74" i="83"/>
  <c r="E95" i="83" s="1"/>
  <c r="E96" i="83" s="1"/>
  <c r="D74" i="83"/>
  <c r="D95" i="83" s="1"/>
  <c r="D96" i="83" s="1"/>
  <c r="C74" i="83"/>
  <c r="C95" i="83" s="1"/>
  <c r="C96" i="83" s="1"/>
  <c r="Z72" i="83"/>
  <c r="Z93" i="83" s="1"/>
  <c r="Y72" i="83"/>
  <c r="Y93" i="83" s="1"/>
  <c r="X72" i="83"/>
  <c r="X93" i="83" s="1"/>
  <c r="W72" i="83"/>
  <c r="W93" i="83" s="1"/>
  <c r="V72" i="83"/>
  <c r="V93" i="83" s="1"/>
  <c r="U72" i="83"/>
  <c r="U93" i="83" s="1"/>
  <c r="T72" i="83"/>
  <c r="T93" i="83" s="1"/>
  <c r="S72" i="83"/>
  <c r="S93" i="83" s="1"/>
  <c r="R72" i="83"/>
  <c r="R93" i="83" s="1"/>
  <c r="Q72" i="83"/>
  <c r="Q93" i="83" s="1"/>
  <c r="P72" i="83"/>
  <c r="P93" i="83" s="1"/>
  <c r="O72" i="83"/>
  <c r="O93" i="83" s="1"/>
  <c r="N72" i="83"/>
  <c r="N93" i="83" s="1"/>
  <c r="M72" i="83"/>
  <c r="M93" i="83" s="1"/>
  <c r="L72" i="83"/>
  <c r="L93" i="83" s="1"/>
  <c r="K72" i="83"/>
  <c r="K93" i="83" s="1"/>
  <c r="J72" i="83"/>
  <c r="J93" i="83" s="1"/>
  <c r="I72" i="83"/>
  <c r="I93" i="83" s="1"/>
  <c r="H72" i="83"/>
  <c r="H93" i="83" s="1"/>
  <c r="G72" i="83"/>
  <c r="G93" i="83" s="1"/>
  <c r="F72" i="83"/>
  <c r="F93" i="83" s="1"/>
  <c r="E72" i="83"/>
  <c r="E93" i="83" s="1"/>
  <c r="D72" i="83"/>
  <c r="D93" i="83" s="1"/>
  <c r="C72" i="83"/>
  <c r="C93" i="83" s="1"/>
  <c r="Z71" i="83"/>
  <c r="Z92" i="83" s="1"/>
  <c r="Z94" i="83" s="1"/>
  <c r="Y71" i="83"/>
  <c r="Y92" i="83" s="1"/>
  <c r="Y94" i="83" s="1"/>
  <c r="X71" i="83"/>
  <c r="X92" i="83" s="1"/>
  <c r="X94" i="83" s="1"/>
  <c r="W71" i="83"/>
  <c r="W92" i="83" s="1"/>
  <c r="W94" i="83" s="1"/>
  <c r="V71" i="83"/>
  <c r="V92" i="83" s="1"/>
  <c r="V94" i="83" s="1"/>
  <c r="U71" i="83"/>
  <c r="U92" i="83" s="1"/>
  <c r="T71" i="83"/>
  <c r="T92" i="83" s="1"/>
  <c r="T94" i="83" s="1"/>
  <c r="S71" i="83"/>
  <c r="S92" i="83" s="1"/>
  <c r="R71" i="83"/>
  <c r="R92" i="83" s="1"/>
  <c r="R94" i="83" s="1"/>
  <c r="Q71" i="83"/>
  <c r="Q92" i="83" s="1"/>
  <c r="Q94" i="83" s="1"/>
  <c r="P71" i="83"/>
  <c r="P92" i="83" s="1"/>
  <c r="P94" i="83" s="1"/>
  <c r="O71" i="83"/>
  <c r="O92" i="83" s="1"/>
  <c r="N71" i="83"/>
  <c r="N92" i="83" s="1"/>
  <c r="M71" i="83"/>
  <c r="M92" i="83" s="1"/>
  <c r="M94" i="83" s="1"/>
  <c r="L71" i="83"/>
  <c r="L92" i="83" s="1"/>
  <c r="L94" i="83" s="1"/>
  <c r="K71" i="83"/>
  <c r="K92" i="83" s="1"/>
  <c r="J71" i="83"/>
  <c r="J92" i="83" s="1"/>
  <c r="I71" i="83"/>
  <c r="I92" i="83" s="1"/>
  <c r="I94" i="83" s="1"/>
  <c r="H71" i="83"/>
  <c r="H92" i="83" s="1"/>
  <c r="H94" i="83" s="1"/>
  <c r="G71" i="83"/>
  <c r="G92" i="83" s="1"/>
  <c r="G94" i="83" s="1"/>
  <c r="F71" i="83"/>
  <c r="F92" i="83" s="1"/>
  <c r="E71" i="83"/>
  <c r="E92" i="83" s="1"/>
  <c r="E94" i="83" s="1"/>
  <c r="D71" i="83"/>
  <c r="D92" i="83" s="1"/>
  <c r="C71" i="83"/>
  <c r="C92" i="83" s="1"/>
  <c r="Z69" i="83"/>
  <c r="Y69" i="83"/>
  <c r="X69" i="83"/>
  <c r="W69" i="83"/>
  <c r="V69" i="83"/>
  <c r="U69" i="83"/>
  <c r="T69" i="83"/>
  <c r="S69" i="83"/>
  <c r="R69" i="83"/>
  <c r="Q69" i="83"/>
  <c r="P69" i="83"/>
  <c r="O69" i="83"/>
  <c r="N69" i="83"/>
  <c r="M69" i="83"/>
  <c r="L69" i="83"/>
  <c r="K69" i="83"/>
  <c r="J69" i="83"/>
  <c r="I69" i="83"/>
  <c r="H69" i="83"/>
  <c r="G69" i="83"/>
  <c r="F69" i="83"/>
  <c r="E69" i="83"/>
  <c r="D69" i="83"/>
  <c r="C69" i="83"/>
  <c r="Z68" i="83"/>
  <c r="Y68" i="83"/>
  <c r="X68" i="83"/>
  <c r="W68" i="83"/>
  <c r="V68" i="83"/>
  <c r="U68" i="83"/>
  <c r="T68" i="83"/>
  <c r="S68" i="83"/>
  <c r="R68" i="83"/>
  <c r="Q68" i="83"/>
  <c r="P68" i="83"/>
  <c r="O68" i="83"/>
  <c r="N68" i="83"/>
  <c r="M68" i="83"/>
  <c r="L68" i="83"/>
  <c r="K68" i="83"/>
  <c r="J68" i="83"/>
  <c r="I68" i="83"/>
  <c r="H68" i="83"/>
  <c r="G68" i="83"/>
  <c r="F68" i="83"/>
  <c r="E68" i="83"/>
  <c r="D68" i="83"/>
  <c r="C68" i="83"/>
  <c r="Z67" i="83"/>
  <c r="Y67" i="83"/>
  <c r="X67" i="83"/>
  <c r="W67" i="83"/>
  <c r="V67" i="83"/>
  <c r="U67" i="83"/>
  <c r="T67" i="83"/>
  <c r="S67" i="83"/>
  <c r="R67" i="83"/>
  <c r="Q67" i="83"/>
  <c r="P67" i="83"/>
  <c r="O67" i="83"/>
  <c r="N67" i="83"/>
  <c r="M67" i="83"/>
  <c r="L67" i="83"/>
  <c r="K67" i="83"/>
  <c r="J67" i="83"/>
  <c r="I67" i="83"/>
  <c r="H67" i="83"/>
  <c r="G67" i="83"/>
  <c r="F67" i="83"/>
  <c r="E67" i="83"/>
  <c r="D67" i="83"/>
  <c r="C67" i="83"/>
  <c r="Z66" i="83"/>
  <c r="Y66" i="83"/>
  <c r="X66" i="83"/>
  <c r="W66" i="83"/>
  <c r="V66" i="83"/>
  <c r="U66" i="83"/>
  <c r="T66" i="83"/>
  <c r="S66" i="83"/>
  <c r="R66" i="83"/>
  <c r="Q66" i="83"/>
  <c r="P66" i="83"/>
  <c r="O66" i="83"/>
  <c r="N66" i="83"/>
  <c r="M66" i="83"/>
  <c r="L66" i="83"/>
  <c r="K66" i="83"/>
  <c r="J66" i="83"/>
  <c r="I66" i="83"/>
  <c r="H66" i="83"/>
  <c r="G66" i="83"/>
  <c r="F66" i="83"/>
  <c r="E66" i="83"/>
  <c r="D66" i="83"/>
  <c r="C66" i="83"/>
  <c r="Z65" i="83"/>
  <c r="Z90" i="83" s="1"/>
  <c r="Y65" i="83"/>
  <c r="Y90" i="83" s="1"/>
  <c r="X65" i="83"/>
  <c r="X90" i="83" s="1"/>
  <c r="W65" i="83"/>
  <c r="W90" i="83" s="1"/>
  <c r="V65" i="83"/>
  <c r="V90" i="83" s="1"/>
  <c r="U65" i="83"/>
  <c r="U90" i="83" s="1"/>
  <c r="T65" i="83"/>
  <c r="T90" i="83" s="1"/>
  <c r="S65" i="83"/>
  <c r="S90" i="83" s="1"/>
  <c r="R65" i="83"/>
  <c r="R90" i="83" s="1"/>
  <c r="Q65" i="83"/>
  <c r="Q90" i="83" s="1"/>
  <c r="P65" i="83"/>
  <c r="P90" i="83" s="1"/>
  <c r="O65" i="83"/>
  <c r="O90" i="83" s="1"/>
  <c r="N65" i="83"/>
  <c r="N90" i="83" s="1"/>
  <c r="M65" i="83"/>
  <c r="M90" i="83" s="1"/>
  <c r="L65" i="83"/>
  <c r="L90" i="83" s="1"/>
  <c r="K65" i="83"/>
  <c r="K90" i="83" s="1"/>
  <c r="J65" i="83"/>
  <c r="J90" i="83" s="1"/>
  <c r="I65" i="83"/>
  <c r="I90" i="83" s="1"/>
  <c r="H65" i="83"/>
  <c r="H90" i="83" s="1"/>
  <c r="G65" i="83"/>
  <c r="G90" i="83" s="1"/>
  <c r="F65" i="83"/>
  <c r="F90" i="83" s="1"/>
  <c r="E65" i="83"/>
  <c r="E90" i="83" s="1"/>
  <c r="D65" i="83"/>
  <c r="D90" i="83" s="1"/>
  <c r="C65" i="83"/>
  <c r="C90" i="83" s="1"/>
  <c r="Z64" i="83"/>
  <c r="Z89" i="83" s="1"/>
  <c r="Y64" i="83"/>
  <c r="Y89" i="83" s="1"/>
  <c r="X64" i="83"/>
  <c r="X89" i="83" s="1"/>
  <c r="W64" i="83"/>
  <c r="W89" i="83" s="1"/>
  <c r="V64" i="83"/>
  <c r="V89" i="83" s="1"/>
  <c r="U64" i="83"/>
  <c r="U89" i="83" s="1"/>
  <c r="T64" i="83"/>
  <c r="T89" i="83" s="1"/>
  <c r="S64" i="83"/>
  <c r="S89" i="83" s="1"/>
  <c r="R64" i="83"/>
  <c r="R89" i="83" s="1"/>
  <c r="Q64" i="83"/>
  <c r="Q89" i="83" s="1"/>
  <c r="P64" i="83"/>
  <c r="P89" i="83" s="1"/>
  <c r="O64" i="83"/>
  <c r="O89" i="83" s="1"/>
  <c r="N64" i="83"/>
  <c r="N89" i="83" s="1"/>
  <c r="M64" i="83"/>
  <c r="M89" i="83" s="1"/>
  <c r="L64" i="83"/>
  <c r="L89" i="83" s="1"/>
  <c r="K64" i="83"/>
  <c r="K89" i="83" s="1"/>
  <c r="J64" i="83"/>
  <c r="J89" i="83" s="1"/>
  <c r="I64" i="83"/>
  <c r="I89" i="83" s="1"/>
  <c r="H64" i="83"/>
  <c r="H89" i="83" s="1"/>
  <c r="G64" i="83"/>
  <c r="G89" i="83" s="1"/>
  <c r="F64" i="83"/>
  <c r="F89" i="83" s="1"/>
  <c r="E64" i="83"/>
  <c r="E89" i="83" s="1"/>
  <c r="D64" i="83"/>
  <c r="D89" i="83" s="1"/>
  <c r="C64" i="83"/>
  <c r="C89" i="83" s="1"/>
  <c r="Z63" i="83"/>
  <c r="Z88" i="83" s="1"/>
  <c r="Y63" i="83"/>
  <c r="Y88" i="83" s="1"/>
  <c r="X63" i="83"/>
  <c r="X88" i="83" s="1"/>
  <c r="W63" i="83"/>
  <c r="W88" i="83" s="1"/>
  <c r="V63" i="83"/>
  <c r="V88" i="83" s="1"/>
  <c r="U63" i="83"/>
  <c r="U88" i="83" s="1"/>
  <c r="T63" i="83"/>
  <c r="T88" i="83" s="1"/>
  <c r="S63" i="83"/>
  <c r="S88" i="83" s="1"/>
  <c r="R63" i="83"/>
  <c r="R88" i="83" s="1"/>
  <c r="Q63" i="83"/>
  <c r="Q88" i="83" s="1"/>
  <c r="P63" i="83"/>
  <c r="P88" i="83" s="1"/>
  <c r="O63" i="83"/>
  <c r="O88" i="83" s="1"/>
  <c r="N63" i="83"/>
  <c r="N88" i="83" s="1"/>
  <c r="M63" i="83"/>
  <c r="L63" i="83"/>
  <c r="L88" i="83" s="1"/>
  <c r="K63" i="83"/>
  <c r="K88" i="83" s="1"/>
  <c r="J63" i="83"/>
  <c r="J88" i="83" s="1"/>
  <c r="I63" i="83"/>
  <c r="I88" i="83" s="1"/>
  <c r="H63" i="83"/>
  <c r="H88" i="83" s="1"/>
  <c r="G63" i="83"/>
  <c r="F63" i="83"/>
  <c r="F88" i="83" s="1"/>
  <c r="E63" i="83"/>
  <c r="D63" i="83"/>
  <c r="D88" i="83" s="1"/>
  <c r="C63" i="83"/>
  <c r="C88" i="83" s="1"/>
  <c r="Z62" i="83"/>
  <c r="Y62" i="83"/>
  <c r="Y87" i="83" s="1"/>
  <c r="X62" i="83"/>
  <c r="X87" i="83" s="1"/>
  <c r="W62" i="83"/>
  <c r="W87" i="83" s="1"/>
  <c r="V62" i="83"/>
  <c r="V87" i="83" s="1"/>
  <c r="U62" i="83"/>
  <c r="U87" i="83" s="1"/>
  <c r="T62" i="83"/>
  <c r="T87" i="83" s="1"/>
  <c r="S62" i="83"/>
  <c r="S87" i="83" s="1"/>
  <c r="R62" i="83"/>
  <c r="Q62" i="83"/>
  <c r="Q87" i="83" s="1"/>
  <c r="P62" i="83"/>
  <c r="P87" i="83" s="1"/>
  <c r="O62" i="83"/>
  <c r="O87" i="83" s="1"/>
  <c r="N62" i="83"/>
  <c r="M62" i="83"/>
  <c r="M87" i="83" s="1"/>
  <c r="L62" i="83"/>
  <c r="L87" i="83" s="1"/>
  <c r="K62" i="83"/>
  <c r="K87" i="83" s="1"/>
  <c r="J62" i="83"/>
  <c r="I62" i="83"/>
  <c r="I87" i="83" s="1"/>
  <c r="H62" i="83"/>
  <c r="H87" i="83" s="1"/>
  <c r="G62" i="83"/>
  <c r="G87" i="83" s="1"/>
  <c r="F62" i="83"/>
  <c r="F87" i="83" s="1"/>
  <c r="E62" i="83"/>
  <c r="E87" i="83" s="1"/>
  <c r="D62" i="83"/>
  <c r="D87" i="83" s="1"/>
  <c r="C62" i="83"/>
  <c r="C87" i="83" s="1"/>
  <c r="Z61" i="83"/>
  <c r="Z86" i="83" s="1"/>
  <c r="Y61" i="83"/>
  <c r="Y86" i="83" s="1"/>
  <c r="X61" i="83"/>
  <c r="X86" i="83" s="1"/>
  <c r="W61" i="83"/>
  <c r="W86" i="83" s="1"/>
  <c r="V61" i="83"/>
  <c r="V86" i="83" s="1"/>
  <c r="U61" i="83"/>
  <c r="U86" i="83" s="1"/>
  <c r="T61" i="83"/>
  <c r="T86" i="83" s="1"/>
  <c r="S61" i="83"/>
  <c r="S86" i="83" s="1"/>
  <c r="R61" i="83"/>
  <c r="R86" i="83" s="1"/>
  <c r="Q61" i="83"/>
  <c r="Q86" i="83" s="1"/>
  <c r="P61" i="83"/>
  <c r="P86" i="83" s="1"/>
  <c r="O61" i="83"/>
  <c r="O86" i="83" s="1"/>
  <c r="N61" i="83"/>
  <c r="N86" i="83" s="1"/>
  <c r="M61" i="83"/>
  <c r="M86" i="83" s="1"/>
  <c r="L61" i="83"/>
  <c r="L86" i="83" s="1"/>
  <c r="K61" i="83"/>
  <c r="K86" i="83" s="1"/>
  <c r="J61" i="83"/>
  <c r="J86" i="83" s="1"/>
  <c r="I61" i="83"/>
  <c r="I86" i="83" s="1"/>
  <c r="H61" i="83"/>
  <c r="H86" i="83" s="1"/>
  <c r="G61" i="83"/>
  <c r="G86" i="83" s="1"/>
  <c r="F61" i="83"/>
  <c r="F86" i="83" s="1"/>
  <c r="E61" i="83"/>
  <c r="E86" i="83" s="1"/>
  <c r="D61" i="83"/>
  <c r="D86" i="83" s="1"/>
  <c r="C61" i="83"/>
  <c r="C86" i="83" s="1"/>
  <c r="Z60" i="83"/>
  <c r="Z85" i="83" s="1"/>
  <c r="Y60" i="83"/>
  <c r="Y85" i="83" s="1"/>
  <c r="X60" i="83"/>
  <c r="X85" i="83" s="1"/>
  <c r="W60" i="83"/>
  <c r="W85" i="83" s="1"/>
  <c r="V60" i="83"/>
  <c r="V85" i="83" s="1"/>
  <c r="U60" i="83"/>
  <c r="U85" i="83" s="1"/>
  <c r="T60" i="83"/>
  <c r="T85" i="83" s="1"/>
  <c r="S60" i="83"/>
  <c r="S85" i="83" s="1"/>
  <c r="R60" i="83"/>
  <c r="R85" i="83" s="1"/>
  <c r="Q60" i="83"/>
  <c r="Q85" i="83" s="1"/>
  <c r="P60" i="83"/>
  <c r="P85" i="83" s="1"/>
  <c r="O60" i="83"/>
  <c r="O85" i="83" s="1"/>
  <c r="N60" i="83"/>
  <c r="N85" i="83" s="1"/>
  <c r="M60" i="83"/>
  <c r="M85" i="83" s="1"/>
  <c r="L60" i="83"/>
  <c r="L85" i="83" s="1"/>
  <c r="K60" i="83"/>
  <c r="K85" i="83" s="1"/>
  <c r="J60" i="83"/>
  <c r="J85" i="83" s="1"/>
  <c r="I60" i="83"/>
  <c r="I85" i="83" s="1"/>
  <c r="H60" i="83"/>
  <c r="H85" i="83" s="1"/>
  <c r="G60" i="83"/>
  <c r="G85" i="83" s="1"/>
  <c r="F60" i="83"/>
  <c r="F85" i="83" s="1"/>
  <c r="F91" i="83" s="1"/>
  <c r="E60" i="83"/>
  <c r="E85" i="83" s="1"/>
  <c r="D60" i="83"/>
  <c r="D85" i="83" s="1"/>
  <c r="C60" i="83"/>
  <c r="C85" i="83" s="1"/>
  <c r="X99" i="83" l="1"/>
  <c r="X100" i="83" s="1"/>
  <c r="M88" i="83"/>
  <c r="M91" i="83" s="1"/>
  <c r="E88" i="83"/>
  <c r="E91" i="83" s="1"/>
  <c r="E101" i="83" s="1"/>
  <c r="P91" i="83"/>
  <c r="P101" i="83" s="1"/>
  <c r="S99" i="83"/>
  <c r="S100" i="83" s="1"/>
  <c r="T99" i="83"/>
  <c r="T100" i="83" s="1"/>
  <c r="F99" i="83"/>
  <c r="F100" i="83" s="1"/>
  <c r="U94" i="83"/>
  <c r="M99" i="83"/>
  <c r="M100" i="83" s="1"/>
  <c r="U99" i="83"/>
  <c r="U100" i="83" s="1"/>
  <c r="N99" i="83"/>
  <c r="N100" i="83" s="1"/>
  <c r="R99" i="83"/>
  <c r="R100" i="83" s="1"/>
  <c r="G88" i="83"/>
  <c r="G91" i="83" s="1"/>
  <c r="G101" i="83" s="1"/>
  <c r="S91" i="83"/>
  <c r="R87" i="83"/>
  <c r="R91" i="83" s="1"/>
  <c r="V99" i="83"/>
  <c r="V100" i="83" s="1"/>
  <c r="X91" i="83"/>
  <c r="J87" i="83"/>
  <c r="J91" i="83" s="1"/>
  <c r="Y99" i="83"/>
  <c r="Y100" i="83" s="1"/>
  <c r="Z99" i="83"/>
  <c r="Z100" i="83" s="1"/>
  <c r="Z87" i="83"/>
  <c r="Z91" i="83" s="1"/>
  <c r="N87" i="83"/>
  <c r="N91" i="83" s="1"/>
  <c r="V91" i="83"/>
  <c r="W99" i="83"/>
  <c r="W100" i="83" s="1"/>
  <c r="H91" i="83"/>
  <c r="H101" i="83" s="1"/>
  <c r="N94" i="83"/>
  <c r="C94" i="83"/>
  <c r="AF101" i="83"/>
  <c r="AL101" i="83"/>
  <c r="AD80" i="83"/>
  <c r="AE80" i="83" s="1"/>
  <c r="AE84" i="83" s="1"/>
  <c r="Q91" i="83"/>
  <c r="Q101" i="83" s="1"/>
  <c r="U91" i="83"/>
  <c r="O91" i="83"/>
  <c r="K94" i="83"/>
  <c r="L91" i="83"/>
  <c r="L101" i="83" s="1"/>
  <c r="C91" i="83"/>
  <c r="K91" i="83"/>
  <c r="W91" i="83"/>
  <c r="S94" i="83"/>
  <c r="D91" i="83"/>
  <c r="D94" i="83"/>
  <c r="T91" i="83"/>
  <c r="I91" i="83"/>
  <c r="I101" i="83" s="1"/>
  <c r="Y91" i="83"/>
  <c r="F94" i="83"/>
  <c r="J94" i="83"/>
  <c r="AD81" i="83"/>
  <c r="AD82" i="83" s="1"/>
  <c r="O94" i="83"/>
  <c r="X101" i="83" l="1"/>
  <c r="M101" i="83"/>
  <c r="T101" i="83"/>
  <c r="F101" i="83"/>
  <c r="U101" i="83"/>
  <c r="R101" i="83"/>
  <c r="S101" i="83"/>
  <c r="V101" i="83"/>
  <c r="Y101" i="83"/>
  <c r="Z101" i="83"/>
  <c r="W101" i="83"/>
  <c r="N101" i="83"/>
  <c r="C101" i="83"/>
  <c r="J101" i="83"/>
  <c r="AG84" i="83"/>
  <c r="AG101" i="83" s="1"/>
  <c r="AP101" i="83" s="1"/>
  <c r="O101" i="83"/>
  <c r="D101" i="83"/>
  <c r="K101" i="83"/>
  <c r="AD84" i="83"/>
  <c r="AE100" i="83"/>
  <c r="AN100" i="83" s="1"/>
  <c r="AE96" i="83"/>
  <c r="AN96" i="83" s="1"/>
  <c r="AE92" i="83"/>
  <c r="AN92" i="83" s="1"/>
  <c r="AE99" i="83"/>
  <c r="AN99" i="83" s="1"/>
  <c r="AE95" i="83"/>
  <c r="AN95" i="83" s="1"/>
  <c r="AE101" i="83"/>
  <c r="AN101" i="83" s="1"/>
  <c r="AE97" i="83"/>
  <c r="AN97" i="83" s="1"/>
  <c r="AE87" i="83"/>
  <c r="AN87" i="83" s="1"/>
  <c r="AE98" i="83"/>
  <c r="AN98" i="83" s="1"/>
  <c r="AE90" i="83"/>
  <c r="AN90" i="83" s="1"/>
  <c r="AE86" i="83"/>
  <c r="AN86" i="83" s="1"/>
  <c r="AE85" i="83"/>
  <c r="AN85" i="83" s="1"/>
  <c r="AE93" i="83"/>
  <c r="AN93" i="83" s="1"/>
  <c r="AE89" i="83"/>
  <c r="AN89" i="83" s="1"/>
  <c r="AE91" i="83"/>
  <c r="AN91" i="83" s="1"/>
  <c r="AE88" i="83"/>
  <c r="AN88" i="83" s="1"/>
  <c r="AE94" i="83"/>
  <c r="AN94" i="83" s="1"/>
  <c r="AG98" i="83" l="1"/>
  <c r="AP98" i="83" s="1"/>
  <c r="AG99" i="83"/>
  <c r="AP99" i="83" s="1"/>
  <c r="AG93" i="83"/>
  <c r="AP93" i="83" s="1"/>
  <c r="AG85" i="83"/>
  <c r="AP85" i="83" s="1"/>
  <c r="AG87" i="83"/>
  <c r="AP87" i="83" s="1"/>
  <c r="AG96" i="83"/>
  <c r="AP96" i="83" s="1"/>
  <c r="AG94" i="83"/>
  <c r="AP94" i="83" s="1"/>
  <c r="AG86" i="83"/>
  <c r="AP86" i="83" s="1"/>
  <c r="AG91" i="83"/>
  <c r="AP91" i="83" s="1"/>
  <c r="AG95" i="83"/>
  <c r="AP95" i="83" s="1"/>
  <c r="AG88" i="83"/>
  <c r="AP88" i="83" s="1"/>
  <c r="AG100" i="83"/>
  <c r="AP100" i="83" s="1"/>
  <c r="AG97" i="83"/>
  <c r="AP97" i="83" s="1"/>
  <c r="AG90" i="83"/>
  <c r="AP90" i="83" s="1"/>
  <c r="AG92" i="83"/>
  <c r="AP92" i="83" s="1"/>
  <c r="AG89" i="83"/>
  <c r="AP89" i="83" s="1"/>
  <c r="AD99" i="83"/>
  <c r="AM99" i="83" s="1"/>
  <c r="AD95" i="83"/>
  <c r="AM95" i="83" s="1"/>
  <c r="AD91" i="83"/>
  <c r="AM91" i="83" s="1"/>
  <c r="AD98" i="83"/>
  <c r="AM98" i="83" s="1"/>
  <c r="AD94" i="83"/>
  <c r="AM94" i="83" s="1"/>
  <c r="AD100" i="83"/>
  <c r="AM100" i="83" s="1"/>
  <c r="AD101" i="83"/>
  <c r="AM101" i="83" s="1"/>
  <c r="AD96" i="83"/>
  <c r="AM96" i="83" s="1"/>
  <c r="AD90" i="83"/>
  <c r="AM90" i="83" s="1"/>
  <c r="AD86" i="83"/>
  <c r="AM86" i="83" s="1"/>
  <c r="AD89" i="83"/>
  <c r="AM89" i="83" s="1"/>
  <c r="AD88" i="83"/>
  <c r="AM88" i="83" s="1"/>
  <c r="AD97" i="83"/>
  <c r="AM97" i="83" s="1"/>
  <c r="AD87" i="83"/>
  <c r="AM87" i="83" s="1"/>
  <c r="AD85" i="83"/>
  <c r="AM85" i="83" s="1"/>
  <c r="AD92" i="83"/>
  <c r="AM92" i="83" s="1"/>
  <c r="AD93" i="83"/>
  <c r="AM93" i="83" s="1"/>
  <c r="AJ92" i="83" l="1"/>
  <c r="AJ88" i="83"/>
  <c r="AJ98" i="83"/>
  <c r="AJ85" i="83"/>
  <c r="AJ89" i="83"/>
  <c r="AJ101" i="83"/>
  <c r="AJ91" i="83"/>
  <c r="AJ96" i="83"/>
  <c r="AJ87" i="83"/>
  <c r="AJ86" i="83"/>
  <c r="AJ100" i="83"/>
  <c r="AJ95" i="83"/>
  <c r="AJ93" i="83"/>
  <c r="AJ97" i="83"/>
  <c r="AJ90" i="83"/>
  <c r="AJ94" i="83"/>
  <c r="AJ99" i="83"/>
  <c r="AO101" i="79" l="1"/>
  <c r="AO100" i="79"/>
  <c r="AO99" i="79"/>
  <c r="AO98" i="79"/>
  <c r="AO97" i="79"/>
  <c r="AO96" i="79"/>
  <c r="AO95" i="79"/>
  <c r="AO94" i="79"/>
  <c r="AO93" i="79"/>
  <c r="AO92" i="79"/>
  <c r="AO91" i="79"/>
  <c r="AO90" i="79"/>
  <c r="AO89" i="79"/>
  <c r="AO88" i="79"/>
  <c r="AO87" i="79"/>
  <c r="AO86" i="79"/>
  <c r="AO85" i="79"/>
  <c r="AF101" i="79" l="1"/>
  <c r="AL101" i="79"/>
  <c r="D60" i="79" l="1"/>
  <c r="D85" i="79" s="1"/>
  <c r="E60" i="79"/>
  <c r="E85" i="79" s="1"/>
  <c r="F60" i="79"/>
  <c r="F85" i="79" s="1"/>
  <c r="G60" i="79"/>
  <c r="G85" i="79" s="1"/>
  <c r="H60" i="79"/>
  <c r="H85" i="79" s="1"/>
  <c r="I60" i="79"/>
  <c r="I85" i="79" s="1"/>
  <c r="J60" i="79"/>
  <c r="J85" i="79" s="1"/>
  <c r="K60" i="79"/>
  <c r="K85" i="79" s="1"/>
  <c r="L60" i="79"/>
  <c r="L85" i="79" s="1"/>
  <c r="M60" i="79"/>
  <c r="M85" i="79" s="1"/>
  <c r="N60" i="79"/>
  <c r="N85" i="79" s="1"/>
  <c r="O60" i="79"/>
  <c r="O85" i="79" s="1"/>
  <c r="P60" i="79"/>
  <c r="P85" i="79" s="1"/>
  <c r="Q60" i="79"/>
  <c r="Q85" i="79" s="1"/>
  <c r="R60" i="79"/>
  <c r="R85" i="79" s="1"/>
  <c r="S60" i="79"/>
  <c r="S85" i="79" s="1"/>
  <c r="T60" i="79"/>
  <c r="T85" i="79" s="1"/>
  <c r="U60" i="79"/>
  <c r="U85" i="79" s="1"/>
  <c r="V60" i="79"/>
  <c r="V85" i="79" s="1"/>
  <c r="W60" i="79"/>
  <c r="W85" i="79" s="1"/>
  <c r="X60" i="79"/>
  <c r="X85" i="79" s="1"/>
  <c r="Y60" i="79"/>
  <c r="Y85" i="79" s="1"/>
  <c r="Z60" i="79"/>
  <c r="Z85" i="79" s="1"/>
  <c r="D61" i="79"/>
  <c r="D86" i="79" s="1"/>
  <c r="E61" i="79"/>
  <c r="E86" i="79" s="1"/>
  <c r="F61" i="79"/>
  <c r="F86" i="79" s="1"/>
  <c r="G61" i="79"/>
  <c r="G86" i="79" s="1"/>
  <c r="H61" i="79"/>
  <c r="H86" i="79" s="1"/>
  <c r="I61" i="79"/>
  <c r="I86" i="79" s="1"/>
  <c r="J61" i="79"/>
  <c r="J86" i="79" s="1"/>
  <c r="K61" i="79"/>
  <c r="K86" i="79" s="1"/>
  <c r="L61" i="79"/>
  <c r="L86" i="79" s="1"/>
  <c r="M61" i="79"/>
  <c r="M86" i="79" s="1"/>
  <c r="N61" i="79"/>
  <c r="N86" i="79" s="1"/>
  <c r="O61" i="79"/>
  <c r="O86" i="79" s="1"/>
  <c r="P61" i="79"/>
  <c r="P86" i="79" s="1"/>
  <c r="Q61" i="79"/>
  <c r="Q86" i="79" s="1"/>
  <c r="R61" i="79"/>
  <c r="R86" i="79" s="1"/>
  <c r="S61" i="79"/>
  <c r="S86" i="79" s="1"/>
  <c r="T61" i="79"/>
  <c r="T86" i="79" s="1"/>
  <c r="U61" i="79"/>
  <c r="U86" i="79" s="1"/>
  <c r="V61" i="79"/>
  <c r="V86" i="79" s="1"/>
  <c r="W61" i="79"/>
  <c r="W86" i="79" s="1"/>
  <c r="X61" i="79"/>
  <c r="X86" i="79" s="1"/>
  <c r="Y61" i="79"/>
  <c r="Y86" i="79" s="1"/>
  <c r="Z61" i="79"/>
  <c r="Z86" i="79" s="1"/>
  <c r="D62" i="79"/>
  <c r="E62" i="79"/>
  <c r="F62" i="79"/>
  <c r="G62" i="79"/>
  <c r="H62" i="79"/>
  <c r="I62" i="79"/>
  <c r="J62" i="79"/>
  <c r="K62" i="79"/>
  <c r="L62" i="79"/>
  <c r="M62" i="79"/>
  <c r="N62" i="79"/>
  <c r="O62" i="79"/>
  <c r="P62" i="79"/>
  <c r="Q62" i="79"/>
  <c r="R62" i="79"/>
  <c r="S62" i="79"/>
  <c r="T62" i="79"/>
  <c r="U62" i="79"/>
  <c r="V62" i="79"/>
  <c r="W62" i="79"/>
  <c r="X62" i="79"/>
  <c r="Y62" i="79"/>
  <c r="Z62" i="79"/>
  <c r="D63" i="79"/>
  <c r="E63" i="79"/>
  <c r="F63" i="79"/>
  <c r="G63" i="79"/>
  <c r="H63" i="79"/>
  <c r="I63" i="79"/>
  <c r="J63" i="79"/>
  <c r="K63" i="79"/>
  <c r="L63" i="79"/>
  <c r="M63" i="79"/>
  <c r="N63" i="79"/>
  <c r="O63" i="79"/>
  <c r="P63" i="79"/>
  <c r="Q63" i="79"/>
  <c r="R63" i="79"/>
  <c r="S63" i="79"/>
  <c r="T63" i="79"/>
  <c r="U63" i="79"/>
  <c r="V63" i="79"/>
  <c r="W63" i="79"/>
  <c r="X63" i="79"/>
  <c r="Y63" i="79"/>
  <c r="Z63" i="79"/>
  <c r="D64" i="79"/>
  <c r="D89" i="79" s="1"/>
  <c r="E64" i="79"/>
  <c r="E89" i="79" s="1"/>
  <c r="F64" i="79"/>
  <c r="F89" i="79" s="1"/>
  <c r="G64" i="79"/>
  <c r="G89" i="79" s="1"/>
  <c r="H64" i="79"/>
  <c r="H89" i="79" s="1"/>
  <c r="I64" i="79"/>
  <c r="I89" i="79" s="1"/>
  <c r="J64" i="79"/>
  <c r="J89" i="79" s="1"/>
  <c r="K64" i="79"/>
  <c r="K89" i="79" s="1"/>
  <c r="L64" i="79"/>
  <c r="L89" i="79" s="1"/>
  <c r="M64" i="79"/>
  <c r="M89" i="79" s="1"/>
  <c r="N64" i="79"/>
  <c r="N89" i="79" s="1"/>
  <c r="O64" i="79"/>
  <c r="O89" i="79" s="1"/>
  <c r="P64" i="79"/>
  <c r="P89" i="79" s="1"/>
  <c r="Q64" i="79"/>
  <c r="Q89" i="79" s="1"/>
  <c r="R64" i="79"/>
  <c r="R89" i="79" s="1"/>
  <c r="S64" i="79"/>
  <c r="S89" i="79" s="1"/>
  <c r="T64" i="79"/>
  <c r="T89" i="79" s="1"/>
  <c r="U64" i="79"/>
  <c r="U89" i="79" s="1"/>
  <c r="V64" i="79"/>
  <c r="V89" i="79" s="1"/>
  <c r="W64" i="79"/>
  <c r="W89" i="79" s="1"/>
  <c r="X64" i="79"/>
  <c r="X89" i="79" s="1"/>
  <c r="Y64" i="79"/>
  <c r="Y89" i="79" s="1"/>
  <c r="Z64" i="79"/>
  <c r="Z89" i="79" s="1"/>
  <c r="D65" i="79"/>
  <c r="D90" i="79" s="1"/>
  <c r="E65" i="79"/>
  <c r="E90" i="79" s="1"/>
  <c r="F65" i="79"/>
  <c r="F90" i="79" s="1"/>
  <c r="G65" i="79"/>
  <c r="G90" i="79" s="1"/>
  <c r="H65" i="79"/>
  <c r="H90" i="79" s="1"/>
  <c r="I65" i="79"/>
  <c r="I90" i="79" s="1"/>
  <c r="J65" i="79"/>
  <c r="J90" i="79" s="1"/>
  <c r="K65" i="79"/>
  <c r="K90" i="79" s="1"/>
  <c r="L65" i="79"/>
  <c r="L90" i="79" s="1"/>
  <c r="M65" i="79"/>
  <c r="M90" i="79" s="1"/>
  <c r="N65" i="79"/>
  <c r="N90" i="79" s="1"/>
  <c r="O65" i="79"/>
  <c r="O90" i="79" s="1"/>
  <c r="P65" i="79"/>
  <c r="P90" i="79" s="1"/>
  <c r="Q65" i="79"/>
  <c r="Q90" i="79" s="1"/>
  <c r="R65" i="79"/>
  <c r="R90" i="79" s="1"/>
  <c r="S65" i="79"/>
  <c r="S90" i="79" s="1"/>
  <c r="T65" i="79"/>
  <c r="T90" i="79" s="1"/>
  <c r="U65" i="79"/>
  <c r="U90" i="79" s="1"/>
  <c r="V65" i="79"/>
  <c r="V90" i="79" s="1"/>
  <c r="W65" i="79"/>
  <c r="W90" i="79" s="1"/>
  <c r="X65" i="79"/>
  <c r="X90" i="79" s="1"/>
  <c r="Y65" i="79"/>
  <c r="Y90" i="79" s="1"/>
  <c r="Z65" i="79"/>
  <c r="Z90" i="79" s="1"/>
  <c r="D66" i="79"/>
  <c r="E66" i="79"/>
  <c r="F66" i="79"/>
  <c r="G66" i="79"/>
  <c r="H66" i="79"/>
  <c r="I66" i="79"/>
  <c r="J66" i="79"/>
  <c r="K66" i="79"/>
  <c r="L66" i="79"/>
  <c r="M66" i="79"/>
  <c r="N66" i="79"/>
  <c r="O66" i="79"/>
  <c r="P66" i="79"/>
  <c r="Q66" i="79"/>
  <c r="R66" i="79"/>
  <c r="S66" i="79"/>
  <c r="T66" i="79"/>
  <c r="U66" i="79"/>
  <c r="V66" i="79"/>
  <c r="W66" i="79"/>
  <c r="X66" i="79"/>
  <c r="Y66" i="79"/>
  <c r="Z66" i="79"/>
  <c r="D67" i="79"/>
  <c r="E67" i="79"/>
  <c r="F67" i="79"/>
  <c r="G67" i="79"/>
  <c r="H67" i="79"/>
  <c r="I67" i="79"/>
  <c r="J67" i="79"/>
  <c r="K67" i="79"/>
  <c r="L67" i="79"/>
  <c r="M67" i="79"/>
  <c r="N67" i="79"/>
  <c r="O67" i="79"/>
  <c r="P67" i="79"/>
  <c r="Q67" i="79"/>
  <c r="R67" i="79"/>
  <c r="S67" i="79"/>
  <c r="T67" i="79"/>
  <c r="U67" i="79"/>
  <c r="V67" i="79"/>
  <c r="W67" i="79"/>
  <c r="X67" i="79"/>
  <c r="Y67" i="79"/>
  <c r="Z67" i="79"/>
  <c r="D68" i="79"/>
  <c r="E68" i="79"/>
  <c r="F68" i="79"/>
  <c r="G68" i="79"/>
  <c r="H68" i="79"/>
  <c r="I68" i="79"/>
  <c r="J68" i="79"/>
  <c r="K68" i="79"/>
  <c r="L68" i="79"/>
  <c r="M68" i="79"/>
  <c r="N68" i="79"/>
  <c r="O68" i="79"/>
  <c r="P68" i="79"/>
  <c r="Q68" i="79"/>
  <c r="R68" i="79"/>
  <c r="S68" i="79"/>
  <c r="T68" i="79"/>
  <c r="U68" i="79"/>
  <c r="V68" i="79"/>
  <c r="W68" i="79"/>
  <c r="X68" i="79"/>
  <c r="Y68" i="79"/>
  <c r="Z68" i="79"/>
  <c r="D69" i="79"/>
  <c r="E69" i="79"/>
  <c r="F69" i="79"/>
  <c r="G69" i="79"/>
  <c r="H69" i="79"/>
  <c r="I69" i="79"/>
  <c r="J69" i="79"/>
  <c r="K69" i="79"/>
  <c r="L69" i="79"/>
  <c r="M69" i="79"/>
  <c r="N69" i="79"/>
  <c r="O69" i="79"/>
  <c r="P69" i="79"/>
  <c r="Q69" i="79"/>
  <c r="R69" i="79"/>
  <c r="S69" i="79"/>
  <c r="T69" i="79"/>
  <c r="U69" i="79"/>
  <c r="V69" i="79"/>
  <c r="W69" i="79"/>
  <c r="X69" i="79"/>
  <c r="Y69" i="79"/>
  <c r="Z69" i="79"/>
  <c r="D71" i="79"/>
  <c r="D92" i="79" s="1"/>
  <c r="E71" i="79"/>
  <c r="E92" i="79" s="1"/>
  <c r="F71" i="79"/>
  <c r="F92" i="79" s="1"/>
  <c r="G71" i="79"/>
  <c r="G92" i="79" s="1"/>
  <c r="H71" i="79"/>
  <c r="H92" i="79" s="1"/>
  <c r="I71" i="79"/>
  <c r="I92" i="79" s="1"/>
  <c r="J71" i="79"/>
  <c r="J92" i="79" s="1"/>
  <c r="K71" i="79"/>
  <c r="K92" i="79" s="1"/>
  <c r="L71" i="79"/>
  <c r="L92" i="79" s="1"/>
  <c r="M71" i="79"/>
  <c r="M92" i="79" s="1"/>
  <c r="N71" i="79"/>
  <c r="N92" i="79" s="1"/>
  <c r="O71" i="79"/>
  <c r="O92" i="79" s="1"/>
  <c r="P71" i="79"/>
  <c r="P92" i="79" s="1"/>
  <c r="Q71" i="79"/>
  <c r="Q92" i="79" s="1"/>
  <c r="R71" i="79"/>
  <c r="R92" i="79" s="1"/>
  <c r="S71" i="79"/>
  <c r="S92" i="79" s="1"/>
  <c r="T71" i="79"/>
  <c r="T92" i="79" s="1"/>
  <c r="U71" i="79"/>
  <c r="U92" i="79" s="1"/>
  <c r="V71" i="79"/>
  <c r="V92" i="79" s="1"/>
  <c r="W71" i="79"/>
  <c r="W92" i="79" s="1"/>
  <c r="X71" i="79"/>
  <c r="X92" i="79" s="1"/>
  <c r="Y71" i="79"/>
  <c r="Y92" i="79" s="1"/>
  <c r="Z71" i="79"/>
  <c r="Z92" i="79" s="1"/>
  <c r="D72" i="79"/>
  <c r="D93" i="79" s="1"/>
  <c r="E72" i="79"/>
  <c r="E93" i="79" s="1"/>
  <c r="F72" i="79"/>
  <c r="F93" i="79" s="1"/>
  <c r="G72" i="79"/>
  <c r="G93" i="79" s="1"/>
  <c r="H72" i="79"/>
  <c r="H93" i="79" s="1"/>
  <c r="I72" i="79"/>
  <c r="I93" i="79" s="1"/>
  <c r="J72" i="79"/>
  <c r="J93" i="79" s="1"/>
  <c r="K72" i="79"/>
  <c r="K93" i="79" s="1"/>
  <c r="L72" i="79"/>
  <c r="L93" i="79" s="1"/>
  <c r="M72" i="79"/>
  <c r="M93" i="79" s="1"/>
  <c r="N72" i="79"/>
  <c r="N93" i="79" s="1"/>
  <c r="O72" i="79"/>
  <c r="O93" i="79" s="1"/>
  <c r="P72" i="79"/>
  <c r="P93" i="79" s="1"/>
  <c r="Q72" i="79"/>
  <c r="Q93" i="79" s="1"/>
  <c r="R72" i="79"/>
  <c r="R93" i="79" s="1"/>
  <c r="S72" i="79"/>
  <c r="S93" i="79" s="1"/>
  <c r="T72" i="79"/>
  <c r="T93" i="79" s="1"/>
  <c r="U72" i="79"/>
  <c r="U93" i="79" s="1"/>
  <c r="V72" i="79"/>
  <c r="V93" i="79" s="1"/>
  <c r="W72" i="79"/>
  <c r="W93" i="79" s="1"/>
  <c r="X72" i="79"/>
  <c r="X93" i="79" s="1"/>
  <c r="Y72" i="79"/>
  <c r="Y93" i="79" s="1"/>
  <c r="Z72" i="79"/>
  <c r="Z93" i="79" s="1"/>
  <c r="D74" i="79"/>
  <c r="D95" i="79" s="1"/>
  <c r="D96" i="79" s="1"/>
  <c r="E74" i="79"/>
  <c r="E95" i="79" s="1"/>
  <c r="E96" i="79" s="1"/>
  <c r="F74" i="79"/>
  <c r="F95" i="79" s="1"/>
  <c r="F96" i="79" s="1"/>
  <c r="G74" i="79"/>
  <c r="G95" i="79" s="1"/>
  <c r="G96" i="79" s="1"/>
  <c r="H74" i="79"/>
  <c r="H95" i="79" s="1"/>
  <c r="H96" i="79" s="1"/>
  <c r="I74" i="79"/>
  <c r="I95" i="79" s="1"/>
  <c r="I96" i="79" s="1"/>
  <c r="J74" i="79"/>
  <c r="J95" i="79" s="1"/>
  <c r="J96" i="79" s="1"/>
  <c r="K74" i="79"/>
  <c r="K95" i="79" s="1"/>
  <c r="K96" i="79" s="1"/>
  <c r="L74" i="79"/>
  <c r="L95" i="79" s="1"/>
  <c r="L96" i="79" s="1"/>
  <c r="M74" i="79"/>
  <c r="M95" i="79" s="1"/>
  <c r="M96" i="79" s="1"/>
  <c r="N74" i="79"/>
  <c r="N95" i="79" s="1"/>
  <c r="N96" i="79" s="1"/>
  <c r="O74" i="79"/>
  <c r="O95" i="79" s="1"/>
  <c r="O96" i="79" s="1"/>
  <c r="P74" i="79"/>
  <c r="P95" i="79" s="1"/>
  <c r="P96" i="79" s="1"/>
  <c r="Q74" i="79"/>
  <c r="Q95" i="79" s="1"/>
  <c r="Q96" i="79" s="1"/>
  <c r="R74" i="79"/>
  <c r="R95" i="79" s="1"/>
  <c r="R96" i="79" s="1"/>
  <c r="S74" i="79"/>
  <c r="S95" i="79" s="1"/>
  <c r="S96" i="79" s="1"/>
  <c r="T74" i="79"/>
  <c r="T95" i="79" s="1"/>
  <c r="T96" i="79" s="1"/>
  <c r="U74" i="79"/>
  <c r="U95" i="79" s="1"/>
  <c r="U96" i="79" s="1"/>
  <c r="V74" i="79"/>
  <c r="V95" i="79" s="1"/>
  <c r="V96" i="79" s="1"/>
  <c r="W74" i="79"/>
  <c r="W95" i="79" s="1"/>
  <c r="W96" i="79" s="1"/>
  <c r="X74" i="79"/>
  <c r="X95" i="79" s="1"/>
  <c r="X96" i="79" s="1"/>
  <c r="Y74" i="79"/>
  <c r="Y95" i="79" s="1"/>
  <c r="Y96" i="79" s="1"/>
  <c r="Z74" i="79"/>
  <c r="Z95" i="79" s="1"/>
  <c r="Z96" i="79" s="1"/>
  <c r="D76" i="79"/>
  <c r="D97" i="79" s="1"/>
  <c r="D98" i="79" s="1"/>
  <c r="E76" i="79"/>
  <c r="E97" i="79" s="1"/>
  <c r="E98" i="79" s="1"/>
  <c r="F76" i="79"/>
  <c r="F97" i="79" s="1"/>
  <c r="F98" i="79" s="1"/>
  <c r="G76" i="79"/>
  <c r="G97" i="79" s="1"/>
  <c r="G98" i="79" s="1"/>
  <c r="H76" i="79"/>
  <c r="H97" i="79" s="1"/>
  <c r="H98" i="79" s="1"/>
  <c r="I76" i="79"/>
  <c r="I97" i="79" s="1"/>
  <c r="I98" i="79" s="1"/>
  <c r="J76" i="79"/>
  <c r="J97" i="79" s="1"/>
  <c r="J98" i="79" s="1"/>
  <c r="K76" i="79"/>
  <c r="K97" i="79" s="1"/>
  <c r="K98" i="79" s="1"/>
  <c r="L76" i="79"/>
  <c r="L97" i="79" s="1"/>
  <c r="L98" i="79" s="1"/>
  <c r="M76" i="79"/>
  <c r="M97" i="79" s="1"/>
  <c r="M98" i="79" s="1"/>
  <c r="N76" i="79"/>
  <c r="N97" i="79" s="1"/>
  <c r="N98" i="79" s="1"/>
  <c r="O76" i="79"/>
  <c r="O97" i="79" s="1"/>
  <c r="O98" i="79" s="1"/>
  <c r="P76" i="79"/>
  <c r="P97" i="79" s="1"/>
  <c r="P98" i="79" s="1"/>
  <c r="Q76" i="79"/>
  <c r="Q97" i="79" s="1"/>
  <c r="Q98" i="79" s="1"/>
  <c r="R76" i="79"/>
  <c r="R97" i="79" s="1"/>
  <c r="R98" i="79" s="1"/>
  <c r="S76" i="79"/>
  <c r="S97" i="79" s="1"/>
  <c r="S98" i="79" s="1"/>
  <c r="T76" i="79"/>
  <c r="T97" i="79" s="1"/>
  <c r="T98" i="79" s="1"/>
  <c r="U76" i="79"/>
  <c r="U97" i="79" s="1"/>
  <c r="U98" i="79" s="1"/>
  <c r="V76" i="79"/>
  <c r="V97" i="79" s="1"/>
  <c r="V98" i="79" s="1"/>
  <c r="W76" i="79"/>
  <c r="W97" i="79" s="1"/>
  <c r="W98" i="79" s="1"/>
  <c r="X76" i="79"/>
  <c r="X97" i="79" s="1"/>
  <c r="X98" i="79" s="1"/>
  <c r="Y76" i="79"/>
  <c r="Y97" i="79" s="1"/>
  <c r="Y98" i="79" s="1"/>
  <c r="Z76" i="79"/>
  <c r="Z97" i="79" s="1"/>
  <c r="Z98" i="79" s="1"/>
  <c r="D78" i="79"/>
  <c r="E78" i="79"/>
  <c r="F78" i="79"/>
  <c r="G78" i="79"/>
  <c r="H78" i="79"/>
  <c r="I78" i="79"/>
  <c r="J78" i="79"/>
  <c r="K78" i="79"/>
  <c r="L78" i="79"/>
  <c r="M78" i="79"/>
  <c r="N78" i="79"/>
  <c r="O78" i="79"/>
  <c r="P78" i="79"/>
  <c r="Q78" i="79"/>
  <c r="R78" i="79"/>
  <c r="S78" i="79"/>
  <c r="T78" i="79"/>
  <c r="U78" i="79"/>
  <c r="V78" i="79"/>
  <c r="W78" i="79"/>
  <c r="X78" i="79"/>
  <c r="Y78" i="79"/>
  <c r="Z78" i="79"/>
  <c r="D79" i="79"/>
  <c r="E79" i="79"/>
  <c r="F79" i="79"/>
  <c r="G79" i="79"/>
  <c r="H79" i="79"/>
  <c r="I79" i="79"/>
  <c r="J79" i="79"/>
  <c r="K79" i="79"/>
  <c r="L79" i="79"/>
  <c r="M79" i="79"/>
  <c r="N79" i="79"/>
  <c r="O79" i="79"/>
  <c r="P79" i="79"/>
  <c r="Q79" i="79"/>
  <c r="R79" i="79"/>
  <c r="S79" i="79"/>
  <c r="T79" i="79"/>
  <c r="U79" i="79"/>
  <c r="V79" i="79"/>
  <c r="W79" i="79"/>
  <c r="X79" i="79"/>
  <c r="Y79" i="79"/>
  <c r="Z79" i="79"/>
  <c r="C79" i="79"/>
  <c r="C78" i="79"/>
  <c r="C76" i="79"/>
  <c r="C97" i="79" s="1"/>
  <c r="C98" i="79" s="1"/>
  <c r="C74" i="79"/>
  <c r="C95" i="79" s="1"/>
  <c r="C96" i="79" s="1"/>
  <c r="C72" i="79"/>
  <c r="C93" i="79" s="1"/>
  <c r="C71" i="79"/>
  <c r="C92" i="79" s="1"/>
  <c r="C69" i="79"/>
  <c r="C68" i="79"/>
  <c r="C67" i="79"/>
  <c r="C66" i="79"/>
  <c r="C65" i="79"/>
  <c r="C90" i="79" s="1"/>
  <c r="C64" i="79"/>
  <c r="C89" i="79" s="1"/>
  <c r="C63" i="79"/>
  <c r="C62" i="79"/>
  <c r="C61" i="79"/>
  <c r="C86" i="79" s="1"/>
  <c r="C60" i="79"/>
  <c r="C85" i="79" s="1"/>
  <c r="AE81" i="79"/>
  <c r="AE82" i="79" s="1"/>
  <c r="C87" i="79" l="1"/>
  <c r="C94" i="79"/>
  <c r="C99" i="79"/>
  <c r="C100" i="79" s="1"/>
  <c r="W99" i="79"/>
  <c r="W100" i="79" s="1"/>
  <c r="S99" i="79"/>
  <c r="S100" i="79" s="1"/>
  <c r="O99" i="79"/>
  <c r="O100" i="79" s="1"/>
  <c r="K99" i="79"/>
  <c r="K100" i="79" s="1"/>
  <c r="G99" i="79"/>
  <c r="G100" i="79" s="1"/>
  <c r="N94" i="79"/>
  <c r="T94" i="79"/>
  <c r="L94" i="79"/>
  <c r="D94" i="79"/>
  <c r="U88" i="79"/>
  <c r="Q88" i="79"/>
  <c r="M88" i="79"/>
  <c r="E88" i="79"/>
  <c r="W94" i="79"/>
  <c r="G94" i="79"/>
  <c r="Y88" i="79"/>
  <c r="I88" i="79"/>
  <c r="P87" i="79"/>
  <c r="X88" i="79"/>
  <c r="T88" i="79"/>
  <c r="P88" i="79"/>
  <c r="L88" i="79"/>
  <c r="H88" i="79"/>
  <c r="D88" i="79"/>
  <c r="X87" i="79"/>
  <c r="L87" i="79"/>
  <c r="D87" i="79"/>
  <c r="C88" i="79"/>
  <c r="Z94" i="79"/>
  <c r="V94" i="79"/>
  <c r="R94" i="79"/>
  <c r="J94" i="79"/>
  <c r="F94" i="79"/>
  <c r="T87" i="79"/>
  <c r="H87" i="79"/>
  <c r="O94" i="79"/>
  <c r="O87" i="79"/>
  <c r="G87" i="79"/>
  <c r="X99" i="79"/>
  <c r="X100" i="79" s="1"/>
  <c r="T99" i="79"/>
  <c r="T100" i="79" s="1"/>
  <c r="P99" i="79"/>
  <c r="P100" i="79" s="1"/>
  <c r="L99" i="79"/>
  <c r="L100" i="79" s="1"/>
  <c r="H99" i="79"/>
  <c r="H100" i="79" s="1"/>
  <c r="D99" i="79"/>
  <c r="D100" i="79" s="1"/>
  <c r="X94" i="79"/>
  <c r="P94" i="79"/>
  <c r="H94" i="79"/>
  <c r="K94" i="79"/>
  <c r="S87" i="79"/>
  <c r="Z99" i="79"/>
  <c r="Z100" i="79" s="1"/>
  <c r="V99" i="79"/>
  <c r="V100" i="79" s="1"/>
  <c r="R99" i="79"/>
  <c r="R100" i="79" s="1"/>
  <c r="N99" i="79"/>
  <c r="N100" i="79" s="1"/>
  <c r="J99" i="79"/>
  <c r="J100" i="79" s="1"/>
  <c r="F99" i="79"/>
  <c r="F100" i="79" s="1"/>
  <c r="W88" i="79"/>
  <c r="S88" i="79"/>
  <c r="O88" i="79"/>
  <c r="K88" i="79"/>
  <c r="G88" i="79"/>
  <c r="Z87" i="79"/>
  <c r="V87" i="79"/>
  <c r="R87" i="79"/>
  <c r="N87" i="79"/>
  <c r="J87" i="79"/>
  <c r="F87" i="79"/>
  <c r="S94" i="79"/>
  <c r="W87" i="79"/>
  <c r="K87" i="79"/>
  <c r="Y99" i="79"/>
  <c r="Y100" i="79" s="1"/>
  <c r="U99" i="79"/>
  <c r="U100" i="79" s="1"/>
  <c r="Q99" i="79"/>
  <c r="Q100" i="79" s="1"/>
  <c r="M99" i="79"/>
  <c r="M100" i="79" s="1"/>
  <c r="I99" i="79"/>
  <c r="I100" i="79" s="1"/>
  <c r="E99" i="79"/>
  <c r="E100" i="79" s="1"/>
  <c r="Y94" i="79"/>
  <c r="U94" i="79"/>
  <c r="Q94" i="79"/>
  <c r="M94" i="79"/>
  <c r="I94" i="79"/>
  <c r="E94" i="79"/>
  <c r="Z88" i="79"/>
  <c r="V88" i="79"/>
  <c r="R88" i="79"/>
  <c r="N88" i="79"/>
  <c r="J88" i="79"/>
  <c r="F88" i="79"/>
  <c r="Y87" i="79"/>
  <c r="U87" i="79"/>
  <c r="Q87" i="79"/>
  <c r="M87" i="79"/>
  <c r="I87" i="79"/>
  <c r="E87" i="79"/>
  <c r="AD80" i="79"/>
  <c r="AD81" i="79"/>
  <c r="AD82" i="79" s="1"/>
  <c r="H91" i="79" l="1"/>
  <c r="H101" i="79" s="1"/>
  <c r="L91" i="79"/>
  <c r="L101" i="79" s="1"/>
  <c r="I91" i="79"/>
  <c r="I101" i="79" s="1"/>
  <c r="Q91" i="79"/>
  <c r="Q101" i="79" s="1"/>
  <c r="C91" i="79"/>
  <c r="C101" i="79" s="1"/>
  <c r="T91" i="79"/>
  <c r="T101" i="79" s="1"/>
  <c r="Z91" i="79"/>
  <c r="Z101" i="79" s="1"/>
  <c r="J91" i="79"/>
  <c r="J101" i="79" s="1"/>
  <c r="E91" i="79"/>
  <c r="E101" i="79" s="1"/>
  <c r="M91" i="79"/>
  <c r="M101" i="79" s="1"/>
  <c r="D91" i="79"/>
  <c r="D101" i="79" s="1"/>
  <c r="X91" i="79"/>
  <c r="X101" i="79" s="1"/>
  <c r="Y91" i="79"/>
  <c r="Y101" i="79" s="1"/>
  <c r="W91" i="79"/>
  <c r="W101" i="79" s="1"/>
  <c r="P91" i="79"/>
  <c r="P101" i="79" s="1"/>
  <c r="K91" i="79"/>
  <c r="K101" i="79" s="1"/>
  <c r="O91" i="79"/>
  <c r="O101" i="79" s="1"/>
  <c r="G91" i="79"/>
  <c r="G101" i="79" s="1"/>
  <c r="U91" i="79"/>
  <c r="U101" i="79" s="1"/>
  <c r="AE80" i="79"/>
  <c r="AE84" i="79" s="1"/>
  <c r="AD84" i="79"/>
  <c r="AG84" i="79"/>
  <c r="F91" i="79"/>
  <c r="F101" i="79" s="1"/>
  <c r="V91" i="79"/>
  <c r="V101" i="79" s="1"/>
  <c r="S91" i="79"/>
  <c r="S101" i="79" s="1"/>
  <c r="N91" i="79"/>
  <c r="N101" i="79" s="1"/>
  <c r="R91" i="79"/>
  <c r="R101" i="79" s="1"/>
  <c r="AE101" i="79" l="1"/>
  <c r="AN101" i="79" s="1"/>
  <c r="AE96" i="79"/>
  <c r="AN96" i="79" s="1"/>
  <c r="AE89" i="79"/>
  <c r="AN89" i="79" s="1"/>
  <c r="AE88" i="79"/>
  <c r="AN88" i="79" s="1"/>
  <c r="AE98" i="79"/>
  <c r="AN98" i="79" s="1"/>
  <c r="AE91" i="79"/>
  <c r="AN91" i="79" s="1"/>
  <c r="AE90" i="79"/>
  <c r="AN90" i="79" s="1"/>
  <c r="AE100" i="79"/>
  <c r="AN100" i="79" s="1"/>
  <c r="AE95" i="79"/>
  <c r="AN95" i="79" s="1"/>
  <c r="AE92" i="79"/>
  <c r="AN92" i="79" s="1"/>
  <c r="AE87" i="79"/>
  <c r="AN87" i="79" s="1"/>
  <c r="AE97" i="79"/>
  <c r="AN97" i="79" s="1"/>
  <c r="AE99" i="79"/>
  <c r="AN99" i="79" s="1"/>
  <c r="AG99" i="79"/>
  <c r="AP99" i="79" s="1"/>
  <c r="AG95" i="79"/>
  <c r="AP95" i="79" s="1"/>
  <c r="AG91" i="79"/>
  <c r="AP91" i="79" s="1"/>
  <c r="AG87" i="79"/>
  <c r="AP87" i="79" s="1"/>
  <c r="AG89" i="79"/>
  <c r="AP89" i="79" s="1"/>
  <c r="AG100" i="79"/>
  <c r="AP100" i="79" s="1"/>
  <c r="AG92" i="79"/>
  <c r="AP92" i="79" s="1"/>
  <c r="AG98" i="79"/>
  <c r="AP98" i="79" s="1"/>
  <c r="AG94" i="79"/>
  <c r="AP94" i="79" s="1"/>
  <c r="AG90" i="79"/>
  <c r="AP90" i="79" s="1"/>
  <c r="AG86" i="79"/>
  <c r="AP86" i="79" s="1"/>
  <c r="AG101" i="79"/>
  <c r="AP101" i="79" s="1"/>
  <c r="AG97" i="79"/>
  <c r="AP97" i="79" s="1"/>
  <c r="AG93" i="79"/>
  <c r="AP93" i="79" s="1"/>
  <c r="AG85" i="79"/>
  <c r="AP85" i="79" s="1"/>
  <c r="AG96" i="79"/>
  <c r="AP96" i="79" s="1"/>
  <c r="AG88" i="79"/>
  <c r="AP88" i="79" s="1"/>
  <c r="AE86" i="79"/>
  <c r="AN86" i="79" s="1"/>
  <c r="AE94" i="79"/>
  <c r="AN94" i="79" s="1"/>
  <c r="AE85" i="79"/>
  <c r="AN85" i="79" s="1"/>
  <c r="AE93" i="79"/>
  <c r="AN93" i="79" s="1"/>
  <c r="AD100" i="79"/>
  <c r="AD98" i="79"/>
  <c r="AD96" i="79"/>
  <c r="AD94" i="79"/>
  <c r="AD92" i="79"/>
  <c r="AD90" i="79"/>
  <c r="AD88" i="79"/>
  <c r="AD86" i="79"/>
  <c r="AD101" i="79"/>
  <c r="AD99" i="79"/>
  <c r="AD97" i="79"/>
  <c r="AD95" i="79"/>
  <c r="AD93" i="79"/>
  <c r="AD91" i="79"/>
  <c r="AD89" i="79"/>
  <c r="AD87" i="79"/>
  <c r="AD85" i="79"/>
  <c r="AJ87" i="79" l="1"/>
  <c r="AM87" i="79"/>
  <c r="AJ95" i="79"/>
  <c r="AM95" i="79"/>
  <c r="AJ94" i="79"/>
  <c r="AM94" i="79"/>
  <c r="AJ89" i="79"/>
  <c r="AM89" i="79"/>
  <c r="AJ88" i="79"/>
  <c r="AM88" i="79"/>
  <c r="AJ91" i="79"/>
  <c r="AM91" i="79"/>
  <c r="AJ99" i="79"/>
  <c r="AM99" i="79"/>
  <c r="AJ90" i="79"/>
  <c r="AM90" i="79"/>
  <c r="AJ98" i="79"/>
  <c r="AM98" i="79"/>
  <c r="AJ86" i="79"/>
  <c r="AM86" i="79"/>
  <c r="AJ97" i="79"/>
  <c r="AM97" i="79"/>
  <c r="AJ96" i="79"/>
  <c r="AM96" i="79"/>
  <c r="AJ85" i="79"/>
  <c r="AM85" i="79"/>
  <c r="AJ93" i="79"/>
  <c r="AM93" i="79"/>
  <c r="AJ101" i="79"/>
  <c r="AM101" i="79"/>
  <c r="AJ92" i="79"/>
  <c r="AM92" i="79"/>
  <c r="AJ100" i="79"/>
  <c r="AM100" i="7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2" type="1" refreshedVersion="7" saveData="1">
    <dbPr connection="DSN=MS Access Database;DBQ=\\agfahealthcare.com\dfs\data\be\medical\medical\controlling\Preparation Presentations\OB Data for pivot.mdb;DefaultDir=\\agfahealthcare.com\dfs\data\be\medical\medical\controlling\medical\Controlling\Preparation Presentations;DriverId=25;FIL=MS Access;MaxBufferSize=2048;PageTimeout=5;" command="SELECT `OB - Data source for pivot`.Period, `OB - Data source for pivot`.Year, `OB - Data source for pivot`.`Mth nr`, `OB - Data source for pivot`.`Mth name`, `OB - Data source for pivot`.`Key Fig`, `OB - Data source for pivot`.`Key Fig Detail`, `OB - Data source for pivot`.`BD c`, `OB - Data source for pivot`.`BD d`, `OB - Data source for pivot`.`BU c`, `OB - Data source for pivot`.`BU d`, `OB - Data source for pivot`.`BC c`, `OB - Data source for pivot`.`BC d`, `OB - Data source for pivot`.`FA Grp`, `OB - Data source for pivot`.`FA c`, `OB - Data source for pivot`.`FA d`, `OB - Data source for pivot`.`Dest c`, `OB - Data source for pivot`.`Dest d`, `OB - Data source for pivot`.Val, `OB - Data source for pivot`.GeoFin, `OB - Data source for pivot`.`RGrp lvl1`, `OB - Data source for pivot`.`RGrp lvl2`, `OB - Data source for pivot`.`RGrp lvl3`, `OB - Data source for pivot`.Region, `OB - Data source for pivot`.Subregion, `OB - Data source for pivot`.VUSD_x000d__x000a_FROM `OB - Data source for pivot` `OB - Data source for pivot`"/>
  </connection>
</connections>
</file>

<file path=xl/sharedStrings.xml><?xml version="1.0" encoding="utf-8"?>
<sst xmlns="http://schemas.openxmlformats.org/spreadsheetml/2006/main" count="1529" uniqueCount="159">
  <si>
    <t>Value</t>
  </si>
  <si>
    <t>Year</t>
  </si>
  <si>
    <t>(All)</t>
  </si>
  <si>
    <t>Period</t>
  </si>
  <si>
    <t>Mth nr</t>
  </si>
  <si>
    <t>Mth name</t>
  </si>
  <si>
    <t>Key Fig</t>
  </si>
  <si>
    <t>Key Fig Detail</t>
  </si>
  <si>
    <t>BD c</t>
  </si>
  <si>
    <t>BD d</t>
  </si>
  <si>
    <t>BU c</t>
  </si>
  <si>
    <t>BU d</t>
  </si>
  <si>
    <t>BC c</t>
  </si>
  <si>
    <t>BC d</t>
  </si>
  <si>
    <t>FA c</t>
  </si>
  <si>
    <t>FA d</t>
  </si>
  <si>
    <t>Reg</t>
  </si>
  <si>
    <t>SubR</t>
  </si>
  <si>
    <t>Dest c</t>
  </si>
  <si>
    <t>Dest d</t>
  </si>
  <si>
    <t>Grand Total</t>
  </si>
  <si>
    <t>Total Order Book</t>
  </si>
  <si>
    <t>FA Grp</t>
  </si>
  <si>
    <t>Region Grp</t>
  </si>
  <si>
    <t>Total</t>
  </si>
  <si>
    <t>IT</t>
  </si>
  <si>
    <t>H1</t>
  </si>
  <si>
    <t>Planned Current Year</t>
  </si>
  <si>
    <t>Rev Overdue &lt;= 6 mths</t>
  </si>
  <si>
    <t>JAN</t>
  </si>
  <si>
    <t>2015</t>
  </si>
  <si>
    <t>Planned Next Years</t>
  </si>
  <si>
    <t>IITS</t>
  </si>
  <si>
    <t>IITS Total</t>
  </si>
  <si>
    <t>HCIS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</si>
  <si>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</si>
  <si>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</si>
  <si>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</si>
  <si>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</si>
  <si>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</si>
  <si>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</si>
  <si>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</si>
  <si>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</si>
  <si>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</si>
  <si>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</si>
  <si>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</si>
  <si>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</si>
  <si>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</si>
  <si>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France</t>
  </si>
  <si>
    <t>Dach</t>
  </si>
  <si>
    <t>North</t>
  </si>
  <si>
    <t>Benelux</t>
  </si>
  <si>
    <t>Iberia</t>
  </si>
  <si>
    <t>USA</t>
  </si>
  <si>
    <t>Canada</t>
  </si>
  <si>
    <t>Latin America &amp; Mexico</t>
  </si>
  <si>
    <t>AsPac</t>
  </si>
  <si>
    <t>RoW</t>
  </si>
  <si>
    <t>Not Planned yet</t>
  </si>
  <si>
    <t>Aspac</t>
  </si>
  <si>
    <t>Aspac Total</t>
  </si>
  <si>
    <t>Europe</t>
  </si>
  <si>
    <t>Europe Total</t>
  </si>
  <si>
    <t>Latam</t>
  </si>
  <si>
    <t>Latam Total</t>
  </si>
  <si>
    <t>North America</t>
  </si>
  <si>
    <t>North America Total</t>
  </si>
  <si>
    <t>RoW Total</t>
  </si>
  <si>
    <t>S1</t>
  </si>
  <si>
    <t>S2</t>
  </si>
  <si>
    <t>3rdP Licenses</t>
  </si>
  <si>
    <t>Hardware</t>
  </si>
  <si>
    <t>Implementation Services</t>
  </si>
  <si>
    <t>Managed Services</t>
  </si>
  <si>
    <t>Own Licenses</t>
  </si>
  <si>
    <t>Data</t>
  </si>
  <si>
    <t>Total Value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</si>
  <si>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</si>
  <si>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</si>
  <si>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</si>
  <si>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</si>
  <si>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</si>
  <si>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</si>
  <si>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</si>
  <si>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</si>
  <si>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</si>
  <si>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</si>
  <si>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% of planned current year</t>
  </si>
  <si>
    <t>% last month</t>
  </si>
  <si>
    <t>FOR*</t>
  </si>
  <si>
    <t>FOR* last year</t>
  </si>
  <si>
    <t>% last year</t>
  </si>
  <si>
    <t>LM FOR</t>
  </si>
  <si>
    <t>Italy</t>
  </si>
  <si>
    <t>NORDPOL</t>
  </si>
  <si>
    <t>United Kingdom</t>
  </si>
  <si>
    <t>Belgium Luxemburg</t>
  </si>
  <si>
    <t>Netherlands</t>
  </si>
  <si>
    <t>Greece</t>
  </si>
  <si>
    <t>2016-12</t>
  </si>
  <si>
    <t>Planned OB Current year</t>
  </si>
  <si>
    <t>LY FOR</t>
  </si>
  <si>
    <r>
      <t xml:space="preserve">Grand Total </t>
    </r>
    <r>
      <rPr>
        <b/>
        <sz val="8"/>
        <color indexed="9"/>
        <rFont val="Arial"/>
        <family val="2"/>
      </rPr>
      <t>(incl. WW)</t>
    </r>
  </si>
  <si>
    <t>(Multiple Items)</t>
  </si>
  <si>
    <t>Key Fig Detail2</t>
  </si>
  <si>
    <t>RGrp lvl1</t>
  </si>
  <si>
    <t>RGrp lvl2</t>
  </si>
  <si>
    <t>RGrp lvl3</t>
  </si>
  <si>
    <t>Region</t>
  </si>
  <si>
    <t>Subregion</t>
  </si>
  <si>
    <t>International</t>
  </si>
  <si>
    <t>N.America</t>
  </si>
  <si>
    <t>International Total</t>
  </si>
  <si>
    <t>N.America Total</t>
  </si>
  <si>
    <t>Not Planned  yet</t>
  </si>
  <si>
    <t>South</t>
  </si>
  <si>
    <t>Direct Export</t>
  </si>
  <si>
    <t>South Total</t>
  </si>
  <si>
    <t>Direct Export Total</t>
  </si>
  <si>
    <t>% of total (100%)</t>
  </si>
  <si>
    <t>Total % of total (100%)</t>
  </si>
  <si>
    <t>GeoFin</t>
  </si>
  <si>
    <t>S4</t>
  </si>
  <si>
    <t>New IITS</t>
  </si>
  <si>
    <t>S3</t>
  </si>
  <si>
    <t>FA Grp2</t>
  </si>
  <si>
    <t>Group1</t>
  </si>
  <si>
    <t>Group1 Total</t>
  </si>
  <si>
    <t>Group2</t>
  </si>
  <si>
    <t>Group2 Total</t>
  </si>
  <si>
    <t>HW &amp; 3rdP SW</t>
  </si>
  <si>
    <t>Own SW &amp; All Services</t>
  </si>
  <si>
    <t>HW &amp; 3rdP SW Total</t>
  </si>
  <si>
    <t>Own SW &amp; All Services Total</t>
  </si>
  <si>
    <t>06.2021</t>
  </si>
  <si>
    <t>2025</t>
  </si>
  <si>
    <t>2025-01</t>
  </si>
  <si>
    <t>2025-02</t>
  </si>
  <si>
    <t>Europe North</t>
  </si>
  <si>
    <t>Europe North Total</t>
  </si>
  <si>
    <t>Europe South</t>
  </si>
  <si>
    <t>Europe South Total</t>
  </si>
  <si>
    <t>Worldwide</t>
  </si>
  <si>
    <t>Worldwide Total</t>
  </si>
  <si>
    <t>2025-03</t>
  </si>
  <si>
    <t>2025-04</t>
  </si>
  <si>
    <t>2025-05</t>
  </si>
  <si>
    <t>2025-06</t>
  </si>
  <si>
    <t>2025-07</t>
  </si>
  <si>
    <t>2025-08</t>
  </si>
  <si>
    <t>2025-09</t>
  </si>
  <si>
    <t>HCIS Total</t>
  </si>
  <si>
    <t>2025-10</t>
  </si>
  <si>
    <t>2025-11</t>
  </si>
  <si>
    <t>2025-12</t>
  </si>
  <si>
    <t>2026</t>
  </si>
  <si>
    <t>2026-01</t>
  </si>
  <si>
    <t>FEB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</si>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</sst>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#,##0.0,"/>
  </numFmts>
  <fonts count="38" x14ac:knownFonts="1">
    <font>
      <sz val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9"/>
      <color indexed="9"/>
      <name val="Arial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8"/>
      <color theme="3"/>
      <name val="Cambria"/>
      <family val="2"/>
      <scheme val="maj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26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theme="0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ABABAB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61">
    <xf numFmtId="0" fontId="0" fillId="0" borderId="0"/>
    <xf numFmtId="0" fontId="30" fillId="0" borderId="0" applyNumberFormat="0" applyFill="0" applyBorder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6" fillId="0" borderId="24" applyNumberFormat="0" applyFill="0" applyAlignment="0" applyProtection="0"/>
    <xf numFmtId="0" fontId="16" fillId="0" borderId="0" applyNumberFormat="0" applyFill="0" applyBorder="0" applyAlignment="0" applyProtection="0"/>
    <xf numFmtId="0" fontId="13" fillId="11" borderId="0" applyNumberFormat="0" applyBorder="0" applyAlignment="0" applyProtection="0"/>
    <xf numFmtId="0" fontId="9" fillId="8" borderId="0" applyNumberFormat="0" applyBorder="0" applyAlignment="0" applyProtection="0"/>
    <xf numFmtId="0" fontId="19" fillId="12" borderId="0" applyNumberFormat="0" applyBorder="0" applyAlignment="0" applyProtection="0"/>
    <xf numFmtId="0" fontId="17" fillId="12" borderId="20" applyNumberFormat="0" applyAlignment="0" applyProtection="0"/>
    <xf numFmtId="0" fontId="21" fillId="9" borderId="27" applyNumberFormat="0" applyAlignment="0" applyProtection="0"/>
    <xf numFmtId="0" fontId="10" fillId="9" borderId="20" applyNumberFormat="0" applyAlignment="0" applyProtection="0"/>
    <xf numFmtId="0" fontId="18" fillId="0" borderId="25" applyNumberFormat="0" applyFill="0" applyAlignment="0" applyProtection="0"/>
    <xf numFmtId="0" fontId="11" fillId="10" borderId="21" applyNumberFormat="0" applyAlignment="0" applyProtection="0"/>
    <xf numFmtId="0" fontId="32" fillId="0" borderId="0" applyNumberFormat="0" applyFill="0" applyBorder="0" applyAlignment="0" applyProtection="0"/>
    <xf numFmtId="0" fontId="20" fillId="13" borderId="26" applyNumberFormat="0" applyFont="0" applyAlignment="0" applyProtection="0"/>
    <xf numFmtId="0" fontId="12" fillId="0" borderId="0" applyNumberFormat="0" applyFill="0" applyBorder="0" applyAlignment="0" applyProtection="0"/>
    <xf numFmtId="0" fontId="31" fillId="0" borderId="31" applyNumberFormat="0" applyFill="0" applyAlignment="0" applyProtection="0"/>
    <xf numFmtId="4" fontId="22" fillId="14" borderId="28" applyNumberFormat="0" applyProtection="0">
      <alignment vertical="center"/>
    </xf>
    <xf numFmtId="4" fontId="23" fillId="14" borderId="28" applyNumberFormat="0" applyProtection="0">
      <alignment vertical="center"/>
    </xf>
    <xf numFmtId="4" fontId="22" fillId="14" borderId="28" applyNumberFormat="0" applyProtection="0">
      <alignment horizontal="left" vertical="center" indent="1"/>
    </xf>
    <xf numFmtId="0" fontId="22" fillId="14" borderId="28" applyNumberFormat="0" applyProtection="0">
      <alignment horizontal="left" vertical="top" indent="1"/>
    </xf>
    <xf numFmtId="4" fontId="22" fillId="15" borderId="0" applyNumberFormat="0" applyProtection="0">
      <alignment horizontal="left" vertical="center" indent="1"/>
    </xf>
    <xf numFmtId="4" fontId="24" fillId="16" borderId="28" applyNumberFormat="0" applyProtection="0">
      <alignment horizontal="right" vertical="center"/>
    </xf>
    <xf numFmtId="4" fontId="24" fillId="17" borderId="28" applyNumberFormat="0" applyProtection="0">
      <alignment horizontal="right" vertical="center"/>
    </xf>
    <xf numFmtId="4" fontId="24" fillId="18" borderId="28" applyNumberFormat="0" applyProtection="0">
      <alignment horizontal="right" vertical="center"/>
    </xf>
    <xf numFmtId="4" fontId="24" fillId="19" borderId="28" applyNumberFormat="0" applyProtection="0">
      <alignment horizontal="right" vertical="center"/>
    </xf>
    <xf numFmtId="4" fontId="24" fillId="20" borderId="28" applyNumberFormat="0" applyProtection="0">
      <alignment horizontal="right" vertical="center"/>
    </xf>
    <xf numFmtId="4" fontId="24" fillId="21" borderId="28" applyNumberFormat="0" applyProtection="0">
      <alignment horizontal="right" vertical="center"/>
    </xf>
    <xf numFmtId="4" fontId="24" fillId="22" borderId="28" applyNumberFormat="0" applyProtection="0">
      <alignment horizontal="right" vertical="center"/>
    </xf>
    <xf numFmtId="4" fontId="24" fillId="23" borderId="28" applyNumberFormat="0" applyProtection="0">
      <alignment horizontal="right" vertical="center"/>
    </xf>
    <xf numFmtId="4" fontId="24" fillId="24" borderId="28" applyNumberFormat="0" applyProtection="0">
      <alignment horizontal="right" vertical="center"/>
    </xf>
    <xf numFmtId="4" fontId="22" fillId="25" borderId="29" applyNumberFormat="0" applyProtection="0">
      <alignment horizontal="left" vertical="center" indent="1"/>
    </xf>
    <xf numFmtId="4" fontId="24" fillId="26" borderId="0" applyNumberFormat="0" applyProtection="0">
      <alignment horizontal="left" vertical="center" indent="1"/>
    </xf>
    <xf numFmtId="4" fontId="25" fillId="27" borderId="0" applyNumberFormat="0" applyProtection="0">
      <alignment horizontal="left" vertical="center" indent="1"/>
    </xf>
    <xf numFmtId="4" fontId="24" fillId="15" borderId="28" applyNumberFormat="0" applyProtection="0">
      <alignment horizontal="right" vertical="center"/>
    </xf>
    <xf numFmtId="4" fontId="24" fillId="26" borderId="0" applyNumberFormat="0" applyProtection="0">
      <alignment horizontal="left" vertical="center" indent="1"/>
    </xf>
    <xf numFmtId="4" fontId="24" fillId="15" borderId="0" applyNumberFormat="0" applyProtection="0">
      <alignment horizontal="left" vertical="center" indent="1"/>
    </xf>
    <xf numFmtId="0" fontId="20" fillId="27" borderId="28" applyNumberFormat="0" applyProtection="0">
      <alignment horizontal="left" vertical="center" indent="1"/>
    </xf>
    <xf numFmtId="0" fontId="20" fillId="27" borderId="28" applyNumberFormat="0" applyProtection="0">
      <alignment horizontal="left" vertical="top" indent="1"/>
    </xf>
    <xf numFmtId="0" fontId="20" fillId="15" borderId="28" applyNumberFormat="0" applyProtection="0">
      <alignment horizontal="left" vertical="center" indent="1"/>
    </xf>
    <xf numFmtId="0" fontId="20" fillId="15" borderId="28" applyNumberFormat="0" applyProtection="0">
      <alignment horizontal="left" vertical="top" indent="1"/>
    </xf>
    <xf numFmtId="0" fontId="20" fillId="28" borderId="28" applyNumberFormat="0" applyProtection="0">
      <alignment horizontal="left" vertical="center" indent="1"/>
    </xf>
    <xf numFmtId="0" fontId="20" fillId="28" borderId="28" applyNumberFormat="0" applyProtection="0">
      <alignment horizontal="left" vertical="top" indent="1"/>
    </xf>
    <xf numFmtId="0" fontId="20" fillId="26" borderId="28" applyNumberFormat="0" applyProtection="0">
      <alignment horizontal="left" vertical="center" indent="1"/>
    </xf>
    <xf numFmtId="0" fontId="20" fillId="26" borderId="28" applyNumberFormat="0" applyProtection="0">
      <alignment horizontal="left" vertical="top" indent="1"/>
    </xf>
    <xf numFmtId="0" fontId="20" fillId="29" borderId="30" applyNumberFormat="0">
      <protection locked="0"/>
    </xf>
    <xf numFmtId="4" fontId="24" fillId="30" borderId="28" applyNumberFormat="0" applyProtection="0">
      <alignment vertical="center"/>
    </xf>
    <xf numFmtId="4" fontId="26" fillId="30" borderId="28" applyNumberFormat="0" applyProtection="0">
      <alignment vertical="center"/>
    </xf>
    <xf numFmtId="4" fontId="24" fillId="30" borderId="28" applyNumberFormat="0" applyProtection="0">
      <alignment horizontal="left" vertical="center" indent="1"/>
    </xf>
    <xf numFmtId="0" fontId="24" fillId="30" borderId="28" applyNumberFormat="0" applyProtection="0">
      <alignment horizontal="left" vertical="top" indent="1"/>
    </xf>
    <xf numFmtId="4" fontId="24" fillId="26" borderId="28" applyNumberFormat="0" applyProtection="0">
      <alignment horizontal="right" vertical="center"/>
    </xf>
    <xf numFmtId="4" fontId="26" fillId="26" borderId="28" applyNumberFormat="0" applyProtection="0">
      <alignment horizontal="right" vertical="center"/>
    </xf>
    <xf numFmtId="4" fontId="24" fillId="15" borderId="28" applyNumberFormat="0" applyProtection="0">
      <alignment horizontal="left" vertical="center" indent="1"/>
    </xf>
    <xf numFmtId="0" fontId="24" fillId="15" borderId="28" applyNumberFormat="0" applyProtection="0">
      <alignment horizontal="left" vertical="top" indent="1"/>
    </xf>
    <xf numFmtId="4" fontId="27" fillId="31" borderId="0" applyNumberFormat="0" applyProtection="0">
      <alignment horizontal="left" vertical="center" indent="1"/>
    </xf>
    <xf numFmtId="4" fontId="28" fillId="26" borderId="28" applyNumberFormat="0" applyProtection="0">
      <alignment horizontal="right" vertical="center"/>
    </xf>
    <xf numFmtId="0" fontId="29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</cellStyleXfs>
  <cellXfs count="129">
    <xf numFmtId="0" fontId="0" fillId="0" borderId="0" xfId="0"/>
    <xf numFmtId="0" fontId="0" fillId="0" borderId="1" xfId="0" pivotButton="1" applyBorder="1"/>
    <xf numFmtId="0" fontId="0" fillId="0" borderId="4" xfId="0" pivotButton="1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/>
    <xf numFmtId="0" fontId="1" fillId="2" borderId="6" xfId="0" applyFont="1" applyFill="1" applyBorder="1"/>
    <xf numFmtId="0" fontId="0" fillId="0" borderId="2" xfId="0" pivotButton="1" applyBorder="1"/>
    <xf numFmtId="0" fontId="0" fillId="0" borderId="7" xfId="0" applyBorder="1"/>
    <xf numFmtId="0" fontId="1" fillId="2" borderId="4" xfId="0" applyFont="1" applyFill="1" applyBorder="1"/>
    <xf numFmtId="3" fontId="0" fillId="0" borderId="0" xfId="0" applyNumberFormat="1"/>
    <xf numFmtId="0" fontId="1" fillId="3" borderId="0" xfId="0" applyFont="1" applyFill="1"/>
    <xf numFmtId="0" fontId="0" fillId="0" borderId="8" xfId="0" applyBorder="1"/>
    <xf numFmtId="10" fontId="0" fillId="0" borderId="0" xfId="0" applyNumberFormat="1"/>
    <xf numFmtId="0" fontId="0" fillId="0" borderId="9" xfId="0" applyBorder="1"/>
    <xf numFmtId="0" fontId="0" fillId="0" borderId="14" xfId="0" applyBorder="1"/>
    <xf numFmtId="0" fontId="2" fillId="4" borderId="9" xfId="0" applyFont="1" applyFill="1" applyBorder="1"/>
    <xf numFmtId="0" fontId="2" fillId="4" borderId="1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3" borderId="9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1" fillId="3" borderId="13" xfId="0" applyFont="1" applyFill="1" applyBorder="1" applyAlignment="1">
      <alignment horizontal="right"/>
    </xf>
    <xf numFmtId="0" fontId="3" fillId="2" borderId="15" xfId="0" applyFont="1" applyFill="1" applyBorder="1"/>
    <xf numFmtId="0" fontId="3" fillId="2" borderId="16" xfId="0" applyFont="1" applyFill="1" applyBorder="1"/>
    <xf numFmtId="0" fontId="4" fillId="0" borderId="0" xfId="0" applyFont="1"/>
    <xf numFmtId="3" fontId="0" fillId="0" borderId="0" xfId="0" applyNumberFormat="1" applyFill="1" applyBorder="1"/>
    <xf numFmtId="0" fontId="6" fillId="2" borderId="15" xfId="0" applyFont="1" applyFill="1" applyBorder="1"/>
    <xf numFmtId="0" fontId="5" fillId="3" borderId="17" xfId="0" applyFont="1" applyFill="1" applyBorder="1" applyAlignment="1">
      <alignment horizontal="center" wrapText="1"/>
    </xf>
    <xf numFmtId="3" fontId="0" fillId="0" borderId="18" xfId="0" applyNumberFormat="1" applyBorder="1"/>
    <xf numFmtId="3" fontId="1" fillId="2" borderId="19" xfId="0" applyNumberFormat="1" applyFont="1" applyFill="1" applyBorder="1"/>
    <xf numFmtId="0" fontId="0" fillId="6" borderId="0" xfId="0" applyFill="1"/>
    <xf numFmtId="0" fontId="7" fillId="6" borderId="0" xfId="0" applyFont="1" applyFill="1" applyAlignment="1">
      <alignment horizontal="center" vertical="center"/>
    </xf>
    <xf numFmtId="9" fontId="1" fillId="2" borderId="19" xfId="0" applyNumberFormat="1" applyFont="1" applyFill="1" applyBorder="1"/>
    <xf numFmtId="9" fontId="0" fillId="0" borderId="18" xfId="0" applyNumberFormat="1" applyBorder="1"/>
    <xf numFmtId="165" fontId="0" fillId="0" borderId="0" xfId="0" applyNumberFormat="1"/>
    <xf numFmtId="3" fontId="36" fillId="0" borderId="32" xfId="59" applyNumberFormat="1" applyFont="1" applyBorder="1"/>
    <xf numFmtId="164" fontId="0" fillId="0" borderId="18" xfId="58" applyFont="1" applyBorder="1"/>
    <xf numFmtId="164" fontId="36" fillId="0" borderId="32" xfId="58" applyFont="1" applyBorder="1"/>
    <xf numFmtId="0" fontId="0" fillId="0" borderId="33" xfId="0" pivotButton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0" fillId="0" borderId="42" xfId="0" pivotButton="1" applyBorder="1"/>
    <xf numFmtId="0" fontId="0" fillId="0" borderId="42" xfId="0" applyBorder="1"/>
    <xf numFmtId="0" fontId="0" fillId="0" borderId="34" xfId="0" pivotButton="1" applyBorder="1"/>
    <xf numFmtId="165" fontId="0" fillId="0" borderId="33" xfId="0" applyNumberFormat="1" applyBorder="1"/>
    <xf numFmtId="165" fontId="0" fillId="0" borderId="37" xfId="0" applyNumberFormat="1" applyBorder="1"/>
    <xf numFmtId="0" fontId="0" fillId="0" borderId="43" xfId="0" applyBorder="1"/>
    <xf numFmtId="165" fontId="0" fillId="0" borderId="43" xfId="0" applyNumberFormat="1" applyBorder="1"/>
    <xf numFmtId="0" fontId="3" fillId="3" borderId="33" xfId="0" applyFont="1" applyFill="1" applyBorder="1"/>
    <xf numFmtId="0" fontId="33" fillId="4" borderId="42" xfId="0" applyFont="1" applyFill="1" applyBorder="1"/>
    <xf numFmtId="0" fontId="3" fillId="2" borderId="39" xfId="0" applyFont="1" applyFill="1" applyBorder="1"/>
    <xf numFmtId="165" fontId="3" fillId="2" borderId="39" xfId="0" applyNumberFormat="1" applyFont="1" applyFill="1" applyBorder="1"/>
    <xf numFmtId="165" fontId="3" fillId="2" borderId="40" xfId="0" applyNumberFormat="1" applyFont="1" applyFill="1" applyBorder="1"/>
    <xf numFmtId="0" fontId="3" fillId="3" borderId="39" xfId="0" applyFont="1" applyFill="1" applyBorder="1"/>
    <xf numFmtId="165" fontId="3" fillId="3" borderId="39" xfId="0" applyNumberFormat="1" applyFont="1" applyFill="1" applyBorder="1"/>
    <xf numFmtId="165" fontId="3" fillId="3" borderId="40" xfId="0" applyNumberFormat="1" applyFont="1" applyFill="1" applyBorder="1"/>
    <xf numFmtId="0" fontId="3" fillId="3" borderId="42" xfId="0" applyFont="1" applyFill="1" applyBorder="1"/>
    <xf numFmtId="0" fontId="3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3" fillId="3" borderId="38" xfId="0" applyFont="1" applyFill="1" applyBorder="1" applyAlignment="1">
      <alignment horizontal="right"/>
    </xf>
    <xf numFmtId="0" fontId="8" fillId="5" borderId="33" xfId="0" applyFont="1" applyFill="1" applyBorder="1"/>
    <xf numFmtId="0" fontId="8" fillId="5" borderId="34" xfId="0" applyFont="1" applyFill="1" applyBorder="1"/>
    <xf numFmtId="0" fontId="3" fillId="3" borderId="33" xfId="0" applyFont="1" applyFill="1" applyBorder="1" applyAlignment="1">
      <alignment horizontal="left"/>
    </xf>
    <xf numFmtId="0" fontId="37" fillId="5" borderId="33" xfId="0" applyFont="1" applyFill="1" applyBorder="1"/>
    <xf numFmtId="0" fontId="37" fillId="5" borderId="34" xfId="0" applyFont="1" applyFill="1" applyBorder="1"/>
    <xf numFmtId="0" fontId="3" fillId="2" borderId="44" xfId="0" applyFont="1" applyFill="1" applyBorder="1"/>
    <xf numFmtId="0" fontId="33" fillId="7" borderId="33" xfId="0" applyFont="1" applyFill="1" applyBorder="1"/>
    <xf numFmtId="0" fontId="33" fillId="7" borderId="34" xfId="0" applyFont="1" applyFill="1" applyBorder="1"/>
    <xf numFmtId="165" fontId="33" fillId="7" borderId="33" xfId="0" applyNumberFormat="1" applyFont="1" applyFill="1" applyBorder="1"/>
    <xf numFmtId="165" fontId="33" fillId="7" borderId="37" xfId="0" applyNumberFormat="1" applyFont="1" applyFill="1" applyBorder="1"/>
    <xf numFmtId="0" fontId="3" fillId="3" borderId="42" xfId="0" applyFont="1" applyFill="1" applyBorder="1" applyAlignment="1">
      <alignment horizontal="left"/>
    </xf>
    <xf numFmtId="3" fontId="0" fillId="0" borderId="33" xfId="0" applyNumberFormat="1" applyBorder="1"/>
    <xf numFmtId="3" fontId="0" fillId="0" borderId="37" xfId="0" applyNumberFormat="1" applyBorder="1"/>
    <xf numFmtId="3" fontId="0" fillId="0" borderId="38" xfId="0" applyNumberFormat="1" applyBorder="1"/>
    <xf numFmtId="3" fontId="0" fillId="0" borderId="43" xfId="0" applyNumberFormat="1" applyBorder="1"/>
    <xf numFmtId="3" fontId="3" fillId="2" borderId="39" xfId="0" applyNumberFormat="1" applyFont="1" applyFill="1" applyBorder="1"/>
    <xf numFmtId="3" fontId="3" fillId="2" borderId="40" xfId="0" applyNumberFormat="1" applyFont="1" applyFill="1" applyBorder="1"/>
    <xf numFmtId="3" fontId="33" fillId="7" borderId="33" xfId="0" applyNumberFormat="1" applyFont="1" applyFill="1" applyBorder="1"/>
    <xf numFmtId="3" fontId="33" fillId="7" borderId="37" xfId="0" applyNumberFormat="1" applyFont="1" applyFill="1" applyBorder="1"/>
    <xf numFmtId="10" fontId="0" fillId="0" borderId="33" xfId="0" applyNumberFormat="1" applyBorder="1"/>
    <xf numFmtId="10" fontId="0" fillId="0" borderId="37" xfId="0" applyNumberFormat="1" applyBorder="1"/>
    <xf numFmtId="10" fontId="0" fillId="0" borderId="38" xfId="0" applyNumberFormat="1" applyBorder="1"/>
    <xf numFmtId="10" fontId="0" fillId="0" borderId="43" xfId="0" applyNumberFormat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3" borderId="34" xfId="0" applyFont="1" applyFill="1" applyBorder="1"/>
    <xf numFmtId="0" fontId="3" fillId="3" borderId="44" xfId="0" applyFont="1" applyFill="1" applyBorder="1"/>
    <xf numFmtId="165" fontId="3" fillId="3" borderId="33" xfId="0" applyNumberFormat="1" applyFont="1" applyFill="1" applyBorder="1"/>
    <xf numFmtId="165" fontId="3" fillId="3" borderId="37" xfId="0" applyNumberFormat="1" applyFont="1" applyFill="1" applyBorder="1"/>
    <xf numFmtId="10" fontId="3" fillId="3" borderId="39" xfId="0" applyNumberFormat="1" applyFont="1" applyFill="1" applyBorder="1"/>
    <xf numFmtId="10" fontId="3" fillId="3" borderId="40" xfId="0" applyNumberFormat="1" applyFont="1" applyFill="1" applyBorder="1"/>
    <xf numFmtId="10" fontId="3" fillId="3" borderId="41" xfId="0" applyNumberFormat="1" applyFont="1" applyFill="1" applyBorder="1"/>
    <xf numFmtId="0" fontId="33" fillId="0" borderId="33" xfId="0" applyFont="1" applyBorder="1"/>
    <xf numFmtId="0" fontId="33" fillId="0" borderId="34" xfId="0" applyFont="1" applyBorder="1"/>
    <xf numFmtId="0" fontId="0" fillId="0" borderId="35" xfId="0" pivotButton="1" applyBorder="1"/>
    <xf numFmtId="0" fontId="33" fillId="4" borderId="33" xfId="0" applyFont="1" applyFill="1" applyBorder="1"/>
    <xf numFmtId="0" fontId="33" fillId="4" borderId="36" xfId="0" applyFont="1" applyFill="1" applyBorder="1"/>
    <xf numFmtId="3" fontId="3" fillId="2" borderId="33" xfId="0" applyNumberFormat="1" applyFont="1" applyFill="1" applyBorder="1"/>
    <xf numFmtId="3" fontId="3" fillId="2" borderId="38" xfId="0" applyNumberFormat="1" applyFont="1" applyFill="1" applyBorder="1"/>
    <xf numFmtId="3" fontId="3" fillId="3" borderId="33" xfId="0" applyNumberFormat="1" applyFont="1" applyFill="1" applyBorder="1"/>
    <xf numFmtId="3" fontId="3" fillId="3" borderId="38" xfId="0" applyNumberFormat="1" applyFont="1" applyFill="1" applyBorder="1"/>
    <xf numFmtId="0" fontId="34" fillId="32" borderId="33" xfId="0" applyFont="1" applyFill="1" applyBorder="1"/>
    <xf numFmtId="0" fontId="34" fillId="32" borderId="34" xfId="0" applyFont="1" applyFill="1" applyBorder="1"/>
    <xf numFmtId="10" fontId="34" fillId="32" borderId="33" xfId="0" applyNumberFormat="1" applyFont="1" applyFill="1" applyBorder="1"/>
    <xf numFmtId="10" fontId="34" fillId="32" borderId="38" xfId="0" applyNumberFormat="1" applyFont="1" applyFill="1" applyBorder="1"/>
    <xf numFmtId="3" fontId="3" fillId="2" borderId="37" xfId="0" applyNumberFormat="1" applyFont="1" applyFill="1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10" fontId="3" fillId="3" borderId="47" xfId="0" applyNumberFormat="1" applyFont="1" applyFill="1" applyBorder="1"/>
    <xf numFmtId="3" fontId="0" fillId="0" borderId="39" xfId="0" applyNumberFormat="1" applyBorder="1"/>
    <xf numFmtId="3" fontId="0" fillId="0" borderId="41" xfId="0" applyNumberFormat="1" applyBorder="1"/>
    <xf numFmtId="165" fontId="0" fillId="0" borderId="38" xfId="0" applyNumberFormat="1" applyBorder="1"/>
    <xf numFmtId="165" fontId="0" fillId="0" borderId="32" xfId="0" applyNumberFormat="1" applyBorder="1"/>
    <xf numFmtId="165" fontId="3" fillId="2" borderId="41" xfId="0" applyNumberFormat="1" applyFont="1" applyFill="1" applyBorder="1"/>
    <xf numFmtId="165" fontId="3" fillId="3" borderId="41" xfId="0" applyNumberFormat="1" applyFont="1" applyFill="1" applyBorder="1"/>
    <xf numFmtId="0" fontId="8" fillId="5" borderId="35" xfId="0" applyFont="1" applyFill="1" applyBorder="1"/>
    <xf numFmtId="165" fontId="33" fillId="7" borderId="38" xfId="0" applyNumberFormat="1" applyFont="1" applyFill="1" applyBorder="1"/>
    <xf numFmtId="3" fontId="0" fillId="0" borderId="32" xfId="0" applyNumberFormat="1" applyBorder="1"/>
    <xf numFmtId="3" fontId="3" fillId="2" borderId="41" xfId="0" applyNumberFormat="1" applyFont="1" applyFill="1" applyBorder="1"/>
    <xf numFmtId="3" fontId="33" fillId="7" borderId="38" xfId="0" applyNumberFormat="1" applyFont="1" applyFill="1" applyBorder="1"/>
    <xf numFmtId="10" fontId="0" fillId="0" borderId="32" xfId="0" applyNumberFormat="1" applyBorder="1"/>
    <xf numFmtId="165" fontId="3" fillId="3" borderId="38" xfId="0" applyNumberFormat="1" applyFont="1" applyFill="1" applyBorder="1"/>
    <xf numFmtId="0" fontId="33" fillId="0" borderId="35" xfId="0" applyFont="1" applyBorder="1"/>
  </cellXfs>
  <cellStyles count="61">
    <cellStyle name="Bad" xfId="7" builtinId="27" customBuiltin="1"/>
    <cellStyle name="Calculation" xfId="11" builtinId="22" customBuiltin="1"/>
    <cellStyle name="Check Cell" xfId="13" builtinId="23" customBuiltin="1"/>
    <cellStyle name="Comma" xfId="58" builtinId="3"/>
    <cellStyle name="Comma 2" xfId="60" xr:uid="{00000000-0005-0000-0000-000004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59" xr:uid="{00000000-0005-0000-0000-00000F000000}"/>
    <cellStyle name="Note" xfId="15" builtinId="10" customBuiltin="1"/>
    <cellStyle name="Output" xfId="10" builtinId="21" customBuiltin="1"/>
    <cellStyle name="SAPBEXaggData" xfId="18" xr:uid="{00000000-0005-0000-0000-000012000000}"/>
    <cellStyle name="SAPBEXaggDataEmph" xfId="19" xr:uid="{00000000-0005-0000-0000-000013000000}"/>
    <cellStyle name="SAPBEXaggItem" xfId="20" xr:uid="{00000000-0005-0000-0000-000014000000}"/>
    <cellStyle name="SAPBEXaggItemX" xfId="21" xr:uid="{00000000-0005-0000-0000-000015000000}"/>
    <cellStyle name="SAPBEXchaText" xfId="22" xr:uid="{00000000-0005-0000-0000-000016000000}"/>
    <cellStyle name="SAPBEXexcBad7" xfId="23" xr:uid="{00000000-0005-0000-0000-000017000000}"/>
    <cellStyle name="SAPBEXexcBad8" xfId="24" xr:uid="{00000000-0005-0000-0000-000018000000}"/>
    <cellStyle name="SAPBEXexcBad9" xfId="25" xr:uid="{00000000-0005-0000-0000-000019000000}"/>
    <cellStyle name="SAPBEXexcCritical4" xfId="26" xr:uid="{00000000-0005-0000-0000-00001A000000}"/>
    <cellStyle name="SAPBEXexcCritical5" xfId="27" xr:uid="{00000000-0005-0000-0000-00001B000000}"/>
    <cellStyle name="SAPBEXexcCritical6" xfId="28" xr:uid="{00000000-0005-0000-0000-00001C000000}"/>
    <cellStyle name="SAPBEXexcGood1" xfId="29" xr:uid="{00000000-0005-0000-0000-00001D000000}"/>
    <cellStyle name="SAPBEXexcGood2" xfId="30" xr:uid="{00000000-0005-0000-0000-00001E000000}"/>
    <cellStyle name="SAPBEXexcGood3" xfId="31" xr:uid="{00000000-0005-0000-0000-00001F000000}"/>
    <cellStyle name="SAPBEXfilterDrill" xfId="32" xr:uid="{00000000-0005-0000-0000-000020000000}"/>
    <cellStyle name="SAPBEXfilterItem" xfId="33" xr:uid="{00000000-0005-0000-0000-000021000000}"/>
    <cellStyle name="SAPBEXfilterText" xfId="34" xr:uid="{00000000-0005-0000-0000-000022000000}"/>
    <cellStyle name="SAPBEXformats" xfId="35" xr:uid="{00000000-0005-0000-0000-000023000000}"/>
    <cellStyle name="SAPBEXheaderItem" xfId="36" xr:uid="{00000000-0005-0000-0000-000024000000}"/>
    <cellStyle name="SAPBEXheaderText" xfId="37" xr:uid="{00000000-0005-0000-0000-000025000000}"/>
    <cellStyle name="SAPBEXHLevel0" xfId="38" xr:uid="{00000000-0005-0000-0000-000026000000}"/>
    <cellStyle name="SAPBEXHLevel0X" xfId="39" xr:uid="{00000000-0005-0000-0000-000027000000}"/>
    <cellStyle name="SAPBEXHLevel1" xfId="40" xr:uid="{00000000-0005-0000-0000-000028000000}"/>
    <cellStyle name="SAPBEXHLevel1X" xfId="41" xr:uid="{00000000-0005-0000-0000-000029000000}"/>
    <cellStyle name="SAPBEXHLevel2" xfId="42" xr:uid="{00000000-0005-0000-0000-00002A000000}"/>
    <cellStyle name="SAPBEXHLevel2X" xfId="43" xr:uid="{00000000-0005-0000-0000-00002B000000}"/>
    <cellStyle name="SAPBEXHLevel3" xfId="44" xr:uid="{00000000-0005-0000-0000-00002C000000}"/>
    <cellStyle name="SAPBEXHLevel3X" xfId="45" xr:uid="{00000000-0005-0000-0000-00002D000000}"/>
    <cellStyle name="SAPBEXinputData" xfId="46" xr:uid="{00000000-0005-0000-0000-00002E000000}"/>
    <cellStyle name="SAPBEXresData" xfId="47" xr:uid="{00000000-0005-0000-0000-00002F000000}"/>
    <cellStyle name="SAPBEXresDataEmph" xfId="48" xr:uid="{00000000-0005-0000-0000-000030000000}"/>
    <cellStyle name="SAPBEXresItem" xfId="49" xr:uid="{00000000-0005-0000-0000-000031000000}"/>
    <cellStyle name="SAPBEXresItemX" xfId="50" xr:uid="{00000000-0005-0000-0000-000032000000}"/>
    <cellStyle name="SAPBEXstdData" xfId="51" xr:uid="{00000000-0005-0000-0000-000033000000}"/>
    <cellStyle name="SAPBEXstdDataEmph" xfId="52" xr:uid="{00000000-0005-0000-0000-000034000000}"/>
    <cellStyle name="SAPBEXstdItem" xfId="53" xr:uid="{00000000-0005-0000-0000-000035000000}"/>
    <cellStyle name="SAPBEXstdItemX" xfId="54" xr:uid="{00000000-0005-0000-0000-000036000000}"/>
    <cellStyle name="SAPBEXtitle" xfId="55" xr:uid="{00000000-0005-0000-0000-000037000000}"/>
    <cellStyle name="SAPBEXundefined" xfId="56" xr:uid="{00000000-0005-0000-0000-000038000000}"/>
    <cellStyle name="Sheet Title" xfId="57" xr:uid="{00000000-0005-0000-0000-000039000000}"/>
    <cellStyle name="Title" xfId="1" builtinId="15" customBuiltin="1"/>
    <cellStyle name="Total" xfId="17" builtinId="25" customBuiltin="1"/>
    <cellStyle name="Warning Text" xfId="14" builtinId="11" customBuiltin="1"/>
  </cellStyles>
  <dxfs count="378"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color auto="1"/>
      </font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</dxf>
    <dxf>
      <font>
        <color auto="1"/>
      </font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numFmt numFmtId="14" formatCode="0.00%"/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numFmt numFmtId="14" formatCode="0.00%"/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</font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numFmt numFmtId="165" formatCode="#,##0.0,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numFmt numFmtId="14" formatCode="0.00%"/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</font>
    </dxf>
    <dxf>
      <font>
        <b/>
      </font>
    </dxf>
    <dxf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numFmt numFmtId="165" formatCode="#,##0.0,"/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numFmt numFmtId="14" formatCode="0.00%"/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color auto="1"/>
      </font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color auto="1"/>
      </font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color auto="1"/>
      </font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color auto="1"/>
      </font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color auto="1"/>
      </font>
    </dxf>
    <dxf>
      <numFmt numFmtId="165" formatCode="#,##0.0,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color auto="1"/>
      </font>
    </dxf>
    <dxf>
      <numFmt numFmtId="165" formatCode="#,##0.0,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b/>
      </font>
    </dxf>
    <dxf>
      <font>
        <color auto="1"/>
      </font>
    </dxf>
    <dxf>
      <numFmt numFmtId="165" formatCode="#,##0.0,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left"/>
    </dxf>
    <dxf>
      <alignment horizontal="left"/>
    </dxf>
    <dxf>
      <alignment horizontal="lef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  <color indexed="9"/>
      </font>
      <fill>
        <patternFill patternType="solid">
          <fgColor indexed="64"/>
          <bgColor indexed="62"/>
        </patternFill>
      </fill>
      <alignment horizontal="right"/>
    </dxf>
    <dxf>
      <font>
        <b/>
      </font>
      <fill>
        <patternFill patternType="solid">
          <bgColor theme="0" tint="-0.14996795556505021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  <dxf>
      <font>
        <color auto="1"/>
      </font>
    </dxf>
    <dxf>
      <alignment horizontal="left"/>
    </dxf>
    <dxf>
      <fill>
        <patternFill>
          <fgColor indexed="64"/>
          <bgColor indexed="62"/>
        </patternFill>
      </fill>
      <alignment horizontal="right"/>
    </dxf>
    <dxf>
      <numFmt numFmtId="165" formatCode="#,##0.0,"/>
    </dxf>
    <dxf>
      <font>
        <color indexed="9"/>
      </font>
      <fill>
        <patternFill>
          <fgColor indexed="62"/>
        </patternFill>
      </fill>
    </dxf>
    <dxf>
      <font>
        <b/>
        <color theme="0"/>
      </font>
      <fill>
        <patternFill patternType="solid">
          <bgColor rgb="FF002060"/>
        </patternFill>
      </fill>
    </dxf>
    <dxf>
      <font>
        <b/>
        <sz val="9"/>
        <color indexed="9"/>
      </font>
      <fill>
        <patternFill patternType="solid">
          <bgColor indexed="54"/>
        </patternFill>
      </fill>
    </dxf>
    <dxf>
      <alignment horizontal="right" readingOrder="0"/>
    </dxf>
    <dxf>
      <font>
        <b/>
        <color indexed="9"/>
      </font>
      <fill>
        <patternFill>
          <bgColor indexed="62"/>
        </patternFill>
      </fill>
    </dxf>
    <dxf>
      <font>
        <b/>
        <color indexed="9"/>
      </font>
      <fill>
        <patternFill>
          <bgColor indexed="62"/>
        </patternFill>
      </fill>
    </dxf>
    <dxf>
      <fill>
        <patternFill>
          <bgColor indexed="62"/>
        </patternFill>
      </fill>
    </dxf>
    <dxf>
      <font>
        <color indexed="9"/>
      </font>
      <fill>
        <patternFill patternType="solid">
          <bgColor indexed="23"/>
        </patternFill>
      </fill>
    </dxf>
    <dxf>
      <font>
        <b/>
        <sz val="10"/>
        <color indexed="9"/>
      </font>
      <fill>
        <patternFill patternType="solid">
          <bgColor indexed="23"/>
        </patternFill>
      </fill>
    </dxf>
    <dxf>
      <font>
        <b/>
      </font>
    </dxf>
    <dxf>
      <font>
        <b/>
      </font>
      <fill>
        <patternFill patternType="solid">
          <bgColor indexed="22"/>
        </patternFill>
      </fill>
    </dxf>
    <dxf>
      <font>
        <b/>
        <color indexed="9"/>
      </font>
      <fill>
        <patternFill patternType="solid">
          <bgColor indexed="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99FF99"/>
      <rgbColor rgb="000000FF"/>
      <rgbColor rgb="00FFFF00"/>
      <rgbColor rgb="00FF00FF"/>
      <rgbColor rgb="00CDDEE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87C7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4E2EE"/>
      <rgbColor rgb="00EFF6FB"/>
      <rgbColor rgb="00CCFFCC"/>
      <rgbColor rgb="00F5FF7F"/>
      <rgbColor rgb="00DEEAF2"/>
      <rgbColor rgb="00FFBBBB"/>
      <rgbColor rgb="00CC99FF"/>
      <rgbColor rgb="00FFCC99"/>
      <rgbColor rgb="004D6776"/>
      <rgbColor rgb="0033CCCC"/>
      <rgbColor rgb="0060ED84"/>
      <rgbColor rgb="00FFCC33"/>
      <rgbColor rgb="00FFAB1D"/>
      <rgbColor rgb="00FF8800"/>
      <rgbColor rgb="00C4D9E9"/>
      <rgbColor rgb="00969696"/>
      <rgbColor rgb="00003366"/>
      <rgbColor rgb="005BCB77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ney, Mohd Fahad" refreshedDate="46090.54139791667" missingItemsLimit="0" createdVersion="5" refreshedVersion="7" recordCount="20595" xr:uid="{00000000-000A-0000-FFFF-FFFF53000000}">
  <cacheSource type="external" connectionId="1"/>
  <cacheFields count="27">
    <cacheField name="Period" numFmtId="0" sqlType="-9">
      <sharedItems count="14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</sharedItems>
    </cacheField>
    <cacheField name="Year" numFmtId="0" sqlType="-9">
      <sharedItems count="2">
        <s v="2025"/>
        <s v="2026"/>
      </sharedItems>
    </cacheField>
    <cacheField name="Mth nr" numFmtId="0" sqlType="-9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Mth name" numFmtId="0" sqlType="-9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Key Fig" numFmtId="0" sqlType="-9">
      <sharedItems count="2">
        <s v="Total Order Book"/>
        <s v="Other"/>
      </sharedItems>
    </cacheField>
    <cacheField name="Key Fig Detail" numFmtId="0" sqlType="-9">
      <sharedItems count="8">
        <s v="Planned Current Year"/>
        <s v="Planned Next Years"/>
        <s v="Rev Overdue &lt;= 6 mths"/>
        <s v="Not Planned Opportunity &lt;= 3 mths"/>
        <s v="Not Planned sales order"/>
        <s v="Not Planned Opportunity 4 - 6 mths"/>
        <s v="Rev overdue &gt; 6 mths"/>
        <s v="Not Planned Opportunity 7 - 24 mths"/>
      </sharedItems>
      <fieldGroup par="25"/>
    </cacheField>
    <cacheField name="BD c" numFmtId="0" sqlType="-9">
      <sharedItems count="3">
        <s v="IT"/>
        <s v="IM"/>
        <s v="J0"/>
      </sharedItems>
    </cacheField>
    <cacheField name="BD d" numFmtId="0" sqlType="-9">
      <sharedItems count="3">
        <s v="IT Division"/>
        <s v="Imaging Division"/>
        <s v="General HE"/>
      </sharedItems>
    </cacheField>
    <cacheField name="BU c" numFmtId="0" sqlType="-9">
      <sharedItems count="9">
        <s v="S1"/>
        <s v="K4"/>
        <s v="S4"/>
        <s v="S2"/>
        <s v="S3"/>
        <s v="K1"/>
        <s v="K2"/>
        <s v="JA"/>
        <s v="J0"/>
      </sharedItems>
    </cacheField>
    <cacheField name="BU d" numFmtId="0" sqlType="-9">
      <sharedItems containsBlank="1" count="6">
        <s v="IITS"/>
        <m/>
        <s v="DIIT"/>
        <s v="HCIS"/>
        <s v="ICAS"/>
        <s v="#N/A"/>
      </sharedItems>
    </cacheField>
    <cacheField name="BC c" numFmtId="0" sqlType="-9">
      <sharedItems count="29">
        <s v="SH"/>
        <s v="KR"/>
        <s v="HI"/>
        <s v="SI"/>
        <s v="SM"/>
        <s v="SQ"/>
        <s v="SR"/>
        <s v="SS"/>
        <s v="ST"/>
        <s v="SU"/>
        <s v="SW"/>
        <s v="SX"/>
        <s v="BI"/>
        <s v="SV"/>
        <s v="SC"/>
        <s v="SD"/>
        <s v="SE"/>
        <s v="SF"/>
        <s v="SJ"/>
        <s v="SZ"/>
        <s v="SG"/>
        <s v="KP"/>
        <s v="KI"/>
        <s v="KJ"/>
        <s v="KS"/>
        <s v="JA"/>
        <s v="SK"/>
        <s v="SY"/>
        <s v="J0"/>
      </sharedItems>
    </cacheField>
    <cacheField name="BC d" numFmtId="0" sqlType="-9">
      <sharedItems count="29">
        <s v="Enterprise Imaging I"/>
        <s v="DR Products"/>
        <s v="Cardio maintain"/>
        <s v="RadIT maintain"/>
        <s v="IITS General"/>
        <s v="HYDMedia"/>
        <s v="LAB"/>
        <s v="Enterprise Resource"/>
        <s v="IT-Services (DACH)"/>
        <s v="Clinical Information"/>
        <s v="HCIS General"/>
        <s v="Agfa Portal"/>
        <s v="Business Intelligence"/>
        <s v="EAI"/>
        <s v="ENT Clin.&amp;EPR Lic."/>
        <s v="ENT Clin.&amp;EPR Hard."/>
        <s v="DIIT ORBIS RIS"/>
        <s v="DITT Others"/>
        <s v="RIS Maintain"/>
        <s v="Agfa Managed Service"/>
        <s v="ENT Technical Serv."/>
        <s v="DR 3rd Parties"/>
        <s v="FPS Classics"/>
        <s v="FPS Hardcopy"/>
        <s v="CR Products"/>
        <s v="IMG General"/>
        <s v="Rad Invest"/>
        <s v="Web DCR/IPPS"/>
        <s v="HE General"/>
      </sharedItems>
    </cacheField>
    <cacheField name="FA Grp" numFmtId="0" sqlType="-9">
      <sharedItems count="6">
        <s v="Own Licenses"/>
        <s v="3rdP Licenses"/>
        <s v="Implementation Services"/>
        <s v="Hardware"/>
        <s v="Managed Services"/>
        <s v="Consumables"/>
      </sharedItems>
      <fieldGroup par="26"/>
    </cacheField>
    <cacheField name="FA c" numFmtId="0" sqlType="-9">
      <sharedItems count="15">
        <s v="010O"/>
        <s v="010Q"/>
        <s v="010S"/>
        <s v="010H"/>
        <s v="010L"/>
        <s v="010Z"/>
        <s v="010T"/>
        <s v="010V"/>
        <s v="010W"/>
        <s v="010X"/>
        <s v="010Y"/>
        <s v="010C"/>
        <s v="010I"/>
        <s v="010U"/>
        <s v="#"/>
      </sharedItems>
    </cacheField>
    <cacheField name="FA d" numFmtId="0" sqlType="-9">
      <sharedItems count="12">
        <s v="Own IP software"/>
        <s v="3rdP Software"/>
        <s v="Implementation Services"/>
        <s v="Hardware"/>
        <s v="Own Licenses"/>
        <s v="Managed Services"/>
        <s v="3rdP Licenses"/>
        <s v="Recurr. Hardware"/>
        <s v="Recurr. 3rdP Licenses"/>
        <s v="Recurr. Own Licenses"/>
        <s v="Recurr. Implementation Services"/>
        <s v="Consumables"/>
      </sharedItems>
    </cacheField>
    <cacheField name="Dest c" numFmtId="0" sqlType="-9">
      <sharedItems count="90">
        <s v="SE"/>
        <s v="SG"/>
        <s v="US"/>
        <s v="ZA"/>
        <s v="AE"/>
        <s v="AU"/>
        <s v="BE"/>
        <s v="BR"/>
        <s v="CA"/>
        <s v="CL"/>
        <s v="CO"/>
        <s v="ES"/>
        <s v="GB"/>
        <s v="GR"/>
        <s v="IE"/>
        <s v="IQ"/>
        <s v="IT"/>
        <s v="LU"/>
        <s v="NL"/>
        <s v="RU"/>
        <s v="SI"/>
        <s v="MX"/>
        <s v="IS"/>
        <s v="KW"/>
        <s v="LB"/>
        <s v="PE"/>
        <s v="SA"/>
        <s v="PL"/>
        <s v="CY"/>
        <s v="CZ"/>
        <s v="DK"/>
        <s v="EC"/>
        <s v="HK"/>
        <s v="JO"/>
        <s v="NO"/>
        <s v="EE"/>
        <s v="KE"/>
        <s v="PK"/>
        <s v="FR"/>
        <s v="AR"/>
        <s v="DE"/>
        <s v="CH"/>
        <s v="AT"/>
        <s v="GF"/>
        <s v="GP"/>
        <s v="MQ"/>
        <s v="RE"/>
        <s v="BL"/>
        <s v="MF"/>
        <s v="IN"/>
        <s v="TH"/>
        <s v="FI"/>
        <s v="NC"/>
        <s v="YT"/>
        <s v="DZ"/>
        <s v="EG"/>
        <s v="ET"/>
        <s v="NZ"/>
        <s v="AO"/>
        <s v="AZ"/>
        <s v="BA"/>
        <s v="BW"/>
        <s v="BY"/>
        <s v="CD"/>
        <s v="GE"/>
        <s v="IL"/>
        <s v="IR"/>
        <s v="KZ"/>
        <s v="LS"/>
        <s v="MA"/>
        <s v="MU"/>
        <s v="NA"/>
        <s v="NG"/>
        <s v="PS"/>
        <s v="SN"/>
        <s v="TN"/>
        <s v="YE"/>
        <s v="XX"/>
        <s v="PY"/>
        <s v="PA"/>
        <s v="DO"/>
        <s v="PM"/>
        <s v="BH"/>
        <s v="IC"/>
        <s v="MY"/>
        <s v="TZ"/>
        <s v="RO"/>
        <s v="PT"/>
        <s v="FK"/>
        <s v="SM"/>
      </sharedItems>
    </cacheField>
    <cacheField name="Dest d" numFmtId="0" sqlType="-9">
      <sharedItems count="90">
        <s v="SWEDEN"/>
        <s v="SINGAPORE"/>
        <s v="USA"/>
        <s v="SOUTH AFRICA"/>
        <s v="UTD.ARAB EMIR."/>
        <s v="AUSTRALIA"/>
        <s v="BELGIUM"/>
        <s v="BRAZIL"/>
        <s v="CANADA"/>
        <s v="CHILE"/>
        <s v="COLOMBIA"/>
        <s v="SPAIN"/>
        <s v="UNITED KINGDOM"/>
        <s v="GREECE"/>
        <s v="IRELAND"/>
        <s v="IRAQ"/>
        <s v="ITALY"/>
        <s v="LUXEMBOURG"/>
        <s v="NETHERLANDS"/>
        <s v="RUSSIAN FED."/>
        <s v="SLOVENIA"/>
        <s v="MEXICO"/>
        <s v="ICELAND"/>
        <s v="KUWAIT"/>
        <s v="LEBANON"/>
        <s v="PERU"/>
        <s v="SAUDI ARABIA"/>
        <s v="POLAND"/>
        <s v="CYPRUS"/>
        <s v="CZECH REPUBLIC"/>
        <s v="DENMARK"/>
        <s v="ECUADOR"/>
        <s v="HONG KONG"/>
        <s v="JORDAN"/>
        <s v="NORWAY"/>
        <s v="ESTONIA"/>
        <s v="KENYA"/>
        <s v="PAKISTAN"/>
        <s v="FRANCE"/>
        <s v="ARGENTINA"/>
        <s v="GERMANY"/>
        <s v="SWITZERLAND"/>
        <s v="AUSTRIA"/>
        <s v="FRENCH GUAYANA"/>
        <s v="GUADELOUPE"/>
        <s v="MARTINIQUE"/>
        <s v="REUNION"/>
        <s v="SAINT BARTHÉLEMY"/>
        <s v="SAINT MARTIN"/>
        <s v="INDIA"/>
        <s v="THAILAND"/>
        <s v="FINLAND"/>
        <s v="NEW CALEDONIA"/>
        <s v="MAYOTTE"/>
        <s v="ALGERIA"/>
        <s v="EGYPT"/>
        <s v="ETHIOPIA"/>
        <s v="NEW ZEALAND"/>
        <s v="ANGOLA"/>
        <s v="AZERBAIJAN"/>
        <s v="BOSNIA-HERZ."/>
        <s v="BOTSWANA"/>
        <s v="BELARUS"/>
        <s v="DEM. REP. CONGO"/>
        <s v="GEORGIA"/>
        <s v="ISRAEL"/>
        <s v="IRAN"/>
        <s v="KAZAKHSTAN"/>
        <s v="LESOTHO"/>
        <s v="MOROCCO"/>
        <s v="MAURITIUS"/>
        <s v="NAMIBIA"/>
        <s v="NIGERIA"/>
        <s v="PALESTINE"/>
        <s v="SENEGAL"/>
        <s v="TUNISIA"/>
        <s v="YEMEN"/>
        <s v="UNKNOWN"/>
        <s v="PARAGUAY"/>
        <s v="PANAMA"/>
        <s v="DOMINICAN REP."/>
        <s v="ST.PIER,MIQUEL."/>
        <s v="BAHRAIN"/>
        <s v="CANARIAN ISLANDS"/>
        <s v="MALAYSIA"/>
        <s v="TANZANIA"/>
        <s v="ROMANIA"/>
        <s v="PORTUGAL"/>
        <s v="FALKLAND ISLNDS"/>
        <s v="SAN MARINO"/>
      </sharedItems>
    </cacheField>
    <cacheField name="Val" numFmtId="0" sqlType="8">
      <sharedItems containsSemiMixedTypes="0" containsString="0" containsNumber="1" minValue="-484.31403" maxValue="27774.275752276899"/>
    </cacheField>
    <cacheField name="GeoFin" numFmtId="0" sqlType="-9">
      <sharedItems count="2">
        <s v="New IITS"/>
        <s v="ACESO"/>
      </sharedItems>
    </cacheField>
    <cacheField name="RGrp lvl1" numFmtId="0" sqlType="-9">
      <sharedItems count="3">
        <s v="Europe &amp; Int"/>
        <s v="N.America"/>
        <s v="Worldwide"/>
      </sharedItems>
    </cacheField>
    <cacheField name="RGrp lvl2" numFmtId="0" sqlType="-9">
      <sharedItems count="6">
        <s v="Europe North"/>
        <s v="International"/>
        <s v="N.America"/>
        <s v="Europe South"/>
        <s v="Europe"/>
        <s v="Worldwide"/>
      </sharedItems>
    </cacheField>
    <cacheField name="RGrp lvl3" numFmtId="0" sqlType="-9">
      <sharedItems count="8">
        <s v="Europe North"/>
        <s v="Aspac"/>
        <s v="N.America"/>
        <s v="Direct Export"/>
        <s v="Latam"/>
        <s v="Europe South"/>
        <s v="South"/>
        <s v="Worldwide"/>
      </sharedItems>
    </cacheField>
    <cacheField name="Region" numFmtId="0" sqlType="-9">
      <sharedItems count="14">
        <s v="Nordic"/>
        <s v="Aspac"/>
        <s v="N.America"/>
        <s v="Direct Export"/>
        <s v="BeNeLux"/>
        <s v="Latam"/>
        <s v="Canada"/>
        <s v="Iberia"/>
        <s v="UK"/>
        <s v="Italy"/>
        <s v="France"/>
        <s v="Dach"/>
        <s v="Worldwide"/>
        <s v="USA"/>
      </sharedItems>
    </cacheField>
    <cacheField name="Subregion" numFmtId="0" sqlType="-9">
      <sharedItems count="25">
        <s v="Nordic"/>
        <s v="Singapore"/>
        <s v="USA"/>
        <s v="South Africa"/>
        <s v="Gulf AF PK"/>
        <s v="Oceania"/>
        <s v="Belgium"/>
        <s v="Brazil"/>
        <s v="Canada"/>
        <s v="SOLA"/>
        <s v="NOLA"/>
        <s v="Iberia"/>
        <s v="UK"/>
        <s v="Other DE"/>
        <s v="Ireland"/>
        <s v="Saudi Arabia"/>
        <s v="Italy"/>
        <s v="Luxembourg"/>
        <s v="NETHERLANDS"/>
        <s v="Poland"/>
        <s v="Hong Kong"/>
        <s v="France"/>
        <s v="Dach"/>
        <s v="Other Aspac"/>
        <s v="Worldwide"/>
      </sharedItems>
    </cacheField>
    <cacheField name="VUSD" numFmtId="0" sqlType="8">
      <sharedItems containsSemiMixedTypes="0" containsString="0" containsNumber="1" minValue="-576.33369570000002" maxValue="30624.805770999999"/>
    </cacheField>
    <cacheField name="Key Fig Detail2" numFmtId="0" databaseField="0">
      <fieldGroup base="5">
        <discretePr count="8">
          <x v="4"/>
          <x v="3"/>
          <x v="0"/>
          <x v="5"/>
          <x v="5"/>
          <x v="5"/>
          <x v="2"/>
          <x v="1"/>
        </discretePr>
        <groupItems count="6">
          <s v="Rev Overdue &lt;= 6 mths"/>
          <s v="Not Planned Opportunity 7 - 24 mths"/>
          <s v="Rev overdue &gt; 6 mths"/>
          <s v="Planned Next Years"/>
          <s v="Planned Current Year"/>
          <s v="Group1"/>
        </groupItems>
      </fieldGroup>
    </cacheField>
    <cacheField name="FA Grp2" numFmtId="0" databaseField="0">
      <fieldGroup base="12">
        <discretePr count="6">
          <x v="2"/>
          <x v="1"/>
          <x v="2"/>
          <x v="1"/>
          <x v="2"/>
          <x v="0"/>
        </discretePr>
        <groupItems count="3">
          <s v="Consumables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95">
  <r>
    <x v="0"/>
    <x v="0"/>
    <x v="0"/>
    <x v="0"/>
    <x v="0"/>
    <x v="0"/>
    <x v="0"/>
    <x v="0"/>
    <x v="0"/>
    <x v="0"/>
    <x v="0"/>
    <x v="0"/>
    <x v="0"/>
    <x v="0"/>
    <x v="0"/>
    <x v="0"/>
    <x v="0"/>
    <n v="6.6434297152838901"/>
    <x v="0"/>
    <x v="0"/>
    <x v="0"/>
    <x v="0"/>
    <x v="0"/>
    <x v="0"/>
    <n v="7.2413383896594405"/>
  </r>
  <r>
    <x v="0"/>
    <x v="0"/>
    <x v="0"/>
    <x v="0"/>
    <x v="0"/>
    <x v="0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0"/>
    <x v="0"/>
    <x v="0"/>
    <x v="0"/>
    <x v="0"/>
    <x v="0"/>
    <x v="0"/>
    <x v="0"/>
    <x v="0"/>
    <x v="0"/>
    <x v="0"/>
    <x v="0"/>
    <x v="0"/>
    <x v="0"/>
    <x v="0"/>
    <x v="2"/>
    <x v="2"/>
    <n v="893.73014678845504"/>
    <x v="0"/>
    <x v="1"/>
    <x v="2"/>
    <x v="2"/>
    <x v="2"/>
    <x v="2"/>
    <n v="974.16585999941606"/>
  </r>
  <r>
    <x v="0"/>
    <x v="0"/>
    <x v="0"/>
    <x v="0"/>
    <x v="0"/>
    <x v="0"/>
    <x v="0"/>
    <x v="0"/>
    <x v="0"/>
    <x v="0"/>
    <x v="0"/>
    <x v="0"/>
    <x v="0"/>
    <x v="0"/>
    <x v="0"/>
    <x v="3"/>
    <x v="3"/>
    <n v="10.566455171589601"/>
    <x v="0"/>
    <x v="0"/>
    <x v="1"/>
    <x v="3"/>
    <x v="3"/>
    <x v="3"/>
    <n v="11.517436137032666"/>
  </r>
  <r>
    <x v="0"/>
    <x v="0"/>
    <x v="0"/>
    <x v="0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0"/>
    <x v="0"/>
    <x v="0"/>
    <x v="0"/>
    <x v="0"/>
    <x v="0"/>
    <x v="0"/>
    <x v="0"/>
    <x v="0"/>
    <x v="0"/>
    <x v="0"/>
    <x v="0"/>
    <x v="1"/>
    <x v="1"/>
    <x v="1"/>
    <x v="5"/>
    <x v="5"/>
    <n v="368.87900613777299"/>
    <x v="0"/>
    <x v="0"/>
    <x v="1"/>
    <x v="1"/>
    <x v="1"/>
    <x v="5"/>
    <n v="402.07811669017258"/>
  </r>
  <r>
    <x v="0"/>
    <x v="0"/>
    <x v="0"/>
    <x v="0"/>
    <x v="0"/>
    <x v="0"/>
    <x v="0"/>
    <x v="0"/>
    <x v="0"/>
    <x v="0"/>
    <x v="0"/>
    <x v="0"/>
    <x v="1"/>
    <x v="1"/>
    <x v="1"/>
    <x v="6"/>
    <x v="6"/>
    <n v="75.73218"/>
    <x v="0"/>
    <x v="0"/>
    <x v="0"/>
    <x v="0"/>
    <x v="4"/>
    <x v="6"/>
    <n v="82.548076200000011"/>
  </r>
  <r>
    <x v="0"/>
    <x v="0"/>
    <x v="0"/>
    <x v="0"/>
    <x v="0"/>
    <x v="0"/>
    <x v="0"/>
    <x v="0"/>
    <x v="0"/>
    <x v="0"/>
    <x v="0"/>
    <x v="0"/>
    <x v="1"/>
    <x v="1"/>
    <x v="1"/>
    <x v="7"/>
    <x v="7"/>
    <n v="38.672770642178598"/>
    <x v="0"/>
    <x v="0"/>
    <x v="1"/>
    <x v="4"/>
    <x v="5"/>
    <x v="7"/>
    <n v="42.153319999974677"/>
  </r>
  <r>
    <x v="0"/>
    <x v="0"/>
    <x v="0"/>
    <x v="0"/>
    <x v="0"/>
    <x v="0"/>
    <x v="0"/>
    <x v="0"/>
    <x v="0"/>
    <x v="0"/>
    <x v="0"/>
    <x v="0"/>
    <x v="1"/>
    <x v="1"/>
    <x v="1"/>
    <x v="8"/>
    <x v="8"/>
    <n v="1787.54066893036"/>
    <x v="0"/>
    <x v="1"/>
    <x v="2"/>
    <x v="2"/>
    <x v="6"/>
    <x v="8"/>
    <n v="1948.4193291340925"/>
  </r>
  <r>
    <x v="0"/>
    <x v="0"/>
    <x v="0"/>
    <x v="0"/>
    <x v="0"/>
    <x v="0"/>
    <x v="0"/>
    <x v="0"/>
    <x v="0"/>
    <x v="0"/>
    <x v="0"/>
    <x v="0"/>
    <x v="1"/>
    <x v="1"/>
    <x v="1"/>
    <x v="9"/>
    <x v="9"/>
    <n v="6.1334595151533797"/>
    <x v="0"/>
    <x v="0"/>
    <x v="1"/>
    <x v="4"/>
    <x v="5"/>
    <x v="9"/>
    <n v="6.6854708715171842"/>
  </r>
  <r>
    <x v="0"/>
    <x v="0"/>
    <x v="0"/>
    <x v="0"/>
    <x v="0"/>
    <x v="0"/>
    <x v="0"/>
    <x v="0"/>
    <x v="0"/>
    <x v="0"/>
    <x v="0"/>
    <x v="0"/>
    <x v="1"/>
    <x v="1"/>
    <x v="1"/>
    <x v="10"/>
    <x v="10"/>
    <n v="3.6776330275207298"/>
    <x v="0"/>
    <x v="0"/>
    <x v="1"/>
    <x v="4"/>
    <x v="5"/>
    <x v="10"/>
    <n v="4.0086199999975962"/>
  </r>
  <r>
    <x v="0"/>
    <x v="0"/>
    <x v="0"/>
    <x v="0"/>
    <x v="0"/>
    <x v="0"/>
    <x v="0"/>
    <x v="0"/>
    <x v="0"/>
    <x v="0"/>
    <x v="0"/>
    <x v="0"/>
    <x v="1"/>
    <x v="1"/>
    <x v="1"/>
    <x v="11"/>
    <x v="11"/>
    <n v="14.359970000000001"/>
    <x v="0"/>
    <x v="0"/>
    <x v="3"/>
    <x v="5"/>
    <x v="7"/>
    <x v="11"/>
    <n v="15.652367300000002"/>
  </r>
  <r>
    <x v="0"/>
    <x v="0"/>
    <x v="0"/>
    <x v="0"/>
    <x v="0"/>
    <x v="0"/>
    <x v="0"/>
    <x v="0"/>
    <x v="0"/>
    <x v="0"/>
    <x v="0"/>
    <x v="0"/>
    <x v="1"/>
    <x v="1"/>
    <x v="1"/>
    <x v="12"/>
    <x v="12"/>
    <n v="427.69909302163097"/>
    <x v="0"/>
    <x v="0"/>
    <x v="0"/>
    <x v="0"/>
    <x v="8"/>
    <x v="12"/>
    <n v="466.19201139357779"/>
  </r>
  <r>
    <x v="0"/>
    <x v="0"/>
    <x v="0"/>
    <x v="0"/>
    <x v="0"/>
    <x v="0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0"/>
    <x v="0"/>
    <x v="0"/>
    <x v="0"/>
    <x v="0"/>
    <x v="1"/>
    <x v="1"/>
    <x v="1"/>
    <x v="1"/>
    <x v="1"/>
    <x v="1"/>
    <x v="1"/>
    <x v="2"/>
    <x v="2"/>
    <x v="2"/>
    <x v="2"/>
    <x v="2"/>
    <n v="28.695752293560801"/>
    <x v="0"/>
    <x v="1"/>
    <x v="2"/>
    <x v="2"/>
    <x v="2"/>
    <x v="2"/>
    <n v="31.278369999981276"/>
  </r>
  <r>
    <x v="0"/>
    <x v="0"/>
    <x v="0"/>
    <x v="0"/>
    <x v="0"/>
    <x v="1"/>
    <x v="0"/>
    <x v="0"/>
    <x v="0"/>
    <x v="0"/>
    <x v="2"/>
    <x v="2"/>
    <x v="2"/>
    <x v="2"/>
    <x v="2"/>
    <x v="2"/>
    <x v="2"/>
    <n v="215.23977064207301"/>
    <x v="0"/>
    <x v="1"/>
    <x v="2"/>
    <x v="2"/>
    <x v="2"/>
    <x v="2"/>
    <n v="234.61134999985961"/>
  </r>
  <r>
    <x v="0"/>
    <x v="0"/>
    <x v="0"/>
    <x v="0"/>
    <x v="0"/>
    <x v="1"/>
    <x v="0"/>
    <x v="0"/>
    <x v="0"/>
    <x v="0"/>
    <x v="0"/>
    <x v="0"/>
    <x v="3"/>
    <x v="3"/>
    <x v="3"/>
    <x v="8"/>
    <x v="8"/>
    <n v="9.2567567568159995E-2"/>
    <x v="0"/>
    <x v="1"/>
    <x v="2"/>
    <x v="2"/>
    <x v="6"/>
    <x v="8"/>
    <n v="0.1008986486492944"/>
  </r>
  <r>
    <x v="0"/>
    <x v="0"/>
    <x v="0"/>
    <x v="0"/>
    <x v="0"/>
    <x v="1"/>
    <x v="0"/>
    <x v="0"/>
    <x v="0"/>
    <x v="0"/>
    <x v="0"/>
    <x v="0"/>
    <x v="3"/>
    <x v="3"/>
    <x v="3"/>
    <x v="2"/>
    <x v="2"/>
    <n v="246.25924770627401"/>
    <x v="0"/>
    <x v="1"/>
    <x v="2"/>
    <x v="2"/>
    <x v="2"/>
    <x v="2"/>
    <n v="268.42257999983872"/>
  </r>
  <r>
    <x v="0"/>
    <x v="0"/>
    <x v="0"/>
    <x v="0"/>
    <x v="0"/>
    <x v="1"/>
    <x v="0"/>
    <x v="0"/>
    <x v="0"/>
    <x v="0"/>
    <x v="0"/>
    <x v="0"/>
    <x v="0"/>
    <x v="4"/>
    <x v="4"/>
    <x v="8"/>
    <x v="8"/>
    <n v="27.366222973148101"/>
    <x v="0"/>
    <x v="1"/>
    <x v="2"/>
    <x v="2"/>
    <x v="6"/>
    <x v="8"/>
    <n v="29.829183040731433"/>
  </r>
  <r>
    <x v="0"/>
    <x v="0"/>
    <x v="0"/>
    <x v="0"/>
    <x v="0"/>
    <x v="1"/>
    <x v="0"/>
    <x v="0"/>
    <x v="0"/>
    <x v="0"/>
    <x v="0"/>
    <x v="0"/>
    <x v="0"/>
    <x v="4"/>
    <x v="4"/>
    <x v="11"/>
    <x v="11"/>
    <n v="323.06673000000001"/>
    <x v="0"/>
    <x v="0"/>
    <x v="3"/>
    <x v="5"/>
    <x v="7"/>
    <x v="11"/>
    <n v="352.14273570000006"/>
  </r>
  <r>
    <x v="0"/>
    <x v="0"/>
    <x v="0"/>
    <x v="0"/>
    <x v="0"/>
    <x v="1"/>
    <x v="0"/>
    <x v="0"/>
    <x v="0"/>
    <x v="0"/>
    <x v="0"/>
    <x v="0"/>
    <x v="0"/>
    <x v="4"/>
    <x v="4"/>
    <x v="12"/>
    <x v="12"/>
    <n v="674.08075581139201"/>
    <x v="0"/>
    <x v="0"/>
    <x v="0"/>
    <x v="0"/>
    <x v="8"/>
    <x v="12"/>
    <n v="734.74802383441738"/>
  </r>
  <r>
    <x v="0"/>
    <x v="0"/>
    <x v="0"/>
    <x v="0"/>
    <x v="0"/>
    <x v="1"/>
    <x v="0"/>
    <x v="0"/>
    <x v="0"/>
    <x v="0"/>
    <x v="0"/>
    <x v="0"/>
    <x v="0"/>
    <x v="4"/>
    <x v="4"/>
    <x v="14"/>
    <x v="14"/>
    <n v="135.41944000000001"/>
    <x v="0"/>
    <x v="0"/>
    <x v="0"/>
    <x v="0"/>
    <x v="8"/>
    <x v="14"/>
    <n v="147.60718960000003"/>
  </r>
  <r>
    <x v="0"/>
    <x v="0"/>
    <x v="0"/>
    <x v="0"/>
    <x v="0"/>
    <x v="1"/>
    <x v="0"/>
    <x v="0"/>
    <x v="0"/>
    <x v="0"/>
    <x v="0"/>
    <x v="0"/>
    <x v="0"/>
    <x v="4"/>
    <x v="4"/>
    <x v="15"/>
    <x v="15"/>
    <n v="15.160486238522999"/>
    <x v="0"/>
    <x v="0"/>
    <x v="1"/>
    <x v="3"/>
    <x v="3"/>
    <x v="15"/>
    <n v="16.524929999990071"/>
  </r>
  <r>
    <x v="0"/>
    <x v="0"/>
    <x v="0"/>
    <x v="0"/>
    <x v="0"/>
    <x v="1"/>
    <x v="0"/>
    <x v="0"/>
    <x v="0"/>
    <x v="0"/>
    <x v="0"/>
    <x v="0"/>
    <x v="0"/>
    <x v="4"/>
    <x v="4"/>
    <x v="16"/>
    <x v="16"/>
    <n v="367.10534999999999"/>
    <x v="0"/>
    <x v="0"/>
    <x v="3"/>
    <x v="5"/>
    <x v="9"/>
    <x v="16"/>
    <n v="400.14483150000001"/>
  </r>
  <r>
    <x v="0"/>
    <x v="0"/>
    <x v="0"/>
    <x v="0"/>
    <x v="0"/>
    <x v="1"/>
    <x v="0"/>
    <x v="0"/>
    <x v="0"/>
    <x v="0"/>
    <x v="0"/>
    <x v="0"/>
    <x v="0"/>
    <x v="4"/>
    <x v="4"/>
    <x v="17"/>
    <x v="17"/>
    <n v="2.6151200000000001"/>
    <x v="0"/>
    <x v="0"/>
    <x v="0"/>
    <x v="0"/>
    <x v="4"/>
    <x v="17"/>
    <n v="2.8504808000000001"/>
  </r>
  <r>
    <x v="0"/>
    <x v="0"/>
    <x v="0"/>
    <x v="0"/>
    <x v="0"/>
    <x v="1"/>
    <x v="0"/>
    <x v="0"/>
    <x v="0"/>
    <x v="0"/>
    <x v="0"/>
    <x v="0"/>
    <x v="0"/>
    <x v="4"/>
    <x v="4"/>
    <x v="18"/>
    <x v="18"/>
    <n v="0.40504000000000001"/>
    <x v="0"/>
    <x v="0"/>
    <x v="0"/>
    <x v="0"/>
    <x v="4"/>
    <x v="18"/>
    <n v="0.44149360000000004"/>
  </r>
  <r>
    <x v="0"/>
    <x v="0"/>
    <x v="0"/>
    <x v="0"/>
    <x v="0"/>
    <x v="1"/>
    <x v="0"/>
    <x v="0"/>
    <x v="0"/>
    <x v="0"/>
    <x v="0"/>
    <x v="0"/>
    <x v="0"/>
    <x v="4"/>
    <x v="4"/>
    <x v="19"/>
    <x v="19"/>
    <n v="496.39100000000002"/>
    <x v="0"/>
    <x v="0"/>
    <x v="1"/>
    <x v="3"/>
    <x v="3"/>
    <x v="13"/>
    <n v="541.06619000000001"/>
  </r>
  <r>
    <x v="0"/>
    <x v="0"/>
    <x v="0"/>
    <x v="0"/>
    <x v="0"/>
    <x v="1"/>
    <x v="0"/>
    <x v="0"/>
    <x v="0"/>
    <x v="0"/>
    <x v="0"/>
    <x v="0"/>
    <x v="0"/>
    <x v="4"/>
    <x v="4"/>
    <x v="20"/>
    <x v="20"/>
    <n v="6.9551999999999996"/>
    <x v="0"/>
    <x v="0"/>
    <x v="1"/>
    <x v="3"/>
    <x v="3"/>
    <x v="13"/>
    <n v="7.5811679999999999"/>
  </r>
  <r>
    <x v="0"/>
    <x v="0"/>
    <x v="0"/>
    <x v="0"/>
    <x v="0"/>
    <x v="1"/>
    <x v="0"/>
    <x v="0"/>
    <x v="0"/>
    <x v="0"/>
    <x v="0"/>
    <x v="0"/>
    <x v="0"/>
    <x v="4"/>
    <x v="4"/>
    <x v="2"/>
    <x v="2"/>
    <n v="3350.8528899062499"/>
    <x v="0"/>
    <x v="1"/>
    <x v="2"/>
    <x v="2"/>
    <x v="2"/>
    <x v="2"/>
    <n v="3652.4296499978127"/>
  </r>
  <r>
    <x v="0"/>
    <x v="0"/>
    <x v="0"/>
    <x v="0"/>
    <x v="0"/>
    <x v="0"/>
    <x v="0"/>
    <x v="0"/>
    <x v="0"/>
    <x v="0"/>
    <x v="2"/>
    <x v="2"/>
    <x v="2"/>
    <x v="2"/>
    <x v="2"/>
    <x v="2"/>
    <x v="2"/>
    <n v="0.22896330275216001"/>
    <x v="0"/>
    <x v="1"/>
    <x v="2"/>
    <x v="2"/>
    <x v="2"/>
    <x v="2"/>
    <n v="0.24956999999985444"/>
  </r>
  <r>
    <x v="0"/>
    <x v="0"/>
    <x v="0"/>
    <x v="0"/>
    <x v="0"/>
    <x v="0"/>
    <x v="0"/>
    <x v="0"/>
    <x v="0"/>
    <x v="0"/>
    <x v="2"/>
    <x v="2"/>
    <x v="4"/>
    <x v="5"/>
    <x v="5"/>
    <x v="18"/>
    <x v="18"/>
    <n v="4.1918800000000003"/>
    <x v="0"/>
    <x v="0"/>
    <x v="0"/>
    <x v="0"/>
    <x v="4"/>
    <x v="18"/>
    <n v="4.5691492000000009"/>
  </r>
  <r>
    <x v="0"/>
    <x v="0"/>
    <x v="0"/>
    <x v="0"/>
    <x v="0"/>
    <x v="0"/>
    <x v="0"/>
    <x v="0"/>
    <x v="0"/>
    <x v="0"/>
    <x v="0"/>
    <x v="0"/>
    <x v="3"/>
    <x v="3"/>
    <x v="3"/>
    <x v="4"/>
    <x v="4"/>
    <n v="31.743972477045201"/>
    <x v="0"/>
    <x v="0"/>
    <x v="1"/>
    <x v="3"/>
    <x v="3"/>
    <x v="4"/>
    <n v="34.600929999979272"/>
  </r>
  <r>
    <x v="0"/>
    <x v="0"/>
    <x v="0"/>
    <x v="0"/>
    <x v="0"/>
    <x v="0"/>
    <x v="0"/>
    <x v="0"/>
    <x v="0"/>
    <x v="0"/>
    <x v="0"/>
    <x v="0"/>
    <x v="3"/>
    <x v="3"/>
    <x v="3"/>
    <x v="5"/>
    <x v="5"/>
    <n v="91.258576687810105"/>
    <x v="0"/>
    <x v="0"/>
    <x v="1"/>
    <x v="1"/>
    <x v="1"/>
    <x v="5"/>
    <n v="99.471848589713019"/>
  </r>
  <r>
    <x v="0"/>
    <x v="0"/>
    <x v="0"/>
    <x v="0"/>
    <x v="0"/>
    <x v="0"/>
    <x v="0"/>
    <x v="0"/>
    <x v="0"/>
    <x v="0"/>
    <x v="0"/>
    <x v="0"/>
    <x v="3"/>
    <x v="3"/>
    <x v="3"/>
    <x v="8"/>
    <x v="8"/>
    <n v="149.80343243339101"/>
    <x v="0"/>
    <x v="1"/>
    <x v="2"/>
    <x v="2"/>
    <x v="6"/>
    <x v="8"/>
    <n v="163.2857413523962"/>
  </r>
  <r>
    <x v="0"/>
    <x v="0"/>
    <x v="0"/>
    <x v="0"/>
    <x v="0"/>
    <x v="0"/>
    <x v="0"/>
    <x v="0"/>
    <x v="0"/>
    <x v="0"/>
    <x v="0"/>
    <x v="0"/>
    <x v="3"/>
    <x v="3"/>
    <x v="3"/>
    <x v="9"/>
    <x v="9"/>
    <n v="8.2891284403619991"/>
    <x v="0"/>
    <x v="0"/>
    <x v="1"/>
    <x v="4"/>
    <x v="5"/>
    <x v="9"/>
    <n v="9.0351499999945801"/>
  </r>
  <r>
    <x v="0"/>
    <x v="0"/>
    <x v="0"/>
    <x v="0"/>
    <x v="0"/>
    <x v="0"/>
    <x v="0"/>
    <x v="0"/>
    <x v="0"/>
    <x v="0"/>
    <x v="0"/>
    <x v="0"/>
    <x v="3"/>
    <x v="3"/>
    <x v="3"/>
    <x v="12"/>
    <x v="12"/>
    <n v="99.868383720550696"/>
    <x v="0"/>
    <x v="0"/>
    <x v="0"/>
    <x v="0"/>
    <x v="8"/>
    <x v="12"/>
    <n v="108.85653825540027"/>
  </r>
  <r>
    <x v="0"/>
    <x v="0"/>
    <x v="0"/>
    <x v="0"/>
    <x v="0"/>
    <x v="0"/>
    <x v="0"/>
    <x v="0"/>
    <x v="0"/>
    <x v="0"/>
    <x v="0"/>
    <x v="0"/>
    <x v="3"/>
    <x v="3"/>
    <x v="3"/>
    <x v="16"/>
    <x v="16"/>
    <n v="646.11998000000006"/>
    <x v="0"/>
    <x v="0"/>
    <x v="3"/>
    <x v="5"/>
    <x v="9"/>
    <x v="16"/>
    <n v="704.27077820000011"/>
  </r>
  <r>
    <x v="0"/>
    <x v="0"/>
    <x v="0"/>
    <x v="0"/>
    <x v="0"/>
    <x v="0"/>
    <x v="0"/>
    <x v="0"/>
    <x v="0"/>
    <x v="0"/>
    <x v="0"/>
    <x v="0"/>
    <x v="3"/>
    <x v="3"/>
    <x v="3"/>
    <x v="18"/>
    <x v="18"/>
    <n v="12.3376"/>
    <x v="0"/>
    <x v="0"/>
    <x v="0"/>
    <x v="0"/>
    <x v="4"/>
    <x v="18"/>
    <n v="13.447984000000002"/>
  </r>
  <r>
    <x v="0"/>
    <x v="0"/>
    <x v="0"/>
    <x v="0"/>
    <x v="0"/>
    <x v="0"/>
    <x v="0"/>
    <x v="0"/>
    <x v="0"/>
    <x v="0"/>
    <x v="0"/>
    <x v="0"/>
    <x v="3"/>
    <x v="3"/>
    <x v="3"/>
    <x v="2"/>
    <x v="2"/>
    <n v="814.382550458227"/>
    <x v="0"/>
    <x v="1"/>
    <x v="2"/>
    <x v="2"/>
    <x v="2"/>
    <x v="2"/>
    <n v="887.67697999946745"/>
  </r>
  <r>
    <x v="0"/>
    <x v="0"/>
    <x v="0"/>
    <x v="0"/>
    <x v="0"/>
    <x v="0"/>
    <x v="0"/>
    <x v="0"/>
    <x v="0"/>
    <x v="0"/>
    <x v="0"/>
    <x v="0"/>
    <x v="0"/>
    <x v="4"/>
    <x v="4"/>
    <x v="5"/>
    <x v="5"/>
    <n v="21.511521472556101"/>
    <x v="0"/>
    <x v="0"/>
    <x v="1"/>
    <x v="1"/>
    <x v="1"/>
    <x v="5"/>
    <n v="23.447558405086152"/>
  </r>
  <r>
    <x v="0"/>
    <x v="0"/>
    <x v="0"/>
    <x v="0"/>
    <x v="0"/>
    <x v="0"/>
    <x v="0"/>
    <x v="0"/>
    <x v="0"/>
    <x v="0"/>
    <x v="0"/>
    <x v="0"/>
    <x v="0"/>
    <x v="4"/>
    <x v="4"/>
    <x v="6"/>
    <x v="6"/>
    <n v="50.02946"/>
    <x v="0"/>
    <x v="0"/>
    <x v="0"/>
    <x v="0"/>
    <x v="4"/>
    <x v="6"/>
    <n v="54.532111400000005"/>
  </r>
  <r>
    <x v="0"/>
    <x v="0"/>
    <x v="0"/>
    <x v="0"/>
    <x v="0"/>
    <x v="0"/>
    <x v="0"/>
    <x v="0"/>
    <x v="0"/>
    <x v="0"/>
    <x v="0"/>
    <x v="0"/>
    <x v="0"/>
    <x v="4"/>
    <x v="4"/>
    <x v="7"/>
    <x v="7"/>
    <n v="0.91192660550404003"/>
    <x v="0"/>
    <x v="0"/>
    <x v="1"/>
    <x v="4"/>
    <x v="5"/>
    <x v="7"/>
    <n v="0.99399999999940369"/>
  </r>
  <r>
    <x v="0"/>
    <x v="0"/>
    <x v="0"/>
    <x v="0"/>
    <x v="0"/>
    <x v="0"/>
    <x v="0"/>
    <x v="0"/>
    <x v="0"/>
    <x v="0"/>
    <x v="0"/>
    <x v="0"/>
    <x v="0"/>
    <x v="4"/>
    <x v="4"/>
    <x v="8"/>
    <x v="8"/>
    <n v="711.32104730184994"/>
    <x v="0"/>
    <x v="1"/>
    <x v="2"/>
    <x v="2"/>
    <x v="6"/>
    <x v="8"/>
    <n v="775.33994155901655"/>
  </r>
  <r>
    <x v="0"/>
    <x v="0"/>
    <x v="0"/>
    <x v="0"/>
    <x v="0"/>
    <x v="0"/>
    <x v="0"/>
    <x v="0"/>
    <x v="0"/>
    <x v="0"/>
    <x v="0"/>
    <x v="0"/>
    <x v="0"/>
    <x v="4"/>
    <x v="4"/>
    <x v="9"/>
    <x v="9"/>
    <n v="45.828073008658301"/>
    <x v="0"/>
    <x v="0"/>
    <x v="1"/>
    <x v="4"/>
    <x v="5"/>
    <x v="9"/>
    <n v="49.952599579437553"/>
  </r>
  <r>
    <x v="0"/>
    <x v="0"/>
    <x v="0"/>
    <x v="0"/>
    <x v="0"/>
    <x v="0"/>
    <x v="0"/>
    <x v="0"/>
    <x v="0"/>
    <x v="0"/>
    <x v="0"/>
    <x v="0"/>
    <x v="0"/>
    <x v="4"/>
    <x v="4"/>
    <x v="10"/>
    <x v="10"/>
    <n v="14.4963302752207"/>
    <x v="0"/>
    <x v="0"/>
    <x v="1"/>
    <x v="4"/>
    <x v="5"/>
    <x v="10"/>
    <n v="15.800999999990564"/>
  </r>
  <r>
    <x v="0"/>
    <x v="0"/>
    <x v="0"/>
    <x v="0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0"/>
    <x v="0"/>
    <x v="0"/>
    <x v="0"/>
    <x v="0"/>
    <x v="0"/>
    <x v="0"/>
    <x v="0"/>
    <x v="0"/>
    <x v="0"/>
    <x v="0"/>
    <x v="0"/>
    <x v="0"/>
    <x v="4"/>
    <x v="4"/>
    <x v="12"/>
    <x v="12"/>
    <n v="1007.6986046473299"/>
    <x v="0"/>
    <x v="0"/>
    <x v="0"/>
    <x v="0"/>
    <x v="8"/>
    <x v="12"/>
    <n v="1098.3914790655897"/>
  </r>
  <r>
    <x v="0"/>
    <x v="0"/>
    <x v="0"/>
    <x v="0"/>
    <x v="0"/>
    <x v="0"/>
    <x v="0"/>
    <x v="0"/>
    <x v="0"/>
    <x v="0"/>
    <x v="0"/>
    <x v="0"/>
    <x v="0"/>
    <x v="4"/>
    <x v="4"/>
    <x v="13"/>
    <x v="13"/>
    <n v="109.958"/>
    <x v="0"/>
    <x v="0"/>
    <x v="1"/>
    <x v="3"/>
    <x v="3"/>
    <x v="13"/>
    <n v="119.85422000000001"/>
  </r>
  <r>
    <x v="0"/>
    <x v="0"/>
    <x v="0"/>
    <x v="0"/>
    <x v="0"/>
    <x v="0"/>
    <x v="0"/>
    <x v="0"/>
    <x v="0"/>
    <x v="0"/>
    <x v="0"/>
    <x v="0"/>
    <x v="0"/>
    <x v="4"/>
    <x v="4"/>
    <x v="14"/>
    <x v="14"/>
    <n v="156.56438"/>
    <x v="0"/>
    <x v="0"/>
    <x v="0"/>
    <x v="0"/>
    <x v="8"/>
    <x v="14"/>
    <n v="170.6551742"/>
  </r>
  <r>
    <x v="0"/>
    <x v="0"/>
    <x v="0"/>
    <x v="0"/>
    <x v="0"/>
    <x v="0"/>
    <x v="0"/>
    <x v="0"/>
    <x v="0"/>
    <x v="0"/>
    <x v="0"/>
    <x v="0"/>
    <x v="0"/>
    <x v="4"/>
    <x v="4"/>
    <x v="16"/>
    <x v="16"/>
    <n v="879.17242999999996"/>
    <x v="0"/>
    <x v="0"/>
    <x v="3"/>
    <x v="5"/>
    <x v="9"/>
    <x v="16"/>
    <n v="958.29794870000001"/>
  </r>
  <r>
    <x v="0"/>
    <x v="0"/>
    <x v="0"/>
    <x v="0"/>
    <x v="0"/>
    <x v="0"/>
    <x v="0"/>
    <x v="0"/>
    <x v="0"/>
    <x v="0"/>
    <x v="0"/>
    <x v="0"/>
    <x v="0"/>
    <x v="4"/>
    <x v="4"/>
    <x v="21"/>
    <x v="21"/>
    <n v="42.016981651350903"/>
    <x v="0"/>
    <x v="0"/>
    <x v="1"/>
    <x v="4"/>
    <x v="5"/>
    <x v="10"/>
    <n v="45.798509999972488"/>
  </r>
  <r>
    <x v="0"/>
    <x v="0"/>
    <x v="0"/>
    <x v="0"/>
    <x v="0"/>
    <x v="0"/>
    <x v="0"/>
    <x v="0"/>
    <x v="0"/>
    <x v="0"/>
    <x v="0"/>
    <x v="0"/>
    <x v="0"/>
    <x v="4"/>
    <x v="4"/>
    <x v="18"/>
    <x v="18"/>
    <n v="40.068640000000002"/>
    <x v="0"/>
    <x v="0"/>
    <x v="0"/>
    <x v="0"/>
    <x v="4"/>
    <x v="18"/>
    <n v="43.674817600000004"/>
  </r>
  <r>
    <x v="0"/>
    <x v="0"/>
    <x v="0"/>
    <x v="0"/>
    <x v="0"/>
    <x v="0"/>
    <x v="0"/>
    <x v="0"/>
    <x v="0"/>
    <x v="0"/>
    <x v="0"/>
    <x v="0"/>
    <x v="0"/>
    <x v="4"/>
    <x v="4"/>
    <x v="0"/>
    <x v="0"/>
    <n v="10.3789919928535"/>
    <x v="0"/>
    <x v="0"/>
    <x v="0"/>
    <x v="0"/>
    <x v="0"/>
    <x v="0"/>
    <n v="11.313101272210316"/>
  </r>
  <r>
    <x v="0"/>
    <x v="0"/>
    <x v="0"/>
    <x v="0"/>
    <x v="0"/>
    <x v="0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0"/>
    <x v="0"/>
    <x v="0"/>
    <x v="0"/>
    <x v="0"/>
    <x v="0"/>
    <x v="0"/>
    <x v="0"/>
    <x v="0"/>
    <x v="0"/>
    <x v="0"/>
    <x v="0"/>
    <x v="0"/>
    <x v="4"/>
    <x v="4"/>
    <x v="2"/>
    <x v="2"/>
    <n v="3443.2579908236198"/>
    <x v="0"/>
    <x v="1"/>
    <x v="2"/>
    <x v="2"/>
    <x v="2"/>
    <x v="2"/>
    <n v="3753.1512099977458"/>
  </r>
  <r>
    <x v="0"/>
    <x v="0"/>
    <x v="0"/>
    <x v="0"/>
    <x v="0"/>
    <x v="0"/>
    <x v="0"/>
    <x v="0"/>
    <x v="0"/>
    <x v="0"/>
    <x v="0"/>
    <x v="0"/>
    <x v="0"/>
    <x v="4"/>
    <x v="4"/>
    <x v="3"/>
    <x v="3"/>
    <n v="156.53049309123901"/>
    <x v="0"/>
    <x v="0"/>
    <x v="1"/>
    <x v="3"/>
    <x v="3"/>
    <x v="3"/>
    <n v="170.61823746945052"/>
  </r>
  <r>
    <x v="0"/>
    <x v="0"/>
    <x v="0"/>
    <x v="0"/>
    <x v="0"/>
    <x v="0"/>
    <x v="0"/>
    <x v="0"/>
    <x v="0"/>
    <x v="0"/>
    <x v="0"/>
    <x v="0"/>
    <x v="0"/>
    <x v="0"/>
    <x v="0"/>
    <x v="5"/>
    <x v="5"/>
    <n v="52.317453988127703"/>
    <x v="0"/>
    <x v="0"/>
    <x v="1"/>
    <x v="1"/>
    <x v="1"/>
    <x v="5"/>
    <n v="57.026024847059197"/>
  </r>
  <r>
    <x v="0"/>
    <x v="0"/>
    <x v="0"/>
    <x v="0"/>
    <x v="0"/>
    <x v="0"/>
    <x v="0"/>
    <x v="0"/>
    <x v="0"/>
    <x v="0"/>
    <x v="0"/>
    <x v="0"/>
    <x v="0"/>
    <x v="0"/>
    <x v="0"/>
    <x v="6"/>
    <x v="6"/>
    <n v="45.181930000000001"/>
    <x v="0"/>
    <x v="0"/>
    <x v="0"/>
    <x v="0"/>
    <x v="4"/>
    <x v="6"/>
    <n v="49.248303700000008"/>
  </r>
  <r>
    <x v="0"/>
    <x v="0"/>
    <x v="0"/>
    <x v="0"/>
    <x v="0"/>
    <x v="0"/>
    <x v="0"/>
    <x v="0"/>
    <x v="0"/>
    <x v="0"/>
    <x v="0"/>
    <x v="0"/>
    <x v="0"/>
    <x v="0"/>
    <x v="0"/>
    <x v="7"/>
    <x v="7"/>
    <n v="28.836954128423098"/>
    <x v="0"/>
    <x v="0"/>
    <x v="1"/>
    <x v="4"/>
    <x v="5"/>
    <x v="7"/>
    <n v="31.43227999998118"/>
  </r>
  <r>
    <x v="0"/>
    <x v="0"/>
    <x v="0"/>
    <x v="0"/>
    <x v="0"/>
    <x v="0"/>
    <x v="0"/>
    <x v="0"/>
    <x v="0"/>
    <x v="0"/>
    <x v="0"/>
    <x v="0"/>
    <x v="0"/>
    <x v="0"/>
    <x v="0"/>
    <x v="8"/>
    <x v="8"/>
    <n v="227.15179054199399"/>
    <x v="0"/>
    <x v="1"/>
    <x v="2"/>
    <x v="2"/>
    <x v="6"/>
    <x v="8"/>
    <n v="247.59545169077347"/>
  </r>
  <r>
    <x v="0"/>
    <x v="0"/>
    <x v="0"/>
    <x v="0"/>
    <x v="0"/>
    <x v="0"/>
    <x v="0"/>
    <x v="0"/>
    <x v="0"/>
    <x v="0"/>
    <x v="0"/>
    <x v="0"/>
    <x v="0"/>
    <x v="0"/>
    <x v="0"/>
    <x v="9"/>
    <x v="9"/>
    <n v="12.623660688272"/>
    <x v="0"/>
    <x v="0"/>
    <x v="1"/>
    <x v="4"/>
    <x v="5"/>
    <x v="9"/>
    <n v="13.759790150216482"/>
  </r>
  <r>
    <x v="0"/>
    <x v="0"/>
    <x v="0"/>
    <x v="0"/>
    <x v="0"/>
    <x v="0"/>
    <x v="0"/>
    <x v="0"/>
    <x v="0"/>
    <x v="0"/>
    <x v="0"/>
    <x v="0"/>
    <x v="0"/>
    <x v="0"/>
    <x v="0"/>
    <x v="10"/>
    <x v="10"/>
    <n v="36.288209248434697"/>
    <x v="0"/>
    <x v="0"/>
    <x v="1"/>
    <x v="4"/>
    <x v="5"/>
    <x v="10"/>
    <n v="39.554148080793823"/>
  </r>
  <r>
    <x v="0"/>
    <x v="0"/>
    <x v="0"/>
    <x v="0"/>
    <x v="0"/>
    <x v="0"/>
    <x v="0"/>
    <x v="0"/>
    <x v="0"/>
    <x v="0"/>
    <x v="0"/>
    <x v="0"/>
    <x v="0"/>
    <x v="0"/>
    <x v="0"/>
    <x v="11"/>
    <x v="11"/>
    <n v="11.42994"/>
    <x v="0"/>
    <x v="0"/>
    <x v="3"/>
    <x v="5"/>
    <x v="7"/>
    <x v="11"/>
    <n v="12.458634600000002"/>
  </r>
  <r>
    <x v="0"/>
    <x v="0"/>
    <x v="0"/>
    <x v="0"/>
    <x v="0"/>
    <x v="0"/>
    <x v="0"/>
    <x v="0"/>
    <x v="0"/>
    <x v="0"/>
    <x v="0"/>
    <x v="0"/>
    <x v="0"/>
    <x v="0"/>
    <x v="0"/>
    <x v="12"/>
    <x v="12"/>
    <n v="193.933686045775"/>
    <x v="0"/>
    <x v="0"/>
    <x v="0"/>
    <x v="0"/>
    <x v="8"/>
    <x v="12"/>
    <n v="211.38771778989477"/>
  </r>
  <r>
    <x v="0"/>
    <x v="0"/>
    <x v="0"/>
    <x v="0"/>
    <x v="0"/>
    <x v="0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0"/>
    <x v="0"/>
    <x v="0"/>
    <x v="0"/>
    <x v="0"/>
    <x v="0"/>
    <x v="0"/>
    <x v="0"/>
    <x v="0"/>
    <x v="0"/>
    <x v="0"/>
    <x v="0"/>
    <x v="0"/>
    <x v="0"/>
    <x v="0"/>
    <x v="14"/>
    <x v="14"/>
    <n v="29.623159999999999"/>
    <x v="0"/>
    <x v="0"/>
    <x v="0"/>
    <x v="0"/>
    <x v="8"/>
    <x v="14"/>
    <n v="32.289244400000001"/>
  </r>
  <r>
    <x v="0"/>
    <x v="0"/>
    <x v="0"/>
    <x v="0"/>
    <x v="0"/>
    <x v="0"/>
    <x v="0"/>
    <x v="0"/>
    <x v="0"/>
    <x v="0"/>
    <x v="0"/>
    <x v="0"/>
    <x v="0"/>
    <x v="0"/>
    <x v="0"/>
    <x v="22"/>
    <x v="22"/>
    <n v="4.5873991935300404"/>
    <x v="0"/>
    <x v="0"/>
    <x v="0"/>
    <x v="0"/>
    <x v="0"/>
    <x v="0"/>
    <n v="5.0002651209477449"/>
  </r>
  <r>
    <x v="0"/>
    <x v="0"/>
    <x v="0"/>
    <x v="0"/>
    <x v="0"/>
    <x v="0"/>
    <x v="0"/>
    <x v="0"/>
    <x v="0"/>
    <x v="0"/>
    <x v="0"/>
    <x v="0"/>
    <x v="0"/>
    <x v="0"/>
    <x v="0"/>
    <x v="23"/>
    <x v="23"/>
    <n v="2.9792935779798602"/>
    <x v="0"/>
    <x v="0"/>
    <x v="1"/>
    <x v="3"/>
    <x v="3"/>
    <x v="15"/>
    <n v="3.2474299999980478"/>
  </r>
  <r>
    <x v="0"/>
    <x v="0"/>
    <x v="0"/>
    <x v="0"/>
    <x v="0"/>
    <x v="0"/>
    <x v="0"/>
    <x v="0"/>
    <x v="0"/>
    <x v="0"/>
    <x v="0"/>
    <x v="0"/>
    <x v="0"/>
    <x v="0"/>
    <x v="0"/>
    <x v="24"/>
    <x v="24"/>
    <n v="3.20240366972285"/>
    <x v="0"/>
    <x v="0"/>
    <x v="1"/>
    <x v="3"/>
    <x v="3"/>
    <x v="4"/>
    <n v="3.4906199999979068"/>
  </r>
  <r>
    <x v="0"/>
    <x v="0"/>
    <x v="0"/>
    <x v="0"/>
    <x v="0"/>
    <x v="0"/>
    <x v="0"/>
    <x v="0"/>
    <x v="0"/>
    <x v="0"/>
    <x v="0"/>
    <x v="0"/>
    <x v="0"/>
    <x v="0"/>
    <x v="0"/>
    <x v="21"/>
    <x v="21"/>
    <n v="8.4841467889857398"/>
    <x v="0"/>
    <x v="0"/>
    <x v="1"/>
    <x v="4"/>
    <x v="5"/>
    <x v="10"/>
    <n v="9.247719999994457"/>
  </r>
  <r>
    <x v="0"/>
    <x v="0"/>
    <x v="0"/>
    <x v="0"/>
    <x v="0"/>
    <x v="0"/>
    <x v="0"/>
    <x v="0"/>
    <x v="0"/>
    <x v="0"/>
    <x v="0"/>
    <x v="0"/>
    <x v="0"/>
    <x v="0"/>
    <x v="0"/>
    <x v="18"/>
    <x v="18"/>
    <n v="22.31878"/>
    <x v="0"/>
    <x v="0"/>
    <x v="0"/>
    <x v="0"/>
    <x v="4"/>
    <x v="18"/>
    <n v="24.3274702"/>
  </r>
  <r>
    <x v="0"/>
    <x v="0"/>
    <x v="0"/>
    <x v="0"/>
    <x v="0"/>
    <x v="0"/>
    <x v="0"/>
    <x v="0"/>
    <x v="0"/>
    <x v="0"/>
    <x v="0"/>
    <x v="0"/>
    <x v="0"/>
    <x v="0"/>
    <x v="0"/>
    <x v="25"/>
    <x v="25"/>
    <n v="28.3974862385151"/>
    <x v="0"/>
    <x v="0"/>
    <x v="1"/>
    <x v="4"/>
    <x v="5"/>
    <x v="9"/>
    <n v="30.953259999981462"/>
  </r>
  <r>
    <x v="0"/>
    <x v="0"/>
    <x v="0"/>
    <x v="0"/>
    <x v="0"/>
    <x v="0"/>
    <x v="0"/>
    <x v="0"/>
    <x v="0"/>
    <x v="0"/>
    <x v="0"/>
    <x v="0"/>
    <x v="0"/>
    <x v="0"/>
    <x v="0"/>
    <x v="26"/>
    <x v="26"/>
    <n v="0.40363302752268998"/>
    <x v="0"/>
    <x v="0"/>
    <x v="1"/>
    <x v="3"/>
    <x v="3"/>
    <x v="15"/>
    <n v="0.43995999999973212"/>
  </r>
  <r>
    <x v="0"/>
    <x v="0"/>
    <x v="0"/>
    <x v="0"/>
    <x v="0"/>
    <x v="0"/>
    <x v="0"/>
    <x v="0"/>
    <x v="0"/>
    <x v="0"/>
    <x v="0"/>
    <x v="0"/>
    <x v="1"/>
    <x v="1"/>
    <x v="1"/>
    <x v="14"/>
    <x v="14"/>
    <n v="178.99561"/>
    <x v="0"/>
    <x v="0"/>
    <x v="0"/>
    <x v="0"/>
    <x v="8"/>
    <x v="14"/>
    <n v="195.10521490000002"/>
  </r>
  <r>
    <x v="0"/>
    <x v="0"/>
    <x v="0"/>
    <x v="0"/>
    <x v="0"/>
    <x v="0"/>
    <x v="0"/>
    <x v="0"/>
    <x v="0"/>
    <x v="0"/>
    <x v="0"/>
    <x v="0"/>
    <x v="1"/>
    <x v="1"/>
    <x v="1"/>
    <x v="15"/>
    <x v="15"/>
    <n v="0.13866055045862999"/>
    <x v="0"/>
    <x v="0"/>
    <x v="1"/>
    <x v="3"/>
    <x v="3"/>
    <x v="15"/>
    <n v="0.15113999999990671"/>
  </r>
  <r>
    <x v="0"/>
    <x v="0"/>
    <x v="0"/>
    <x v="0"/>
    <x v="0"/>
    <x v="0"/>
    <x v="0"/>
    <x v="0"/>
    <x v="0"/>
    <x v="0"/>
    <x v="0"/>
    <x v="0"/>
    <x v="1"/>
    <x v="1"/>
    <x v="1"/>
    <x v="22"/>
    <x v="22"/>
    <n v="1.5291330645100101"/>
    <x v="0"/>
    <x v="0"/>
    <x v="0"/>
    <x v="0"/>
    <x v="0"/>
    <x v="0"/>
    <n v="1.666755040315911"/>
  </r>
  <r>
    <x v="0"/>
    <x v="0"/>
    <x v="0"/>
    <x v="0"/>
    <x v="0"/>
    <x v="0"/>
    <x v="0"/>
    <x v="0"/>
    <x v="0"/>
    <x v="0"/>
    <x v="0"/>
    <x v="0"/>
    <x v="1"/>
    <x v="1"/>
    <x v="1"/>
    <x v="23"/>
    <x v="23"/>
    <n v="33.222568807319497"/>
    <x v="0"/>
    <x v="0"/>
    <x v="1"/>
    <x v="3"/>
    <x v="3"/>
    <x v="15"/>
    <n v="36.212599999978252"/>
  </r>
  <r>
    <x v="0"/>
    <x v="0"/>
    <x v="0"/>
    <x v="0"/>
    <x v="0"/>
    <x v="0"/>
    <x v="0"/>
    <x v="0"/>
    <x v="0"/>
    <x v="0"/>
    <x v="0"/>
    <x v="0"/>
    <x v="1"/>
    <x v="1"/>
    <x v="1"/>
    <x v="24"/>
    <x v="24"/>
    <n v="8.6682752293526004"/>
    <x v="0"/>
    <x v="0"/>
    <x v="1"/>
    <x v="3"/>
    <x v="3"/>
    <x v="4"/>
    <n v="9.4484199999943357"/>
  </r>
  <r>
    <x v="0"/>
    <x v="0"/>
    <x v="0"/>
    <x v="0"/>
    <x v="0"/>
    <x v="0"/>
    <x v="0"/>
    <x v="0"/>
    <x v="0"/>
    <x v="0"/>
    <x v="0"/>
    <x v="0"/>
    <x v="1"/>
    <x v="1"/>
    <x v="1"/>
    <x v="18"/>
    <x v="18"/>
    <n v="15.947800000000001"/>
    <x v="0"/>
    <x v="0"/>
    <x v="0"/>
    <x v="0"/>
    <x v="4"/>
    <x v="18"/>
    <n v="17.383102000000001"/>
  </r>
  <r>
    <x v="0"/>
    <x v="0"/>
    <x v="0"/>
    <x v="0"/>
    <x v="0"/>
    <x v="0"/>
    <x v="0"/>
    <x v="0"/>
    <x v="0"/>
    <x v="0"/>
    <x v="0"/>
    <x v="0"/>
    <x v="1"/>
    <x v="1"/>
    <x v="1"/>
    <x v="27"/>
    <x v="27"/>
    <n v="47.978704955972098"/>
    <x v="0"/>
    <x v="0"/>
    <x v="1"/>
    <x v="3"/>
    <x v="3"/>
    <x v="19"/>
    <n v="52.296788402009589"/>
  </r>
  <r>
    <x v="0"/>
    <x v="0"/>
    <x v="0"/>
    <x v="0"/>
    <x v="0"/>
    <x v="0"/>
    <x v="0"/>
    <x v="0"/>
    <x v="0"/>
    <x v="0"/>
    <x v="0"/>
    <x v="0"/>
    <x v="1"/>
    <x v="1"/>
    <x v="1"/>
    <x v="26"/>
    <x v="26"/>
    <n v="1.77060550458609"/>
    <x v="0"/>
    <x v="0"/>
    <x v="1"/>
    <x v="3"/>
    <x v="3"/>
    <x v="15"/>
    <n v="1.9299599999988382"/>
  </r>
  <r>
    <x v="0"/>
    <x v="0"/>
    <x v="0"/>
    <x v="0"/>
    <x v="0"/>
    <x v="0"/>
    <x v="0"/>
    <x v="0"/>
    <x v="0"/>
    <x v="0"/>
    <x v="0"/>
    <x v="0"/>
    <x v="1"/>
    <x v="1"/>
    <x v="1"/>
    <x v="0"/>
    <x v="0"/>
    <n v="7.07869483983783"/>
    <x v="0"/>
    <x v="0"/>
    <x v="0"/>
    <x v="0"/>
    <x v="0"/>
    <x v="0"/>
    <n v="7.7157773754232348"/>
  </r>
  <r>
    <x v="0"/>
    <x v="0"/>
    <x v="0"/>
    <x v="0"/>
    <x v="0"/>
    <x v="0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0"/>
    <x v="0"/>
    <x v="0"/>
    <x v="0"/>
    <x v="0"/>
    <x v="0"/>
    <x v="0"/>
    <x v="0"/>
    <x v="0"/>
    <x v="0"/>
    <x v="0"/>
    <x v="0"/>
    <x v="1"/>
    <x v="1"/>
    <x v="1"/>
    <x v="2"/>
    <x v="2"/>
    <n v="1523.51089908165"/>
    <x v="0"/>
    <x v="1"/>
    <x v="2"/>
    <x v="2"/>
    <x v="2"/>
    <x v="2"/>
    <n v="1660.6268799989987"/>
  </r>
  <r>
    <x v="0"/>
    <x v="0"/>
    <x v="0"/>
    <x v="0"/>
    <x v="0"/>
    <x v="0"/>
    <x v="0"/>
    <x v="0"/>
    <x v="0"/>
    <x v="0"/>
    <x v="0"/>
    <x v="0"/>
    <x v="1"/>
    <x v="1"/>
    <x v="1"/>
    <x v="3"/>
    <x v="3"/>
    <n v="223.93354283967599"/>
    <x v="0"/>
    <x v="0"/>
    <x v="1"/>
    <x v="3"/>
    <x v="3"/>
    <x v="3"/>
    <n v="244.08756169524685"/>
  </r>
  <r>
    <x v="0"/>
    <x v="0"/>
    <x v="0"/>
    <x v="0"/>
    <x v="0"/>
    <x v="0"/>
    <x v="0"/>
    <x v="0"/>
    <x v="0"/>
    <x v="0"/>
    <x v="0"/>
    <x v="0"/>
    <x v="2"/>
    <x v="2"/>
    <x v="2"/>
    <x v="4"/>
    <x v="4"/>
    <n v="99.9143577981052"/>
    <x v="0"/>
    <x v="0"/>
    <x v="1"/>
    <x v="3"/>
    <x v="3"/>
    <x v="4"/>
    <n v="108.90664999993467"/>
  </r>
  <r>
    <x v="0"/>
    <x v="0"/>
    <x v="0"/>
    <x v="0"/>
    <x v="0"/>
    <x v="0"/>
    <x v="0"/>
    <x v="0"/>
    <x v="0"/>
    <x v="0"/>
    <x v="0"/>
    <x v="0"/>
    <x v="2"/>
    <x v="2"/>
    <x v="2"/>
    <x v="5"/>
    <x v="5"/>
    <n v="455.37169938996402"/>
    <x v="0"/>
    <x v="0"/>
    <x v="1"/>
    <x v="1"/>
    <x v="1"/>
    <x v="5"/>
    <n v="496.35515233506084"/>
  </r>
  <r>
    <x v="0"/>
    <x v="0"/>
    <x v="0"/>
    <x v="0"/>
    <x v="0"/>
    <x v="0"/>
    <x v="0"/>
    <x v="0"/>
    <x v="0"/>
    <x v="0"/>
    <x v="0"/>
    <x v="0"/>
    <x v="2"/>
    <x v="2"/>
    <x v="2"/>
    <x v="6"/>
    <x v="6"/>
    <n v="433.36784999999998"/>
    <x v="0"/>
    <x v="0"/>
    <x v="0"/>
    <x v="0"/>
    <x v="4"/>
    <x v="6"/>
    <n v="472.37095650000003"/>
  </r>
  <r>
    <x v="0"/>
    <x v="0"/>
    <x v="0"/>
    <x v="0"/>
    <x v="0"/>
    <x v="0"/>
    <x v="0"/>
    <x v="0"/>
    <x v="0"/>
    <x v="0"/>
    <x v="0"/>
    <x v="0"/>
    <x v="2"/>
    <x v="2"/>
    <x v="2"/>
    <x v="7"/>
    <x v="7"/>
    <n v="2.1951100917418001"/>
    <x v="0"/>
    <x v="0"/>
    <x v="1"/>
    <x v="4"/>
    <x v="5"/>
    <x v="7"/>
    <n v="2.3926699999985623"/>
  </r>
  <r>
    <x v="0"/>
    <x v="0"/>
    <x v="0"/>
    <x v="0"/>
    <x v="0"/>
    <x v="0"/>
    <x v="0"/>
    <x v="0"/>
    <x v="0"/>
    <x v="0"/>
    <x v="0"/>
    <x v="0"/>
    <x v="2"/>
    <x v="2"/>
    <x v="2"/>
    <x v="8"/>
    <x v="8"/>
    <n v="551.35021621974499"/>
    <x v="0"/>
    <x v="1"/>
    <x v="2"/>
    <x v="2"/>
    <x v="6"/>
    <x v="8"/>
    <n v="600.97173567952211"/>
  </r>
  <r>
    <x v="0"/>
    <x v="0"/>
    <x v="0"/>
    <x v="0"/>
    <x v="0"/>
    <x v="0"/>
    <x v="0"/>
    <x v="0"/>
    <x v="0"/>
    <x v="0"/>
    <x v="0"/>
    <x v="0"/>
    <x v="2"/>
    <x v="2"/>
    <x v="2"/>
    <x v="9"/>
    <x v="9"/>
    <n v="40.539154079693198"/>
    <x v="0"/>
    <x v="0"/>
    <x v="1"/>
    <x v="4"/>
    <x v="5"/>
    <x v="9"/>
    <n v="44.187677946865591"/>
  </r>
  <r>
    <x v="0"/>
    <x v="0"/>
    <x v="0"/>
    <x v="0"/>
    <x v="0"/>
    <x v="0"/>
    <x v="0"/>
    <x v="0"/>
    <x v="0"/>
    <x v="0"/>
    <x v="0"/>
    <x v="0"/>
    <x v="2"/>
    <x v="2"/>
    <x v="2"/>
    <x v="10"/>
    <x v="10"/>
    <n v="191.19150458704101"/>
    <x v="0"/>
    <x v="0"/>
    <x v="1"/>
    <x v="4"/>
    <x v="5"/>
    <x v="10"/>
    <n v="208.39873999987472"/>
  </r>
  <r>
    <x v="0"/>
    <x v="0"/>
    <x v="0"/>
    <x v="0"/>
    <x v="0"/>
    <x v="0"/>
    <x v="0"/>
    <x v="0"/>
    <x v="0"/>
    <x v="0"/>
    <x v="0"/>
    <x v="0"/>
    <x v="2"/>
    <x v="2"/>
    <x v="2"/>
    <x v="28"/>
    <x v="28"/>
    <n v="6.633"/>
    <x v="0"/>
    <x v="0"/>
    <x v="1"/>
    <x v="3"/>
    <x v="3"/>
    <x v="13"/>
    <n v="7.2299700000000007"/>
  </r>
  <r>
    <x v="0"/>
    <x v="0"/>
    <x v="0"/>
    <x v="0"/>
    <x v="0"/>
    <x v="0"/>
    <x v="0"/>
    <x v="0"/>
    <x v="0"/>
    <x v="0"/>
    <x v="0"/>
    <x v="0"/>
    <x v="2"/>
    <x v="2"/>
    <x v="2"/>
    <x v="29"/>
    <x v="29"/>
    <n v="0.28220000000000001"/>
    <x v="0"/>
    <x v="0"/>
    <x v="1"/>
    <x v="3"/>
    <x v="3"/>
    <x v="13"/>
    <n v="0.30759800000000004"/>
  </r>
  <r>
    <x v="0"/>
    <x v="0"/>
    <x v="0"/>
    <x v="0"/>
    <x v="0"/>
    <x v="0"/>
    <x v="0"/>
    <x v="0"/>
    <x v="0"/>
    <x v="0"/>
    <x v="0"/>
    <x v="0"/>
    <x v="2"/>
    <x v="2"/>
    <x v="2"/>
    <x v="30"/>
    <x v="30"/>
    <n v="158.96258198861099"/>
    <x v="0"/>
    <x v="0"/>
    <x v="0"/>
    <x v="0"/>
    <x v="0"/>
    <x v="0"/>
    <n v="173.26921436758599"/>
  </r>
  <r>
    <x v="0"/>
    <x v="0"/>
    <x v="0"/>
    <x v="0"/>
    <x v="0"/>
    <x v="0"/>
    <x v="0"/>
    <x v="0"/>
    <x v="0"/>
    <x v="0"/>
    <x v="0"/>
    <x v="0"/>
    <x v="2"/>
    <x v="2"/>
    <x v="2"/>
    <x v="31"/>
    <x v="31"/>
    <n v="10.0276422018289"/>
    <x v="0"/>
    <x v="0"/>
    <x v="1"/>
    <x v="4"/>
    <x v="5"/>
    <x v="10"/>
    <n v="10.930129999993502"/>
  </r>
  <r>
    <x v="0"/>
    <x v="0"/>
    <x v="0"/>
    <x v="0"/>
    <x v="0"/>
    <x v="0"/>
    <x v="0"/>
    <x v="0"/>
    <x v="0"/>
    <x v="0"/>
    <x v="0"/>
    <x v="0"/>
    <x v="2"/>
    <x v="2"/>
    <x v="2"/>
    <x v="11"/>
    <x v="11"/>
    <n v="185.81874999999999"/>
    <x v="0"/>
    <x v="0"/>
    <x v="3"/>
    <x v="5"/>
    <x v="7"/>
    <x v="11"/>
    <n v="202.54243750000001"/>
  </r>
  <r>
    <x v="0"/>
    <x v="0"/>
    <x v="0"/>
    <x v="0"/>
    <x v="0"/>
    <x v="0"/>
    <x v="0"/>
    <x v="0"/>
    <x v="0"/>
    <x v="0"/>
    <x v="0"/>
    <x v="0"/>
    <x v="2"/>
    <x v="2"/>
    <x v="2"/>
    <x v="12"/>
    <x v="12"/>
    <n v="1758.97532557471"/>
    <x v="0"/>
    <x v="0"/>
    <x v="0"/>
    <x v="0"/>
    <x v="8"/>
    <x v="12"/>
    <n v="1917.283104876434"/>
  </r>
  <r>
    <x v="0"/>
    <x v="0"/>
    <x v="0"/>
    <x v="0"/>
    <x v="0"/>
    <x v="0"/>
    <x v="0"/>
    <x v="0"/>
    <x v="0"/>
    <x v="0"/>
    <x v="0"/>
    <x v="0"/>
    <x v="2"/>
    <x v="2"/>
    <x v="2"/>
    <x v="13"/>
    <x v="13"/>
    <n v="199.79024000000001"/>
    <x v="0"/>
    <x v="0"/>
    <x v="1"/>
    <x v="3"/>
    <x v="3"/>
    <x v="13"/>
    <n v="217.77136160000003"/>
  </r>
  <r>
    <x v="0"/>
    <x v="0"/>
    <x v="0"/>
    <x v="0"/>
    <x v="0"/>
    <x v="0"/>
    <x v="0"/>
    <x v="0"/>
    <x v="0"/>
    <x v="0"/>
    <x v="0"/>
    <x v="0"/>
    <x v="2"/>
    <x v="2"/>
    <x v="2"/>
    <x v="32"/>
    <x v="32"/>
    <n v="6.3829787232599999"/>
    <x v="0"/>
    <x v="0"/>
    <x v="1"/>
    <x v="1"/>
    <x v="1"/>
    <x v="20"/>
    <n v="6.9574468083534002"/>
  </r>
  <r>
    <x v="0"/>
    <x v="0"/>
    <x v="0"/>
    <x v="0"/>
    <x v="0"/>
    <x v="0"/>
    <x v="0"/>
    <x v="0"/>
    <x v="0"/>
    <x v="0"/>
    <x v="0"/>
    <x v="0"/>
    <x v="2"/>
    <x v="2"/>
    <x v="2"/>
    <x v="14"/>
    <x v="14"/>
    <n v="382.77064000000001"/>
    <x v="0"/>
    <x v="0"/>
    <x v="0"/>
    <x v="0"/>
    <x v="8"/>
    <x v="14"/>
    <n v="417.21999760000006"/>
  </r>
  <r>
    <x v="0"/>
    <x v="0"/>
    <x v="0"/>
    <x v="0"/>
    <x v="0"/>
    <x v="0"/>
    <x v="0"/>
    <x v="0"/>
    <x v="0"/>
    <x v="0"/>
    <x v="0"/>
    <x v="0"/>
    <x v="2"/>
    <x v="2"/>
    <x v="2"/>
    <x v="22"/>
    <x v="22"/>
    <n v="22.353938171953601"/>
    <x v="0"/>
    <x v="0"/>
    <x v="0"/>
    <x v="0"/>
    <x v="0"/>
    <x v="0"/>
    <n v="24.365792607429427"/>
  </r>
  <r>
    <x v="0"/>
    <x v="0"/>
    <x v="0"/>
    <x v="0"/>
    <x v="0"/>
    <x v="0"/>
    <x v="0"/>
    <x v="0"/>
    <x v="0"/>
    <x v="0"/>
    <x v="0"/>
    <x v="0"/>
    <x v="2"/>
    <x v="2"/>
    <x v="2"/>
    <x v="16"/>
    <x v="16"/>
    <n v="681.95545000000004"/>
    <x v="0"/>
    <x v="0"/>
    <x v="3"/>
    <x v="5"/>
    <x v="9"/>
    <x v="16"/>
    <n v="743.3314405000001"/>
  </r>
  <r>
    <x v="0"/>
    <x v="0"/>
    <x v="0"/>
    <x v="0"/>
    <x v="0"/>
    <x v="0"/>
    <x v="0"/>
    <x v="0"/>
    <x v="0"/>
    <x v="0"/>
    <x v="0"/>
    <x v="0"/>
    <x v="2"/>
    <x v="2"/>
    <x v="2"/>
    <x v="33"/>
    <x v="33"/>
    <n v="0.29798165137596999"/>
    <x v="0"/>
    <x v="0"/>
    <x v="1"/>
    <x v="3"/>
    <x v="3"/>
    <x v="4"/>
    <n v="0.3247999999998073"/>
  </r>
  <r>
    <x v="0"/>
    <x v="0"/>
    <x v="0"/>
    <x v="0"/>
    <x v="0"/>
    <x v="0"/>
    <x v="0"/>
    <x v="0"/>
    <x v="0"/>
    <x v="0"/>
    <x v="0"/>
    <x v="0"/>
    <x v="2"/>
    <x v="2"/>
    <x v="2"/>
    <x v="17"/>
    <x v="17"/>
    <n v="24.42088"/>
    <x v="0"/>
    <x v="0"/>
    <x v="0"/>
    <x v="0"/>
    <x v="4"/>
    <x v="17"/>
    <n v="26.618759200000003"/>
  </r>
  <r>
    <x v="0"/>
    <x v="0"/>
    <x v="0"/>
    <x v="0"/>
    <x v="0"/>
    <x v="0"/>
    <x v="0"/>
    <x v="0"/>
    <x v="0"/>
    <x v="0"/>
    <x v="0"/>
    <x v="0"/>
    <x v="2"/>
    <x v="2"/>
    <x v="2"/>
    <x v="21"/>
    <x v="21"/>
    <n v="153.602880733853"/>
    <x v="0"/>
    <x v="0"/>
    <x v="1"/>
    <x v="4"/>
    <x v="5"/>
    <x v="10"/>
    <n v="167.42713999989979"/>
  </r>
  <r>
    <x v="0"/>
    <x v="0"/>
    <x v="0"/>
    <x v="0"/>
    <x v="0"/>
    <x v="0"/>
    <x v="0"/>
    <x v="0"/>
    <x v="0"/>
    <x v="0"/>
    <x v="0"/>
    <x v="0"/>
    <x v="2"/>
    <x v="2"/>
    <x v="2"/>
    <x v="18"/>
    <x v="18"/>
    <n v="429.27857999999998"/>
    <x v="0"/>
    <x v="0"/>
    <x v="0"/>
    <x v="0"/>
    <x v="4"/>
    <x v="18"/>
    <n v="467.9136522"/>
  </r>
  <r>
    <x v="0"/>
    <x v="0"/>
    <x v="0"/>
    <x v="0"/>
    <x v="0"/>
    <x v="0"/>
    <x v="0"/>
    <x v="0"/>
    <x v="0"/>
    <x v="0"/>
    <x v="0"/>
    <x v="0"/>
    <x v="2"/>
    <x v="2"/>
    <x v="2"/>
    <x v="34"/>
    <x v="34"/>
    <n v="97.735724015805701"/>
    <x v="0"/>
    <x v="0"/>
    <x v="0"/>
    <x v="0"/>
    <x v="0"/>
    <x v="0"/>
    <n v="106.53193917722822"/>
  </r>
  <r>
    <x v="0"/>
    <x v="0"/>
    <x v="0"/>
    <x v="0"/>
    <x v="0"/>
    <x v="0"/>
    <x v="0"/>
    <x v="0"/>
    <x v="0"/>
    <x v="0"/>
    <x v="0"/>
    <x v="0"/>
    <x v="2"/>
    <x v="2"/>
    <x v="2"/>
    <x v="27"/>
    <x v="27"/>
    <n v="147.870394147279"/>
    <x v="0"/>
    <x v="0"/>
    <x v="1"/>
    <x v="3"/>
    <x v="3"/>
    <x v="19"/>
    <n v="161.17872962053411"/>
  </r>
  <r>
    <x v="0"/>
    <x v="0"/>
    <x v="0"/>
    <x v="0"/>
    <x v="0"/>
    <x v="0"/>
    <x v="0"/>
    <x v="0"/>
    <x v="0"/>
    <x v="0"/>
    <x v="0"/>
    <x v="0"/>
    <x v="2"/>
    <x v="2"/>
    <x v="2"/>
    <x v="26"/>
    <x v="26"/>
    <n v="130.45710091735299"/>
    <x v="0"/>
    <x v="0"/>
    <x v="1"/>
    <x v="3"/>
    <x v="3"/>
    <x v="15"/>
    <n v="142.19823999991476"/>
  </r>
  <r>
    <x v="0"/>
    <x v="0"/>
    <x v="0"/>
    <x v="0"/>
    <x v="0"/>
    <x v="0"/>
    <x v="0"/>
    <x v="0"/>
    <x v="0"/>
    <x v="0"/>
    <x v="0"/>
    <x v="0"/>
    <x v="2"/>
    <x v="2"/>
    <x v="2"/>
    <x v="0"/>
    <x v="0"/>
    <n v="186.010576511935"/>
    <x v="0"/>
    <x v="0"/>
    <x v="0"/>
    <x v="0"/>
    <x v="0"/>
    <x v="0"/>
    <n v="202.75152839800916"/>
  </r>
  <r>
    <x v="0"/>
    <x v="0"/>
    <x v="0"/>
    <x v="0"/>
    <x v="0"/>
    <x v="0"/>
    <x v="0"/>
    <x v="0"/>
    <x v="0"/>
    <x v="0"/>
    <x v="0"/>
    <x v="0"/>
    <x v="2"/>
    <x v="2"/>
    <x v="2"/>
    <x v="1"/>
    <x v="1"/>
    <n v="507.83513103169003"/>
    <x v="0"/>
    <x v="0"/>
    <x v="1"/>
    <x v="1"/>
    <x v="1"/>
    <x v="1"/>
    <n v="553.54029282454212"/>
  </r>
  <r>
    <x v="0"/>
    <x v="0"/>
    <x v="0"/>
    <x v="0"/>
    <x v="0"/>
    <x v="0"/>
    <x v="0"/>
    <x v="0"/>
    <x v="0"/>
    <x v="0"/>
    <x v="0"/>
    <x v="0"/>
    <x v="2"/>
    <x v="2"/>
    <x v="2"/>
    <x v="20"/>
    <x v="20"/>
    <n v="18.485220000000002"/>
    <x v="0"/>
    <x v="0"/>
    <x v="1"/>
    <x v="3"/>
    <x v="3"/>
    <x v="13"/>
    <n v="20.148889800000003"/>
  </r>
  <r>
    <x v="0"/>
    <x v="0"/>
    <x v="0"/>
    <x v="0"/>
    <x v="0"/>
    <x v="0"/>
    <x v="0"/>
    <x v="0"/>
    <x v="0"/>
    <x v="0"/>
    <x v="0"/>
    <x v="0"/>
    <x v="2"/>
    <x v="2"/>
    <x v="2"/>
    <x v="2"/>
    <x v="2"/>
    <n v="3432.2437339428898"/>
    <x v="0"/>
    <x v="1"/>
    <x v="2"/>
    <x v="2"/>
    <x v="2"/>
    <x v="2"/>
    <n v="3741.1456699977502"/>
  </r>
  <r>
    <x v="0"/>
    <x v="0"/>
    <x v="0"/>
    <x v="0"/>
    <x v="0"/>
    <x v="0"/>
    <x v="0"/>
    <x v="0"/>
    <x v="0"/>
    <x v="0"/>
    <x v="0"/>
    <x v="0"/>
    <x v="2"/>
    <x v="2"/>
    <x v="2"/>
    <x v="3"/>
    <x v="3"/>
    <n v="78.680442222919396"/>
    <x v="0"/>
    <x v="0"/>
    <x v="1"/>
    <x v="3"/>
    <x v="3"/>
    <x v="3"/>
    <n v="85.761682022982143"/>
  </r>
  <r>
    <x v="0"/>
    <x v="0"/>
    <x v="0"/>
    <x v="0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0"/>
    <x v="0"/>
    <x v="0"/>
    <x v="0"/>
    <x v="0"/>
    <x v="0"/>
    <x v="0"/>
    <x v="0"/>
    <x v="0"/>
    <x v="0"/>
    <x v="0"/>
    <x v="0"/>
    <x v="1"/>
    <x v="6"/>
    <x v="6"/>
    <x v="5"/>
    <x v="5"/>
    <n v="108.226809816773"/>
    <x v="0"/>
    <x v="0"/>
    <x v="1"/>
    <x v="1"/>
    <x v="1"/>
    <x v="5"/>
    <n v="117.96722270028258"/>
  </r>
  <r>
    <x v="0"/>
    <x v="0"/>
    <x v="0"/>
    <x v="0"/>
    <x v="0"/>
    <x v="0"/>
    <x v="0"/>
    <x v="0"/>
    <x v="0"/>
    <x v="0"/>
    <x v="0"/>
    <x v="0"/>
    <x v="1"/>
    <x v="6"/>
    <x v="6"/>
    <x v="7"/>
    <x v="7"/>
    <n v="9.5743119265997603"/>
    <x v="0"/>
    <x v="0"/>
    <x v="1"/>
    <x v="4"/>
    <x v="5"/>
    <x v="7"/>
    <n v="10.43599999999374"/>
  </r>
  <r>
    <x v="0"/>
    <x v="0"/>
    <x v="0"/>
    <x v="0"/>
    <x v="0"/>
    <x v="0"/>
    <x v="0"/>
    <x v="0"/>
    <x v="0"/>
    <x v="0"/>
    <x v="0"/>
    <x v="0"/>
    <x v="1"/>
    <x v="6"/>
    <x v="6"/>
    <x v="8"/>
    <x v="8"/>
    <n v="299.005304055968"/>
    <x v="0"/>
    <x v="1"/>
    <x v="2"/>
    <x v="2"/>
    <x v="6"/>
    <x v="8"/>
    <n v="325.91578142100514"/>
  </r>
  <r>
    <x v="0"/>
    <x v="0"/>
    <x v="0"/>
    <x v="0"/>
    <x v="0"/>
    <x v="0"/>
    <x v="0"/>
    <x v="0"/>
    <x v="0"/>
    <x v="0"/>
    <x v="0"/>
    <x v="0"/>
    <x v="1"/>
    <x v="6"/>
    <x v="6"/>
    <x v="9"/>
    <x v="9"/>
    <n v="2.8246972477047301"/>
    <x v="0"/>
    <x v="0"/>
    <x v="1"/>
    <x v="4"/>
    <x v="5"/>
    <x v="9"/>
    <n v="3.0789199999981558"/>
  </r>
  <r>
    <x v="0"/>
    <x v="0"/>
    <x v="0"/>
    <x v="0"/>
    <x v="0"/>
    <x v="0"/>
    <x v="0"/>
    <x v="0"/>
    <x v="0"/>
    <x v="0"/>
    <x v="0"/>
    <x v="0"/>
    <x v="1"/>
    <x v="6"/>
    <x v="6"/>
    <x v="10"/>
    <x v="10"/>
    <n v="80.359266054997704"/>
    <x v="0"/>
    <x v="0"/>
    <x v="1"/>
    <x v="4"/>
    <x v="5"/>
    <x v="10"/>
    <n v="87.591599999947505"/>
  </r>
  <r>
    <x v="0"/>
    <x v="0"/>
    <x v="0"/>
    <x v="0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0"/>
    <x v="0"/>
    <x v="0"/>
    <x v="0"/>
    <x v="0"/>
    <x v="0"/>
    <x v="0"/>
    <x v="0"/>
    <x v="0"/>
    <x v="0"/>
    <x v="0"/>
    <x v="0"/>
    <x v="1"/>
    <x v="6"/>
    <x v="6"/>
    <x v="11"/>
    <x v="11"/>
    <n v="19.340800000000002"/>
    <x v="0"/>
    <x v="0"/>
    <x v="3"/>
    <x v="5"/>
    <x v="7"/>
    <x v="11"/>
    <n v="21.081472000000002"/>
  </r>
  <r>
    <x v="0"/>
    <x v="0"/>
    <x v="0"/>
    <x v="0"/>
    <x v="0"/>
    <x v="0"/>
    <x v="0"/>
    <x v="0"/>
    <x v="0"/>
    <x v="0"/>
    <x v="0"/>
    <x v="0"/>
    <x v="1"/>
    <x v="6"/>
    <x v="6"/>
    <x v="12"/>
    <x v="12"/>
    <n v="546.85225581187501"/>
    <x v="0"/>
    <x v="0"/>
    <x v="0"/>
    <x v="0"/>
    <x v="8"/>
    <x v="12"/>
    <n v="596.06895883494383"/>
  </r>
  <r>
    <x v="0"/>
    <x v="0"/>
    <x v="0"/>
    <x v="0"/>
    <x v="0"/>
    <x v="0"/>
    <x v="0"/>
    <x v="0"/>
    <x v="0"/>
    <x v="0"/>
    <x v="0"/>
    <x v="0"/>
    <x v="1"/>
    <x v="6"/>
    <x v="6"/>
    <x v="13"/>
    <x v="13"/>
    <n v="48.169330000000002"/>
    <x v="0"/>
    <x v="0"/>
    <x v="1"/>
    <x v="3"/>
    <x v="3"/>
    <x v="13"/>
    <n v="52.504569700000005"/>
  </r>
  <r>
    <x v="0"/>
    <x v="0"/>
    <x v="0"/>
    <x v="0"/>
    <x v="0"/>
    <x v="0"/>
    <x v="0"/>
    <x v="0"/>
    <x v="0"/>
    <x v="0"/>
    <x v="0"/>
    <x v="0"/>
    <x v="1"/>
    <x v="6"/>
    <x v="6"/>
    <x v="14"/>
    <x v="14"/>
    <n v="26.054369999999999"/>
    <x v="0"/>
    <x v="0"/>
    <x v="0"/>
    <x v="0"/>
    <x v="8"/>
    <x v="14"/>
    <n v="28.399263300000001"/>
  </r>
  <r>
    <x v="0"/>
    <x v="0"/>
    <x v="0"/>
    <x v="0"/>
    <x v="0"/>
    <x v="0"/>
    <x v="0"/>
    <x v="0"/>
    <x v="0"/>
    <x v="0"/>
    <x v="0"/>
    <x v="0"/>
    <x v="1"/>
    <x v="6"/>
    <x v="6"/>
    <x v="16"/>
    <x v="16"/>
    <n v="38.82"/>
    <x v="0"/>
    <x v="0"/>
    <x v="3"/>
    <x v="5"/>
    <x v="9"/>
    <x v="16"/>
    <n v="42.313800000000001"/>
  </r>
  <r>
    <x v="0"/>
    <x v="0"/>
    <x v="0"/>
    <x v="0"/>
    <x v="0"/>
    <x v="0"/>
    <x v="0"/>
    <x v="0"/>
    <x v="0"/>
    <x v="0"/>
    <x v="0"/>
    <x v="0"/>
    <x v="1"/>
    <x v="6"/>
    <x v="6"/>
    <x v="21"/>
    <x v="21"/>
    <n v="43.348541284377703"/>
    <x v="0"/>
    <x v="0"/>
    <x v="1"/>
    <x v="4"/>
    <x v="5"/>
    <x v="10"/>
    <n v="47.249909999971699"/>
  </r>
  <r>
    <x v="0"/>
    <x v="0"/>
    <x v="0"/>
    <x v="0"/>
    <x v="0"/>
    <x v="0"/>
    <x v="0"/>
    <x v="0"/>
    <x v="0"/>
    <x v="0"/>
    <x v="0"/>
    <x v="0"/>
    <x v="1"/>
    <x v="6"/>
    <x v="6"/>
    <x v="18"/>
    <x v="18"/>
    <n v="11.63236"/>
    <x v="0"/>
    <x v="0"/>
    <x v="0"/>
    <x v="0"/>
    <x v="4"/>
    <x v="18"/>
    <n v="12.6792724"/>
  </r>
  <r>
    <x v="0"/>
    <x v="0"/>
    <x v="0"/>
    <x v="0"/>
    <x v="0"/>
    <x v="0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0"/>
    <x v="0"/>
    <x v="0"/>
    <x v="0"/>
    <x v="0"/>
    <x v="0"/>
    <x v="0"/>
    <x v="0"/>
    <x v="0"/>
    <x v="0"/>
    <x v="0"/>
    <x v="0"/>
    <x v="1"/>
    <x v="6"/>
    <x v="6"/>
    <x v="0"/>
    <x v="0"/>
    <n v="1.31986565835929"/>
    <x v="0"/>
    <x v="0"/>
    <x v="0"/>
    <x v="0"/>
    <x v="0"/>
    <x v="0"/>
    <n v="1.4386535676116263"/>
  </r>
  <r>
    <x v="0"/>
    <x v="0"/>
    <x v="0"/>
    <x v="0"/>
    <x v="0"/>
    <x v="0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0"/>
    <x v="0"/>
    <x v="0"/>
    <x v="0"/>
    <x v="0"/>
    <x v="0"/>
    <x v="0"/>
    <x v="0"/>
    <x v="0"/>
    <x v="0"/>
    <x v="0"/>
    <x v="0"/>
    <x v="1"/>
    <x v="6"/>
    <x v="6"/>
    <x v="2"/>
    <x v="2"/>
    <n v="651.35676146749904"/>
    <x v="0"/>
    <x v="1"/>
    <x v="2"/>
    <x v="2"/>
    <x v="2"/>
    <x v="2"/>
    <n v="709.97886999957404"/>
  </r>
  <r>
    <x v="0"/>
    <x v="0"/>
    <x v="0"/>
    <x v="0"/>
    <x v="0"/>
    <x v="0"/>
    <x v="0"/>
    <x v="0"/>
    <x v="0"/>
    <x v="0"/>
    <x v="0"/>
    <x v="0"/>
    <x v="1"/>
    <x v="6"/>
    <x v="6"/>
    <x v="3"/>
    <x v="3"/>
    <n v="47.5968704396372"/>
    <x v="0"/>
    <x v="0"/>
    <x v="1"/>
    <x v="3"/>
    <x v="3"/>
    <x v="3"/>
    <n v="51.880588779204551"/>
  </r>
  <r>
    <x v="0"/>
    <x v="0"/>
    <x v="0"/>
    <x v="0"/>
    <x v="0"/>
    <x v="0"/>
    <x v="0"/>
    <x v="0"/>
    <x v="0"/>
    <x v="0"/>
    <x v="0"/>
    <x v="0"/>
    <x v="3"/>
    <x v="7"/>
    <x v="7"/>
    <x v="6"/>
    <x v="6"/>
    <n v="66.443920000000006"/>
    <x v="0"/>
    <x v="0"/>
    <x v="0"/>
    <x v="0"/>
    <x v="4"/>
    <x v="6"/>
    <n v="72.423872800000012"/>
  </r>
  <r>
    <x v="0"/>
    <x v="0"/>
    <x v="0"/>
    <x v="0"/>
    <x v="0"/>
    <x v="0"/>
    <x v="0"/>
    <x v="0"/>
    <x v="0"/>
    <x v="0"/>
    <x v="0"/>
    <x v="0"/>
    <x v="3"/>
    <x v="7"/>
    <x v="7"/>
    <x v="9"/>
    <x v="9"/>
    <n v="157.097501792217"/>
    <x v="0"/>
    <x v="0"/>
    <x v="1"/>
    <x v="4"/>
    <x v="5"/>
    <x v="9"/>
    <n v="171.23627695351655"/>
  </r>
  <r>
    <x v="0"/>
    <x v="0"/>
    <x v="0"/>
    <x v="0"/>
    <x v="0"/>
    <x v="0"/>
    <x v="0"/>
    <x v="0"/>
    <x v="0"/>
    <x v="0"/>
    <x v="0"/>
    <x v="0"/>
    <x v="3"/>
    <x v="7"/>
    <x v="7"/>
    <x v="10"/>
    <x v="10"/>
    <n v="44.056161907704997"/>
    <x v="0"/>
    <x v="0"/>
    <x v="1"/>
    <x v="4"/>
    <x v="5"/>
    <x v="10"/>
    <n v="48.021216479398447"/>
  </r>
  <r>
    <x v="0"/>
    <x v="0"/>
    <x v="0"/>
    <x v="0"/>
    <x v="0"/>
    <x v="0"/>
    <x v="0"/>
    <x v="0"/>
    <x v="0"/>
    <x v="0"/>
    <x v="0"/>
    <x v="0"/>
    <x v="3"/>
    <x v="7"/>
    <x v="7"/>
    <x v="36"/>
    <x v="36"/>
    <n v="44.587844036670496"/>
    <x v="0"/>
    <x v="0"/>
    <x v="1"/>
    <x v="3"/>
    <x v="3"/>
    <x v="4"/>
    <n v="48.600749999970844"/>
  </r>
  <r>
    <x v="0"/>
    <x v="0"/>
    <x v="0"/>
    <x v="0"/>
    <x v="0"/>
    <x v="0"/>
    <x v="0"/>
    <x v="0"/>
    <x v="0"/>
    <x v="0"/>
    <x v="0"/>
    <x v="0"/>
    <x v="3"/>
    <x v="7"/>
    <x v="7"/>
    <x v="24"/>
    <x v="24"/>
    <n v="77.015853210963002"/>
    <x v="0"/>
    <x v="0"/>
    <x v="1"/>
    <x v="3"/>
    <x v="3"/>
    <x v="4"/>
    <n v="83.947279999949671"/>
  </r>
  <r>
    <x v="0"/>
    <x v="0"/>
    <x v="0"/>
    <x v="0"/>
    <x v="0"/>
    <x v="0"/>
    <x v="0"/>
    <x v="0"/>
    <x v="0"/>
    <x v="0"/>
    <x v="0"/>
    <x v="0"/>
    <x v="3"/>
    <x v="7"/>
    <x v="7"/>
    <x v="17"/>
    <x v="17"/>
    <n v="351.64710000000002"/>
    <x v="0"/>
    <x v="0"/>
    <x v="0"/>
    <x v="0"/>
    <x v="4"/>
    <x v="17"/>
    <n v="383.29533900000007"/>
  </r>
  <r>
    <x v="0"/>
    <x v="0"/>
    <x v="0"/>
    <x v="0"/>
    <x v="0"/>
    <x v="0"/>
    <x v="0"/>
    <x v="0"/>
    <x v="0"/>
    <x v="0"/>
    <x v="0"/>
    <x v="0"/>
    <x v="3"/>
    <x v="7"/>
    <x v="7"/>
    <x v="18"/>
    <x v="18"/>
    <n v="39.065179999999998"/>
    <x v="0"/>
    <x v="0"/>
    <x v="0"/>
    <x v="0"/>
    <x v="4"/>
    <x v="18"/>
    <n v="42.581046200000003"/>
  </r>
  <r>
    <x v="0"/>
    <x v="0"/>
    <x v="0"/>
    <x v="0"/>
    <x v="0"/>
    <x v="0"/>
    <x v="0"/>
    <x v="0"/>
    <x v="0"/>
    <x v="0"/>
    <x v="0"/>
    <x v="0"/>
    <x v="3"/>
    <x v="7"/>
    <x v="7"/>
    <x v="34"/>
    <x v="34"/>
    <n v="25.790100436242799"/>
    <x v="0"/>
    <x v="0"/>
    <x v="0"/>
    <x v="0"/>
    <x v="0"/>
    <x v="0"/>
    <n v="28.111209475504651"/>
  </r>
  <r>
    <x v="0"/>
    <x v="0"/>
    <x v="0"/>
    <x v="0"/>
    <x v="0"/>
    <x v="0"/>
    <x v="0"/>
    <x v="0"/>
    <x v="0"/>
    <x v="0"/>
    <x v="0"/>
    <x v="0"/>
    <x v="3"/>
    <x v="7"/>
    <x v="7"/>
    <x v="26"/>
    <x v="26"/>
    <n v="38.628064220160297"/>
    <x v="0"/>
    <x v="0"/>
    <x v="1"/>
    <x v="3"/>
    <x v="3"/>
    <x v="15"/>
    <n v="42.104589999974728"/>
  </r>
  <r>
    <x v="0"/>
    <x v="0"/>
    <x v="0"/>
    <x v="0"/>
    <x v="0"/>
    <x v="0"/>
    <x v="0"/>
    <x v="0"/>
    <x v="0"/>
    <x v="0"/>
    <x v="0"/>
    <x v="0"/>
    <x v="1"/>
    <x v="8"/>
    <x v="8"/>
    <x v="6"/>
    <x v="6"/>
    <n v="59.918979999999998"/>
    <x v="0"/>
    <x v="0"/>
    <x v="0"/>
    <x v="0"/>
    <x v="4"/>
    <x v="6"/>
    <n v="65.311688200000006"/>
  </r>
  <r>
    <x v="0"/>
    <x v="0"/>
    <x v="0"/>
    <x v="0"/>
    <x v="0"/>
    <x v="0"/>
    <x v="0"/>
    <x v="0"/>
    <x v="0"/>
    <x v="0"/>
    <x v="0"/>
    <x v="0"/>
    <x v="1"/>
    <x v="8"/>
    <x v="8"/>
    <x v="8"/>
    <x v="8"/>
    <n v="182.222648649815"/>
    <x v="0"/>
    <x v="1"/>
    <x v="2"/>
    <x v="2"/>
    <x v="6"/>
    <x v="8"/>
    <n v="198.62268702829837"/>
  </r>
  <r>
    <x v="0"/>
    <x v="0"/>
    <x v="0"/>
    <x v="0"/>
    <x v="0"/>
    <x v="0"/>
    <x v="0"/>
    <x v="0"/>
    <x v="0"/>
    <x v="0"/>
    <x v="0"/>
    <x v="0"/>
    <x v="1"/>
    <x v="8"/>
    <x v="8"/>
    <x v="9"/>
    <x v="9"/>
    <n v="103.306290840039"/>
    <x v="0"/>
    <x v="0"/>
    <x v="1"/>
    <x v="4"/>
    <x v="5"/>
    <x v="9"/>
    <n v="112.60385701564252"/>
  </r>
  <r>
    <x v="0"/>
    <x v="0"/>
    <x v="0"/>
    <x v="0"/>
    <x v="0"/>
    <x v="0"/>
    <x v="0"/>
    <x v="0"/>
    <x v="0"/>
    <x v="0"/>
    <x v="0"/>
    <x v="0"/>
    <x v="1"/>
    <x v="8"/>
    <x v="8"/>
    <x v="10"/>
    <x v="10"/>
    <n v="53.983393995072603"/>
    <x v="0"/>
    <x v="0"/>
    <x v="1"/>
    <x v="4"/>
    <x v="5"/>
    <x v="10"/>
    <n v="58.841899454629143"/>
  </r>
  <r>
    <x v="0"/>
    <x v="0"/>
    <x v="0"/>
    <x v="0"/>
    <x v="0"/>
    <x v="0"/>
    <x v="0"/>
    <x v="0"/>
    <x v="0"/>
    <x v="0"/>
    <x v="0"/>
    <x v="0"/>
    <x v="1"/>
    <x v="8"/>
    <x v="8"/>
    <x v="36"/>
    <x v="36"/>
    <n v="2.0107798165125601"/>
    <x v="0"/>
    <x v="0"/>
    <x v="1"/>
    <x v="3"/>
    <x v="3"/>
    <x v="4"/>
    <n v="2.1917499999986907"/>
  </r>
  <r>
    <x v="0"/>
    <x v="0"/>
    <x v="0"/>
    <x v="0"/>
    <x v="0"/>
    <x v="0"/>
    <x v="0"/>
    <x v="0"/>
    <x v="0"/>
    <x v="0"/>
    <x v="0"/>
    <x v="0"/>
    <x v="1"/>
    <x v="8"/>
    <x v="8"/>
    <x v="24"/>
    <x v="24"/>
    <n v="97.097055045813306"/>
    <x v="0"/>
    <x v="0"/>
    <x v="1"/>
    <x v="3"/>
    <x v="3"/>
    <x v="4"/>
    <n v="105.83578999993651"/>
  </r>
  <r>
    <x v="0"/>
    <x v="0"/>
    <x v="0"/>
    <x v="0"/>
    <x v="0"/>
    <x v="0"/>
    <x v="0"/>
    <x v="0"/>
    <x v="0"/>
    <x v="0"/>
    <x v="0"/>
    <x v="0"/>
    <x v="1"/>
    <x v="8"/>
    <x v="8"/>
    <x v="17"/>
    <x v="17"/>
    <n v="31.884419999999999"/>
    <x v="0"/>
    <x v="0"/>
    <x v="0"/>
    <x v="0"/>
    <x v="4"/>
    <x v="17"/>
    <n v="34.7540178"/>
  </r>
  <r>
    <x v="0"/>
    <x v="0"/>
    <x v="0"/>
    <x v="0"/>
    <x v="0"/>
    <x v="0"/>
    <x v="0"/>
    <x v="0"/>
    <x v="0"/>
    <x v="0"/>
    <x v="0"/>
    <x v="0"/>
    <x v="1"/>
    <x v="8"/>
    <x v="8"/>
    <x v="21"/>
    <x v="21"/>
    <n v="7.5682018348578399"/>
    <x v="0"/>
    <x v="0"/>
    <x v="1"/>
    <x v="4"/>
    <x v="5"/>
    <x v="10"/>
    <n v="8.2493399999950459"/>
  </r>
  <r>
    <x v="0"/>
    <x v="0"/>
    <x v="0"/>
    <x v="0"/>
    <x v="0"/>
    <x v="0"/>
    <x v="0"/>
    <x v="0"/>
    <x v="0"/>
    <x v="0"/>
    <x v="0"/>
    <x v="0"/>
    <x v="1"/>
    <x v="8"/>
    <x v="8"/>
    <x v="18"/>
    <x v="18"/>
    <n v="31.270420000000001"/>
    <x v="0"/>
    <x v="0"/>
    <x v="0"/>
    <x v="0"/>
    <x v="4"/>
    <x v="18"/>
    <n v="34.084757800000006"/>
  </r>
  <r>
    <x v="0"/>
    <x v="0"/>
    <x v="0"/>
    <x v="0"/>
    <x v="0"/>
    <x v="0"/>
    <x v="0"/>
    <x v="0"/>
    <x v="0"/>
    <x v="0"/>
    <x v="0"/>
    <x v="0"/>
    <x v="1"/>
    <x v="8"/>
    <x v="8"/>
    <x v="34"/>
    <x v="34"/>
    <n v="3.6203930130388899"/>
    <x v="0"/>
    <x v="0"/>
    <x v="0"/>
    <x v="0"/>
    <x v="0"/>
    <x v="0"/>
    <n v="3.9462283842123904"/>
  </r>
  <r>
    <x v="0"/>
    <x v="0"/>
    <x v="0"/>
    <x v="0"/>
    <x v="0"/>
    <x v="0"/>
    <x v="0"/>
    <x v="0"/>
    <x v="0"/>
    <x v="0"/>
    <x v="0"/>
    <x v="0"/>
    <x v="1"/>
    <x v="8"/>
    <x v="8"/>
    <x v="37"/>
    <x v="37"/>
    <n v="56.446045871525797"/>
    <x v="0"/>
    <x v="0"/>
    <x v="1"/>
    <x v="3"/>
    <x v="3"/>
    <x v="4"/>
    <n v="61.526189999963123"/>
  </r>
  <r>
    <x v="0"/>
    <x v="0"/>
    <x v="0"/>
    <x v="0"/>
    <x v="0"/>
    <x v="0"/>
    <x v="0"/>
    <x v="0"/>
    <x v="0"/>
    <x v="0"/>
    <x v="0"/>
    <x v="0"/>
    <x v="1"/>
    <x v="8"/>
    <x v="8"/>
    <x v="0"/>
    <x v="0"/>
    <n v="13.7620934163316"/>
    <x v="0"/>
    <x v="0"/>
    <x v="0"/>
    <x v="0"/>
    <x v="0"/>
    <x v="0"/>
    <n v="15.000681823801445"/>
  </r>
  <r>
    <x v="0"/>
    <x v="0"/>
    <x v="0"/>
    <x v="0"/>
    <x v="0"/>
    <x v="0"/>
    <x v="0"/>
    <x v="0"/>
    <x v="0"/>
    <x v="0"/>
    <x v="0"/>
    <x v="0"/>
    <x v="0"/>
    <x v="9"/>
    <x v="9"/>
    <x v="6"/>
    <x v="6"/>
    <n v="120.60439"/>
    <x v="0"/>
    <x v="0"/>
    <x v="0"/>
    <x v="0"/>
    <x v="4"/>
    <x v="6"/>
    <n v="131.4587851"/>
  </r>
  <r>
    <x v="0"/>
    <x v="0"/>
    <x v="0"/>
    <x v="0"/>
    <x v="0"/>
    <x v="0"/>
    <x v="0"/>
    <x v="0"/>
    <x v="0"/>
    <x v="0"/>
    <x v="0"/>
    <x v="0"/>
    <x v="0"/>
    <x v="9"/>
    <x v="9"/>
    <x v="7"/>
    <x v="7"/>
    <n v="132.395513761388"/>
    <x v="0"/>
    <x v="0"/>
    <x v="1"/>
    <x v="4"/>
    <x v="5"/>
    <x v="7"/>
    <n v="144.31110999991293"/>
  </r>
  <r>
    <x v="0"/>
    <x v="0"/>
    <x v="0"/>
    <x v="0"/>
    <x v="0"/>
    <x v="0"/>
    <x v="0"/>
    <x v="0"/>
    <x v="0"/>
    <x v="0"/>
    <x v="0"/>
    <x v="0"/>
    <x v="0"/>
    <x v="9"/>
    <x v="9"/>
    <x v="9"/>
    <x v="9"/>
    <n v="375.65526314013903"/>
    <x v="0"/>
    <x v="0"/>
    <x v="1"/>
    <x v="4"/>
    <x v="5"/>
    <x v="9"/>
    <n v="409.46423682275156"/>
  </r>
  <r>
    <x v="0"/>
    <x v="0"/>
    <x v="0"/>
    <x v="0"/>
    <x v="0"/>
    <x v="0"/>
    <x v="0"/>
    <x v="0"/>
    <x v="0"/>
    <x v="0"/>
    <x v="0"/>
    <x v="0"/>
    <x v="0"/>
    <x v="9"/>
    <x v="9"/>
    <x v="10"/>
    <x v="10"/>
    <n v="65.796161220693804"/>
    <x v="0"/>
    <x v="0"/>
    <x v="1"/>
    <x v="4"/>
    <x v="5"/>
    <x v="10"/>
    <n v="71.717815730556254"/>
  </r>
  <r>
    <x v="0"/>
    <x v="0"/>
    <x v="0"/>
    <x v="0"/>
    <x v="0"/>
    <x v="0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0"/>
    <x v="0"/>
    <x v="0"/>
    <x v="0"/>
    <x v="0"/>
    <x v="0"/>
    <x v="0"/>
    <x v="0"/>
    <x v="0"/>
    <x v="0"/>
    <x v="0"/>
    <x v="0"/>
    <x v="0"/>
    <x v="9"/>
    <x v="9"/>
    <x v="12"/>
    <x v="12"/>
    <n v="12.257709302279"/>
    <x v="0"/>
    <x v="0"/>
    <x v="0"/>
    <x v="0"/>
    <x v="8"/>
    <x v="12"/>
    <n v="13.360903139484112"/>
  </r>
  <r>
    <x v="0"/>
    <x v="0"/>
    <x v="0"/>
    <x v="0"/>
    <x v="0"/>
    <x v="0"/>
    <x v="0"/>
    <x v="0"/>
    <x v="0"/>
    <x v="0"/>
    <x v="0"/>
    <x v="0"/>
    <x v="0"/>
    <x v="9"/>
    <x v="9"/>
    <x v="36"/>
    <x v="36"/>
    <n v="7.3602110091699"/>
    <x v="0"/>
    <x v="0"/>
    <x v="1"/>
    <x v="3"/>
    <x v="3"/>
    <x v="4"/>
    <n v="8.0226299999951909"/>
  </r>
  <r>
    <x v="0"/>
    <x v="0"/>
    <x v="0"/>
    <x v="0"/>
    <x v="0"/>
    <x v="0"/>
    <x v="0"/>
    <x v="0"/>
    <x v="0"/>
    <x v="0"/>
    <x v="0"/>
    <x v="0"/>
    <x v="0"/>
    <x v="9"/>
    <x v="9"/>
    <x v="24"/>
    <x v="24"/>
    <n v="79.050311926558095"/>
    <x v="0"/>
    <x v="0"/>
    <x v="1"/>
    <x v="3"/>
    <x v="3"/>
    <x v="4"/>
    <n v="86.164839999948327"/>
  </r>
  <r>
    <x v="0"/>
    <x v="0"/>
    <x v="0"/>
    <x v="0"/>
    <x v="0"/>
    <x v="0"/>
    <x v="0"/>
    <x v="0"/>
    <x v="0"/>
    <x v="0"/>
    <x v="0"/>
    <x v="0"/>
    <x v="0"/>
    <x v="9"/>
    <x v="9"/>
    <x v="17"/>
    <x v="17"/>
    <n v="86.24"/>
    <x v="0"/>
    <x v="0"/>
    <x v="0"/>
    <x v="0"/>
    <x v="4"/>
    <x v="17"/>
    <n v="94.001599999999996"/>
  </r>
  <r>
    <x v="0"/>
    <x v="0"/>
    <x v="0"/>
    <x v="0"/>
    <x v="0"/>
    <x v="0"/>
    <x v="0"/>
    <x v="0"/>
    <x v="0"/>
    <x v="0"/>
    <x v="0"/>
    <x v="0"/>
    <x v="0"/>
    <x v="9"/>
    <x v="9"/>
    <x v="21"/>
    <x v="21"/>
    <n v="1206.4108623846"/>
    <x v="0"/>
    <x v="0"/>
    <x v="1"/>
    <x v="4"/>
    <x v="5"/>
    <x v="10"/>
    <n v="1314.9878399992142"/>
  </r>
  <r>
    <x v="0"/>
    <x v="0"/>
    <x v="0"/>
    <x v="0"/>
    <x v="0"/>
    <x v="0"/>
    <x v="0"/>
    <x v="0"/>
    <x v="0"/>
    <x v="0"/>
    <x v="0"/>
    <x v="0"/>
    <x v="0"/>
    <x v="9"/>
    <x v="9"/>
    <x v="18"/>
    <x v="18"/>
    <n v="159.73793000000001"/>
    <x v="0"/>
    <x v="0"/>
    <x v="0"/>
    <x v="0"/>
    <x v="4"/>
    <x v="18"/>
    <n v="174.11434370000001"/>
  </r>
  <r>
    <x v="0"/>
    <x v="0"/>
    <x v="0"/>
    <x v="0"/>
    <x v="0"/>
    <x v="0"/>
    <x v="0"/>
    <x v="0"/>
    <x v="0"/>
    <x v="0"/>
    <x v="0"/>
    <x v="0"/>
    <x v="0"/>
    <x v="9"/>
    <x v="9"/>
    <x v="34"/>
    <x v="34"/>
    <n v="14.6403563316288"/>
    <x v="0"/>
    <x v="0"/>
    <x v="0"/>
    <x v="0"/>
    <x v="0"/>
    <x v="0"/>
    <n v="15.957988401475394"/>
  </r>
  <r>
    <x v="0"/>
    <x v="0"/>
    <x v="0"/>
    <x v="0"/>
    <x v="0"/>
    <x v="0"/>
    <x v="0"/>
    <x v="0"/>
    <x v="0"/>
    <x v="0"/>
    <x v="0"/>
    <x v="0"/>
    <x v="0"/>
    <x v="9"/>
    <x v="9"/>
    <x v="37"/>
    <x v="37"/>
    <n v="26.100880733929301"/>
    <x v="0"/>
    <x v="0"/>
    <x v="1"/>
    <x v="3"/>
    <x v="3"/>
    <x v="4"/>
    <n v="28.449959999982941"/>
  </r>
  <r>
    <x v="0"/>
    <x v="0"/>
    <x v="0"/>
    <x v="0"/>
    <x v="0"/>
    <x v="0"/>
    <x v="0"/>
    <x v="0"/>
    <x v="0"/>
    <x v="0"/>
    <x v="0"/>
    <x v="0"/>
    <x v="0"/>
    <x v="9"/>
    <x v="9"/>
    <x v="26"/>
    <x v="26"/>
    <n v="14.8635229357709"/>
    <x v="0"/>
    <x v="0"/>
    <x v="1"/>
    <x v="3"/>
    <x v="3"/>
    <x v="15"/>
    <n v="16.201239999990282"/>
  </r>
  <r>
    <x v="0"/>
    <x v="0"/>
    <x v="0"/>
    <x v="0"/>
    <x v="0"/>
    <x v="0"/>
    <x v="0"/>
    <x v="0"/>
    <x v="0"/>
    <x v="0"/>
    <x v="0"/>
    <x v="0"/>
    <x v="0"/>
    <x v="9"/>
    <x v="9"/>
    <x v="0"/>
    <x v="0"/>
    <n v="1.7405249110271599"/>
    <x v="0"/>
    <x v="0"/>
    <x v="0"/>
    <x v="0"/>
    <x v="0"/>
    <x v="0"/>
    <n v="1.8971721530196044"/>
  </r>
  <r>
    <x v="0"/>
    <x v="0"/>
    <x v="0"/>
    <x v="0"/>
    <x v="0"/>
    <x v="0"/>
    <x v="0"/>
    <x v="0"/>
    <x v="0"/>
    <x v="0"/>
    <x v="0"/>
    <x v="0"/>
    <x v="0"/>
    <x v="9"/>
    <x v="9"/>
    <x v="2"/>
    <x v="2"/>
    <n v="25.041550458700598"/>
    <x v="0"/>
    <x v="1"/>
    <x v="2"/>
    <x v="2"/>
    <x v="2"/>
    <x v="2"/>
    <n v="27.295289999983655"/>
  </r>
  <r>
    <x v="0"/>
    <x v="0"/>
    <x v="0"/>
    <x v="0"/>
    <x v="0"/>
    <x v="0"/>
    <x v="0"/>
    <x v="0"/>
    <x v="0"/>
    <x v="0"/>
    <x v="0"/>
    <x v="0"/>
    <x v="2"/>
    <x v="10"/>
    <x v="10"/>
    <x v="6"/>
    <x v="6"/>
    <n v="144.60942"/>
    <x v="0"/>
    <x v="0"/>
    <x v="0"/>
    <x v="0"/>
    <x v="4"/>
    <x v="6"/>
    <n v="157.62426780000001"/>
  </r>
  <r>
    <x v="0"/>
    <x v="0"/>
    <x v="0"/>
    <x v="0"/>
    <x v="0"/>
    <x v="0"/>
    <x v="0"/>
    <x v="0"/>
    <x v="0"/>
    <x v="0"/>
    <x v="0"/>
    <x v="0"/>
    <x v="2"/>
    <x v="10"/>
    <x v="10"/>
    <x v="7"/>
    <x v="7"/>
    <n v="16.964669724760501"/>
    <x v="0"/>
    <x v="0"/>
    <x v="1"/>
    <x v="4"/>
    <x v="5"/>
    <x v="7"/>
    <n v="18.491489999988946"/>
  </r>
  <r>
    <x v="0"/>
    <x v="0"/>
    <x v="0"/>
    <x v="0"/>
    <x v="0"/>
    <x v="0"/>
    <x v="0"/>
    <x v="0"/>
    <x v="0"/>
    <x v="0"/>
    <x v="0"/>
    <x v="0"/>
    <x v="2"/>
    <x v="10"/>
    <x v="10"/>
    <x v="9"/>
    <x v="9"/>
    <n v="173.08646200950099"/>
    <x v="0"/>
    <x v="0"/>
    <x v="1"/>
    <x v="4"/>
    <x v="5"/>
    <x v="9"/>
    <n v="188.66424359035611"/>
  </r>
  <r>
    <x v="0"/>
    <x v="0"/>
    <x v="0"/>
    <x v="0"/>
    <x v="0"/>
    <x v="0"/>
    <x v="0"/>
    <x v="0"/>
    <x v="0"/>
    <x v="0"/>
    <x v="0"/>
    <x v="0"/>
    <x v="2"/>
    <x v="10"/>
    <x v="10"/>
    <x v="10"/>
    <x v="10"/>
    <n v="56.672340608113302"/>
    <x v="0"/>
    <x v="0"/>
    <x v="1"/>
    <x v="4"/>
    <x v="5"/>
    <x v="10"/>
    <n v="61.772851262843503"/>
  </r>
  <r>
    <x v="0"/>
    <x v="0"/>
    <x v="0"/>
    <x v="0"/>
    <x v="0"/>
    <x v="0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0"/>
    <x v="0"/>
    <x v="0"/>
    <x v="0"/>
    <x v="0"/>
    <x v="0"/>
    <x v="0"/>
    <x v="0"/>
    <x v="0"/>
    <x v="0"/>
    <x v="0"/>
    <x v="0"/>
    <x v="2"/>
    <x v="10"/>
    <x v="10"/>
    <x v="22"/>
    <x v="22"/>
    <n v="3.0003360214933799"/>
    <x v="0"/>
    <x v="0"/>
    <x v="0"/>
    <x v="0"/>
    <x v="0"/>
    <x v="0"/>
    <n v="3.2703662634277841"/>
  </r>
  <r>
    <x v="0"/>
    <x v="0"/>
    <x v="0"/>
    <x v="0"/>
    <x v="0"/>
    <x v="0"/>
    <x v="0"/>
    <x v="0"/>
    <x v="0"/>
    <x v="0"/>
    <x v="0"/>
    <x v="0"/>
    <x v="2"/>
    <x v="10"/>
    <x v="10"/>
    <x v="36"/>
    <x v="36"/>
    <n v="15.571458715586999"/>
    <x v="0"/>
    <x v="0"/>
    <x v="1"/>
    <x v="3"/>
    <x v="3"/>
    <x v="4"/>
    <n v="16.972889999989832"/>
  </r>
  <r>
    <x v="0"/>
    <x v="0"/>
    <x v="0"/>
    <x v="0"/>
    <x v="0"/>
    <x v="0"/>
    <x v="0"/>
    <x v="0"/>
    <x v="0"/>
    <x v="0"/>
    <x v="0"/>
    <x v="0"/>
    <x v="2"/>
    <x v="10"/>
    <x v="10"/>
    <x v="24"/>
    <x v="24"/>
    <n v="47.307027522907397"/>
    <x v="0"/>
    <x v="0"/>
    <x v="1"/>
    <x v="3"/>
    <x v="3"/>
    <x v="4"/>
    <n v="51.564659999969066"/>
  </r>
  <r>
    <x v="0"/>
    <x v="0"/>
    <x v="0"/>
    <x v="0"/>
    <x v="0"/>
    <x v="0"/>
    <x v="0"/>
    <x v="0"/>
    <x v="0"/>
    <x v="0"/>
    <x v="0"/>
    <x v="0"/>
    <x v="2"/>
    <x v="10"/>
    <x v="10"/>
    <x v="17"/>
    <x v="17"/>
    <n v="34.531750000000002"/>
    <x v="0"/>
    <x v="0"/>
    <x v="0"/>
    <x v="0"/>
    <x v="4"/>
    <x v="17"/>
    <n v="37.639607500000004"/>
  </r>
  <r>
    <x v="0"/>
    <x v="0"/>
    <x v="0"/>
    <x v="0"/>
    <x v="0"/>
    <x v="0"/>
    <x v="0"/>
    <x v="0"/>
    <x v="0"/>
    <x v="0"/>
    <x v="0"/>
    <x v="0"/>
    <x v="2"/>
    <x v="10"/>
    <x v="10"/>
    <x v="21"/>
    <x v="21"/>
    <n v="213.51343119253201"/>
    <x v="0"/>
    <x v="0"/>
    <x v="1"/>
    <x v="4"/>
    <x v="5"/>
    <x v="10"/>
    <n v="232.7296399998599"/>
  </r>
  <r>
    <x v="0"/>
    <x v="0"/>
    <x v="0"/>
    <x v="0"/>
    <x v="0"/>
    <x v="0"/>
    <x v="0"/>
    <x v="0"/>
    <x v="0"/>
    <x v="0"/>
    <x v="0"/>
    <x v="0"/>
    <x v="2"/>
    <x v="10"/>
    <x v="10"/>
    <x v="18"/>
    <x v="18"/>
    <n v="58.74"/>
    <x v="0"/>
    <x v="0"/>
    <x v="0"/>
    <x v="0"/>
    <x v="4"/>
    <x v="18"/>
    <n v="64.026600000000002"/>
  </r>
  <r>
    <x v="0"/>
    <x v="0"/>
    <x v="0"/>
    <x v="0"/>
    <x v="0"/>
    <x v="0"/>
    <x v="0"/>
    <x v="0"/>
    <x v="0"/>
    <x v="0"/>
    <x v="0"/>
    <x v="0"/>
    <x v="2"/>
    <x v="10"/>
    <x v="10"/>
    <x v="34"/>
    <x v="34"/>
    <n v="30.5079668117084"/>
    <x v="0"/>
    <x v="0"/>
    <x v="0"/>
    <x v="0"/>
    <x v="0"/>
    <x v="0"/>
    <n v="33.253683824762156"/>
  </r>
  <r>
    <x v="0"/>
    <x v="0"/>
    <x v="0"/>
    <x v="0"/>
    <x v="0"/>
    <x v="0"/>
    <x v="0"/>
    <x v="0"/>
    <x v="0"/>
    <x v="0"/>
    <x v="0"/>
    <x v="0"/>
    <x v="2"/>
    <x v="10"/>
    <x v="10"/>
    <x v="37"/>
    <x v="37"/>
    <n v="33.890899082548501"/>
    <x v="0"/>
    <x v="0"/>
    <x v="1"/>
    <x v="3"/>
    <x v="3"/>
    <x v="4"/>
    <n v="36.941079999977866"/>
  </r>
  <r>
    <x v="0"/>
    <x v="0"/>
    <x v="0"/>
    <x v="0"/>
    <x v="0"/>
    <x v="0"/>
    <x v="0"/>
    <x v="0"/>
    <x v="0"/>
    <x v="0"/>
    <x v="0"/>
    <x v="0"/>
    <x v="2"/>
    <x v="10"/>
    <x v="10"/>
    <x v="26"/>
    <x v="26"/>
    <n v="50.524513761437603"/>
    <x v="0"/>
    <x v="0"/>
    <x v="1"/>
    <x v="3"/>
    <x v="3"/>
    <x v="15"/>
    <n v="55.071719999966994"/>
  </r>
  <r>
    <x v="0"/>
    <x v="0"/>
    <x v="0"/>
    <x v="0"/>
    <x v="0"/>
    <x v="0"/>
    <x v="0"/>
    <x v="0"/>
    <x v="0"/>
    <x v="0"/>
    <x v="0"/>
    <x v="0"/>
    <x v="2"/>
    <x v="10"/>
    <x v="10"/>
    <x v="0"/>
    <x v="0"/>
    <n v="109.714854092219"/>
    <x v="0"/>
    <x v="0"/>
    <x v="0"/>
    <x v="0"/>
    <x v="0"/>
    <x v="0"/>
    <n v="119.58919096051872"/>
  </r>
  <r>
    <x v="0"/>
    <x v="0"/>
    <x v="0"/>
    <x v="0"/>
    <x v="0"/>
    <x v="0"/>
    <x v="0"/>
    <x v="0"/>
    <x v="0"/>
    <x v="0"/>
    <x v="0"/>
    <x v="0"/>
    <x v="2"/>
    <x v="10"/>
    <x v="10"/>
    <x v="2"/>
    <x v="2"/>
    <n v="1097.09477981586"/>
    <x v="0"/>
    <x v="1"/>
    <x v="2"/>
    <x v="2"/>
    <x v="2"/>
    <x v="2"/>
    <n v="1195.8333099992874"/>
  </r>
  <r>
    <x v="0"/>
    <x v="0"/>
    <x v="0"/>
    <x v="0"/>
    <x v="0"/>
    <x v="2"/>
    <x v="0"/>
    <x v="0"/>
    <x v="0"/>
    <x v="0"/>
    <x v="0"/>
    <x v="0"/>
    <x v="0"/>
    <x v="4"/>
    <x v="4"/>
    <x v="3"/>
    <x v="3"/>
    <n v="20.845269456502201"/>
    <x v="0"/>
    <x v="0"/>
    <x v="1"/>
    <x v="3"/>
    <x v="3"/>
    <x v="3"/>
    <n v="22.721343707587401"/>
  </r>
  <r>
    <x v="0"/>
    <x v="0"/>
    <x v="0"/>
    <x v="0"/>
    <x v="0"/>
    <x v="2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0"/>
    <x v="0"/>
    <x v="0"/>
    <x v="0"/>
    <x v="0"/>
    <x v="2"/>
    <x v="0"/>
    <x v="0"/>
    <x v="0"/>
    <x v="0"/>
    <x v="0"/>
    <x v="0"/>
    <x v="0"/>
    <x v="0"/>
    <x v="0"/>
    <x v="31"/>
    <x v="31"/>
    <n v="12.880954128432601"/>
    <x v="0"/>
    <x v="0"/>
    <x v="1"/>
    <x v="4"/>
    <x v="5"/>
    <x v="10"/>
    <n v="14.040239999991536"/>
  </r>
  <r>
    <x v="0"/>
    <x v="0"/>
    <x v="0"/>
    <x v="0"/>
    <x v="0"/>
    <x v="2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0"/>
    <x v="0"/>
    <x v="0"/>
    <x v="0"/>
    <x v="0"/>
    <x v="2"/>
    <x v="0"/>
    <x v="0"/>
    <x v="0"/>
    <x v="0"/>
    <x v="0"/>
    <x v="0"/>
    <x v="0"/>
    <x v="0"/>
    <x v="0"/>
    <x v="2"/>
    <x v="2"/>
    <n v="635.93108256842595"/>
    <x v="0"/>
    <x v="1"/>
    <x v="2"/>
    <x v="2"/>
    <x v="2"/>
    <x v="2"/>
    <n v="693.16487999958429"/>
  </r>
  <r>
    <x v="0"/>
    <x v="0"/>
    <x v="0"/>
    <x v="0"/>
    <x v="0"/>
    <x v="2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0"/>
    <x v="0"/>
    <x v="0"/>
    <x v="0"/>
    <x v="0"/>
    <x v="2"/>
    <x v="0"/>
    <x v="0"/>
    <x v="0"/>
    <x v="0"/>
    <x v="0"/>
    <x v="0"/>
    <x v="1"/>
    <x v="1"/>
    <x v="1"/>
    <x v="12"/>
    <x v="12"/>
    <n v="11.480232558095899"/>
    <x v="0"/>
    <x v="0"/>
    <x v="0"/>
    <x v="0"/>
    <x v="8"/>
    <x v="12"/>
    <n v="12.513453488324531"/>
  </r>
  <r>
    <x v="0"/>
    <x v="0"/>
    <x v="0"/>
    <x v="0"/>
    <x v="0"/>
    <x v="2"/>
    <x v="0"/>
    <x v="0"/>
    <x v="0"/>
    <x v="0"/>
    <x v="0"/>
    <x v="0"/>
    <x v="1"/>
    <x v="1"/>
    <x v="1"/>
    <x v="14"/>
    <x v="14"/>
    <n v="9.3636199999999992"/>
    <x v="0"/>
    <x v="0"/>
    <x v="0"/>
    <x v="0"/>
    <x v="8"/>
    <x v="14"/>
    <n v="10.206345799999999"/>
  </r>
  <r>
    <x v="0"/>
    <x v="0"/>
    <x v="0"/>
    <x v="0"/>
    <x v="0"/>
    <x v="2"/>
    <x v="0"/>
    <x v="0"/>
    <x v="0"/>
    <x v="0"/>
    <x v="0"/>
    <x v="0"/>
    <x v="1"/>
    <x v="1"/>
    <x v="1"/>
    <x v="27"/>
    <x v="27"/>
    <n v="8.2786779281034395"/>
    <x v="0"/>
    <x v="0"/>
    <x v="1"/>
    <x v="3"/>
    <x v="3"/>
    <x v="19"/>
    <n v="9.0237589416327495"/>
  </r>
  <r>
    <x v="0"/>
    <x v="0"/>
    <x v="0"/>
    <x v="0"/>
    <x v="0"/>
    <x v="2"/>
    <x v="0"/>
    <x v="0"/>
    <x v="0"/>
    <x v="0"/>
    <x v="0"/>
    <x v="0"/>
    <x v="1"/>
    <x v="1"/>
    <x v="1"/>
    <x v="2"/>
    <x v="2"/>
    <n v="16.382972477054398"/>
    <x v="0"/>
    <x v="1"/>
    <x v="2"/>
    <x v="2"/>
    <x v="2"/>
    <x v="2"/>
    <n v="17.857439999989296"/>
  </r>
  <r>
    <x v="0"/>
    <x v="0"/>
    <x v="0"/>
    <x v="0"/>
    <x v="0"/>
    <x v="2"/>
    <x v="0"/>
    <x v="0"/>
    <x v="0"/>
    <x v="0"/>
    <x v="0"/>
    <x v="0"/>
    <x v="2"/>
    <x v="2"/>
    <x v="2"/>
    <x v="4"/>
    <x v="4"/>
    <n v="61.855064220146403"/>
    <x v="0"/>
    <x v="0"/>
    <x v="1"/>
    <x v="3"/>
    <x v="3"/>
    <x v="4"/>
    <n v="67.422019999959588"/>
  </r>
  <r>
    <x v="0"/>
    <x v="0"/>
    <x v="0"/>
    <x v="0"/>
    <x v="0"/>
    <x v="2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0"/>
    <x v="0"/>
    <x v="0"/>
    <x v="0"/>
    <x v="0"/>
    <x v="2"/>
    <x v="0"/>
    <x v="0"/>
    <x v="0"/>
    <x v="0"/>
    <x v="0"/>
    <x v="0"/>
    <x v="2"/>
    <x v="2"/>
    <x v="2"/>
    <x v="7"/>
    <x v="7"/>
    <n v="28.105871559616201"/>
    <x v="0"/>
    <x v="0"/>
    <x v="1"/>
    <x v="4"/>
    <x v="5"/>
    <x v="7"/>
    <n v="30.635399999981662"/>
  </r>
  <r>
    <x v="0"/>
    <x v="0"/>
    <x v="0"/>
    <x v="0"/>
    <x v="0"/>
    <x v="2"/>
    <x v="0"/>
    <x v="0"/>
    <x v="0"/>
    <x v="0"/>
    <x v="0"/>
    <x v="0"/>
    <x v="2"/>
    <x v="2"/>
    <x v="2"/>
    <x v="8"/>
    <x v="8"/>
    <n v="71.421574324781403"/>
    <x v="0"/>
    <x v="1"/>
    <x v="2"/>
    <x v="2"/>
    <x v="6"/>
    <x v="8"/>
    <n v="77.849516014011741"/>
  </r>
  <r>
    <x v="0"/>
    <x v="0"/>
    <x v="0"/>
    <x v="0"/>
    <x v="0"/>
    <x v="2"/>
    <x v="0"/>
    <x v="0"/>
    <x v="0"/>
    <x v="0"/>
    <x v="0"/>
    <x v="0"/>
    <x v="2"/>
    <x v="2"/>
    <x v="2"/>
    <x v="9"/>
    <x v="9"/>
    <n v="97.4667855087731"/>
    <x v="0"/>
    <x v="0"/>
    <x v="1"/>
    <x v="4"/>
    <x v="5"/>
    <x v="9"/>
    <n v="106.23879620456269"/>
  </r>
  <r>
    <x v="0"/>
    <x v="0"/>
    <x v="0"/>
    <x v="0"/>
    <x v="0"/>
    <x v="2"/>
    <x v="0"/>
    <x v="0"/>
    <x v="0"/>
    <x v="0"/>
    <x v="0"/>
    <x v="0"/>
    <x v="2"/>
    <x v="2"/>
    <x v="2"/>
    <x v="10"/>
    <x v="10"/>
    <n v="1.9531279838406399"/>
    <x v="0"/>
    <x v="0"/>
    <x v="1"/>
    <x v="4"/>
    <x v="5"/>
    <x v="10"/>
    <n v="2.1289095023862976"/>
  </r>
  <r>
    <x v="0"/>
    <x v="0"/>
    <x v="0"/>
    <x v="0"/>
    <x v="0"/>
    <x v="2"/>
    <x v="0"/>
    <x v="0"/>
    <x v="0"/>
    <x v="0"/>
    <x v="0"/>
    <x v="0"/>
    <x v="2"/>
    <x v="2"/>
    <x v="2"/>
    <x v="28"/>
    <x v="28"/>
    <n v="6.7728000000000002"/>
    <x v="0"/>
    <x v="0"/>
    <x v="1"/>
    <x v="3"/>
    <x v="3"/>
    <x v="13"/>
    <n v="7.3823520000000009"/>
  </r>
  <r>
    <x v="0"/>
    <x v="0"/>
    <x v="0"/>
    <x v="0"/>
    <x v="0"/>
    <x v="2"/>
    <x v="0"/>
    <x v="0"/>
    <x v="0"/>
    <x v="0"/>
    <x v="0"/>
    <x v="0"/>
    <x v="2"/>
    <x v="2"/>
    <x v="2"/>
    <x v="11"/>
    <x v="11"/>
    <n v="102.47722"/>
    <x v="0"/>
    <x v="0"/>
    <x v="3"/>
    <x v="5"/>
    <x v="7"/>
    <x v="11"/>
    <n v="111.70016980000001"/>
  </r>
  <r>
    <x v="0"/>
    <x v="0"/>
    <x v="0"/>
    <x v="0"/>
    <x v="0"/>
    <x v="2"/>
    <x v="0"/>
    <x v="0"/>
    <x v="0"/>
    <x v="0"/>
    <x v="0"/>
    <x v="0"/>
    <x v="2"/>
    <x v="2"/>
    <x v="2"/>
    <x v="12"/>
    <x v="12"/>
    <n v="105.284325580995"/>
    <x v="0"/>
    <x v="0"/>
    <x v="0"/>
    <x v="0"/>
    <x v="8"/>
    <x v="12"/>
    <n v="114.75991488328457"/>
  </r>
  <r>
    <x v="0"/>
    <x v="0"/>
    <x v="0"/>
    <x v="0"/>
    <x v="0"/>
    <x v="2"/>
    <x v="0"/>
    <x v="0"/>
    <x v="0"/>
    <x v="0"/>
    <x v="0"/>
    <x v="0"/>
    <x v="2"/>
    <x v="2"/>
    <x v="2"/>
    <x v="14"/>
    <x v="14"/>
    <n v="3.5363799999999999"/>
    <x v="0"/>
    <x v="0"/>
    <x v="0"/>
    <x v="0"/>
    <x v="8"/>
    <x v="14"/>
    <n v="3.8546542000000001"/>
  </r>
  <r>
    <x v="0"/>
    <x v="0"/>
    <x v="0"/>
    <x v="0"/>
    <x v="0"/>
    <x v="2"/>
    <x v="0"/>
    <x v="0"/>
    <x v="0"/>
    <x v="0"/>
    <x v="0"/>
    <x v="0"/>
    <x v="2"/>
    <x v="2"/>
    <x v="2"/>
    <x v="22"/>
    <x v="22"/>
    <n v="31.930481182668"/>
    <x v="0"/>
    <x v="0"/>
    <x v="0"/>
    <x v="0"/>
    <x v="0"/>
    <x v="0"/>
    <n v="34.804224489108122"/>
  </r>
  <r>
    <x v="0"/>
    <x v="0"/>
    <x v="0"/>
    <x v="0"/>
    <x v="0"/>
    <x v="2"/>
    <x v="0"/>
    <x v="0"/>
    <x v="0"/>
    <x v="0"/>
    <x v="0"/>
    <x v="0"/>
    <x v="2"/>
    <x v="2"/>
    <x v="2"/>
    <x v="16"/>
    <x v="16"/>
    <n v="283.28674000000001"/>
    <x v="0"/>
    <x v="0"/>
    <x v="3"/>
    <x v="5"/>
    <x v="9"/>
    <x v="16"/>
    <n v="308.78254660000005"/>
  </r>
  <r>
    <x v="0"/>
    <x v="0"/>
    <x v="0"/>
    <x v="0"/>
    <x v="0"/>
    <x v="2"/>
    <x v="0"/>
    <x v="0"/>
    <x v="0"/>
    <x v="0"/>
    <x v="0"/>
    <x v="0"/>
    <x v="2"/>
    <x v="2"/>
    <x v="2"/>
    <x v="1"/>
    <x v="1"/>
    <n v="26.9355103446794"/>
    <x v="0"/>
    <x v="0"/>
    <x v="1"/>
    <x v="1"/>
    <x v="1"/>
    <x v="1"/>
    <n v="29.35970627570055"/>
  </r>
  <r>
    <x v="0"/>
    <x v="0"/>
    <x v="0"/>
    <x v="0"/>
    <x v="0"/>
    <x v="2"/>
    <x v="0"/>
    <x v="0"/>
    <x v="0"/>
    <x v="0"/>
    <x v="0"/>
    <x v="0"/>
    <x v="2"/>
    <x v="2"/>
    <x v="2"/>
    <x v="2"/>
    <x v="2"/>
    <n v="601.68293577945599"/>
    <x v="0"/>
    <x v="1"/>
    <x v="2"/>
    <x v="2"/>
    <x v="2"/>
    <x v="2"/>
    <n v="655.83439999960706"/>
  </r>
  <r>
    <x v="0"/>
    <x v="0"/>
    <x v="0"/>
    <x v="0"/>
    <x v="0"/>
    <x v="2"/>
    <x v="0"/>
    <x v="0"/>
    <x v="0"/>
    <x v="0"/>
    <x v="0"/>
    <x v="0"/>
    <x v="1"/>
    <x v="6"/>
    <x v="6"/>
    <x v="9"/>
    <x v="9"/>
    <n v="84.7540507815377"/>
    <x v="0"/>
    <x v="0"/>
    <x v="1"/>
    <x v="4"/>
    <x v="5"/>
    <x v="9"/>
    <n v="92.381915351876103"/>
  </r>
  <r>
    <x v="0"/>
    <x v="0"/>
    <x v="0"/>
    <x v="0"/>
    <x v="0"/>
    <x v="2"/>
    <x v="0"/>
    <x v="0"/>
    <x v="0"/>
    <x v="0"/>
    <x v="0"/>
    <x v="0"/>
    <x v="1"/>
    <x v="6"/>
    <x v="6"/>
    <x v="10"/>
    <x v="10"/>
    <n v="92.888807339393793"/>
    <x v="0"/>
    <x v="0"/>
    <x v="1"/>
    <x v="4"/>
    <x v="5"/>
    <x v="10"/>
    <n v="101.24879999993924"/>
  </r>
  <r>
    <x v="0"/>
    <x v="0"/>
    <x v="0"/>
    <x v="0"/>
    <x v="0"/>
    <x v="2"/>
    <x v="0"/>
    <x v="0"/>
    <x v="0"/>
    <x v="0"/>
    <x v="0"/>
    <x v="0"/>
    <x v="1"/>
    <x v="6"/>
    <x v="6"/>
    <x v="12"/>
    <x v="12"/>
    <n v="10.901162790656199"/>
    <x v="0"/>
    <x v="0"/>
    <x v="0"/>
    <x v="0"/>
    <x v="8"/>
    <x v="12"/>
    <n v="11.882267441815259"/>
  </r>
  <r>
    <x v="0"/>
    <x v="0"/>
    <x v="0"/>
    <x v="0"/>
    <x v="0"/>
    <x v="2"/>
    <x v="0"/>
    <x v="0"/>
    <x v="0"/>
    <x v="0"/>
    <x v="0"/>
    <x v="0"/>
    <x v="1"/>
    <x v="6"/>
    <x v="6"/>
    <x v="16"/>
    <x v="16"/>
    <n v="43"/>
    <x v="0"/>
    <x v="0"/>
    <x v="3"/>
    <x v="5"/>
    <x v="9"/>
    <x v="16"/>
    <n v="46.870000000000005"/>
  </r>
  <r>
    <x v="0"/>
    <x v="0"/>
    <x v="0"/>
    <x v="0"/>
    <x v="0"/>
    <x v="2"/>
    <x v="0"/>
    <x v="0"/>
    <x v="0"/>
    <x v="0"/>
    <x v="0"/>
    <x v="0"/>
    <x v="1"/>
    <x v="6"/>
    <x v="6"/>
    <x v="21"/>
    <x v="21"/>
    <n v="332.54738532090101"/>
    <x v="0"/>
    <x v="0"/>
    <x v="1"/>
    <x v="4"/>
    <x v="5"/>
    <x v="10"/>
    <n v="362.47664999978213"/>
  </r>
  <r>
    <x v="0"/>
    <x v="0"/>
    <x v="0"/>
    <x v="0"/>
    <x v="0"/>
    <x v="2"/>
    <x v="0"/>
    <x v="0"/>
    <x v="0"/>
    <x v="0"/>
    <x v="0"/>
    <x v="0"/>
    <x v="1"/>
    <x v="6"/>
    <x v="6"/>
    <x v="3"/>
    <x v="3"/>
    <n v="0.32182266007341997"/>
    <x v="0"/>
    <x v="0"/>
    <x v="1"/>
    <x v="3"/>
    <x v="3"/>
    <x v="3"/>
    <n v="0.35078669948002777"/>
  </r>
  <r>
    <x v="0"/>
    <x v="0"/>
    <x v="0"/>
    <x v="0"/>
    <x v="0"/>
    <x v="2"/>
    <x v="0"/>
    <x v="0"/>
    <x v="0"/>
    <x v="0"/>
    <x v="0"/>
    <x v="0"/>
    <x v="3"/>
    <x v="7"/>
    <x v="7"/>
    <x v="9"/>
    <x v="9"/>
    <n v="16.675935096055099"/>
    <x v="0"/>
    <x v="0"/>
    <x v="1"/>
    <x v="4"/>
    <x v="5"/>
    <x v="9"/>
    <n v="18.176769254700059"/>
  </r>
  <r>
    <x v="0"/>
    <x v="0"/>
    <x v="0"/>
    <x v="0"/>
    <x v="0"/>
    <x v="2"/>
    <x v="0"/>
    <x v="0"/>
    <x v="0"/>
    <x v="0"/>
    <x v="0"/>
    <x v="0"/>
    <x v="3"/>
    <x v="7"/>
    <x v="7"/>
    <x v="10"/>
    <x v="10"/>
    <n v="14.600652472934399"/>
    <x v="0"/>
    <x v="0"/>
    <x v="1"/>
    <x v="4"/>
    <x v="5"/>
    <x v="10"/>
    <n v="15.914711195498496"/>
  </r>
  <r>
    <x v="0"/>
    <x v="0"/>
    <x v="0"/>
    <x v="0"/>
    <x v="0"/>
    <x v="2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0"/>
    <x v="0"/>
    <x v="0"/>
    <x v="0"/>
    <x v="0"/>
    <x v="2"/>
    <x v="0"/>
    <x v="0"/>
    <x v="0"/>
    <x v="0"/>
    <x v="0"/>
    <x v="0"/>
    <x v="1"/>
    <x v="8"/>
    <x v="8"/>
    <x v="6"/>
    <x v="6"/>
    <n v="1.4639500000000001"/>
    <x v="0"/>
    <x v="0"/>
    <x v="0"/>
    <x v="0"/>
    <x v="4"/>
    <x v="6"/>
    <n v="1.5957055000000002"/>
  </r>
  <r>
    <x v="0"/>
    <x v="0"/>
    <x v="0"/>
    <x v="0"/>
    <x v="0"/>
    <x v="2"/>
    <x v="0"/>
    <x v="0"/>
    <x v="0"/>
    <x v="0"/>
    <x v="0"/>
    <x v="0"/>
    <x v="1"/>
    <x v="8"/>
    <x v="8"/>
    <x v="9"/>
    <x v="9"/>
    <n v="349.44774280708998"/>
    <x v="0"/>
    <x v="0"/>
    <x v="1"/>
    <x v="4"/>
    <x v="5"/>
    <x v="9"/>
    <n v="380.89803965972811"/>
  </r>
  <r>
    <x v="0"/>
    <x v="0"/>
    <x v="0"/>
    <x v="0"/>
    <x v="0"/>
    <x v="2"/>
    <x v="0"/>
    <x v="0"/>
    <x v="0"/>
    <x v="0"/>
    <x v="0"/>
    <x v="0"/>
    <x v="1"/>
    <x v="8"/>
    <x v="8"/>
    <x v="10"/>
    <x v="10"/>
    <n v="5.3869973929343997"/>
    <x v="0"/>
    <x v="0"/>
    <x v="1"/>
    <x v="4"/>
    <x v="5"/>
    <x v="10"/>
    <n v="5.8718271582984958"/>
  </r>
  <r>
    <x v="0"/>
    <x v="0"/>
    <x v="0"/>
    <x v="0"/>
    <x v="0"/>
    <x v="2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0"/>
    <x v="0"/>
    <x v="0"/>
    <x v="0"/>
    <x v="0"/>
    <x v="2"/>
    <x v="0"/>
    <x v="0"/>
    <x v="0"/>
    <x v="0"/>
    <x v="0"/>
    <x v="0"/>
    <x v="0"/>
    <x v="9"/>
    <x v="9"/>
    <x v="9"/>
    <x v="9"/>
    <n v="1257.6619166211999"/>
    <x v="0"/>
    <x v="0"/>
    <x v="1"/>
    <x v="4"/>
    <x v="5"/>
    <x v="9"/>
    <n v="1370.851489117108"/>
  </r>
  <r>
    <x v="0"/>
    <x v="0"/>
    <x v="0"/>
    <x v="0"/>
    <x v="0"/>
    <x v="2"/>
    <x v="0"/>
    <x v="0"/>
    <x v="0"/>
    <x v="0"/>
    <x v="0"/>
    <x v="0"/>
    <x v="0"/>
    <x v="9"/>
    <x v="9"/>
    <x v="10"/>
    <x v="10"/>
    <n v="126.835002597581"/>
    <x v="0"/>
    <x v="0"/>
    <x v="1"/>
    <x v="4"/>
    <x v="5"/>
    <x v="10"/>
    <n v="138.25015283136329"/>
  </r>
  <r>
    <x v="0"/>
    <x v="0"/>
    <x v="0"/>
    <x v="0"/>
    <x v="0"/>
    <x v="2"/>
    <x v="0"/>
    <x v="0"/>
    <x v="0"/>
    <x v="0"/>
    <x v="0"/>
    <x v="0"/>
    <x v="0"/>
    <x v="9"/>
    <x v="9"/>
    <x v="21"/>
    <x v="21"/>
    <n v="45.301935779789297"/>
    <x v="0"/>
    <x v="0"/>
    <x v="1"/>
    <x v="4"/>
    <x v="5"/>
    <x v="10"/>
    <n v="49.379109999970339"/>
  </r>
  <r>
    <x v="0"/>
    <x v="0"/>
    <x v="0"/>
    <x v="0"/>
    <x v="0"/>
    <x v="2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0"/>
    <x v="0"/>
    <x v="0"/>
    <x v="0"/>
    <x v="0"/>
    <x v="2"/>
    <x v="0"/>
    <x v="0"/>
    <x v="0"/>
    <x v="0"/>
    <x v="0"/>
    <x v="0"/>
    <x v="2"/>
    <x v="10"/>
    <x v="10"/>
    <x v="6"/>
    <x v="6"/>
    <n v="13.24672"/>
    <x v="0"/>
    <x v="0"/>
    <x v="0"/>
    <x v="0"/>
    <x v="4"/>
    <x v="6"/>
    <n v="14.438924800000001"/>
  </r>
  <r>
    <x v="0"/>
    <x v="0"/>
    <x v="0"/>
    <x v="0"/>
    <x v="0"/>
    <x v="2"/>
    <x v="0"/>
    <x v="0"/>
    <x v="0"/>
    <x v="0"/>
    <x v="0"/>
    <x v="0"/>
    <x v="2"/>
    <x v="10"/>
    <x v="10"/>
    <x v="9"/>
    <x v="9"/>
    <n v="282.82728286182299"/>
    <x v="0"/>
    <x v="0"/>
    <x v="1"/>
    <x v="4"/>
    <x v="5"/>
    <x v="9"/>
    <n v="308.2817383193871"/>
  </r>
  <r>
    <x v="0"/>
    <x v="0"/>
    <x v="0"/>
    <x v="0"/>
    <x v="0"/>
    <x v="2"/>
    <x v="0"/>
    <x v="0"/>
    <x v="0"/>
    <x v="0"/>
    <x v="0"/>
    <x v="0"/>
    <x v="2"/>
    <x v="10"/>
    <x v="10"/>
    <x v="10"/>
    <x v="10"/>
    <n v="14.549959537113599"/>
    <x v="0"/>
    <x v="0"/>
    <x v="1"/>
    <x v="4"/>
    <x v="5"/>
    <x v="10"/>
    <n v="15.859455895453824"/>
  </r>
  <r>
    <x v="0"/>
    <x v="0"/>
    <x v="0"/>
    <x v="0"/>
    <x v="0"/>
    <x v="2"/>
    <x v="0"/>
    <x v="0"/>
    <x v="0"/>
    <x v="0"/>
    <x v="0"/>
    <x v="0"/>
    <x v="2"/>
    <x v="10"/>
    <x v="10"/>
    <x v="21"/>
    <x v="21"/>
    <n v="9.8537614678840004"/>
    <x v="0"/>
    <x v="0"/>
    <x v="1"/>
    <x v="4"/>
    <x v="5"/>
    <x v="10"/>
    <n v="10.740599999993561"/>
  </r>
  <r>
    <x v="0"/>
    <x v="0"/>
    <x v="0"/>
    <x v="0"/>
    <x v="0"/>
    <x v="2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0"/>
    <x v="0"/>
    <x v="0"/>
    <x v="0"/>
    <x v="0"/>
    <x v="2"/>
    <x v="0"/>
    <x v="0"/>
    <x v="0"/>
    <x v="0"/>
    <x v="0"/>
    <x v="0"/>
    <x v="4"/>
    <x v="5"/>
    <x v="5"/>
    <x v="6"/>
    <x v="6"/>
    <n v="137.01580999999999"/>
    <x v="0"/>
    <x v="0"/>
    <x v="0"/>
    <x v="0"/>
    <x v="4"/>
    <x v="6"/>
    <n v="149.34723289999999"/>
  </r>
  <r>
    <x v="0"/>
    <x v="0"/>
    <x v="0"/>
    <x v="0"/>
    <x v="0"/>
    <x v="2"/>
    <x v="0"/>
    <x v="0"/>
    <x v="0"/>
    <x v="0"/>
    <x v="0"/>
    <x v="0"/>
    <x v="4"/>
    <x v="5"/>
    <x v="5"/>
    <x v="9"/>
    <x v="9"/>
    <n v="966.41443916560695"/>
    <x v="0"/>
    <x v="0"/>
    <x v="1"/>
    <x v="4"/>
    <x v="5"/>
    <x v="9"/>
    <n v="1053.3917386905116"/>
  </r>
  <r>
    <x v="0"/>
    <x v="0"/>
    <x v="0"/>
    <x v="0"/>
    <x v="0"/>
    <x v="2"/>
    <x v="0"/>
    <x v="0"/>
    <x v="0"/>
    <x v="0"/>
    <x v="0"/>
    <x v="0"/>
    <x v="4"/>
    <x v="5"/>
    <x v="5"/>
    <x v="10"/>
    <x v="10"/>
    <n v="72.714227032665605"/>
    <x v="0"/>
    <x v="0"/>
    <x v="1"/>
    <x v="4"/>
    <x v="5"/>
    <x v="10"/>
    <n v="79.258507465605518"/>
  </r>
  <r>
    <x v="0"/>
    <x v="0"/>
    <x v="0"/>
    <x v="0"/>
    <x v="0"/>
    <x v="2"/>
    <x v="0"/>
    <x v="0"/>
    <x v="0"/>
    <x v="0"/>
    <x v="0"/>
    <x v="0"/>
    <x v="4"/>
    <x v="5"/>
    <x v="5"/>
    <x v="12"/>
    <x v="12"/>
    <n v="585.74051162568105"/>
    <x v="0"/>
    <x v="0"/>
    <x v="0"/>
    <x v="0"/>
    <x v="8"/>
    <x v="12"/>
    <n v="638.45715767199238"/>
  </r>
  <r>
    <x v="0"/>
    <x v="0"/>
    <x v="0"/>
    <x v="0"/>
    <x v="0"/>
    <x v="2"/>
    <x v="0"/>
    <x v="0"/>
    <x v="0"/>
    <x v="0"/>
    <x v="0"/>
    <x v="0"/>
    <x v="4"/>
    <x v="5"/>
    <x v="5"/>
    <x v="21"/>
    <x v="21"/>
    <n v="42.487036697222202"/>
    <x v="0"/>
    <x v="0"/>
    <x v="1"/>
    <x v="4"/>
    <x v="5"/>
    <x v="10"/>
    <n v="46.310869999972205"/>
  </r>
  <r>
    <x v="0"/>
    <x v="0"/>
    <x v="0"/>
    <x v="0"/>
    <x v="0"/>
    <x v="2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0"/>
    <x v="0"/>
    <x v="0"/>
    <x v="0"/>
    <x v="0"/>
    <x v="2"/>
    <x v="0"/>
    <x v="0"/>
    <x v="0"/>
    <x v="0"/>
    <x v="0"/>
    <x v="0"/>
    <x v="4"/>
    <x v="5"/>
    <x v="5"/>
    <x v="2"/>
    <x v="2"/>
    <n v="57.0641834862043"/>
    <x v="0"/>
    <x v="1"/>
    <x v="2"/>
    <x v="2"/>
    <x v="2"/>
    <x v="2"/>
    <n v="62.199959999962694"/>
  </r>
  <r>
    <x v="0"/>
    <x v="0"/>
    <x v="0"/>
    <x v="0"/>
    <x v="0"/>
    <x v="2"/>
    <x v="0"/>
    <x v="0"/>
    <x v="0"/>
    <x v="0"/>
    <x v="3"/>
    <x v="3"/>
    <x v="0"/>
    <x v="4"/>
    <x v="4"/>
    <x v="16"/>
    <x v="16"/>
    <n v="20.76154"/>
    <x v="0"/>
    <x v="0"/>
    <x v="3"/>
    <x v="5"/>
    <x v="9"/>
    <x v="16"/>
    <n v="22.630078600000001"/>
  </r>
  <r>
    <x v="0"/>
    <x v="0"/>
    <x v="0"/>
    <x v="0"/>
    <x v="0"/>
    <x v="2"/>
    <x v="0"/>
    <x v="0"/>
    <x v="0"/>
    <x v="0"/>
    <x v="3"/>
    <x v="3"/>
    <x v="2"/>
    <x v="2"/>
    <x v="2"/>
    <x v="6"/>
    <x v="6"/>
    <n v="3.5322200000000001"/>
    <x v="0"/>
    <x v="0"/>
    <x v="0"/>
    <x v="0"/>
    <x v="4"/>
    <x v="6"/>
    <n v="3.8501198000000003"/>
  </r>
  <r>
    <x v="0"/>
    <x v="0"/>
    <x v="0"/>
    <x v="0"/>
    <x v="0"/>
    <x v="2"/>
    <x v="0"/>
    <x v="0"/>
    <x v="0"/>
    <x v="0"/>
    <x v="3"/>
    <x v="3"/>
    <x v="2"/>
    <x v="2"/>
    <x v="2"/>
    <x v="16"/>
    <x v="16"/>
    <n v="75.646010000000004"/>
    <x v="0"/>
    <x v="0"/>
    <x v="3"/>
    <x v="5"/>
    <x v="9"/>
    <x v="16"/>
    <n v="82.454150900000016"/>
  </r>
  <r>
    <x v="0"/>
    <x v="0"/>
    <x v="0"/>
    <x v="0"/>
    <x v="0"/>
    <x v="2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0"/>
    <x v="0"/>
    <x v="0"/>
    <x v="0"/>
    <x v="0"/>
    <x v="2"/>
    <x v="0"/>
    <x v="0"/>
    <x v="0"/>
    <x v="0"/>
    <x v="3"/>
    <x v="3"/>
    <x v="2"/>
    <x v="2"/>
    <x v="2"/>
    <x v="2"/>
    <x v="2"/>
    <n v="3.4445137614658199"/>
    <x v="0"/>
    <x v="1"/>
    <x v="2"/>
    <x v="2"/>
    <x v="2"/>
    <x v="2"/>
    <n v="3.7545199999977439"/>
  </r>
  <r>
    <x v="0"/>
    <x v="0"/>
    <x v="0"/>
    <x v="0"/>
    <x v="0"/>
    <x v="2"/>
    <x v="0"/>
    <x v="0"/>
    <x v="0"/>
    <x v="0"/>
    <x v="4"/>
    <x v="4"/>
    <x v="2"/>
    <x v="2"/>
    <x v="2"/>
    <x v="12"/>
    <x v="12"/>
    <n v="0.30855813953370997"/>
    <x v="0"/>
    <x v="0"/>
    <x v="0"/>
    <x v="0"/>
    <x v="8"/>
    <x v="12"/>
    <n v="0.33632837209174388"/>
  </r>
  <r>
    <x v="0"/>
    <x v="0"/>
    <x v="0"/>
    <x v="0"/>
    <x v="0"/>
    <x v="2"/>
    <x v="0"/>
    <x v="0"/>
    <x v="0"/>
    <x v="0"/>
    <x v="4"/>
    <x v="4"/>
    <x v="2"/>
    <x v="2"/>
    <x v="2"/>
    <x v="2"/>
    <x v="2"/>
    <n v="4.6212110091715397"/>
    <x v="0"/>
    <x v="1"/>
    <x v="2"/>
    <x v="2"/>
    <x v="2"/>
    <x v="2"/>
    <n v="5.0371199999969782"/>
  </r>
  <r>
    <x v="0"/>
    <x v="0"/>
    <x v="0"/>
    <x v="0"/>
    <x v="0"/>
    <x v="2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0"/>
    <x v="0"/>
    <x v="0"/>
    <x v="0"/>
    <x v="0"/>
    <x v="2"/>
    <x v="0"/>
    <x v="0"/>
    <x v="2"/>
    <x v="2"/>
    <x v="5"/>
    <x v="5"/>
    <x v="2"/>
    <x v="2"/>
    <x v="2"/>
    <x v="40"/>
    <x v="40"/>
    <n v="32.174999999999997"/>
    <x v="1"/>
    <x v="2"/>
    <x v="5"/>
    <x v="7"/>
    <x v="11"/>
    <x v="22"/>
    <n v="35.070749999999997"/>
  </r>
  <r>
    <x v="0"/>
    <x v="0"/>
    <x v="0"/>
    <x v="0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0"/>
    <x v="0"/>
    <x v="0"/>
    <x v="0"/>
    <x v="0"/>
    <x v="2"/>
    <x v="0"/>
    <x v="0"/>
    <x v="2"/>
    <x v="2"/>
    <x v="5"/>
    <x v="5"/>
    <x v="1"/>
    <x v="6"/>
    <x v="6"/>
    <x v="40"/>
    <x v="40"/>
    <n v="54.174140000000001"/>
    <x v="1"/>
    <x v="2"/>
    <x v="5"/>
    <x v="7"/>
    <x v="11"/>
    <x v="22"/>
    <n v="59.049812600000003"/>
  </r>
  <r>
    <x v="0"/>
    <x v="0"/>
    <x v="0"/>
    <x v="0"/>
    <x v="0"/>
    <x v="2"/>
    <x v="0"/>
    <x v="0"/>
    <x v="2"/>
    <x v="2"/>
    <x v="5"/>
    <x v="5"/>
    <x v="1"/>
    <x v="8"/>
    <x v="8"/>
    <x v="40"/>
    <x v="40"/>
    <n v="1.8007"/>
    <x v="1"/>
    <x v="2"/>
    <x v="5"/>
    <x v="7"/>
    <x v="11"/>
    <x v="22"/>
    <n v="1.962763"/>
  </r>
  <r>
    <x v="0"/>
    <x v="0"/>
    <x v="0"/>
    <x v="0"/>
    <x v="0"/>
    <x v="2"/>
    <x v="0"/>
    <x v="0"/>
    <x v="2"/>
    <x v="2"/>
    <x v="5"/>
    <x v="5"/>
    <x v="4"/>
    <x v="5"/>
    <x v="5"/>
    <x v="40"/>
    <x v="40"/>
    <n v="47.961129999999997"/>
    <x v="1"/>
    <x v="2"/>
    <x v="5"/>
    <x v="7"/>
    <x v="11"/>
    <x v="22"/>
    <n v="52.277631700000001"/>
  </r>
  <r>
    <x v="0"/>
    <x v="0"/>
    <x v="0"/>
    <x v="0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0"/>
    <x v="0"/>
    <x v="0"/>
    <x v="0"/>
    <x v="0"/>
    <x v="2"/>
    <x v="0"/>
    <x v="0"/>
    <x v="2"/>
    <x v="2"/>
    <x v="7"/>
    <x v="7"/>
    <x v="2"/>
    <x v="2"/>
    <x v="2"/>
    <x v="40"/>
    <x v="40"/>
    <n v="60.051479999999998"/>
    <x v="1"/>
    <x v="2"/>
    <x v="5"/>
    <x v="7"/>
    <x v="11"/>
    <x v="22"/>
    <n v="65.456113200000004"/>
  </r>
  <r>
    <x v="0"/>
    <x v="0"/>
    <x v="0"/>
    <x v="0"/>
    <x v="0"/>
    <x v="2"/>
    <x v="0"/>
    <x v="0"/>
    <x v="2"/>
    <x v="2"/>
    <x v="7"/>
    <x v="7"/>
    <x v="2"/>
    <x v="2"/>
    <x v="2"/>
    <x v="38"/>
    <x v="38"/>
    <n v="67.332499999999996"/>
    <x v="1"/>
    <x v="0"/>
    <x v="4"/>
    <x v="6"/>
    <x v="10"/>
    <x v="21"/>
    <n v="73.392425000000003"/>
  </r>
  <r>
    <x v="0"/>
    <x v="0"/>
    <x v="0"/>
    <x v="0"/>
    <x v="0"/>
    <x v="2"/>
    <x v="0"/>
    <x v="0"/>
    <x v="2"/>
    <x v="2"/>
    <x v="7"/>
    <x v="7"/>
    <x v="1"/>
    <x v="6"/>
    <x v="6"/>
    <x v="40"/>
    <x v="40"/>
    <n v="45.850110000000001"/>
    <x v="1"/>
    <x v="2"/>
    <x v="5"/>
    <x v="7"/>
    <x v="11"/>
    <x v="22"/>
    <n v="49.976619900000003"/>
  </r>
  <r>
    <x v="0"/>
    <x v="0"/>
    <x v="0"/>
    <x v="0"/>
    <x v="0"/>
    <x v="2"/>
    <x v="0"/>
    <x v="0"/>
    <x v="2"/>
    <x v="2"/>
    <x v="7"/>
    <x v="7"/>
    <x v="1"/>
    <x v="6"/>
    <x v="6"/>
    <x v="38"/>
    <x v="38"/>
    <n v="24.709099999999999"/>
    <x v="1"/>
    <x v="0"/>
    <x v="4"/>
    <x v="6"/>
    <x v="10"/>
    <x v="21"/>
    <n v="26.932919000000002"/>
  </r>
  <r>
    <x v="0"/>
    <x v="0"/>
    <x v="0"/>
    <x v="0"/>
    <x v="0"/>
    <x v="2"/>
    <x v="0"/>
    <x v="0"/>
    <x v="2"/>
    <x v="2"/>
    <x v="7"/>
    <x v="7"/>
    <x v="1"/>
    <x v="8"/>
    <x v="8"/>
    <x v="40"/>
    <x v="40"/>
    <n v="8.4826499999999996"/>
    <x v="1"/>
    <x v="2"/>
    <x v="5"/>
    <x v="7"/>
    <x v="11"/>
    <x v="22"/>
    <n v="9.2460885000000008"/>
  </r>
  <r>
    <x v="0"/>
    <x v="0"/>
    <x v="0"/>
    <x v="0"/>
    <x v="0"/>
    <x v="2"/>
    <x v="0"/>
    <x v="0"/>
    <x v="2"/>
    <x v="2"/>
    <x v="7"/>
    <x v="7"/>
    <x v="4"/>
    <x v="5"/>
    <x v="5"/>
    <x v="40"/>
    <x v="40"/>
    <n v="28.345490000000002"/>
    <x v="1"/>
    <x v="2"/>
    <x v="5"/>
    <x v="7"/>
    <x v="11"/>
    <x v="22"/>
    <n v="30.896584100000005"/>
  </r>
  <r>
    <x v="0"/>
    <x v="0"/>
    <x v="0"/>
    <x v="0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0"/>
    <x v="0"/>
    <x v="0"/>
    <x v="0"/>
    <x v="0"/>
    <x v="2"/>
    <x v="0"/>
    <x v="0"/>
    <x v="2"/>
    <x v="2"/>
    <x v="8"/>
    <x v="8"/>
    <x v="2"/>
    <x v="2"/>
    <x v="2"/>
    <x v="40"/>
    <x v="40"/>
    <n v="13.75"/>
    <x v="1"/>
    <x v="2"/>
    <x v="5"/>
    <x v="7"/>
    <x v="11"/>
    <x v="22"/>
    <n v="14.987500000000001"/>
  </r>
  <r>
    <x v="0"/>
    <x v="0"/>
    <x v="0"/>
    <x v="0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0"/>
    <x v="0"/>
    <x v="0"/>
    <x v="0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0"/>
    <x v="0"/>
    <x v="0"/>
    <x v="0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0"/>
    <x v="0"/>
    <x v="0"/>
    <x v="0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0"/>
    <x v="0"/>
    <x v="0"/>
    <x v="0"/>
    <x v="0"/>
    <x v="2"/>
    <x v="0"/>
    <x v="0"/>
    <x v="2"/>
    <x v="2"/>
    <x v="9"/>
    <x v="9"/>
    <x v="2"/>
    <x v="2"/>
    <x v="2"/>
    <x v="40"/>
    <x v="40"/>
    <n v="192.68432000000001"/>
    <x v="1"/>
    <x v="2"/>
    <x v="5"/>
    <x v="7"/>
    <x v="11"/>
    <x v="22"/>
    <n v="210.02590880000002"/>
  </r>
  <r>
    <x v="0"/>
    <x v="0"/>
    <x v="0"/>
    <x v="0"/>
    <x v="0"/>
    <x v="2"/>
    <x v="0"/>
    <x v="0"/>
    <x v="2"/>
    <x v="2"/>
    <x v="9"/>
    <x v="9"/>
    <x v="2"/>
    <x v="2"/>
    <x v="2"/>
    <x v="38"/>
    <x v="38"/>
    <n v="186.89500000000001"/>
    <x v="1"/>
    <x v="0"/>
    <x v="4"/>
    <x v="6"/>
    <x v="10"/>
    <x v="21"/>
    <n v="203.71555000000004"/>
  </r>
  <r>
    <x v="0"/>
    <x v="0"/>
    <x v="0"/>
    <x v="0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0"/>
    <x v="0"/>
    <x v="0"/>
    <x v="0"/>
    <x v="0"/>
    <x v="2"/>
    <x v="0"/>
    <x v="0"/>
    <x v="2"/>
    <x v="2"/>
    <x v="9"/>
    <x v="9"/>
    <x v="1"/>
    <x v="6"/>
    <x v="6"/>
    <x v="40"/>
    <x v="40"/>
    <n v="912.01575000000003"/>
    <x v="1"/>
    <x v="2"/>
    <x v="5"/>
    <x v="7"/>
    <x v="11"/>
    <x v="22"/>
    <n v="994.09716750000007"/>
  </r>
  <r>
    <x v="0"/>
    <x v="0"/>
    <x v="0"/>
    <x v="0"/>
    <x v="0"/>
    <x v="2"/>
    <x v="0"/>
    <x v="0"/>
    <x v="2"/>
    <x v="2"/>
    <x v="9"/>
    <x v="9"/>
    <x v="1"/>
    <x v="6"/>
    <x v="6"/>
    <x v="38"/>
    <x v="38"/>
    <n v="30.611339999999998"/>
    <x v="1"/>
    <x v="0"/>
    <x v="4"/>
    <x v="6"/>
    <x v="10"/>
    <x v="21"/>
    <n v="33.3663606"/>
  </r>
  <r>
    <x v="0"/>
    <x v="0"/>
    <x v="0"/>
    <x v="0"/>
    <x v="0"/>
    <x v="2"/>
    <x v="0"/>
    <x v="0"/>
    <x v="2"/>
    <x v="2"/>
    <x v="9"/>
    <x v="9"/>
    <x v="3"/>
    <x v="7"/>
    <x v="7"/>
    <x v="40"/>
    <x v="40"/>
    <n v="89.011989999999997"/>
    <x v="1"/>
    <x v="2"/>
    <x v="5"/>
    <x v="7"/>
    <x v="11"/>
    <x v="22"/>
    <n v="97.023069100000001"/>
  </r>
  <r>
    <x v="0"/>
    <x v="0"/>
    <x v="0"/>
    <x v="0"/>
    <x v="0"/>
    <x v="2"/>
    <x v="0"/>
    <x v="0"/>
    <x v="2"/>
    <x v="2"/>
    <x v="9"/>
    <x v="9"/>
    <x v="1"/>
    <x v="8"/>
    <x v="8"/>
    <x v="40"/>
    <x v="40"/>
    <n v="993.07428000000004"/>
    <x v="1"/>
    <x v="2"/>
    <x v="5"/>
    <x v="7"/>
    <x v="11"/>
    <x v="22"/>
    <n v="1082.4509652000002"/>
  </r>
  <r>
    <x v="0"/>
    <x v="0"/>
    <x v="0"/>
    <x v="0"/>
    <x v="0"/>
    <x v="2"/>
    <x v="0"/>
    <x v="0"/>
    <x v="2"/>
    <x v="2"/>
    <x v="9"/>
    <x v="9"/>
    <x v="2"/>
    <x v="10"/>
    <x v="10"/>
    <x v="40"/>
    <x v="40"/>
    <n v="18.285119999999999"/>
    <x v="1"/>
    <x v="2"/>
    <x v="5"/>
    <x v="7"/>
    <x v="11"/>
    <x v="22"/>
    <n v="19.930780800000001"/>
  </r>
  <r>
    <x v="0"/>
    <x v="0"/>
    <x v="0"/>
    <x v="0"/>
    <x v="0"/>
    <x v="2"/>
    <x v="0"/>
    <x v="0"/>
    <x v="2"/>
    <x v="2"/>
    <x v="9"/>
    <x v="9"/>
    <x v="4"/>
    <x v="5"/>
    <x v="5"/>
    <x v="40"/>
    <x v="40"/>
    <n v="616.39967999999999"/>
    <x v="1"/>
    <x v="2"/>
    <x v="5"/>
    <x v="7"/>
    <x v="11"/>
    <x v="22"/>
    <n v="671.87565119999999"/>
  </r>
  <r>
    <x v="0"/>
    <x v="0"/>
    <x v="0"/>
    <x v="0"/>
    <x v="0"/>
    <x v="2"/>
    <x v="0"/>
    <x v="0"/>
    <x v="2"/>
    <x v="2"/>
    <x v="10"/>
    <x v="10"/>
    <x v="2"/>
    <x v="2"/>
    <x v="2"/>
    <x v="41"/>
    <x v="41"/>
    <n v="0.35817021276459998"/>
    <x v="1"/>
    <x v="2"/>
    <x v="5"/>
    <x v="7"/>
    <x v="11"/>
    <x v="22"/>
    <n v="0.39040553191341398"/>
  </r>
  <r>
    <x v="0"/>
    <x v="0"/>
    <x v="0"/>
    <x v="0"/>
    <x v="0"/>
    <x v="2"/>
    <x v="0"/>
    <x v="0"/>
    <x v="2"/>
    <x v="2"/>
    <x v="10"/>
    <x v="10"/>
    <x v="2"/>
    <x v="2"/>
    <x v="2"/>
    <x v="40"/>
    <x v="40"/>
    <n v="375.99880000000002"/>
    <x v="1"/>
    <x v="2"/>
    <x v="5"/>
    <x v="7"/>
    <x v="11"/>
    <x v="22"/>
    <n v="409.83869200000004"/>
  </r>
  <r>
    <x v="0"/>
    <x v="0"/>
    <x v="0"/>
    <x v="0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0"/>
    <x v="0"/>
    <x v="0"/>
    <x v="0"/>
    <x v="0"/>
    <x v="2"/>
    <x v="0"/>
    <x v="0"/>
    <x v="0"/>
    <x v="0"/>
    <x v="11"/>
    <x v="11"/>
    <x v="4"/>
    <x v="5"/>
    <x v="5"/>
    <x v="7"/>
    <x v="7"/>
    <n v="28.860334494017401"/>
    <x v="0"/>
    <x v="0"/>
    <x v="1"/>
    <x v="4"/>
    <x v="5"/>
    <x v="7"/>
    <n v="31.45776459847897"/>
  </r>
  <r>
    <x v="0"/>
    <x v="0"/>
    <x v="0"/>
    <x v="0"/>
    <x v="0"/>
    <x v="2"/>
    <x v="0"/>
    <x v="0"/>
    <x v="0"/>
    <x v="0"/>
    <x v="11"/>
    <x v="11"/>
    <x v="4"/>
    <x v="5"/>
    <x v="5"/>
    <x v="10"/>
    <x v="10"/>
    <n v="34.792541473420798"/>
    <x v="0"/>
    <x v="0"/>
    <x v="1"/>
    <x v="4"/>
    <x v="5"/>
    <x v="10"/>
    <n v="37.923870206028674"/>
  </r>
  <r>
    <x v="0"/>
    <x v="0"/>
    <x v="0"/>
    <x v="0"/>
    <x v="0"/>
    <x v="2"/>
    <x v="0"/>
    <x v="0"/>
    <x v="3"/>
    <x v="3"/>
    <x v="12"/>
    <x v="12"/>
    <x v="3"/>
    <x v="7"/>
    <x v="7"/>
    <x v="40"/>
    <x v="40"/>
    <n v="26.71536"/>
    <x v="1"/>
    <x v="2"/>
    <x v="5"/>
    <x v="7"/>
    <x v="11"/>
    <x v="22"/>
    <n v="29.119742400000003"/>
  </r>
  <r>
    <x v="0"/>
    <x v="0"/>
    <x v="0"/>
    <x v="0"/>
    <x v="0"/>
    <x v="2"/>
    <x v="0"/>
    <x v="0"/>
    <x v="3"/>
    <x v="3"/>
    <x v="12"/>
    <x v="12"/>
    <x v="1"/>
    <x v="8"/>
    <x v="8"/>
    <x v="40"/>
    <x v="40"/>
    <n v="1.94432"/>
    <x v="1"/>
    <x v="2"/>
    <x v="5"/>
    <x v="7"/>
    <x v="11"/>
    <x v="22"/>
    <n v="2.1193088000000002"/>
  </r>
  <r>
    <x v="0"/>
    <x v="0"/>
    <x v="0"/>
    <x v="0"/>
    <x v="0"/>
    <x v="2"/>
    <x v="0"/>
    <x v="0"/>
    <x v="3"/>
    <x v="3"/>
    <x v="12"/>
    <x v="12"/>
    <x v="2"/>
    <x v="10"/>
    <x v="10"/>
    <x v="40"/>
    <x v="40"/>
    <n v="4.3898400000000004"/>
    <x v="1"/>
    <x v="2"/>
    <x v="5"/>
    <x v="7"/>
    <x v="11"/>
    <x v="22"/>
    <n v="4.7849256000000011"/>
  </r>
  <r>
    <x v="0"/>
    <x v="0"/>
    <x v="0"/>
    <x v="0"/>
    <x v="0"/>
    <x v="2"/>
    <x v="0"/>
    <x v="0"/>
    <x v="3"/>
    <x v="3"/>
    <x v="12"/>
    <x v="12"/>
    <x v="4"/>
    <x v="5"/>
    <x v="5"/>
    <x v="40"/>
    <x v="40"/>
    <n v="53.943350000000002"/>
    <x v="1"/>
    <x v="2"/>
    <x v="5"/>
    <x v="7"/>
    <x v="11"/>
    <x v="22"/>
    <n v="58.798251500000006"/>
  </r>
  <r>
    <x v="0"/>
    <x v="0"/>
    <x v="0"/>
    <x v="0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0"/>
    <x v="0"/>
    <x v="0"/>
    <x v="0"/>
    <x v="0"/>
    <x v="2"/>
    <x v="0"/>
    <x v="0"/>
    <x v="3"/>
    <x v="3"/>
    <x v="13"/>
    <x v="13"/>
    <x v="2"/>
    <x v="2"/>
    <x v="2"/>
    <x v="40"/>
    <x v="40"/>
    <n v="116.20562"/>
    <x v="1"/>
    <x v="2"/>
    <x v="5"/>
    <x v="7"/>
    <x v="11"/>
    <x v="22"/>
    <n v="126.66412580000001"/>
  </r>
  <r>
    <x v="0"/>
    <x v="0"/>
    <x v="0"/>
    <x v="0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0"/>
    <x v="0"/>
    <x v="0"/>
    <x v="0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0"/>
    <x v="0"/>
    <x v="0"/>
    <x v="0"/>
    <x v="0"/>
    <x v="2"/>
    <x v="0"/>
    <x v="0"/>
    <x v="3"/>
    <x v="3"/>
    <x v="13"/>
    <x v="13"/>
    <x v="1"/>
    <x v="8"/>
    <x v="8"/>
    <x v="40"/>
    <x v="40"/>
    <n v="4.8334000000000001"/>
    <x v="1"/>
    <x v="2"/>
    <x v="5"/>
    <x v="7"/>
    <x v="11"/>
    <x v="22"/>
    <n v="5.2684060000000006"/>
  </r>
  <r>
    <x v="0"/>
    <x v="0"/>
    <x v="0"/>
    <x v="0"/>
    <x v="0"/>
    <x v="2"/>
    <x v="0"/>
    <x v="0"/>
    <x v="3"/>
    <x v="3"/>
    <x v="13"/>
    <x v="13"/>
    <x v="4"/>
    <x v="5"/>
    <x v="5"/>
    <x v="40"/>
    <x v="40"/>
    <n v="2.2593999999999999"/>
    <x v="1"/>
    <x v="2"/>
    <x v="5"/>
    <x v="7"/>
    <x v="11"/>
    <x v="22"/>
    <n v="2.4627460000000001"/>
  </r>
  <r>
    <x v="0"/>
    <x v="0"/>
    <x v="0"/>
    <x v="0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0"/>
    <x v="0"/>
    <x v="0"/>
    <x v="0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0"/>
    <x v="0"/>
    <x v="0"/>
    <x v="0"/>
    <x v="0"/>
    <x v="2"/>
    <x v="0"/>
    <x v="0"/>
    <x v="2"/>
    <x v="2"/>
    <x v="14"/>
    <x v="14"/>
    <x v="4"/>
    <x v="5"/>
    <x v="5"/>
    <x v="40"/>
    <x v="40"/>
    <n v="93.867189999999994"/>
    <x v="1"/>
    <x v="2"/>
    <x v="5"/>
    <x v="7"/>
    <x v="11"/>
    <x v="22"/>
    <n v="102.3152371"/>
  </r>
  <r>
    <x v="0"/>
    <x v="0"/>
    <x v="0"/>
    <x v="0"/>
    <x v="0"/>
    <x v="2"/>
    <x v="0"/>
    <x v="0"/>
    <x v="2"/>
    <x v="2"/>
    <x v="15"/>
    <x v="15"/>
    <x v="3"/>
    <x v="3"/>
    <x v="3"/>
    <x v="40"/>
    <x v="40"/>
    <n v="4.7789999999999999"/>
    <x v="1"/>
    <x v="2"/>
    <x v="5"/>
    <x v="7"/>
    <x v="11"/>
    <x v="22"/>
    <n v="5.2091099999999999"/>
  </r>
  <r>
    <x v="0"/>
    <x v="0"/>
    <x v="0"/>
    <x v="0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0"/>
    <x v="0"/>
    <x v="0"/>
    <x v="0"/>
    <x v="0"/>
    <x v="2"/>
    <x v="0"/>
    <x v="0"/>
    <x v="2"/>
    <x v="2"/>
    <x v="15"/>
    <x v="15"/>
    <x v="0"/>
    <x v="4"/>
    <x v="4"/>
    <x v="40"/>
    <x v="40"/>
    <n v="43.475000000000001"/>
    <x v="1"/>
    <x v="2"/>
    <x v="5"/>
    <x v="7"/>
    <x v="11"/>
    <x v="22"/>
    <n v="47.387750000000004"/>
  </r>
  <r>
    <x v="0"/>
    <x v="0"/>
    <x v="0"/>
    <x v="0"/>
    <x v="0"/>
    <x v="2"/>
    <x v="0"/>
    <x v="0"/>
    <x v="2"/>
    <x v="2"/>
    <x v="15"/>
    <x v="15"/>
    <x v="2"/>
    <x v="2"/>
    <x v="2"/>
    <x v="40"/>
    <x v="40"/>
    <n v="2.1"/>
    <x v="1"/>
    <x v="2"/>
    <x v="5"/>
    <x v="7"/>
    <x v="11"/>
    <x v="22"/>
    <n v="2.2890000000000001"/>
  </r>
  <r>
    <x v="0"/>
    <x v="0"/>
    <x v="0"/>
    <x v="0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0"/>
    <x v="0"/>
    <x v="0"/>
    <x v="0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0"/>
    <x v="0"/>
    <x v="0"/>
    <x v="0"/>
    <x v="0"/>
    <x v="2"/>
    <x v="0"/>
    <x v="0"/>
    <x v="2"/>
    <x v="2"/>
    <x v="16"/>
    <x v="16"/>
    <x v="2"/>
    <x v="2"/>
    <x v="2"/>
    <x v="40"/>
    <x v="40"/>
    <n v="21"/>
    <x v="1"/>
    <x v="2"/>
    <x v="5"/>
    <x v="7"/>
    <x v="11"/>
    <x v="22"/>
    <n v="22.89"/>
  </r>
  <r>
    <x v="0"/>
    <x v="0"/>
    <x v="0"/>
    <x v="0"/>
    <x v="0"/>
    <x v="2"/>
    <x v="0"/>
    <x v="0"/>
    <x v="2"/>
    <x v="2"/>
    <x v="17"/>
    <x v="17"/>
    <x v="3"/>
    <x v="3"/>
    <x v="3"/>
    <x v="40"/>
    <x v="40"/>
    <n v="0.13500000000000001"/>
    <x v="1"/>
    <x v="2"/>
    <x v="5"/>
    <x v="7"/>
    <x v="11"/>
    <x v="22"/>
    <n v="0.14715000000000003"/>
  </r>
  <r>
    <x v="0"/>
    <x v="0"/>
    <x v="0"/>
    <x v="0"/>
    <x v="0"/>
    <x v="2"/>
    <x v="0"/>
    <x v="0"/>
    <x v="2"/>
    <x v="2"/>
    <x v="17"/>
    <x v="17"/>
    <x v="2"/>
    <x v="2"/>
    <x v="2"/>
    <x v="40"/>
    <x v="40"/>
    <n v="93.988590000000002"/>
    <x v="1"/>
    <x v="2"/>
    <x v="5"/>
    <x v="7"/>
    <x v="11"/>
    <x v="22"/>
    <n v="102.44756310000001"/>
  </r>
  <r>
    <x v="0"/>
    <x v="0"/>
    <x v="0"/>
    <x v="0"/>
    <x v="0"/>
    <x v="2"/>
    <x v="0"/>
    <x v="0"/>
    <x v="2"/>
    <x v="2"/>
    <x v="17"/>
    <x v="17"/>
    <x v="2"/>
    <x v="2"/>
    <x v="2"/>
    <x v="38"/>
    <x v="38"/>
    <n v="34.25"/>
    <x v="1"/>
    <x v="0"/>
    <x v="4"/>
    <x v="6"/>
    <x v="10"/>
    <x v="21"/>
    <n v="37.332500000000003"/>
  </r>
  <r>
    <x v="0"/>
    <x v="0"/>
    <x v="0"/>
    <x v="0"/>
    <x v="0"/>
    <x v="0"/>
    <x v="0"/>
    <x v="0"/>
    <x v="0"/>
    <x v="0"/>
    <x v="0"/>
    <x v="0"/>
    <x v="4"/>
    <x v="5"/>
    <x v="5"/>
    <x v="4"/>
    <x v="4"/>
    <n v="3.0549174311908298"/>
    <x v="0"/>
    <x v="0"/>
    <x v="1"/>
    <x v="3"/>
    <x v="3"/>
    <x v="4"/>
    <n v="3.3298599999980047"/>
  </r>
  <r>
    <x v="0"/>
    <x v="0"/>
    <x v="0"/>
    <x v="0"/>
    <x v="0"/>
    <x v="0"/>
    <x v="0"/>
    <x v="0"/>
    <x v="0"/>
    <x v="0"/>
    <x v="0"/>
    <x v="0"/>
    <x v="4"/>
    <x v="5"/>
    <x v="5"/>
    <x v="5"/>
    <x v="5"/>
    <n v="304.84601227225602"/>
    <x v="0"/>
    <x v="0"/>
    <x v="1"/>
    <x v="1"/>
    <x v="1"/>
    <x v="5"/>
    <n v="332.28215337675908"/>
  </r>
  <r>
    <x v="0"/>
    <x v="0"/>
    <x v="0"/>
    <x v="0"/>
    <x v="0"/>
    <x v="0"/>
    <x v="0"/>
    <x v="0"/>
    <x v="0"/>
    <x v="0"/>
    <x v="0"/>
    <x v="0"/>
    <x v="4"/>
    <x v="5"/>
    <x v="5"/>
    <x v="6"/>
    <x v="6"/>
    <n v="489.03113999999999"/>
    <x v="0"/>
    <x v="0"/>
    <x v="0"/>
    <x v="0"/>
    <x v="4"/>
    <x v="6"/>
    <n v="533.04394260000004"/>
  </r>
  <r>
    <x v="0"/>
    <x v="0"/>
    <x v="0"/>
    <x v="0"/>
    <x v="0"/>
    <x v="0"/>
    <x v="0"/>
    <x v="0"/>
    <x v="0"/>
    <x v="0"/>
    <x v="0"/>
    <x v="0"/>
    <x v="4"/>
    <x v="5"/>
    <x v="5"/>
    <x v="7"/>
    <x v="7"/>
    <n v="11.308100917424399"/>
    <x v="0"/>
    <x v="0"/>
    <x v="1"/>
    <x v="4"/>
    <x v="5"/>
    <x v="7"/>
    <n v="12.325829999992596"/>
  </r>
  <r>
    <x v="0"/>
    <x v="0"/>
    <x v="0"/>
    <x v="0"/>
    <x v="0"/>
    <x v="0"/>
    <x v="0"/>
    <x v="0"/>
    <x v="0"/>
    <x v="0"/>
    <x v="0"/>
    <x v="0"/>
    <x v="4"/>
    <x v="5"/>
    <x v="5"/>
    <x v="8"/>
    <x v="8"/>
    <n v="964.62411487103896"/>
    <x v="0"/>
    <x v="1"/>
    <x v="2"/>
    <x v="2"/>
    <x v="6"/>
    <x v="8"/>
    <n v="1051.4402852094324"/>
  </r>
  <r>
    <x v="0"/>
    <x v="0"/>
    <x v="0"/>
    <x v="0"/>
    <x v="0"/>
    <x v="0"/>
    <x v="0"/>
    <x v="0"/>
    <x v="0"/>
    <x v="0"/>
    <x v="0"/>
    <x v="0"/>
    <x v="4"/>
    <x v="5"/>
    <x v="5"/>
    <x v="9"/>
    <x v="9"/>
    <n v="1035.69680155879"/>
    <x v="0"/>
    <x v="0"/>
    <x v="1"/>
    <x v="4"/>
    <x v="5"/>
    <x v="9"/>
    <n v="1128.9095136990811"/>
  </r>
  <r>
    <x v="0"/>
    <x v="0"/>
    <x v="0"/>
    <x v="0"/>
    <x v="0"/>
    <x v="0"/>
    <x v="0"/>
    <x v="0"/>
    <x v="0"/>
    <x v="0"/>
    <x v="0"/>
    <x v="0"/>
    <x v="4"/>
    <x v="5"/>
    <x v="5"/>
    <x v="10"/>
    <x v="10"/>
    <n v="175.57520966462101"/>
    <x v="0"/>
    <x v="0"/>
    <x v="1"/>
    <x v="4"/>
    <x v="5"/>
    <x v="10"/>
    <n v="191.37697853443692"/>
  </r>
  <r>
    <x v="0"/>
    <x v="0"/>
    <x v="0"/>
    <x v="0"/>
    <x v="0"/>
    <x v="0"/>
    <x v="0"/>
    <x v="0"/>
    <x v="0"/>
    <x v="0"/>
    <x v="0"/>
    <x v="0"/>
    <x v="4"/>
    <x v="5"/>
    <x v="5"/>
    <x v="29"/>
    <x v="29"/>
    <n v="1.7105399999999999"/>
    <x v="0"/>
    <x v="0"/>
    <x v="1"/>
    <x v="3"/>
    <x v="3"/>
    <x v="13"/>
    <n v="1.8644886000000001"/>
  </r>
  <r>
    <x v="0"/>
    <x v="0"/>
    <x v="0"/>
    <x v="0"/>
    <x v="0"/>
    <x v="0"/>
    <x v="0"/>
    <x v="0"/>
    <x v="0"/>
    <x v="0"/>
    <x v="0"/>
    <x v="0"/>
    <x v="4"/>
    <x v="5"/>
    <x v="5"/>
    <x v="35"/>
    <x v="35"/>
    <n v="422.995"/>
    <x v="0"/>
    <x v="0"/>
    <x v="0"/>
    <x v="0"/>
    <x v="0"/>
    <x v="0"/>
    <n v="461.06455000000005"/>
  </r>
  <r>
    <x v="0"/>
    <x v="0"/>
    <x v="0"/>
    <x v="0"/>
    <x v="0"/>
    <x v="0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0"/>
    <x v="0"/>
    <x v="0"/>
    <x v="0"/>
    <x v="0"/>
    <x v="0"/>
    <x v="0"/>
    <x v="0"/>
    <x v="0"/>
    <x v="0"/>
    <x v="0"/>
    <x v="0"/>
    <x v="4"/>
    <x v="5"/>
    <x v="5"/>
    <x v="12"/>
    <x v="12"/>
    <n v="261.42126744086698"/>
    <x v="0"/>
    <x v="0"/>
    <x v="0"/>
    <x v="0"/>
    <x v="8"/>
    <x v="12"/>
    <n v="284.94918151054503"/>
  </r>
  <r>
    <x v="0"/>
    <x v="0"/>
    <x v="0"/>
    <x v="0"/>
    <x v="0"/>
    <x v="0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11.44748600000001"/>
  </r>
  <r>
    <x v="0"/>
    <x v="0"/>
    <x v="0"/>
    <x v="0"/>
    <x v="0"/>
    <x v="0"/>
    <x v="0"/>
    <x v="0"/>
    <x v="0"/>
    <x v="0"/>
    <x v="0"/>
    <x v="0"/>
    <x v="4"/>
    <x v="5"/>
    <x v="5"/>
    <x v="22"/>
    <x v="22"/>
    <n v="41.8298588708004"/>
    <x v="0"/>
    <x v="0"/>
    <x v="0"/>
    <x v="0"/>
    <x v="0"/>
    <x v="0"/>
    <n v="45.594546169172439"/>
  </r>
  <r>
    <x v="0"/>
    <x v="0"/>
    <x v="0"/>
    <x v="0"/>
    <x v="0"/>
    <x v="0"/>
    <x v="0"/>
    <x v="0"/>
    <x v="0"/>
    <x v="0"/>
    <x v="0"/>
    <x v="0"/>
    <x v="4"/>
    <x v="5"/>
    <x v="5"/>
    <x v="33"/>
    <x v="33"/>
    <n v="5.71021100917089"/>
    <x v="0"/>
    <x v="0"/>
    <x v="1"/>
    <x v="3"/>
    <x v="3"/>
    <x v="4"/>
    <n v="6.2241299999962703"/>
  </r>
  <r>
    <x v="0"/>
    <x v="0"/>
    <x v="0"/>
    <x v="0"/>
    <x v="0"/>
    <x v="0"/>
    <x v="0"/>
    <x v="0"/>
    <x v="0"/>
    <x v="0"/>
    <x v="0"/>
    <x v="0"/>
    <x v="4"/>
    <x v="5"/>
    <x v="5"/>
    <x v="36"/>
    <x v="36"/>
    <n v="60.539660550422397"/>
    <x v="0"/>
    <x v="0"/>
    <x v="1"/>
    <x v="3"/>
    <x v="3"/>
    <x v="4"/>
    <n v="65.988229999960424"/>
  </r>
  <r>
    <x v="0"/>
    <x v="0"/>
    <x v="0"/>
    <x v="0"/>
    <x v="0"/>
    <x v="0"/>
    <x v="0"/>
    <x v="0"/>
    <x v="0"/>
    <x v="0"/>
    <x v="0"/>
    <x v="0"/>
    <x v="4"/>
    <x v="5"/>
    <x v="5"/>
    <x v="23"/>
    <x v="23"/>
    <n v="7.7579541284357099"/>
    <x v="0"/>
    <x v="0"/>
    <x v="1"/>
    <x v="3"/>
    <x v="3"/>
    <x v="15"/>
    <n v="8.4561699999949251"/>
  </r>
  <r>
    <x v="0"/>
    <x v="0"/>
    <x v="0"/>
    <x v="0"/>
    <x v="0"/>
    <x v="0"/>
    <x v="0"/>
    <x v="0"/>
    <x v="0"/>
    <x v="0"/>
    <x v="0"/>
    <x v="0"/>
    <x v="4"/>
    <x v="5"/>
    <x v="5"/>
    <x v="24"/>
    <x v="24"/>
    <n v="89.5898348623316"/>
    <x v="0"/>
    <x v="0"/>
    <x v="1"/>
    <x v="3"/>
    <x v="3"/>
    <x v="4"/>
    <n v="97.652919999941446"/>
  </r>
  <r>
    <x v="0"/>
    <x v="0"/>
    <x v="0"/>
    <x v="0"/>
    <x v="0"/>
    <x v="0"/>
    <x v="0"/>
    <x v="0"/>
    <x v="0"/>
    <x v="0"/>
    <x v="0"/>
    <x v="0"/>
    <x v="4"/>
    <x v="5"/>
    <x v="5"/>
    <x v="17"/>
    <x v="17"/>
    <n v="164.95509000000001"/>
    <x v="0"/>
    <x v="0"/>
    <x v="0"/>
    <x v="0"/>
    <x v="4"/>
    <x v="17"/>
    <n v="179.80104810000003"/>
  </r>
  <r>
    <x v="0"/>
    <x v="0"/>
    <x v="0"/>
    <x v="0"/>
    <x v="0"/>
    <x v="0"/>
    <x v="0"/>
    <x v="0"/>
    <x v="0"/>
    <x v="0"/>
    <x v="0"/>
    <x v="0"/>
    <x v="4"/>
    <x v="5"/>
    <x v="5"/>
    <x v="21"/>
    <x v="21"/>
    <n v="189.81304587144601"/>
    <x v="0"/>
    <x v="0"/>
    <x v="1"/>
    <x v="4"/>
    <x v="5"/>
    <x v="10"/>
    <n v="206.89621999987617"/>
  </r>
  <r>
    <x v="0"/>
    <x v="0"/>
    <x v="0"/>
    <x v="0"/>
    <x v="0"/>
    <x v="0"/>
    <x v="0"/>
    <x v="0"/>
    <x v="0"/>
    <x v="0"/>
    <x v="0"/>
    <x v="0"/>
    <x v="4"/>
    <x v="5"/>
    <x v="5"/>
    <x v="18"/>
    <x v="18"/>
    <n v="876.77913000000001"/>
    <x v="0"/>
    <x v="0"/>
    <x v="0"/>
    <x v="0"/>
    <x v="4"/>
    <x v="18"/>
    <n v="955.68925170000011"/>
  </r>
  <r>
    <x v="0"/>
    <x v="0"/>
    <x v="0"/>
    <x v="0"/>
    <x v="0"/>
    <x v="0"/>
    <x v="0"/>
    <x v="0"/>
    <x v="0"/>
    <x v="0"/>
    <x v="0"/>
    <x v="0"/>
    <x v="4"/>
    <x v="5"/>
    <x v="5"/>
    <x v="34"/>
    <x v="34"/>
    <n v="123.598588644187"/>
    <x v="0"/>
    <x v="0"/>
    <x v="0"/>
    <x v="0"/>
    <x v="0"/>
    <x v="0"/>
    <n v="134.72246162216385"/>
  </r>
  <r>
    <x v="0"/>
    <x v="0"/>
    <x v="0"/>
    <x v="0"/>
    <x v="0"/>
    <x v="0"/>
    <x v="0"/>
    <x v="0"/>
    <x v="0"/>
    <x v="0"/>
    <x v="0"/>
    <x v="0"/>
    <x v="4"/>
    <x v="5"/>
    <x v="5"/>
    <x v="25"/>
    <x v="25"/>
    <n v="34.647532110070898"/>
    <x v="0"/>
    <x v="0"/>
    <x v="1"/>
    <x v="4"/>
    <x v="5"/>
    <x v="9"/>
    <n v="37.765809999977279"/>
  </r>
  <r>
    <x v="0"/>
    <x v="0"/>
    <x v="0"/>
    <x v="0"/>
    <x v="0"/>
    <x v="0"/>
    <x v="0"/>
    <x v="0"/>
    <x v="0"/>
    <x v="0"/>
    <x v="0"/>
    <x v="0"/>
    <x v="4"/>
    <x v="5"/>
    <x v="5"/>
    <x v="37"/>
    <x v="37"/>
    <n v="124.35752293570501"/>
    <x v="0"/>
    <x v="0"/>
    <x v="1"/>
    <x v="3"/>
    <x v="3"/>
    <x v="4"/>
    <n v="135.54969999991846"/>
  </r>
  <r>
    <x v="0"/>
    <x v="0"/>
    <x v="0"/>
    <x v="0"/>
    <x v="0"/>
    <x v="0"/>
    <x v="0"/>
    <x v="0"/>
    <x v="0"/>
    <x v="0"/>
    <x v="0"/>
    <x v="0"/>
    <x v="4"/>
    <x v="5"/>
    <x v="5"/>
    <x v="27"/>
    <x v="27"/>
    <n v="65.241952704085804"/>
    <x v="0"/>
    <x v="0"/>
    <x v="1"/>
    <x v="3"/>
    <x v="3"/>
    <x v="19"/>
    <n v="71.113728447453525"/>
  </r>
  <r>
    <x v="0"/>
    <x v="0"/>
    <x v="0"/>
    <x v="0"/>
    <x v="0"/>
    <x v="0"/>
    <x v="0"/>
    <x v="0"/>
    <x v="0"/>
    <x v="0"/>
    <x v="0"/>
    <x v="0"/>
    <x v="4"/>
    <x v="5"/>
    <x v="5"/>
    <x v="26"/>
    <x v="26"/>
    <n v="41.264513761443098"/>
    <x v="0"/>
    <x v="0"/>
    <x v="1"/>
    <x v="3"/>
    <x v="3"/>
    <x v="15"/>
    <n v="44.978319999972982"/>
  </r>
  <r>
    <x v="0"/>
    <x v="0"/>
    <x v="0"/>
    <x v="0"/>
    <x v="0"/>
    <x v="0"/>
    <x v="0"/>
    <x v="0"/>
    <x v="0"/>
    <x v="0"/>
    <x v="0"/>
    <x v="0"/>
    <x v="4"/>
    <x v="5"/>
    <x v="5"/>
    <x v="0"/>
    <x v="0"/>
    <n v="122.906540035243"/>
    <x v="0"/>
    <x v="0"/>
    <x v="0"/>
    <x v="0"/>
    <x v="0"/>
    <x v="0"/>
    <n v="133.96812863841487"/>
  </r>
  <r>
    <x v="0"/>
    <x v="0"/>
    <x v="0"/>
    <x v="0"/>
    <x v="0"/>
    <x v="0"/>
    <x v="0"/>
    <x v="0"/>
    <x v="0"/>
    <x v="0"/>
    <x v="0"/>
    <x v="0"/>
    <x v="4"/>
    <x v="5"/>
    <x v="5"/>
    <x v="2"/>
    <x v="2"/>
    <n v="7496.7525412799096"/>
    <x v="0"/>
    <x v="1"/>
    <x v="2"/>
    <x v="2"/>
    <x v="2"/>
    <x v="2"/>
    <n v="8171.460269995102"/>
  </r>
  <r>
    <x v="0"/>
    <x v="0"/>
    <x v="0"/>
    <x v="0"/>
    <x v="0"/>
    <x v="0"/>
    <x v="0"/>
    <x v="0"/>
    <x v="0"/>
    <x v="0"/>
    <x v="0"/>
    <x v="0"/>
    <x v="4"/>
    <x v="5"/>
    <x v="5"/>
    <x v="3"/>
    <x v="3"/>
    <n v="51.9298561535849"/>
    <x v="0"/>
    <x v="0"/>
    <x v="1"/>
    <x v="3"/>
    <x v="3"/>
    <x v="3"/>
    <n v="56.603543207407547"/>
  </r>
  <r>
    <x v="0"/>
    <x v="0"/>
    <x v="0"/>
    <x v="0"/>
    <x v="0"/>
    <x v="0"/>
    <x v="0"/>
    <x v="0"/>
    <x v="0"/>
    <x v="0"/>
    <x v="3"/>
    <x v="3"/>
    <x v="3"/>
    <x v="3"/>
    <x v="3"/>
    <x v="8"/>
    <x v="8"/>
    <n v="6.0168918919299999E-2"/>
    <x v="0"/>
    <x v="1"/>
    <x v="2"/>
    <x v="2"/>
    <x v="6"/>
    <x v="8"/>
    <n v="6.5584121622037E-2"/>
  </r>
  <r>
    <x v="0"/>
    <x v="0"/>
    <x v="0"/>
    <x v="0"/>
    <x v="0"/>
    <x v="0"/>
    <x v="0"/>
    <x v="0"/>
    <x v="0"/>
    <x v="0"/>
    <x v="3"/>
    <x v="3"/>
    <x v="3"/>
    <x v="3"/>
    <x v="3"/>
    <x v="3"/>
    <x v="3"/>
    <n v="34.561231524397797"/>
    <x v="0"/>
    <x v="0"/>
    <x v="1"/>
    <x v="3"/>
    <x v="3"/>
    <x v="3"/>
    <n v="37.671742361593601"/>
  </r>
  <r>
    <x v="0"/>
    <x v="0"/>
    <x v="0"/>
    <x v="0"/>
    <x v="0"/>
    <x v="0"/>
    <x v="0"/>
    <x v="0"/>
    <x v="0"/>
    <x v="0"/>
    <x v="3"/>
    <x v="3"/>
    <x v="0"/>
    <x v="4"/>
    <x v="4"/>
    <x v="16"/>
    <x v="16"/>
    <n v="22.593530000000001"/>
    <x v="0"/>
    <x v="0"/>
    <x v="3"/>
    <x v="5"/>
    <x v="9"/>
    <x v="16"/>
    <n v="24.626947700000002"/>
  </r>
  <r>
    <x v="0"/>
    <x v="0"/>
    <x v="0"/>
    <x v="0"/>
    <x v="0"/>
    <x v="0"/>
    <x v="0"/>
    <x v="0"/>
    <x v="0"/>
    <x v="0"/>
    <x v="3"/>
    <x v="3"/>
    <x v="2"/>
    <x v="2"/>
    <x v="2"/>
    <x v="5"/>
    <x v="5"/>
    <n v="113.362981595954"/>
    <x v="0"/>
    <x v="0"/>
    <x v="1"/>
    <x v="1"/>
    <x v="1"/>
    <x v="5"/>
    <n v="123.56564993958986"/>
  </r>
  <r>
    <x v="0"/>
    <x v="0"/>
    <x v="0"/>
    <x v="0"/>
    <x v="0"/>
    <x v="0"/>
    <x v="0"/>
    <x v="0"/>
    <x v="0"/>
    <x v="0"/>
    <x v="3"/>
    <x v="3"/>
    <x v="2"/>
    <x v="2"/>
    <x v="2"/>
    <x v="6"/>
    <x v="6"/>
    <n v="132.27145999999999"/>
    <x v="0"/>
    <x v="0"/>
    <x v="0"/>
    <x v="0"/>
    <x v="4"/>
    <x v="6"/>
    <n v="144.17589140000001"/>
  </r>
  <r>
    <x v="0"/>
    <x v="0"/>
    <x v="0"/>
    <x v="0"/>
    <x v="0"/>
    <x v="0"/>
    <x v="0"/>
    <x v="0"/>
    <x v="0"/>
    <x v="0"/>
    <x v="3"/>
    <x v="3"/>
    <x v="2"/>
    <x v="2"/>
    <x v="2"/>
    <x v="8"/>
    <x v="8"/>
    <n v="180.602756757913"/>
    <x v="0"/>
    <x v="1"/>
    <x v="2"/>
    <x v="2"/>
    <x v="6"/>
    <x v="8"/>
    <n v="196.85700486612518"/>
  </r>
  <r>
    <x v="0"/>
    <x v="0"/>
    <x v="0"/>
    <x v="0"/>
    <x v="0"/>
    <x v="0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0"/>
    <x v="0"/>
    <x v="0"/>
    <x v="0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0"/>
    <x v="0"/>
    <x v="0"/>
    <x v="0"/>
    <x v="0"/>
    <x v="0"/>
    <x v="0"/>
    <x v="0"/>
    <x v="2"/>
    <x v="2"/>
    <x v="3"/>
    <x v="3"/>
    <x v="2"/>
    <x v="2"/>
    <x v="2"/>
    <x v="38"/>
    <x v="38"/>
    <n v="1.5904799999999999"/>
    <x v="1"/>
    <x v="0"/>
    <x v="4"/>
    <x v="6"/>
    <x v="10"/>
    <x v="21"/>
    <n v="1.7336232"/>
  </r>
  <r>
    <x v="0"/>
    <x v="0"/>
    <x v="0"/>
    <x v="0"/>
    <x v="0"/>
    <x v="0"/>
    <x v="0"/>
    <x v="0"/>
    <x v="0"/>
    <x v="0"/>
    <x v="3"/>
    <x v="3"/>
    <x v="2"/>
    <x v="2"/>
    <x v="2"/>
    <x v="12"/>
    <x v="12"/>
    <n v="6.0418604650929998E-2"/>
    <x v="0"/>
    <x v="0"/>
    <x v="0"/>
    <x v="0"/>
    <x v="8"/>
    <x v="12"/>
    <n v="6.5856279069513704E-2"/>
  </r>
  <r>
    <x v="0"/>
    <x v="0"/>
    <x v="0"/>
    <x v="0"/>
    <x v="0"/>
    <x v="0"/>
    <x v="0"/>
    <x v="0"/>
    <x v="0"/>
    <x v="0"/>
    <x v="3"/>
    <x v="3"/>
    <x v="2"/>
    <x v="2"/>
    <x v="2"/>
    <x v="14"/>
    <x v="14"/>
    <n v="1.0749899999999999"/>
    <x v="0"/>
    <x v="0"/>
    <x v="0"/>
    <x v="0"/>
    <x v="8"/>
    <x v="14"/>
    <n v="1.1717390999999999"/>
  </r>
  <r>
    <x v="0"/>
    <x v="0"/>
    <x v="0"/>
    <x v="0"/>
    <x v="0"/>
    <x v="0"/>
    <x v="0"/>
    <x v="0"/>
    <x v="0"/>
    <x v="0"/>
    <x v="3"/>
    <x v="3"/>
    <x v="2"/>
    <x v="2"/>
    <x v="2"/>
    <x v="16"/>
    <x v="16"/>
    <n v="1.1497200000000001"/>
    <x v="0"/>
    <x v="0"/>
    <x v="3"/>
    <x v="5"/>
    <x v="9"/>
    <x v="16"/>
    <n v="1.2531948000000002"/>
  </r>
  <r>
    <x v="0"/>
    <x v="0"/>
    <x v="0"/>
    <x v="0"/>
    <x v="0"/>
    <x v="0"/>
    <x v="0"/>
    <x v="0"/>
    <x v="0"/>
    <x v="0"/>
    <x v="3"/>
    <x v="3"/>
    <x v="2"/>
    <x v="2"/>
    <x v="2"/>
    <x v="0"/>
    <x v="0"/>
    <n v="5.8528104982042501"/>
    <x v="0"/>
    <x v="0"/>
    <x v="0"/>
    <x v="0"/>
    <x v="0"/>
    <x v="0"/>
    <n v="6.3795634430426329"/>
  </r>
  <r>
    <x v="0"/>
    <x v="0"/>
    <x v="0"/>
    <x v="0"/>
    <x v="0"/>
    <x v="0"/>
    <x v="0"/>
    <x v="0"/>
    <x v="0"/>
    <x v="0"/>
    <x v="3"/>
    <x v="3"/>
    <x v="2"/>
    <x v="2"/>
    <x v="2"/>
    <x v="2"/>
    <x v="2"/>
    <n v="114.077330275161"/>
    <x v="0"/>
    <x v="1"/>
    <x v="2"/>
    <x v="2"/>
    <x v="2"/>
    <x v="2"/>
    <n v="124.34428999992551"/>
  </r>
  <r>
    <x v="0"/>
    <x v="0"/>
    <x v="0"/>
    <x v="0"/>
    <x v="0"/>
    <x v="0"/>
    <x v="0"/>
    <x v="0"/>
    <x v="0"/>
    <x v="0"/>
    <x v="3"/>
    <x v="3"/>
    <x v="1"/>
    <x v="6"/>
    <x v="6"/>
    <x v="12"/>
    <x v="12"/>
    <n v="6.3114418604411302"/>
    <x v="0"/>
    <x v="0"/>
    <x v="0"/>
    <x v="0"/>
    <x v="8"/>
    <x v="12"/>
    <n v="6.8794716278808323"/>
  </r>
  <r>
    <x v="0"/>
    <x v="0"/>
    <x v="0"/>
    <x v="0"/>
    <x v="0"/>
    <x v="0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0"/>
    <x v="0"/>
    <x v="0"/>
    <x v="0"/>
    <x v="0"/>
    <x v="0"/>
    <x v="0"/>
    <x v="0"/>
    <x v="0"/>
    <x v="0"/>
    <x v="3"/>
    <x v="3"/>
    <x v="4"/>
    <x v="5"/>
    <x v="5"/>
    <x v="4"/>
    <x v="4"/>
    <n v="9.7858623853152302"/>
    <x v="0"/>
    <x v="0"/>
    <x v="1"/>
    <x v="3"/>
    <x v="3"/>
    <x v="4"/>
    <n v="10.666589999993601"/>
  </r>
  <r>
    <x v="0"/>
    <x v="0"/>
    <x v="0"/>
    <x v="0"/>
    <x v="0"/>
    <x v="0"/>
    <x v="0"/>
    <x v="0"/>
    <x v="0"/>
    <x v="0"/>
    <x v="3"/>
    <x v="3"/>
    <x v="4"/>
    <x v="5"/>
    <x v="5"/>
    <x v="8"/>
    <x v="8"/>
    <n v="83.800824324860699"/>
    <x v="0"/>
    <x v="1"/>
    <x v="2"/>
    <x v="2"/>
    <x v="6"/>
    <x v="8"/>
    <n v="91.342898514098167"/>
  </r>
  <r>
    <x v="0"/>
    <x v="0"/>
    <x v="0"/>
    <x v="0"/>
    <x v="0"/>
    <x v="0"/>
    <x v="0"/>
    <x v="0"/>
    <x v="0"/>
    <x v="0"/>
    <x v="3"/>
    <x v="3"/>
    <x v="4"/>
    <x v="5"/>
    <x v="5"/>
    <x v="12"/>
    <x v="12"/>
    <n v="44.839825581225"/>
    <x v="0"/>
    <x v="0"/>
    <x v="0"/>
    <x v="0"/>
    <x v="8"/>
    <x v="12"/>
    <n v="48.875409883535255"/>
  </r>
  <r>
    <x v="0"/>
    <x v="0"/>
    <x v="0"/>
    <x v="0"/>
    <x v="0"/>
    <x v="0"/>
    <x v="0"/>
    <x v="0"/>
    <x v="0"/>
    <x v="0"/>
    <x v="3"/>
    <x v="3"/>
    <x v="4"/>
    <x v="5"/>
    <x v="5"/>
    <x v="18"/>
    <x v="18"/>
    <n v="24.275069999999999"/>
    <x v="0"/>
    <x v="0"/>
    <x v="0"/>
    <x v="0"/>
    <x v="4"/>
    <x v="18"/>
    <n v="26.459826300000003"/>
  </r>
  <r>
    <x v="0"/>
    <x v="0"/>
    <x v="0"/>
    <x v="0"/>
    <x v="0"/>
    <x v="0"/>
    <x v="0"/>
    <x v="0"/>
    <x v="0"/>
    <x v="0"/>
    <x v="3"/>
    <x v="3"/>
    <x v="4"/>
    <x v="5"/>
    <x v="5"/>
    <x v="27"/>
    <x v="27"/>
    <n v="7.4324324325899997"/>
    <x v="0"/>
    <x v="0"/>
    <x v="1"/>
    <x v="3"/>
    <x v="3"/>
    <x v="19"/>
    <n v="8.1013513515230997"/>
  </r>
  <r>
    <x v="0"/>
    <x v="0"/>
    <x v="0"/>
    <x v="0"/>
    <x v="0"/>
    <x v="0"/>
    <x v="0"/>
    <x v="0"/>
    <x v="0"/>
    <x v="0"/>
    <x v="3"/>
    <x v="3"/>
    <x v="4"/>
    <x v="5"/>
    <x v="5"/>
    <x v="0"/>
    <x v="0"/>
    <n v="479.30022063922701"/>
    <x v="0"/>
    <x v="0"/>
    <x v="0"/>
    <x v="0"/>
    <x v="0"/>
    <x v="0"/>
    <n v="522.43724049675745"/>
  </r>
  <r>
    <x v="0"/>
    <x v="0"/>
    <x v="0"/>
    <x v="0"/>
    <x v="0"/>
    <x v="0"/>
    <x v="0"/>
    <x v="0"/>
    <x v="0"/>
    <x v="0"/>
    <x v="3"/>
    <x v="3"/>
    <x v="4"/>
    <x v="5"/>
    <x v="5"/>
    <x v="2"/>
    <x v="2"/>
    <n v="11.0224770642136"/>
    <x v="0"/>
    <x v="1"/>
    <x v="2"/>
    <x v="2"/>
    <x v="2"/>
    <x v="2"/>
    <n v="12.014499999992825"/>
  </r>
  <r>
    <x v="0"/>
    <x v="0"/>
    <x v="0"/>
    <x v="0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0"/>
    <x v="0"/>
    <x v="0"/>
    <x v="0"/>
    <x v="0"/>
    <x v="0"/>
    <x v="0"/>
    <x v="0"/>
    <x v="0"/>
    <x v="0"/>
    <x v="18"/>
    <x v="18"/>
    <x v="0"/>
    <x v="4"/>
    <x v="4"/>
    <x v="16"/>
    <x v="16"/>
    <n v="153.33333999999999"/>
    <x v="0"/>
    <x v="0"/>
    <x v="3"/>
    <x v="5"/>
    <x v="9"/>
    <x v="16"/>
    <n v="167.1333406"/>
  </r>
  <r>
    <x v="0"/>
    <x v="0"/>
    <x v="0"/>
    <x v="0"/>
    <x v="0"/>
    <x v="0"/>
    <x v="0"/>
    <x v="0"/>
    <x v="0"/>
    <x v="0"/>
    <x v="18"/>
    <x v="18"/>
    <x v="0"/>
    <x v="4"/>
    <x v="4"/>
    <x v="33"/>
    <x v="33"/>
    <n v="0.59661467889872"/>
    <x v="0"/>
    <x v="0"/>
    <x v="1"/>
    <x v="3"/>
    <x v="3"/>
    <x v="4"/>
    <n v="0.65030999999960482"/>
  </r>
  <r>
    <x v="0"/>
    <x v="0"/>
    <x v="0"/>
    <x v="0"/>
    <x v="0"/>
    <x v="0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0"/>
    <x v="0"/>
    <x v="0"/>
    <x v="0"/>
    <x v="0"/>
    <x v="0"/>
    <x v="0"/>
    <x v="0"/>
    <x v="0"/>
    <x v="0"/>
    <x v="18"/>
    <x v="18"/>
    <x v="0"/>
    <x v="4"/>
    <x v="4"/>
    <x v="3"/>
    <x v="3"/>
    <n v="0.19023853210998001"/>
    <x v="0"/>
    <x v="0"/>
    <x v="1"/>
    <x v="3"/>
    <x v="3"/>
    <x v="3"/>
    <n v="0.20735999999987823"/>
  </r>
  <r>
    <x v="0"/>
    <x v="0"/>
    <x v="0"/>
    <x v="0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0"/>
    <x v="0"/>
    <x v="0"/>
    <x v="0"/>
    <x v="0"/>
    <x v="0"/>
    <x v="0"/>
    <x v="0"/>
    <x v="0"/>
    <x v="0"/>
    <x v="4"/>
    <x v="4"/>
    <x v="2"/>
    <x v="2"/>
    <x v="2"/>
    <x v="5"/>
    <x v="5"/>
    <n v="1.244171779151E-2"/>
    <x v="0"/>
    <x v="0"/>
    <x v="1"/>
    <x v="1"/>
    <x v="1"/>
    <x v="5"/>
    <n v="1.35614723927459E-2"/>
  </r>
  <r>
    <x v="0"/>
    <x v="0"/>
    <x v="0"/>
    <x v="0"/>
    <x v="0"/>
    <x v="0"/>
    <x v="0"/>
    <x v="0"/>
    <x v="0"/>
    <x v="0"/>
    <x v="4"/>
    <x v="4"/>
    <x v="2"/>
    <x v="2"/>
    <x v="2"/>
    <x v="6"/>
    <x v="6"/>
    <n v="0.15001999999999999"/>
    <x v="0"/>
    <x v="0"/>
    <x v="0"/>
    <x v="0"/>
    <x v="4"/>
    <x v="6"/>
    <n v="0.16352179999999999"/>
  </r>
  <r>
    <x v="0"/>
    <x v="0"/>
    <x v="0"/>
    <x v="0"/>
    <x v="0"/>
    <x v="0"/>
    <x v="0"/>
    <x v="0"/>
    <x v="0"/>
    <x v="0"/>
    <x v="4"/>
    <x v="4"/>
    <x v="2"/>
    <x v="2"/>
    <x v="2"/>
    <x v="7"/>
    <x v="7"/>
    <n v="0.62383486238495001"/>
    <x v="0"/>
    <x v="0"/>
    <x v="1"/>
    <x v="4"/>
    <x v="5"/>
    <x v="7"/>
    <n v="0.67997999999959557"/>
  </r>
  <r>
    <x v="0"/>
    <x v="0"/>
    <x v="0"/>
    <x v="0"/>
    <x v="0"/>
    <x v="0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0"/>
    <x v="0"/>
    <x v="0"/>
    <x v="0"/>
    <x v="0"/>
    <x v="0"/>
    <x v="0"/>
    <x v="0"/>
    <x v="0"/>
    <x v="0"/>
    <x v="4"/>
    <x v="4"/>
    <x v="2"/>
    <x v="2"/>
    <x v="2"/>
    <x v="9"/>
    <x v="9"/>
    <n v="9.0550458715540003E-2"/>
    <x v="0"/>
    <x v="0"/>
    <x v="1"/>
    <x v="4"/>
    <x v="5"/>
    <x v="9"/>
    <n v="9.8699999999938615E-2"/>
  </r>
  <r>
    <x v="0"/>
    <x v="0"/>
    <x v="0"/>
    <x v="0"/>
    <x v="0"/>
    <x v="0"/>
    <x v="0"/>
    <x v="0"/>
    <x v="0"/>
    <x v="0"/>
    <x v="4"/>
    <x v="4"/>
    <x v="2"/>
    <x v="2"/>
    <x v="2"/>
    <x v="10"/>
    <x v="10"/>
    <n v="0.91602752293523004"/>
    <x v="0"/>
    <x v="0"/>
    <x v="1"/>
    <x v="4"/>
    <x v="5"/>
    <x v="10"/>
    <n v="0.99846999999940078"/>
  </r>
  <r>
    <x v="0"/>
    <x v="0"/>
    <x v="0"/>
    <x v="0"/>
    <x v="0"/>
    <x v="0"/>
    <x v="0"/>
    <x v="0"/>
    <x v="0"/>
    <x v="0"/>
    <x v="4"/>
    <x v="4"/>
    <x v="2"/>
    <x v="2"/>
    <x v="2"/>
    <x v="29"/>
    <x v="29"/>
    <n v="0.3"/>
    <x v="0"/>
    <x v="0"/>
    <x v="1"/>
    <x v="3"/>
    <x v="3"/>
    <x v="13"/>
    <n v="0.32700000000000001"/>
  </r>
  <r>
    <x v="0"/>
    <x v="0"/>
    <x v="0"/>
    <x v="0"/>
    <x v="0"/>
    <x v="0"/>
    <x v="0"/>
    <x v="0"/>
    <x v="0"/>
    <x v="0"/>
    <x v="4"/>
    <x v="4"/>
    <x v="2"/>
    <x v="2"/>
    <x v="2"/>
    <x v="12"/>
    <x v="12"/>
    <n v="37.0523953486964"/>
    <x v="0"/>
    <x v="0"/>
    <x v="0"/>
    <x v="0"/>
    <x v="8"/>
    <x v="12"/>
    <n v="40.387110930079082"/>
  </r>
  <r>
    <x v="0"/>
    <x v="0"/>
    <x v="0"/>
    <x v="0"/>
    <x v="0"/>
    <x v="0"/>
    <x v="0"/>
    <x v="0"/>
    <x v="0"/>
    <x v="0"/>
    <x v="4"/>
    <x v="4"/>
    <x v="2"/>
    <x v="2"/>
    <x v="2"/>
    <x v="13"/>
    <x v="13"/>
    <n v="1.1619999999999999"/>
    <x v="0"/>
    <x v="0"/>
    <x v="1"/>
    <x v="3"/>
    <x v="3"/>
    <x v="13"/>
    <n v="1.26658"/>
  </r>
  <r>
    <x v="0"/>
    <x v="0"/>
    <x v="0"/>
    <x v="0"/>
    <x v="0"/>
    <x v="0"/>
    <x v="0"/>
    <x v="0"/>
    <x v="0"/>
    <x v="0"/>
    <x v="4"/>
    <x v="4"/>
    <x v="2"/>
    <x v="2"/>
    <x v="2"/>
    <x v="14"/>
    <x v="14"/>
    <n v="0.50082000000000004"/>
    <x v="0"/>
    <x v="0"/>
    <x v="0"/>
    <x v="0"/>
    <x v="8"/>
    <x v="14"/>
    <n v="0.5458938000000001"/>
  </r>
  <r>
    <x v="0"/>
    <x v="0"/>
    <x v="0"/>
    <x v="0"/>
    <x v="0"/>
    <x v="0"/>
    <x v="0"/>
    <x v="0"/>
    <x v="0"/>
    <x v="0"/>
    <x v="4"/>
    <x v="4"/>
    <x v="2"/>
    <x v="2"/>
    <x v="2"/>
    <x v="16"/>
    <x v="16"/>
    <n v="2.47275"/>
    <x v="0"/>
    <x v="0"/>
    <x v="3"/>
    <x v="5"/>
    <x v="9"/>
    <x v="16"/>
    <n v="2.6952975000000001"/>
  </r>
  <r>
    <x v="0"/>
    <x v="0"/>
    <x v="0"/>
    <x v="0"/>
    <x v="0"/>
    <x v="0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0"/>
    <x v="0"/>
    <x v="0"/>
    <x v="0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0"/>
    <x v="0"/>
    <x v="0"/>
    <x v="0"/>
    <x v="0"/>
    <x v="0"/>
    <x v="0"/>
    <x v="0"/>
    <x v="0"/>
    <x v="0"/>
    <x v="4"/>
    <x v="4"/>
    <x v="2"/>
    <x v="2"/>
    <x v="2"/>
    <x v="27"/>
    <x v="27"/>
    <n v="0.65609459460849995"/>
    <x v="0"/>
    <x v="0"/>
    <x v="1"/>
    <x v="3"/>
    <x v="3"/>
    <x v="19"/>
    <n v="0.71514310812326498"/>
  </r>
  <r>
    <x v="0"/>
    <x v="0"/>
    <x v="0"/>
    <x v="0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0"/>
    <x v="0"/>
    <x v="0"/>
    <x v="0"/>
    <x v="0"/>
    <x v="0"/>
    <x v="0"/>
    <x v="0"/>
    <x v="0"/>
    <x v="0"/>
    <x v="4"/>
    <x v="4"/>
    <x v="2"/>
    <x v="2"/>
    <x v="2"/>
    <x v="2"/>
    <x v="2"/>
    <n v="1.8606330275218199"/>
    <x v="0"/>
    <x v="1"/>
    <x v="2"/>
    <x v="2"/>
    <x v="2"/>
    <x v="2"/>
    <n v="2.0280899999987838"/>
  </r>
  <r>
    <x v="0"/>
    <x v="0"/>
    <x v="0"/>
    <x v="0"/>
    <x v="0"/>
    <x v="0"/>
    <x v="0"/>
    <x v="0"/>
    <x v="2"/>
    <x v="2"/>
    <x v="5"/>
    <x v="5"/>
    <x v="2"/>
    <x v="2"/>
    <x v="2"/>
    <x v="42"/>
    <x v="42"/>
    <n v="2.3044099999999998"/>
    <x v="1"/>
    <x v="2"/>
    <x v="5"/>
    <x v="7"/>
    <x v="11"/>
    <x v="22"/>
    <n v="2.5118068999999998"/>
  </r>
  <r>
    <x v="0"/>
    <x v="0"/>
    <x v="0"/>
    <x v="0"/>
    <x v="0"/>
    <x v="0"/>
    <x v="0"/>
    <x v="0"/>
    <x v="2"/>
    <x v="2"/>
    <x v="5"/>
    <x v="5"/>
    <x v="2"/>
    <x v="2"/>
    <x v="2"/>
    <x v="41"/>
    <x v="41"/>
    <n v="0.48649999999815002"/>
    <x v="1"/>
    <x v="2"/>
    <x v="5"/>
    <x v="7"/>
    <x v="11"/>
    <x v="22"/>
    <n v="0.53028499999798362"/>
  </r>
  <r>
    <x v="0"/>
    <x v="0"/>
    <x v="0"/>
    <x v="0"/>
    <x v="0"/>
    <x v="0"/>
    <x v="0"/>
    <x v="0"/>
    <x v="2"/>
    <x v="2"/>
    <x v="5"/>
    <x v="5"/>
    <x v="2"/>
    <x v="2"/>
    <x v="2"/>
    <x v="40"/>
    <x v="40"/>
    <n v="39.98527"/>
    <x v="1"/>
    <x v="2"/>
    <x v="5"/>
    <x v="7"/>
    <x v="11"/>
    <x v="22"/>
    <n v="43.583944300000006"/>
  </r>
  <r>
    <x v="0"/>
    <x v="0"/>
    <x v="0"/>
    <x v="0"/>
    <x v="0"/>
    <x v="0"/>
    <x v="0"/>
    <x v="0"/>
    <x v="2"/>
    <x v="2"/>
    <x v="5"/>
    <x v="5"/>
    <x v="2"/>
    <x v="2"/>
    <x v="2"/>
    <x v="38"/>
    <x v="38"/>
    <n v="108.92869"/>
    <x v="1"/>
    <x v="0"/>
    <x v="4"/>
    <x v="6"/>
    <x v="10"/>
    <x v="21"/>
    <n v="118.73227210000002"/>
  </r>
  <r>
    <x v="0"/>
    <x v="0"/>
    <x v="0"/>
    <x v="0"/>
    <x v="0"/>
    <x v="0"/>
    <x v="0"/>
    <x v="0"/>
    <x v="0"/>
    <x v="0"/>
    <x v="5"/>
    <x v="5"/>
    <x v="2"/>
    <x v="2"/>
    <x v="2"/>
    <x v="17"/>
    <x v="17"/>
    <n v="2.0106600000000001"/>
    <x v="0"/>
    <x v="0"/>
    <x v="0"/>
    <x v="0"/>
    <x v="4"/>
    <x v="17"/>
    <n v="2.1916194000000004"/>
  </r>
  <r>
    <x v="0"/>
    <x v="0"/>
    <x v="0"/>
    <x v="0"/>
    <x v="0"/>
    <x v="0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0"/>
    <x v="0"/>
    <x v="0"/>
    <x v="0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0"/>
    <x v="0"/>
    <x v="0"/>
    <x v="0"/>
    <x v="0"/>
    <x v="0"/>
    <x v="0"/>
    <x v="0"/>
    <x v="2"/>
    <x v="2"/>
    <x v="5"/>
    <x v="5"/>
    <x v="3"/>
    <x v="7"/>
    <x v="7"/>
    <x v="40"/>
    <x v="40"/>
    <n v="148.58244999999999"/>
    <x v="1"/>
    <x v="2"/>
    <x v="5"/>
    <x v="7"/>
    <x v="11"/>
    <x v="22"/>
    <n v="161.9548705"/>
  </r>
  <r>
    <x v="0"/>
    <x v="0"/>
    <x v="0"/>
    <x v="0"/>
    <x v="0"/>
    <x v="0"/>
    <x v="0"/>
    <x v="0"/>
    <x v="2"/>
    <x v="2"/>
    <x v="5"/>
    <x v="5"/>
    <x v="1"/>
    <x v="8"/>
    <x v="8"/>
    <x v="40"/>
    <x v="40"/>
    <n v="47.119549999999997"/>
    <x v="1"/>
    <x v="2"/>
    <x v="5"/>
    <x v="7"/>
    <x v="11"/>
    <x v="22"/>
    <n v="51.3603095"/>
  </r>
  <r>
    <x v="0"/>
    <x v="0"/>
    <x v="0"/>
    <x v="0"/>
    <x v="0"/>
    <x v="0"/>
    <x v="0"/>
    <x v="0"/>
    <x v="2"/>
    <x v="2"/>
    <x v="5"/>
    <x v="5"/>
    <x v="2"/>
    <x v="10"/>
    <x v="10"/>
    <x v="40"/>
    <x v="40"/>
    <n v="22.14771"/>
    <x v="1"/>
    <x v="2"/>
    <x v="5"/>
    <x v="7"/>
    <x v="11"/>
    <x v="22"/>
    <n v="24.141003900000001"/>
  </r>
  <r>
    <x v="0"/>
    <x v="0"/>
    <x v="0"/>
    <x v="0"/>
    <x v="0"/>
    <x v="0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0"/>
    <x v="0"/>
    <x v="0"/>
    <x v="0"/>
    <x v="0"/>
    <x v="0"/>
    <x v="0"/>
    <x v="0"/>
    <x v="2"/>
    <x v="2"/>
    <x v="5"/>
    <x v="5"/>
    <x v="4"/>
    <x v="5"/>
    <x v="5"/>
    <x v="40"/>
    <x v="40"/>
    <n v="725.23039000000006"/>
    <x v="1"/>
    <x v="2"/>
    <x v="5"/>
    <x v="7"/>
    <x v="11"/>
    <x v="22"/>
    <n v="790.50112510000008"/>
  </r>
  <r>
    <x v="0"/>
    <x v="0"/>
    <x v="0"/>
    <x v="0"/>
    <x v="0"/>
    <x v="0"/>
    <x v="0"/>
    <x v="0"/>
    <x v="2"/>
    <x v="2"/>
    <x v="6"/>
    <x v="6"/>
    <x v="2"/>
    <x v="2"/>
    <x v="2"/>
    <x v="40"/>
    <x v="40"/>
    <n v="0.86621000000000004"/>
    <x v="1"/>
    <x v="2"/>
    <x v="5"/>
    <x v="7"/>
    <x v="11"/>
    <x v="22"/>
    <n v="0.94416890000000009"/>
  </r>
  <r>
    <x v="0"/>
    <x v="0"/>
    <x v="0"/>
    <x v="0"/>
    <x v="0"/>
    <x v="0"/>
    <x v="0"/>
    <x v="0"/>
    <x v="2"/>
    <x v="2"/>
    <x v="7"/>
    <x v="7"/>
    <x v="2"/>
    <x v="2"/>
    <x v="2"/>
    <x v="40"/>
    <x v="40"/>
    <n v="27.932269999999999"/>
    <x v="1"/>
    <x v="2"/>
    <x v="5"/>
    <x v="7"/>
    <x v="11"/>
    <x v="22"/>
    <n v="30.446174300000003"/>
  </r>
  <r>
    <x v="0"/>
    <x v="0"/>
    <x v="0"/>
    <x v="0"/>
    <x v="0"/>
    <x v="0"/>
    <x v="0"/>
    <x v="0"/>
    <x v="2"/>
    <x v="2"/>
    <x v="7"/>
    <x v="7"/>
    <x v="2"/>
    <x v="2"/>
    <x v="2"/>
    <x v="38"/>
    <x v="38"/>
    <n v="277.65386999999998"/>
    <x v="1"/>
    <x v="0"/>
    <x v="4"/>
    <x v="6"/>
    <x v="10"/>
    <x v="21"/>
    <n v="302.64271830000001"/>
  </r>
  <r>
    <x v="0"/>
    <x v="0"/>
    <x v="0"/>
    <x v="0"/>
    <x v="0"/>
    <x v="0"/>
    <x v="0"/>
    <x v="0"/>
    <x v="2"/>
    <x v="2"/>
    <x v="7"/>
    <x v="7"/>
    <x v="2"/>
    <x v="2"/>
    <x v="2"/>
    <x v="43"/>
    <x v="43"/>
    <n v="11.345050000000001"/>
    <x v="1"/>
    <x v="0"/>
    <x v="4"/>
    <x v="6"/>
    <x v="10"/>
    <x v="21"/>
    <n v="12.366104500000002"/>
  </r>
  <r>
    <x v="0"/>
    <x v="0"/>
    <x v="0"/>
    <x v="0"/>
    <x v="0"/>
    <x v="0"/>
    <x v="0"/>
    <x v="0"/>
    <x v="2"/>
    <x v="2"/>
    <x v="7"/>
    <x v="7"/>
    <x v="2"/>
    <x v="2"/>
    <x v="2"/>
    <x v="44"/>
    <x v="44"/>
    <n v="8.2084899999999994"/>
    <x v="1"/>
    <x v="0"/>
    <x v="4"/>
    <x v="6"/>
    <x v="10"/>
    <x v="21"/>
    <n v="8.9472541000000003"/>
  </r>
  <r>
    <x v="0"/>
    <x v="0"/>
    <x v="0"/>
    <x v="0"/>
    <x v="0"/>
    <x v="0"/>
    <x v="0"/>
    <x v="0"/>
    <x v="0"/>
    <x v="0"/>
    <x v="7"/>
    <x v="7"/>
    <x v="2"/>
    <x v="2"/>
    <x v="2"/>
    <x v="17"/>
    <x v="17"/>
    <n v="13.08198"/>
    <x v="0"/>
    <x v="0"/>
    <x v="0"/>
    <x v="0"/>
    <x v="4"/>
    <x v="17"/>
    <n v="14.259358200000001"/>
  </r>
  <r>
    <x v="0"/>
    <x v="0"/>
    <x v="0"/>
    <x v="0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0"/>
    <x v="0"/>
    <x v="0"/>
    <x v="0"/>
    <x v="0"/>
    <x v="0"/>
    <x v="0"/>
    <x v="0"/>
    <x v="2"/>
    <x v="2"/>
    <x v="7"/>
    <x v="7"/>
    <x v="2"/>
    <x v="2"/>
    <x v="2"/>
    <x v="46"/>
    <x v="46"/>
    <n v="1.0828800000000001"/>
    <x v="1"/>
    <x v="0"/>
    <x v="4"/>
    <x v="6"/>
    <x v="10"/>
    <x v="21"/>
    <n v="1.1803392000000001"/>
  </r>
  <r>
    <x v="0"/>
    <x v="0"/>
    <x v="0"/>
    <x v="0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0"/>
    <x v="0"/>
    <x v="0"/>
    <x v="0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0"/>
    <x v="0"/>
    <x v="0"/>
    <x v="0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0"/>
    <x v="0"/>
    <x v="0"/>
    <x v="0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0"/>
    <x v="0"/>
    <x v="0"/>
    <x v="0"/>
    <x v="0"/>
    <x v="0"/>
    <x v="0"/>
    <x v="0"/>
    <x v="2"/>
    <x v="2"/>
    <x v="7"/>
    <x v="7"/>
    <x v="3"/>
    <x v="7"/>
    <x v="7"/>
    <x v="40"/>
    <x v="40"/>
    <n v="365.71116999999998"/>
    <x v="1"/>
    <x v="2"/>
    <x v="5"/>
    <x v="7"/>
    <x v="11"/>
    <x v="22"/>
    <n v="398.62517530000002"/>
  </r>
  <r>
    <x v="0"/>
    <x v="0"/>
    <x v="0"/>
    <x v="0"/>
    <x v="0"/>
    <x v="0"/>
    <x v="0"/>
    <x v="0"/>
    <x v="2"/>
    <x v="2"/>
    <x v="7"/>
    <x v="7"/>
    <x v="1"/>
    <x v="8"/>
    <x v="8"/>
    <x v="40"/>
    <x v="40"/>
    <n v="32.839880000000001"/>
    <x v="1"/>
    <x v="2"/>
    <x v="5"/>
    <x v="7"/>
    <x v="11"/>
    <x v="22"/>
    <n v="35.795469200000007"/>
  </r>
  <r>
    <x v="0"/>
    <x v="0"/>
    <x v="0"/>
    <x v="0"/>
    <x v="0"/>
    <x v="0"/>
    <x v="0"/>
    <x v="0"/>
    <x v="2"/>
    <x v="2"/>
    <x v="7"/>
    <x v="7"/>
    <x v="2"/>
    <x v="10"/>
    <x v="10"/>
    <x v="40"/>
    <x v="40"/>
    <n v="3.7259199999999999"/>
    <x v="1"/>
    <x v="2"/>
    <x v="5"/>
    <x v="7"/>
    <x v="11"/>
    <x v="22"/>
    <n v="4.0612528000000001"/>
  </r>
  <r>
    <x v="0"/>
    <x v="0"/>
    <x v="0"/>
    <x v="0"/>
    <x v="0"/>
    <x v="0"/>
    <x v="0"/>
    <x v="0"/>
    <x v="2"/>
    <x v="2"/>
    <x v="7"/>
    <x v="7"/>
    <x v="4"/>
    <x v="5"/>
    <x v="5"/>
    <x v="40"/>
    <x v="40"/>
    <n v="156.91806"/>
    <x v="1"/>
    <x v="2"/>
    <x v="5"/>
    <x v="7"/>
    <x v="11"/>
    <x v="22"/>
    <n v="171.0406854"/>
  </r>
  <r>
    <x v="0"/>
    <x v="0"/>
    <x v="0"/>
    <x v="0"/>
    <x v="0"/>
    <x v="0"/>
    <x v="0"/>
    <x v="0"/>
    <x v="2"/>
    <x v="2"/>
    <x v="8"/>
    <x v="8"/>
    <x v="2"/>
    <x v="2"/>
    <x v="2"/>
    <x v="40"/>
    <x v="40"/>
    <n v="10.93878"/>
    <x v="1"/>
    <x v="2"/>
    <x v="5"/>
    <x v="7"/>
    <x v="11"/>
    <x v="22"/>
    <n v="11.923270200000001"/>
  </r>
  <r>
    <x v="0"/>
    <x v="0"/>
    <x v="0"/>
    <x v="0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0"/>
    <x v="0"/>
    <x v="0"/>
    <x v="0"/>
    <x v="0"/>
    <x v="0"/>
    <x v="0"/>
    <x v="0"/>
    <x v="2"/>
    <x v="2"/>
    <x v="9"/>
    <x v="9"/>
    <x v="2"/>
    <x v="2"/>
    <x v="2"/>
    <x v="40"/>
    <x v="40"/>
    <n v="277.99799000000002"/>
    <x v="1"/>
    <x v="2"/>
    <x v="5"/>
    <x v="7"/>
    <x v="11"/>
    <x v="22"/>
    <n v="303.01780910000002"/>
  </r>
  <r>
    <x v="0"/>
    <x v="0"/>
    <x v="0"/>
    <x v="0"/>
    <x v="0"/>
    <x v="0"/>
    <x v="0"/>
    <x v="0"/>
    <x v="2"/>
    <x v="2"/>
    <x v="9"/>
    <x v="9"/>
    <x v="2"/>
    <x v="2"/>
    <x v="2"/>
    <x v="38"/>
    <x v="38"/>
    <n v="740.66606999999999"/>
    <x v="1"/>
    <x v="0"/>
    <x v="4"/>
    <x v="6"/>
    <x v="10"/>
    <x v="21"/>
    <n v="807.32601630000011"/>
  </r>
  <r>
    <x v="0"/>
    <x v="0"/>
    <x v="0"/>
    <x v="0"/>
    <x v="0"/>
    <x v="0"/>
    <x v="0"/>
    <x v="0"/>
    <x v="2"/>
    <x v="2"/>
    <x v="9"/>
    <x v="9"/>
    <x v="2"/>
    <x v="2"/>
    <x v="2"/>
    <x v="48"/>
    <x v="48"/>
    <n v="1.31976"/>
    <x v="1"/>
    <x v="0"/>
    <x v="4"/>
    <x v="6"/>
    <x v="10"/>
    <x v="21"/>
    <n v="1.4385384000000001"/>
  </r>
  <r>
    <x v="0"/>
    <x v="0"/>
    <x v="0"/>
    <x v="0"/>
    <x v="0"/>
    <x v="0"/>
    <x v="0"/>
    <x v="0"/>
    <x v="2"/>
    <x v="2"/>
    <x v="9"/>
    <x v="9"/>
    <x v="1"/>
    <x v="6"/>
    <x v="6"/>
    <x v="40"/>
    <x v="40"/>
    <n v="103.655"/>
    <x v="1"/>
    <x v="2"/>
    <x v="5"/>
    <x v="7"/>
    <x v="11"/>
    <x v="22"/>
    <n v="112.98395000000001"/>
  </r>
  <r>
    <x v="0"/>
    <x v="0"/>
    <x v="0"/>
    <x v="0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0"/>
    <x v="0"/>
    <x v="0"/>
    <x v="0"/>
    <x v="0"/>
    <x v="0"/>
    <x v="0"/>
    <x v="0"/>
    <x v="2"/>
    <x v="2"/>
    <x v="9"/>
    <x v="9"/>
    <x v="3"/>
    <x v="7"/>
    <x v="7"/>
    <x v="40"/>
    <x v="40"/>
    <n v="1482.46099"/>
    <x v="1"/>
    <x v="2"/>
    <x v="5"/>
    <x v="7"/>
    <x v="11"/>
    <x v="22"/>
    <n v="1615.8824791000002"/>
  </r>
  <r>
    <x v="0"/>
    <x v="0"/>
    <x v="0"/>
    <x v="0"/>
    <x v="0"/>
    <x v="0"/>
    <x v="0"/>
    <x v="0"/>
    <x v="2"/>
    <x v="2"/>
    <x v="9"/>
    <x v="9"/>
    <x v="1"/>
    <x v="8"/>
    <x v="8"/>
    <x v="40"/>
    <x v="40"/>
    <n v="856.02616"/>
    <x v="1"/>
    <x v="2"/>
    <x v="5"/>
    <x v="7"/>
    <x v="11"/>
    <x v="22"/>
    <n v="933.06851440000003"/>
  </r>
  <r>
    <x v="0"/>
    <x v="0"/>
    <x v="0"/>
    <x v="0"/>
    <x v="0"/>
    <x v="0"/>
    <x v="0"/>
    <x v="0"/>
    <x v="2"/>
    <x v="2"/>
    <x v="9"/>
    <x v="9"/>
    <x v="2"/>
    <x v="10"/>
    <x v="10"/>
    <x v="40"/>
    <x v="40"/>
    <n v="363.33395000000002"/>
    <x v="1"/>
    <x v="2"/>
    <x v="5"/>
    <x v="7"/>
    <x v="11"/>
    <x v="22"/>
    <n v="396.03400550000003"/>
  </r>
  <r>
    <x v="0"/>
    <x v="0"/>
    <x v="0"/>
    <x v="0"/>
    <x v="0"/>
    <x v="0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0"/>
    <x v="0"/>
    <x v="0"/>
    <x v="0"/>
    <x v="0"/>
    <x v="0"/>
    <x v="0"/>
    <x v="0"/>
    <x v="2"/>
    <x v="2"/>
    <x v="9"/>
    <x v="9"/>
    <x v="4"/>
    <x v="5"/>
    <x v="5"/>
    <x v="40"/>
    <x v="40"/>
    <n v="3045.4037699999999"/>
    <x v="1"/>
    <x v="2"/>
    <x v="5"/>
    <x v="7"/>
    <x v="11"/>
    <x v="22"/>
    <n v="3319.4901093000003"/>
  </r>
  <r>
    <x v="0"/>
    <x v="0"/>
    <x v="0"/>
    <x v="0"/>
    <x v="0"/>
    <x v="0"/>
    <x v="0"/>
    <x v="0"/>
    <x v="2"/>
    <x v="2"/>
    <x v="10"/>
    <x v="10"/>
    <x v="2"/>
    <x v="2"/>
    <x v="2"/>
    <x v="41"/>
    <x v="41"/>
    <n v="8.0788085106075993"/>
    <x v="1"/>
    <x v="2"/>
    <x v="5"/>
    <x v="7"/>
    <x v="11"/>
    <x v="22"/>
    <n v="8.8059012765622846"/>
  </r>
  <r>
    <x v="0"/>
    <x v="0"/>
    <x v="0"/>
    <x v="0"/>
    <x v="0"/>
    <x v="0"/>
    <x v="0"/>
    <x v="0"/>
    <x v="2"/>
    <x v="2"/>
    <x v="10"/>
    <x v="10"/>
    <x v="2"/>
    <x v="2"/>
    <x v="2"/>
    <x v="40"/>
    <x v="40"/>
    <n v="266.49029000000002"/>
    <x v="1"/>
    <x v="2"/>
    <x v="5"/>
    <x v="7"/>
    <x v="11"/>
    <x v="22"/>
    <n v="290.47441610000004"/>
  </r>
  <r>
    <x v="0"/>
    <x v="0"/>
    <x v="0"/>
    <x v="0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0"/>
    <x v="0"/>
    <x v="0"/>
    <x v="0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0"/>
    <x v="0"/>
    <x v="0"/>
    <x v="0"/>
    <x v="0"/>
    <x v="0"/>
    <x v="0"/>
    <x v="0"/>
    <x v="3"/>
    <x v="3"/>
    <x v="12"/>
    <x v="12"/>
    <x v="2"/>
    <x v="2"/>
    <x v="2"/>
    <x v="40"/>
    <x v="40"/>
    <n v="1.79775"/>
    <x v="1"/>
    <x v="2"/>
    <x v="5"/>
    <x v="7"/>
    <x v="11"/>
    <x v="22"/>
    <n v="1.9595475"/>
  </r>
  <r>
    <x v="0"/>
    <x v="0"/>
    <x v="0"/>
    <x v="0"/>
    <x v="0"/>
    <x v="0"/>
    <x v="0"/>
    <x v="0"/>
    <x v="3"/>
    <x v="3"/>
    <x v="12"/>
    <x v="12"/>
    <x v="3"/>
    <x v="7"/>
    <x v="7"/>
    <x v="40"/>
    <x v="40"/>
    <n v="136.07332"/>
    <x v="1"/>
    <x v="2"/>
    <x v="5"/>
    <x v="7"/>
    <x v="11"/>
    <x v="22"/>
    <n v="148.31991880000001"/>
  </r>
  <r>
    <x v="0"/>
    <x v="0"/>
    <x v="0"/>
    <x v="0"/>
    <x v="0"/>
    <x v="0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0"/>
    <x v="0"/>
    <x v="0"/>
    <x v="0"/>
    <x v="0"/>
    <x v="0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0"/>
    <x v="0"/>
    <x v="0"/>
    <x v="0"/>
    <x v="0"/>
    <x v="0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0"/>
    <x v="0"/>
    <x v="0"/>
    <x v="0"/>
    <x v="0"/>
    <x v="0"/>
    <x v="0"/>
    <x v="0"/>
    <x v="3"/>
    <x v="3"/>
    <x v="12"/>
    <x v="12"/>
    <x v="4"/>
    <x v="5"/>
    <x v="5"/>
    <x v="40"/>
    <x v="40"/>
    <n v="175.69254000000001"/>
    <x v="1"/>
    <x v="2"/>
    <x v="5"/>
    <x v="7"/>
    <x v="11"/>
    <x v="22"/>
    <n v="191.50486860000001"/>
  </r>
  <r>
    <x v="0"/>
    <x v="0"/>
    <x v="0"/>
    <x v="0"/>
    <x v="0"/>
    <x v="0"/>
    <x v="0"/>
    <x v="0"/>
    <x v="3"/>
    <x v="3"/>
    <x v="13"/>
    <x v="13"/>
    <x v="2"/>
    <x v="2"/>
    <x v="2"/>
    <x v="41"/>
    <x v="41"/>
    <n v="0.58349999999778002"/>
    <x v="1"/>
    <x v="2"/>
    <x v="5"/>
    <x v="7"/>
    <x v="11"/>
    <x v="22"/>
    <n v="0.63601499999758027"/>
  </r>
  <r>
    <x v="0"/>
    <x v="0"/>
    <x v="0"/>
    <x v="0"/>
    <x v="0"/>
    <x v="0"/>
    <x v="0"/>
    <x v="0"/>
    <x v="3"/>
    <x v="3"/>
    <x v="13"/>
    <x v="13"/>
    <x v="2"/>
    <x v="2"/>
    <x v="2"/>
    <x v="40"/>
    <x v="40"/>
    <n v="73.137839999999997"/>
    <x v="1"/>
    <x v="2"/>
    <x v="5"/>
    <x v="7"/>
    <x v="11"/>
    <x v="22"/>
    <n v="79.720245599999998"/>
  </r>
  <r>
    <x v="0"/>
    <x v="0"/>
    <x v="0"/>
    <x v="0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0"/>
    <x v="0"/>
    <x v="0"/>
    <x v="0"/>
    <x v="0"/>
    <x v="0"/>
    <x v="0"/>
    <x v="0"/>
    <x v="3"/>
    <x v="3"/>
    <x v="13"/>
    <x v="13"/>
    <x v="1"/>
    <x v="8"/>
    <x v="8"/>
    <x v="40"/>
    <x v="40"/>
    <n v="3.35379"/>
    <x v="1"/>
    <x v="2"/>
    <x v="5"/>
    <x v="7"/>
    <x v="11"/>
    <x v="22"/>
    <n v="3.6556311000000004"/>
  </r>
  <r>
    <x v="0"/>
    <x v="0"/>
    <x v="0"/>
    <x v="0"/>
    <x v="0"/>
    <x v="0"/>
    <x v="0"/>
    <x v="0"/>
    <x v="3"/>
    <x v="3"/>
    <x v="13"/>
    <x v="13"/>
    <x v="4"/>
    <x v="5"/>
    <x v="5"/>
    <x v="40"/>
    <x v="40"/>
    <n v="1.5679399999999999"/>
    <x v="1"/>
    <x v="2"/>
    <x v="5"/>
    <x v="7"/>
    <x v="11"/>
    <x v="22"/>
    <n v="1.7090546"/>
  </r>
  <r>
    <x v="0"/>
    <x v="0"/>
    <x v="0"/>
    <x v="0"/>
    <x v="0"/>
    <x v="0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0"/>
    <x v="0"/>
    <x v="0"/>
    <x v="0"/>
    <x v="0"/>
    <x v="0"/>
    <x v="0"/>
    <x v="0"/>
    <x v="3"/>
    <x v="3"/>
    <x v="19"/>
    <x v="19"/>
    <x v="3"/>
    <x v="7"/>
    <x v="7"/>
    <x v="40"/>
    <x v="40"/>
    <n v="1008.6538"/>
    <x v="1"/>
    <x v="2"/>
    <x v="5"/>
    <x v="7"/>
    <x v="11"/>
    <x v="22"/>
    <n v="1099.4326420000002"/>
  </r>
  <r>
    <x v="0"/>
    <x v="0"/>
    <x v="0"/>
    <x v="0"/>
    <x v="0"/>
    <x v="0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0"/>
    <x v="0"/>
    <x v="0"/>
    <x v="0"/>
    <x v="0"/>
    <x v="0"/>
    <x v="0"/>
    <x v="0"/>
    <x v="3"/>
    <x v="3"/>
    <x v="19"/>
    <x v="19"/>
    <x v="1"/>
    <x v="8"/>
    <x v="8"/>
    <x v="40"/>
    <x v="40"/>
    <n v="606.04849000000002"/>
    <x v="1"/>
    <x v="2"/>
    <x v="5"/>
    <x v="7"/>
    <x v="11"/>
    <x v="22"/>
    <n v="660.59285410000007"/>
  </r>
  <r>
    <x v="0"/>
    <x v="0"/>
    <x v="0"/>
    <x v="0"/>
    <x v="0"/>
    <x v="0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0"/>
    <x v="0"/>
    <x v="0"/>
    <x v="0"/>
    <x v="0"/>
    <x v="0"/>
    <x v="0"/>
    <x v="0"/>
    <x v="3"/>
    <x v="3"/>
    <x v="19"/>
    <x v="19"/>
    <x v="2"/>
    <x v="10"/>
    <x v="10"/>
    <x v="40"/>
    <x v="40"/>
    <n v="110.80092"/>
    <x v="1"/>
    <x v="2"/>
    <x v="5"/>
    <x v="7"/>
    <x v="11"/>
    <x v="22"/>
    <n v="120.77300280000001"/>
  </r>
  <r>
    <x v="0"/>
    <x v="0"/>
    <x v="0"/>
    <x v="0"/>
    <x v="0"/>
    <x v="0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0"/>
    <x v="0"/>
    <x v="0"/>
    <x v="0"/>
    <x v="0"/>
    <x v="0"/>
    <x v="0"/>
    <x v="0"/>
    <x v="3"/>
    <x v="3"/>
    <x v="19"/>
    <x v="19"/>
    <x v="4"/>
    <x v="5"/>
    <x v="5"/>
    <x v="40"/>
    <x v="40"/>
    <n v="635.35684000000003"/>
    <x v="1"/>
    <x v="2"/>
    <x v="5"/>
    <x v="7"/>
    <x v="11"/>
    <x v="22"/>
    <n v="692.53895560000012"/>
  </r>
  <r>
    <x v="0"/>
    <x v="0"/>
    <x v="0"/>
    <x v="0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0"/>
    <x v="0"/>
    <x v="0"/>
    <x v="0"/>
    <x v="0"/>
    <x v="0"/>
    <x v="0"/>
    <x v="0"/>
    <x v="2"/>
    <x v="2"/>
    <x v="14"/>
    <x v="14"/>
    <x v="2"/>
    <x v="2"/>
    <x v="2"/>
    <x v="40"/>
    <x v="40"/>
    <n v="5.8735900000000001"/>
    <x v="1"/>
    <x v="2"/>
    <x v="5"/>
    <x v="7"/>
    <x v="11"/>
    <x v="22"/>
    <n v="6.4022131000000009"/>
  </r>
  <r>
    <x v="0"/>
    <x v="0"/>
    <x v="0"/>
    <x v="0"/>
    <x v="0"/>
    <x v="0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0"/>
    <x v="0"/>
    <x v="0"/>
    <x v="0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0"/>
    <x v="0"/>
    <x v="0"/>
    <x v="0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0"/>
    <x v="0"/>
    <x v="0"/>
    <x v="0"/>
    <x v="0"/>
    <x v="0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0"/>
    <x v="0"/>
    <x v="0"/>
    <x v="0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0"/>
    <x v="0"/>
    <x v="0"/>
    <x v="0"/>
    <x v="0"/>
    <x v="0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0"/>
    <x v="0"/>
    <x v="0"/>
    <x v="0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0"/>
    <x v="0"/>
    <x v="0"/>
    <x v="0"/>
    <x v="0"/>
    <x v="0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0"/>
    <x v="0"/>
    <x v="0"/>
    <x v="0"/>
    <x v="0"/>
    <x v="0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0"/>
    <x v="0"/>
    <x v="0"/>
    <x v="0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0"/>
    <x v="0"/>
    <x v="0"/>
    <x v="0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0"/>
    <x v="0"/>
    <x v="0"/>
    <x v="0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0"/>
    <x v="0"/>
    <x v="0"/>
    <x v="0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0"/>
    <x v="0"/>
    <x v="0"/>
    <x v="0"/>
    <x v="0"/>
    <x v="0"/>
    <x v="0"/>
    <x v="0"/>
    <x v="2"/>
    <x v="2"/>
    <x v="17"/>
    <x v="17"/>
    <x v="2"/>
    <x v="2"/>
    <x v="2"/>
    <x v="42"/>
    <x v="42"/>
    <n v="8.5309699999999999"/>
    <x v="1"/>
    <x v="2"/>
    <x v="5"/>
    <x v="7"/>
    <x v="11"/>
    <x v="22"/>
    <n v="9.2987573000000001"/>
  </r>
  <r>
    <x v="0"/>
    <x v="0"/>
    <x v="0"/>
    <x v="0"/>
    <x v="0"/>
    <x v="0"/>
    <x v="0"/>
    <x v="0"/>
    <x v="2"/>
    <x v="2"/>
    <x v="17"/>
    <x v="17"/>
    <x v="2"/>
    <x v="2"/>
    <x v="2"/>
    <x v="40"/>
    <x v="40"/>
    <n v="19.96555"/>
    <x v="1"/>
    <x v="2"/>
    <x v="5"/>
    <x v="7"/>
    <x v="11"/>
    <x v="22"/>
    <n v="21.762449500000002"/>
  </r>
  <r>
    <x v="0"/>
    <x v="0"/>
    <x v="0"/>
    <x v="0"/>
    <x v="0"/>
    <x v="0"/>
    <x v="0"/>
    <x v="0"/>
    <x v="2"/>
    <x v="2"/>
    <x v="17"/>
    <x v="17"/>
    <x v="2"/>
    <x v="2"/>
    <x v="2"/>
    <x v="38"/>
    <x v="38"/>
    <n v="34.23554"/>
    <x v="1"/>
    <x v="0"/>
    <x v="4"/>
    <x v="6"/>
    <x v="10"/>
    <x v="21"/>
    <n v="37.316738600000001"/>
  </r>
  <r>
    <x v="0"/>
    <x v="0"/>
    <x v="0"/>
    <x v="0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0"/>
    <x v="0"/>
    <x v="0"/>
    <x v="0"/>
    <x v="0"/>
    <x v="0"/>
    <x v="0"/>
    <x v="0"/>
    <x v="2"/>
    <x v="2"/>
    <x v="17"/>
    <x v="17"/>
    <x v="3"/>
    <x v="7"/>
    <x v="7"/>
    <x v="40"/>
    <x v="40"/>
    <n v="388.44470000000001"/>
    <x v="1"/>
    <x v="2"/>
    <x v="5"/>
    <x v="7"/>
    <x v="11"/>
    <x v="22"/>
    <n v="423.40472300000005"/>
  </r>
  <r>
    <x v="0"/>
    <x v="0"/>
    <x v="0"/>
    <x v="0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0"/>
    <x v="0"/>
    <x v="0"/>
    <x v="0"/>
    <x v="0"/>
    <x v="0"/>
    <x v="0"/>
    <x v="0"/>
    <x v="2"/>
    <x v="2"/>
    <x v="17"/>
    <x v="17"/>
    <x v="1"/>
    <x v="8"/>
    <x v="8"/>
    <x v="40"/>
    <x v="40"/>
    <n v="120.14691999999999"/>
    <x v="1"/>
    <x v="2"/>
    <x v="5"/>
    <x v="7"/>
    <x v="11"/>
    <x v="22"/>
    <n v="130.9601428"/>
  </r>
  <r>
    <x v="0"/>
    <x v="0"/>
    <x v="0"/>
    <x v="0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0"/>
    <x v="0"/>
    <x v="0"/>
    <x v="0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0"/>
    <x v="0"/>
    <x v="0"/>
    <x v="0"/>
    <x v="0"/>
    <x v="0"/>
    <x v="0"/>
    <x v="0"/>
    <x v="2"/>
    <x v="2"/>
    <x v="17"/>
    <x v="17"/>
    <x v="2"/>
    <x v="10"/>
    <x v="10"/>
    <x v="40"/>
    <x v="40"/>
    <n v="57.426519999999996"/>
    <x v="1"/>
    <x v="2"/>
    <x v="5"/>
    <x v="7"/>
    <x v="11"/>
    <x v="22"/>
    <n v="62.594906800000004"/>
  </r>
  <r>
    <x v="0"/>
    <x v="0"/>
    <x v="0"/>
    <x v="0"/>
    <x v="0"/>
    <x v="0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0"/>
    <x v="0"/>
    <x v="0"/>
    <x v="0"/>
    <x v="0"/>
    <x v="0"/>
    <x v="0"/>
    <x v="0"/>
    <x v="2"/>
    <x v="2"/>
    <x v="17"/>
    <x v="17"/>
    <x v="4"/>
    <x v="5"/>
    <x v="5"/>
    <x v="40"/>
    <x v="40"/>
    <n v="1512.85679"/>
    <x v="1"/>
    <x v="2"/>
    <x v="5"/>
    <x v="7"/>
    <x v="11"/>
    <x v="22"/>
    <n v="1649.0139011000001"/>
  </r>
  <r>
    <x v="0"/>
    <x v="0"/>
    <x v="0"/>
    <x v="0"/>
    <x v="0"/>
    <x v="1"/>
    <x v="1"/>
    <x v="1"/>
    <x v="1"/>
    <x v="1"/>
    <x v="21"/>
    <x v="21"/>
    <x v="3"/>
    <x v="3"/>
    <x v="3"/>
    <x v="2"/>
    <x v="2"/>
    <n v="7.2709999999956398"/>
    <x v="0"/>
    <x v="1"/>
    <x v="2"/>
    <x v="2"/>
    <x v="2"/>
    <x v="2"/>
    <n v="7.9253899999952484"/>
  </r>
  <r>
    <x v="0"/>
    <x v="0"/>
    <x v="0"/>
    <x v="0"/>
    <x v="0"/>
    <x v="1"/>
    <x v="1"/>
    <x v="1"/>
    <x v="1"/>
    <x v="1"/>
    <x v="1"/>
    <x v="1"/>
    <x v="3"/>
    <x v="3"/>
    <x v="3"/>
    <x v="2"/>
    <x v="2"/>
    <n v="1563.3869174302499"/>
    <x v="0"/>
    <x v="1"/>
    <x v="2"/>
    <x v="2"/>
    <x v="2"/>
    <x v="2"/>
    <n v="1704.0917399989726"/>
  </r>
  <r>
    <x v="0"/>
    <x v="0"/>
    <x v="0"/>
    <x v="0"/>
    <x v="0"/>
    <x v="1"/>
    <x v="1"/>
    <x v="1"/>
    <x v="1"/>
    <x v="1"/>
    <x v="1"/>
    <x v="1"/>
    <x v="0"/>
    <x v="4"/>
    <x v="4"/>
    <x v="2"/>
    <x v="2"/>
    <n v="106.91909174305501"/>
    <x v="0"/>
    <x v="1"/>
    <x v="2"/>
    <x v="2"/>
    <x v="2"/>
    <x v="2"/>
    <n v="116.54180999992997"/>
  </r>
  <r>
    <x v="0"/>
    <x v="0"/>
    <x v="0"/>
    <x v="0"/>
    <x v="0"/>
    <x v="1"/>
    <x v="0"/>
    <x v="0"/>
    <x v="0"/>
    <x v="0"/>
    <x v="0"/>
    <x v="0"/>
    <x v="0"/>
    <x v="4"/>
    <x v="4"/>
    <x v="3"/>
    <x v="3"/>
    <n v="6.4240985216664104"/>
    <x v="0"/>
    <x v="0"/>
    <x v="1"/>
    <x v="3"/>
    <x v="3"/>
    <x v="3"/>
    <n v="7.0022673886163878"/>
  </r>
  <r>
    <x v="0"/>
    <x v="0"/>
    <x v="0"/>
    <x v="0"/>
    <x v="0"/>
    <x v="1"/>
    <x v="0"/>
    <x v="0"/>
    <x v="0"/>
    <x v="0"/>
    <x v="0"/>
    <x v="0"/>
    <x v="0"/>
    <x v="0"/>
    <x v="0"/>
    <x v="5"/>
    <x v="5"/>
    <n v="31.9724478530037"/>
    <x v="0"/>
    <x v="0"/>
    <x v="1"/>
    <x v="1"/>
    <x v="1"/>
    <x v="5"/>
    <n v="34.849968159774036"/>
  </r>
  <r>
    <x v="0"/>
    <x v="0"/>
    <x v="0"/>
    <x v="0"/>
    <x v="0"/>
    <x v="1"/>
    <x v="0"/>
    <x v="0"/>
    <x v="0"/>
    <x v="0"/>
    <x v="0"/>
    <x v="0"/>
    <x v="0"/>
    <x v="0"/>
    <x v="0"/>
    <x v="6"/>
    <x v="6"/>
    <n v="38.088340000000002"/>
    <x v="0"/>
    <x v="0"/>
    <x v="0"/>
    <x v="0"/>
    <x v="4"/>
    <x v="6"/>
    <n v="41.516290600000005"/>
  </r>
  <r>
    <x v="0"/>
    <x v="0"/>
    <x v="0"/>
    <x v="0"/>
    <x v="0"/>
    <x v="1"/>
    <x v="0"/>
    <x v="0"/>
    <x v="0"/>
    <x v="0"/>
    <x v="0"/>
    <x v="0"/>
    <x v="0"/>
    <x v="0"/>
    <x v="0"/>
    <x v="7"/>
    <x v="7"/>
    <n v="9.6025321100859795"/>
    <x v="0"/>
    <x v="0"/>
    <x v="1"/>
    <x v="4"/>
    <x v="5"/>
    <x v="7"/>
    <n v="10.466759999993718"/>
  </r>
  <r>
    <x v="0"/>
    <x v="0"/>
    <x v="0"/>
    <x v="0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0"/>
    <x v="0"/>
    <x v="0"/>
    <x v="0"/>
    <x v="0"/>
    <x v="1"/>
    <x v="0"/>
    <x v="0"/>
    <x v="0"/>
    <x v="0"/>
    <x v="0"/>
    <x v="0"/>
    <x v="0"/>
    <x v="0"/>
    <x v="0"/>
    <x v="9"/>
    <x v="9"/>
    <n v="52.927647903075403"/>
    <x v="0"/>
    <x v="0"/>
    <x v="1"/>
    <x v="4"/>
    <x v="5"/>
    <x v="9"/>
    <n v="57.691136214352191"/>
  </r>
  <r>
    <x v="0"/>
    <x v="0"/>
    <x v="0"/>
    <x v="0"/>
    <x v="0"/>
    <x v="1"/>
    <x v="0"/>
    <x v="0"/>
    <x v="0"/>
    <x v="0"/>
    <x v="0"/>
    <x v="0"/>
    <x v="0"/>
    <x v="0"/>
    <x v="0"/>
    <x v="10"/>
    <x v="10"/>
    <n v="91.541488355806706"/>
    <x v="0"/>
    <x v="0"/>
    <x v="1"/>
    <x v="4"/>
    <x v="5"/>
    <x v="10"/>
    <n v="99.78022230782932"/>
  </r>
  <r>
    <x v="0"/>
    <x v="0"/>
    <x v="0"/>
    <x v="0"/>
    <x v="0"/>
    <x v="1"/>
    <x v="0"/>
    <x v="0"/>
    <x v="0"/>
    <x v="0"/>
    <x v="0"/>
    <x v="0"/>
    <x v="0"/>
    <x v="0"/>
    <x v="0"/>
    <x v="12"/>
    <x v="12"/>
    <n v="343.50761627776399"/>
    <x v="0"/>
    <x v="0"/>
    <x v="0"/>
    <x v="0"/>
    <x v="8"/>
    <x v="12"/>
    <n v="374.42330174276276"/>
  </r>
  <r>
    <x v="0"/>
    <x v="0"/>
    <x v="0"/>
    <x v="0"/>
    <x v="0"/>
    <x v="1"/>
    <x v="0"/>
    <x v="0"/>
    <x v="0"/>
    <x v="0"/>
    <x v="0"/>
    <x v="0"/>
    <x v="0"/>
    <x v="0"/>
    <x v="0"/>
    <x v="14"/>
    <x v="14"/>
    <n v="54.587389999999999"/>
    <x v="0"/>
    <x v="0"/>
    <x v="0"/>
    <x v="0"/>
    <x v="8"/>
    <x v="14"/>
    <n v="59.500255100000004"/>
  </r>
  <r>
    <x v="0"/>
    <x v="0"/>
    <x v="0"/>
    <x v="0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0"/>
    <x v="0"/>
    <x v="0"/>
    <x v="0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0"/>
    <x v="0"/>
    <x v="0"/>
    <x v="0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0"/>
    <x v="0"/>
    <x v="0"/>
    <x v="0"/>
    <x v="0"/>
    <x v="1"/>
    <x v="0"/>
    <x v="0"/>
    <x v="0"/>
    <x v="0"/>
    <x v="0"/>
    <x v="0"/>
    <x v="0"/>
    <x v="0"/>
    <x v="0"/>
    <x v="21"/>
    <x v="21"/>
    <n v="10.289284403663499"/>
    <x v="0"/>
    <x v="0"/>
    <x v="1"/>
    <x v="4"/>
    <x v="5"/>
    <x v="10"/>
    <n v="11.215319999993214"/>
  </r>
  <r>
    <x v="0"/>
    <x v="0"/>
    <x v="0"/>
    <x v="0"/>
    <x v="0"/>
    <x v="1"/>
    <x v="0"/>
    <x v="0"/>
    <x v="0"/>
    <x v="0"/>
    <x v="0"/>
    <x v="0"/>
    <x v="0"/>
    <x v="0"/>
    <x v="0"/>
    <x v="18"/>
    <x v="18"/>
    <n v="44.195050000000002"/>
    <x v="0"/>
    <x v="0"/>
    <x v="0"/>
    <x v="0"/>
    <x v="4"/>
    <x v="18"/>
    <n v="48.172604500000006"/>
  </r>
  <r>
    <x v="0"/>
    <x v="0"/>
    <x v="0"/>
    <x v="0"/>
    <x v="0"/>
    <x v="1"/>
    <x v="0"/>
    <x v="0"/>
    <x v="0"/>
    <x v="0"/>
    <x v="0"/>
    <x v="0"/>
    <x v="0"/>
    <x v="0"/>
    <x v="0"/>
    <x v="25"/>
    <x v="25"/>
    <n v="55.586568807306101"/>
    <x v="0"/>
    <x v="0"/>
    <x v="1"/>
    <x v="4"/>
    <x v="5"/>
    <x v="9"/>
    <n v="60.589359999963655"/>
  </r>
  <r>
    <x v="0"/>
    <x v="0"/>
    <x v="0"/>
    <x v="0"/>
    <x v="0"/>
    <x v="1"/>
    <x v="0"/>
    <x v="0"/>
    <x v="0"/>
    <x v="0"/>
    <x v="0"/>
    <x v="0"/>
    <x v="0"/>
    <x v="0"/>
    <x v="0"/>
    <x v="26"/>
    <x v="26"/>
    <n v="2.2199541284390398"/>
    <x v="0"/>
    <x v="0"/>
    <x v="1"/>
    <x v="3"/>
    <x v="3"/>
    <x v="15"/>
    <n v="2.4197499999985537"/>
  </r>
  <r>
    <x v="0"/>
    <x v="0"/>
    <x v="0"/>
    <x v="0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0"/>
    <x v="0"/>
    <x v="0"/>
    <x v="0"/>
    <x v="0"/>
    <x v="1"/>
    <x v="0"/>
    <x v="0"/>
    <x v="0"/>
    <x v="0"/>
    <x v="0"/>
    <x v="0"/>
    <x v="0"/>
    <x v="0"/>
    <x v="0"/>
    <x v="2"/>
    <x v="2"/>
    <n v="4066.3668899058198"/>
    <x v="0"/>
    <x v="1"/>
    <x v="2"/>
    <x v="2"/>
    <x v="2"/>
    <x v="2"/>
    <n v="4432.339909997344"/>
  </r>
  <r>
    <x v="0"/>
    <x v="0"/>
    <x v="0"/>
    <x v="0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0"/>
    <x v="0"/>
    <x v="0"/>
    <x v="0"/>
    <x v="0"/>
    <x v="1"/>
    <x v="0"/>
    <x v="0"/>
    <x v="0"/>
    <x v="0"/>
    <x v="0"/>
    <x v="0"/>
    <x v="1"/>
    <x v="1"/>
    <x v="1"/>
    <x v="5"/>
    <x v="5"/>
    <n v="71.571957055758702"/>
    <x v="0"/>
    <x v="0"/>
    <x v="1"/>
    <x v="1"/>
    <x v="1"/>
    <x v="5"/>
    <n v="78.013433190776993"/>
  </r>
  <r>
    <x v="0"/>
    <x v="0"/>
    <x v="0"/>
    <x v="0"/>
    <x v="0"/>
    <x v="1"/>
    <x v="0"/>
    <x v="0"/>
    <x v="0"/>
    <x v="0"/>
    <x v="0"/>
    <x v="0"/>
    <x v="1"/>
    <x v="1"/>
    <x v="1"/>
    <x v="6"/>
    <x v="6"/>
    <n v="167.22415000000001"/>
    <x v="0"/>
    <x v="0"/>
    <x v="0"/>
    <x v="0"/>
    <x v="4"/>
    <x v="6"/>
    <n v="182.27432350000004"/>
  </r>
  <r>
    <x v="0"/>
    <x v="0"/>
    <x v="0"/>
    <x v="0"/>
    <x v="0"/>
    <x v="1"/>
    <x v="0"/>
    <x v="0"/>
    <x v="0"/>
    <x v="0"/>
    <x v="0"/>
    <x v="0"/>
    <x v="1"/>
    <x v="1"/>
    <x v="1"/>
    <x v="7"/>
    <x v="7"/>
    <n v="9.6025321100859795"/>
    <x v="0"/>
    <x v="0"/>
    <x v="1"/>
    <x v="4"/>
    <x v="5"/>
    <x v="7"/>
    <n v="10.466759999993718"/>
  </r>
  <r>
    <x v="0"/>
    <x v="0"/>
    <x v="0"/>
    <x v="0"/>
    <x v="0"/>
    <x v="1"/>
    <x v="0"/>
    <x v="0"/>
    <x v="0"/>
    <x v="0"/>
    <x v="0"/>
    <x v="0"/>
    <x v="1"/>
    <x v="1"/>
    <x v="1"/>
    <x v="8"/>
    <x v="8"/>
    <n v="5389.8791892236804"/>
    <x v="0"/>
    <x v="1"/>
    <x v="2"/>
    <x v="2"/>
    <x v="6"/>
    <x v="8"/>
    <n v="5874.9683162538122"/>
  </r>
  <r>
    <x v="0"/>
    <x v="0"/>
    <x v="0"/>
    <x v="0"/>
    <x v="0"/>
    <x v="1"/>
    <x v="0"/>
    <x v="0"/>
    <x v="0"/>
    <x v="0"/>
    <x v="0"/>
    <x v="0"/>
    <x v="1"/>
    <x v="1"/>
    <x v="1"/>
    <x v="9"/>
    <x v="9"/>
    <n v="19.673135504591102"/>
    <x v="0"/>
    <x v="0"/>
    <x v="1"/>
    <x v="4"/>
    <x v="5"/>
    <x v="9"/>
    <n v="21.443717700004303"/>
  </r>
  <r>
    <x v="0"/>
    <x v="0"/>
    <x v="0"/>
    <x v="0"/>
    <x v="0"/>
    <x v="1"/>
    <x v="0"/>
    <x v="0"/>
    <x v="0"/>
    <x v="0"/>
    <x v="0"/>
    <x v="0"/>
    <x v="1"/>
    <x v="1"/>
    <x v="1"/>
    <x v="10"/>
    <x v="10"/>
    <n v="16.048055045861901"/>
    <x v="0"/>
    <x v="0"/>
    <x v="1"/>
    <x v="4"/>
    <x v="5"/>
    <x v="10"/>
    <n v="17.492379999989474"/>
  </r>
  <r>
    <x v="0"/>
    <x v="0"/>
    <x v="0"/>
    <x v="0"/>
    <x v="0"/>
    <x v="1"/>
    <x v="0"/>
    <x v="0"/>
    <x v="0"/>
    <x v="0"/>
    <x v="0"/>
    <x v="0"/>
    <x v="1"/>
    <x v="1"/>
    <x v="1"/>
    <x v="12"/>
    <x v="12"/>
    <n v="973.67941860095095"/>
    <x v="0"/>
    <x v="0"/>
    <x v="0"/>
    <x v="0"/>
    <x v="8"/>
    <x v="12"/>
    <n v="1061.3105662750365"/>
  </r>
  <r>
    <x v="0"/>
    <x v="0"/>
    <x v="0"/>
    <x v="0"/>
    <x v="0"/>
    <x v="1"/>
    <x v="0"/>
    <x v="0"/>
    <x v="0"/>
    <x v="0"/>
    <x v="0"/>
    <x v="0"/>
    <x v="1"/>
    <x v="1"/>
    <x v="1"/>
    <x v="14"/>
    <x v="14"/>
    <n v="256.91739999999999"/>
    <x v="0"/>
    <x v="0"/>
    <x v="0"/>
    <x v="0"/>
    <x v="8"/>
    <x v="14"/>
    <n v="280.03996599999999"/>
  </r>
  <r>
    <x v="0"/>
    <x v="0"/>
    <x v="0"/>
    <x v="0"/>
    <x v="0"/>
    <x v="1"/>
    <x v="0"/>
    <x v="0"/>
    <x v="0"/>
    <x v="0"/>
    <x v="0"/>
    <x v="0"/>
    <x v="1"/>
    <x v="1"/>
    <x v="1"/>
    <x v="15"/>
    <x v="15"/>
    <n v="0.71641284403627004"/>
    <x v="0"/>
    <x v="0"/>
    <x v="1"/>
    <x v="3"/>
    <x v="3"/>
    <x v="15"/>
    <n v="0.78088999999953435"/>
  </r>
  <r>
    <x v="0"/>
    <x v="0"/>
    <x v="0"/>
    <x v="0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0"/>
    <x v="0"/>
    <x v="0"/>
    <x v="0"/>
    <x v="0"/>
    <x v="1"/>
    <x v="0"/>
    <x v="0"/>
    <x v="0"/>
    <x v="0"/>
    <x v="0"/>
    <x v="0"/>
    <x v="1"/>
    <x v="1"/>
    <x v="1"/>
    <x v="16"/>
    <x v="16"/>
    <n v="2.8"/>
    <x v="0"/>
    <x v="0"/>
    <x v="3"/>
    <x v="5"/>
    <x v="9"/>
    <x v="16"/>
    <n v="3.052"/>
  </r>
  <r>
    <x v="0"/>
    <x v="0"/>
    <x v="0"/>
    <x v="0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0"/>
    <x v="0"/>
    <x v="0"/>
    <x v="0"/>
    <x v="0"/>
    <x v="1"/>
    <x v="0"/>
    <x v="0"/>
    <x v="0"/>
    <x v="0"/>
    <x v="0"/>
    <x v="0"/>
    <x v="1"/>
    <x v="1"/>
    <x v="1"/>
    <x v="24"/>
    <x v="24"/>
    <n v="26.8213027522775"/>
    <x v="0"/>
    <x v="0"/>
    <x v="1"/>
    <x v="3"/>
    <x v="3"/>
    <x v="4"/>
    <n v="29.235219999982476"/>
  </r>
  <r>
    <x v="0"/>
    <x v="0"/>
    <x v="0"/>
    <x v="0"/>
    <x v="0"/>
    <x v="1"/>
    <x v="0"/>
    <x v="0"/>
    <x v="0"/>
    <x v="0"/>
    <x v="0"/>
    <x v="0"/>
    <x v="1"/>
    <x v="1"/>
    <x v="1"/>
    <x v="18"/>
    <x v="18"/>
    <n v="36.161140000000003"/>
    <x v="0"/>
    <x v="0"/>
    <x v="0"/>
    <x v="0"/>
    <x v="4"/>
    <x v="18"/>
    <n v="39.415642600000005"/>
  </r>
  <r>
    <x v="0"/>
    <x v="0"/>
    <x v="0"/>
    <x v="0"/>
    <x v="0"/>
    <x v="1"/>
    <x v="0"/>
    <x v="0"/>
    <x v="0"/>
    <x v="0"/>
    <x v="0"/>
    <x v="0"/>
    <x v="1"/>
    <x v="1"/>
    <x v="1"/>
    <x v="26"/>
    <x v="26"/>
    <n v="9.7383761467831498"/>
    <x v="0"/>
    <x v="0"/>
    <x v="1"/>
    <x v="3"/>
    <x v="3"/>
    <x v="15"/>
    <n v="10.614829999993635"/>
  </r>
  <r>
    <x v="0"/>
    <x v="0"/>
    <x v="0"/>
    <x v="0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0"/>
    <x v="0"/>
    <x v="0"/>
    <x v="0"/>
    <x v="0"/>
    <x v="1"/>
    <x v="0"/>
    <x v="0"/>
    <x v="0"/>
    <x v="0"/>
    <x v="0"/>
    <x v="0"/>
    <x v="1"/>
    <x v="1"/>
    <x v="1"/>
    <x v="2"/>
    <x v="2"/>
    <n v="3818.78555963074"/>
    <x v="0"/>
    <x v="1"/>
    <x v="2"/>
    <x v="2"/>
    <x v="2"/>
    <x v="2"/>
    <n v="4162.4762599975065"/>
  </r>
  <r>
    <x v="0"/>
    <x v="0"/>
    <x v="0"/>
    <x v="0"/>
    <x v="0"/>
    <x v="1"/>
    <x v="0"/>
    <x v="0"/>
    <x v="0"/>
    <x v="0"/>
    <x v="0"/>
    <x v="0"/>
    <x v="2"/>
    <x v="2"/>
    <x v="2"/>
    <x v="4"/>
    <x v="4"/>
    <n v="19.596880733933201"/>
    <x v="0"/>
    <x v="0"/>
    <x v="1"/>
    <x v="3"/>
    <x v="3"/>
    <x v="4"/>
    <n v="21.360599999987191"/>
  </r>
  <r>
    <x v="0"/>
    <x v="0"/>
    <x v="0"/>
    <x v="0"/>
    <x v="0"/>
    <x v="1"/>
    <x v="0"/>
    <x v="0"/>
    <x v="0"/>
    <x v="0"/>
    <x v="0"/>
    <x v="0"/>
    <x v="2"/>
    <x v="2"/>
    <x v="2"/>
    <x v="6"/>
    <x v="6"/>
    <n v="2.45641"/>
    <x v="0"/>
    <x v="0"/>
    <x v="0"/>
    <x v="0"/>
    <x v="4"/>
    <x v="6"/>
    <n v="2.6774869000000003"/>
  </r>
  <r>
    <x v="0"/>
    <x v="0"/>
    <x v="0"/>
    <x v="0"/>
    <x v="0"/>
    <x v="1"/>
    <x v="0"/>
    <x v="0"/>
    <x v="0"/>
    <x v="0"/>
    <x v="0"/>
    <x v="0"/>
    <x v="2"/>
    <x v="2"/>
    <x v="2"/>
    <x v="8"/>
    <x v="8"/>
    <n v="6693.7547432860802"/>
    <x v="0"/>
    <x v="1"/>
    <x v="2"/>
    <x v="2"/>
    <x v="6"/>
    <x v="8"/>
    <n v="7296.1926701818275"/>
  </r>
  <r>
    <x v="0"/>
    <x v="0"/>
    <x v="0"/>
    <x v="0"/>
    <x v="0"/>
    <x v="1"/>
    <x v="0"/>
    <x v="0"/>
    <x v="0"/>
    <x v="0"/>
    <x v="0"/>
    <x v="0"/>
    <x v="2"/>
    <x v="2"/>
    <x v="2"/>
    <x v="9"/>
    <x v="9"/>
    <n v="19.510292158018601"/>
    <x v="0"/>
    <x v="0"/>
    <x v="1"/>
    <x v="4"/>
    <x v="5"/>
    <x v="9"/>
    <n v="21.266218452240278"/>
  </r>
  <r>
    <x v="0"/>
    <x v="0"/>
    <x v="0"/>
    <x v="0"/>
    <x v="0"/>
    <x v="1"/>
    <x v="0"/>
    <x v="0"/>
    <x v="0"/>
    <x v="0"/>
    <x v="0"/>
    <x v="0"/>
    <x v="2"/>
    <x v="2"/>
    <x v="2"/>
    <x v="30"/>
    <x v="30"/>
    <n v="0.80643145160967999"/>
    <x v="0"/>
    <x v="0"/>
    <x v="0"/>
    <x v="0"/>
    <x v="0"/>
    <x v="0"/>
    <n v="0.87901028225455125"/>
  </r>
  <r>
    <x v="0"/>
    <x v="0"/>
    <x v="0"/>
    <x v="0"/>
    <x v="0"/>
    <x v="1"/>
    <x v="0"/>
    <x v="0"/>
    <x v="0"/>
    <x v="0"/>
    <x v="0"/>
    <x v="0"/>
    <x v="2"/>
    <x v="2"/>
    <x v="2"/>
    <x v="11"/>
    <x v="11"/>
    <n v="2.1431499999999999"/>
    <x v="0"/>
    <x v="0"/>
    <x v="3"/>
    <x v="5"/>
    <x v="7"/>
    <x v="11"/>
    <n v="2.3360335000000001"/>
  </r>
  <r>
    <x v="0"/>
    <x v="0"/>
    <x v="0"/>
    <x v="0"/>
    <x v="0"/>
    <x v="1"/>
    <x v="0"/>
    <x v="0"/>
    <x v="0"/>
    <x v="0"/>
    <x v="0"/>
    <x v="0"/>
    <x v="2"/>
    <x v="2"/>
    <x v="2"/>
    <x v="12"/>
    <x v="12"/>
    <n v="628.98179069528396"/>
    <x v="0"/>
    <x v="0"/>
    <x v="0"/>
    <x v="0"/>
    <x v="8"/>
    <x v="12"/>
    <n v="685.59015185785961"/>
  </r>
  <r>
    <x v="0"/>
    <x v="0"/>
    <x v="0"/>
    <x v="0"/>
    <x v="0"/>
    <x v="1"/>
    <x v="0"/>
    <x v="0"/>
    <x v="0"/>
    <x v="0"/>
    <x v="0"/>
    <x v="0"/>
    <x v="2"/>
    <x v="2"/>
    <x v="2"/>
    <x v="14"/>
    <x v="14"/>
    <n v="41.817830000000001"/>
    <x v="0"/>
    <x v="0"/>
    <x v="0"/>
    <x v="0"/>
    <x v="8"/>
    <x v="14"/>
    <n v="45.581434700000003"/>
  </r>
  <r>
    <x v="0"/>
    <x v="0"/>
    <x v="0"/>
    <x v="0"/>
    <x v="0"/>
    <x v="1"/>
    <x v="0"/>
    <x v="0"/>
    <x v="0"/>
    <x v="0"/>
    <x v="0"/>
    <x v="0"/>
    <x v="2"/>
    <x v="2"/>
    <x v="2"/>
    <x v="16"/>
    <x v="16"/>
    <n v="21.390640000000001"/>
    <x v="0"/>
    <x v="0"/>
    <x v="3"/>
    <x v="5"/>
    <x v="9"/>
    <x v="16"/>
    <n v="23.315797600000003"/>
  </r>
  <r>
    <x v="0"/>
    <x v="0"/>
    <x v="0"/>
    <x v="0"/>
    <x v="0"/>
    <x v="1"/>
    <x v="0"/>
    <x v="0"/>
    <x v="0"/>
    <x v="0"/>
    <x v="0"/>
    <x v="0"/>
    <x v="2"/>
    <x v="2"/>
    <x v="2"/>
    <x v="17"/>
    <x v="17"/>
    <n v="0.84684999999999999"/>
    <x v="0"/>
    <x v="0"/>
    <x v="0"/>
    <x v="0"/>
    <x v="4"/>
    <x v="17"/>
    <n v="0.92306650000000001"/>
  </r>
  <r>
    <x v="0"/>
    <x v="0"/>
    <x v="0"/>
    <x v="0"/>
    <x v="0"/>
    <x v="1"/>
    <x v="0"/>
    <x v="0"/>
    <x v="0"/>
    <x v="0"/>
    <x v="0"/>
    <x v="0"/>
    <x v="2"/>
    <x v="2"/>
    <x v="2"/>
    <x v="18"/>
    <x v="18"/>
    <n v="13.49029"/>
    <x v="0"/>
    <x v="0"/>
    <x v="0"/>
    <x v="0"/>
    <x v="4"/>
    <x v="18"/>
    <n v="14.704416100000001"/>
  </r>
  <r>
    <x v="0"/>
    <x v="0"/>
    <x v="0"/>
    <x v="0"/>
    <x v="0"/>
    <x v="1"/>
    <x v="0"/>
    <x v="0"/>
    <x v="0"/>
    <x v="0"/>
    <x v="0"/>
    <x v="0"/>
    <x v="2"/>
    <x v="2"/>
    <x v="2"/>
    <x v="34"/>
    <x v="34"/>
    <n v="2.1378410479985899"/>
    <x v="0"/>
    <x v="0"/>
    <x v="0"/>
    <x v="0"/>
    <x v="0"/>
    <x v="0"/>
    <n v="2.330246742318463"/>
  </r>
  <r>
    <x v="0"/>
    <x v="0"/>
    <x v="0"/>
    <x v="0"/>
    <x v="0"/>
    <x v="1"/>
    <x v="0"/>
    <x v="0"/>
    <x v="0"/>
    <x v="0"/>
    <x v="0"/>
    <x v="0"/>
    <x v="2"/>
    <x v="2"/>
    <x v="2"/>
    <x v="27"/>
    <x v="27"/>
    <n v="1.9313626126535599"/>
    <x v="0"/>
    <x v="0"/>
    <x v="1"/>
    <x v="3"/>
    <x v="3"/>
    <x v="19"/>
    <n v="2.1051852477923805"/>
  </r>
  <r>
    <x v="0"/>
    <x v="0"/>
    <x v="0"/>
    <x v="0"/>
    <x v="0"/>
    <x v="1"/>
    <x v="0"/>
    <x v="0"/>
    <x v="0"/>
    <x v="0"/>
    <x v="0"/>
    <x v="0"/>
    <x v="2"/>
    <x v="2"/>
    <x v="2"/>
    <x v="20"/>
    <x v="20"/>
    <n v="0.47398000000000001"/>
    <x v="0"/>
    <x v="0"/>
    <x v="1"/>
    <x v="3"/>
    <x v="3"/>
    <x v="13"/>
    <n v="0.51663820000000005"/>
  </r>
  <r>
    <x v="0"/>
    <x v="0"/>
    <x v="0"/>
    <x v="0"/>
    <x v="0"/>
    <x v="1"/>
    <x v="0"/>
    <x v="0"/>
    <x v="0"/>
    <x v="0"/>
    <x v="0"/>
    <x v="0"/>
    <x v="2"/>
    <x v="2"/>
    <x v="2"/>
    <x v="2"/>
    <x v="2"/>
    <n v="9912.5269816454293"/>
    <x v="0"/>
    <x v="1"/>
    <x v="2"/>
    <x v="2"/>
    <x v="2"/>
    <x v="2"/>
    <n v="10804.654409993518"/>
  </r>
  <r>
    <x v="0"/>
    <x v="0"/>
    <x v="0"/>
    <x v="0"/>
    <x v="0"/>
    <x v="1"/>
    <x v="0"/>
    <x v="0"/>
    <x v="0"/>
    <x v="0"/>
    <x v="0"/>
    <x v="0"/>
    <x v="2"/>
    <x v="2"/>
    <x v="2"/>
    <x v="3"/>
    <x v="3"/>
    <n v="0.21373596057446001"/>
    <x v="0"/>
    <x v="0"/>
    <x v="1"/>
    <x v="3"/>
    <x v="3"/>
    <x v="3"/>
    <n v="0.23297219702616143"/>
  </r>
  <r>
    <x v="0"/>
    <x v="0"/>
    <x v="0"/>
    <x v="0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0"/>
    <x v="0"/>
    <x v="0"/>
    <x v="0"/>
    <x v="0"/>
    <x v="1"/>
    <x v="0"/>
    <x v="0"/>
    <x v="0"/>
    <x v="0"/>
    <x v="0"/>
    <x v="0"/>
    <x v="1"/>
    <x v="6"/>
    <x v="6"/>
    <x v="8"/>
    <x v="8"/>
    <n v="27.459087838013598"/>
    <x v="0"/>
    <x v="1"/>
    <x v="2"/>
    <x v="2"/>
    <x v="6"/>
    <x v="8"/>
    <n v="29.930405743434825"/>
  </r>
  <r>
    <x v="0"/>
    <x v="0"/>
    <x v="0"/>
    <x v="0"/>
    <x v="0"/>
    <x v="1"/>
    <x v="0"/>
    <x v="0"/>
    <x v="0"/>
    <x v="0"/>
    <x v="0"/>
    <x v="0"/>
    <x v="1"/>
    <x v="6"/>
    <x v="6"/>
    <x v="12"/>
    <x v="12"/>
    <n v="97.260581394979297"/>
    <x v="0"/>
    <x v="0"/>
    <x v="0"/>
    <x v="0"/>
    <x v="8"/>
    <x v="12"/>
    <n v="106.01403372052744"/>
  </r>
  <r>
    <x v="0"/>
    <x v="0"/>
    <x v="0"/>
    <x v="0"/>
    <x v="0"/>
    <x v="1"/>
    <x v="0"/>
    <x v="0"/>
    <x v="0"/>
    <x v="0"/>
    <x v="0"/>
    <x v="0"/>
    <x v="1"/>
    <x v="6"/>
    <x v="6"/>
    <x v="14"/>
    <x v="14"/>
    <n v="37.771340000000002"/>
    <x v="0"/>
    <x v="0"/>
    <x v="0"/>
    <x v="0"/>
    <x v="8"/>
    <x v="14"/>
    <n v="41.170760600000008"/>
  </r>
  <r>
    <x v="0"/>
    <x v="0"/>
    <x v="0"/>
    <x v="0"/>
    <x v="0"/>
    <x v="1"/>
    <x v="0"/>
    <x v="0"/>
    <x v="0"/>
    <x v="0"/>
    <x v="0"/>
    <x v="0"/>
    <x v="1"/>
    <x v="6"/>
    <x v="6"/>
    <x v="16"/>
    <x v="16"/>
    <n v="263.14503999999999"/>
    <x v="0"/>
    <x v="0"/>
    <x v="3"/>
    <x v="5"/>
    <x v="9"/>
    <x v="16"/>
    <n v="286.82809359999999"/>
  </r>
  <r>
    <x v="0"/>
    <x v="0"/>
    <x v="0"/>
    <x v="0"/>
    <x v="0"/>
    <x v="1"/>
    <x v="0"/>
    <x v="0"/>
    <x v="0"/>
    <x v="0"/>
    <x v="0"/>
    <x v="0"/>
    <x v="1"/>
    <x v="6"/>
    <x v="6"/>
    <x v="2"/>
    <x v="2"/>
    <n v="404.505256880491"/>
    <x v="0"/>
    <x v="1"/>
    <x v="2"/>
    <x v="2"/>
    <x v="2"/>
    <x v="2"/>
    <n v="440.91072999973522"/>
  </r>
  <r>
    <x v="0"/>
    <x v="0"/>
    <x v="0"/>
    <x v="0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0"/>
    <x v="0"/>
    <x v="0"/>
    <x v="0"/>
    <x v="0"/>
    <x v="1"/>
    <x v="0"/>
    <x v="0"/>
    <x v="0"/>
    <x v="0"/>
    <x v="0"/>
    <x v="0"/>
    <x v="3"/>
    <x v="7"/>
    <x v="7"/>
    <x v="9"/>
    <x v="9"/>
    <n v="372.478192620931"/>
    <x v="0"/>
    <x v="0"/>
    <x v="1"/>
    <x v="4"/>
    <x v="5"/>
    <x v="9"/>
    <n v="406.00122995681483"/>
  </r>
  <r>
    <x v="0"/>
    <x v="0"/>
    <x v="0"/>
    <x v="0"/>
    <x v="0"/>
    <x v="1"/>
    <x v="0"/>
    <x v="0"/>
    <x v="0"/>
    <x v="0"/>
    <x v="0"/>
    <x v="0"/>
    <x v="3"/>
    <x v="7"/>
    <x v="7"/>
    <x v="10"/>
    <x v="10"/>
    <n v="157.22936282150701"/>
    <x v="0"/>
    <x v="0"/>
    <x v="1"/>
    <x v="4"/>
    <x v="5"/>
    <x v="10"/>
    <n v="171.38000547544266"/>
  </r>
  <r>
    <x v="0"/>
    <x v="0"/>
    <x v="0"/>
    <x v="0"/>
    <x v="0"/>
    <x v="1"/>
    <x v="0"/>
    <x v="0"/>
    <x v="0"/>
    <x v="0"/>
    <x v="0"/>
    <x v="0"/>
    <x v="3"/>
    <x v="7"/>
    <x v="7"/>
    <x v="36"/>
    <x v="36"/>
    <n v="166.19099082558799"/>
    <x v="0"/>
    <x v="0"/>
    <x v="1"/>
    <x v="3"/>
    <x v="3"/>
    <x v="4"/>
    <n v="181.14817999989091"/>
  </r>
  <r>
    <x v="0"/>
    <x v="0"/>
    <x v="0"/>
    <x v="0"/>
    <x v="0"/>
    <x v="1"/>
    <x v="0"/>
    <x v="0"/>
    <x v="0"/>
    <x v="0"/>
    <x v="0"/>
    <x v="0"/>
    <x v="3"/>
    <x v="7"/>
    <x v="7"/>
    <x v="24"/>
    <x v="24"/>
    <n v="238.30245871545301"/>
    <x v="0"/>
    <x v="0"/>
    <x v="1"/>
    <x v="3"/>
    <x v="3"/>
    <x v="4"/>
    <n v="259.74967999984381"/>
  </r>
  <r>
    <x v="0"/>
    <x v="0"/>
    <x v="0"/>
    <x v="0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0"/>
    <x v="0"/>
    <x v="0"/>
    <x v="0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0"/>
    <x v="0"/>
    <x v="0"/>
    <x v="0"/>
    <x v="0"/>
    <x v="1"/>
    <x v="0"/>
    <x v="0"/>
    <x v="0"/>
    <x v="0"/>
    <x v="0"/>
    <x v="0"/>
    <x v="3"/>
    <x v="7"/>
    <x v="7"/>
    <x v="34"/>
    <x v="34"/>
    <n v="112.53860523826199"/>
    <x v="0"/>
    <x v="0"/>
    <x v="0"/>
    <x v="0"/>
    <x v="0"/>
    <x v="0"/>
    <n v="122.66707970970558"/>
  </r>
  <r>
    <x v="0"/>
    <x v="0"/>
    <x v="0"/>
    <x v="0"/>
    <x v="0"/>
    <x v="1"/>
    <x v="0"/>
    <x v="0"/>
    <x v="0"/>
    <x v="0"/>
    <x v="0"/>
    <x v="0"/>
    <x v="3"/>
    <x v="7"/>
    <x v="7"/>
    <x v="26"/>
    <x v="26"/>
    <n v="3.5116146788969802"/>
    <x v="0"/>
    <x v="0"/>
    <x v="1"/>
    <x v="3"/>
    <x v="3"/>
    <x v="15"/>
    <n v="3.8276599999977088"/>
  </r>
  <r>
    <x v="0"/>
    <x v="0"/>
    <x v="0"/>
    <x v="0"/>
    <x v="0"/>
    <x v="1"/>
    <x v="0"/>
    <x v="0"/>
    <x v="0"/>
    <x v="0"/>
    <x v="0"/>
    <x v="0"/>
    <x v="1"/>
    <x v="8"/>
    <x v="8"/>
    <x v="6"/>
    <x v="6"/>
    <n v="142.56323"/>
    <x v="0"/>
    <x v="0"/>
    <x v="0"/>
    <x v="0"/>
    <x v="4"/>
    <x v="6"/>
    <n v="155.39392070000002"/>
  </r>
  <r>
    <x v="0"/>
    <x v="0"/>
    <x v="0"/>
    <x v="0"/>
    <x v="0"/>
    <x v="1"/>
    <x v="0"/>
    <x v="0"/>
    <x v="0"/>
    <x v="0"/>
    <x v="0"/>
    <x v="0"/>
    <x v="1"/>
    <x v="8"/>
    <x v="8"/>
    <x v="8"/>
    <x v="8"/>
    <n v="447.273608110971"/>
    <x v="0"/>
    <x v="1"/>
    <x v="2"/>
    <x v="2"/>
    <x v="6"/>
    <x v="8"/>
    <n v="487.52823284095842"/>
  </r>
  <r>
    <x v="0"/>
    <x v="0"/>
    <x v="0"/>
    <x v="0"/>
    <x v="0"/>
    <x v="1"/>
    <x v="0"/>
    <x v="0"/>
    <x v="0"/>
    <x v="0"/>
    <x v="0"/>
    <x v="0"/>
    <x v="1"/>
    <x v="8"/>
    <x v="8"/>
    <x v="9"/>
    <x v="9"/>
    <n v="250.39113857919099"/>
    <x v="0"/>
    <x v="0"/>
    <x v="1"/>
    <x v="4"/>
    <x v="5"/>
    <x v="9"/>
    <n v="272.92634105131822"/>
  </r>
  <r>
    <x v="0"/>
    <x v="0"/>
    <x v="0"/>
    <x v="0"/>
    <x v="0"/>
    <x v="1"/>
    <x v="0"/>
    <x v="0"/>
    <x v="0"/>
    <x v="0"/>
    <x v="0"/>
    <x v="0"/>
    <x v="1"/>
    <x v="8"/>
    <x v="8"/>
    <x v="10"/>
    <x v="10"/>
    <n v="152.83982061204401"/>
    <x v="0"/>
    <x v="0"/>
    <x v="1"/>
    <x v="4"/>
    <x v="5"/>
    <x v="10"/>
    <n v="166.59540446712799"/>
  </r>
  <r>
    <x v="0"/>
    <x v="0"/>
    <x v="0"/>
    <x v="0"/>
    <x v="0"/>
    <x v="1"/>
    <x v="0"/>
    <x v="0"/>
    <x v="0"/>
    <x v="0"/>
    <x v="0"/>
    <x v="0"/>
    <x v="1"/>
    <x v="8"/>
    <x v="8"/>
    <x v="36"/>
    <x v="36"/>
    <n v="7.4947247706377098"/>
    <x v="0"/>
    <x v="0"/>
    <x v="1"/>
    <x v="3"/>
    <x v="3"/>
    <x v="4"/>
    <n v="8.1692499999951043"/>
  </r>
  <r>
    <x v="0"/>
    <x v="0"/>
    <x v="0"/>
    <x v="0"/>
    <x v="0"/>
    <x v="1"/>
    <x v="0"/>
    <x v="0"/>
    <x v="0"/>
    <x v="0"/>
    <x v="0"/>
    <x v="0"/>
    <x v="1"/>
    <x v="8"/>
    <x v="8"/>
    <x v="24"/>
    <x v="24"/>
    <n v="300.43772477046201"/>
    <x v="0"/>
    <x v="0"/>
    <x v="1"/>
    <x v="3"/>
    <x v="3"/>
    <x v="4"/>
    <n v="327.47711999980362"/>
  </r>
  <r>
    <x v="0"/>
    <x v="0"/>
    <x v="0"/>
    <x v="0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0"/>
    <x v="0"/>
    <x v="0"/>
    <x v="0"/>
    <x v="0"/>
    <x v="1"/>
    <x v="0"/>
    <x v="0"/>
    <x v="0"/>
    <x v="0"/>
    <x v="0"/>
    <x v="0"/>
    <x v="1"/>
    <x v="8"/>
    <x v="8"/>
    <x v="21"/>
    <x v="21"/>
    <n v="22.016614678885901"/>
    <x v="0"/>
    <x v="0"/>
    <x v="1"/>
    <x v="4"/>
    <x v="5"/>
    <x v="10"/>
    <n v="23.998109999985633"/>
  </r>
  <r>
    <x v="0"/>
    <x v="0"/>
    <x v="0"/>
    <x v="0"/>
    <x v="0"/>
    <x v="1"/>
    <x v="0"/>
    <x v="0"/>
    <x v="0"/>
    <x v="0"/>
    <x v="0"/>
    <x v="0"/>
    <x v="1"/>
    <x v="8"/>
    <x v="8"/>
    <x v="18"/>
    <x v="18"/>
    <n v="51.484180000000002"/>
    <x v="0"/>
    <x v="0"/>
    <x v="0"/>
    <x v="0"/>
    <x v="4"/>
    <x v="18"/>
    <n v="56.117756200000009"/>
  </r>
  <r>
    <x v="0"/>
    <x v="0"/>
    <x v="0"/>
    <x v="0"/>
    <x v="0"/>
    <x v="1"/>
    <x v="0"/>
    <x v="0"/>
    <x v="0"/>
    <x v="0"/>
    <x v="0"/>
    <x v="0"/>
    <x v="1"/>
    <x v="8"/>
    <x v="8"/>
    <x v="34"/>
    <x v="34"/>
    <n v="15.7980742355393"/>
    <x v="0"/>
    <x v="0"/>
    <x v="0"/>
    <x v="0"/>
    <x v="0"/>
    <x v="0"/>
    <n v="17.219900916737839"/>
  </r>
  <r>
    <x v="0"/>
    <x v="0"/>
    <x v="0"/>
    <x v="0"/>
    <x v="0"/>
    <x v="1"/>
    <x v="0"/>
    <x v="0"/>
    <x v="0"/>
    <x v="0"/>
    <x v="0"/>
    <x v="0"/>
    <x v="1"/>
    <x v="8"/>
    <x v="8"/>
    <x v="37"/>
    <x v="37"/>
    <n v="225.78442201821301"/>
    <x v="0"/>
    <x v="0"/>
    <x v="1"/>
    <x v="3"/>
    <x v="3"/>
    <x v="4"/>
    <n v="246.1050199998522"/>
  </r>
  <r>
    <x v="0"/>
    <x v="0"/>
    <x v="0"/>
    <x v="0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0"/>
    <x v="0"/>
    <x v="0"/>
    <x v="0"/>
    <x v="0"/>
    <x v="1"/>
    <x v="0"/>
    <x v="0"/>
    <x v="0"/>
    <x v="0"/>
    <x v="0"/>
    <x v="0"/>
    <x v="0"/>
    <x v="9"/>
    <x v="9"/>
    <x v="6"/>
    <x v="6"/>
    <n v="356.50851999999998"/>
    <x v="0"/>
    <x v="0"/>
    <x v="0"/>
    <x v="0"/>
    <x v="4"/>
    <x v="6"/>
    <n v="388.59428680000002"/>
  </r>
  <r>
    <x v="0"/>
    <x v="0"/>
    <x v="0"/>
    <x v="0"/>
    <x v="0"/>
    <x v="1"/>
    <x v="0"/>
    <x v="0"/>
    <x v="0"/>
    <x v="0"/>
    <x v="0"/>
    <x v="0"/>
    <x v="0"/>
    <x v="9"/>
    <x v="9"/>
    <x v="7"/>
    <x v="7"/>
    <n v="468.055321100637"/>
    <x v="0"/>
    <x v="0"/>
    <x v="1"/>
    <x v="4"/>
    <x v="5"/>
    <x v="7"/>
    <n v="510.18029999969434"/>
  </r>
  <r>
    <x v="0"/>
    <x v="0"/>
    <x v="0"/>
    <x v="0"/>
    <x v="0"/>
    <x v="1"/>
    <x v="0"/>
    <x v="0"/>
    <x v="0"/>
    <x v="0"/>
    <x v="0"/>
    <x v="0"/>
    <x v="0"/>
    <x v="9"/>
    <x v="9"/>
    <x v="9"/>
    <x v="9"/>
    <n v="866.71669532308101"/>
    <x v="0"/>
    <x v="0"/>
    <x v="1"/>
    <x v="4"/>
    <x v="5"/>
    <x v="9"/>
    <n v="944.72119790215834"/>
  </r>
  <r>
    <x v="0"/>
    <x v="0"/>
    <x v="0"/>
    <x v="0"/>
    <x v="0"/>
    <x v="1"/>
    <x v="0"/>
    <x v="0"/>
    <x v="0"/>
    <x v="0"/>
    <x v="0"/>
    <x v="0"/>
    <x v="0"/>
    <x v="9"/>
    <x v="9"/>
    <x v="10"/>
    <x v="10"/>
    <n v="179.41455054941"/>
    <x v="0"/>
    <x v="0"/>
    <x v="1"/>
    <x v="4"/>
    <x v="5"/>
    <x v="10"/>
    <n v="195.5618600988569"/>
  </r>
  <r>
    <x v="0"/>
    <x v="0"/>
    <x v="0"/>
    <x v="0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0"/>
    <x v="0"/>
    <x v="0"/>
    <x v="0"/>
    <x v="0"/>
    <x v="1"/>
    <x v="0"/>
    <x v="0"/>
    <x v="0"/>
    <x v="0"/>
    <x v="0"/>
    <x v="0"/>
    <x v="0"/>
    <x v="9"/>
    <x v="9"/>
    <x v="36"/>
    <x v="36"/>
    <n v="27.433660550442301"/>
    <x v="0"/>
    <x v="0"/>
    <x v="1"/>
    <x v="3"/>
    <x v="3"/>
    <x v="4"/>
    <n v="29.902689999982112"/>
  </r>
  <r>
    <x v="0"/>
    <x v="0"/>
    <x v="0"/>
    <x v="0"/>
    <x v="0"/>
    <x v="1"/>
    <x v="0"/>
    <x v="0"/>
    <x v="0"/>
    <x v="0"/>
    <x v="0"/>
    <x v="0"/>
    <x v="0"/>
    <x v="9"/>
    <x v="9"/>
    <x v="24"/>
    <x v="24"/>
    <n v="244.59744954113799"/>
    <x v="0"/>
    <x v="0"/>
    <x v="1"/>
    <x v="3"/>
    <x v="3"/>
    <x v="4"/>
    <n v="266.61121999984044"/>
  </r>
  <r>
    <x v="0"/>
    <x v="0"/>
    <x v="0"/>
    <x v="0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0"/>
    <x v="0"/>
    <x v="0"/>
    <x v="0"/>
    <x v="0"/>
    <x v="1"/>
    <x v="0"/>
    <x v="0"/>
    <x v="0"/>
    <x v="0"/>
    <x v="0"/>
    <x v="0"/>
    <x v="0"/>
    <x v="9"/>
    <x v="9"/>
    <x v="21"/>
    <x v="21"/>
    <n v="178.72773394484699"/>
    <x v="0"/>
    <x v="0"/>
    <x v="1"/>
    <x v="4"/>
    <x v="5"/>
    <x v="10"/>
    <n v="194.81322999988322"/>
  </r>
  <r>
    <x v="0"/>
    <x v="0"/>
    <x v="0"/>
    <x v="0"/>
    <x v="0"/>
    <x v="1"/>
    <x v="0"/>
    <x v="0"/>
    <x v="0"/>
    <x v="0"/>
    <x v="0"/>
    <x v="0"/>
    <x v="0"/>
    <x v="9"/>
    <x v="9"/>
    <x v="18"/>
    <x v="18"/>
    <n v="262.08434999999997"/>
    <x v="0"/>
    <x v="0"/>
    <x v="0"/>
    <x v="0"/>
    <x v="4"/>
    <x v="18"/>
    <n v="285.6719415"/>
  </r>
  <r>
    <x v="0"/>
    <x v="0"/>
    <x v="0"/>
    <x v="0"/>
    <x v="0"/>
    <x v="1"/>
    <x v="0"/>
    <x v="0"/>
    <x v="0"/>
    <x v="0"/>
    <x v="0"/>
    <x v="0"/>
    <x v="0"/>
    <x v="9"/>
    <x v="9"/>
    <x v="34"/>
    <x v="34"/>
    <n v="63.885193012014398"/>
    <x v="0"/>
    <x v="0"/>
    <x v="0"/>
    <x v="0"/>
    <x v="0"/>
    <x v="0"/>
    <n v="69.634860383095699"/>
  </r>
  <r>
    <x v="0"/>
    <x v="0"/>
    <x v="0"/>
    <x v="0"/>
    <x v="0"/>
    <x v="1"/>
    <x v="0"/>
    <x v="0"/>
    <x v="0"/>
    <x v="0"/>
    <x v="0"/>
    <x v="0"/>
    <x v="0"/>
    <x v="9"/>
    <x v="9"/>
    <x v="37"/>
    <x v="37"/>
    <n v="104.403568807277"/>
    <x v="0"/>
    <x v="0"/>
    <x v="1"/>
    <x v="3"/>
    <x v="3"/>
    <x v="4"/>
    <n v="113.79988999993193"/>
  </r>
  <r>
    <x v="0"/>
    <x v="0"/>
    <x v="0"/>
    <x v="0"/>
    <x v="0"/>
    <x v="1"/>
    <x v="0"/>
    <x v="0"/>
    <x v="0"/>
    <x v="0"/>
    <x v="0"/>
    <x v="0"/>
    <x v="0"/>
    <x v="9"/>
    <x v="9"/>
    <x v="26"/>
    <x v="26"/>
    <n v="1.35122935779735"/>
    <x v="0"/>
    <x v="0"/>
    <x v="1"/>
    <x v="3"/>
    <x v="3"/>
    <x v="15"/>
    <n v="1.4728399999991115"/>
  </r>
  <r>
    <x v="0"/>
    <x v="0"/>
    <x v="0"/>
    <x v="0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0"/>
    <x v="0"/>
    <x v="0"/>
    <x v="0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2"/>
    <x v="2"/>
    <n v="78.763449999952769"/>
  </r>
  <r>
    <x v="0"/>
    <x v="0"/>
    <x v="0"/>
    <x v="0"/>
    <x v="0"/>
    <x v="1"/>
    <x v="0"/>
    <x v="0"/>
    <x v="0"/>
    <x v="0"/>
    <x v="0"/>
    <x v="0"/>
    <x v="2"/>
    <x v="10"/>
    <x v="10"/>
    <x v="6"/>
    <x v="6"/>
    <n v="459.55817999999999"/>
    <x v="0"/>
    <x v="0"/>
    <x v="0"/>
    <x v="0"/>
    <x v="4"/>
    <x v="6"/>
    <n v="500.91841620000002"/>
  </r>
  <r>
    <x v="0"/>
    <x v="0"/>
    <x v="0"/>
    <x v="0"/>
    <x v="0"/>
    <x v="1"/>
    <x v="0"/>
    <x v="0"/>
    <x v="0"/>
    <x v="0"/>
    <x v="0"/>
    <x v="0"/>
    <x v="2"/>
    <x v="10"/>
    <x v="10"/>
    <x v="7"/>
    <x v="7"/>
    <n v="56.8853394495072"/>
    <x v="0"/>
    <x v="0"/>
    <x v="1"/>
    <x v="4"/>
    <x v="5"/>
    <x v="7"/>
    <n v="62.005019999962855"/>
  </r>
  <r>
    <x v="0"/>
    <x v="0"/>
    <x v="0"/>
    <x v="0"/>
    <x v="0"/>
    <x v="1"/>
    <x v="0"/>
    <x v="0"/>
    <x v="0"/>
    <x v="0"/>
    <x v="0"/>
    <x v="0"/>
    <x v="2"/>
    <x v="10"/>
    <x v="10"/>
    <x v="9"/>
    <x v="9"/>
    <n v="398.47445173587198"/>
    <x v="0"/>
    <x v="0"/>
    <x v="1"/>
    <x v="4"/>
    <x v="5"/>
    <x v="9"/>
    <n v="434.33715239210051"/>
  </r>
  <r>
    <x v="0"/>
    <x v="0"/>
    <x v="0"/>
    <x v="0"/>
    <x v="0"/>
    <x v="1"/>
    <x v="0"/>
    <x v="0"/>
    <x v="0"/>
    <x v="0"/>
    <x v="0"/>
    <x v="0"/>
    <x v="2"/>
    <x v="10"/>
    <x v="10"/>
    <x v="10"/>
    <x v="10"/>
    <n v="310.360616410533"/>
    <x v="0"/>
    <x v="0"/>
    <x v="1"/>
    <x v="4"/>
    <x v="5"/>
    <x v="10"/>
    <n v="338.29307188748101"/>
  </r>
  <r>
    <x v="0"/>
    <x v="0"/>
    <x v="0"/>
    <x v="0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0"/>
    <x v="0"/>
    <x v="0"/>
    <x v="0"/>
    <x v="0"/>
    <x v="1"/>
    <x v="0"/>
    <x v="0"/>
    <x v="0"/>
    <x v="0"/>
    <x v="0"/>
    <x v="0"/>
    <x v="2"/>
    <x v="10"/>
    <x v="10"/>
    <x v="36"/>
    <x v="36"/>
    <n v="58.038889908222103"/>
    <x v="0"/>
    <x v="0"/>
    <x v="1"/>
    <x v="3"/>
    <x v="3"/>
    <x v="4"/>
    <n v="63.262389999962096"/>
  </r>
  <r>
    <x v="0"/>
    <x v="0"/>
    <x v="0"/>
    <x v="0"/>
    <x v="0"/>
    <x v="1"/>
    <x v="0"/>
    <x v="0"/>
    <x v="0"/>
    <x v="0"/>
    <x v="0"/>
    <x v="0"/>
    <x v="2"/>
    <x v="10"/>
    <x v="10"/>
    <x v="24"/>
    <x v="24"/>
    <n v="146.37737614670101"/>
    <x v="0"/>
    <x v="0"/>
    <x v="1"/>
    <x v="3"/>
    <x v="3"/>
    <x v="4"/>
    <n v="159.55133999990412"/>
  </r>
  <r>
    <x v="0"/>
    <x v="0"/>
    <x v="0"/>
    <x v="0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0"/>
    <x v="0"/>
    <x v="0"/>
    <x v="0"/>
    <x v="0"/>
    <x v="1"/>
    <x v="0"/>
    <x v="0"/>
    <x v="0"/>
    <x v="0"/>
    <x v="0"/>
    <x v="0"/>
    <x v="2"/>
    <x v="10"/>
    <x v="10"/>
    <x v="21"/>
    <x v="21"/>
    <n v="71.069908256838104"/>
    <x v="0"/>
    <x v="0"/>
    <x v="1"/>
    <x v="4"/>
    <x v="5"/>
    <x v="10"/>
    <n v="77.466199999953545"/>
  </r>
  <r>
    <x v="0"/>
    <x v="0"/>
    <x v="0"/>
    <x v="0"/>
    <x v="0"/>
    <x v="1"/>
    <x v="0"/>
    <x v="0"/>
    <x v="0"/>
    <x v="0"/>
    <x v="0"/>
    <x v="0"/>
    <x v="2"/>
    <x v="10"/>
    <x v="10"/>
    <x v="18"/>
    <x v="18"/>
    <n v="170.91006999999999"/>
    <x v="0"/>
    <x v="0"/>
    <x v="0"/>
    <x v="0"/>
    <x v="4"/>
    <x v="18"/>
    <n v="186.29197630000002"/>
  </r>
  <r>
    <x v="0"/>
    <x v="0"/>
    <x v="0"/>
    <x v="0"/>
    <x v="0"/>
    <x v="1"/>
    <x v="0"/>
    <x v="0"/>
    <x v="0"/>
    <x v="0"/>
    <x v="0"/>
    <x v="0"/>
    <x v="2"/>
    <x v="10"/>
    <x v="10"/>
    <x v="34"/>
    <x v="34"/>
    <n v="133.125689080706"/>
    <x v="0"/>
    <x v="0"/>
    <x v="0"/>
    <x v="0"/>
    <x v="0"/>
    <x v="0"/>
    <n v="145.10700109796954"/>
  </r>
  <r>
    <x v="0"/>
    <x v="0"/>
    <x v="0"/>
    <x v="0"/>
    <x v="0"/>
    <x v="1"/>
    <x v="0"/>
    <x v="0"/>
    <x v="0"/>
    <x v="0"/>
    <x v="0"/>
    <x v="0"/>
    <x v="2"/>
    <x v="10"/>
    <x v="10"/>
    <x v="37"/>
    <x v="37"/>
    <n v="135.56351376138699"/>
    <x v="0"/>
    <x v="0"/>
    <x v="1"/>
    <x v="3"/>
    <x v="3"/>
    <x v="4"/>
    <n v="147.76422999991183"/>
  </r>
  <r>
    <x v="0"/>
    <x v="0"/>
    <x v="0"/>
    <x v="0"/>
    <x v="0"/>
    <x v="1"/>
    <x v="0"/>
    <x v="0"/>
    <x v="0"/>
    <x v="0"/>
    <x v="0"/>
    <x v="0"/>
    <x v="2"/>
    <x v="10"/>
    <x v="10"/>
    <x v="26"/>
    <x v="26"/>
    <n v="4.5931926605477003"/>
    <x v="0"/>
    <x v="0"/>
    <x v="1"/>
    <x v="3"/>
    <x v="3"/>
    <x v="15"/>
    <n v="5.006579999996994"/>
  </r>
  <r>
    <x v="0"/>
    <x v="0"/>
    <x v="0"/>
    <x v="0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0"/>
    <x v="0"/>
    <x v="0"/>
    <x v="0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0"/>
    <x v="0"/>
    <x v="0"/>
    <x v="0"/>
    <x v="0"/>
    <x v="1"/>
    <x v="0"/>
    <x v="0"/>
    <x v="0"/>
    <x v="0"/>
    <x v="0"/>
    <x v="0"/>
    <x v="4"/>
    <x v="5"/>
    <x v="5"/>
    <x v="6"/>
    <x v="6"/>
    <n v="837.16794000000004"/>
    <x v="0"/>
    <x v="0"/>
    <x v="0"/>
    <x v="0"/>
    <x v="4"/>
    <x v="6"/>
    <n v="912.51305460000015"/>
  </r>
  <r>
    <x v="0"/>
    <x v="0"/>
    <x v="0"/>
    <x v="0"/>
    <x v="0"/>
    <x v="1"/>
    <x v="0"/>
    <x v="0"/>
    <x v="0"/>
    <x v="0"/>
    <x v="0"/>
    <x v="0"/>
    <x v="4"/>
    <x v="5"/>
    <x v="5"/>
    <x v="7"/>
    <x v="7"/>
    <n v="44.204293577955099"/>
    <x v="0"/>
    <x v="0"/>
    <x v="1"/>
    <x v="4"/>
    <x v="5"/>
    <x v="7"/>
    <n v="48.182679999971064"/>
  </r>
  <r>
    <x v="0"/>
    <x v="0"/>
    <x v="0"/>
    <x v="0"/>
    <x v="0"/>
    <x v="1"/>
    <x v="0"/>
    <x v="0"/>
    <x v="0"/>
    <x v="0"/>
    <x v="0"/>
    <x v="0"/>
    <x v="4"/>
    <x v="5"/>
    <x v="5"/>
    <x v="8"/>
    <x v="8"/>
    <n v="5137.6298446274805"/>
    <x v="0"/>
    <x v="1"/>
    <x v="2"/>
    <x v="2"/>
    <x v="6"/>
    <x v="8"/>
    <n v="5600.016530643954"/>
  </r>
  <r>
    <x v="0"/>
    <x v="0"/>
    <x v="0"/>
    <x v="0"/>
    <x v="0"/>
    <x v="1"/>
    <x v="0"/>
    <x v="0"/>
    <x v="0"/>
    <x v="0"/>
    <x v="0"/>
    <x v="0"/>
    <x v="4"/>
    <x v="5"/>
    <x v="5"/>
    <x v="9"/>
    <x v="9"/>
    <n v="2247.8727380958298"/>
    <x v="0"/>
    <x v="0"/>
    <x v="1"/>
    <x v="4"/>
    <x v="5"/>
    <x v="9"/>
    <n v="2450.1812845244549"/>
  </r>
  <r>
    <x v="0"/>
    <x v="0"/>
    <x v="0"/>
    <x v="0"/>
    <x v="0"/>
    <x v="1"/>
    <x v="0"/>
    <x v="0"/>
    <x v="0"/>
    <x v="0"/>
    <x v="0"/>
    <x v="0"/>
    <x v="4"/>
    <x v="5"/>
    <x v="5"/>
    <x v="10"/>
    <x v="10"/>
    <n v="431.10653441783001"/>
    <x v="0"/>
    <x v="0"/>
    <x v="1"/>
    <x v="4"/>
    <x v="5"/>
    <x v="10"/>
    <n v="469.90612251543473"/>
  </r>
  <r>
    <x v="0"/>
    <x v="0"/>
    <x v="0"/>
    <x v="0"/>
    <x v="0"/>
    <x v="1"/>
    <x v="0"/>
    <x v="0"/>
    <x v="0"/>
    <x v="0"/>
    <x v="0"/>
    <x v="0"/>
    <x v="4"/>
    <x v="5"/>
    <x v="5"/>
    <x v="29"/>
    <x v="29"/>
    <n v="0.76026000000000005"/>
    <x v="0"/>
    <x v="0"/>
    <x v="1"/>
    <x v="3"/>
    <x v="3"/>
    <x v="13"/>
    <n v="0.82868340000000007"/>
  </r>
  <r>
    <x v="0"/>
    <x v="0"/>
    <x v="0"/>
    <x v="0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0"/>
    <x v="0"/>
    <x v="0"/>
    <x v="0"/>
    <x v="0"/>
    <x v="1"/>
    <x v="0"/>
    <x v="0"/>
    <x v="0"/>
    <x v="0"/>
    <x v="0"/>
    <x v="0"/>
    <x v="4"/>
    <x v="5"/>
    <x v="5"/>
    <x v="12"/>
    <x v="12"/>
    <n v="7.1140465116008702"/>
    <x v="0"/>
    <x v="0"/>
    <x v="0"/>
    <x v="0"/>
    <x v="8"/>
    <x v="12"/>
    <n v="7.7543106976449492"/>
  </r>
  <r>
    <x v="0"/>
    <x v="0"/>
    <x v="0"/>
    <x v="0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0"/>
    <x v="0"/>
    <x v="0"/>
    <x v="0"/>
    <x v="0"/>
    <x v="1"/>
    <x v="0"/>
    <x v="0"/>
    <x v="0"/>
    <x v="0"/>
    <x v="0"/>
    <x v="0"/>
    <x v="4"/>
    <x v="5"/>
    <x v="5"/>
    <x v="22"/>
    <x v="22"/>
    <n v="76.186365591093093"/>
    <x v="0"/>
    <x v="0"/>
    <x v="0"/>
    <x v="0"/>
    <x v="0"/>
    <x v="0"/>
    <n v="83.043138494291483"/>
  </r>
  <r>
    <x v="0"/>
    <x v="0"/>
    <x v="0"/>
    <x v="0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0"/>
    <x v="0"/>
    <x v="0"/>
    <x v="0"/>
    <x v="0"/>
    <x v="1"/>
    <x v="0"/>
    <x v="0"/>
    <x v="0"/>
    <x v="0"/>
    <x v="0"/>
    <x v="0"/>
    <x v="4"/>
    <x v="5"/>
    <x v="5"/>
    <x v="36"/>
    <x v="36"/>
    <n v="225.64773394481901"/>
    <x v="0"/>
    <x v="0"/>
    <x v="1"/>
    <x v="3"/>
    <x v="3"/>
    <x v="4"/>
    <n v="245.95602999985275"/>
  </r>
  <r>
    <x v="0"/>
    <x v="0"/>
    <x v="0"/>
    <x v="0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0"/>
    <x v="0"/>
    <x v="0"/>
    <x v="0"/>
    <x v="0"/>
    <x v="1"/>
    <x v="0"/>
    <x v="0"/>
    <x v="0"/>
    <x v="0"/>
    <x v="0"/>
    <x v="0"/>
    <x v="4"/>
    <x v="5"/>
    <x v="5"/>
    <x v="24"/>
    <x v="24"/>
    <n v="265.66488073378599"/>
    <x v="0"/>
    <x v="0"/>
    <x v="1"/>
    <x v="3"/>
    <x v="3"/>
    <x v="4"/>
    <n v="289.57471999982675"/>
  </r>
  <r>
    <x v="0"/>
    <x v="0"/>
    <x v="0"/>
    <x v="0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0"/>
    <x v="0"/>
    <x v="0"/>
    <x v="0"/>
    <x v="0"/>
    <x v="1"/>
    <x v="0"/>
    <x v="0"/>
    <x v="0"/>
    <x v="0"/>
    <x v="0"/>
    <x v="0"/>
    <x v="4"/>
    <x v="5"/>
    <x v="5"/>
    <x v="18"/>
    <x v="18"/>
    <n v="1225.01154"/>
    <x v="0"/>
    <x v="0"/>
    <x v="0"/>
    <x v="0"/>
    <x v="4"/>
    <x v="18"/>
    <n v="1335.2625786000001"/>
  </r>
  <r>
    <x v="0"/>
    <x v="0"/>
    <x v="0"/>
    <x v="0"/>
    <x v="0"/>
    <x v="1"/>
    <x v="0"/>
    <x v="0"/>
    <x v="0"/>
    <x v="0"/>
    <x v="0"/>
    <x v="0"/>
    <x v="4"/>
    <x v="5"/>
    <x v="5"/>
    <x v="34"/>
    <x v="34"/>
    <n v="488.825434926188"/>
    <x v="0"/>
    <x v="0"/>
    <x v="0"/>
    <x v="0"/>
    <x v="0"/>
    <x v="0"/>
    <n v="532.81972406954492"/>
  </r>
  <r>
    <x v="0"/>
    <x v="0"/>
    <x v="0"/>
    <x v="0"/>
    <x v="0"/>
    <x v="1"/>
    <x v="0"/>
    <x v="0"/>
    <x v="0"/>
    <x v="0"/>
    <x v="0"/>
    <x v="0"/>
    <x v="4"/>
    <x v="5"/>
    <x v="5"/>
    <x v="25"/>
    <x v="25"/>
    <n v="122.88001834855"/>
    <x v="0"/>
    <x v="0"/>
    <x v="1"/>
    <x v="4"/>
    <x v="5"/>
    <x v="9"/>
    <n v="133.93921999991952"/>
  </r>
  <r>
    <x v="0"/>
    <x v="0"/>
    <x v="0"/>
    <x v="0"/>
    <x v="0"/>
    <x v="1"/>
    <x v="0"/>
    <x v="0"/>
    <x v="0"/>
    <x v="0"/>
    <x v="0"/>
    <x v="0"/>
    <x v="4"/>
    <x v="5"/>
    <x v="5"/>
    <x v="37"/>
    <x v="37"/>
    <n v="497.42994495382999"/>
    <x v="0"/>
    <x v="0"/>
    <x v="1"/>
    <x v="3"/>
    <x v="3"/>
    <x v="4"/>
    <n v="542.1986399996747"/>
  </r>
  <r>
    <x v="0"/>
    <x v="0"/>
    <x v="0"/>
    <x v="0"/>
    <x v="0"/>
    <x v="1"/>
    <x v="0"/>
    <x v="0"/>
    <x v="0"/>
    <x v="0"/>
    <x v="0"/>
    <x v="0"/>
    <x v="4"/>
    <x v="5"/>
    <x v="5"/>
    <x v="27"/>
    <x v="27"/>
    <n v="33.098081081782802"/>
    <x v="0"/>
    <x v="0"/>
    <x v="1"/>
    <x v="3"/>
    <x v="3"/>
    <x v="19"/>
    <n v="36.076908379143255"/>
  </r>
  <r>
    <x v="0"/>
    <x v="0"/>
    <x v="0"/>
    <x v="0"/>
    <x v="0"/>
    <x v="1"/>
    <x v="0"/>
    <x v="0"/>
    <x v="0"/>
    <x v="0"/>
    <x v="0"/>
    <x v="0"/>
    <x v="4"/>
    <x v="5"/>
    <x v="5"/>
    <x v="26"/>
    <x v="26"/>
    <n v="12.430302752286099"/>
    <x v="0"/>
    <x v="0"/>
    <x v="1"/>
    <x v="3"/>
    <x v="3"/>
    <x v="15"/>
    <n v="13.549029999991848"/>
  </r>
  <r>
    <x v="0"/>
    <x v="0"/>
    <x v="0"/>
    <x v="0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0"/>
    <x v="0"/>
    <x v="0"/>
    <x v="0"/>
    <x v="0"/>
    <x v="1"/>
    <x v="0"/>
    <x v="0"/>
    <x v="0"/>
    <x v="0"/>
    <x v="0"/>
    <x v="0"/>
    <x v="4"/>
    <x v="5"/>
    <x v="5"/>
    <x v="2"/>
    <x v="2"/>
    <n v="11553.4217431123"/>
    <x v="0"/>
    <x v="1"/>
    <x v="2"/>
    <x v="2"/>
    <x v="2"/>
    <x v="2"/>
    <n v="12593.229699992407"/>
  </r>
  <r>
    <x v="0"/>
    <x v="0"/>
    <x v="0"/>
    <x v="0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2"/>
    <x v="2"/>
    <n v="49.030419999970569"/>
  </r>
  <r>
    <x v="0"/>
    <x v="0"/>
    <x v="0"/>
    <x v="0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0"/>
    <x v="0"/>
    <x v="0"/>
    <x v="0"/>
    <x v="0"/>
    <x v="1"/>
    <x v="0"/>
    <x v="0"/>
    <x v="0"/>
    <x v="0"/>
    <x v="3"/>
    <x v="3"/>
    <x v="0"/>
    <x v="4"/>
    <x v="4"/>
    <x v="2"/>
    <x v="2"/>
    <n v="150.644688073304"/>
    <x v="0"/>
    <x v="1"/>
    <x v="2"/>
    <x v="2"/>
    <x v="2"/>
    <x v="2"/>
    <n v="164.20270999990137"/>
  </r>
  <r>
    <x v="0"/>
    <x v="0"/>
    <x v="0"/>
    <x v="0"/>
    <x v="0"/>
    <x v="1"/>
    <x v="0"/>
    <x v="0"/>
    <x v="0"/>
    <x v="0"/>
    <x v="3"/>
    <x v="3"/>
    <x v="2"/>
    <x v="2"/>
    <x v="2"/>
    <x v="6"/>
    <x v="6"/>
    <n v="2.10324"/>
    <x v="0"/>
    <x v="0"/>
    <x v="0"/>
    <x v="0"/>
    <x v="4"/>
    <x v="6"/>
    <n v="2.2925316000000002"/>
  </r>
  <r>
    <x v="0"/>
    <x v="0"/>
    <x v="0"/>
    <x v="0"/>
    <x v="0"/>
    <x v="1"/>
    <x v="0"/>
    <x v="0"/>
    <x v="0"/>
    <x v="0"/>
    <x v="3"/>
    <x v="3"/>
    <x v="2"/>
    <x v="2"/>
    <x v="2"/>
    <x v="8"/>
    <x v="8"/>
    <n v="701.62721622070706"/>
    <x v="0"/>
    <x v="1"/>
    <x v="2"/>
    <x v="2"/>
    <x v="6"/>
    <x v="8"/>
    <n v="764.77366568057073"/>
  </r>
  <r>
    <x v="0"/>
    <x v="0"/>
    <x v="0"/>
    <x v="0"/>
    <x v="0"/>
    <x v="1"/>
    <x v="0"/>
    <x v="0"/>
    <x v="0"/>
    <x v="0"/>
    <x v="3"/>
    <x v="3"/>
    <x v="2"/>
    <x v="2"/>
    <x v="2"/>
    <x v="30"/>
    <x v="30"/>
    <n v="86.962426074920998"/>
    <x v="0"/>
    <x v="0"/>
    <x v="0"/>
    <x v="0"/>
    <x v="0"/>
    <x v="0"/>
    <n v="94.789044421663888"/>
  </r>
  <r>
    <x v="0"/>
    <x v="0"/>
    <x v="0"/>
    <x v="0"/>
    <x v="0"/>
    <x v="1"/>
    <x v="0"/>
    <x v="0"/>
    <x v="2"/>
    <x v="2"/>
    <x v="3"/>
    <x v="3"/>
    <x v="2"/>
    <x v="2"/>
    <x v="2"/>
    <x v="38"/>
    <x v="38"/>
    <n v="1.79352"/>
    <x v="1"/>
    <x v="0"/>
    <x v="4"/>
    <x v="6"/>
    <x v="10"/>
    <x v="21"/>
    <n v="1.9549368000000003"/>
  </r>
  <r>
    <x v="0"/>
    <x v="0"/>
    <x v="0"/>
    <x v="0"/>
    <x v="0"/>
    <x v="1"/>
    <x v="0"/>
    <x v="0"/>
    <x v="0"/>
    <x v="0"/>
    <x v="3"/>
    <x v="3"/>
    <x v="2"/>
    <x v="2"/>
    <x v="2"/>
    <x v="2"/>
    <x v="2"/>
    <n v="758.62829357752696"/>
    <x v="0"/>
    <x v="1"/>
    <x v="2"/>
    <x v="2"/>
    <x v="2"/>
    <x v="2"/>
    <n v="826.90483999950447"/>
  </r>
  <r>
    <x v="0"/>
    <x v="0"/>
    <x v="0"/>
    <x v="0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0"/>
    <x v="0"/>
    <x v="0"/>
    <x v="0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2"/>
    <x v="2"/>
    <n v="9.1146899999945354"/>
  </r>
  <r>
    <x v="0"/>
    <x v="0"/>
    <x v="0"/>
    <x v="0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0"/>
    <x v="0"/>
    <x v="0"/>
    <x v="0"/>
    <x v="0"/>
    <x v="1"/>
    <x v="0"/>
    <x v="0"/>
    <x v="0"/>
    <x v="0"/>
    <x v="3"/>
    <x v="3"/>
    <x v="4"/>
    <x v="5"/>
    <x v="5"/>
    <x v="12"/>
    <x v="12"/>
    <n v="46.175953488196598"/>
    <x v="0"/>
    <x v="0"/>
    <x v="0"/>
    <x v="0"/>
    <x v="8"/>
    <x v="12"/>
    <n v="50.331789302134297"/>
  </r>
  <r>
    <x v="0"/>
    <x v="0"/>
    <x v="0"/>
    <x v="0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0"/>
    <x v="0"/>
    <x v="0"/>
    <x v="0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0"/>
    <x v="0"/>
    <x v="0"/>
    <x v="0"/>
    <x v="0"/>
    <x v="1"/>
    <x v="0"/>
    <x v="0"/>
    <x v="0"/>
    <x v="0"/>
    <x v="3"/>
    <x v="3"/>
    <x v="4"/>
    <x v="5"/>
    <x v="5"/>
    <x v="0"/>
    <x v="0"/>
    <n v="174.29121174328401"/>
    <x v="0"/>
    <x v="0"/>
    <x v="0"/>
    <x v="0"/>
    <x v="0"/>
    <x v="0"/>
    <n v="189.97742080017957"/>
  </r>
  <r>
    <x v="0"/>
    <x v="0"/>
    <x v="0"/>
    <x v="0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2"/>
    <x v="2"/>
    <n v="10.937299999993417"/>
  </r>
  <r>
    <x v="0"/>
    <x v="0"/>
    <x v="0"/>
    <x v="0"/>
    <x v="0"/>
    <x v="1"/>
    <x v="0"/>
    <x v="0"/>
    <x v="2"/>
    <x v="2"/>
    <x v="18"/>
    <x v="18"/>
    <x v="0"/>
    <x v="4"/>
    <x v="4"/>
    <x v="38"/>
    <x v="38"/>
    <n v="3.9950000000000001"/>
    <x v="1"/>
    <x v="0"/>
    <x v="4"/>
    <x v="6"/>
    <x v="10"/>
    <x v="21"/>
    <n v="4.3545500000000006"/>
  </r>
  <r>
    <x v="0"/>
    <x v="0"/>
    <x v="0"/>
    <x v="0"/>
    <x v="0"/>
    <x v="1"/>
    <x v="0"/>
    <x v="0"/>
    <x v="0"/>
    <x v="0"/>
    <x v="18"/>
    <x v="18"/>
    <x v="0"/>
    <x v="4"/>
    <x v="4"/>
    <x v="16"/>
    <x v="16"/>
    <n v="97.995000000000005"/>
    <x v="0"/>
    <x v="0"/>
    <x v="3"/>
    <x v="5"/>
    <x v="9"/>
    <x v="16"/>
    <n v="106.81455000000001"/>
  </r>
  <r>
    <x v="0"/>
    <x v="0"/>
    <x v="0"/>
    <x v="0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2"/>
    <x v="2"/>
    <n v="39.179999999976495"/>
  </r>
  <r>
    <x v="0"/>
    <x v="0"/>
    <x v="0"/>
    <x v="0"/>
    <x v="0"/>
    <x v="1"/>
    <x v="0"/>
    <x v="0"/>
    <x v="0"/>
    <x v="0"/>
    <x v="4"/>
    <x v="4"/>
    <x v="2"/>
    <x v="2"/>
    <x v="2"/>
    <x v="8"/>
    <x v="8"/>
    <n v="16.8015270271346"/>
    <x v="0"/>
    <x v="1"/>
    <x v="2"/>
    <x v="2"/>
    <x v="6"/>
    <x v="8"/>
    <n v="18.313664459576717"/>
  </r>
  <r>
    <x v="0"/>
    <x v="0"/>
    <x v="0"/>
    <x v="0"/>
    <x v="0"/>
    <x v="1"/>
    <x v="0"/>
    <x v="0"/>
    <x v="0"/>
    <x v="0"/>
    <x v="4"/>
    <x v="4"/>
    <x v="2"/>
    <x v="2"/>
    <x v="2"/>
    <x v="9"/>
    <x v="9"/>
    <n v="0.20230275229346001"/>
    <x v="0"/>
    <x v="0"/>
    <x v="1"/>
    <x v="4"/>
    <x v="5"/>
    <x v="9"/>
    <n v="0.22050999999987142"/>
  </r>
  <r>
    <x v="0"/>
    <x v="0"/>
    <x v="0"/>
    <x v="0"/>
    <x v="0"/>
    <x v="1"/>
    <x v="0"/>
    <x v="0"/>
    <x v="0"/>
    <x v="0"/>
    <x v="4"/>
    <x v="4"/>
    <x v="2"/>
    <x v="2"/>
    <x v="2"/>
    <x v="16"/>
    <x v="16"/>
    <n v="0.35325000000000001"/>
    <x v="0"/>
    <x v="0"/>
    <x v="3"/>
    <x v="5"/>
    <x v="9"/>
    <x v="16"/>
    <n v="0.38504250000000001"/>
  </r>
  <r>
    <x v="0"/>
    <x v="0"/>
    <x v="0"/>
    <x v="0"/>
    <x v="0"/>
    <x v="1"/>
    <x v="0"/>
    <x v="0"/>
    <x v="0"/>
    <x v="0"/>
    <x v="4"/>
    <x v="4"/>
    <x v="2"/>
    <x v="2"/>
    <x v="2"/>
    <x v="27"/>
    <x v="27"/>
    <n v="1.395945945976E-2"/>
    <x v="0"/>
    <x v="0"/>
    <x v="1"/>
    <x v="3"/>
    <x v="3"/>
    <x v="19"/>
    <n v="1.5215810811138401E-2"/>
  </r>
  <r>
    <x v="0"/>
    <x v="0"/>
    <x v="0"/>
    <x v="0"/>
    <x v="0"/>
    <x v="1"/>
    <x v="0"/>
    <x v="0"/>
    <x v="0"/>
    <x v="0"/>
    <x v="4"/>
    <x v="4"/>
    <x v="2"/>
    <x v="2"/>
    <x v="2"/>
    <x v="2"/>
    <x v="2"/>
    <n v="3.2998256880714099"/>
    <x v="0"/>
    <x v="1"/>
    <x v="2"/>
    <x v="2"/>
    <x v="2"/>
    <x v="2"/>
    <n v="3.5968099999978369"/>
  </r>
  <r>
    <x v="0"/>
    <x v="0"/>
    <x v="0"/>
    <x v="0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0"/>
    <x v="0"/>
    <x v="0"/>
    <x v="0"/>
    <x v="0"/>
    <x v="1"/>
    <x v="0"/>
    <x v="0"/>
    <x v="2"/>
    <x v="2"/>
    <x v="5"/>
    <x v="5"/>
    <x v="2"/>
    <x v="2"/>
    <x v="2"/>
    <x v="42"/>
    <x v="42"/>
    <n v="10.295999999999999"/>
    <x v="1"/>
    <x v="2"/>
    <x v="5"/>
    <x v="7"/>
    <x v="11"/>
    <x v="22"/>
    <n v="11.22264"/>
  </r>
  <r>
    <x v="0"/>
    <x v="0"/>
    <x v="0"/>
    <x v="0"/>
    <x v="0"/>
    <x v="1"/>
    <x v="0"/>
    <x v="0"/>
    <x v="2"/>
    <x v="2"/>
    <x v="5"/>
    <x v="5"/>
    <x v="2"/>
    <x v="2"/>
    <x v="2"/>
    <x v="41"/>
    <x v="41"/>
    <n v="7.4925957446523803"/>
    <x v="1"/>
    <x v="2"/>
    <x v="5"/>
    <x v="7"/>
    <x v="11"/>
    <x v="22"/>
    <n v="8.1669293616710945"/>
  </r>
  <r>
    <x v="0"/>
    <x v="0"/>
    <x v="0"/>
    <x v="0"/>
    <x v="0"/>
    <x v="1"/>
    <x v="0"/>
    <x v="0"/>
    <x v="2"/>
    <x v="2"/>
    <x v="5"/>
    <x v="5"/>
    <x v="2"/>
    <x v="2"/>
    <x v="2"/>
    <x v="40"/>
    <x v="40"/>
    <n v="381.42543999999998"/>
    <x v="1"/>
    <x v="2"/>
    <x v="5"/>
    <x v="7"/>
    <x v="11"/>
    <x v="22"/>
    <n v="415.75372959999999"/>
  </r>
  <r>
    <x v="0"/>
    <x v="0"/>
    <x v="0"/>
    <x v="0"/>
    <x v="0"/>
    <x v="1"/>
    <x v="0"/>
    <x v="0"/>
    <x v="2"/>
    <x v="2"/>
    <x v="5"/>
    <x v="5"/>
    <x v="2"/>
    <x v="2"/>
    <x v="2"/>
    <x v="38"/>
    <x v="38"/>
    <n v="8.3482699999999994"/>
    <x v="1"/>
    <x v="0"/>
    <x v="4"/>
    <x v="6"/>
    <x v="10"/>
    <x v="21"/>
    <n v="9.0996143000000007"/>
  </r>
  <r>
    <x v="0"/>
    <x v="0"/>
    <x v="0"/>
    <x v="0"/>
    <x v="0"/>
    <x v="1"/>
    <x v="0"/>
    <x v="0"/>
    <x v="0"/>
    <x v="0"/>
    <x v="5"/>
    <x v="5"/>
    <x v="2"/>
    <x v="2"/>
    <x v="2"/>
    <x v="17"/>
    <x v="17"/>
    <n v="8.9847999999999999"/>
    <x v="0"/>
    <x v="0"/>
    <x v="0"/>
    <x v="0"/>
    <x v="4"/>
    <x v="17"/>
    <n v="9.793432000000001"/>
  </r>
  <r>
    <x v="0"/>
    <x v="0"/>
    <x v="0"/>
    <x v="0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0"/>
    <x v="0"/>
    <x v="0"/>
    <x v="0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0"/>
    <x v="0"/>
    <x v="0"/>
    <x v="0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0"/>
    <x v="0"/>
    <x v="0"/>
    <x v="0"/>
    <x v="0"/>
    <x v="1"/>
    <x v="0"/>
    <x v="0"/>
    <x v="2"/>
    <x v="2"/>
    <x v="5"/>
    <x v="5"/>
    <x v="3"/>
    <x v="7"/>
    <x v="7"/>
    <x v="40"/>
    <x v="40"/>
    <n v="3.1366700000000001"/>
    <x v="1"/>
    <x v="2"/>
    <x v="5"/>
    <x v="7"/>
    <x v="11"/>
    <x v="22"/>
    <n v="3.4189703000000002"/>
  </r>
  <r>
    <x v="0"/>
    <x v="0"/>
    <x v="0"/>
    <x v="0"/>
    <x v="0"/>
    <x v="1"/>
    <x v="0"/>
    <x v="0"/>
    <x v="2"/>
    <x v="2"/>
    <x v="5"/>
    <x v="5"/>
    <x v="1"/>
    <x v="8"/>
    <x v="8"/>
    <x v="40"/>
    <x v="40"/>
    <n v="2.0990500000000001"/>
    <x v="1"/>
    <x v="2"/>
    <x v="5"/>
    <x v="7"/>
    <x v="11"/>
    <x v="22"/>
    <n v="2.2879645000000002"/>
  </r>
  <r>
    <x v="0"/>
    <x v="0"/>
    <x v="0"/>
    <x v="0"/>
    <x v="0"/>
    <x v="1"/>
    <x v="0"/>
    <x v="0"/>
    <x v="2"/>
    <x v="2"/>
    <x v="5"/>
    <x v="5"/>
    <x v="2"/>
    <x v="10"/>
    <x v="10"/>
    <x v="40"/>
    <x v="40"/>
    <n v="0.50805"/>
    <x v="1"/>
    <x v="2"/>
    <x v="5"/>
    <x v="7"/>
    <x v="11"/>
    <x v="22"/>
    <n v="0.55377450000000006"/>
  </r>
  <r>
    <x v="0"/>
    <x v="0"/>
    <x v="0"/>
    <x v="0"/>
    <x v="0"/>
    <x v="1"/>
    <x v="0"/>
    <x v="0"/>
    <x v="2"/>
    <x v="2"/>
    <x v="5"/>
    <x v="5"/>
    <x v="4"/>
    <x v="5"/>
    <x v="5"/>
    <x v="40"/>
    <x v="40"/>
    <n v="68.877600000000001"/>
    <x v="1"/>
    <x v="2"/>
    <x v="5"/>
    <x v="7"/>
    <x v="11"/>
    <x v="22"/>
    <n v="75.076584000000011"/>
  </r>
  <r>
    <x v="0"/>
    <x v="0"/>
    <x v="0"/>
    <x v="0"/>
    <x v="0"/>
    <x v="1"/>
    <x v="0"/>
    <x v="0"/>
    <x v="2"/>
    <x v="2"/>
    <x v="6"/>
    <x v="6"/>
    <x v="2"/>
    <x v="2"/>
    <x v="2"/>
    <x v="40"/>
    <x v="40"/>
    <n v="8.9590999999999994"/>
    <x v="1"/>
    <x v="2"/>
    <x v="5"/>
    <x v="7"/>
    <x v="11"/>
    <x v="22"/>
    <n v="9.7654189999999996"/>
  </r>
  <r>
    <x v="0"/>
    <x v="0"/>
    <x v="0"/>
    <x v="0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0"/>
    <x v="0"/>
    <x v="0"/>
    <x v="0"/>
    <x v="0"/>
    <x v="1"/>
    <x v="0"/>
    <x v="0"/>
    <x v="2"/>
    <x v="2"/>
    <x v="7"/>
    <x v="7"/>
    <x v="2"/>
    <x v="2"/>
    <x v="2"/>
    <x v="40"/>
    <x v="40"/>
    <n v="110.79316"/>
    <x v="1"/>
    <x v="2"/>
    <x v="5"/>
    <x v="7"/>
    <x v="11"/>
    <x v="22"/>
    <n v="120.76454440000001"/>
  </r>
  <r>
    <x v="0"/>
    <x v="0"/>
    <x v="0"/>
    <x v="0"/>
    <x v="0"/>
    <x v="1"/>
    <x v="0"/>
    <x v="0"/>
    <x v="2"/>
    <x v="2"/>
    <x v="7"/>
    <x v="7"/>
    <x v="2"/>
    <x v="2"/>
    <x v="2"/>
    <x v="38"/>
    <x v="38"/>
    <n v="151.28735"/>
    <x v="1"/>
    <x v="0"/>
    <x v="4"/>
    <x v="6"/>
    <x v="10"/>
    <x v="21"/>
    <n v="164.90321150000003"/>
  </r>
  <r>
    <x v="0"/>
    <x v="0"/>
    <x v="0"/>
    <x v="0"/>
    <x v="0"/>
    <x v="1"/>
    <x v="0"/>
    <x v="0"/>
    <x v="2"/>
    <x v="2"/>
    <x v="7"/>
    <x v="7"/>
    <x v="2"/>
    <x v="2"/>
    <x v="2"/>
    <x v="43"/>
    <x v="43"/>
    <n v="0.22914999999999999"/>
    <x v="1"/>
    <x v="0"/>
    <x v="4"/>
    <x v="6"/>
    <x v="10"/>
    <x v="21"/>
    <n v="0.24977350000000001"/>
  </r>
  <r>
    <x v="0"/>
    <x v="0"/>
    <x v="0"/>
    <x v="0"/>
    <x v="0"/>
    <x v="1"/>
    <x v="0"/>
    <x v="0"/>
    <x v="2"/>
    <x v="2"/>
    <x v="7"/>
    <x v="7"/>
    <x v="2"/>
    <x v="2"/>
    <x v="2"/>
    <x v="44"/>
    <x v="44"/>
    <n v="3.2566700000000002"/>
    <x v="1"/>
    <x v="0"/>
    <x v="4"/>
    <x v="6"/>
    <x v="10"/>
    <x v="21"/>
    <n v="3.5497703000000005"/>
  </r>
  <r>
    <x v="0"/>
    <x v="0"/>
    <x v="0"/>
    <x v="0"/>
    <x v="0"/>
    <x v="1"/>
    <x v="0"/>
    <x v="0"/>
    <x v="0"/>
    <x v="0"/>
    <x v="7"/>
    <x v="7"/>
    <x v="2"/>
    <x v="2"/>
    <x v="2"/>
    <x v="17"/>
    <x v="17"/>
    <n v="0.27833999999999998"/>
    <x v="0"/>
    <x v="0"/>
    <x v="0"/>
    <x v="0"/>
    <x v="4"/>
    <x v="17"/>
    <n v="0.30339060000000001"/>
  </r>
  <r>
    <x v="0"/>
    <x v="0"/>
    <x v="0"/>
    <x v="0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0"/>
    <x v="0"/>
    <x v="0"/>
    <x v="0"/>
    <x v="0"/>
    <x v="1"/>
    <x v="0"/>
    <x v="0"/>
    <x v="2"/>
    <x v="2"/>
    <x v="7"/>
    <x v="7"/>
    <x v="2"/>
    <x v="2"/>
    <x v="2"/>
    <x v="46"/>
    <x v="46"/>
    <n v="3.9169"/>
    <x v="1"/>
    <x v="0"/>
    <x v="4"/>
    <x v="6"/>
    <x v="10"/>
    <x v="21"/>
    <n v="4.2694210000000004"/>
  </r>
  <r>
    <x v="0"/>
    <x v="0"/>
    <x v="0"/>
    <x v="0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0"/>
    <x v="0"/>
    <x v="0"/>
    <x v="0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0"/>
    <x v="0"/>
    <x v="0"/>
    <x v="0"/>
    <x v="0"/>
    <x v="1"/>
    <x v="0"/>
    <x v="0"/>
    <x v="2"/>
    <x v="2"/>
    <x v="7"/>
    <x v="7"/>
    <x v="3"/>
    <x v="7"/>
    <x v="7"/>
    <x v="40"/>
    <x v="40"/>
    <n v="73.254710000000003"/>
    <x v="1"/>
    <x v="2"/>
    <x v="5"/>
    <x v="7"/>
    <x v="11"/>
    <x v="22"/>
    <n v="79.847633900000005"/>
  </r>
  <r>
    <x v="0"/>
    <x v="0"/>
    <x v="0"/>
    <x v="0"/>
    <x v="0"/>
    <x v="1"/>
    <x v="0"/>
    <x v="0"/>
    <x v="2"/>
    <x v="2"/>
    <x v="7"/>
    <x v="7"/>
    <x v="1"/>
    <x v="8"/>
    <x v="8"/>
    <x v="40"/>
    <x v="40"/>
    <n v="7.4661999999999997"/>
    <x v="1"/>
    <x v="2"/>
    <x v="5"/>
    <x v="7"/>
    <x v="11"/>
    <x v="22"/>
    <n v="8.1381580000000007"/>
  </r>
  <r>
    <x v="0"/>
    <x v="0"/>
    <x v="0"/>
    <x v="0"/>
    <x v="0"/>
    <x v="1"/>
    <x v="0"/>
    <x v="0"/>
    <x v="2"/>
    <x v="2"/>
    <x v="7"/>
    <x v="7"/>
    <x v="2"/>
    <x v="10"/>
    <x v="10"/>
    <x v="40"/>
    <x v="40"/>
    <n v="1.6935199999999999"/>
    <x v="1"/>
    <x v="2"/>
    <x v="5"/>
    <x v="7"/>
    <x v="11"/>
    <x v="22"/>
    <n v="1.8459368"/>
  </r>
  <r>
    <x v="0"/>
    <x v="0"/>
    <x v="0"/>
    <x v="0"/>
    <x v="0"/>
    <x v="1"/>
    <x v="0"/>
    <x v="0"/>
    <x v="2"/>
    <x v="2"/>
    <x v="7"/>
    <x v="7"/>
    <x v="4"/>
    <x v="5"/>
    <x v="5"/>
    <x v="40"/>
    <x v="40"/>
    <n v="54.083579999999998"/>
    <x v="1"/>
    <x v="2"/>
    <x v="5"/>
    <x v="7"/>
    <x v="11"/>
    <x v="22"/>
    <n v="58.951102200000001"/>
  </r>
  <r>
    <x v="0"/>
    <x v="0"/>
    <x v="0"/>
    <x v="0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0"/>
    <x v="0"/>
    <x v="0"/>
    <x v="0"/>
    <x v="0"/>
    <x v="1"/>
    <x v="0"/>
    <x v="0"/>
    <x v="2"/>
    <x v="2"/>
    <x v="8"/>
    <x v="8"/>
    <x v="2"/>
    <x v="2"/>
    <x v="2"/>
    <x v="40"/>
    <x v="40"/>
    <n v="77.295670000000001"/>
    <x v="1"/>
    <x v="2"/>
    <x v="5"/>
    <x v="7"/>
    <x v="11"/>
    <x v="22"/>
    <n v="84.25228030000001"/>
  </r>
  <r>
    <x v="0"/>
    <x v="0"/>
    <x v="0"/>
    <x v="0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0"/>
    <x v="0"/>
    <x v="0"/>
    <x v="0"/>
    <x v="0"/>
    <x v="1"/>
    <x v="0"/>
    <x v="0"/>
    <x v="2"/>
    <x v="2"/>
    <x v="9"/>
    <x v="9"/>
    <x v="2"/>
    <x v="2"/>
    <x v="2"/>
    <x v="40"/>
    <x v="40"/>
    <n v="689.02921000000003"/>
    <x v="1"/>
    <x v="2"/>
    <x v="5"/>
    <x v="7"/>
    <x v="11"/>
    <x v="22"/>
    <n v="751.04183890000013"/>
  </r>
  <r>
    <x v="0"/>
    <x v="0"/>
    <x v="0"/>
    <x v="0"/>
    <x v="0"/>
    <x v="1"/>
    <x v="0"/>
    <x v="0"/>
    <x v="2"/>
    <x v="2"/>
    <x v="9"/>
    <x v="9"/>
    <x v="2"/>
    <x v="2"/>
    <x v="2"/>
    <x v="38"/>
    <x v="38"/>
    <n v="220.94712999999999"/>
    <x v="1"/>
    <x v="0"/>
    <x v="4"/>
    <x v="6"/>
    <x v="10"/>
    <x v="21"/>
    <n v="240.83237170000001"/>
  </r>
  <r>
    <x v="0"/>
    <x v="0"/>
    <x v="0"/>
    <x v="0"/>
    <x v="0"/>
    <x v="1"/>
    <x v="0"/>
    <x v="0"/>
    <x v="2"/>
    <x v="2"/>
    <x v="9"/>
    <x v="9"/>
    <x v="2"/>
    <x v="2"/>
    <x v="2"/>
    <x v="48"/>
    <x v="48"/>
    <n v="32.911990000000003"/>
    <x v="1"/>
    <x v="0"/>
    <x v="4"/>
    <x v="6"/>
    <x v="10"/>
    <x v="21"/>
    <n v="35.874069100000007"/>
  </r>
  <r>
    <x v="0"/>
    <x v="0"/>
    <x v="0"/>
    <x v="0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0"/>
    <x v="0"/>
    <x v="0"/>
    <x v="0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0"/>
    <x v="0"/>
    <x v="0"/>
    <x v="0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0"/>
    <x v="0"/>
    <x v="0"/>
    <x v="0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0"/>
    <x v="0"/>
    <x v="0"/>
    <x v="0"/>
    <x v="0"/>
    <x v="1"/>
    <x v="0"/>
    <x v="0"/>
    <x v="2"/>
    <x v="2"/>
    <x v="9"/>
    <x v="9"/>
    <x v="3"/>
    <x v="7"/>
    <x v="7"/>
    <x v="40"/>
    <x v="40"/>
    <n v="364.75574999999998"/>
    <x v="1"/>
    <x v="2"/>
    <x v="5"/>
    <x v="7"/>
    <x v="11"/>
    <x v="22"/>
    <n v="397.58376750000002"/>
  </r>
  <r>
    <x v="0"/>
    <x v="0"/>
    <x v="0"/>
    <x v="0"/>
    <x v="0"/>
    <x v="1"/>
    <x v="0"/>
    <x v="0"/>
    <x v="2"/>
    <x v="2"/>
    <x v="9"/>
    <x v="9"/>
    <x v="1"/>
    <x v="8"/>
    <x v="8"/>
    <x v="40"/>
    <x v="40"/>
    <n v="101.03632"/>
    <x v="1"/>
    <x v="2"/>
    <x v="5"/>
    <x v="7"/>
    <x v="11"/>
    <x v="22"/>
    <n v="110.12958880000001"/>
  </r>
  <r>
    <x v="0"/>
    <x v="0"/>
    <x v="0"/>
    <x v="0"/>
    <x v="0"/>
    <x v="1"/>
    <x v="0"/>
    <x v="0"/>
    <x v="2"/>
    <x v="2"/>
    <x v="9"/>
    <x v="9"/>
    <x v="2"/>
    <x v="10"/>
    <x v="10"/>
    <x v="40"/>
    <x v="40"/>
    <n v="78.155929999999998"/>
    <x v="1"/>
    <x v="2"/>
    <x v="5"/>
    <x v="7"/>
    <x v="11"/>
    <x v="22"/>
    <n v="85.189963700000007"/>
  </r>
  <r>
    <x v="0"/>
    <x v="0"/>
    <x v="0"/>
    <x v="0"/>
    <x v="0"/>
    <x v="1"/>
    <x v="0"/>
    <x v="0"/>
    <x v="2"/>
    <x v="2"/>
    <x v="9"/>
    <x v="9"/>
    <x v="4"/>
    <x v="5"/>
    <x v="5"/>
    <x v="40"/>
    <x v="40"/>
    <n v="540.36359000000004"/>
    <x v="1"/>
    <x v="2"/>
    <x v="5"/>
    <x v="7"/>
    <x v="11"/>
    <x v="22"/>
    <n v="588.99631310000007"/>
  </r>
  <r>
    <x v="0"/>
    <x v="0"/>
    <x v="0"/>
    <x v="0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0"/>
    <x v="0"/>
    <x v="0"/>
    <x v="0"/>
    <x v="0"/>
    <x v="1"/>
    <x v="0"/>
    <x v="0"/>
    <x v="2"/>
    <x v="2"/>
    <x v="10"/>
    <x v="10"/>
    <x v="2"/>
    <x v="2"/>
    <x v="2"/>
    <x v="41"/>
    <x v="41"/>
    <n v="2.8245106382871401"/>
    <x v="1"/>
    <x v="2"/>
    <x v="5"/>
    <x v="7"/>
    <x v="11"/>
    <x v="22"/>
    <n v="3.078716595732983"/>
  </r>
  <r>
    <x v="0"/>
    <x v="0"/>
    <x v="0"/>
    <x v="0"/>
    <x v="0"/>
    <x v="1"/>
    <x v="0"/>
    <x v="0"/>
    <x v="2"/>
    <x v="2"/>
    <x v="10"/>
    <x v="10"/>
    <x v="2"/>
    <x v="2"/>
    <x v="2"/>
    <x v="40"/>
    <x v="40"/>
    <n v="272.42173000000003"/>
    <x v="1"/>
    <x v="2"/>
    <x v="5"/>
    <x v="7"/>
    <x v="11"/>
    <x v="22"/>
    <n v="296.93968570000004"/>
  </r>
  <r>
    <x v="0"/>
    <x v="0"/>
    <x v="0"/>
    <x v="0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0"/>
    <x v="0"/>
    <x v="0"/>
    <x v="0"/>
    <x v="0"/>
    <x v="1"/>
    <x v="0"/>
    <x v="0"/>
    <x v="0"/>
    <x v="0"/>
    <x v="11"/>
    <x v="11"/>
    <x v="4"/>
    <x v="5"/>
    <x v="5"/>
    <x v="10"/>
    <x v="10"/>
    <n v="53.155271469054703"/>
    <x v="0"/>
    <x v="0"/>
    <x v="1"/>
    <x v="4"/>
    <x v="5"/>
    <x v="10"/>
    <n v="57.939245901269629"/>
  </r>
  <r>
    <x v="0"/>
    <x v="0"/>
    <x v="0"/>
    <x v="0"/>
    <x v="0"/>
    <x v="1"/>
    <x v="0"/>
    <x v="0"/>
    <x v="3"/>
    <x v="3"/>
    <x v="12"/>
    <x v="12"/>
    <x v="2"/>
    <x v="2"/>
    <x v="2"/>
    <x v="40"/>
    <x v="40"/>
    <n v="8.0373699999999992"/>
    <x v="1"/>
    <x v="2"/>
    <x v="5"/>
    <x v="7"/>
    <x v="11"/>
    <x v="22"/>
    <n v="8.7607333000000001"/>
  </r>
  <r>
    <x v="0"/>
    <x v="0"/>
    <x v="0"/>
    <x v="0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0"/>
    <x v="0"/>
    <x v="0"/>
    <x v="0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0"/>
    <x v="0"/>
    <x v="0"/>
    <x v="0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0"/>
    <x v="0"/>
    <x v="0"/>
    <x v="0"/>
    <x v="0"/>
    <x v="1"/>
    <x v="0"/>
    <x v="0"/>
    <x v="3"/>
    <x v="3"/>
    <x v="12"/>
    <x v="12"/>
    <x v="3"/>
    <x v="7"/>
    <x v="7"/>
    <x v="40"/>
    <x v="40"/>
    <n v="4.4385199999999996"/>
    <x v="1"/>
    <x v="2"/>
    <x v="5"/>
    <x v="7"/>
    <x v="11"/>
    <x v="22"/>
    <n v="4.8379867999999995"/>
  </r>
  <r>
    <x v="0"/>
    <x v="0"/>
    <x v="0"/>
    <x v="0"/>
    <x v="0"/>
    <x v="1"/>
    <x v="0"/>
    <x v="0"/>
    <x v="3"/>
    <x v="3"/>
    <x v="12"/>
    <x v="12"/>
    <x v="4"/>
    <x v="5"/>
    <x v="5"/>
    <x v="40"/>
    <x v="40"/>
    <n v="8.2299100000000003"/>
    <x v="1"/>
    <x v="2"/>
    <x v="5"/>
    <x v="7"/>
    <x v="11"/>
    <x v="22"/>
    <n v="8.9706019000000001"/>
  </r>
  <r>
    <x v="0"/>
    <x v="0"/>
    <x v="0"/>
    <x v="0"/>
    <x v="0"/>
    <x v="1"/>
    <x v="0"/>
    <x v="0"/>
    <x v="3"/>
    <x v="3"/>
    <x v="13"/>
    <x v="13"/>
    <x v="2"/>
    <x v="2"/>
    <x v="2"/>
    <x v="41"/>
    <x v="41"/>
    <n v="21.357180850982701"/>
    <x v="1"/>
    <x v="2"/>
    <x v="5"/>
    <x v="7"/>
    <x v="11"/>
    <x v="22"/>
    <n v="23.279327127571147"/>
  </r>
  <r>
    <x v="0"/>
    <x v="0"/>
    <x v="0"/>
    <x v="0"/>
    <x v="0"/>
    <x v="1"/>
    <x v="0"/>
    <x v="0"/>
    <x v="3"/>
    <x v="3"/>
    <x v="13"/>
    <x v="13"/>
    <x v="2"/>
    <x v="2"/>
    <x v="2"/>
    <x v="40"/>
    <x v="40"/>
    <n v="202.9992"/>
    <x v="1"/>
    <x v="2"/>
    <x v="5"/>
    <x v="7"/>
    <x v="11"/>
    <x v="22"/>
    <n v="221.26912800000002"/>
  </r>
  <r>
    <x v="0"/>
    <x v="0"/>
    <x v="0"/>
    <x v="0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0"/>
    <x v="0"/>
    <x v="0"/>
    <x v="0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0"/>
    <x v="0"/>
    <x v="0"/>
    <x v="0"/>
    <x v="0"/>
    <x v="1"/>
    <x v="0"/>
    <x v="0"/>
    <x v="3"/>
    <x v="3"/>
    <x v="13"/>
    <x v="13"/>
    <x v="1"/>
    <x v="8"/>
    <x v="8"/>
    <x v="40"/>
    <x v="40"/>
    <n v="0.91461000000000003"/>
    <x v="1"/>
    <x v="2"/>
    <x v="5"/>
    <x v="7"/>
    <x v="11"/>
    <x v="22"/>
    <n v="0.99692490000000011"/>
  </r>
  <r>
    <x v="0"/>
    <x v="0"/>
    <x v="0"/>
    <x v="0"/>
    <x v="0"/>
    <x v="1"/>
    <x v="0"/>
    <x v="0"/>
    <x v="3"/>
    <x v="3"/>
    <x v="13"/>
    <x v="13"/>
    <x v="4"/>
    <x v="5"/>
    <x v="5"/>
    <x v="40"/>
    <x v="40"/>
    <n v="0.42765999999999998"/>
    <x v="1"/>
    <x v="2"/>
    <x v="5"/>
    <x v="7"/>
    <x v="11"/>
    <x v="22"/>
    <n v="0.46614939999999999"/>
  </r>
  <r>
    <x v="0"/>
    <x v="0"/>
    <x v="0"/>
    <x v="0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0"/>
    <x v="0"/>
    <x v="0"/>
    <x v="0"/>
    <x v="0"/>
    <x v="1"/>
    <x v="0"/>
    <x v="0"/>
    <x v="2"/>
    <x v="2"/>
    <x v="14"/>
    <x v="14"/>
    <x v="2"/>
    <x v="2"/>
    <x v="2"/>
    <x v="40"/>
    <x v="40"/>
    <n v="23.014389999999999"/>
    <x v="1"/>
    <x v="2"/>
    <x v="5"/>
    <x v="7"/>
    <x v="11"/>
    <x v="22"/>
    <n v="25.085685099999999"/>
  </r>
  <r>
    <x v="0"/>
    <x v="0"/>
    <x v="0"/>
    <x v="0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0"/>
    <x v="0"/>
    <x v="0"/>
    <x v="0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0"/>
    <x v="0"/>
    <x v="0"/>
    <x v="0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0"/>
    <x v="0"/>
    <x v="0"/>
    <x v="0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0"/>
    <x v="0"/>
    <x v="0"/>
    <x v="0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0"/>
    <x v="0"/>
    <x v="0"/>
    <x v="0"/>
    <x v="0"/>
    <x v="1"/>
    <x v="0"/>
    <x v="0"/>
    <x v="2"/>
    <x v="2"/>
    <x v="17"/>
    <x v="17"/>
    <x v="2"/>
    <x v="2"/>
    <x v="2"/>
    <x v="42"/>
    <x v="42"/>
    <n v="1.7544599999999999"/>
    <x v="1"/>
    <x v="2"/>
    <x v="5"/>
    <x v="7"/>
    <x v="11"/>
    <x v="22"/>
    <n v="1.9123614"/>
  </r>
  <r>
    <x v="0"/>
    <x v="0"/>
    <x v="0"/>
    <x v="0"/>
    <x v="0"/>
    <x v="1"/>
    <x v="0"/>
    <x v="0"/>
    <x v="2"/>
    <x v="2"/>
    <x v="17"/>
    <x v="17"/>
    <x v="2"/>
    <x v="2"/>
    <x v="2"/>
    <x v="40"/>
    <x v="40"/>
    <n v="141.09290999999999"/>
    <x v="1"/>
    <x v="2"/>
    <x v="5"/>
    <x v="7"/>
    <x v="11"/>
    <x v="22"/>
    <n v="153.7912719"/>
  </r>
  <r>
    <x v="0"/>
    <x v="0"/>
    <x v="0"/>
    <x v="0"/>
    <x v="0"/>
    <x v="1"/>
    <x v="0"/>
    <x v="0"/>
    <x v="2"/>
    <x v="2"/>
    <x v="17"/>
    <x v="17"/>
    <x v="2"/>
    <x v="2"/>
    <x v="2"/>
    <x v="38"/>
    <x v="38"/>
    <n v="0.20182"/>
    <x v="1"/>
    <x v="0"/>
    <x v="4"/>
    <x v="6"/>
    <x v="10"/>
    <x v="21"/>
    <n v="0.21998380000000001"/>
  </r>
  <r>
    <x v="0"/>
    <x v="0"/>
    <x v="0"/>
    <x v="0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0"/>
    <x v="0"/>
    <x v="0"/>
    <x v="0"/>
    <x v="0"/>
    <x v="1"/>
    <x v="0"/>
    <x v="0"/>
    <x v="2"/>
    <x v="2"/>
    <x v="17"/>
    <x v="17"/>
    <x v="3"/>
    <x v="7"/>
    <x v="7"/>
    <x v="40"/>
    <x v="40"/>
    <n v="11.007339999999999"/>
    <x v="1"/>
    <x v="2"/>
    <x v="5"/>
    <x v="7"/>
    <x v="11"/>
    <x v="22"/>
    <n v="11.998000599999999"/>
  </r>
  <r>
    <x v="0"/>
    <x v="0"/>
    <x v="0"/>
    <x v="0"/>
    <x v="0"/>
    <x v="1"/>
    <x v="0"/>
    <x v="0"/>
    <x v="2"/>
    <x v="2"/>
    <x v="17"/>
    <x v="17"/>
    <x v="1"/>
    <x v="8"/>
    <x v="8"/>
    <x v="40"/>
    <x v="40"/>
    <n v="5.8605200000000002"/>
    <x v="1"/>
    <x v="2"/>
    <x v="5"/>
    <x v="7"/>
    <x v="11"/>
    <x v="22"/>
    <n v="6.3879668000000009"/>
  </r>
  <r>
    <x v="0"/>
    <x v="0"/>
    <x v="0"/>
    <x v="0"/>
    <x v="0"/>
    <x v="1"/>
    <x v="0"/>
    <x v="0"/>
    <x v="2"/>
    <x v="2"/>
    <x v="17"/>
    <x v="17"/>
    <x v="2"/>
    <x v="10"/>
    <x v="10"/>
    <x v="40"/>
    <x v="40"/>
    <n v="1.6935199999999999"/>
    <x v="1"/>
    <x v="2"/>
    <x v="5"/>
    <x v="7"/>
    <x v="11"/>
    <x v="22"/>
    <n v="1.8459368"/>
  </r>
  <r>
    <x v="0"/>
    <x v="0"/>
    <x v="0"/>
    <x v="0"/>
    <x v="0"/>
    <x v="1"/>
    <x v="0"/>
    <x v="0"/>
    <x v="2"/>
    <x v="2"/>
    <x v="17"/>
    <x v="17"/>
    <x v="4"/>
    <x v="5"/>
    <x v="5"/>
    <x v="40"/>
    <x v="40"/>
    <n v="91.696969999999993"/>
    <x v="1"/>
    <x v="2"/>
    <x v="5"/>
    <x v="7"/>
    <x v="11"/>
    <x v="22"/>
    <n v="99.949697299999997"/>
  </r>
  <r>
    <x v="0"/>
    <x v="0"/>
    <x v="0"/>
    <x v="0"/>
    <x v="0"/>
    <x v="2"/>
    <x v="0"/>
    <x v="0"/>
    <x v="0"/>
    <x v="0"/>
    <x v="2"/>
    <x v="2"/>
    <x v="4"/>
    <x v="5"/>
    <x v="5"/>
    <x v="6"/>
    <x v="6"/>
    <n v="83.626760000000004"/>
    <x v="0"/>
    <x v="0"/>
    <x v="0"/>
    <x v="0"/>
    <x v="4"/>
    <x v="6"/>
    <n v="91.153168400000013"/>
  </r>
  <r>
    <x v="0"/>
    <x v="0"/>
    <x v="0"/>
    <x v="0"/>
    <x v="0"/>
    <x v="2"/>
    <x v="0"/>
    <x v="0"/>
    <x v="0"/>
    <x v="0"/>
    <x v="0"/>
    <x v="0"/>
    <x v="3"/>
    <x v="3"/>
    <x v="3"/>
    <x v="5"/>
    <x v="5"/>
    <n v="738.08109203014897"/>
    <x v="0"/>
    <x v="0"/>
    <x v="1"/>
    <x v="1"/>
    <x v="1"/>
    <x v="5"/>
    <n v="804.50839031286239"/>
  </r>
  <r>
    <x v="0"/>
    <x v="0"/>
    <x v="0"/>
    <x v="0"/>
    <x v="0"/>
    <x v="2"/>
    <x v="0"/>
    <x v="0"/>
    <x v="0"/>
    <x v="0"/>
    <x v="0"/>
    <x v="0"/>
    <x v="3"/>
    <x v="3"/>
    <x v="3"/>
    <x v="9"/>
    <x v="9"/>
    <n v="52.929064594143803"/>
    <x v="0"/>
    <x v="0"/>
    <x v="1"/>
    <x v="4"/>
    <x v="5"/>
    <x v="9"/>
    <n v="57.692680407616749"/>
  </r>
  <r>
    <x v="0"/>
    <x v="0"/>
    <x v="0"/>
    <x v="0"/>
    <x v="0"/>
    <x v="2"/>
    <x v="0"/>
    <x v="0"/>
    <x v="0"/>
    <x v="0"/>
    <x v="0"/>
    <x v="0"/>
    <x v="3"/>
    <x v="3"/>
    <x v="3"/>
    <x v="11"/>
    <x v="11"/>
    <n v="4.5085199999999999"/>
    <x v="0"/>
    <x v="0"/>
    <x v="3"/>
    <x v="5"/>
    <x v="7"/>
    <x v="11"/>
    <n v="4.9142868000000002"/>
  </r>
  <r>
    <x v="0"/>
    <x v="0"/>
    <x v="0"/>
    <x v="0"/>
    <x v="0"/>
    <x v="2"/>
    <x v="0"/>
    <x v="0"/>
    <x v="0"/>
    <x v="0"/>
    <x v="0"/>
    <x v="0"/>
    <x v="3"/>
    <x v="3"/>
    <x v="3"/>
    <x v="16"/>
    <x v="16"/>
    <n v="46.156680000000001"/>
    <x v="0"/>
    <x v="0"/>
    <x v="3"/>
    <x v="5"/>
    <x v="9"/>
    <x v="16"/>
    <n v="50.310781200000008"/>
  </r>
  <r>
    <x v="0"/>
    <x v="0"/>
    <x v="0"/>
    <x v="0"/>
    <x v="0"/>
    <x v="2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0"/>
    <x v="0"/>
    <x v="0"/>
    <x v="0"/>
    <x v="0"/>
    <x v="2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0"/>
    <x v="0"/>
    <x v="0"/>
    <x v="0"/>
    <x v="0"/>
    <x v="2"/>
    <x v="0"/>
    <x v="0"/>
    <x v="0"/>
    <x v="0"/>
    <x v="0"/>
    <x v="0"/>
    <x v="0"/>
    <x v="4"/>
    <x v="4"/>
    <x v="9"/>
    <x v="9"/>
    <n v="28.9985812945033"/>
    <x v="0"/>
    <x v="0"/>
    <x v="1"/>
    <x v="4"/>
    <x v="5"/>
    <x v="9"/>
    <n v="31.608453611008599"/>
  </r>
  <r>
    <x v="0"/>
    <x v="0"/>
    <x v="0"/>
    <x v="0"/>
    <x v="0"/>
    <x v="2"/>
    <x v="0"/>
    <x v="0"/>
    <x v="0"/>
    <x v="0"/>
    <x v="0"/>
    <x v="0"/>
    <x v="0"/>
    <x v="4"/>
    <x v="4"/>
    <x v="28"/>
    <x v="28"/>
    <n v="3.3"/>
    <x v="0"/>
    <x v="0"/>
    <x v="1"/>
    <x v="3"/>
    <x v="3"/>
    <x v="13"/>
    <n v="3.597"/>
  </r>
  <r>
    <x v="0"/>
    <x v="0"/>
    <x v="0"/>
    <x v="0"/>
    <x v="0"/>
    <x v="2"/>
    <x v="0"/>
    <x v="0"/>
    <x v="0"/>
    <x v="0"/>
    <x v="0"/>
    <x v="0"/>
    <x v="0"/>
    <x v="4"/>
    <x v="4"/>
    <x v="11"/>
    <x v="11"/>
    <n v="54.274160000000002"/>
    <x v="0"/>
    <x v="0"/>
    <x v="3"/>
    <x v="5"/>
    <x v="7"/>
    <x v="11"/>
    <n v="59.158834400000003"/>
  </r>
  <r>
    <x v="0"/>
    <x v="0"/>
    <x v="0"/>
    <x v="0"/>
    <x v="0"/>
    <x v="2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0"/>
    <x v="0"/>
    <x v="0"/>
    <x v="0"/>
    <x v="0"/>
    <x v="2"/>
    <x v="0"/>
    <x v="0"/>
    <x v="0"/>
    <x v="0"/>
    <x v="0"/>
    <x v="0"/>
    <x v="0"/>
    <x v="4"/>
    <x v="4"/>
    <x v="16"/>
    <x v="16"/>
    <n v="27.938459999999999"/>
    <x v="0"/>
    <x v="0"/>
    <x v="3"/>
    <x v="5"/>
    <x v="9"/>
    <x v="16"/>
    <n v="30.452921400000001"/>
  </r>
  <r>
    <x v="0"/>
    <x v="0"/>
    <x v="0"/>
    <x v="0"/>
    <x v="0"/>
    <x v="2"/>
    <x v="0"/>
    <x v="0"/>
    <x v="0"/>
    <x v="0"/>
    <x v="0"/>
    <x v="0"/>
    <x v="0"/>
    <x v="4"/>
    <x v="4"/>
    <x v="2"/>
    <x v="2"/>
    <n v="27.8319541284237"/>
    <x v="0"/>
    <x v="1"/>
    <x v="2"/>
    <x v="2"/>
    <x v="2"/>
    <x v="2"/>
    <n v="30.336829999981834"/>
  </r>
  <r>
    <x v="0"/>
    <x v="0"/>
    <x v="0"/>
    <x v="0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0"/>
    <x v="0"/>
    <x v="0"/>
    <x v="0"/>
    <x v="0"/>
    <x v="2"/>
    <x v="0"/>
    <x v="0"/>
    <x v="2"/>
    <x v="2"/>
    <x v="17"/>
    <x v="17"/>
    <x v="3"/>
    <x v="7"/>
    <x v="7"/>
    <x v="7"/>
    <x v="7"/>
    <n v="308.90939372013003"/>
    <x v="0"/>
    <x v="0"/>
    <x v="1"/>
    <x v="4"/>
    <x v="5"/>
    <x v="7"/>
    <n v="336.71123915494178"/>
  </r>
  <r>
    <x v="0"/>
    <x v="0"/>
    <x v="0"/>
    <x v="0"/>
    <x v="0"/>
    <x v="2"/>
    <x v="0"/>
    <x v="0"/>
    <x v="2"/>
    <x v="2"/>
    <x v="17"/>
    <x v="17"/>
    <x v="1"/>
    <x v="8"/>
    <x v="8"/>
    <x v="7"/>
    <x v="7"/>
    <n v="21.327348431497001"/>
    <x v="0"/>
    <x v="0"/>
    <x v="1"/>
    <x v="4"/>
    <x v="5"/>
    <x v="7"/>
    <n v="23.246809790331731"/>
  </r>
  <r>
    <x v="0"/>
    <x v="0"/>
    <x v="0"/>
    <x v="0"/>
    <x v="0"/>
    <x v="2"/>
    <x v="0"/>
    <x v="0"/>
    <x v="2"/>
    <x v="2"/>
    <x v="17"/>
    <x v="17"/>
    <x v="1"/>
    <x v="8"/>
    <x v="8"/>
    <x v="40"/>
    <x v="40"/>
    <n v="4.66648"/>
    <x v="1"/>
    <x v="2"/>
    <x v="5"/>
    <x v="7"/>
    <x v="11"/>
    <x v="22"/>
    <n v="5.0864632000000007"/>
  </r>
  <r>
    <x v="0"/>
    <x v="0"/>
    <x v="0"/>
    <x v="0"/>
    <x v="0"/>
    <x v="2"/>
    <x v="0"/>
    <x v="0"/>
    <x v="2"/>
    <x v="2"/>
    <x v="17"/>
    <x v="17"/>
    <x v="0"/>
    <x v="9"/>
    <x v="9"/>
    <x v="7"/>
    <x v="7"/>
    <n v="418.29926131308201"/>
    <x v="0"/>
    <x v="0"/>
    <x v="1"/>
    <x v="4"/>
    <x v="5"/>
    <x v="7"/>
    <n v="455.94619483125945"/>
  </r>
  <r>
    <x v="0"/>
    <x v="0"/>
    <x v="0"/>
    <x v="0"/>
    <x v="0"/>
    <x v="2"/>
    <x v="0"/>
    <x v="0"/>
    <x v="2"/>
    <x v="2"/>
    <x v="17"/>
    <x v="17"/>
    <x v="2"/>
    <x v="10"/>
    <x v="10"/>
    <x v="7"/>
    <x v="7"/>
    <n v="106.938297906606"/>
    <x v="0"/>
    <x v="0"/>
    <x v="1"/>
    <x v="4"/>
    <x v="5"/>
    <x v="7"/>
    <n v="116.56274471820055"/>
  </r>
  <r>
    <x v="0"/>
    <x v="0"/>
    <x v="0"/>
    <x v="0"/>
    <x v="0"/>
    <x v="2"/>
    <x v="0"/>
    <x v="0"/>
    <x v="2"/>
    <x v="2"/>
    <x v="17"/>
    <x v="17"/>
    <x v="4"/>
    <x v="5"/>
    <x v="5"/>
    <x v="7"/>
    <x v="7"/>
    <n v="408.02059929244598"/>
    <x v="0"/>
    <x v="0"/>
    <x v="1"/>
    <x v="4"/>
    <x v="5"/>
    <x v="7"/>
    <n v="444.74245322876612"/>
  </r>
  <r>
    <x v="0"/>
    <x v="0"/>
    <x v="0"/>
    <x v="0"/>
    <x v="0"/>
    <x v="2"/>
    <x v="0"/>
    <x v="0"/>
    <x v="2"/>
    <x v="2"/>
    <x v="17"/>
    <x v="17"/>
    <x v="4"/>
    <x v="5"/>
    <x v="5"/>
    <x v="40"/>
    <x v="40"/>
    <n v="134.79379"/>
    <x v="1"/>
    <x v="2"/>
    <x v="5"/>
    <x v="7"/>
    <x v="11"/>
    <x v="22"/>
    <n v="146.92523110000002"/>
  </r>
  <r>
    <x v="0"/>
    <x v="0"/>
    <x v="0"/>
    <x v="0"/>
    <x v="0"/>
    <x v="3"/>
    <x v="0"/>
    <x v="0"/>
    <x v="0"/>
    <x v="0"/>
    <x v="0"/>
    <x v="0"/>
    <x v="3"/>
    <x v="3"/>
    <x v="3"/>
    <x v="9"/>
    <x v="9"/>
    <n v="3.4472385321080199"/>
    <x v="0"/>
    <x v="0"/>
    <x v="1"/>
    <x v="4"/>
    <x v="5"/>
    <x v="9"/>
    <n v="3.757489999997742"/>
  </r>
  <r>
    <x v="0"/>
    <x v="0"/>
    <x v="0"/>
    <x v="0"/>
    <x v="0"/>
    <x v="3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0"/>
    <x v="0"/>
    <x v="0"/>
    <x v="0"/>
    <x v="0"/>
    <x v="3"/>
    <x v="0"/>
    <x v="0"/>
    <x v="0"/>
    <x v="0"/>
    <x v="0"/>
    <x v="0"/>
    <x v="3"/>
    <x v="3"/>
    <x v="3"/>
    <x v="11"/>
    <x v="11"/>
    <n v="293.87714"/>
    <x v="0"/>
    <x v="0"/>
    <x v="3"/>
    <x v="5"/>
    <x v="7"/>
    <x v="11"/>
    <n v="320.32608260000001"/>
  </r>
  <r>
    <x v="0"/>
    <x v="0"/>
    <x v="0"/>
    <x v="0"/>
    <x v="0"/>
    <x v="3"/>
    <x v="0"/>
    <x v="0"/>
    <x v="0"/>
    <x v="0"/>
    <x v="0"/>
    <x v="0"/>
    <x v="3"/>
    <x v="3"/>
    <x v="3"/>
    <x v="14"/>
    <x v="14"/>
    <n v="26.8"/>
    <x v="0"/>
    <x v="0"/>
    <x v="0"/>
    <x v="0"/>
    <x v="8"/>
    <x v="14"/>
    <n v="29.212000000000003"/>
  </r>
  <r>
    <x v="0"/>
    <x v="0"/>
    <x v="0"/>
    <x v="0"/>
    <x v="0"/>
    <x v="3"/>
    <x v="0"/>
    <x v="0"/>
    <x v="0"/>
    <x v="0"/>
    <x v="0"/>
    <x v="0"/>
    <x v="0"/>
    <x v="4"/>
    <x v="4"/>
    <x v="11"/>
    <x v="11"/>
    <n v="231.66506999999999"/>
    <x v="0"/>
    <x v="0"/>
    <x v="3"/>
    <x v="5"/>
    <x v="7"/>
    <x v="11"/>
    <n v="252.51492630000001"/>
  </r>
  <r>
    <x v="0"/>
    <x v="0"/>
    <x v="0"/>
    <x v="0"/>
    <x v="0"/>
    <x v="3"/>
    <x v="0"/>
    <x v="0"/>
    <x v="0"/>
    <x v="0"/>
    <x v="0"/>
    <x v="0"/>
    <x v="0"/>
    <x v="0"/>
    <x v="0"/>
    <x v="9"/>
    <x v="9"/>
    <n v="11.0633027522869"/>
    <x v="0"/>
    <x v="0"/>
    <x v="1"/>
    <x v="4"/>
    <x v="5"/>
    <x v="9"/>
    <n v="12.058999999992722"/>
  </r>
  <r>
    <x v="0"/>
    <x v="0"/>
    <x v="0"/>
    <x v="0"/>
    <x v="0"/>
    <x v="4"/>
    <x v="1"/>
    <x v="1"/>
    <x v="1"/>
    <x v="1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0"/>
    <x v="0"/>
    <x v="0"/>
    <x v="0"/>
    <x v="0"/>
    <x v="4"/>
    <x v="1"/>
    <x v="1"/>
    <x v="1"/>
    <x v="1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0"/>
    <x v="0"/>
    <x v="0"/>
    <x v="0"/>
    <x v="0"/>
    <x v="4"/>
    <x v="1"/>
    <x v="1"/>
    <x v="1"/>
    <x v="1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0"/>
    <x v="0"/>
    <x v="0"/>
    <x v="0"/>
    <x v="0"/>
    <x v="4"/>
    <x v="1"/>
    <x v="1"/>
    <x v="1"/>
    <x v="1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0"/>
    <x v="0"/>
    <x v="0"/>
    <x v="0"/>
    <x v="0"/>
    <x v="4"/>
    <x v="1"/>
    <x v="1"/>
    <x v="1"/>
    <x v="1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0"/>
    <x v="0"/>
    <x v="0"/>
    <x v="0"/>
    <x v="0"/>
    <x v="4"/>
    <x v="1"/>
    <x v="1"/>
    <x v="1"/>
    <x v="1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0"/>
    <x v="0"/>
    <x v="0"/>
    <x v="0"/>
    <x v="0"/>
    <x v="4"/>
    <x v="1"/>
    <x v="1"/>
    <x v="1"/>
    <x v="1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0"/>
    <x v="0"/>
    <x v="0"/>
    <x v="0"/>
    <x v="0"/>
    <x v="4"/>
    <x v="1"/>
    <x v="1"/>
    <x v="1"/>
    <x v="1"/>
    <x v="1"/>
    <x v="1"/>
    <x v="3"/>
    <x v="3"/>
    <x v="3"/>
    <x v="2"/>
    <x v="2"/>
    <n v="11635.8500642132"/>
    <x v="0"/>
    <x v="1"/>
    <x v="2"/>
    <x v="2"/>
    <x v="2"/>
    <x v="2"/>
    <n v="12683.076569992389"/>
  </r>
  <r>
    <x v="0"/>
    <x v="0"/>
    <x v="0"/>
    <x v="0"/>
    <x v="0"/>
    <x v="4"/>
    <x v="1"/>
    <x v="1"/>
    <x v="1"/>
    <x v="1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0"/>
    <x v="0"/>
    <x v="0"/>
    <x v="0"/>
    <x v="0"/>
    <x v="4"/>
    <x v="1"/>
    <x v="1"/>
    <x v="1"/>
    <x v="1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0"/>
    <x v="0"/>
    <x v="0"/>
    <x v="0"/>
    <x v="0"/>
    <x v="4"/>
    <x v="1"/>
    <x v="1"/>
    <x v="1"/>
    <x v="1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0"/>
    <x v="0"/>
    <x v="0"/>
    <x v="0"/>
    <x v="0"/>
    <x v="4"/>
    <x v="1"/>
    <x v="1"/>
    <x v="1"/>
    <x v="1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0"/>
    <x v="0"/>
    <x v="0"/>
    <x v="0"/>
    <x v="0"/>
    <x v="4"/>
    <x v="1"/>
    <x v="1"/>
    <x v="1"/>
    <x v="1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0"/>
    <x v="0"/>
    <x v="0"/>
    <x v="0"/>
    <x v="0"/>
    <x v="4"/>
    <x v="1"/>
    <x v="1"/>
    <x v="1"/>
    <x v="1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0"/>
    <x v="0"/>
    <x v="0"/>
    <x v="0"/>
    <x v="0"/>
    <x v="4"/>
    <x v="1"/>
    <x v="1"/>
    <x v="1"/>
    <x v="1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0"/>
    <x v="0"/>
    <x v="0"/>
    <x v="0"/>
    <x v="0"/>
    <x v="4"/>
    <x v="1"/>
    <x v="1"/>
    <x v="1"/>
    <x v="1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0"/>
    <x v="0"/>
    <x v="0"/>
    <x v="0"/>
    <x v="0"/>
    <x v="4"/>
    <x v="1"/>
    <x v="1"/>
    <x v="1"/>
    <x v="1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0"/>
    <x v="0"/>
    <x v="0"/>
    <x v="0"/>
    <x v="0"/>
    <x v="4"/>
    <x v="1"/>
    <x v="1"/>
    <x v="1"/>
    <x v="1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0"/>
    <x v="0"/>
    <x v="0"/>
    <x v="0"/>
    <x v="0"/>
    <x v="4"/>
    <x v="1"/>
    <x v="1"/>
    <x v="1"/>
    <x v="1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0"/>
    <x v="0"/>
    <x v="0"/>
    <x v="0"/>
    <x v="0"/>
    <x v="4"/>
    <x v="1"/>
    <x v="1"/>
    <x v="1"/>
    <x v="1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0"/>
    <x v="0"/>
    <x v="0"/>
    <x v="0"/>
    <x v="0"/>
    <x v="4"/>
    <x v="1"/>
    <x v="1"/>
    <x v="1"/>
    <x v="1"/>
    <x v="1"/>
    <x v="1"/>
    <x v="0"/>
    <x v="4"/>
    <x v="4"/>
    <x v="16"/>
    <x v="16"/>
    <n v="0.9"/>
    <x v="0"/>
    <x v="0"/>
    <x v="3"/>
    <x v="5"/>
    <x v="9"/>
    <x v="16"/>
    <n v="0.98100000000000009"/>
  </r>
  <r>
    <x v="0"/>
    <x v="0"/>
    <x v="0"/>
    <x v="0"/>
    <x v="0"/>
    <x v="4"/>
    <x v="1"/>
    <x v="1"/>
    <x v="1"/>
    <x v="1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0"/>
    <x v="0"/>
    <x v="0"/>
    <x v="0"/>
    <x v="0"/>
    <x v="4"/>
    <x v="1"/>
    <x v="1"/>
    <x v="1"/>
    <x v="1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0"/>
    <x v="0"/>
    <x v="0"/>
    <x v="0"/>
    <x v="0"/>
    <x v="4"/>
    <x v="1"/>
    <x v="1"/>
    <x v="1"/>
    <x v="1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0"/>
    <x v="0"/>
    <x v="0"/>
    <x v="0"/>
    <x v="0"/>
    <x v="4"/>
    <x v="1"/>
    <x v="1"/>
    <x v="1"/>
    <x v="1"/>
    <x v="1"/>
    <x v="1"/>
    <x v="0"/>
    <x v="4"/>
    <x v="4"/>
    <x v="2"/>
    <x v="2"/>
    <n v="658.27762385281596"/>
    <x v="0"/>
    <x v="1"/>
    <x v="2"/>
    <x v="2"/>
    <x v="2"/>
    <x v="2"/>
    <n v="717.52260999956945"/>
  </r>
  <r>
    <x v="0"/>
    <x v="0"/>
    <x v="0"/>
    <x v="0"/>
    <x v="0"/>
    <x v="4"/>
    <x v="1"/>
    <x v="1"/>
    <x v="1"/>
    <x v="1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0"/>
    <x v="0"/>
    <x v="0"/>
    <x v="0"/>
    <x v="0"/>
    <x v="4"/>
    <x v="1"/>
    <x v="1"/>
    <x v="1"/>
    <x v="1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0"/>
    <x v="0"/>
    <x v="0"/>
    <x v="0"/>
    <x v="0"/>
    <x v="4"/>
    <x v="1"/>
    <x v="1"/>
    <x v="1"/>
    <x v="1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0"/>
    <x v="0"/>
    <x v="0"/>
    <x v="0"/>
    <x v="0"/>
    <x v="4"/>
    <x v="1"/>
    <x v="1"/>
    <x v="1"/>
    <x v="1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0"/>
    <x v="0"/>
    <x v="0"/>
    <x v="0"/>
    <x v="0"/>
    <x v="4"/>
    <x v="1"/>
    <x v="1"/>
    <x v="1"/>
    <x v="1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0"/>
    <x v="0"/>
    <x v="0"/>
    <x v="0"/>
    <x v="0"/>
    <x v="4"/>
    <x v="1"/>
    <x v="1"/>
    <x v="1"/>
    <x v="1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0"/>
    <x v="0"/>
    <x v="0"/>
    <x v="0"/>
    <x v="0"/>
    <x v="4"/>
    <x v="1"/>
    <x v="1"/>
    <x v="1"/>
    <x v="1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0"/>
    <x v="0"/>
    <x v="0"/>
    <x v="0"/>
    <x v="0"/>
    <x v="4"/>
    <x v="1"/>
    <x v="1"/>
    <x v="1"/>
    <x v="1"/>
    <x v="1"/>
    <x v="1"/>
    <x v="2"/>
    <x v="2"/>
    <x v="2"/>
    <x v="28"/>
    <x v="28"/>
    <n v="1.5449999999999999"/>
    <x v="0"/>
    <x v="0"/>
    <x v="1"/>
    <x v="3"/>
    <x v="3"/>
    <x v="13"/>
    <n v="1.68405"/>
  </r>
  <r>
    <x v="0"/>
    <x v="0"/>
    <x v="0"/>
    <x v="0"/>
    <x v="0"/>
    <x v="4"/>
    <x v="1"/>
    <x v="1"/>
    <x v="1"/>
    <x v="1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0"/>
    <x v="0"/>
    <x v="0"/>
    <x v="0"/>
    <x v="0"/>
    <x v="4"/>
    <x v="1"/>
    <x v="1"/>
    <x v="1"/>
    <x v="1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0"/>
    <x v="0"/>
    <x v="0"/>
    <x v="0"/>
    <x v="0"/>
    <x v="4"/>
    <x v="1"/>
    <x v="1"/>
    <x v="1"/>
    <x v="1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0"/>
    <x v="0"/>
    <x v="0"/>
    <x v="0"/>
    <x v="0"/>
    <x v="4"/>
    <x v="1"/>
    <x v="1"/>
    <x v="1"/>
    <x v="1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0"/>
    <x v="0"/>
    <x v="0"/>
    <x v="0"/>
    <x v="0"/>
    <x v="4"/>
    <x v="1"/>
    <x v="1"/>
    <x v="1"/>
    <x v="1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0"/>
    <x v="0"/>
    <x v="0"/>
    <x v="0"/>
    <x v="0"/>
    <x v="4"/>
    <x v="1"/>
    <x v="1"/>
    <x v="1"/>
    <x v="1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0"/>
    <x v="0"/>
    <x v="0"/>
    <x v="0"/>
    <x v="0"/>
    <x v="4"/>
    <x v="1"/>
    <x v="1"/>
    <x v="1"/>
    <x v="1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0"/>
    <x v="0"/>
    <x v="0"/>
    <x v="0"/>
    <x v="0"/>
    <x v="4"/>
    <x v="1"/>
    <x v="1"/>
    <x v="1"/>
    <x v="1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0"/>
    <x v="0"/>
    <x v="0"/>
    <x v="0"/>
    <x v="0"/>
    <x v="4"/>
    <x v="1"/>
    <x v="1"/>
    <x v="1"/>
    <x v="1"/>
    <x v="1"/>
    <x v="1"/>
    <x v="2"/>
    <x v="2"/>
    <x v="2"/>
    <x v="2"/>
    <x v="2"/>
    <n v="2177.5834954115398"/>
    <x v="0"/>
    <x v="1"/>
    <x v="2"/>
    <x v="2"/>
    <x v="2"/>
    <x v="2"/>
    <n v="2373.5660099985785"/>
  </r>
  <r>
    <x v="0"/>
    <x v="0"/>
    <x v="0"/>
    <x v="0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0"/>
    <x v="0"/>
    <x v="0"/>
    <x v="0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0"/>
    <x v="0"/>
    <x v="0"/>
    <x v="0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0"/>
    <x v="0"/>
    <x v="0"/>
    <x v="0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0"/>
    <x v="0"/>
    <x v="0"/>
    <x v="0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0"/>
    <x v="0"/>
    <x v="0"/>
    <x v="0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0"/>
    <x v="0"/>
    <x v="0"/>
    <x v="0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0"/>
    <x v="0"/>
    <x v="0"/>
    <x v="0"/>
    <x v="0"/>
    <x v="4"/>
    <x v="0"/>
    <x v="0"/>
    <x v="0"/>
    <x v="0"/>
    <x v="0"/>
    <x v="0"/>
    <x v="0"/>
    <x v="0"/>
    <x v="0"/>
    <x v="11"/>
    <x v="11"/>
    <n v="21.397320000000001"/>
    <x v="0"/>
    <x v="0"/>
    <x v="3"/>
    <x v="5"/>
    <x v="7"/>
    <x v="11"/>
    <n v="23.323078800000001"/>
  </r>
  <r>
    <x v="0"/>
    <x v="0"/>
    <x v="0"/>
    <x v="0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0"/>
    <x v="0"/>
    <x v="0"/>
    <x v="0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0"/>
    <x v="0"/>
    <x v="0"/>
    <x v="0"/>
    <x v="0"/>
    <x v="4"/>
    <x v="0"/>
    <x v="0"/>
    <x v="0"/>
    <x v="0"/>
    <x v="0"/>
    <x v="0"/>
    <x v="0"/>
    <x v="0"/>
    <x v="0"/>
    <x v="36"/>
    <x v="36"/>
    <n v="11.0916"/>
    <x v="0"/>
    <x v="0"/>
    <x v="1"/>
    <x v="3"/>
    <x v="3"/>
    <x v="4"/>
    <n v="12.089844000000001"/>
  </r>
  <r>
    <x v="0"/>
    <x v="0"/>
    <x v="0"/>
    <x v="0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0"/>
    <x v="0"/>
    <x v="0"/>
    <x v="0"/>
    <x v="0"/>
    <x v="4"/>
    <x v="0"/>
    <x v="0"/>
    <x v="0"/>
    <x v="0"/>
    <x v="0"/>
    <x v="0"/>
    <x v="1"/>
    <x v="1"/>
    <x v="1"/>
    <x v="11"/>
    <x v="11"/>
    <n v="15.771839999999999"/>
    <x v="0"/>
    <x v="0"/>
    <x v="3"/>
    <x v="5"/>
    <x v="7"/>
    <x v="11"/>
    <n v="17.1913056"/>
  </r>
  <r>
    <x v="0"/>
    <x v="0"/>
    <x v="0"/>
    <x v="0"/>
    <x v="0"/>
    <x v="4"/>
    <x v="0"/>
    <x v="0"/>
    <x v="0"/>
    <x v="0"/>
    <x v="0"/>
    <x v="0"/>
    <x v="1"/>
    <x v="1"/>
    <x v="1"/>
    <x v="16"/>
    <x v="16"/>
    <n v="0.51"/>
    <x v="0"/>
    <x v="0"/>
    <x v="3"/>
    <x v="5"/>
    <x v="9"/>
    <x v="16"/>
    <n v="0.55590000000000006"/>
  </r>
  <r>
    <x v="0"/>
    <x v="0"/>
    <x v="0"/>
    <x v="0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0"/>
    <x v="0"/>
    <x v="0"/>
    <x v="0"/>
    <x v="0"/>
    <x v="4"/>
    <x v="0"/>
    <x v="0"/>
    <x v="0"/>
    <x v="0"/>
    <x v="0"/>
    <x v="0"/>
    <x v="1"/>
    <x v="1"/>
    <x v="1"/>
    <x v="36"/>
    <x v="36"/>
    <n v="5.4064800000000002"/>
    <x v="0"/>
    <x v="0"/>
    <x v="1"/>
    <x v="3"/>
    <x v="3"/>
    <x v="4"/>
    <n v="5.8930632000000003"/>
  </r>
  <r>
    <x v="0"/>
    <x v="0"/>
    <x v="0"/>
    <x v="0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0"/>
    <x v="0"/>
    <x v="0"/>
    <x v="0"/>
    <x v="0"/>
    <x v="3"/>
    <x v="0"/>
    <x v="0"/>
    <x v="0"/>
    <x v="0"/>
    <x v="0"/>
    <x v="0"/>
    <x v="0"/>
    <x v="0"/>
    <x v="0"/>
    <x v="11"/>
    <x v="11"/>
    <n v="2.88"/>
    <x v="0"/>
    <x v="0"/>
    <x v="3"/>
    <x v="5"/>
    <x v="7"/>
    <x v="11"/>
    <n v="3.1392000000000002"/>
  </r>
  <r>
    <x v="0"/>
    <x v="0"/>
    <x v="0"/>
    <x v="0"/>
    <x v="0"/>
    <x v="3"/>
    <x v="0"/>
    <x v="0"/>
    <x v="0"/>
    <x v="0"/>
    <x v="0"/>
    <x v="0"/>
    <x v="1"/>
    <x v="1"/>
    <x v="1"/>
    <x v="9"/>
    <x v="9"/>
    <n v="9.6091743119208406"/>
    <x v="0"/>
    <x v="0"/>
    <x v="1"/>
    <x v="4"/>
    <x v="5"/>
    <x v="9"/>
    <n v="10.473999999993717"/>
  </r>
  <r>
    <x v="0"/>
    <x v="0"/>
    <x v="0"/>
    <x v="0"/>
    <x v="0"/>
    <x v="3"/>
    <x v="0"/>
    <x v="0"/>
    <x v="0"/>
    <x v="0"/>
    <x v="0"/>
    <x v="0"/>
    <x v="1"/>
    <x v="1"/>
    <x v="1"/>
    <x v="11"/>
    <x v="11"/>
    <n v="59.444290000000002"/>
    <x v="0"/>
    <x v="0"/>
    <x v="3"/>
    <x v="5"/>
    <x v="7"/>
    <x v="11"/>
    <n v="64.794276100000005"/>
  </r>
  <r>
    <x v="0"/>
    <x v="0"/>
    <x v="0"/>
    <x v="0"/>
    <x v="0"/>
    <x v="3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0"/>
    <x v="0"/>
    <x v="0"/>
    <x v="0"/>
    <x v="0"/>
    <x v="3"/>
    <x v="0"/>
    <x v="0"/>
    <x v="0"/>
    <x v="0"/>
    <x v="0"/>
    <x v="0"/>
    <x v="2"/>
    <x v="2"/>
    <x v="2"/>
    <x v="9"/>
    <x v="9"/>
    <n v="0.16849541284394001"/>
    <x v="0"/>
    <x v="0"/>
    <x v="1"/>
    <x v="4"/>
    <x v="5"/>
    <x v="9"/>
    <n v="0.18365999999989463"/>
  </r>
  <r>
    <x v="0"/>
    <x v="0"/>
    <x v="0"/>
    <x v="0"/>
    <x v="0"/>
    <x v="3"/>
    <x v="0"/>
    <x v="0"/>
    <x v="0"/>
    <x v="0"/>
    <x v="0"/>
    <x v="0"/>
    <x v="2"/>
    <x v="2"/>
    <x v="2"/>
    <x v="11"/>
    <x v="11"/>
    <n v="283.50653"/>
    <x v="0"/>
    <x v="0"/>
    <x v="3"/>
    <x v="5"/>
    <x v="7"/>
    <x v="11"/>
    <n v="309.02211770000002"/>
  </r>
  <r>
    <x v="0"/>
    <x v="0"/>
    <x v="0"/>
    <x v="0"/>
    <x v="0"/>
    <x v="3"/>
    <x v="0"/>
    <x v="0"/>
    <x v="0"/>
    <x v="0"/>
    <x v="0"/>
    <x v="0"/>
    <x v="2"/>
    <x v="2"/>
    <x v="2"/>
    <x v="14"/>
    <x v="14"/>
    <n v="1.4"/>
    <x v="0"/>
    <x v="0"/>
    <x v="0"/>
    <x v="0"/>
    <x v="8"/>
    <x v="14"/>
    <n v="1.526"/>
  </r>
  <r>
    <x v="0"/>
    <x v="0"/>
    <x v="0"/>
    <x v="0"/>
    <x v="0"/>
    <x v="3"/>
    <x v="0"/>
    <x v="0"/>
    <x v="0"/>
    <x v="0"/>
    <x v="0"/>
    <x v="0"/>
    <x v="1"/>
    <x v="6"/>
    <x v="6"/>
    <x v="9"/>
    <x v="9"/>
    <n v="5.2824311926573797"/>
    <x v="0"/>
    <x v="0"/>
    <x v="1"/>
    <x v="4"/>
    <x v="5"/>
    <x v="9"/>
    <n v="5.7578499999965445"/>
  </r>
  <r>
    <x v="0"/>
    <x v="0"/>
    <x v="0"/>
    <x v="0"/>
    <x v="0"/>
    <x v="3"/>
    <x v="0"/>
    <x v="0"/>
    <x v="0"/>
    <x v="0"/>
    <x v="0"/>
    <x v="0"/>
    <x v="1"/>
    <x v="6"/>
    <x v="6"/>
    <x v="11"/>
    <x v="11"/>
    <n v="48.13"/>
    <x v="0"/>
    <x v="0"/>
    <x v="3"/>
    <x v="5"/>
    <x v="7"/>
    <x v="11"/>
    <n v="52.461700000000008"/>
  </r>
  <r>
    <x v="0"/>
    <x v="0"/>
    <x v="0"/>
    <x v="0"/>
    <x v="0"/>
    <x v="3"/>
    <x v="0"/>
    <x v="0"/>
    <x v="0"/>
    <x v="0"/>
    <x v="0"/>
    <x v="0"/>
    <x v="1"/>
    <x v="8"/>
    <x v="8"/>
    <x v="9"/>
    <x v="9"/>
    <n v="53.137614678867202"/>
    <x v="0"/>
    <x v="0"/>
    <x v="1"/>
    <x v="4"/>
    <x v="5"/>
    <x v="9"/>
    <n v="57.919999999965256"/>
  </r>
  <r>
    <x v="0"/>
    <x v="0"/>
    <x v="0"/>
    <x v="0"/>
    <x v="0"/>
    <x v="3"/>
    <x v="0"/>
    <x v="0"/>
    <x v="0"/>
    <x v="0"/>
    <x v="0"/>
    <x v="0"/>
    <x v="0"/>
    <x v="9"/>
    <x v="9"/>
    <x v="9"/>
    <x v="9"/>
    <n v="314.048623853023"/>
    <x v="0"/>
    <x v="0"/>
    <x v="1"/>
    <x v="4"/>
    <x v="5"/>
    <x v="9"/>
    <n v="342.31299999979512"/>
  </r>
  <r>
    <x v="0"/>
    <x v="0"/>
    <x v="0"/>
    <x v="0"/>
    <x v="0"/>
    <x v="3"/>
    <x v="0"/>
    <x v="0"/>
    <x v="0"/>
    <x v="0"/>
    <x v="0"/>
    <x v="0"/>
    <x v="2"/>
    <x v="10"/>
    <x v="10"/>
    <x v="9"/>
    <x v="9"/>
    <n v="117.441284403599"/>
    <x v="0"/>
    <x v="0"/>
    <x v="1"/>
    <x v="4"/>
    <x v="5"/>
    <x v="9"/>
    <n v="128.01099999992292"/>
  </r>
  <r>
    <x v="0"/>
    <x v="0"/>
    <x v="0"/>
    <x v="0"/>
    <x v="0"/>
    <x v="3"/>
    <x v="0"/>
    <x v="0"/>
    <x v="0"/>
    <x v="0"/>
    <x v="0"/>
    <x v="0"/>
    <x v="4"/>
    <x v="5"/>
    <x v="5"/>
    <x v="9"/>
    <x v="9"/>
    <n v="242.666972476919"/>
    <x v="0"/>
    <x v="0"/>
    <x v="1"/>
    <x v="4"/>
    <x v="5"/>
    <x v="9"/>
    <n v="264.50699999984175"/>
  </r>
  <r>
    <x v="0"/>
    <x v="0"/>
    <x v="0"/>
    <x v="0"/>
    <x v="0"/>
    <x v="3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0"/>
    <x v="0"/>
    <x v="0"/>
    <x v="0"/>
    <x v="0"/>
    <x v="5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0"/>
    <x v="0"/>
    <x v="0"/>
    <x v="0"/>
    <x v="0"/>
    <x v="5"/>
    <x v="0"/>
    <x v="0"/>
    <x v="0"/>
    <x v="0"/>
    <x v="0"/>
    <x v="0"/>
    <x v="0"/>
    <x v="0"/>
    <x v="0"/>
    <x v="24"/>
    <x v="24"/>
    <n v="18.276284403658799"/>
    <x v="0"/>
    <x v="0"/>
    <x v="1"/>
    <x v="3"/>
    <x v="3"/>
    <x v="4"/>
    <n v="19.921149999988092"/>
  </r>
  <r>
    <x v="0"/>
    <x v="0"/>
    <x v="0"/>
    <x v="0"/>
    <x v="0"/>
    <x v="5"/>
    <x v="0"/>
    <x v="0"/>
    <x v="0"/>
    <x v="0"/>
    <x v="0"/>
    <x v="0"/>
    <x v="1"/>
    <x v="1"/>
    <x v="1"/>
    <x v="24"/>
    <x v="24"/>
    <n v="30.580899082550498"/>
    <x v="0"/>
    <x v="0"/>
    <x v="1"/>
    <x v="3"/>
    <x v="3"/>
    <x v="4"/>
    <n v="33.333179999980047"/>
  </r>
  <r>
    <x v="0"/>
    <x v="0"/>
    <x v="0"/>
    <x v="0"/>
    <x v="0"/>
    <x v="5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0"/>
    <x v="0"/>
    <x v="0"/>
    <x v="0"/>
    <x v="0"/>
    <x v="5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0"/>
    <x v="0"/>
    <x v="0"/>
    <x v="0"/>
    <x v="0"/>
    <x v="5"/>
    <x v="0"/>
    <x v="0"/>
    <x v="0"/>
    <x v="0"/>
    <x v="0"/>
    <x v="0"/>
    <x v="2"/>
    <x v="2"/>
    <x v="2"/>
    <x v="18"/>
    <x v="18"/>
    <n v="9.7759999999999998"/>
    <x v="0"/>
    <x v="0"/>
    <x v="0"/>
    <x v="0"/>
    <x v="4"/>
    <x v="18"/>
    <n v="10.655840000000001"/>
  </r>
  <r>
    <x v="0"/>
    <x v="0"/>
    <x v="0"/>
    <x v="0"/>
    <x v="0"/>
    <x v="5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0"/>
    <x v="0"/>
    <x v="0"/>
    <x v="0"/>
    <x v="0"/>
    <x v="5"/>
    <x v="0"/>
    <x v="0"/>
    <x v="0"/>
    <x v="0"/>
    <x v="0"/>
    <x v="0"/>
    <x v="3"/>
    <x v="7"/>
    <x v="7"/>
    <x v="24"/>
    <x v="24"/>
    <n v="45.502999999972701"/>
    <x v="0"/>
    <x v="0"/>
    <x v="1"/>
    <x v="3"/>
    <x v="3"/>
    <x v="4"/>
    <n v="49.598269999970249"/>
  </r>
  <r>
    <x v="0"/>
    <x v="0"/>
    <x v="0"/>
    <x v="0"/>
    <x v="0"/>
    <x v="5"/>
    <x v="0"/>
    <x v="0"/>
    <x v="0"/>
    <x v="0"/>
    <x v="0"/>
    <x v="0"/>
    <x v="1"/>
    <x v="8"/>
    <x v="8"/>
    <x v="24"/>
    <x v="24"/>
    <n v="31.916018348604702"/>
    <x v="0"/>
    <x v="0"/>
    <x v="1"/>
    <x v="3"/>
    <x v="3"/>
    <x v="4"/>
    <n v="34.788459999979125"/>
  </r>
  <r>
    <x v="0"/>
    <x v="0"/>
    <x v="0"/>
    <x v="0"/>
    <x v="0"/>
    <x v="5"/>
    <x v="0"/>
    <x v="0"/>
    <x v="0"/>
    <x v="0"/>
    <x v="0"/>
    <x v="0"/>
    <x v="0"/>
    <x v="9"/>
    <x v="9"/>
    <x v="24"/>
    <x v="24"/>
    <n v="96.428275229299899"/>
    <x v="0"/>
    <x v="0"/>
    <x v="1"/>
    <x v="3"/>
    <x v="3"/>
    <x v="4"/>
    <n v="105.1068199999369"/>
  </r>
  <r>
    <x v="0"/>
    <x v="0"/>
    <x v="0"/>
    <x v="0"/>
    <x v="0"/>
    <x v="5"/>
    <x v="0"/>
    <x v="0"/>
    <x v="0"/>
    <x v="0"/>
    <x v="0"/>
    <x v="0"/>
    <x v="2"/>
    <x v="10"/>
    <x v="10"/>
    <x v="24"/>
    <x v="24"/>
    <n v="69.096284403628303"/>
    <x v="0"/>
    <x v="0"/>
    <x v="1"/>
    <x v="3"/>
    <x v="3"/>
    <x v="4"/>
    <n v="75.314949999954862"/>
  </r>
  <r>
    <x v="0"/>
    <x v="0"/>
    <x v="0"/>
    <x v="0"/>
    <x v="0"/>
    <x v="5"/>
    <x v="0"/>
    <x v="0"/>
    <x v="0"/>
    <x v="0"/>
    <x v="0"/>
    <x v="0"/>
    <x v="4"/>
    <x v="5"/>
    <x v="5"/>
    <x v="24"/>
    <x v="24"/>
    <n v="9.1532110091688192"/>
    <x v="0"/>
    <x v="0"/>
    <x v="1"/>
    <x v="3"/>
    <x v="3"/>
    <x v="4"/>
    <n v="9.976999999994014"/>
  </r>
  <r>
    <x v="0"/>
    <x v="0"/>
    <x v="0"/>
    <x v="0"/>
    <x v="0"/>
    <x v="4"/>
    <x v="1"/>
    <x v="1"/>
    <x v="5"/>
    <x v="1"/>
    <x v="22"/>
    <x v="22"/>
    <x v="3"/>
    <x v="3"/>
    <x v="3"/>
    <x v="2"/>
    <x v="2"/>
    <n v="0.87115596330223"/>
    <x v="0"/>
    <x v="1"/>
    <x v="2"/>
    <x v="2"/>
    <x v="2"/>
    <x v="2"/>
    <n v="0.94955999999943075"/>
  </r>
  <r>
    <x v="0"/>
    <x v="0"/>
    <x v="0"/>
    <x v="0"/>
    <x v="0"/>
    <x v="4"/>
    <x v="1"/>
    <x v="1"/>
    <x v="5"/>
    <x v="1"/>
    <x v="23"/>
    <x v="23"/>
    <x v="5"/>
    <x v="11"/>
    <x v="11"/>
    <x v="2"/>
    <x v="2"/>
    <n v="4.0153211009150196"/>
    <x v="0"/>
    <x v="1"/>
    <x v="2"/>
    <x v="2"/>
    <x v="2"/>
    <x v="2"/>
    <n v="4.3766999999973715"/>
  </r>
  <r>
    <x v="0"/>
    <x v="0"/>
    <x v="0"/>
    <x v="0"/>
    <x v="0"/>
    <x v="4"/>
    <x v="1"/>
    <x v="1"/>
    <x v="5"/>
    <x v="1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0"/>
    <x v="0"/>
    <x v="0"/>
    <x v="0"/>
    <x v="0"/>
    <x v="4"/>
    <x v="1"/>
    <x v="1"/>
    <x v="5"/>
    <x v="1"/>
    <x v="23"/>
    <x v="23"/>
    <x v="3"/>
    <x v="3"/>
    <x v="3"/>
    <x v="2"/>
    <x v="2"/>
    <n v="109.00167889901699"/>
    <x v="0"/>
    <x v="1"/>
    <x v="2"/>
    <x v="2"/>
    <x v="2"/>
    <x v="2"/>
    <n v="118.81182999992853"/>
  </r>
  <r>
    <x v="0"/>
    <x v="0"/>
    <x v="0"/>
    <x v="0"/>
    <x v="0"/>
    <x v="4"/>
    <x v="1"/>
    <x v="1"/>
    <x v="6"/>
    <x v="1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0"/>
    <x v="0"/>
    <x v="0"/>
    <x v="0"/>
    <x v="0"/>
    <x v="4"/>
    <x v="1"/>
    <x v="1"/>
    <x v="6"/>
    <x v="1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0"/>
    <x v="0"/>
    <x v="0"/>
    <x v="0"/>
    <x v="0"/>
    <x v="4"/>
    <x v="1"/>
    <x v="1"/>
    <x v="6"/>
    <x v="1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0"/>
    <x v="0"/>
    <x v="0"/>
    <x v="0"/>
    <x v="0"/>
    <x v="4"/>
    <x v="1"/>
    <x v="1"/>
    <x v="6"/>
    <x v="1"/>
    <x v="24"/>
    <x v="24"/>
    <x v="5"/>
    <x v="11"/>
    <x v="11"/>
    <x v="2"/>
    <x v="2"/>
    <n v="3.5615045871538298"/>
    <x v="0"/>
    <x v="1"/>
    <x v="2"/>
    <x v="2"/>
    <x v="2"/>
    <x v="2"/>
    <n v="3.8820399999976747"/>
  </r>
  <r>
    <x v="0"/>
    <x v="0"/>
    <x v="0"/>
    <x v="0"/>
    <x v="0"/>
    <x v="4"/>
    <x v="1"/>
    <x v="1"/>
    <x v="6"/>
    <x v="1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0"/>
    <x v="0"/>
    <x v="0"/>
    <x v="0"/>
    <x v="0"/>
    <x v="4"/>
    <x v="1"/>
    <x v="1"/>
    <x v="6"/>
    <x v="1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0"/>
    <x v="0"/>
    <x v="0"/>
    <x v="0"/>
    <x v="0"/>
    <x v="4"/>
    <x v="1"/>
    <x v="1"/>
    <x v="6"/>
    <x v="1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0"/>
    <x v="0"/>
    <x v="0"/>
    <x v="0"/>
    <x v="0"/>
    <x v="4"/>
    <x v="1"/>
    <x v="1"/>
    <x v="6"/>
    <x v="1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0"/>
    <x v="0"/>
    <x v="0"/>
    <x v="0"/>
    <x v="0"/>
    <x v="4"/>
    <x v="1"/>
    <x v="1"/>
    <x v="6"/>
    <x v="1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0"/>
    <x v="0"/>
    <x v="0"/>
    <x v="0"/>
    <x v="0"/>
    <x v="4"/>
    <x v="1"/>
    <x v="1"/>
    <x v="6"/>
    <x v="1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0"/>
    <x v="0"/>
    <x v="0"/>
    <x v="0"/>
    <x v="0"/>
    <x v="4"/>
    <x v="1"/>
    <x v="1"/>
    <x v="6"/>
    <x v="1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0"/>
    <x v="0"/>
    <x v="0"/>
    <x v="0"/>
    <x v="0"/>
    <x v="4"/>
    <x v="1"/>
    <x v="1"/>
    <x v="6"/>
    <x v="1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0"/>
    <x v="0"/>
    <x v="0"/>
    <x v="0"/>
    <x v="0"/>
    <x v="4"/>
    <x v="1"/>
    <x v="1"/>
    <x v="6"/>
    <x v="1"/>
    <x v="24"/>
    <x v="24"/>
    <x v="3"/>
    <x v="3"/>
    <x v="3"/>
    <x v="2"/>
    <x v="2"/>
    <n v="27.8711743119099"/>
    <x v="0"/>
    <x v="1"/>
    <x v="2"/>
    <x v="2"/>
    <x v="2"/>
    <x v="2"/>
    <n v="30.379579999981793"/>
  </r>
  <r>
    <x v="0"/>
    <x v="0"/>
    <x v="0"/>
    <x v="0"/>
    <x v="0"/>
    <x v="4"/>
    <x v="1"/>
    <x v="1"/>
    <x v="6"/>
    <x v="1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0"/>
    <x v="0"/>
    <x v="0"/>
    <x v="0"/>
    <x v="0"/>
    <x v="4"/>
    <x v="1"/>
    <x v="1"/>
    <x v="6"/>
    <x v="1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0"/>
    <x v="0"/>
    <x v="0"/>
    <x v="0"/>
    <x v="0"/>
    <x v="4"/>
    <x v="1"/>
    <x v="1"/>
    <x v="6"/>
    <x v="1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0"/>
    <x v="0"/>
    <x v="0"/>
    <x v="0"/>
    <x v="0"/>
    <x v="4"/>
    <x v="1"/>
    <x v="1"/>
    <x v="6"/>
    <x v="1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0"/>
    <x v="0"/>
    <x v="0"/>
    <x v="0"/>
    <x v="0"/>
    <x v="4"/>
    <x v="1"/>
    <x v="1"/>
    <x v="6"/>
    <x v="1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0"/>
    <x v="0"/>
    <x v="0"/>
    <x v="0"/>
    <x v="0"/>
    <x v="4"/>
    <x v="1"/>
    <x v="1"/>
    <x v="6"/>
    <x v="1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0"/>
    <x v="0"/>
    <x v="0"/>
    <x v="0"/>
    <x v="0"/>
    <x v="4"/>
    <x v="1"/>
    <x v="1"/>
    <x v="6"/>
    <x v="1"/>
    <x v="24"/>
    <x v="24"/>
    <x v="0"/>
    <x v="4"/>
    <x v="4"/>
    <x v="2"/>
    <x v="2"/>
    <n v="113.89692660543599"/>
    <x v="0"/>
    <x v="1"/>
    <x v="2"/>
    <x v="2"/>
    <x v="2"/>
    <x v="2"/>
    <n v="124.14764999992524"/>
  </r>
  <r>
    <x v="0"/>
    <x v="0"/>
    <x v="0"/>
    <x v="0"/>
    <x v="0"/>
    <x v="4"/>
    <x v="1"/>
    <x v="1"/>
    <x v="6"/>
    <x v="1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0"/>
    <x v="0"/>
    <x v="0"/>
    <x v="0"/>
    <x v="0"/>
    <x v="4"/>
    <x v="1"/>
    <x v="1"/>
    <x v="6"/>
    <x v="1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0"/>
    <x v="0"/>
    <x v="0"/>
    <x v="0"/>
    <x v="0"/>
    <x v="4"/>
    <x v="1"/>
    <x v="1"/>
    <x v="6"/>
    <x v="1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0"/>
    <x v="0"/>
    <x v="0"/>
    <x v="0"/>
    <x v="0"/>
    <x v="4"/>
    <x v="1"/>
    <x v="1"/>
    <x v="6"/>
    <x v="1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0"/>
    <x v="0"/>
    <x v="0"/>
    <x v="0"/>
    <x v="0"/>
    <x v="4"/>
    <x v="1"/>
    <x v="1"/>
    <x v="6"/>
    <x v="1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0"/>
    <x v="0"/>
    <x v="0"/>
    <x v="0"/>
    <x v="0"/>
    <x v="4"/>
    <x v="1"/>
    <x v="1"/>
    <x v="6"/>
    <x v="1"/>
    <x v="24"/>
    <x v="24"/>
    <x v="2"/>
    <x v="2"/>
    <x v="2"/>
    <x v="2"/>
    <x v="2"/>
    <n v="255.74257798149799"/>
    <x v="0"/>
    <x v="1"/>
    <x v="2"/>
    <x v="2"/>
    <x v="2"/>
    <x v="2"/>
    <n v="278.75940999983283"/>
  </r>
  <r>
    <x v="0"/>
    <x v="0"/>
    <x v="0"/>
    <x v="0"/>
    <x v="0"/>
    <x v="4"/>
    <x v="1"/>
    <x v="1"/>
    <x v="1"/>
    <x v="1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0"/>
    <x v="0"/>
    <x v="0"/>
    <x v="0"/>
    <x v="0"/>
    <x v="4"/>
    <x v="1"/>
    <x v="1"/>
    <x v="1"/>
    <x v="1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0"/>
    <x v="0"/>
    <x v="0"/>
    <x v="0"/>
    <x v="0"/>
    <x v="4"/>
    <x v="1"/>
    <x v="1"/>
    <x v="1"/>
    <x v="1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0"/>
    <x v="0"/>
    <x v="0"/>
    <x v="0"/>
    <x v="0"/>
    <x v="4"/>
    <x v="1"/>
    <x v="1"/>
    <x v="1"/>
    <x v="1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0"/>
    <x v="0"/>
    <x v="0"/>
    <x v="0"/>
    <x v="0"/>
    <x v="4"/>
    <x v="1"/>
    <x v="1"/>
    <x v="1"/>
    <x v="1"/>
    <x v="21"/>
    <x v="21"/>
    <x v="3"/>
    <x v="3"/>
    <x v="3"/>
    <x v="2"/>
    <x v="2"/>
    <n v="54.884110091710198"/>
    <x v="0"/>
    <x v="1"/>
    <x v="2"/>
    <x v="2"/>
    <x v="2"/>
    <x v="2"/>
    <n v="59.823679999964121"/>
  </r>
  <r>
    <x v="0"/>
    <x v="0"/>
    <x v="0"/>
    <x v="0"/>
    <x v="0"/>
    <x v="4"/>
    <x v="1"/>
    <x v="1"/>
    <x v="1"/>
    <x v="1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0"/>
    <x v="0"/>
    <x v="0"/>
    <x v="0"/>
    <x v="0"/>
    <x v="4"/>
    <x v="1"/>
    <x v="1"/>
    <x v="1"/>
    <x v="1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0"/>
    <x v="0"/>
    <x v="0"/>
    <x v="0"/>
    <x v="0"/>
    <x v="4"/>
    <x v="1"/>
    <x v="1"/>
    <x v="1"/>
    <x v="1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0"/>
    <x v="0"/>
    <x v="0"/>
    <x v="0"/>
    <x v="0"/>
    <x v="4"/>
    <x v="1"/>
    <x v="1"/>
    <x v="1"/>
    <x v="1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0"/>
    <x v="0"/>
    <x v="0"/>
    <x v="0"/>
    <x v="0"/>
    <x v="4"/>
    <x v="1"/>
    <x v="1"/>
    <x v="1"/>
    <x v="1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0"/>
    <x v="0"/>
    <x v="0"/>
    <x v="0"/>
    <x v="0"/>
    <x v="4"/>
    <x v="1"/>
    <x v="1"/>
    <x v="1"/>
    <x v="1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0"/>
    <x v="0"/>
    <x v="0"/>
    <x v="0"/>
    <x v="0"/>
    <x v="4"/>
    <x v="1"/>
    <x v="1"/>
    <x v="1"/>
    <x v="1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0"/>
    <x v="0"/>
    <x v="0"/>
    <x v="0"/>
    <x v="0"/>
    <x v="4"/>
    <x v="1"/>
    <x v="1"/>
    <x v="1"/>
    <x v="1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0"/>
    <x v="0"/>
    <x v="0"/>
    <x v="0"/>
    <x v="0"/>
    <x v="4"/>
    <x v="1"/>
    <x v="1"/>
    <x v="1"/>
    <x v="1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0"/>
    <x v="0"/>
    <x v="0"/>
    <x v="0"/>
    <x v="0"/>
    <x v="4"/>
    <x v="1"/>
    <x v="1"/>
    <x v="1"/>
    <x v="1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0"/>
    <x v="0"/>
    <x v="0"/>
    <x v="0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0"/>
    <x v="0"/>
    <x v="0"/>
    <x v="0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0"/>
    <x v="0"/>
    <x v="0"/>
    <x v="0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0"/>
    <x v="0"/>
    <x v="0"/>
    <x v="0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0"/>
    <x v="0"/>
    <x v="0"/>
    <x v="0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0"/>
    <x v="0"/>
    <x v="0"/>
    <x v="0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0"/>
    <x v="0"/>
    <x v="0"/>
    <x v="0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0"/>
    <x v="0"/>
    <x v="0"/>
    <x v="0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0"/>
    <x v="0"/>
    <x v="0"/>
    <x v="0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0"/>
    <x v="0"/>
    <x v="0"/>
    <x v="0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0"/>
    <x v="0"/>
    <x v="0"/>
    <x v="0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0"/>
    <x v="0"/>
    <x v="0"/>
    <x v="0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0"/>
    <x v="0"/>
    <x v="0"/>
    <x v="0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0"/>
    <x v="0"/>
    <x v="0"/>
    <x v="0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0"/>
    <x v="0"/>
    <x v="0"/>
    <x v="0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0"/>
    <x v="0"/>
    <x v="0"/>
    <x v="0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0"/>
    <x v="0"/>
    <x v="0"/>
    <x v="0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0"/>
    <x v="0"/>
    <x v="0"/>
    <x v="0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0"/>
    <x v="0"/>
    <x v="0"/>
    <x v="0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0"/>
    <x v="0"/>
    <x v="0"/>
    <x v="0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0"/>
    <x v="0"/>
    <x v="0"/>
    <x v="0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0"/>
    <x v="0"/>
    <x v="0"/>
    <x v="0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0"/>
    <x v="0"/>
    <x v="0"/>
    <x v="0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0"/>
    <x v="0"/>
    <x v="0"/>
    <x v="0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0"/>
    <x v="0"/>
    <x v="0"/>
    <x v="0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0"/>
    <x v="0"/>
    <x v="0"/>
    <x v="0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0"/>
    <x v="0"/>
    <x v="0"/>
    <x v="0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0"/>
    <x v="0"/>
    <x v="0"/>
    <x v="0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0"/>
    <x v="0"/>
    <x v="0"/>
    <x v="0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0"/>
    <x v="0"/>
    <x v="0"/>
    <x v="0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0"/>
    <x v="0"/>
    <x v="0"/>
    <x v="0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0"/>
    <x v="0"/>
    <x v="0"/>
    <x v="0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0"/>
    <x v="0"/>
    <x v="0"/>
    <x v="0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0"/>
    <x v="0"/>
    <x v="0"/>
    <x v="0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0"/>
    <x v="0"/>
    <x v="0"/>
    <x v="0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0"/>
    <x v="0"/>
    <x v="0"/>
    <x v="0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0"/>
    <x v="0"/>
    <x v="0"/>
    <x v="0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0"/>
    <x v="0"/>
    <x v="0"/>
    <x v="0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0"/>
    <x v="0"/>
    <x v="0"/>
    <x v="0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0"/>
    <x v="0"/>
    <x v="0"/>
    <x v="0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0"/>
    <x v="0"/>
    <x v="0"/>
    <x v="0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0"/>
    <x v="0"/>
    <x v="0"/>
    <x v="0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0"/>
    <x v="0"/>
    <x v="0"/>
    <x v="0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0"/>
    <x v="0"/>
    <x v="0"/>
    <x v="0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0"/>
    <x v="0"/>
    <x v="0"/>
    <x v="0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0"/>
    <x v="0"/>
    <x v="0"/>
    <x v="0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0"/>
    <x v="0"/>
    <x v="0"/>
    <x v="0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0"/>
    <x v="0"/>
    <x v="0"/>
    <x v="0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0"/>
    <x v="0"/>
    <x v="0"/>
    <x v="0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0"/>
    <x v="0"/>
    <x v="0"/>
    <x v="0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0"/>
    <x v="0"/>
    <x v="0"/>
    <x v="0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0"/>
    <x v="0"/>
    <x v="0"/>
    <x v="0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0"/>
    <x v="0"/>
    <x v="0"/>
    <x v="0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0"/>
    <x v="0"/>
    <x v="0"/>
    <x v="0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0"/>
    <x v="0"/>
    <x v="0"/>
    <x v="0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0"/>
    <x v="0"/>
    <x v="0"/>
    <x v="0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0"/>
    <x v="0"/>
    <x v="0"/>
    <x v="0"/>
    <x v="1"/>
    <x v="6"/>
    <x v="0"/>
    <x v="0"/>
    <x v="2"/>
    <x v="2"/>
    <x v="7"/>
    <x v="7"/>
    <x v="2"/>
    <x v="2"/>
    <x v="2"/>
    <x v="38"/>
    <x v="38"/>
    <n v="3899.0551500000001"/>
    <x v="1"/>
    <x v="0"/>
    <x v="4"/>
    <x v="6"/>
    <x v="10"/>
    <x v="21"/>
    <n v="4249.9701135000005"/>
  </r>
  <r>
    <x v="0"/>
    <x v="0"/>
    <x v="0"/>
    <x v="0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0"/>
    <x v="0"/>
    <x v="0"/>
    <x v="0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0"/>
    <x v="0"/>
    <x v="0"/>
    <x v="0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0"/>
    <x v="0"/>
    <x v="0"/>
    <x v="0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0"/>
    <x v="0"/>
    <x v="0"/>
    <x v="0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0"/>
    <x v="0"/>
    <x v="0"/>
    <x v="0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0"/>
    <x v="0"/>
    <x v="0"/>
    <x v="0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0"/>
    <x v="0"/>
    <x v="0"/>
    <x v="0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0"/>
    <x v="0"/>
    <x v="0"/>
    <x v="0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0"/>
    <x v="0"/>
    <x v="0"/>
    <x v="0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0"/>
    <x v="0"/>
    <x v="0"/>
    <x v="0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0"/>
    <x v="0"/>
    <x v="0"/>
    <x v="0"/>
    <x v="1"/>
    <x v="6"/>
    <x v="0"/>
    <x v="0"/>
    <x v="2"/>
    <x v="2"/>
    <x v="7"/>
    <x v="7"/>
    <x v="1"/>
    <x v="6"/>
    <x v="6"/>
    <x v="40"/>
    <x v="40"/>
    <n v="1689.1671200000001"/>
    <x v="1"/>
    <x v="2"/>
    <x v="5"/>
    <x v="7"/>
    <x v="11"/>
    <x v="22"/>
    <n v="1841.1921608000002"/>
  </r>
  <r>
    <x v="0"/>
    <x v="0"/>
    <x v="0"/>
    <x v="0"/>
    <x v="1"/>
    <x v="6"/>
    <x v="0"/>
    <x v="0"/>
    <x v="2"/>
    <x v="2"/>
    <x v="7"/>
    <x v="7"/>
    <x v="1"/>
    <x v="6"/>
    <x v="6"/>
    <x v="38"/>
    <x v="38"/>
    <n v="592.87671999999998"/>
    <x v="1"/>
    <x v="0"/>
    <x v="4"/>
    <x v="6"/>
    <x v="10"/>
    <x v="21"/>
    <n v="646.23562479999998"/>
  </r>
  <r>
    <x v="0"/>
    <x v="0"/>
    <x v="0"/>
    <x v="0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0"/>
    <x v="0"/>
    <x v="0"/>
    <x v="0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0"/>
    <x v="0"/>
    <x v="0"/>
    <x v="0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0"/>
    <x v="0"/>
    <x v="0"/>
    <x v="0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0"/>
    <x v="0"/>
    <x v="0"/>
    <x v="0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0"/>
    <x v="0"/>
    <x v="0"/>
    <x v="0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0"/>
    <x v="0"/>
    <x v="0"/>
    <x v="0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0"/>
    <x v="0"/>
    <x v="0"/>
    <x v="0"/>
    <x v="1"/>
    <x v="6"/>
    <x v="0"/>
    <x v="0"/>
    <x v="2"/>
    <x v="2"/>
    <x v="7"/>
    <x v="7"/>
    <x v="1"/>
    <x v="8"/>
    <x v="8"/>
    <x v="40"/>
    <x v="40"/>
    <n v="200.12311"/>
    <x v="1"/>
    <x v="2"/>
    <x v="5"/>
    <x v="7"/>
    <x v="11"/>
    <x v="22"/>
    <n v="218.13418990000002"/>
  </r>
  <r>
    <x v="0"/>
    <x v="0"/>
    <x v="0"/>
    <x v="0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0"/>
    <x v="0"/>
    <x v="0"/>
    <x v="0"/>
    <x v="1"/>
    <x v="6"/>
    <x v="0"/>
    <x v="0"/>
    <x v="2"/>
    <x v="2"/>
    <x v="7"/>
    <x v="7"/>
    <x v="4"/>
    <x v="5"/>
    <x v="5"/>
    <x v="40"/>
    <x v="40"/>
    <n v="147.63739000000001"/>
    <x v="1"/>
    <x v="2"/>
    <x v="5"/>
    <x v="7"/>
    <x v="11"/>
    <x v="22"/>
    <n v="160.92475510000003"/>
  </r>
  <r>
    <x v="0"/>
    <x v="0"/>
    <x v="0"/>
    <x v="0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0"/>
    <x v="0"/>
    <x v="0"/>
    <x v="0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0"/>
    <x v="0"/>
    <x v="0"/>
    <x v="0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0"/>
    <x v="0"/>
    <x v="0"/>
    <x v="0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0"/>
    <x v="0"/>
    <x v="0"/>
    <x v="0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0"/>
    <x v="0"/>
    <x v="0"/>
    <x v="0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0"/>
    <x v="0"/>
    <x v="0"/>
    <x v="0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0"/>
    <x v="0"/>
    <x v="0"/>
    <x v="0"/>
    <x v="1"/>
    <x v="6"/>
    <x v="0"/>
    <x v="0"/>
    <x v="2"/>
    <x v="2"/>
    <x v="8"/>
    <x v="8"/>
    <x v="2"/>
    <x v="2"/>
    <x v="2"/>
    <x v="40"/>
    <x v="40"/>
    <n v="1963.7333599999999"/>
    <x v="1"/>
    <x v="2"/>
    <x v="5"/>
    <x v="7"/>
    <x v="11"/>
    <x v="22"/>
    <n v="2140.4693624000001"/>
  </r>
  <r>
    <x v="0"/>
    <x v="0"/>
    <x v="0"/>
    <x v="0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0"/>
    <x v="0"/>
    <x v="0"/>
    <x v="0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0"/>
    <x v="0"/>
    <x v="0"/>
    <x v="0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0"/>
    <x v="0"/>
    <x v="0"/>
    <x v="0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0"/>
    <x v="0"/>
    <x v="0"/>
    <x v="0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0"/>
    <x v="0"/>
    <x v="0"/>
    <x v="0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0"/>
    <x v="0"/>
    <x v="0"/>
    <x v="0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0"/>
    <x v="0"/>
    <x v="0"/>
    <x v="0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0"/>
    <x v="0"/>
    <x v="0"/>
    <x v="0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0"/>
    <x v="0"/>
    <x v="0"/>
    <x v="0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0"/>
    <x v="0"/>
    <x v="0"/>
    <x v="0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0"/>
    <x v="0"/>
    <x v="0"/>
    <x v="0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0"/>
    <x v="0"/>
    <x v="0"/>
    <x v="0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0"/>
    <x v="0"/>
    <x v="0"/>
    <x v="0"/>
    <x v="1"/>
    <x v="6"/>
    <x v="0"/>
    <x v="0"/>
    <x v="2"/>
    <x v="2"/>
    <x v="9"/>
    <x v="9"/>
    <x v="2"/>
    <x v="2"/>
    <x v="2"/>
    <x v="38"/>
    <x v="38"/>
    <n v="4597.5883599999997"/>
    <x v="1"/>
    <x v="0"/>
    <x v="4"/>
    <x v="6"/>
    <x v="10"/>
    <x v="21"/>
    <n v="5011.3713124000005"/>
  </r>
  <r>
    <x v="0"/>
    <x v="0"/>
    <x v="0"/>
    <x v="0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0"/>
    <x v="0"/>
    <x v="0"/>
    <x v="0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0"/>
    <x v="0"/>
    <x v="0"/>
    <x v="0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0"/>
    <x v="0"/>
    <x v="0"/>
    <x v="0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0"/>
    <x v="0"/>
    <x v="0"/>
    <x v="0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0"/>
    <x v="0"/>
    <x v="0"/>
    <x v="0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0"/>
    <x v="0"/>
    <x v="0"/>
    <x v="0"/>
    <x v="1"/>
    <x v="6"/>
    <x v="0"/>
    <x v="0"/>
    <x v="2"/>
    <x v="2"/>
    <x v="9"/>
    <x v="9"/>
    <x v="1"/>
    <x v="6"/>
    <x v="6"/>
    <x v="40"/>
    <x v="40"/>
    <n v="24817.23515"/>
    <x v="1"/>
    <x v="2"/>
    <x v="5"/>
    <x v="7"/>
    <x v="11"/>
    <x v="22"/>
    <n v="27050.786313500001"/>
  </r>
  <r>
    <x v="0"/>
    <x v="0"/>
    <x v="0"/>
    <x v="0"/>
    <x v="1"/>
    <x v="6"/>
    <x v="0"/>
    <x v="0"/>
    <x v="2"/>
    <x v="2"/>
    <x v="9"/>
    <x v="9"/>
    <x v="1"/>
    <x v="6"/>
    <x v="6"/>
    <x v="38"/>
    <x v="38"/>
    <n v="1429.4994300000001"/>
    <x v="1"/>
    <x v="0"/>
    <x v="4"/>
    <x v="6"/>
    <x v="10"/>
    <x v="21"/>
    <n v="1558.1543787000003"/>
  </r>
  <r>
    <x v="0"/>
    <x v="0"/>
    <x v="0"/>
    <x v="0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0"/>
    <x v="0"/>
    <x v="0"/>
    <x v="0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0"/>
    <x v="0"/>
    <x v="0"/>
    <x v="0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0"/>
    <x v="0"/>
    <x v="0"/>
    <x v="0"/>
    <x v="1"/>
    <x v="6"/>
    <x v="0"/>
    <x v="0"/>
    <x v="2"/>
    <x v="2"/>
    <x v="9"/>
    <x v="9"/>
    <x v="3"/>
    <x v="7"/>
    <x v="7"/>
    <x v="40"/>
    <x v="40"/>
    <n v="143.89462"/>
    <x v="1"/>
    <x v="2"/>
    <x v="5"/>
    <x v="7"/>
    <x v="11"/>
    <x v="22"/>
    <n v="156.84513580000001"/>
  </r>
  <r>
    <x v="0"/>
    <x v="0"/>
    <x v="0"/>
    <x v="0"/>
    <x v="1"/>
    <x v="6"/>
    <x v="0"/>
    <x v="0"/>
    <x v="2"/>
    <x v="2"/>
    <x v="9"/>
    <x v="9"/>
    <x v="1"/>
    <x v="8"/>
    <x v="8"/>
    <x v="40"/>
    <x v="40"/>
    <n v="10941.967720000001"/>
    <x v="1"/>
    <x v="2"/>
    <x v="5"/>
    <x v="7"/>
    <x v="11"/>
    <x v="22"/>
    <n v="11926.744814800002"/>
  </r>
  <r>
    <x v="0"/>
    <x v="0"/>
    <x v="0"/>
    <x v="0"/>
    <x v="1"/>
    <x v="6"/>
    <x v="0"/>
    <x v="0"/>
    <x v="2"/>
    <x v="2"/>
    <x v="9"/>
    <x v="9"/>
    <x v="2"/>
    <x v="10"/>
    <x v="10"/>
    <x v="40"/>
    <x v="40"/>
    <n v="28.203250000000001"/>
    <x v="1"/>
    <x v="2"/>
    <x v="5"/>
    <x v="7"/>
    <x v="11"/>
    <x v="22"/>
    <n v="30.741542500000001"/>
  </r>
  <r>
    <x v="0"/>
    <x v="0"/>
    <x v="0"/>
    <x v="0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0"/>
    <x v="0"/>
    <x v="0"/>
    <x v="0"/>
    <x v="1"/>
    <x v="6"/>
    <x v="0"/>
    <x v="0"/>
    <x v="2"/>
    <x v="2"/>
    <x v="9"/>
    <x v="9"/>
    <x v="4"/>
    <x v="5"/>
    <x v="5"/>
    <x v="40"/>
    <x v="40"/>
    <n v="1174.2393400000001"/>
    <x v="1"/>
    <x v="2"/>
    <x v="5"/>
    <x v="7"/>
    <x v="11"/>
    <x v="22"/>
    <n v="1279.9208806000001"/>
  </r>
  <r>
    <x v="0"/>
    <x v="0"/>
    <x v="0"/>
    <x v="0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0"/>
    <x v="0"/>
    <x v="0"/>
    <x v="0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0"/>
    <x v="0"/>
    <x v="0"/>
    <x v="0"/>
    <x v="1"/>
    <x v="6"/>
    <x v="0"/>
    <x v="0"/>
    <x v="2"/>
    <x v="2"/>
    <x v="10"/>
    <x v="10"/>
    <x v="2"/>
    <x v="2"/>
    <x v="2"/>
    <x v="40"/>
    <x v="40"/>
    <n v="3989.2150499999998"/>
    <x v="1"/>
    <x v="2"/>
    <x v="5"/>
    <x v="7"/>
    <x v="11"/>
    <x v="22"/>
    <n v="4348.2444045000002"/>
  </r>
  <r>
    <x v="0"/>
    <x v="0"/>
    <x v="0"/>
    <x v="0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0"/>
    <x v="0"/>
    <x v="0"/>
    <x v="0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0"/>
    <x v="0"/>
    <x v="0"/>
    <x v="0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0"/>
    <x v="0"/>
    <x v="0"/>
    <x v="0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0"/>
    <x v="0"/>
    <x v="0"/>
    <x v="0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0"/>
    <x v="0"/>
    <x v="0"/>
    <x v="0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0"/>
    <x v="0"/>
    <x v="0"/>
    <x v="0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0"/>
    <x v="0"/>
    <x v="0"/>
    <x v="0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0"/>
    <x v="0"/>
    <x v="0"/>
    <x v="0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0"/>
    <x v="0"/>
    <x v="0"/>
    <x v="0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0"/>
    <x v="0"/>
    <x v="0"/>
    <x v="0"/>
    <x v="1"/>
    <x v="6"/>
    <x v="1"/>
    <x v="1"/>
    <x v="7"/>
    <x v="1"/>
    <x v="25"/>
    <x v="25"/>
    <x v="3"/>
    <x v="3"/>
    <x v="3"/>
    <x v="54"/>
    <x v="54"/>
    <n v="6.98"/>
    <x v="0"/>
    <x v="0"/>
    <x v="1"/>
    <x v="3"/>
    <x v="3"/>
    <x v="4"/>
    <n v="7.608200000000001"/>
  </r>
  <r>
    <x v="0"/>
    <x v="0"/>
    <x v="0"/>
    <x v="0"/>
    <x v="1"/>
    <x v="6"/>
    <x v="1"/>
    <x v="1"/>
    <x v="7"/>
    <x v="1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0"/>
    <x v="0"/>
    <x v="0"/>
    <x v="0"/>
    <x v="1"/>
    <x v="6"/>
    <x v="1"/>
    <x v="1"/>
    <x v="7"/>
    <x v="1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0"/>
    <x v="0"/>
    <x v="0"/>
    <x v="0"/>
    <x v="1"/>
    <x v="6"/>
    <x v="1"/>
    <x v="1"/>
    <x v="6"/>
    <x v="1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0"/>
    <x v="0"/>
    <x v="0"/>
    <x v="0"/>
    <x v="1"/>
    <x v="6"/>
    <x v="1"/>
    <x v="1"/>
    <x v="6"/>
    <x v="1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0"/>
    <x v="0"/>
    <x v="0"/>
    <x v="0"/>
    <x v="1"/>
    <x v="6"/>
    <x v="1"/>
    <x v="1"/>
    <x v="1"/>
    <x v="1"/>
    <x v="21"/>
    <x v="21"/>
    <x v="3"/>
    <x v="3"/>
    <x v="3"/>
    <x v="40"/>
    <x v="40"/>
    <n v="48"/>
    <x v="1"/>
    <x v="2"/>
    <x v="5"/>
    <x v="7"/>
    <x v="11"/>
    <x v="22"/>
    <n v="52.320000000000007"/>
  </r>
  <r>
    <x v="0"/>
    <x v="0"/>
    <x v="0"/>
    <x v="0"/>
    <x v="1"/>
    <x v="6"/>
    <x v="1"/>
    <x v="1"/>
    <x v="1"/>
    <x v="1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0"/>
    <x v="0"/>
    <x v="0"/>
    <x v="0"/>
    <x v="1"/>
    <x v="6"/>
    <x v="1"/>
    <x v="1"/>
    <x v="1"/>
    <x v="1"/>
    <x v="21"/>
    <x v="21"/>
    <x v="3"/>
    <x v="3"/>
    <x v="3"/>
    <x v="2"/>
    <x v="2"/>
    <n v="7.7721834862338701"/>
    <x v="0"/>
    <x v="1"/>
    <x v="2"/>
    <x v="2"/>
    <x v="2"/>
    <x v="2"/>
    <n v="8.4716799999949188"/>
  </r>
  <r>
    <x v="0"/>
    <x v="0"/>
    <x v="0"/>
    <x v="0"/>
    <x v="1"/>
    <x v="6"/>
    <x v="1"/>
    <x v="1"/>
    <x v="1"/>
    <x v="1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0"/>
    <x v="0"/>
    <x v="0"/>
    <x v="0"/>
    <x v="1"/>
    <x v="6"/>
    <x v="1"/>
    <x v="1"/>
    <x v="1"/>
    <x v="1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0"/>
    <x v="0"/>
    <x v="0"/>
    <x v="0"/>
    <x v="1"/>
    <x v="6"/>
    <x v="1"/>
    <x v="1"/>
    <x v="1"/>
    <x v="1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0"/>
    <x v="0"/>
    <x v="0"/>
    <x v="0"/>
    <x v="1"/>
    <x v="6"/>
    <x v="1"/>
    <x v="1"/>
    <x v="1"/>
    <x v="1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0"/>
    <x v="0"/>
    <x v="0"/>
    <x v="0"/>
    <x v="1"/>
    <x v="6"/>
    <x v="1"/>
    <x v="1"/>
    <x v="1"/>
    <x v="1"/>
    <x v="1"/>
    <x v="1"/>
    <x v="3"/>
    <x v="3"/>
    <x v="3"/>
    <x v="59"/>
    <x v="59"/>
    <n v="79.20299"/>
    <x v="0"/>
    <x v="0"/>
    <x v="1"/>
    <x v="3"/>
    <x v="3"/>
    <x v="13"/>
    <n v="86.331259100000011"/>
  </r>
  <r>
    <x v="0"/>
    <x v="0"/>
    <x v="0"/>
    <x v="0"/>
    <x v="1"/>
    <x v="6"/>
    <x v="1"/>
    <x v="1"/>
    <x v="1"/>
    <x v="1"/>
    <x v="1"/>
    <x v="1"/>
    <x v="3"/>
    <x v="3"/>
    <x v="3"/>
    <x v="60"/>
    <x v="60"/>
    <n v="41.552"/>
    <x v="0"/>
    <x v="0"/>
    <x v="1"/>
    <x v="3"/>
    <x v="3"/>
    <x v="13"/>
    <n v="45.291679999999999"/>
  </r>
  <r>
    <x v="0"/>
    <x v="0"/>
    <x v="0"/>
    <x v="0"/>
    <x v="1"/>
    <x v="6"/>
    <x v="1"/>
    <x v="1"/>
    <x v="1"/>
    <x v="1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0"/>
    <x v="0"/>
    <x v="0"/>
    <x v="0"/>
    <x v="1"/>
    <x v="6"/>
    <x v="1"/>
    <x v="1"/>
    <x v="1"/>
    <x v="1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0"/>
    <x v="0"/>
    <x v="0"/>
    <x v="0"/>
    <x v="1"/>
    <x v="6"/>
    <x v="1"/>
    <x v="1"/>
    <x v="1"/>
    <x v="1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0"/>
    <x v="0"/>
    <x v="0"/>
    <x v="0"/>
    <x v="1"/>
    <x v="6"/>
    <x v="1"/>
    <x v="1"/>
    <x v="1"/>
    <x v="1"/>
    <x v="1"/>
    <x v="1"/>
    <x v="3"/>
    <x v="3"/>
    <x v="3"/>
    <x v="62"/>
    <x v="62"/>
    <n v="1.98"/>
    <x v="0"/>
    <x v="0"/>
    <x v="1"/>
    <x v="3"/>
    <x v="3"/>
    <x v="13"/>
    <n v="2.1582000000000003"/>
  </r>
  <r>
    <x v="0"/>
    <x v="0"/>
    <x v="0"/>
    <x v="0"/>
    <x v="1"/>
    <x v="6"/>
    <x v="1"/>
    <x v="1"/>
    <x v="1"/>
    <x v="1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0"/>
    <x v="0"/>
    <x v="0"/>
    <x v="0"/>
    <x v="1"/>
    <x v="6"/>
    <x v="1"/>
    <x v="1"/>
    <x v="1"/>
    <x v="1"/>
    <x v="1"/>
    <x v="1"/>
    <x v="3"/>
    <x v="3"/>
    <x v="3"/>
    <x v="63"/>
    <x v="63"/>
    <n v="1.1859999999999999"/>
    <x v="0"/>
    <x v="0"/>
    <x v="1"/>
    <x v="3"/>
    <x v="3"/>
    <x v="4"/>
    <n v="1.29274"/>
  </r>
  <r>
    <x v="0"/>
    <x v="0"/>
    <x v="0"/>
    <x v="0"/>
    <x v="1"/>
    <x v="6"/>
    <x v="1"/>
    <x v="1"/>
    <x v="1"/>
    <x v="1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0"/>
    <x v="0"/>
    <x v="0"/>
    <x v="0"/>
    <x v="1"/>
    <x v="6"/>
    <x v="1"/>
    <x v="1"/>
    <x v="1"/>
    <x v="1"/>
    <x v="1"/>
    <x v="1"/>
    <x v="3"/>
    <x v="3"/>
    <x v="3"/>
    <x v="40"/>
    <x v="40"/>
    <n v="286.28652"/>
    <x v="1"/>
    <x v="2"/>
    <x v="5"/>
    <x v="7"/>
    <x v="11"/>
    <x v="22"/>
    <n v="312.0523068"/>
  </r>
  <r>
    <x v="0"/>
    <x v="0"/>
    <x v="0"/>
    <x v="0"/>
    <x v="1"/>
    <x v="6"/>
    <x v="1"/>
    <x v="1"/>
    <x v="1"/>
    <x v="1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0"/>
    <x v="0"/>
    <x v="0"/>
    <x v="0"/>
    <x v="1"/>
    <x v="6"/>
    <x v="1"/>
    <x v="1"/>
    <x v="1"/>
    <x v="1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0"/>
    <x v="0"/>
    <x v="0"/>
    <x v="0"/>
    <x v="1"/>
    <x v="6"/>
    <x v="1"/>
    <x v="1"/>
    <x v="1"/>
    <x v="1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0"/>
    <x v="0"/>
    <x v="0"/>
    <x v="0"/>
    <x v="1"/>
    <x v="6"/>
    <x v="1"/>
    <x v="1"/>
    <x v="1"/>
    <x v="1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0"/>
    <x v="0"/>
    <x v="0"/>
    <x v="0"/>
    <x v="1"/>
    <x v="6"/>
    <x v="1"/>
    <x v="1"/>
    <x v="1"/>
    <x v="1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0"/>
    <x v="0"/>
    <x v="0"/>
    <x v="0"/>
    <x v="1"/>
    <x v="6"/>
    <x v="1"/>
    <x v="1"/>
    <x v="1"/>
    <x v="1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0"/>
    <x v="0"/>
    <x v="0"/>
    <x v="0"/>
    <x v="1"/>
    <x v="6"/>
    <x v="1"/>
    <x v="1"/>
    <x v="1"/>
    <x v="1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0"/>
    <x v="0"/>
    <x v="0"/>
    <x v="0"/>
    <x v="1"/>
    <x v="6"/>
    <x v="1"/>
    <x v="1"/>
    <x v="1"/>
    <x v="1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0"/>
    <x v="0"/>
    <x v="0"/>
    <x v="0"/>
    <x v="1"/>
    <x v="6"/>
    <x v="1"/>
    <x v="1"/>
    <x v="1"/>
    <x v="1"/>
    <x v="1"/>
    <x v="1"/>
    <x v="3"/>
    <x v="3"/>
    <x v="3"/>
    <x v="64"/>
    <x v="64"/>
    <n v="17.25"/>
    <x v="0"/>
    <x v="0"/>
    <x v="1"/>
    <x v="3"/>
    <x v="3"/>
    <x v="13"/>
    <n v="18.802500000000002"/>
  </r>
  <r>
    <x v="0"/>
    <x v="0"/>
    <x v="0"/>
    <x v="0"/>
    <x v="1"/>
    <x v="6"/>
    <x v="1"/>
    <x v="1"/>
    <x v="1"/>
    <x v="1"/>
    <x v="1"/>
    <x v="1"/>
    <x v="3"/>
    <x v="3"/>
    <x v="3"/>
    <x v="65"/>
    <x v="65"/>
    <n v="14.666"/>
    <x v="0"/>
    <x v="0"/>
    <x v="1"/>
    <x v="3"/>
    <x v="3"/>
    <x v="13"/>
    <n v="15.985940000000001"/>
  </r>
  <r>
    <x v="0"/>
    <x v="0"/>
    <x v="0"/>
    <x v="0"/>
    <x v="1"/>
    <x v="6"/>
    <x v="1"/>
    <x v="1"/>
    <x v="1"/>
    <x v="1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0"/>
    <x v="0"/>
    <x v="0"/>
    <x v="0"/>
    <x v="1"/>
    <x v="6"/>
    <x v="1"/>
    <x v="1"/>
    <x v="1"/>
    <x v="1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0"/>
    <x v="0"/>
    <x v="0"/>
    <x v="0"/>
    <x v="1"/>
    <x v="6"/>
    <x v="1"/>
    <x v="1"/>
    <x v="1"/>
    <x v="1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0"/>
    <x v="0"/>
    <x v="0"/>
    <x v="0"/>
    <x v="1"/>
    <x v="6"/>
    <x v="1"/>
    <x v="1"/>
    <x v="1"/>
    <x v="1"/>
    <x v="1"/>
    <x v="1"/>
    <x v="3"/>
    <x v="3"/>
    <x v="3"/>
    <x v="33"/>
    <x v="33"/>
    <n v="2.1339999999999999"/>
    <x v="0"/>
    <x v="0"/>
    <x v="1"/>
    <x v="3"/>
    <x v="3"/>
    <x v="4"/>
    <n v="2.32606"/>
  </r>
  <r>
    <x v="0"/>
    <x v="0"/>
    <x v="0"/>
    <x v="0"/>
    <x v="1"/>
    <x v="6"/>
    <x v="1"/>
    <x v="1"/>
    <x v="1"/>
    <x v="1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0"/>
    <x v="0"/>
    <x v="0"/>
    <x v="0"/>
    <x v="1"/>
    <x v="6"/>
    <x v="1"/>
    <x v="1"/>
    <x v="1"/>
    <x v="1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0"/>
    <x v="0"/>
    <x v="0"/>
    <x v="0"/>
    <x v="1"/>
    <x v="6"/>
    <x v="1"/>
    <x v="1"/>
    <x v="1"/>
    <x v="1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0"/>
    <x v="0"/>
    <x v="0"/>
    <x v="0"/>
    <x v="1"/>
    <x v="6"/>
    <x v="1"/>
    <x v="1"/>
    <x v="1"/>
    <x v="1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0"/>
    <x v="0"/>
    <x v="0"/>
    <x v="0"/>
    <x v="1"/>
    <x v="6"/>
    <x v="1"/>
    <x v="1"/>
    <x v="1"/>
    <x v="1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0"/>
    <x v="0"/>
    <x v="0"/>
    <x v="0"/>
    <x v="1"/>
    <x v="6"/>
    <x v="1"/>
    <x v="1"/>
    <x v="1"/>
    <x v="1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0"/>
    <x v="0"/>
    <x v="0"/>
    <x v="0"/>
    <x v="1"/>
    <x v="6"/>
    <x v="1"/>
    <x v="1"/>
    <x v="1"/>
    <x v="1"/>
    <x v="1"/>
    <x v="1"/>
    <x v="3"/>
    <x v="3"/>
    <x v="3"/>
    <x v="70"/>
    <x v="70"/>
    <n v="1.0669999999999999"/>
    <x v="0"/>
    <x v="0"/>
    <x v="1"/>
    <x v="3"/>
    <x v="3"/>
    <x v="13"/>
    <n v="1.16303"/>
  </r>
  <r>
    <x v="0"/>
    <x v="0"/>
    <x v="0"/>
    <x v="0"/>
    <x v="1"/>
    <x v="6"/>
    <x v="1"/>
    <x v="1"/>
    <x v="1"/>
    <x v="1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0"/>
    <x v="0"/>
    <x v="0"/>
    <x v="0"/>
    <x v="1"/>
    <x v="6"/>
    <x v="1"/>
    <x v="1"/>
    <x v="1"/>
    <x v="1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0"/>
    <x v="0"/>
    <x v="0"/>
    <x v="0"/>
    <x v="1"/>
    <x v="6"/>
    <x v="1"/>
    <x v="1"/>
    <x v="1"/>
    <x v="1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0"/>
    <x v="0"/>
    <x v="0"/>
    <x v="0"/>
    <x v="1"/>
    <x v="6"/>
    <x v="1"/>
    <x v="1"/>
    <x v="1"/>
    <x v="1"/>
    <x v="1"/>
    <x v="1"/>
    <x v="3"/>
    <x v="3"/>
    <x v="3"/>
    <x v="73"/>
    <x v="73"/>
    <n v="3.24119"/>
    <x v="0"/>
    <x v="0"/>
    <x v="1"/>
    <x v="3"/>
    <x v="3"/>
    <x v="4"/>
    <n v="3.5328971000000005"/>
  </r>
  <r>
    <x v="0"/>
    <x v="0"/>
    <x v="0"/>
    <x v="0"/>
    <x v="1"/>
    <x v="6"/>
    <x v="1"/>
    <x v="1"/>
    <x v="1"/>
    <x v="1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0"/>
    <x v="0"/>
    <x v="0"/>
    <x v="0"/>
    <x v="1"/>
    <x v="6"/>
    <x v="1"/>
    <x v="1"/>
    <x v="1"/>
    <x v="1"/>
    <x v="1"/>
    <x v="1"/>
    <x v="3"/>
    <x v="3"/>
    <x v="3"/>
    <x v="26"/>
    <x v="26"/>
    <n v="1.76912"/>
    <x v="0"/>
    <x v="0"/>
    <x v="1"/>
    <x v="3"/>
    <x v="3"/>
    <x v="15"/>
    <n v="1.9283408000000002"/>
  </r>
  <r>
    <x v="0"/>
    <x v="0"/>
    <x v="0"/>
    <x v="0"/>
    <x v="1"/>
    <x v="6"/>
    <x v="1"/>
    <x v="1"/>
    <x v="1"/>
    <x v="1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0"/>
    <x v="0"/>
    <x v="0"/>
    <x v="0"/>
    <x v="1"/>
    <x v="6"/>
    <x v="1"/>
    <x v="1"/>
    <x v="1"/>
    <x v="1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0"/>
    <x v="0"/>
    <x v="0"/>
    <x v="0"/>
    <x v="1"/>
    <x v="6"/>
    <x v="1"/>
    <x v="1"/>
    <x v="1"/>
    <x v="1"/>
    <x v="1"/>
    <x v="1"/>
    <x v="3"/>
    <x v="3"/>
    <x v="3"/>
    <x v="2"/>
    <x v="2"/>
    <n v="1480.79550458627"/>
    <x v="0"/>
    <x v="1"/>
    <x v="2"/>
    <x v="2"/>
    <x v="2"/>
    <x v="2"/>
    <n v="1614.0670999990343"/>
  </r>
  <r>
    <x v="0"/>
    <x v="0"/>
    <x v="0"/>
    <x v="0"/>
    <x v="1"/>
    <x v="6"/>
    <x v="1"/>
    <x v="1"/>
    <x v="1"/>
    <x v="1"/>
    <x v="1"/>
    <x v="1"/>
    <x v="3"/>
    <x v="3"/>
    <x v="3"/>
    <x v="76"/>
    <x v="76"/>
    <n v="56.1"/>
    <x v="0"/>
    <x v="0"/>
    <x v="1"/>
    <x v="3"/>
    <x v="3"/>
    <x v="15"/>
    <n v="61.149000000000008"/>
  </r>
  <r>
    <x v="0"/>
    <x v="0"/>
    <x v="0"/>
    <x v="0"/>
    <x v="1"/>
    <x v="6"/>
    <x v="1"/>
    <x v="1"/>
    <x v="1"/>
    <x v="1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0"/>
    <x v="0"/>
    <x v="0"/>
    <x v="0"/>
    <x v="1"/>
    <x v="6"/>
    <x v="1"/>
    <x v="1"/>
    <x v="1"/>
    <x v="1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0"/>
    <x v="0"/>
    <x v="0"/>
    <x v="0"/>
    <x v="1"/>
    <x v="6"/>
    <x v="1"/>
    <x v="1"/>
    <x v="1"/>
    <x v="1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0"/>
    <x v="0"/>
    <x v="0"/>
    <x v="0"/>
    <x v="1"/>
    <x v="6"/>
    <x v="1"/>
    <x v="1"/>
    <x v="1"/>
    <x v="1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0"/>
    <x v="0"/>
    <x v="0"/>
    <x v="0"/>
    <x v="1"/>
    <x v="6"/>
    <x v="1"/>
    <x v="1"/>
    <x v="1"/>
    <x v="1"/>
    <x v="1"/>
    <x v="1"/>
    <x v="0"/>
    <x v="4"/>
    <x v="4"/>
    <x v="60"/>
    <x v="60"/>
    <n v="1.5"/>
    <x v="0"/>
    <x v="0"/>
    <x v="1"/>
    <x v="3"/>
    <x v="3"/>
    <x v="13"/>
    <n v="1.6350000000000002"/>
  </r>
  <r>
    <x v="0"/>
    <x v="0"/>
    <x v="0"/>
    <x v="0"/>
    <x v="1"/>
    <x v="6"/>
    <x v="1"/>
    <x v="1"/>
    <x v="1"/>
    <x v="1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0"/>
    <x v="0"/>
    <x v="0"/>
    <x v="0"/>
    <x v="1"/>
    <x v="6"/>
    <x v="1"/>
    <x v="1"/>
    <x v="1"/>
    <x v="1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0"/>
    <x v="0"/>
    <x v="0"/>
    <x v="0"/>
    <x v="1"/>
    <x v="6"/>
    <x v="1"/>
    <x v="1"/>
    <x v="1"/>
    <x v="1"/>
    <x v="1"/>
    <x v="1"/>
    <x v="0"/>
    <x v="4"/>
    <x v="4"/>
    <x v="61"/>
    <x v="61"/>
    <n v="18.052"/>
    <x v="0"/>
    <x v="0"/>
    <x v="1"/>
    <x v="3"/>
    <x v="3"/>
    <x v="4"/>
    <n v="19.676680000000001"/>
  </r>
  <r>
    <x v="0"/>
    <x v="0"/>
    <x v="0"/>
    <x v="0"/>
    <x v="1"/>
    <x v="6"/>
    <x v="1"/>
    <x v="1"/>
    <x v="1"/>
    <x v="1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0"/>
    <x v="0"/>
    <x v="0"/>
    <x v="0"/>
    <x v="1"/>
    <x v="6"/>
    <x v="1"/>
    <x v="1"/>
    <x v="1"/>
    <x v="1"/>
    <x v="1"/>
    <x v="1"/>
    <x v="0"/>
    <x v="4"/>
    <x v="4"/>
    <x v="29"/>
    <x v="29"/>
    <n v="2"/>
    <x v="0"/>
    <x v="0"/>
    <x v="1"/>
    <x v="3"/>
    <x v="3"/>
    <x v="13"/>
    <n v="2.1800000000000002"/>
  </r>
  <r>
    <x v="0"/>
    <x v="0"/>
    <x v="0"/>
    <x v="0"/>
    <x v="1"/>
    <x v="6"/>
    <x v="1"/>
    <x v="1"/>
    <x v="1"/>
    <x v="1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0"/>
    <x v="0"/>
    <x v="0"/>
    <x v="0"/>
    <x v="1"/>
    <x v="6"/>
    <x v="1"/>
    <x v="1"/>
    <x v="1"/>
    <x v="1"/>
    <x v="1"/>
    <x v="1"/>
    <x v="0"/>
    <x v="4"/>
    <x v="4"/>
    <x v="55"/>
    <x v="55"/>
    <n v="1.26"/>
    <x v="0"/>
    <x v="0"/>
    <x v="1"/>
    <x v="3"/>
    <x v="3"/>
    <x v="15"/>
    <n v="1.3734000000000002"/>
  </r>
  <r>
    <x v="0"/>
    <x v="0"/>
    <x v="0"/>
    <x v="0"/>
    <x v="1"/>
    <x v="6"/>
    <x v="1"/>
    <x v="1"/>
    <x v="1"/>
    <x v="1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0"/>
    <x v="0"/>
    <x v="0"/>
    <x v="0"/>
    <x v="1"/>
    <x v="6"/>
    <x v="1"/>
    <x v="1"/>
    <x v="1"/>
    <x v="1"/>
    <x v="1"/>
    <x v="1"/>
    <x v="0"/>
    <x v="4"/>
    <x v="4"/>
    <x v="51"/>
    <x v="51"/>
    <n v="3.26"/>
    <x v="0"/>
    <x v="0"/>
    <x v="0"/>
    <x v="0"/>
    <x v="0"/>
    <x v="0"/>
    <n v="3.5533999999999999"/>
  </r>
  <r>
    <x v="0"/>
    <x v="0"/>
    <x v="0"/>
    <x v="0"/>
    <x v="1"/>
    <x v="6"/>
    <x v="1"/>
    <x v="1"/>
    <x v="1"/>
    <x v="1"/>
    <x v="1"/>
    <x v="1"/>
    <x v="0"/>
    <x v="4"/>
    <x v="4"/>
    <x v="38"/>
    <x v="38"/>
    <n v="4.41"/>
    <x v="1"/>
    <x v="0"/>
    <x v="4"/>
    <x v="6"/>
    <x v="10"/>
    <x v="21"/>
    <n v="4.8069000000000006"/>
  </r>
  <r>
    <x v="0"/>
    <x v="0"/>
    <x v="0"/>
    <x v="0"/>
    <x v="1"/>
    <x v="6"/>
    <x v="1"/>
    <x v="1"/>
    <x v="1"/>
    <x v="1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0"/>
    <x v="0"/>
    <x v="0"/>
    <x v="0"/>
    <x v="1"/>
    <x v="6"/>
    <x v="1"/>
    <x v="1"/>
    <x v="1"/>
    <x v="1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0"/>
    <x v="0"/>
    <x v="0"/>
    <x v="0"/>
    <x v="1"/>
    <x v="6"/>
    <x v="1"/>
    <x v="1"/>
    <x v="1"/>
    <x v="1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0"/>
    <x v="0"/>
    <x v="0"/>
    <x v="0"/>
    <x v="1"/>
    <x v="6"/>
    <x v="1"/>
    <x v="1"/>
    <x v="1"/>
    <x v="1"/>
    <x v="1"/>
    <x v="1"/>
    <x v="0"/>
    <x v="4"/>
    <x v="4"/>
    <x v="66"/>
    <x v="66"/>
    <n v="4.41"/>
    <x v="0"/>
    <x v="0"/>
    <x v="1"/>
    <x v="3"/>
    <x v="3"/>
    <x v="4"/>
    <n v="4.8069000000000006"/>
  </r>
  <r>
    <x v="0"/>
    <x v="0"/>
    <x v="0"/>
    <x v="0"/>
    <x v="1"/>
    <x v="6"/>
    <x v="1"/>
    <x v="1"/>
    <x v="1"/>
    <x v="1"/>
    <x v="1"/>
    <x v="1"/>
    <x v="0"/>
    <x v="4"/>
    <x v="4"/>
    <x v="16"/>
    <x v="16"/>
    <n v="18.24258"/>
    <x v="0"/>
    <x v="0"/>
    <x v="3"/>
    <x v="5"/>
    <x v="9"/>
    <x v="16"/>
    <n v="19.884412200000003"/>
  </r>
  <r>
    <x v="0"/>
    <x v="0"/>
    <x v="0"/>
    <x v="0"/>
    <x v="1"/>
    <x v="6"/>
    <x v="1"/>
    <x v="1"/>
    <x v="1"/>
    <x v="1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0"/>
    <x v="0"/>
    <x v="0"/>
    <x v="0"/>
    <x v="1"/>
    <x v="6"/>
    <x v="1"/>
    <x v="1"/>
    <x v="1"/>
    <x v="1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0"/>
    <x v="0"/>
    <x v="0"/>
    <x v="0"/>
    <x v="1"/>
    <x v="6"/>
    <x v="1"/>
    <x v="1"/>
    <x v="1"/>
    <x v="1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0"/>
    <x v="0"/>
    <x v="0"/>
    <x v="0"/>
    <x v="1"/>
    <x v="6"/>
    <x v="1"/>
    <x v="1"/>
    <x v="1"/>
    <x v="1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0"/>
    <x v="0"/>
    <x v="0"/>
    <x v="0"/>
    <x v="1"/>
    <x v="6"/>
    <x v="1"/>
    <x v="1"/>
    <x v="1"/>
    <x v="1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0"/>
    <x v="0"/>
    <x v="0"/>
    <x v="0"/>
    <x v="1"/>
    <x v="6"/>
    <x v="1"/>
    <x v="1"/>
    <x v="1"/>
    <x v="1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0"/>
    <x v="0"/>
    <x v="0"/>
    <x v="0"/>
    <x v="1"/>
    <x v="6"/>
    <x v="1"/>
    <x v="1"/>
    <x v="1"/>
    <x v="1"/>
    <x v="1"/>
    <x v="1"/>
    <x v="0"/>
    <x v="4"/>
    <x v="4"/>
    <x v="74"/>
    <x v="74"/>
    <n v="1.26901"/>
    <x v="0"/>
    <x v="0"/>
    <x v="1"/>
    <x v="3"/>
    <x v="3"/>
    <x v="4"/>
    <n v="1.3832209"/>
  </r>
  <r>
    <x v="0"/>
    <x v="0"/>
    <x v="0"/>
    <x v="0"/>
    <x v="1"/>
    <x v="6"/>
    <x v="1"/>
    <x v="1"/>
    <x v="1"/>
    <x v="1"/>
    <x v="1"/>
    <x v="1"/>
    <x v="0"/>
    <x v="4"/>
    <x v="4"/>
    <x v="2"/>
    <x v="2"/>
    <n v="270.05018348607598"/>
    <x v="0"/>
    <x v="1"/>
    <x v="2"/>
    <x v="2"/>
    <x v="2"/>
    <x v="2"/>
    <n v="294.35469999982286"/>
  </r>
  <r>
    <x v="0"/>
    <x v="0"/>
    <x v="0"/>
    <x v="0"/>
    <x v="1"/>
    <x v="6"/>
    <x v="1"/>
    <x v="1"/>
    <x v="1"/>
    <x v="1"/>
    <x v="1"/>
    <x v="1"/>
    <x v="0"/>
    <x v="4"/>
    <x v="4"/>
    <x v="76"/>
    <x v="76"/>
    <n v="2.4"/>
    <x v="0"/>
    <x v="0"/>
    <x v="1"/>
    <x v="3"/>
    <x v="3"/>
    <x v="15"/>
    <n v="2.6160000000000001"/>
  </r>
  <r>
    <x v="0"/>
    <x v="0"/>
    <x v="0"/>
    <x v="0"/>
    <x v="1"/>
    <x v="6"/>
    <x v="1"/>
    <x v="1"/>
    <x v="1"/>
    <x v="1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0"/>
    <x v="0"/>
    <x v="0"/>
    <x v="0"/>
    <x v="1"/>
    <x v="6"/>
    <x v="1"/>
    <x v="1"/>
    <x v="1"/>
    <x v="1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0"/>
    <x v="0"/>
    <x v="0"/>
    <x v="0"/>
    <x v="1"/>
    <x v="6"/>
    <x v="1"/>
    <x v="1"/>
    <x v="1"/>
    <x v="1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0"/>
    <x v="0"/>
    <x v="0"/>
    <x v="0"/>
    <x v="1"/>
    <x v="6"/>
    <x v="1"/>
    <x v="1"/>
    <x v="1"/>
    <x v="1"/>
    <x v="1"/>
    <x v="1"/>
    <x v="2"/>
    <x v="2"/>
    <x v="2"/>
    <x v="6"/>
    <x v="6"/>
    <n v="12.33"/>
    <x v="0"/>
    <x v="0"/>
    <x v="0"/>
    <x v="0"/>
    <x v="4"/>
    <x v="6"/>
    <n v="13.4397"/>
  </r>
  <r>
    <x v="0"/>
    <x v="0"/>
    <x v="0"/>
    <x v="0"/>
    <x v="1"/>
    <x v="6"/>
    <x v="1"/>
    <x v="1"/>
    <x v="1"/>
    <x v="1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0"/>
    <x v="0"/>
    <x v="0"/>
    <x v="0"/>
    <x v="1"/>
    <x v="6"/>
    <x v="1"/>
    <x v="1"/>
    <x v="1"/>
    <x v="1"/>
    <x v="1"/>
    <x v="1"/>
    <x v="2"/>
    <x v="2"/>
    <x v="2"/>
    <x v="61"/>
    <x v="61"/>
    <n v="17.96"/>
    <x v="0"/>
    <x v="0"/>
    <x v="1"/>
    <x v="3"/>
    <x v="3"/>
    <x v="4"/>
    <n v="19.576400000000003"/>
  </r>
  <r>
    <x v="0"/>
    <x v="0"/>
    <x v="0"/>
    <x v="0"/>
    <x v="1"/>
    <x v="6"/>
    <x v="1"/>
    <x v="1"/>
    <x v="1"/>
    <x v="1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0"/>
    <x v="0"/>
    <x v="0"/>
    <x v="0"/>
    <x v="1"/>
    <x v="6"/>
    <x v="1"/>
    <x v="1"/>
    <x v="1"/>
    <x v="1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0"/>
    <x v="0"/>
    <x v="0"/>
    <x v="0"/>
    <x v="1"/>
    <x v="6"/>
    <x v="1"/>
    <x v="1"/>
    <x v="1"/>
    <x v="1"/>
    <x v="1"/>
    <x v="1"/>
    <x v="2"/>
    <x v="2"/>
    <x v="2"/>
    <x v="51"/>
    <x v="51"/>
    <n v="10.43"/>
    <x v="0"/>
    <x v="0"/>
    <x v="0"/>
    <x v="0"/>
    <x v="0"/>
    <x v="0"/>
    <n v="11.3687"/>
  </r>
  <r>
    <x v="0"/>
    <x v="0"/>
    <x v="0"/>
    <x v="0"/>
    <x v="1"/>
    <x v="6"/>
    <x v="1"/>
    <x v="1"/>
    <x v="1"/>
    <x v="1"/>
    <x v="1"/>
    <x v="1"/>
    <x v="2"/>
    <x v="2"/>
    <x v="2"/>
    <x v="38"/>
    <x v="38"/>
    <n v="3.4"/>
    <x v="1"/>
    <x v="0"/>
    <x v="4"/>
    <x v="6"/>
    <x v="10"/>
    <x v="21"/>
    <n v="3.706"/>
  </r>
  <r>
    <x v="0"/>
    <x v="0"/>
    <x v="0"/>
    <x v="0"/>
    <x v="1"/>
    <x v="6"/>
    <x v="1"/>
    <x v="1"/>
    <x v="1"/>
    <x v="1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0"/>
    <x v="0"/>
    <x v="0"/>
    <x v="0"/>
    <x v="1"/>
    <x v="6"/>
    <x v="1"/>
    <x v="1"/>
    <x v="1"/>
    <x v="1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0"/>
    <x v="0"/>
    <x v="0"/>
    <x v="0"/>
    <x v="1"/>
    <x v="6"/>
    <x v="1"/>
    <x v="1"/>
    <x v="1"/>
    <x v="1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0"/>
    <x v="0"/>
    <x v="0"/>
    <x v="0"/>
    <x v="1"/>
    <x v="6"/>
    <x v="1"/>
    <x v="1"/>
    <x v="1"/>
    <x v="1"/>
    <x v="1"/>
    <x v="1"/>
    <x v="2"/>
    <x v="2"/>
    <x v="2"/>
    <x v="67"/>
    <x v="67"/>
    <n v="11.55"/>
    <x v="0"/>
    <x v="0"/>
    <x v="1"/>
    <x v="3"/>
    <x v="3"/>
    <x v="13"/>
    <n v="12.589500000000001"/>
  </r>
  <r>
    <x v="0"/>
    <x v="0"/>
    <x v="0"/>
    <x v="0"/>
    <x v="1"/>
    <x v="6"/>
    <x v="1"/>
    <x v="1"/>
    <x v="1"/>
    <x v="1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0"/>
    <x v="0"/>
    <x v="0"/>
    <x v="0"/>
    <x v="1"/>
    <x v="6"/>
    <x v="1"/>
    <x v="1"/>
    <x v="1"/>
    <x v="1"/>
    <x v="1"/>
    <x v="1"/>
    <x v="2"/>
    <x v="2"/>
    <x v="2"/>
    <x v="26"/>
    <x v="26"/>
    <n v="2.5"/>
    <x v="0"/>
    <x v="0"/>
    <x v="1"/>
    <x v="3"/>
    <x v="3"/>
    <x v="15"/>
    <n v="2.7250000000000001"/>
  </r>
  <r>
    <x v="0"/>
    <x v="0"/>
    <x v="0"/>
    <x v="0"/>
    <x v="1"/>
    <x v="6"/>
    <x v="1"/>
    <x v="1"/>
    <x v="1"/>
    <x v="1"/>
    <x v="1"/>
    <x v="1"/>
    <x v="2"/>
    <x v="2"/>
    <x v="2"/>
    <x v="2"/>
    <x v="2"/>
    <n v="107.487385321036"/>
    <x v="0"/>
    <x v="1"/>
    <x v="2"/>
    <x v="2"/>
    <x v="2"/>
    <x v="2"/>
    <n v="117.16124999992925"/>
  </r>
  <r>
    <x v="0"/>
    <x v="0"/>
    <x v="0"/>
    <x v="0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0"/>
    <x v="0"/>
    <x v="0"/>
    <x v="0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0"/>
    <x v="0"/>
    <x v="0"/>
    <x v="0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0"/>
    <x v="0"/>
    <x v="0"/>
    <x v="0"/>
    <x v="1"/>
    <x v="6"/>
    <x v="0"/>
    <x v="0"/>
    <x v="0"/>
    <x v="0"/>
    <x v="2"/>
    <x v="2"/>
    <x v="2"/>
    <x v="2"/>
    <x v="2"/>
    <x v="10"/>
    <x v="10"/>
    <n v="4.5310648572889596"/>
    <x v="0"/>
    <x v="0"/>
    <x v="1"/>
    <x v="4"/>
    <x v="5"/>
    <x v="10"/>
    <n v="4.9388606944449664"/>
  </r>
  <r>
    <x v="0"/>
    <x v="0"/>
    <x v="0"/>
    <x v="0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0"/>
    <x v="0"/>
    <x v="0"/>
    <x v="0"/>
    <x v="1"/>
    <x v="6"/>
    <x v="0"/>
    <x v="0"/>
    <x v="0"/>
    <x v="0"/>
    <x v="0"/>
    <x v="0"/>
    <x v="3"/>
    <x v="3"/>
    <x v="3"/>
    <x v="29"/>
    <x v="29"/>
    <n v="0.11942"/>
    <x v="0"/>
    <x v="0"/>
    <x v="1"/>
    <x v="3"/>
    <x v="3"/>
    <x v="13"/>
    <n v="0.1301678"/>
  </r>
  <r>
    <x v="0"/>
    <x v="0"/>
    <x v="0"/>
    <x v="0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0"/>
    <x v="0"/>
    <x v="0"/>
    <x v="0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0"/>
    <x v="0"/>
    <x v="0"/>
    <x v="0"/>
    <x v="1"/>
    <x v="6"/>
    <x v="0"/>
    <x v="0"/>
    <x v="0"/>
    <x v="0"/>
    <x v="0"/>
    <x v="0"/>
    <x v="0"/>
    <x v="4"/>
    <x v="4"/>
    <x v="9"/>
    <x v="9"/>
    <n v="16.932155654419802"/>
    <x v="0"/>
    <x v="0"/>
    <x v="1"/>
    <x v="4"/>
    <x v="5"/>
    <x v="9"/>
    <n v="18.456049663317586"/>
  </r>
  <r>
    <x v="0"/>
    <x v="0"/>
    <x v="0"/>
    <x v="0"/>
    <x v="1"/>
    <x v="6"/>
    <x v="0"/>
    <x v="0"/>
    <x v="0"/>
    <x v="0"/>
    <x v="0"/>
    <x v="0"/>
    <x v="0"/>
    <x v="4"/>
    <x v="4"/>
    <x v="10"/>
    <x v="10"/>
    <n v="20.7776146788866"/>
    <x v="0"/>
    <x v="0"/>
    <x v="1"/>
    <x v="4"/>
    <x v="5"/>
    <x v="10"/>
    <n v="22.647599999986397"/>
  </r>
  <r>
    <x v="0"/>
    <x v="0"/>
    <x v="0"/>
    <x v="0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0"/>
    <x v="0"/>
    <x v="0"/>
    <x v="0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0"/>
    <x v="0"/>
    <x v="0"/>
    <x v="0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0"/>
    <x v="0"/>
    <x v="0"/>
    <x v="0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0"/>
    <x v="0"/>
    <x v="0"/>
    <x v="0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0"/>
    <x v="0"/>
    <x v="0"/>
    <x v="0"/>
    <x v="1"/>
    <x v="6"/>
    <x v="0"/>
    <x v="0"/>
    <x v="0"/>
    <x v="0"/>
    <x v="0"/>
    <x v="0"/>
    <x v="0"/>
    <x v="4"/>
    <x v="4"/>
    <x v="2"/>
    <x v="2"/>
    <n v="389.58117431169302"/>
    <x v="0"/>
    <x v="1"/>
    <x v="2"/>
    <x v="2"/>
    <x v="2"/>
    <x v="2"/>
    <n v="424.64347999974541"/>
  </r>
  <r>
    <x v="0"/>
    <x v="0"/>
    <x v="0"/>
    <x v="0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0"/>
    <x v="0"/>
    <x v="0"/>
    <x v="0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0"/>
    <x v="0"/>
    <x v="0"/>
    <x v="0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0"/>
    <x v="0"/>
    <x v="0"/>
    <x v="0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0"/>
    <x v="0"/>
    <x v="0"/>
    <x v="0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0"/>
    <x v="0"/>
    <x v="0"/>
    <x v="0"/>
    <x v="1"/>
    <x v="6"/>
    <x v="0"/>
    <x v="0"/>
    <x v="0"/>
    <x v="0"/>
    <x v="0"/>
    <x v="0"/>
    <x v="0"/>
    <x v="0"/>
    <x v="0"/>
    <x v="2"/>
    <x v="2"/>
    <n v="161.834862385224"/>
    <x v="0"/>
    <x v="1"/>
    <x v="2"/>
    <x v="2"/>
    <x v="2"/>
    <x v="2"/>
    <n v="176.39999999989416"/>
  </r>
  <r>
    <x v="0"/>
    <x v="0"/>
    <x v="0"/>
    <x v="0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0"/>
    <x v="0"/>
    <x v="0"/>
    <x v="0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0"/>
    <x v="0"/>
    <x v="0"/>
    <x v="0"/>
    <x v="1"/>
    <x v="6"/>
    <x v="0"/>
    <x v="0"/>
    <x v="0"/>
    <x v="0"/>
    <x v="0"/>
    <x v="0"/>
    <x v="2"/>
    <x v="2"/>
    <x v="2"/>
    <x v="4"/>
    <x v="4"/>
    <n v="0.44354128440340002"/>
    <x v="0"/>
    <x v="0"/>
    <x v="1"/>
    <x v="3"/>
    <x v="3"/>
    <x v="4"/>
    <n v="0.48345999999970607"/>
  </r>
  <r>
    <x v="0"/>
    <x v="0"/>
    <x v="0"/>
    <x v="0"/>
    <x v="1"/>
    <x v="6"/>
    <x v="0"/>
    <x v="0"/>
    <x v="0"/>
    <x v="0"/>
    <x v="0"/>
    <x v="0"/>
    <x v="2"/>
    <x v="2"/>
    <x v="2"/>
    <x v="5"/>
    <x v="5"/>
    <n v="36.613852761014499"/>
    <x v="0"/>
    <x v="0"/>
    <x v="1"/>
    <x v="1"/>
    <x v="1"/>
    <x v="5"/>
    <n v="39.909099509505808"/>
  </r>
  <r>
    <x v="0"/>
    <x v="0"/>
    <x v="0"/>
    <x v="0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5.5590000000000002"/>
  </r>
  <r>
    <x v="0"/>
    <x v="0"/>
    <x v="0"/>
    <x v="0"/>
    <x v="1"/>
    <x v="6"/>
    <x v="0"/>
    <x v="0"/>
    <x v="0"/>
    <x v="0"/>
    <x v="0"/>
    <x v="0"/>
    <x v="2"/>
    <x v="2"/>
    <x v="2"/>
    <x v="8"/>
    <x v="8"/>
    <n v="16.810587837945398"/>
    <x v="0"/>
    <x v="1"/>
    <x v="2"/>
    <x v="2"/>
    <x v="6"/>
    <x v="8"/>
    <n v="18.323540743360486"/>
  </r>
  <r>
    <x v="0"/>
    <x v="0"/>
    <x v="0"/>
    <x v="0"/>
    <x v="1"/>
    <x v="6"/>
    <x v="0"/>
    <x v="0"/>
    <x v="0"/>
    <x v="0"/>
    <x v="0"/>
    <x v="0"/>
    <x v="2"/>
    <x v="2"/>
    <x v="2"/>
    <x v="9"/>
    <x v="9"/>
    <n v="99.559343575005698"/>
    <x v="0"/>
    <x v="0"/>
    <x v="1"/>
    <x v="4"/>
    <x v="5"/>
    <x v="9"/>
    <n v="108.51968449675621"/>
  </r>
  <r>
    <x v="0"/>
    <x v="0"/>
    <x v="0"/>
    <x v="0"/>
    <x v="1"/>
    <x v="6"/>
    <x v="0"/>
    <x v="0"/>
    <x v="0"/>
    <x v="0"/>
    <x v="0"/>
    <x v="0"/>
    <x v="2"/>
    <x v="2"/>
    <x v="2"/>
    <x v="10"/>
    <x v="10"/>
    <n v="31.139319025414402"/>
    <x v="0"/>
    <x v="0"/>
    <x v="1"/>
    <x v="4"/>
    <x v="5"/>
    <x v="10"/>
    <n v="33.941857737701703"/>
  </r>
  <r>
    <x v="0"/>
    <x v="0"/>
    <x v="0"/>
    <x v="0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0"/>
    <x v="0"/>
    <x v="0"/>
    <x v="0"/>
    <x v="1"/>
    <x v="6"/>
    <x v="0"/>
    <x v="0"/>
    <x v="0"/>
    <x v="0"/>
    <x v="0"/>
    <x v="0"/>
    <x v="2"/>
    <x v="2"/>
    <x v="2"/>
    <x v="80"/>
    <x v="80"/>
    <n v="31.706633027503901"/>
    <x v="0"/>
    <x v="0"/>
    <x v="1"/>
    <x v="4"/>
    <x v="5"/>
    <x v="10"/>
    <n v="34.560229999979256"/>
  </r>
  <r>
    <x v="0"/>
    <x v="0"/>
    <x v="0"/>
    <x v="0"/>
    <x v="1"/>
    <x v="6"/>
    <x v="0"/>
    <x v="0"/>
    <x v="0"/>
    <x v="0"/>
    <x v="0"/>
    <x v="0"/>
    <x v="2"/>
    <x v="2"/>
    <x v="2"/>
    <x v="31"/>
    <x v="31"/>
    <n v="12.754889908249201"/>
    <x v="0"/>
    <x v="0"/>
    <x v="1"/>
    <x v="4"/>
    <x v="5"/>
    <x v="10"/>
    <n v="13.90282999999163"/>
  </r>
  <r>
    <x v="0"/>
    <x v="0"/>
    <x v="0"/>
    <x v="0"/>
    <x v="1"/>
    <x v="6"/>
    <x v="0"/>
    <x v="0"/>
    <x v="0"/>
    <x v="0"/>
    <x v="0"/>
    <x v="0"/>
    <x v="2"/>
    <x v="2"/>
    <x v="2"/>
    <x v="11"/>
    <x v="11"/>
    <n v="0.63"/>
    <x v="0"/>
    <x v="0"/>
    <x v="3"/>
    <x v="5"/>
    <x v="7"/>
    <x v="11"/>
    <n v="0.68670000000000009"/>
  </r>
  <r>
    <x v="0"/>
    <x v="0"/>
    <x v="0"/>
    <x v="0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0"/>
    <x v="0"/>
    <x v="0"/>
    <x v="0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0"/>
    <x v="0"/>
    <x v="0"/>
    <x v="0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0"/>
    <x v="0"/>
    <x v="0"/>
    <x v="0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0"/>
    <x v="0"/>
    <x v="0"/>
    <x v="0"/>
    <x v="1"/>
    <x v="6"/>
    <x v="0"/>
    <x v="0"/>
    <x v="0"/>
    <x v="0"/>
    <x v="0"/>
    <x v="0"/>
    <x v="2"/>
    <x v="2"/>
    <x v="2"/>
    <x v="27"/>
    <x v="27"/>
    <n v="4.3686351352277502"/>
    <x v="0"/>
    <x v="0"/>
    <x v="1"/>
    <x v="3"/>
    <x v="3"/>
    <x v="19"/>
    <n v="4.7618122973982482"/>
  </r>
  <r>
    <x v="0"/>
    <x v="0"/>
    <x v="0"/>
    <x v="0"/>
    <x v="1"/>
    <x v="6"/>
    <x v="0"/>
    <x v="0"/>
    <x v="0"/>
    <x v="0"/>
    <x v="0"/>
    <x v="0"/>
    <x v="2"/>
    <x v="2"/>
    <x v="2"/>
    <x v="78"/>
    <x v="78"/>
    <n v="5.7691100917396598"/>
    <x v="0"/>
    <x v="0"/>
    <x v="1"/>
    <x v="4"/>
    <x v="5"/>
    <x v="9"/>
    <n v="6.2883299999962299"/>
  </r>
  <r>
    <x v="0"/>
    <x v="0"/>
    <x v="0"/>
    <x v="0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0"/>
    <x v="0"/>
    <x v="0"/>
    <x v="0"/>
    <x v="1"/>
    <x v="6"/>
    <x v="0"/>
    <x v="0"/>
    <x v="0"/>
    <x v="0"/>
    <x v="0"/>
    <x v="0"/>
    <x v="2"/>
    <x v="2"/>
    <x v="2"/>
    <x v="26"/>
    <x v="26"/>
    <n v="159.31069724761099"/>
    <x v="0"/>
    <x v="0"/>
    <x v="1"/>
    <x v="3"/>
    <x v="3"/>
    <x v="15"/>
    <n v="173.64865999989598"/>
  </r>
  <r>
    <x v="0"/>
    <x v="0"/>
    <x v="0"/>
    <x v="0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0"/>
    <x v="0"/>
    <x v="0"/>
    <x v="0"/>
    <x v="1"/>
    <x v="6"/>
    <x v="0"/>
    <x v="0"/>
    <x v="0"/>
    <x v="0"/>
    <x v="0"/>
    <x v="0"/>
    <x v="2"/>
    <x v="2"/>
    <x v="2"/>
    <x v="2"/>
    <x v="2"/>
    <n v="154.54022018339401"/>
    <x v="0"/>
    <x v="1"/>
    <x v="2"/>
    <x v="2"/>
    <x v="2"/>
    <x v="2"/>
    <n v="168.44883999989949"/>
  </r>
  <r>
    <x v="0"/>
    <x v="0"/>
    <x v="0"/>
    <x v="0"/>
    <x v="1"/>
    <x v="6"/>
    <x v="0"/>
    <x v="0"/>
    <x v="0"/>
    <x v="0"/>
    <x v="0"/>
    <x v="0"/>
    <x v="1"/>
    <x v="6"/>
    <x v="6"/>
    <x v="7"/>
    <x v="7"/>
    <n v="11.40832"/>
    <x v="0"/>
    <x v="0"/>
    <x v="1"/>
    <x v="4"/>
    <x v="5"/>
    <x v="7"/>
    <n v="12.4350688"/>
  </r>
  <r>
    <x v="0"/>
    <x v="0"/>
    <x v="0"/>
    <x v="0"/>
    <x v="1"/>
    <x v="6"/>
    <x v="0"/>
    <x v="0"/>
    <x v="0"/>
    <x v="0"/>
    <x v="0"/>
    <x v="0"/>
    <x v="1"/>
    <x v="6"/>
    <x v="6"/>
    <x v="9"/>
    <x v="9"/>
    <n v="14.8894610477676"/>
    <x v="0"/>
    <x v="0"/>
    <x v="1"/>
    <x v="4"/>
    <x v="5"/>
    <x v="9"/>
    <n v="16.229512542066686"/>
  </r>
  <r>
    <x v="0"/>
    <x v="0"/>
    <x v="0"/>
    <x v="0"/>
    <x v="1"/>
    <x v="6"/>
    <x v="0"/>
    <x v="0"/>
    <x v="0"/>
    <x v="0"/>
    <x v="0"/>
    <x v="0"/>
    <x v="1"/>
    <x v="6"/>
    <x v="6"/>
    <x v="10"/>
    <x v="10"/>
    <n v="156.02532110082399"/>
    <x v="0"/>
    <x v="0"/>
    <x v="1"/>
    <x v="4"/>
    <x v="5"/>
    <x v="10"/>
    <n v="170.06759999989816"/>
  </r>
  <r>
    <x v="0"/>
    <x v="0"/>
    <x v="0"/>
    <x v="0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0"/>
    <x v="0"/>
    <x v="0"/>
    <x v="0"/>
    <x v="1"/>
    <x v="6"/>
    <x v="0"/>
    <x v="0"/>
    <x v="0"/>
    <x v="0"/>
    <x v="0"/>
    <x v="0"/>
    <x v="1"/>
    <x v="6"/>
    <x v="6"/>
    <x v="31"/>
    <x v="31"/>
    <n v="0.12286238532103"/>
    <x v="0"/>
    <x v="0"/>
    <x v="1"/>
    <x v="4"/>
    <x v="5"/>
    <x v="10"/>
    <n v="0.13391999999992271"/>
  </r>
  <r>
    <x v="0"/>
    <x v="0"/>
    <x v="0"/>
    <x v="0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0"/>
    <x v="0"/>
    <x v="0"/>
    <x v="0"/>
    <x v="1"/>
    <x v="6"/>
    <x v="0"/>
    <x v="0"/>
    <x v="0"/>
    <x v="0"/>
    <x v="0"/>
    <x v="0"/>
    <x v="1"/>
    <x v="6"/>
    <x v="6"/>
    <x v="21"/>
    <x v="21"/>
    <n v="221.082376146656"/>
    <x v="0"/>
    <x v="0"/>
    <x v="1"/>
    <x v="4"/>
    <x v="5"/>
    <x v="10"/>
    <n v="240.97978999985506"/>
  </r>
  <r>
    <x v="0"/>
    <x v="0"/>
    <x v="0"/>
    <x v="0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0"/>
    <x v="0"/>
    <x v="0"/>
    <x v="0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0"/>
    <x v="0"/>
    <x v="0"/>
    <x v="0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0"/>
    <x v="0"/>
    <x v="0"/>
    <x v="0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0"/>
    <x v="0"/>
    <x v="0"/>
    <x v="0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2"/>
    <x v="2"/>
    <n v="435.84772999973887"/>
  </r>
  <r>
    <x v="0"/>
    <x v="0"/>
    <x v="0"/>
    <x v="0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0"/>
    <x v="0"/>
    <x v="0"/>
    <x v="0"/>
    <x v="1"/>
    <x v="6"/>
    <x v="0"/>
    <x v="0"/>
    <x v="0"/>
    <x v="0"/>
    <x v="0"/>
    <x v="0"/>
    <x v="3"/>
    <x v="7"/>
    <x v="7"/>
    <x v="9"/>
    <x v="9"/>
    <n v="0.22204890174707001"/>
    <x v="0"/>
    <x v="0"/>
    <x v="1"/>
    <x v="4"/>
    <x v="5"/>
    <x v="9"/>
    <n v="0.24203330290430633"/>
  </r>
  <r>
    <x v="0"/>
    <x v="0"/>
    <x v="0"/>
    <x v="0"/>
    <x v="1"/>
    <x v="6"/>
    <x v="0"/>
    <x v="0"/>
    <x v="0"/>
    <x v="0"/>
    <x v="0"/>
    <x v="0"/>
    <x v="3"/>
    <x v="7"/>
    <x v="7"/>
    <x v="10"/>
    <x v="10"/>
    <n v="25.608340651270399"/>
    <x v="0"/>
    <x v="0"/>
    <x v="1"/>
    <x v="4"/>
    <x v="5"/>
    <x v="10"/>
    <n v="27.913091309884738"/>
  </r>
  <r>
    <x v="0"/>
    <x v="0"/>
    <x v="0"/>
    <x v="0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0"/>
    <x v="0"/>
    <x v="0"/>
    <x v="0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0"/>
    <x v="0"/>
    <x v="0"/>
    <x v="0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0"/>
    <x v="0"/>
    <x v="0"/>
    <x v="0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0"/>
    <x v="0"/>
    <x v="0"/>
    <x v="0"/>
    <x v="1"/>
    <x v="6"/>
    <x v="0"/>
    <x v="0"/>
    <x v="0"/>
    <x v="0"/>
    <x v="0"/>
    <x v="0"/>
    <x v="1"/>
    <x v="8"/>
    <x v="8"/>
    <x v="9"/>
    <x v="9"/>
    <n v="36.066183559880798"/>
    <x v="0"/>
    <x v="0"/>
    <x v="1"/>
    <x v="4"/>
    <x v="5"/>
    <x v="9"/>
    <n v="39.312140080270076"/>
  </r>
  <r>
    <x v="0"/>
    <x v="0"/>
    <x v="0"/>
    <x v="0"/>
    <x v="1"/>
    <x v="6"/>
    <x v="0"/>
    <x v="0"/>
    <x v="0"/>
    <x v="0"/>
    <x v="0"/>
    <x v="0"/>
    <x v="1"/>
    <x v="8"/>
    <x v="8"/>
    <x v="10"/>
    <x v="10"/>
    <n v="17.3670343230682"/>
    <x v="0"/>
    <x v="0"/>
    <x v="1"/>
    <x v="4"/>
    <x v="5"/>
    <x v="10"/>
    <n v="18.930067412144339"/>
  </r>
  <r>
    <x v="0"/>
    <x v="0"/>
    <x v="0"/>
    <x v="0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0"/>
    <x v="0"/>
    <x v="0"/>
    <x v="0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0"/>
    <x v="0"/>
    <x v="0"/>
    <x v="0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0"/>
    <x v="0"/>
    <x v="0"/>
    <x v="0"/>
    <x v="1"/>
    <x v="6"/>
    <x v="0"/>
    <x v="0"/>
    <x v="0"/>
    <x v="0"/>
    <x v="0"/>
    <x v="0"/>
    <x v="0"/>
    <x v="9"/>
    <x v="9"/>
    <x v="9"/>
    <x v="9"/>
    <n v="86.782521780787107"/>
    <x v="0"/>
    <x v="0"/>
    <x v="1"/>
    <x v="4"/>
    <x v="5"/>
    <x v="9"/>
    <n v="94.592948741057953"/>
  </r>
  <r>
    <x v="0"/>
    <x v="0"/>
    <x v="0"/>
    <x v="0"/>
    <x v="1"/>
    <x v="6"/>
    <x v="0"/>
    <x v="0"/>
    <x v="0"/>
    <x v="0"/>
    <x v="0"/>
    <x v="0"/>
    <x v="0"/>
    <x v="9"/>
    <x v="9"/>
    <x v="10"/>
    <x v="10"/>
    <n v="227.34006647657699"/>
    <x v="0"/>
    <x v="0"/>
    <x v="1"/>
    <x v="4"/>
    <x v="5"/>
    <x v="10"/>
    <n v="247.80067245946893"/>
  </r>
  <r>
    <x v="0"/>
    <x v="0"/>
    <x v="0"/>
    <x v="0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0"/>
    <x v="0"/>
    <x v="0"/>
    <x v="0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0"/>
    <x v="0"/>
    <x v="0"/>
    <x v="0"/>
    <x v="1"/>
    <x v="6"/>
    <x v="0"/>
    <x v="0"/>
    <x v="0"/>
    <x v="0"/>
    <x v="0"/>
    <x v="0"/>
    <x v="0"/>
    <x v="9"/>
    <x v="9"/>
    <x v="21"/>
    <x v="21"/>
    <n v="56.7799724770301"/>
    <x v="0"/>
    <x v="0"/>
    <x v="1"/>
    <x v="4"/>
    <x v="5"/>
    <x v="10"/>
    <n v="61.890169999962815"/>
  </r>
  <r>
    <x v="0"/>
    <x v="0"/>
    <x v="0"/>
    <x v="0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0"/>
    <x v="0"/>
    <x v="0"/>
    <x v="0"/>
    <x v="1"/>
    <x v="6"/>
    <x v="0"/>
    <x v="0"/>
    <x v="0"/>
    <x v="0"/>
    <x v="0"/>
    <x v="0"/>
    <x v="2"/>
    <x v="10"/>
    <x v="10"/>
    <x v="9"/>
    <x v="9"/>
    <n v="29.219265410039"/>
    <x v="0"/>
    <x v="0"/>
    <x v="1"/>
    <x v="4"/>
    <x v="5"/>
    <x v="9"/>
    <n v="31.848999296942512"/>
  </r>
  <r>
    <x v="0"/>
    <x v="0"/>
    <x v="0"/>
    <x v="0"/>
    <x v="1"/>
    <x v="6"/>
    <x v="0"/>
    <x v="0"/>
    <x v="0"/>
    <x v="0"/>
    <x v="0"/>
    <x v="0"/>
    <x v="2"/>
    <x v="10"/>
    <x v="10"/>
    <x v="10"/>
    <x v="10"/>
    <n v="25.520222216494702"/>
    <x v="0"/>
    <x v="0"/>
    <x v="1"/>
    <x v="4"/>
    <x v="5"/>
    <x v="10"/>
    <n v="27.817042215979228"/>
  </r>
  <r>
    <x v="0"/>
    <x v="0"/>
    <x v="0"/>
    <x v="0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0"/>
    <x v="0"/>
    <x v="0"/>
    <x v="0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0"/>
    <x v="0"/>
    <x v="0"/>
    <x v="0"/>
    <x v="1"/>
    <x v="6"/>
    <x v="0"/>
    <x v="0"/>
    <x v="0"/>
    <x v="0"/>
    <x v="0"/>
    <x v="0"/>
    <x v="2"/>
    <x v="10"/>
    <x v="10"/>
    <x v="21"/>
    <x v="21"/>
    <n v="20.047495412831999"/>
    <x v="0"/>
    <x v="0"/>
    <x v="1"/>
    <x v="4"/>
    <x v="5"/>
    <x v="10"/>
    <n v="21.851769999986882"/>
  </r>
  <r>
    <x v="0"/>
    <x v="0"/>
    <x v="0"/>
    <x v="0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0"/>
    <x v="0"/>
    <x v="0"/>
    <x v="0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0"/>
    <x v="0"/>
    <x v="0"/>
    <x v="0"/>
    <x v="1"/>
    <x v="6"/>
    <x v="0"/>
    <x v="0"/>
    <x v="0"/>
    <x v="0"/>
    <x v="0"/>
    <x v="0"/>
    <x v="4"/>
    <x v="5"/>
    <x v="5"/>
    <x v="8"/>
    <x v="8"/>
    <n v="15.999972973075399"/>
    <x v="0"/>
    <x v="1"/>
    <x v="2"/>
    <x v="2"/>
    <x v="6"/>
    <x v="8"/>
    <n v="17.439970540652187"/>
  </r>
  <r>
    <x v="0"/>
    <x v="0"/>
    <x v="0"/>
    <x v="0"/>
    <x v="1"/>
    <x v="6"/>
    <x v="0"/>
    <x v="0"/>
    <x v="0"/>
    <x v="0"/>
    <x v="0"/>
    <x v="0"/>
    <x v="4"/>
    <x v="5"/>
    <x v="5"/>
    <x v="9"/>
    <x v="9"/>
    <n v="151.81040887498"/>
    <x v="0"/>
    <x v="0"/>
    <x v="1"/>
    <x v="4"/>
    <x v="5"/>
    <x v="9"/>
    <n v="165.4733456737282"/>
  </r>
  <r>
    <x v="0"/>
    <x v="0"/>
    <x v="0"/>
    <x v="0"/>
    <x v="1"/>
    <x v="6"/>
    <x v="0"/>
    <x v="0"/>
    <x v="0"/>
    <x v="0"/>
    <x v="0"/>
    <x v="0"/>
    <x v="4"/>
    <x v="5"/>
    <x v="5"/>
    <x v="10"/>
    <x v="10"/>
    <n v="182.501574389806"/>
    <x v="0"/>
    <x v="0"/>
    <x v="1"/>
    <x v="4"/>
    <x v="5"/>
    <x v="10"/>
    <n v="198.92671608488854"/>
  </r>
  <r>
    <x v="0"/>
    <x v="0"/>
    <x v="0"/>
    <x v="0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0"/>
    <x v="0"/>
    <x v="0"/>
    <x v="0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0"/>
    <x v="0"/>
    <x v="0"/>
    <x v="0"/>
    <x v="1"/>
    <x v="6"/>
    <x v="0"/>
    <x v="0"/>
    <x v="0"/>
    <x v="0"/>
    <x v="0"/>
    <x v="0"/>
    <x v="4"/>
    <x v="5"/>
    <x v="5"/>
    <x v="12"/>
    <x v="12"/>
    <n v="21.597313953406299"/>
    <x v="0"/>
    <x v="0"/>
    <x v="0"/>
    <x v="0"/>
    <x v="8"/>
    <x v="12"/>
    <n v="23.541072209212867"/>
  </r>
  <r>
    <x v="0"/>
    <x v="0"/>
    <x v="0"/>
    <x v="0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0"/>
    <x v="0"/>
    <x v="0"/>
    <x v="0"/>
    <x v="1"/>
    <x v="6"/>
    <x v="0"/>
    <x v="0"/>
    <x v="0"/>
    <x v="0"/>
    <x v="0"/>
    <x v="0"/>
    <x v="4"/>
    <x v="5"/>
    <x v="5"/>
    <x v="21"/>
    <x v="21"/>
    <n v="55.760568807306001"/>
    <x v="0"/>
    <x v="0"/>
    <x v="1"/>
    <x v="4"/>
    <x v="5"/>
    <x v="10"/>
    <n v="60.779019999963545"/>
  </r>
  <r>
    <x v="0"/>
    <x v="0"/>
    <x v="0"/>
    <x v="0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0"/>
    <x v="0"/>
    <x v="0"/>
    <x v="0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0"/>
    <x v="0"/>
    <x v="0"/>
    <x v="0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0"/>
    <x v="0"/>
    <x v="0"/>
    <x v="0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2"/>
    <x v="2"/>
    <n v="9.0999999999880001E-4"/>
  </r>
  <r>
    <x v="0"/>
    <x v="0"/>
    <x v="0"/>
    <x v="0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0"/>
    <x v="0"/>
    <x v="0"/>
    <x v="0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0"/>
    <x v="0"/>
    <x v="0"/>
    <x v="0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0"/>
    <x v="0"/>
    <x v="0"/>
    <x v="0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0"/>
    <x v="0"/>
    <x v="0"/>
    <x v="0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0"/>
    <x v="0"/>
    <x v="0"/>
    <x v="0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0"/>
    <x v="0"/>
    <x v="0"/>
    <x v="0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0"/>
    <x v="0"/>
    <x v="0"/>
    <x v="0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2"/>
    <x v="2"/>
    <n v="28.028229999983193"/>
  </r>
  <r>
    <x v="0"/>
    <x v="0"/>
    <x v="0"/>
    <x v="0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0"/>
    <x v="0"/>
    <x v="0"/>
    <x v="0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0"/>
    <x v="0"/>
    <x v="0"/>
    <x v="0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0"/>
    <x v="0"/>
    <x v="0"/>
    <x v="0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0"/>
    <x v="0"/>
    <x v="0"/>
    <x v="0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0"/>
    <x v="0"/>
    <x v="0"/>
    <x v="0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0"/>
    <x v="0"/>
    <x v="0"/>
    <x v="0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0"/>
    <x v="0"/>
    <x v="0"/>
    <x v="0"/>
    <x v="1"/>
    <x v="6"/>
    <x v="0"/>
    <x v="0"/>
    <x v="0"/>
    <x v="0"/>
    <x v="3"/>
    <x v="3"/>
    <x v="2"/>
    <x v="2"/>
    <x v="2"/>
    <x v="5"/>
    <x v="5"/>
    <n v="74.049877301176295"/>
    <x v="0"/>
    <x v="0"/>
    <x v="1"/>
    <x v="1"/>
    <x v="1"/>
    <x v="5"/>
    <n v="80.714366258282169"/>
  </r>
  <r>
    <x v="0"/>
    <x v="0"/>
    <x v="0"/>
    <x v="0"/>
    <x v="1"/>
    <x v="6"/>
    <x v="0"/>
    <x v="0"/>
    <x v="0"/>
    <x v="0"/>
    <x v="3"/>
    <x v="3"/>
    <x v="2"/>
    <x v="2"/>
    <x v="2"/>
    <x v="8"/>
    <x v="8"/>
    <n v="0.74324324324799995"/>
    <x v="0"/>
    <x v="1"/>
    <x v="2"/>
    <x v="2"/>
    <x v="6"/>
    <x v="8"/>
    <n v="0.81013513514031998"/>
  </r>
  <r>
    <x v="0"/>
    <x v="0"/>
    <x v="0"/>
    <x v="0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0"/>
    <x v="0"/>
    <x v="0"/>
    <x v="0"/>
    <x v="1"/>
    <x v="6"/>
    <x v="0"/>
    <x v="0"/>
    <x v="0"/>
    <x v="0"/>
    <x v="3"/>
    <x v="3"/>
    <x v="2"/>
    <x v="2"/>
    <x v="2"/>
    <x v="9"/>
    <x v="9"/>
    <n v="15.7081284403575"/>
    <x v="0"/>
    <x v="0"/>
    <x v="1"/>
    <x v="4"/>
    <x v="5"/>
    <x v="9"/>
    <n v="17.121859999989677"/>
  </r>
  <r>
    <x v="0"/>
    <x v="0"/>
    <x v="0"/>
    <x v="0"/>
    <x v="1"/>
    <x v="6"/>
    <x v="0"/>
    <x v="0"/>
    <x v="0"/>
    <x v="0"/>
    <x v="3"/>
    <x v="3"/>
    <x v="2"/>
    <x v="2"/>
    <x v="2"/>
    <x v="10"/>
    <x v="10"/>
    <n v="28.115704833056"/>
    <x v="0"/>
    <x v="0"/>
    <x v="1"/>
    <x v="4"/>
    <x v="5"/>
    <x v="10"/>
    <n v="30.646118268031042"/>
  </r>
  <r>
    <x v="0"/>
    <x v="0"/>
    <x v="0"/>
    <x v="0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0"/>
    <x v="0"/>
    <x v="0"/>
    <x v="0"/>
    <x v="1"/>
    <x v="6"/>
    <x v="0"/>
    <x v="0"/>
    <x v="0"/>
    <x v="0"/>
    <x v="3"/>
    <x v="3"/>
    <x v="2"/>
    <x v="2"/>
    <x v="2"/>
    <x v="31"/>
    <x v="31"/>
    <n v="7.3743119266010002E-2"/>
    <x v="0"/>
    <x v="0"/>
    <x v="1"/>
    <x v="4"/>
    <x v="5"/>
    <x v="10"/>
    <n v="8.0379999999950907E-2"/>
  </r>
  <r>
    <x v="0"/>
    <x v="0"/>
    <x v="0"/>
    <x v="0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0"/>
    <x v="0"/>
    <x v="0"/>
    <x v="0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0"/>
    <x v="0"/>
    <x v="0"/>
    <x v="0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0"/>
    <x v="0"/>
    <x v="0"/>
    <x v="0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0"/>
    <x v="0"/>
    <x v="0"/>
    <x v="0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0"/>
    <x v="0"/>
    <x v="0"/>
    <x v="0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0"/>
    <x v="0"/>
    <x v="0"/>
    <x v="0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0"/>
    <x v="0"/>
    <x v="0"/>
    <x v="0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2"/>
    <x v="2"/>
    <n v="13.372259999991964"/>
  </r>
  <r>
    <x v="0"/>
    <x v="0"/>
    <x v="0"/>
    <x v="0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0"/>
    <x v="0"/>
    <x v="0"/>
    <x v="0"/>
    <x v="1"/>
    <x v="6"/>
    <x v="0"/>
    <x v="0"/>
    <x v="0"/>
    <x v="0"/>
    <x v="3"/>
    <x v="3"/>
    <x v="1"/>
    <x v="6"/>
    <x v="6"/>
    <x v="7"/>
    <x v="7"/>
    <n v="1.9599999999999999E-3"/>
    <x v="0"/>
    <x v="0"/>
    <x v="1"/>
    <x v="4"/>
    <x v="5"/>
    <x v="7"/>
    <n v="2.1364000000000001E-3"/>
  </r>
  <r>
    <x v="0"/>
    <x v="0"/>
    <x v="0"/>
    <x v="0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0"/>
    <x v="0"/>
    <x v="0"/>
    <x v="0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0"/>
    <x v="0"/>
    <x v="0"/>
    <x v="0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0"/>
    <x v="0"/>
    <x v="0"/>
    <x v="0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0"/>
    <x v="0"/>
    <x v="0"/>
    <x v="0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0"/>
    <x v="0"/>
    <x v="0"/>
    <x v="0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2"/>
    <x v="2"/>
    <n v="11.127999999993344"/>
  </r>
  <r>
    <x v="0"/>
    <x v="0"/>
    <x v="0"/>
    <x v="0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0"/>
    <x v="0"/>
    <x v="0"/>
    <x v="0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0"/>
    <x v="0"/>
    <x v="0"/>
    <x v="0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0"/>
    <x v="0"/>
    <x v="0"/>
    <x v="0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0"/>
    <x v="0"/>
    <x v="0"/>
    <x v="0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2"/>
    <x v="2"/>
    <n v="0.24625999999985054"/>
  </r>
  <r>
    <x v="0"/>
    <x v="0"/>
    <x v="0"/>
    <x v="0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0"/>
    <x v="0"/>
    <x v="0"/>
    <x v="0"/>
    <x v="1"/>
    <x v="6"/>
    <x v="0"/>
    <x v="0"/>
    <x v="0"/>
    <x v="0"/>
    <x v="4"/>
    <x v="4"/>
    <x v="2"/>
    <x v="2"/>
    <x v="2"/>
    <x v="9"/>
    <x v="9"/>
    <n v="1.3835071122398399"/>
    <x v="0"/>
    <x v="0"/>
    <x v="1"/>
    <x v="4"/>
    <x v="5"/>
    <x v="9"/>
    <n v="1.5080227523414256"/>
  </r>
  <r>
    <x v="0"/>
    <x v="0"/>
    <x v="0"/>
    <x v="0"/>
    <x v="1"/>
    <x v="6"/>
    <x v="0"/>
    <x v="0"/>
    <x v="0"/>
    <x v="0"/>
    <x v="4"/>
    <x v="4"/>
    <x v="2"/>
    <x v="2"/>
    <x v="2"/>
    <x v="10"/>
    <x v="10"/>
    <n v="4.3786323360511998"/>
    <x v="0"/>
    <x v="0"/>
    <x v="1"/>
    <x v="4"/>
    <x v="5"/>
    <x v="10"/>
    <n v="4.7727092462958085"/>
  </r>
  <r>
    <x v="0"/>
    <x v="0"/>
    <x v="0"/>
    <x v="0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0"/>
    <x v="0"/>
    <x v="0"/>
    <x v="0"/>
    <x v="1"/>
    <x v="6"/>
    <x v="0"/>
    <x v="0"/>
    <x v="0"/>
    <x v="0"/>
    <x v="4"/>
    <x v="4"/>
    <x v="2"/>
    <x v="2"/>
    <x v="2"/>
    <x v="31"/>
    <x v="31"/>
    <n v="0.33555963302732"/>
    <x v="0"/>
    <x v="0"/>
    <x v="1"/>
    <x v="4"/>
    <x v="5"/>
    <x v="10"/>
    <n v="0.36575999999977882"/>
  </r>
  <r>
    <x v="0"/>
    <x v="0"/>
    <x v="0"/>
    <x v="0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0"/>
    <x v="0"/>
    <x v="0"/>
    <x v="0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0"/>
    <x v="0"/>
    <x v="0"/>
    <x v="0"/>
    <x v="1"/>
    <x v="6"/>
    <x v="0"/>
    <x v="0"/>
    <x v="0"/>
    <x v="0"/>
    <x v="4"/>
    <x v="4"/>
    <x v="2"/>
    <x v="2"/>
    <x v="2"/>
    <x v="25"/>
    <x v="25"/>
    <n v="3.3577981651356001"/>
    <x v="0"/>
    <x v="0"/>
    <x v="1"/>
    <x v="4"/>
    <x v="5"/>
    <x v="9"/>
    <n v="3.6599999999978046"/>
  </r>
  <r>
    <x v="0"/>
    <x v="0"/>
    <x v="0"/>
    <x v="0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0"/>
    <x v="0"/>
    <x v="0"/>
    <x v="0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0"/>
    <x v="0"/>
    <x v="0"/>
    <x v="0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0"/>
    <x v="0"/>
    <x v="0"/>
    <x v="0"/>
    <x v="1"/>
    <x v="6"/>
    <x v="0"/>
    <x v="0"/>
    <x v="0"/>
    <x v="0"/>
    <x v="4"/>
    <x v="4"/>
    <x v="4"/>
    <x v="5"/>
    <x v="5"/>
    <x v="26"/>
    <x v="26"/>
    <n v="1.55561467889815"/>
    <x v="0"/>
    <x v="0"/>
    <x v="1"/>
    <x v="3"/>
    <x v="3"/>
    <x v="15"/>
    <n v="1.6956199999989836"/>
  </r>
  <r>
    <x v="0"/>
    <x v="0"/>
    <x v="0"/>
    <x v="0"/>
    <x v="1"/>
    <x v="6"/>
    <x v="0"/>
    <x v="0"/>
    <x v="0"/>
    <x v="0"/>
    <x v="4"/>
    <x v="4"/>
    <x v="4"/>
    <x v="5"/>
    <x v="5"/>
    <x v="20"/>
    <x v="20"/>
    <n v="32.552320000000002"/>
    <x v="0"/>
    <x v="0"/>
    <x v="1"/>
    <x v="3"/>
    <x v="3"/>
    <x v="13"/>
    <n v="35.482028800000002"/>
  </r>
  <r>
    <x v="0"/>
    <x v="0"/>
    <x v="0"/>
    <x v="0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0"/>
    <x v="0"/>
    <x v="0"/>
    <x v="0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0"/>
    <x v="0"/>
    <x v="0"/>
    <x v="0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0"/>
    <x v="0"/>
    <x v="0"/>
    <x v="0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0"/>
    <x v="0"/>
    <x v="0"/>
    <x v="0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0"/>
    <x v="0"/>
    <x v="0"/>
    <x v="0"/>
    <x v="1"/>
    <x v="6"/>
    <x v="0"/>
    <x v="0"/>
    <x v="2"/>
    <x v="2"/>
    <x v="5"/>
    <x v="5"/>
    <x v="2"/>
    <x v="2"/>
    <x v="2"/>
    <x v="40"/>
    <x v="40"/>
    <n v="10097.440130000001"/>
    <x v="1"/>
    <x v="2"/>
    <x v="5"/>
    <x v="7"/>
    <x v="11"/>
    <x v="22"/>
    <n v="11006.209741700002"/>
  </r>
  <r>
    <x v="0"/>
    <x v="0"/>
    <x v="0"/>
    <x v="0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0"/>
    <x v="0"/>
    <x v="0"/>
    <x v="0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0"/>
    <x v="0"/>
    <x v="0"/>
    <x v="0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0"/>
    <x v="0"/>
    <x v="0"/>
    <x v="0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0"/>
    <x v="0"/>
    <x v="0"/>
    <x v="0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0"/>
    <x v="0"/>
    <x v="0"/>
    <x v="0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0"/>
    <x v="0"/>
    <x v="0"/>
    <x v="0"/>
    <x v="1"/>
    <x v="6"/>
    <x v="0"/>
    <x v="0"/>
    <x v="2"/>
    <x v="2"/>
    <x v="5"/>
    <x v="5"/>
    <x v="1"/>
    <x v="6"/>
    <x v="6"/>
    <x v="40"/>
    <x v="40"/>
    <n v="3161.5127200000002"/>
    <x v="1"/>
    <x v="2"/>
    <x v="5"/>
    <x v="7"/>
    <x v="11"/>
    <x v="22"/>
    <n v="3446.0488648000005"/>
  </r>
  <r>
    <x v="0"/>
    <x v="0"/>
    <x v="0"/>
    <x v="0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0"/>
    <x v="0"/>
    <x v="0"/>
    <x v="0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0"/>
    <x v="0"/>
    <x v="0"/>
    <x v="0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0"/>
    <x v="0"/>
    <x v="0"/>
    <x v="0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0"/>
    <x v="0"/>
    <x v="0"/>
    <x v="0"/>
    <x v="1"/>
    <x v="6"/>
    <x v="0"/>
    <x v="0"/>
    <x v="2"/>
    <x v="2"/>
    <x v="5"/>
    <x v="5"/>
    <x v="1"/>
    <x v="8"/>
    <x v="8"/>
    <x v="40"/>
    <x v="40"/>
    <n v="135.96114"/>
    <x v="1"/>
    <x v="2"/>
    <x v="5"/>
    <x v="7"/>
    <x v="11"/>
    <x v="22"/>
    <n v="148.19764260000002"/>
  </r>
  <r>
    <x v="0"/>
    <x v="0"/>
    <x v="0"/>
    <x v="0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0"/>
    <x v="0"/>
    <x v="0"/>
    <x v="0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0"/>
    <x v="0"/>
    <x v="0"/>
    <x v="0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0"/>
    <x v="0"/>
    <x v="0"/>
    <x v="0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0"/>
    <x v="0"/>
    <x v="0"/>
    <x v="0"/>
    <x v="1"/>
    <x v="6"/>
    <x v="0"/>
    <x v="0"/>
    <x v="2"/>
    <x v="2"/>
    <x v="5"/>
    <x v="5"/>
    <x v="4"/>
    <x v="5"/>
    <x v="5"/>
    <x v="40"/>
    <x v="40"/>
    <n v="575.48977000000002"/>
    <x v="1"/>
    <x v="2"/>
    <x v="5"/>
    <x v="7"/>
    <x v="11"/>
    <x v="22"/>
    <n v="627.28384930000004"/>
  </r>
  <r>
    <x v="0"/>
    <x v="0"/>
    <x v="0"/>
    <x v="0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0"/>
    <x v="0"/>
    <x v="0"/>
    <x v="0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0"/>
    <x v="0"/>
    <x v="0"/>
    <x v="0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0"/>
    <x v="0"/>
    <x v="0"/>
    <x v="0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0"/>
    <x v="0"/>
    <x v="0"/>
    <x v="0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0"/>
    <x v="0"/>
    <x v="0"/>
    <x v="0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0"/>
    <x v="0"/>
    <x v="0"/>
    <x v="0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0"/>
    <x v="0"/>
    <x v="0"/>
    <x v="0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0"/>
    <x v="0"/>
    <x v="0"/>
    <x v="0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0"/>
    <x v="0"/>
    <x v="0"/>
    <x v="0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0"/>
    <x v="0"/>
    <x v="0"/>
    <x v="0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0"/>
    <x v="0"/>
    <x v="0"/>
    <x v="0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0"/>
    <x v="0"/>
    <x v="0"/>
    <x v="0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0"/>
    <x v="0"/>
    <x v="0"/>
    <x v="0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0"/>
    <x v="0"/>
    <x v="0"/>
    <x v="0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0"/>
    <x v="0"/>
    <x v="0"/>
    <x v="0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0"/>
    <x v="0"/>
    <x v="0"/>
    <x v="0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0"/>
    <x v="0"/>
    <x v="0"/>
    <x v="0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0"/>
    <x v="0"/>
    <x v="0"/>
    <x v="0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0"/>
    <x v="0"/>
    <x v="0"/>
    <x v="0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0"/>
    <x v="0"/>
    <x v="0"/>
    <x v="0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0"/>
    <x v="0"/>
    <x v="0"/>
    <x v="0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0"/>
    <x v="0"/>
    <x v="0"/>
    <x v="0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0"/>
    <x v="0"/>
    <x v="0"/>
    <x v="0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0"/>
    <x v="0"/>
    <x v="0"/>
    <x v="0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0"/>
    <x v="0"/>
    <x v="0"/>
    <x v="0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0"/>
    <x v="0"/>
    <x v="0"/>
    <x v="0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0"/>
    <x v="0"/>
    <x v="0"/>
    <x v="0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0"/>
    <x v="0"/>
    <x v="0"/>
    <x v="0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0"/>
    <x v="0"/>
    <x v="0"/>
    <x v="0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0"/>
    <x v="0"/>
    <x v="0"/>
    <x v="0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0"/>
    <x v="0"/>
    <x v="0"/>
    <x v="0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0"/>
    <x v="0"/>
    <x v="0"/>
    <x v="0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2"/>
    <x v="2"/>
    <n v="34.567679999979227"/>
  </r>
  <r>
    <x v="0"/>
    <x v="0"/>
    <x v="0"/>
    <x v="0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0"/>
    <x v="0"/>
    <x v="0"/>
    <x v="0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0"/>
    <x v="0"/>
    <x v="0"/>
    <x v="0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0"/>
    <x v="0"/>
    <x v="0"/>
    <x v="0"/>
    <x v="1"/>
    <x v="6"/>
    <x v="0"/>
    <x v="0"/>
    <x v="0"/>
    <x v="0"/>
    <x v="11"/>
    <x v="11"/>
    <x v="4"/>
    <x v="5"/>
    <x v="5"/>
    <x v="7"/>
    <x v="7"/>
    <n v="95.4809773494148"/>
    <x v="0"/>
    <x v="0"/>
    <x v="1"/>
    <x v="4"/>
    <x v="5"/>
    <x v="7"/>
    <n v="104.07426531086215"/>
  </r>
  <r>
    <x v="0"/>
    <x v="0"/>
    <x v="0"/>
    <x v="0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0"/>
    <x v="0"/>
    <x v="0"/>
    <x v="0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0"/>
    <x v="0"/>
    <x v="0"/>
    <x v="0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0"/>
    <x v="0"/>
    <x v="0"/>
    <x v="0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0"/>
    <x v="0"/>
    <x v="0"/>
    <x v="0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0"/>
    <x v="0"/>
    <x v="0"/>
    <x v="0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0"/>
    <x v="0"/>
    <x v="0"/>
    <x v="0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0"/>
    <x v="0"/>
    <x v="0"/>
    <x v="0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0"/>
    <x v="0"/>
    <x v="0"/>
    <x v="0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0"/>
    <x v="0"/>
    <x v="0"/>
    <x v="0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0"/>
    <x v="0"/>
    <x v="0"/>
    <x v="0"/>
    <x v="1"/>
    <x v="6"/>
    <x v="0"/>
    <x v="0"/>
    <x v="3"/>
    <x v="3"/>
    <x v="12"/>
    <x v="12"/>
    <x v="3"/>
    <x v="7"/>
    <x v="7"/>
    <x v="40"/>
    <x v="40"/>
    <n v="28.108329999999999"/>
    <x v="1"/>
    <x v="2"/>
    <x v="5"/>
    <x v="7"/>
    <x v="11"/>
    <x v="22"/>
    <n v="30.638079700000002"/>
  </r>
  <r>
    <x v="0"/>
    <x v="0"/>
    <x v="0"/>
    <x v="0"/>
    <x v="1"/>
    <x v="6"/>
    <x v="0"/>
    <x v="0"/>
    <x v="3"/>
    <x v="3"/>
    <x v="12"/>
    <x v="12"/>
    <x v="1"/>
    <x v="8"/>
    <x v="8"/>
    <x v="40"/>
    <x v="40"/>
    <n v="18.666119999999999"/>
    <x v="1"/>
    <x v="2"/>
    <x v="5"/>
    <x v="7"/>
    <x v="11"/>
    <x v="22"/>
    <n v="20.3460708"/>
  </r>
  <r>
    <x v="0"/>
    <x v="0"/>
    <x v="0"/>
    <x v="0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0"/>
    <x v="0"/>
    <x v="0"/>
    <x v="0"/>
    <x v="1"/>
    <x v="6"/>
    <x v="0"/>
    <x v="0"/>
    <x v="3"/>
    <x v="3"/>
    <x v="12"/>
    <x v="12"/>
    <x v="2"/>
    <x v="10"/>
    <x v="10"/>
    <x v="40"/>
    <x v="40"/>
    <n v="0.64575000000000005"/>
    <x v="1"/>
    <x v="2"/>
    <x v="5"/>
    <x v="7"/>
    <x v="11"/>
    <x v="22"/>
    <n v="0.70386750000000009"/>
  </r>
  <r>
    <x v="0"/>
    <x v="0"/>
    <x v="0"/>
    <x v="0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0"/>
    <x v="0"/>
    <x v="0"/>
    <x v="0"/>
    <x v="1"/>
    <x v="6"/>
    <x v="0"/>
    <x v="0"/>
    <x v="3"/>
    <x v="3"/>
    <x v="12"/>
    <x v="12"/>
    <x v="4"/>
    <x v="5"/>
    <x v="5"/>
    <x v="40"/>
    <x v="40"/>
    <n v="30.5182"/>
    <x v="1"/>
    <x v="2"/>
    <x v="5"/>
    <x v="7"/>
    <x v="11"/>
    <x v="22"/>
    <n v="33.264838000000005"/>
  </r>
  <r>
    <x v="0"/>
    <x v="0"/>
    <x v="0"/>
    <x v="0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0"/>
    <x v="0"/>
    <x v="0"/>
    <x v="0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0"/>
    <x v="0"/>
    <x v="0"/>
    <x v="0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0"/>
    <x v="0"/>
    <x v="0"/>
    <x v="0"/>
    <x v="1"/>
    <x v="6"/>
    <x v="0"/>
    <x v="0"/>
    <x v="3"/>
    <x v="3"/>
    <x v="13"/>
    <x v="13"/>
    <x v="2"/>
    <x v="2"/>
    <x v="2"/>
    <x v="40"/>
    <x v="40"/>
    <n v="1998.5507500000001"/>
    <x v="1"/>
    <x v="2"/>
    <x v="5"/>
    <x v="7"/>
    <x v="11"/>
    <x v="22"/>
    <n v="2178.4203175000002"/>
  </r>
  <r>
    <x v="0"/>
    <x v="0"/>
    <x v="0"/>
    <x v="0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0"/>
    <x v="0"/>
    <x v="0"/>
    <x v="0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0"/>
    <x v="0"/>
    <x v="0"/>
    <x v="0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0"/>
    <x v="0"/>
    <x v="0"/>
    <x v="0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0"/>
    <x v="0"/>
    <x v="0"/>
    <x v="0"/>
    <x v="1"/>
    <x v="6"/>
    <x v="0"/>
    <x v="0"/>
    <x v="3"/>
    <x v="3"/>
    <x v="13"/>
    <x v="13"/>
    <x v="1"/>
    <x v="8"/>
    <x v="8"/>
    <x v="40"/>
    <x v="40"/>
    <n v="114.72511"/>
    <x v="1"/>
    <x v="2"/>
    <x v="5"/>
    <x v="7"/>
    <x v="11"/>
    <x v="22"/>
    <n v="125.05036990000001"/>
  </r>
  <r>
    <x v="0"/>
    <x v="0"/>
    <x v="0"/>
    <x v="0"/>
    <x v="1"/>
    <x v="6"/>
    <x v="0"/>
    <x v="0"/>
    <x v="3"/>
    <x v="3"/>
    <x v="13"/>
    <x v="13"/>
    <x v="4"/>
    <x v="5"/>
    <x v="5"/>
    <x v="40"/>
    <x v="40"/>
    <n v="50.660699999999999"/>
    <x v="1"/>
    <x v="2"/>
    <x v="5"/>
    <x v="7"/>
    <x v="11"/>
    <x v="22"/>
    <n v="55.220162999999999"/>
  </r>
  <r>
    <x v="0"/>
    <x v="0"/>
    <x v="0"/>
    <x v="0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0"/>
    <x v="0"/>
    <x v="0"/>
    <x v="0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0"/>
    <x v="0"/>
    <x v="0"/>
    <x v="0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0"/>
    <x v="0"/>
    <x v="0"/>
    <x v="0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0"/>
    <x v="0"/>
    <x v="0"/>
    <x v="0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0"/>
    <x v="0"/>
    <x v="0"/>
    <x v="0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0"/>
    <x v="0"/>
    <x v="0"/>
    <x v="0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0"/>
    <x v="0"/>
    <x v="0"/>
    <x v="0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0"/>
    <x v="0"/>
    <x v="0"/>
    <x v="0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0"/>
    <x v="0"/>
    <x v="0"/>
    <x v="0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0"/>
    <x v="0"/>
    <x v="0"/>
    <x v="0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0"/>
    <x v="0"/>
    <x v="0"/>
    <x v="0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0"/>
    <x v="0"/>
    <x v="0"/>
    <x v="0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0"/>
    <x v="0"/>
    <x v="0"/>
    <x v="0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0"/>
    <x v="0"/>
    <x v="0"/>
    <x v="0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0"/>
    <x v="0"/>
    <x v="0"/>
    <x v="0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0"/>
    <x v="0"/>
    <x v="0"/>
    <x v="0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0"/>
    <x v="0"/>
    <x v="0"/>
    <x v="0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0"/>
    <x v="0"/>
    <x v="0"/>
    <x v="0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0"/>
    <x v="0"/>
    <x v="0"/>
    <x v="0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0"/>
    <x v="0"/>
    <x v="0"/>
    <x v="0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0"/>
    <x v="0"/>
    <x v="0"/>
    <x v="0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0"/>
    <x v="0"/>
    <x v="0"/>
    <x v="0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0"/>
    <x v="0"/>
    <x v="0"/>
    <x v="0"/>
    <x v="1"/>
    <x v="6"/>
    <x v="0"/>
    <x v="0"/>
    <x v="2"/>
    <x v="2"/>
    <x v="14"/>
    <x v="14"/>
    <x v="4"/>
    <x v="5"/>
    <x v="5"/>
    <x v="40"/>
    <x v="40"/>
    <n v="53.141869999999997"/>
    <x v="1"/>
    <x v="2"/>
    <x v="5"/>
    <x v="7"/>
    <x v="11"/>
    <x v="22"/>
    <n v="57.924638299999998"/>
  </r>
  <r>
    <x v="0"/>
    <x v="0"/>
    <x v="0"/>
    <x v="0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0"/>
    <x v="0"/>
    <x v="0"/>
    <x v="0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0"/>
    <x v="0"/>
    <x v="0"/>
    <x v="0"/>
    <x v="1"/>
    <x v="6"/>
    <x v="0"/>
    <x v="0"/>
    <x v="2"/>
    <x v="2"/>
    <x v="15"/>
    <x v="15"/>
    <x v="3"/>
    <x v="3"/>
    <x v="3"/>
    <x v="40"/>
    <x v="40"/>
    <n v="1127.94174"/>
    <x v="1"/>
    <x v="2"/>
    <x v="5"/>
    <x v="7"/>
    <x v="11"/>
    <x v="22"/>
    <n v="1229.4564966"/>
  </r>
  <r>
    <x v="0"/>
    <x v="0"/>
    <x v="0"/>
    <x v="0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0"/>
    <x v="0"/>
    <x v="0"/>
    <x v="0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0"/>
    <x v="0"/>
    <x v="0"/>
    <x v="0"/>
    <x v="1"/>
    <x v="6"/>
    <x v="0"/>
    <x v="0"/>
    <x v="2"/>
    <x v="2"/>
    <x v="15"/>
    <x v="15"/>
    <x v="0"/>
    <x v="4"/>
    <x v="4"/>
    <x v="40"/>
    <x v="40"/>
    <n v="2114.0172299999999"/>
    <x v="1"/>
    <x v="2"/>
    <x v="5"/>
    <x v="7"/>
    <x v="11"/>
    <x v="22"/>
    <n v="2304.2787807"/>
  </r>
  <r>
    <x v="0"/>
    <x v="0"/>
    <x v="0"/>
    <x v="0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0"/>
    <x v="0"/>
    <x v="0"/>
    <x v="0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0"/>
    <x v="0"/>
    <x v="0"/>
    <x v="0"/>
    <x v="1"/>
    <x v="6"/>
    <x v="0"/>
    <x v="0"/>
    <x v="2"/>
    <x v="2"/>
    <x v="15"/>
    <x v="15"/>
    <x v="2"/>
    <x v="2"/>
    <x v="2"/>
    <x v="40"/>
    <x v="40"/>
    <n v="1088.5375200000001"/>
    <x v="1"/>
    <x v="2"/>
    <x v="5"/>
    <x v="7"/>
    <x v="11"/>
    <x v="22"/>
    <n v="1186.5058968000001"/>
  </r>
  <r>
    <x v="0"/>
    <x v="0"/>
    <x v="0"/>
    <x v="0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0"/>
    <x v="0"/>
    <x v="0"/>
    <x v="0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0"/>
    <x v="0"/>
    <x v="0"/>
    <x v="0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0"/>
    <x v="0"/>
    <x v="0"/>
    <x v="0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0"/>
    <x v="0"/>
    <x v="0"/>
    <x v="0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0"/>
    <x v="0"/>
    <x v="0"/>
    <x v="0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0"/>
    <x v="0"/>
    <x v="0"/>
    <x v="0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0"/>
    <x v="0"/>
    <x v="0"/>
    <x v="0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0"/>
    <x v="0"/>
    <x v="0"/>
    <x v="0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0"/>
    <x v="0"/>
    <x v="0"/>
    <x v="0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0"/>
    <x v="0"/>
    <x v="0"/>
    <x v="0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0"/>
    <x v="0"/>
    <x v="0"/>
    <x v="0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0"/>
    <x v="0"/>
    <x v="0"/>
    <x v="0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0"/>
    <x v="0"/>
    <x v="0"/>
    <x v="0"/>
    <x v="1"/>
    <x v="6"/>
    <x v="0"/>
    <x v="0"/>
    <x v="2"/>
    <x v="2"/>
    <x v="16"/>
    <x v="16"/>
    <x v="2"/>
    <x v="2"/>
    <x v="2"/>
    <x v="40"/>
    <x v="40"/>
    <n v="598.59312"/>
    <x v="1"/>
    <x v="2"/>
    <x v="5"/>
    <x v="7"/>
    <x v="11"/>
    <x v="22"/>
    <n v="652.46650080000006"/>
  </r>
  <r>
    <x v="0"/>
    <x v="0"/>
    <x v="0"/>
    <x v="0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0"/>
    <x v="0"/>
    <x v="0"/>
    <x v="0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0"/>
    <x v="0"/>
    <x v="0"/>
    <x v="0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0"/>
    <x v="0"/>
    <x v="0"/>
    <x v="0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0"/>
    <x v="0"/>
    <x v="0"/>
    <x v="0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0"/>
    <x v="0"/>
    <x v="0"/>
    <x v="0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0"/>
    <x v="0"/>
    <x v="0"/>
    <x v="0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0"/>
    <x v="0"/>
    <x v="0"/>
    <x v="0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0"/>
    <x v="0"/>
    <x v="0"/>
    <x v="0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0"/>
    <x v="0"/>
    <x v="0"/>
    <x v="0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0"/>
    <x v="0"/>
    <x v="0"/>
    <x v="0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0"/>
    <x v="0"/>
    <x v="0"/>
    <x v="0"/>
    <x v="1"/>
    <x v="6"/>
    <x v="0"/>
    <x v="0"/>
    <x v="2"/>
    <x v="2"/>
    <x v="17"/>
    <x v="17"/>
    <x v="3"/>
    <x v="3"/>
    <x v="3"/>
    <x v="40"/>
    <x v="40"/>
    <n v="332.05221"/>
    <x v="1"/>
    <x v="2"/>
    <x v="5"/>
    <x v="7"/>
    <x v="11"/>
    <x v="22"/>
    <n v="361.93690890000005"/>
  </r>
  <r>
    <x v="0"/>
    <x v="0"/>
    <x v="0"/>
    <x v="0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0"/>
    <x v="0"/>
    <x v="0"/>
    <x v="0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0"/>
    <x v="0"/>
    <x v="0"/>
    <x v="0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0"/>
    <x v="0"/>
    <x v="0"/>
    <x v="0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0"/>
    <x v="0"/>
    <x v="0"/>
    <x v="0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0"/>
    <x v="0"/>
    <x v="0"/>
    <x v="0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0"/>
    <x v="0"/>
    <x v="0"/>
    <x v="0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0"/>
    <x v="0"/>
    <x v="0"/>
    <x v="0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0"/>
    <x v="0"/>
    <x v="0"/>
    <x v="0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0"/>
    <x v="0"/>
    <x v="0"/>
    <x v="0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0"/>
    <x v="0"/>
    <x v="0"/>
    <x v="0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0"/>
    <x v="0"/>
    <x v="0"/>
    <x v="0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0"/>
    <x v="0"/>
    <x v="0"/>
    <x v="0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0"/>
    <x v="0"/>
    <x v="0"/>
    <x v="0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0"/>
    <x v="0"/>
    <x v="0"/>
    <x v="0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0"/>
    <x v="0"/>
    <x v="0"/>
    <x v="0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0"/>
    <x v="0"/>
    <x v="0"/>
    <x v="0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0"/>
    <x v="0"/>
    <x v="0"/>
    <x v="0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0"/>
    <x v="0"/>
    <x v="0"/>
    <x v="0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0"/>
    <x v="0"/>
    <x v="0"/>
    <x v="0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0"/>
    <x v="0"/>
    <x v="0"/>
    <x v="0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0"/>
    <x v="0"/>
    <x v="0"/>
    <x v="0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0"/>
    <x v="0"/>
    <x v="0"/>
    <x v="0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0"/>
    <x v="0"/>
    <x v="0"/>
    <x v="0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0"/>
    <x v="0"/>
    <x v="0"/>
    <x v="0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0"/>
    <x v="0"/>
    <x v="0"/>
    <x v="0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0"/>
    <x v="0"/>
    <x v="0"/>
    <x v="0"/>
    <x v="1"/>
    <x v="6"/>
    <x v="0"/>
    <x v="0"/>
    <x v="2"/>
    <x v="2"/>
    <x v="17"/>
    <x v="17"/>
    <x v="3"/>
    <x v="7"/>
    <x v="7"/>
    <x v="7"/>
    <x v="7"/>
    <n v="942.37363760597202"/>
    <x v="0"/>
    <x v="0"/>
    <x v="1"/>
    <x v="4"/>
    <x v="5"/>
    <x v="7"/>
    <n v="1027.1872649905097"/>
  </r>
  <r>
    <x v="0"/>
    <x v="0"/>
    <x v="0"/>
    <x v="0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0"/>
    <x v="0"/>
    <x v="0"/>
    <x v="0"/>
    <x v="1"/>
    <x v="6"/>
    <x v="0"/>
    <x v="0"/>
    <x v="2"/>
    <x v="2"/>
    <x v="17"/>
    <x v="17"/>
    <x v="1"/>
    <x v="8"/>
    <x v="8"/>
    <x v="7"/>
    <x v="7"/>
    <n v="65.584057489570895"/>
    <x v="0"/>
    <x v="0"/>
    <x v="1"/>
    <x v="4"/>
    <x v="5"/>
    <x v="7"/>
    <n v="71.486622663632275"/>
  </r>
  <r>
    <x v="0"/>
    <x v="0"/>
    <x v="0"/>
    <x v="0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0"/>
    <x v="0"/>
    <x v="0"/>
    <x v="0"/>
    <x v="1"/>
    <x v="6"/>
    <x v="0"/>
    <x v="0"/>
    <x v="2"/>
    <x v="2"/>
    <x v="17"/>
    <x v="17"/>
    <x v="0"/>
    <x v="9"/>
    <x v="9"/>
    <x v="7"/>
    <x v="7"/>
    <n v="713.323825765283"/>
    <x v="0"/>
    <x v="0"/>
    <x v="1"/>
    <x v="4"/>
    <x v="5"/>
    <x v="7"/>
    <n v="777.52297008415849"/>
  </r>
  <r>
    <x v="0"/>
    <x v="0"/>
    <x v="0"/>
    <x v="0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0"/>
    <x v="0"/>
    <x v="0"/>
    <x v="0"/>
    <x v="1"/>
    <x v="6"/>
    <x v="0"/>
    <x v="0"/>
    <x v="2"/>
    <x v="2"/>
    <x v="17"/>
    <x v="17"/>
    <x v="2"/>
    <x v="10"/>
    <x v="10"/>
    <x v="7"/>
    <x v="7"/>
    <n v="219.262855394952"/>
    <x v="0"/>
    <x v="0"/>
    <x v="1"/>
    <x v="4"/>
    <x v="5"/>
    <x v="7"/>
    <n v="238.99651238049771"/>
  </r>
  <r>
    <x v="0"/>
    <x v="0"/>
    <x v="0"/>
    <x v="0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0"/>
    <x v="0"/>
    <x v="0"/>
    <x v="0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0"/>
    <x v="0"/>
    <x v="0"/>
    <x v="0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0"/>
    <x v="0"/>
    <x v="0"/>
    <x v="0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0"/>
    <x v="0"/>
    <x v="0"/>
    <x v="0"/>
    <x v="1"/>
    <x v="6"/>
    <x v="0"/>
    <x v="0"/>
    <x v="2"/>
    <x v="2"/>
    <x v="17"/>
    <x v="17"/>
    <x v="4"/>
    <x v="5"/>
    <x v="5"/>
    <x v="7"/>
    <x v="7"/>
    <n v="190.73501741660601"/>
    <x v="0"/>
    <x v="0"/>
    <x v="1"/>
    <x v="4"/>
    <x v="5"/>
    <x v="7"/>
    <n v="207.90116898410056"/>
  </r>
  <r>
    <x v="0"/>
    <x v="0"/>
    <x v="0"/>
    <x v="0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0"/>
    <x v="0"/>
    <x v="0"/>
    <x v="0"/>
    <x v="1"/>
    <x v="6"/>
    <x v="0"/>
    <x v="0"/>
    <x v="2"/>
    <x v="2"/>
    <x v="17"/>
    <x v="17"/>
    <x v="4"/>
    <x v="5"/>
    <x v="5"/>
    <x v="40"/>
    <x v="40"/>
    <n v="1788.96381"/>
    <x v="1"/>
    <x v="2"/>
    <x v="5"/>
    <x v="7"/>
    <x v="11"/>
    <x v="22"/>
    <n v="1949.9705529"/>
  </r>
  <r>
    <x v="0"/>
    <x v="0"/>
    <x v="0"/>
    <x v="0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0"/>
    <x v="0"/>
    <x v="0"/>
    <x v="0"/>
    <x v="1"/>
    <x v="6"/>
    <x v="2"/>
    <x v="2"/>
    <x v="8"/>
    <x v="1"/>
    <x v="28"/>
    <x v="28"/>
    <x v="3"/>
    <x v="3"/>
    <x v="3"/>
    <x v="82"/>
    <x v="82"/>
    <n v="0.22"/>
    <x v="0"/>
    <x v="0"/>
    <x v="1"/>
    <x v="3"/>
    <x v="3"/>
    <x v="15"/>
    <n v="0.23980000000000001"/>
  </r>
  <r>
    <x v="0"/>
    <x v="0"/>
    <x v="0"/>
    <x v="0"/>
    <x v="1"/>
    <x v="6"/>
    <x v="2"/>
    <x v="2"/>
    <x v="8"/>
    <x v="1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0"/>
    <x v="0"/>
    <x v="0"/>
    <x v="0"/>
    <x v="1"/>
    <x v="6"/>
    <x v="2"/>
    <x v="2"/>
    <x v="8"/>
    <x v="1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0"/>
    <x v="0"/>
    <x v="0"/>
    <x v="0"/>
    <x v="1"/>
    <x v="6"/>
    <x v="2"/>
    <x v="2"/>
    <x v="8"/>
    <x v="1"/>
    <x v="28"/>
    <x v="28"/>
    <x v="2"/>
    <x v="2"/>
    <x v="2"/>
    <x v="40"/>
    <x v="40"/>
    <n v="1.75"/>
    <x v="1"/>
    <x v="2"/>
    <x v="5"/>
    <x v="7"/>
    <x v="11"/>
    <x v="22"/>
    <n v="1.9075000000000002"/>
  </r>
  <r>
    <x v="0"/>
    <x v="0"/>
    <x v="0"/>
    <x v="0"/>
    <x v="1"/>
    <x v="6"/>
    <x v="2"/>
    <x v="2"/>
    <x v="8"/>
    <x v="1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0"/>
    <x v="0"/>
    <x v="0"/>
    <x v="0"/>
    <x v="1"/>
    <x v="7"/>
    <x v="0"/>
    <x v="0"/>
    <x v="0"/>
    <x v="0"/>
    <x v="0"/>
    <x v="0"/>
    <x v="3"/>
    <x v="3"/>
    <x v="3"/>
    <x v="5"/>
    <x v="5"/>
    <n v="25.921398773203101"/>
    <x v="0"/>
    <x v="0"/>
    <x v="1"/>
    <x v="1"/>
    <x v="1"/>
    <x v="5"/>
    <n v="28.254324662791383"/>
  </r>
  <r>
    <x v="0"/>
    <x v="0"/>
    <x v="0"/>
    <x v="0"/>
    <x v="1"/>
    <x v="7"/>
    <x v="0"/>
    <x v="0"/>
    <x v="0"/>
    <x v="0"/>
    <x v="0"/>
    <x v="0"/>
    <x v="3"/>
    <x v="3"/>
    <x v="3"/>
    <x v="9"/>
    <x v="9"/>
    <n v="4.4036697247680001"/>
    <x v="0"/>
    <x v="0"/>
    <x v="1"/>
    <x v="4"/>
    <x v="5"/>
    <x v="9"/>
    <n v="4.7999999999971203"/>
  </r>
  <r>
    <x v="0"/>
    <x v="0"/>
    <x v="0"/>
    <x v="0"/>
    <x v="1"/>
    <x v="7"/>
    <x v="0"/>
    <x v="0"/>
    <x v="0"/>
    <x v="0"/>
    <x v="0"/>
    <x v="0"/>
    <x v="3"/>
    <x v="3"/>
    <x v="3"/>
    <x v="11"/>
    <x v="11"/>
    <n v="261.68714999999997"/>
    <x v="0"/>
    <x v="0"/>
    <x v="3"/>
    <x v="5"/>
    <x v="7"/>
    <x v="11"/>
    <n v="285.23899349999999"/>
  </r>
  <r>
    <x v="0"/>
    <x v="0"/>
    <x v="0"/>
    <x v="0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0"/>
    <x v="0"/>
    <x v="0"/>
    <x v="0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0"/>
    <x v="0"/>
    <x v="0"/>
    <x v="0"/>
    <x v="1"/>
    <x v="7"/>
    <x v="0"/>
    <x v="0"/>
    <x v="0"/>
    <x v="0"/>
    <x v="0"/>
    <x v="0"/>
    <x v="0"/>
    <x v="4"/>
    <x v="4"/>
    <x v="5"/>
    <x v="5"/>
    <n v="20.812134969483299"/>
    <x v="0"/>
    <x v="0"/>
    <x v="1"/>
    <x v="1"/>
    <x v="1"/>
    <x v="5"/>
    <n v="22.685227116736797"/>
  </r>
  <r>
    <x v="0"/>
    <x v="0"/>
    <x v="0"/>
    <x v="0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0"/>
    <x v="0"/>
    <x v="0"/>
    <x v="0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0"/>
    <x v="0"/>
    <x v="0"/>
    <x v="0"/>
    <x v="1"/>
    <x v="7"/>
    <x v="0"/>
    <x v="0"/>
    <x v="0"/>
    <x v="0"/>
    <x v="0"/>
    <x v="0"/>
    <x v="0"/>
    <x v="4"/>
    <x v="4"/>
    <x v="27"/>
    <x v="27"/>
    <n v="45.820520271241698"/>
    <x v="0"/>
    <x v="0"/>
    <x v="1"/>
    <x v="3"/>
    <x v="3"/>
    <x v="19"/>
    <n v="49.944367095653455"/>
  </r>
  <r>
    <x v="0"/>
    <x v="0"/>
    <x v="0"/>
    <x v="0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0"/>
    <x v="0"/>
    <x v="0"/>
    <x v="0"/>
    <x v="1"/>
    <x v="7"/>
    <x v="0"/>
    <x v="0"/>
    <x v="0"/>
    <x v="0"/>
    <x v="0"/>
    <x v="0"/>
    <x v="2"/>
    <x v="2"/>
    <x v="2"/>
    <x v="9"/>
    <x v="9"/>
    <n v="4.1376146788966004"/>
    <x v="0"/>
    <x v="0"/>
    <x v="1"/>
    <x v="4"/>
    <x v="5"/>
    <x v="9"/>
    <n v="4.5099999999972944"/>
  </r>
  <r>
    <x v="0"/>
    <x v="0"/>
    <x v="0"/>
    <x v="0"/>
    <x v="1"/>
    <x v="7"/>
    <x v="0"/>
    <x v="0"/>
    <x v="0"/>
    <x v="0"/>
    <x v="0"/>
    <x v="0"/>
    <x v="2"/>
    <x v="2"/>
    <x v="2"/>
    <x v="10"/>
    <x v="10"/>
    <n v="2.3495412844022598"/>
    <x v="0"/>
    <x v="0"/>
    <x v="1"/>
    <x v="4"/>
    <x v="5"/>
    <x v="10"/>
    <n v="2.5609999999984634"/>
  </r>
  <r>
    <x v="0"/>
    <x v="0"/>
    <x v="0"/>
    <x v="0"/>
    <x v="1"/>
    <x v="7"/>
    <x v="0"/>
    <x v="0"/>
    <x v="0"/>
    <x v="0"/>
    <x v="0"/>
    <x v="0"/>
    <x v="2"/>
    <x v="2"/>
    <x v="2"/>
    <x v="11"/>
    <x v="11"/>
    <n v="535.33082000000002"/>
    <x v="0"/>
    <x v="0"/>
    <x v="3"/>
    <x v="5"/>
    <x v="7"/>
    <x v="11"/>
    <n v="583.51059380000004"/>
  </r>
  <r>
    <x v="0"/>
    <x v="0"/>
    <x v="0"/>
    <x v="0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0"/>
    <x v="0"/>
    <x v="0"/>
    <x v="0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0"/>
    <x v="0"/>
    <x v="0"/>
    <x v="0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0"/>
    <x v="0"/>
    <x v="0"/>
    <x v="0"/>
    <x v="1"/>
    <x v="7"/>
    <x v="0"/>
    <x v="0"/>
    <x v="0"/>
    <x v="0"/>
    <x v="0"/>
    <x v="0"/>
    <x v="2"/>
    <x v="2"/>
    <x v="2"/>
    <x v="84"/>
    <x v="84"/>
    <n v="3.5688073394474"/>
    <x v="0"/>
    <x v="0"/>
    <x v="1"/>
    <x v="1"/>
    <x v="1"/>
    <x v="23"/>
    <n v="3.8899999999976664"/>
  </r>
  <r>
    <x v="0"/>
    <x v="0"/>
    <x v="0"/>
    <x v="0"/>
    <x v="1"/>
    <x v="7"/>
    <x v="0"/>
    <x v="0"/>
    <x v="0"/>
    <x v="0"/>
    <x v="0"/>
    <x v="0"/>
    <x v="2"/>
    <x v="2"/>
    <x v="2"/>
    <x v="18"/>
    <x v="18"/>
    <n v="32.982999999999997"/>
    <x v="0"/>
    <x v="0"/>
    <x v="0"/>
    <x v="0"/>
    <x v="4"/>
    <x v="18"/>
    <n v="35.95147"/>
  </r>
  <r>
    <x v="0"/>
    <x v="0"/>
    <x v="0"/>
    <x v="0"/>
    <x v="1"/>
    <x v="7"/>
    <x v="0"/>
    <x v="0"/>
    <x v="0"/>
    <x v="0"/>
    <x v="0"/>
    <x v="0"/>
    <x v="2"/>
    <x v="2"/>
    <x v="2"/>
    <x v="27"/>
    <x v="27"/>
    <n v="2.4774774775299999"/>
    <x v="0"/>
    <x v="0"/>
    <x v="1"/>
    <x v="3"/>
    <x v="3"/>
    <x v="19"/>
    <n v="2.7004504505077001"/>
  </r>
  <r>
    <x v="0"/>
    <x v="0"/>
    <x v="0"/>
    <x v="0"/>
    <x v="1"/>
    <x v="7"/>
    <x v="0"/>
    <x v="0"/>
    <x v="0"/>
    <x v="0"/>
    <x v="0"/>
    <x v="0"/>
    <x v="2"/>
    <x v="2"/>
    <x v="2"/>
    <x v="26"/>
    <x v="26"/>
    <n v="395.10642201811203"/>
    <x v="0"/>
    <x v="0"/>
    <x v="1"/>
    <x v="3"/>
    <x v="3"/>
    <x v="15"/>
    <n v="430.66599999974216"/>
  </r>
  <r>
    <x v="0"/>
    <x v="0"/>
    <x v="0"/>
    <x v="0"/>
    <x v="1"/>
    <x v="7"/>
    <x v="0"/>
    <x v="0"/>
    <x v="0"/>
    <x v="0"/>
    <x v="0"/>
    <x v="0"/>
    <x v="2"/>
    <x v="2"/>
    <x v="2"/>
    <x v="1"/>
    <x v="1"/>
    <n v="87.121098243887204"/>
    <x v="0"/>
    <x v="0"/>
    <x v="1"/>
    <x v="1"/>
    <x v="1"/>
    <x v="1"/>
    <n v="94.961997085837055"/>
  </r>
  <r>
    <x v="0"/>
    <x v="0"/>
    <x v="0"/>
    <x v="0"/>
    <x v="1"/>
    <x v="7"/>
    <x v="0"/>
    <x v="0"/>
    <x v="0"/>
    <x v="0"/>
    <x v="0"/>
    <x v="0"/>
    <x v="1"/>
    <x v="6"/>
    <x v="6"/>
    <x v="11"/>
    <x v="11"/>
    <n v="51.19014"/>
    <x v="0"/>
    <x v="0"/>
    <x v="3"/>
    <x v="5"/>
    <x v="7"/>
    <x v="11"/>
    <n v="55.7972526"/>
  </r>
  <r>
    <x v="0"/>
    <x v="0"/>
    <x v="0"/>
    <x v="0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0"/>
    <x v="0"/>
    <x v="0"/>
    <x v="0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0"/>
    <x v="0"/>
    <x v="0"/>
    <x v="0"/>
    <x v="1"/>
    <x v="7"/>
    <x v="0"/>
    <x v="0"/>
    <x v="0"/>
    <x v="0"/>
    <x v="0"/>
    <x v="0"/>
    <x v="0"/>
    <x v="9"/>
    <x v="9"/>
    <x v="27"/>
    <x v="27"/>
    <n v="47.707207208218598"/>
    <x v="0"/>
    <x v="0"/>
    <x v="1"/>
    <x v="3"/>
    <x v="3"/>
    <x v="19"/>
    <n v="52.000855856958275"/>
  </r>
  <r>
    <x v="0"/>
    <x v="0"/>
    <x v="0"/>
    <x v="0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0"/>
    <x v="0"/>
    <x v="0"/>
    <x v="0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0"/>
    <x v="0"/>
    <x v="0"/>
    <x v="0"/>
    <x v="1"/>
    <x v="7"/>
    <x v="0"/>
    <x v="0"/>
    <x v="0"/>
    <x v="0"/>
    <x v="3"/>
    <x v="3"/>
    <x v="2"/>
    <x v="2"/>
    <x v="2"/>
    <x v="5"/>
    <x v="5"/>
    <n v="3.53371165646857"/>
    <x v="0"/>
    <x v="0"/>
    <x v="1"/>
    <x v="1"/>
    <x v="1"/>
    <x v="5"/>
    <n v="3.8517457055507416"/>
  </r>
  <r>
    <x v="0"/>
    <x v="0"/>
    <x v="0"/>
    <x v="0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0"/>
    <x v="0"/>
    <x v="0"/>
    <x v="0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0"/>
    <x v="0"/>
    <x v="0"/>
    <x v="0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0"/>
    <x v="0"/>
    <x v="0"/>
    <x v="0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0"/>
    <x v="0"/>
    <x v="0"/>
    <x v="0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0"/>
    <x v="0"/>
    <x v="0"/>
    <x v="0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0"/>
    <x v="0"/>
    <x v="0"/>
    <x v="0"/>
    <x v="1"/>
    <x v="6"/>
    <x v="0"/>
    <x v="0"/>
    <x v="2"/>
    <x v="2"/>
    <x v="17"/>
    <x v="17"/>
    <x v="2"/>
    <x v="2"/>
    <x v="2"/>
    <x v="7"/>
    <x v="7"/>
    <n v="1.3766990291199999E-3"/>
    <x v="0"/>
    <x v="0"/>
    <x v="1"/>
    <x v="4"/>
    <x v="5"/>
    <x v="7"/>
    <n v="1.5006019417408E-3"/>
  </r>
  <r>
    <x v="0"/>
    <x v="0"/>
    <x v="0"/>
    <x v="0"/>
    <x v="1"/>
    <x v="6"/>
    <x v="0"/>
    <x v="0"/>
    <x v="2"/>
    <x v="2"/>
    <x v="17"/>
    <x v="17"/>
    <x v="2"/>
    <x v="2"/>
    <x v="2"/>
    <x v="41"/>
    <x v="41"/>
    <n v="504.68795789599898"/>
    <x v="1"/>
    <x v="2"/>
    <x v="5"/>
    <x v="7"/>
    <x v="11"/>
    <x v="22"/>
    <n v="550.10987410663893"/>
  </r>
  <r>
    <x v="0"/>
    <x v="0"/>
    <x v="0"/>
    <x v="0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0"/>
    <x v="0"/>
    <x v="0"/>
    <x v="0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0"/>
    <x v="0"/>
    <x v="0"/>
    <x v="0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0"/>
    <x v="0"/>
    <x v="0"/>
    <x v="0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0"/>
    <x v="0"/>
    <x v="0"/>
    <x v="0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0"/>
    <x v="0"/>
    <x v="0"/>
    <x v="0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0"/>
    <x v="0"/>
    <x v="0"/>
    <x v="0"/>
    <x v="1"/>
    <x v="6"/>
    <x v="0"/>
    <x v="0"/>
    <x v="2"/>
    <x v="2"/>
    <x v="17"/>
    <x v="17"/>
    <x v="1"/>
    <x v="6"/>
    <x v="6"/>
    <x v="7"/>
    <x v="7"/>
    <n v="11.7601398057312"/>
    <x v="0"/>
    <x v="0"/>
    <x v="1"/>
    <x v="4"/>
    <x v="5"/>
    <x v="7"/>
    <n v="12.818552388247008"/>
  </r>
  <r>
    <x v="0"/>
    <x v="0"/>
    <x v="0"/>
    <x v="0"/>
    <x v="1"/>
    <x v="6"/>
    <x v="0"/>
    <x v="0"/>
    <x v="2"/>
    <x v="2"/>
    <x v="17"/>
    <x v="17"/>
    <x v="1"/>
    <x v="6"/>
    <x v="6"/>
    <x v="41"/>
    <x v="41"/>
    <n v="59.028115789621303"/>
    <x v="1"/>
    <x v="2"/>
    <x v="5"/>
    <x v="7"/>
    <x v="11"/>
    <x v="22"/>
    <n v="64.340646210687225"/>
  </r>
  <r>
    <x v="0"/>
    <x v="0"/>
    <x v="0"/>
    <x v="0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0"/>
    <x v="0"/>
    <x v="0"/>
    <x v="0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0"/>
    <x v="0"/>
    <x v="0"/>
    <x v="0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0"/>
    <x v="0"/>
    <x v="0"/>
    <x v="0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0"/>
    <x v="0"/>
    <x v="0"/>
    <x v="0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0"/>
    <x v="0"/>
    <x v="0"/>
    <x v="0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0"/>
    <x v="0"/>
    <x v="0"/>
    <x v="0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0"/>
    <x v="0"/>
    <x v="0"/>
    <x v="0"/>
    <x v="1"/>
    <x v="6"/>
    <x v="0"/>
    <x v="0"/>
    <x v="2"/>
    <x v="2"/>
    <x v="17"/>
    <x v="17"/>
    <x v="3"/>
    <x v="7"/>
    <x v="7"/>
    <x v="7"/>
    <x v="7"/>
    <n v="1036.2537883412199"/>
    <x v="0"/>
    <x v="0"/>
    <x v="1"/>
    <x v="4"/>
    <x v="5"/>
    <x v="7"/>
    <n v="1129.5166292919298"/>
  </r>
  <r>
    <x v="0"/>
    <x v="0"/>
    <x v="0"/>
    <x v="0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0"/>
    <x v="0"/>
    <x v="0"/>
    <x v="0"/>
    <x v="1"/>
    <x v="6"/>
    <x v="0"/>
    <x v="0"/>
    <x v="2"/>
    <x v="2"/>
    <x v="17"/>
    <x v="17"/>
    <x v="1"/>
    <x v="8"/>
    <x v="8"/>
    <x v="7"/>
    <x v="7"/>
    <n v="73.097570873201605"/>
    <x v="0"/>
    <x v="0"/>
    <x v="1"/>
    <x v="4"/>
    <x v="5"/>
    <x v="7"/>
    <n v="79.676352251789751"/>
  </r>
  <r>
    <x v="0"/>
    <x v="0"/>
    <x v="0"/>
    <x v="0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0"/>
    <x v="0"/>
    <x v="0"/>
    <x v="0"/>
    <x v="1"/>
    <x v="6"/>
    <x v="0"/>
    <x v="0"/>
    <x v="2"/>
    <x v="2"/>
    <x v="17"/>
    <x v="17"/>
    <x v="0"/>
    <x v="9"/>
    <x v="9"/>
    <x v="7"/>
    <x v="7"/>
    <n v="776.20001746951903"/>
    <x v="0"/>
    <x v="0"/>
    <x v="1"/>
    <x v="4"/>
    <x v="5"/>
    <x v="7"/>
    <n v="846.05801904177576"/>
  </r>
  <r>
    <x v="0"/>
    <x v="0"/>
    <x v="0"/>
    <x v="0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0"/>
    <x v="0"/>
    <x v="0"/>
    <x v="0"/>
    <x v="1"/>
    <x v="6"/>
    <x v="0"/>
    <x v="0"/>
    <x v="2"/>
    <x v="2"/>
    <x v="17"/>
    <x v="17"/>
    <x v="2"/>
    <x v="10"/>
    <x v="10"/>
    <x v="7"/>
    <x v="7"/>
    <n v="243.76131844465201"/>
    <x v="0"/>
    <x v="0"/>
    <x v="1"/>
    <x v="4"/>
    <x v="5"/>
    <x v="7"/>
    <n v="265.69983710467068"/>
  </r>
  <r>
    <x v="0"/>
    <x v="0"/>
    <x v="0"/>
    <x v="0"/>
    <x v="1"/>
    <x v="6"/>
    <x v="0"/>
    <x v="0"/>
    <x v="2"/>
    <x v="2"/>
    <x v="17"/>
    <x v="17"/>
    <x v="2"/>
    <x v="10"/>
    <x v="10"/>
    <x v="41"/>
    <x v="41"/>
    <n v="2.15393684211065"/>
    <x v="1"/>
    <x v="2"/>
    <x v="5"/>
    <x v="7"/>
    <x v="11"/>
    <x v="22"/>
    <n v="2.3477911579006085"/>
  </r>
  <r>
    <x v="0"/>
    <x v="0"/>
    <x v="0"/>
    <x v="0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0"/>
    <x v="0"/>
    <x v="0"/>
    <x v="0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0"/>
    <x v="0"/>
    <x v="0"/>
    <x v="0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0"/>
    <x v="0"/>
    <x v="0"/>
    <x v="0"/>
    <x v="1"/>
    <x v="6"/>
    <x v="0"/>
    <x v="0"/>
    <x v="2"/>
    <x v="2"/>
    <x v="17"/>
    <x v="17"/>
    <x v="4"/>
    <x v="5"/>
    <x v="5"/>
    <x v="7"/>
    <x v="7"/>
    <n v="212.586213590532"/>
    <x v="0"/>
    <x v="0"/>
    <x v="1"/>
    <x v="4"/>
    <x v="5"/>
    <x v="7"/>
    <n v="231.7189728136799"/>
  </r>
  <r>
    <x v="0"/>
    <x v="0"/>
    <x v="0"/>
    <x v="0"/>
    <x v="1"/>
    <x v="6"/>
    <x v="0"/>
    <x v="0"/>
    <x v="2"/>
    <x v="2"/>
    <x v="17"/>
    <x v="17"/>
    <x v="4"/>
    <x v="5"/>
    <x v="5"/>
    <x v="41"/>
    <x v="41"/>
    <n v="201.23561052681899"/>
    <x v="1"/>
    <x v="2"/>
    <x v="5"/>
    <x v="7"/>
    <x v="11"/>
    <x v="22"/>
    <n v="219.3468154742327"/>
  </r>
  <r>
    <x v="0"/>
    <x v="0"/>
    <x v="0"/>
    <x v="0"/>
    <x v="1"/>
    <x v="6"/>
    <x v="0"/>
    <x v="0"/>
    <x v="2"/>
    <x v="2"/>
    <x v="17"/>
    <x v="17"/>
    <x v="4"/>
    <x v="5"/>
    <x v="5"/>
    <x v="40"/>
    <x v="40"/>
    <n v="1788.96381"/>
    <x v="1"/>
    <x v="2"/>
    <x v="5"/>
    <x v="7"/>
    <x v="11"/>
    <x v="22"/>
    <n v="1949.9705529"/>
  </r>
  <r>
    <x v="0"/>
    <x v="0"/>
    <x v="0"/>
    <x v="0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0"/>
    <x v="0"/>
    <x v="0"/>
    <x v="0"/>
    <x v="1"/>
    <x v="6"/>
    <x v="2"/>
    <x v="2"/>
    <x v="8"/>
    <x v="1"/>
    <x v="28"/>
    <x v="28"/>
    <x v="3"/>
    <x v="3"/>
    <x v="3"/>
    <x v="82"/>
    <x v="82"/>
    <n v="0.22"/>
    <x v="0"/>
    <x v="0"/>
    <x v="1"/>
    <x v="3"/>
    <x v="3"/>
    <x v="15"/>
    <n v="0.23980000000000001"/>
  </r>
  <r>
    <x v="0"/>
    <x v="0"/>
    <x v="0"/>
    <x v="0"/>
    <x v="1"/>
    <x v="6"/>
    <x v="2"/>
    <x v="2"/>
    <x v="8"/>
    <x v="1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0"/>
    <x v="0"/>
    <x v="0"/>
    <x v="0"/>
    <x v="1"/>
    <x v="6"/>
    <x v="2"/>
    <x v="2"/>
    <x v="8"/>
    <x v="1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0"/>
    <x v="0"/>
    <x v="0"/>
    <x v="0"/>
    <x v="1"/>
    <x v="6"/>
    <x v="2"/>
    <x v="2"/>
    <x v="8"/>
    <x v="1"/>
    <x v="28"/>
    <x v="28"/>
    <x v="2"/>
    <x v="2"/>
    <x v="2"/>
    <x v="40"/>
    <x v="40"/>
    <n v="1.75"/>
    <x v="1"/>
    <x v="2"/>
    <x v="5"/>
    <x v="7"/>
    <x v="11"/>
    <x v="22"/>
    <n v="1.9075000000000002"/>
  </r>
  <r>
    <x v="0"/>
    <x v="0"/>
    <x v="0"/>
    <x v="0"/>
    <x v="1"/>
    <x v="6"/>
    <x v="2"/>
    <x v="2"/>
    <x v="8"/>
    <x v="1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1"/>
    <x v="0"/>
    <x v="1"/>
    <x v="1"/>
    <x v="0"/>
    <x v="0"/>
    <x v="0"/>
    <x v="0"/>
    <x v="0"/>
    <x v="0"/>
    <x v="2"/>
    <x v="2"/>
    <x v="2"/>
    <x v="2"/>
    <x v="2"/>
    <x v="2"/>
    <x v="2"/>
    <n v="0.21302752293565"/>
    <x v="0"/>
    <x v="1"/>
    <x v="2"/>
    <x v="2"/>
    <x v="13"/>
    <x v="2"/>
    <n v="0.23219999999985852"/>
  </r>
  <r>
    <x v="1"/>
    <x v="0"/>
    <x v="1"/>
    <x v="1"/>
    <x v="0"/>
    <x v="0"/>
    <x v="0"/>
    <x v="0"/>
    <x v="0"/>
    <x v="0"/>
    <x v="2"/>
    <x v="2"/>
    <x v="4"/>
    <x v="5"/>
    <x v="5"/>
    <x v="18"/>
    <x v="18"/>
    <n v="3.8108"/>
    <x v="0"/>
    <x v="0"/>
    <x v="0"/>
    <x v="0"/>
    <x v="4"/>
    <x v="18"/>
    <n v="4.153772"/>
  </r>
  <r>
    <x v="1"/>
    <x v="0"/>
    <x v="1"/>
    <x v="1"/>
    <x v="0"/>
    <x v="0"/>
    <x v="0"/>
    <x v="0"/>
    <x v="0"/>
    <x v="0"/>
    <x v="0"/>
    <x v="0"/>
    <x v="3"/>
    <x v="3"/>
    <x v="3"/>
    <x v="4"/>
    <x v="4"/>
    <n v="31.743972477045201"/>
    <x v="0"/>
    <x v="0"/>
    <x v="1"/>
    <x v="3"/>
    <x v="3"/>
    <x v="4"/>
    <n v="34.600929999979272"/>
  </r>
  <r>
    <x v="1"/>
    <x v="0"/>
    <x v="1"/>
    <x v="1"/>
    <x v="0"/>
    <x v="0"/>
    <x v="0"/>
    <x v="0"/>
    <x v="0"/>
    <x v="0"/>
    <x v="0"/>
    <x v="0"/>
    <x v="3"/>
    <x v="3"/>
    <x v="3"/>
    <x v="5"/>
    <x v="5"/>
    <n v="125.481889571506"/>
    <x v="0"/>
    <x v="0"/>
    <x v="1"/>
    <x v="1"/>
    <x v="1"/>
    <x v="5"/>
    <n v="136.77525963294156"/>
  </r>
  <r>
    <x v="1"/>
    <x v="0"/>
    <x v="1"/>
    <x v="1"/>
    <x v="0"/>
    <x v="0"/>
    <x v="0"/>
    <x v="0"/>
    <x v="0"/>
    <x v="0"/>
    <x v="0"/>
    <x v="0"/>
    <x v="3"/>
    <x v="3"/>
    <x v="3"/>
    <x v="8"/>
    <x v="8"/>
    <n v="637.49152027435002"/>
    <x v="0"/>
    <x v="1"/>
    <x v="2"/>
    <x v="2"/>
    <x v="6"/>
    <x v="8"/>
    <n v="694.86575709904162"/>
  </r>
  <r>
    <x v="1"/>
    <x v="0"/>
    <x v="1"/>
    <x v="1"/>
    <x v="0"/>
    <x v="0"/>
    <x v="0"/>
    <x v="0"/>
    <x v="0"/>
    <x v="0"/>
    <x v="0"/>
    <x v="0"/>
    <x v="3"/>
    <x v="3"/>
    <x v="3"/>
    <x v="9"/>
    <x v="9"/>
    <n v="8.4129298373175097"/>
    <x v="0"/>
    <x v="0"/>
    <x v="1"/>
    <x v="4"/>
    <x v="5"/>
    <x v="9"/>
    <n v="9.1700935226760869"/>
  </r>
  <r>
    <x v="1"/>
    <x v="0"/>
    <x v="1"/>
    <x v="1"/>
    <x v="0"/>
    <x v="0"/>
    <x v="0"/>
    <x v="0"/>
    <x v="0"/>
    <x v="0"/>
    <x v="0"/>
    <x v="0"/>
    <x v="3"/>
    <x v="3"/>
    <x v="3"/>
    <x v="11"/>
    <x v="11"/>
    <n v="4.7753399999999999"/>
    <x v="0"/>
    <x v="0"/>
    <x v="3"/>
    <x v="5"/>
    <x v="7"/>
    <x v="11"/>
    <n v="5.2051205999999999"/>
  </r>
  <r>
    <x v="1"/>
    <x v="0"/>
    <x v="1"/>
    <x v="1"/>
    <x v="0"/>
    <x v="0"/>
    <x v="0"/>
    <x v="0"/>
    <x v="0"/>
    <x v="0"/>
    <x v="0"/>
    <x v="0"/>
    <x v="3"/>
    <x v="3"/>
    <x v="3"/>
    <x v="12"/>
    <x v="12"/>
    <n v="110.08193023214"/>
    <x v="0"/>
    <x v="0"/>
    <x v="0"/>
    <x v="0"/>
    <x v="8"/>
    <x v="12"/>
    <n v="119.9893039530326"/>
  </r>
  <r>
    <x v="1"/>
    <x v="0"/>
    <x v="1"/>
    <x v="1"/>
    <x v="0"/>
    <x v="0"/>
    <x v="0"/>
    <x v="0"/>
    <x v="0"/>
    <x v="0"/>
    <x v="0"/>
    <x v="0"/>
    <x v="3"/>
    <x v="3"/>
    <x v="3"/>
    <x v="14"/>
    <x v="14"/>
    <n v="51.531869999999998"/>
    <x v="0"/>
    <x v="0"/>
    <x v="0"/>
    <x v="0"/>
    <x v="8"/>
    <x v="14"/>
    <n v="56.169738299999999"/>
  </r>
  <r>
    <x v="1"/>
    <x v="0"/>
    <x v="1"/>
    <x v="1"/>
    <x v="0"/>
    <x v="0"/>
    <x v="0"/>
    <x v="0"/>
    <x v="0"/>
    <x v="0"/>
    <x v="0"/>
    <x v="0"/>
    <x v="3"/>
    <x v="3"/>
    <x v="3"/>
    <x v="16"/>
    <x v="16"/>
    <n v="645.88599999999997"/>
    <x v="0"/>
    <x v="0"/>
    <x v="3"/>
    <x v="5"/>
    <x v="9"/>
    <x v="16"/>
    <n v="704.01574000000005"/>
  </r>
  <r>
    <x v="1"/>
    <x v="0"/>
    <x v="1"/>
    <x v="1"/>
    <x v="0"/>
    <x v="0"/>
    <x v="0"/>
    <x v="0"/>
    <x v="0"/>
    <x v="0"/>
    <x v="0"/>
    <x v="0"/>
    <x v="3"/>
    <x v="3"/>
    <x v="3"/>
    <x v="18"/>
    <x v="18"/>
    <n v="12.3376"/>
    <x v="0"/>
    <x v="0"/>
    <x v="0"/>
    <x v="0"/>
    <x v="4"/>
    <x v="18"/>
    <n v="13.447984000000002"/>
  </r>
  <r>
    <x v="1"/>
    <x v="0"/>
    <x v="1"/>
    <x v="1"/>
    <x v="0"/>
    <x v="0"/>
    <x v="0"/>
    <x v="0"/>
    <x v="0"/>
    <x v="0"/>
    <x v="0"/>
    <x v="0"/>
    <x v="3"/>
    <x v="3"/>
    <x v="3"/>
    <x v="0"/>
    <x v="0"/>
    <n v="502.48504092386003"/>
    <x v="0"/>
    <x v="0"/>
    <x v="0"/>
    <x v="0"/>
    <x v="0"/>
    <x v="0"/>
    <n v="547.70869460700749"/>
  </r>
  <r>
    <x v="1"/>
    <x v="0"/>
    <x v="1"/>
    <x v="1"/>
    <x v="0"/>
    <x v="0"/>
    <x v="0"/>
    <x v="0"/>
    <x v="0"/>
    <x v="0"/>
    <x v="0"/>
    <x v="0"/>
    <x v="3"/>
    <x v="3"/>
    <x v="3"/>
    <x v="2"/>
    <x v="2"/>
    <n v="1132.773137614"/>
    <x v="0"/>
    <x v="1"/>
    <x v="2"/>
    <x v="2"/>
    <x v="13"/>
    <x v="2"/>
    <n v="1234.7227199992601"/>
  </r>
  <r>
    <x v="1"/>
    <x v="0"/>
    <x v="1"/>
    <x v="1"/>
    <x v="0"/>
    <x v="0"/>
    <x v="0"/>
    <x v="0"/>
    <x v="0"/>
    <x v="0"/>
    <x v="0"/>
    <x v="0"/>
    <x v="0"/>
    <x v="4"/>
    <x v="4"/>
    <x v="5"/>
    <x v="5"/>
    <n v="7.4992085890140503"/>
    <x v="0"/>
    <x v="0"/>
    <x v="1"/>
    <x v="1"/>
    <x v="1"/>
    <x v="5"/>
    <n v="8.1741373620253146"/>
  </r>
  <r>
    <x v="1"/>
    <x v="0"/>
    <x v="1"/>
    <x v="1"/>
    <x v="0"/>
    <x v="0"/>
    <x v="0"/>
    <x v="0"/>
    <x v="0"/>
    <x v="0"/>
    <x v="0"/>
    <x v="0"/>
    <x v="0"/>
    <x v="4"/>
    <x v="4"/>
    <x v="6"/>
    <x v="6"/>
    <n v="50.02946"/>
    <x v="0"/>
    <x v="0"/>
    <x v="0"/>
    <x v="0"/>
    <x v="4"/>
    <x v="6"/>
    <n v="54.532111400000005"/>
  </r>
  <r>
    <x v="1"/>
    <x v="0"/>
    <x v="1"/>
    <x v="1"/>
    <x v="0"/>
    <x v="0"/>
    <x v="0"/>
    <x v="0"/>
    <x v="0"/>
    <x v="0"/>
    <x v="0"/>
    <x v="0"/>
    <x v="0"/>
    <x v="4"/>
    <x v="4"/>
    <x v="7"/>
    <x v="7"/>
    <n v="0.91192660550404003"/>
    <x v="0"/>
    <x v="0"/>
    <x v="1"/>
    <x v="4"/>
    <x v="5"/>
    <x v="7"/>
    <n v="0.99399999999940369"/>
  </r>
  <r>
    <x v="1"/>
    <x v="0"/>
    <x v="1"/>
    <x v="1"/>
    <x v="0"/>
    <x v="0"/>
    <x v="0"/>
    <x v="0"/>
    <x v="0"/>
    <x v="0"/>
    <x v="0"/>
    <x v="0"/>
    <x v="0"/>
    <x v="4"/>
    <x v="4"/>
    <x v="8"/>
    <x v="8"/>
    <n v="707.82212838290798"/>
    <x v="0"/>
    <x v="1"/>
    <x v="2"/>
    <x v="2"/>
    <x v="6"/>
    <x v="8"/>
    <n v="771.5261199373698"/>
  </r>
  <r>
    <x v="1"/>
    <x v="0"/>
    <x v="1"/>
    <x v="1"/>
    <x v="0"/>
    <x v="0"/>
    <x v="0"/>
    <x v="0"/>
    <x v="0"/>
    <x v="0"/>
    <x v="0"/>
    <x v="0"/>
    <x v="0"/>
    <x v="4"/>
    <x v="4"/>
    <x v="9"/>
    <x v="9"/>
    <n v="40.6712935779573"/>
    <x v="0"/>
    <x v="0"/>
    <x v="1"/>
    <x v="4"/>
    <x v="5"/>
    <x v="9"/>
    <n v="44.331709999973462"/>
  </r>
  <r>
    <x v="1"/>
    <x v="0"/>
    <x v="1"/>
    <x v="1"/>
    <x v="0"/>
    <x v="0"/>
    <x v="0"/>
    <x v="0"/>
    <x v="0"/>
    <x v="0"/>
    <x v="0"/>
    <x v="0"/>
    <x v="0"/>
    <x v="4"/>
    <x v="4"/>
    <x v="10"/>
    <x v="10"/>
    <n v="14.4963302752207"/>
    <x v="0"/>
    <x v="0"/>
    <x v="1"/>
    <x v="4"/>
    <x v="5"/>
    <x v="10"/>
    <n v="15.800999999990564"/>
  </r>
  <r>
    <x v="1"/>
    <x v="0"/>
    <x v="1"/>
    <x v="1"/>
    <x v="0"/>
    <x v="0"/>
    <x v="0"/>
    <x v="0"/>
    <x v="0"/>
    <x v="0"/>
    <x v="0"/>
    <x v="0"/>
    <x v="0"/>
    <x v="4"/>
    <x v="4"/>
    <x v="11"/>
    <x v="11"/>
    <n v="4.8014700000000001"/>
    <x v="0"/>
    <x v="0"/>
    <x v="3"/>
    <x v="5"/>
    <x v="7"/>
    <x v="11"/>
    <n v="5.2336023000000003"/>
  </r>
  <r>
    <x v="1"/>
    <x v="0"/>
    <x v="1"/>
    <x v="1"/>
    <x v="0"/>
    <x v="0"/>
    <x v="0"/>
    <x v="0"/>
    <x v="0"/>
    <x v="0"/>
    <x v="0"/>
    <x v="0"/>
    <x v="0"/>
    <x v="4"/>
    <x v="4"/>
    <x v="12"/>
    <x v="12"/>
    <n v="1007.6986046473299"/>
    <x v="0"/>
    <x v="0"/>
    <x v="0"/>
    <x v="0"/>
    <x v="8"/>
    <x v="12"/>
    <n v="1098.3914790655897"/>
  </r>
  <r>
    <x v="1"/>
    <x v="0"/>
    <x v="1"/>
    <x v="1"/>
    <x v="0"/>
    <x v="0"/>
    <x v="0"/>
    <x v="0"/>
    <x v="0"/>
    <x v="0"/>
    <x v="0"/>
    <x v="0"/>
    <x v="0"/>
    <x v="4"/>
    <x v="4"/>
    <x v="13"/>
    <x v="13"/>
    <n v="109.958"/>
    <x v="0"/>
    <x v="0"/>
    <x v="1"/>
    <x v="3"/>
    <x v="3"/>
    <x v="13"/>
    <n v="119.85422000000001"/>
  </r>
  <r>
    <x v="1"/>
    <x v="0"/>
    <x v="1"/>
    <x v="1"/>
    <x v="0"/>
    <x v="0"/>
    <x v="0"/>
    <x v="0"/>
    <x v="0"/>
    <x v="0"/>
    <x v="0"/>
    <x v="0"/>
    <x v="0"/>
    <x v="4"/>
    <x v="4"/>
    <x v="14"/>
    <x v="14"/>
    <n v="123.6651"/>
    <x v="0"/>
    <x v="0"/>
    <x v="0"/>
    <x v="0"/>
    <x v="8"/>
    <x v="14"/>
    <n v="134.79495900000001"/>
  </r>
  <r>
    <x v="1"/>
    <x v="0"/>
    <x v="1"/>
    <x v="1"/>
    <x v="0"/>
    <x v="0"/>
    <x v="0"/>
    <x v="0"/>
    <x v="0"/>
    <x v="0"/>
    <x v="0"/>
    <x v="0"/>
    <x v="0"/>
    <x v="4"/>
    <x v="4"/>
    <x v="16"/>
    <x v="16"/>
    <n v="988.07564000000002"/>
    <x v="0"/>
    <x v="0"/>
    <x v="3"/>
    <x v="5"/>
    <x v="9"/>
    <x v="16"/>
    <n v="1077.0024476000001"/>
  </r>
  <r>
    <x v="1"/>
    <x v="0"/>
    <x v="1"/>
    <x v="1"/>
    <x v="0"/>
    <x v="0"/>
    <x v="0"/>
    <x v="0"/>
    <x v="0"/>
    <x v="0"/>
    <x v="0"/>
    <x v="0"/>
    <x v="0"/>
    <x v="4"/>
    <x v="4"/>
    <x v="21"/>
    <x v="21"/>
    <n v="42.016981651350903"/>
    <x v="0"/>
    <x v="0"/>
    <x v="1"/>
    <x v="4"/>
    <x v="5"/>
    <x v="10"/>
    <n v="45.798509999972488"/>
  </r>
  <r>
    <x v="1"/>
    <x v="0"/>
    <x v="1"/>
    <x v="1"/>
    <x v="0"/>
    <x v="0"/>
    <x v="0"/>
    <x v="0"/>
    <x v="0"/>
    <x v="0"/>
    <x v="0"/>
    <x v="0"/>
    <x v="0"/>
    <x v="4"/>
    <x v="4"/>
    <x v="18"/>
    <x v="18"/>
    <n v="32.868639999999999"/>
    <x v="0"/>
    <x v="0"/>
    <x v="0"/>
    <x v="0"/>
    <x v="4"/>
    <x v="18"/>
    <n v="35.826817599999998"/>
  </r>
  <r>
    <x v="1"/>
    <x v="0"/>
    <x v="1"/>
    <x v="1"/>
    <x v="0"/>
    <x v="0"/>
    <x v="0"/>
    <x v="0"/>
    <x v="0"/>
    <x v="0"/>
    <x v="0"/>
    <x v="0"/>
    <x v="0"/>
    <x v="4"/>
    <x v="4"/>
    <x v="0"/>
    <x v="0"/>
    <n v="15.2324145907047"/>
    <x v="0"/>
    <x v="0"/>
    <x v="0"/>
    <x v="0"/>
    <x v="0"/>
    <x v="0"/>
    <n v="16.603331903868124"/>
  </r>
  <r>
    <x v="1"/>
    <x v="0"/>
    <x v="1"/>
    <x v="1"/>
    <x v="0"/>
    <x v="0"/>
    <x v="0"/>
    <x v="0"/>
    <x v="0"/>
    <x v="0"/>
    <x v="0"/>
    <x v="0"/>
    <x v="0"/>
    <x v="4"/>
    <x v="4"/>
    <x v="2"/>
    <x v="2"/>
    <n v="3938.5031651352501"/>
    <x v="0"/>
    <x v="1"/>
    <x v="2"/>
    <x v="2"/>
    <x v="13"/>
    <x v="2"/>
    <n v="4292.9684499974228"/>
  </r>
  <r>
    <x v="1"/>
    <x v="0"/>
    <x v="1"/>
    <x v="1"/>
    <x v="0"/>
    <x v="0"/>
    <x v="0"/>
    <x v="0"/>
    <x v="0"/>
    <x v="0"/>
    <x v="0"/>
    <x v="0"/>
    <x v="0"/>
    <x v="4"/>
    <x v="4"/>
    <x v="3"/>
    <x v="3"/>
    <n v="156.53049309123901"/>
    <x v="0"/>
    <x v="0"/>
    <x v="1"/>
    <x v="3"/>
    <x v="3"/>
    <x v="3"/>
    <n v="170.61823746945052"/>
  </r>
  <r>
    <x v="1"/>
    <x v="0"/>
    <x v="1"/>
    <x v="1"/>
    <x v="0"/>
    <x v="0"/>
    <x v="0"/>
    <x v="0"/>
    <x v="0"/>
    <x v="0"/>
    <x v="0"/>
    <x v="0"/>
    <x v="0"/>
    <x v="0"/>
    <x v="0"/>
    <x v="5"/>
    <x v="5"/>
    <n v="51.466736196710201"/>
    <x v="0"/>
    <x v="0"/>
    <x v="1"/>
    <x v="1"/>
    <x v="1"/>
    <x v="5"/>
    <n v="56.098742454414122"/>
  </r>
  <r>
    <x v="1"/>
    <x v="0"/>
    <x v="1"/>
    <x v="1"/>
    <x v="0"/>
    <x v="0"/>
    <x v="0"/>
    <x v="0"/>
    <x v="0"/>
    <x v="0"/>
    <x v="0"/>
    <x v="0"/>
    <x v="0"/>
    <x v="0"/>
    <x v="0"/>
    <x v="6"/>
    <x v="6"/>
    <n v="42.583570000000002"/>
    <x v="0"/>
    <x v="0"/>
    <x v="0"/>
    <x v="0"/>
    <x v="4"/>
    <x v="6"/>
    <n v="46.416091300000005"/>
  </r>
  <r>
    <x v="1"/>
    <x v="0"/>
    <x v="1"/>
    <x v="1"/>
    <x v="0"/>
    <x v="0"/>
    <x v="0"/>
    <x v="0"/>
    <x v="0"/>
    <x v="0"/>
    <x v="0"/>
    <x v="0"/>
    <x v="0"/>
    <x v="0"/>
    <x v="0"/>
    <x v="7"/>
    <x v="7"/>
    <n v="28.618752293560799"/>
    <x v="0"/>
    <x v="0"/>
    <x v="1"/>
    <x v="4"/>
    <x v="5"/>
    <x v="7"/>
    <n v="31.194439999981274"/>
  </r>
  <r>
    <x v="1"/>
    <x v="0"/>
    <x v="1"/>
    <x v="1"/>
    <x v="0"/>
    <x v="0"/>
    <x v="0"/>
    <x v="0"/>
    <x v="0"/>
    <x v="0"/>
    <x v="0"/>
    <x v="0"/>
    <x v="0"/>
    <x v="0"/>
    <x v="0"/>
    <x v="8"/>
    <x v="8"/>
    <n v="225.99638513658201"/>
    <x v="0"/>
    <x v="1"/>
    <x v="2"/>
    <x v="2"/>
    <x v="6"/>
    <x v="8"/>
    <n v="246.3360597988744"/>
  </r>
  <r>
    <x v="1"/>
    <x v="0"/>
    <x v="1"/>
    <x v="1"/>
    <x v="0"/>
    <x v="0"/>
    <x v="0"/>
    <x v="0"/>
    <x v="0"/>
    <x v="0"/>
    <x v="0"/>
    <x v="0"/>
    <x v="0"/>
    <x v="0"/>
    <x v="0"/>
    <x v="9"/>
    <x v="9"/>
    <n v="13.399025693621599"/>
    <x v="0"/>
    <x v="0"/>
    <x v="1"/>
    <x v="4"/>
    <x v="5"/>
    <x v="9"/>
    <n v="14.604938006047544"/>
  </r>
  <r>
    <x v="1"/>
    <x v="0"/>
    <x v="1"/>
    <x v="1"/>
    <x v="0"/>
    <x v="0"/>
    <x v="0"/>
    <x v="0"/>
    <x v="0"/>
    <x v="0"/>
    <x v="0"/>
    <x v="0"/>
    <x v="0"/>
    <x v="0"/>
    <x v="0"/>
    <x v="10"/>
    <x v="10"/>
    <n v="39.457812654970802"/>
    <x v="0"/>
    <x v="0"/>
    <x v="1"/>
    <x v="4"/>
    <x v="5"/>
    <x v="10"/>
    <n v="43.009015793918174"/>
  </r>
  <r>
    <x v="1"/>
    <x v="0"/>
    <x v="1"/>
    <x v="1"/>
    <x v="0"/>
    <x v="0"/>
    <x v="0"/>
    <x v="0"/>
    <x v="0"/>
    <x v="0"/>
    <x v="0"/>
    <x v="0"/>
    <x v="0"/>
    <x v="0"/>
    <x v="0"/>
    <x v="11"/>
    <x v="11"/>
    <n v="12.316330000000001"/>
    <x v="0"/>
    <x v="0"/>
    <x v="3"/>
    <x v="5"/>
    <x v="7"/>
    <x v="11"/>
    <n v="13.424799700000001"/>
  </r>
  <r>
    <x v="1"/>
    <x v="0"/>
    <x v="1"/>
    <x v="1"/>
    <x v="0"/>
    <x v="0"/>
    <x v="0"/>
    <x v="0"/>
    <x v="0"/>
    <x v="0"/>
    <x v="0"/>
    <x v="0"/>
    <x v="0"/>
    <x v="0"/>
    <x v="0"/>
    <x v="12"/>
    <x v="12"/>
    <n v="192.23651162717599"/>
    <x v="0"/>
    <x v="0"/>
    <x v="0"/>
    <x v="0"/>
    <x v="8"/>
    <x v="12"/>
    <n v="209.53779767362184"/>
  </r>
  <r>
    <x v="1"/>
    <x v="0"/>
    <x v="1"/>
    <x v="1"/>
    <x v="0"/>
    <x v="0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1"/>
    <x v="0"/>
    <x v="1"/>
    <x v="1"/>
    <x v="0"/>
    <x v="0"/>
    <x v="0"/>
    <x v="0"/>
    <x v="0"/>
    <x v="0"/>
    <x v="0"/>
    <x v="0"/>
    <x v="0"/>
    <x v="0"/>
    <x v="0"/>
    <x v="14"/>
    <x v="14"/>
    <n v="28.305399999999999"/>
    <x v="0"/>
    <x v="0"/>
    <x v="0"/>
    <x v="0"/>
    <x v="8"/>
    <x v="14"/>
    <n v="30.852886000000002"/>
  </r>
  <r>
    <x v="1"/>
    <x v="0"/>
    <x v="1"/>
    <x v="1"/>
    <x v="0"/>
    <x v="0"/>
    <x v="0"/>
    <x v="0"/>
    <x v="0"/>
    <x v="0"/>
    <x v="0"/>
    <x v="0"/>
    <x v="0"/>
    <x v="0"/>
    <x v="0"/>
    <x v="22"/>
    <x v="22"/>
    <n v="4.1703629032091296"/>
    <x v="0"/>
    <x v="0"/>
    <x v="0"/>
    <x v="0"/>
    <x v="0"/>
    <x v="0"/>
    <n v="4.5456955644979518"/>
  </r>
  <r>
    <x v="1"/>
    <x v="0"/>
    <x v="1"/>
    <x v="1"/>
    <x v="0"/>
    <x v="0"/>
    <x v="0"/>
    <x v="0"/>
    <x v="0"/>
    <x v="0"/>
    <x v="0"/>
    <x v="0"/>
    <x v="0"/>
    <x v="0"/>
    <x v="0"/>
    <x v="23"/>
    <x v="23"/>
    <n v="2.8563944954111302"/>
    <x v="0"/>
    <x v="0"/>
    <x v="1"/>
    <x v="3"/>
    <x v="3"/>
    <x v="15"/>
    <n v="3.1134699999981321"/>
  </r>
  <r>
    <x v="1"/>
    <x v="0"/>
    <x v="1"/>
    <x v="1"/>
    <x v="0"/>
    <x v="0"/>
    <x v="0"/>
    <x v="0"/>
    <x v="0"/>
    <x v="0"/>
    <x v="0"/>
    <x v="0"/>
    <x v="0"/>
    <x v="0"/>
    <x v="0"/>
    <x v="24"/>
    <x v="24"/>
    <n v="2.9098348623835801"/>
    <x v="0"/>
    <x v="0"/>
    <x v="1"/>
    <x v="3"/>
    <x v="3"/>
    <x v="4"/>
    <n v="3.1717199999981025"/>
  </r>
  <r>
    <x v="1"/>
    <x v="0"/>
    <x v="1"/>
    <x v="1"/>
    <x v="0"/>
    <x v="0"/>
    <x v="0"/>
    <x v="0"/>
    <x v="0"/>
    <x v="0"/>
    <x v="0"/>
    <x v="0"/>
    <x v="0"/>
    <x v="0"/>
    <x v="0"/>
    <x v="17"/>
    <x v="17"/>
    <n v="2.3128000000000002"/>
    <x v="0"/>
    <x v="0"/>
    <x v="0"/>
    <x v="0"/>
    <x v="4"/>
    <x v="17"/>
    <n v="2.5209520000000003"/>
  </r>
  <r>
    <x v="1"/>
    <x v="0"/>
    <x v="1"/>
    <x v="1"/>
    <x v="0"/>
    <x v="0"/>
    <x v="0"/>
    <x v="0"/>
    <x v="0"/>
    <x v="0"/>
    <x v="0"/>
    <x v="0"/>
    <x v="0"/>
    <x v="0"/>
    <x v="0"/>
    <x v="21"/>
    <x v="21"/>
    <n v="8.0725596330226796"/>
    <x v="0"/>
    <x v="0"/>
    <x v="1"/>
    <x v="4"/>
    <x v="5"/>
    <x v="10"/>
    <n v="8.7990899999947221"/>
  </r>
  <r>
    <x v="1"/>
    <x v="0"/>
    <x v="1"/>
    <x v="1"/>
    <x v="0"/>
    <x v="0"/>
    <x v="0"/>
    <x v="0"/>
    <x v="0"/>
    <x v="0"/>
    <x v="0"/>
    <x v="0"/>
    <x v="0"/>
    <x v="0"/>
    <x v="0"/>
    <x v="18"/>
    <x v="18"/>
    <n v="20.2898"/>
    <x v="0"/>
    <x v="0"/>
    <x v="0"/>
    <x v="0"/>
    <x v="4"/>
    <x v="18"/>
    <n v="22.115882000000003"/>
  </r>
  <r>
    <x v="1"/>
    <x v="0"/>
    <x v="1"/>
    <x v="1"/>
    <x v="0"/>
    <x v="0"/>
    <x v="0"/>
    <x v="0"/>
    <x v="0"/>
    <x v="0"/>
    <x v="0"/>
    <x v="0"/>
    <x v="0"/>
    <x v="0"/>
    <x v="0"/>
    <x v="25"/>
    <x v="25"/>
    <n v="26.750733944938101"/>
    <x v="0"/>
    <x v="0"/>
    <x v="1"/>
    <x v="4"/>
    <x v="5"/>
    <x v="9"/>
    <n v="29.158299999982532"/>
  </r>
  <r>
    <x v="1"/>
    <x v="0"/>
    <x v="1"/>
    <x v="1"/>
    <x v="0"/>
    <x v="0"/>
    <x v="0"/>
    <x v="0"/>
    <x v="0"/>
    <x v="0"/>
    <x v="0"/>
    <x v="0"/>
    <x v="0"/>
    <x v="0"/>
    <x v="0"/>
    <x v="26"/>
    <x v="26"/>
    <n v="0.36493577981629"/>
    <x v="0"/>
    <x v="0"/>
    <x v="1"/>
    <x v="3"/>
    <x v="3"/>
    <x v="15"/>
    <n v="0.39777999999975611"/>
  </r>
  <r>
    <x v="1"/>
    <x v="0"/>
    <x v="1"/>
    <x v="1"/>
    <x v="0"/>
    <x v="0"/>
    <x v="0"/>
    <x v="0"/>
    <x v="0"/>
    <x v="0"/>
    <x v="0"/>
    <x v="0"/>
    <x v="0"/>
    <x v="0"/>
    <x v="0"/>
    <x v="0"/>
    <x v="0"/>
    <n v="89.868148576260793"/>
    <x v="0"/>
    <x v="0"/>
    <x v="0"/>
    <x v="0"/>
    <x v="0"/>
    <x v="0"/>
    <n v="97.956281948124271"/>
  </r>
  <r>
    <x v="1"/>
    <x v="0"/>
    <x v="1"/>
    <x v="1"/>
    <x v="0"/>
    <x v="0"/>
    <x v="0"/>
    <x v="0"/>
    <x v="0"/>
    <x v="0"/>
    <x v="0"/>
    <x v="0"/>
    <x v="0"/>
    <x v="0"/>
    <x v="0"/>
    <x v="2"/>
    <x v="2"/>
    <n v="851.91110091691996"/>
    <x v="0"/>
    <x v="1"/>
    <x v="2"/>
    <x v="2"/>
    <x v="13"/>
    <x v="2"/>
    <n v="928.58309999944288"/>
  </r>
  <r>
    <x v="1"/>
    <x v="0"/>
    <x v="1"/>
    <x v="1"/>
    <x v="0"/>
    <x v="0"/>
    <x v="0"/>
    <x v="0"/>
    <x v="0"/>
    <x v="0"/>
    <x v="0"/>
    <x v="0"/>
    <x v="0"/>
    <x v="0"/>
    <x v="0"/>
    <x v="3"/>
    <x v="3"/>
    <n v="10.566455171589601"/>
    <x v="0"/>
    <x v="0"/>
    <x v="1"/>
    <x v="3"/>
    <x v="3"/>
    <x v="3"/>
    <n v="11.517436137032666"/>
  </r>
  <r>
    <x v="1"/>
    <x v="0"/>
    <x v="1"/>
    <x v="1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1"/>
    <x v="0"/>
    <x v="1"/>
    <x v="1"/>
    <x v="0"/>
    <x v="0"/>
    <x v="0"/>
    <x v="0"/>
    <x v="0"/>
    <x v="0"/>
    <x v="0"/>
    <x v="0"/>
    <x v="1"/>
    <x v="1"/>
    <x v="1"/>
    <x v="5"/>
    <x v="5"/>
    <n v="367.02581595370998"/>
    <x v="0"/>
    <x v="0"/>
    <x v="1"/>
    <x v="1"/>
    <x v="1"/>
    <x v="5"/>
    <n v="400.0581393895439"/>
  </r>
  <r>
    <x v="1"/>
    <x v="0"/>
    <x v="1"/>
    <x v="1"/>
    <x v="0"/>
    <x v="0"/>
    <x v="0"/>
    <x v="0"/>
    <x v="0"/>
    <x v="0"/>
    <x v="0"/>
    <x v="0"/>
    <x v="1"/>
    <x v="1"/>
    <x v="1"/>
    <x v="6"/>
    <x v="6"/>
    <n v="70.569730000000007"/>
    <x v="0"/>
    <x v="0"/>
    <x v="0"/>
    <x v="0"/>
    <x v="4"/>
    <x v="6"/>
    <n v="76.921005700000009"/>
  </r>
  <r>
    <x v="1"/>
    <x v="0"/>
    <x v="1"/>
    <x v="1"/>
    <x v="0"/>
    <x v="0"/>
    <x v="0"/>
    <x v="0"/>
    <x v="0"/>
    <x v="0"/>
    <x v="0"/>
    <x v="0"/>
    <x v="1"/>
    <x v="1"/>
    <x v="1"/>
    <x v="7"/>
    <x v="7"/>
    <n v="38.454568807316399"/>
    <x v="0"/>
    <x v="0"/>
    <x v="1"/>
    <x v="4"/>
    <x v="5"/>
    <x v="7"/>
    <n v="41.915479999974878"/>
  </r>
  <r>
    <x v="1"/>
    <x v="0"/>
    <x v="1"/>
    <x v="1"/>
    <x v="0"/>
    <x v="0"/>
    <x v="0"/>
    <x v="0"/>
    <x v="0"/>
    <x v="0"/>
    <x v="0"/>
    <x v="0"/>
    <x v="1"/>
    <x v="1"/>
    <x v="1"/>
    <x v="8"/>
    <x v="8"/>
    <n v="1690.7677364973099"/>
    <x v="0"/>
    <x v="1"/>
    <x v="2"/>
    <x v="2"/>
    <x v="6"/>
    <x v="8"/>
    <n v="1842.936832782068"/>
  </r>
  <r>
    <x v="1"/>
    <x v="0"/>
    <x v="1"/>
    <x v="1"/>
    <x v="0"/>
    <x v="0"/>
    <x v="0"/>
    <x v="0"/>
    <x v="0"/>
    <x v="0"/>
    <x v="0"/>
    <x v="0"/>
    <x v="1"/>
    <x v="1"/>
    <x v="1"/>
    <x v="9"/>
    <x v="9"/>
    <n v="7.12771121417033"/>
    <x v="0"/>
    <x v="0"/>
    <x v="1"/>
    <x v="4"/>
    <x v="5"/>
    <x v="9"/>
    <n v="7.7692052234456606"/>
  </r>
  <r>
    <x v="1"/>
    <x v="0"/>
    <x v="1"/>
    <x v="1"/>
    <x v="0"/>
    <x v="0"/>
    <x v="0"/>
    <x v="0"/>
    <x v="0"/>
    <x v="0"/>
    <x v="0"/>
    <x v="0"/>
    <x v="1"/>
    <x v="1"/>
    <x v="1"/>
    <x v="10"/>
    <x v="10"/>
    <n v="8.5919266054994292"/>
    <x v="0"/>
    <x v="0"/>
    <x v="1"/>
    <x v="4"/>
    <x v="5"/>
    <x v="10"/>
    <n v="9.3651999999943794"/>
  </r>
  <r>
    <x v="1"/>
    <x v="0"/>
    <x v="1"/>
    <x v="1"/>
    <x v="0"/>
    <x v="0"/>
    <x v="0"/>
    <x v="0"/>
    <x v="0"/>
    <x v="0"/>
    <x v="0"/>
    <x v="0"/>
    <x v="1"/>
    <x v="1"/>
    <x v="1"/>
    <x v="11"/>
    <x v="11"/>
    <n v="17.108239999999999"/>
    <x v="0"/>
    <x v="0"/>
    <x v="3"/>
    <x v="5"/>
    <x v="7"/>
    <x v="11"/>
    <n v="18.647981600000001"/>
  </r>
  <r>
    <x v="1"/>
    <x v="0"/>
    <x v="1"/>
    <x v="1"/>
    <x v="0"/>
    <x v="0"/>
    <x v="0"/>
    <x v="0"/>
    <x v="0"/>
    <x v="0"/>
    <x v="0"/>
    <x v="0"/>
    <x v="1"/>
    <x v="1"/>
    <x v="1"/>
    <x v="12"/>
    <x v="12"/>
    <n v="419.81779069607899"/>
    <x v="0"/>
    <x v="0"/>
    <x v="0"/>
    <x v="0"/>
    <x v="8"/>
    <x v="12"/>
    <n v="457.60139185872612"/>
  </r>
  <r>
    <x v="1"/>
    <x v="0"/>
    <x v="1"/>
    <x v="1"/>
    <x v="0"/>
    <x v="0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1"/>
    <x v="0"/>
    <x v="1"/>
    <x v="1"/>
    <x v="0"/>
    <x v="0"/>
    <x v="0"/>
    <x v="0"/>
    <x v="0"/>
    <x v="0"/>
    <x v="0"/>
    <x v="0"/>
    <x v="1"/>
    <x v="1"/>
    <x v="1"/>
    <x v="14"/>
    <x v="14"/>
    <n v="187.40888000000001"/>
    <x v="0"/>
    <x v="0"/>
    <x v="0"/>
    <x v="0"/>
    <x v="8"/>
    <x v="14"/>
    <n v="204.27567920000001"/>
  </r>
  <r>
    <x v="1"/>
    <x v="0"/>
    <x v="1"/>
    <x v="1"/>
    <x v="0"/>
    <x v="0"/>
    <x v="0"/>
    <x v="0"/>
    <x v="0"/>
    <x v="0"/>
    <x v="0"/>
    <x v="0"/>
    <x v="1"/>
    <x v="1"/>
    <x v="1"/>
    <x v="15"/>
    <x v="15"/>
    <n v="0.13403669724763001"/>
    <x v="0"/>
    <x v="0"/>
    <x v="1"/>
    <x v="3"/>
    <x v="3"/>
    <x v="15"/>
    <n v="0.14609999999991671"/>
  </r>
  <r>
    <x v="1"/>
    <x v="0"/>
    <x v="1"/>
    <x v="1"/>
    <x v="0"/>
    <x v="0"/>
    <x v="0"/>
    <x v="0"/>
    <x v="0"/>
    <x v="0"/>
    <x v="0"/>
    <x v="0"/>
    <x v="1"/>
    <x v="1"/>
    <x v="1"/>
    <x v="22"/>
    <x v="22"/>
    <n v="1.3901209677363799"/>
    <x v="0"/>
    <x v="0"/>
    <x v="0"/>
    <x v="0"/>
    <x v="0"/>
    <x v="0"/>
    <n v="1.5152318548326542"/>
  </r>
  <r>
    <x v="1"/>
    <x v="0"/>
    <x v="1"/>
    <x v="1"/>
    <x v="0"/>
    <x v="0"/>
    <x v="0"/>
    <x v="0"/>
    <x v="0"/>
    <x v="0"/>
    <x v="0"/>
    <x v="0"/>
    <x v="1"/>
    <x v="1"/>
    <x v="1"/>
    <x v="23"/>
    <x v="23"/>
    <n v="31.739247706402999"/>
    <x v="0"/>
    <x v="0"/>
    <x v="1"/>
    <x v="3"/>
    <x v="3"/>
    <x v="15"/>
    <n v="34.595779999979271"/>
  </r>
  <r>
    <x v="1"/>
    <x v="0"/>
    <x v="1"/>
    <x v="1"/>
    <x v="0"/>
    <x v="0"/>
    <x v="0"/>
    <x v="0"/>
    <x v="0"/>
    <x v="0"/>
    <x v="0"/>
    <x v="0"/>
    <x v="1"/>
    <x v="1"/>
    <x v="1"/>
    <x v="24"/>
    <x v="24"/>
    <n v="8.6386972477012396"/>
    <x v="0"/>
    <x v="0"/>
    <x v="1"/>
    <x v="3"/>
    <x v="3"/>
    <x v="4"/>
    <n v="9.4161799999943518"/>
  </r>
  <r>
    <x v="1"/>
    <x v="0"/>
    <x v="1"/>
    <x v="1"/>
    <x v="0"/>
    <x v="0"/>
    <x v="0"/>
    <x v="0"/>
    <x v="0"/>
    <x v="0"/>
    <x v="0"/>
    <x v="0"/>
    <x v="1"/>
    <x v="1"/>
    <x v="1"/>
    <x v="17"/>
    <x v="17"/>
    <n v="2.7988"/>
    <x v="0"/>
    <x v="0"/>
    <x v="0"/>
    <x v="0"/>
    <x v="4"/>
    <x v="17"/>
    <n v="3.0506920000000002"/>
  </r>
  <r>
    <x v="1"/>
    <x v="0"/>
    <x v="1"/>
    <x v="1"/>
    <x v="0"/>
    <x v="0"/>
    <x v="0"/>
    <x v="0"/>
    <x v="0"/>
    <x v="0"/>
    <x v="0"/>
    <x v="0"/>
    <x v="1"/>
    <x v="1"/>
    <x v="1"/>
    <x v="18"/>
    <x v="18"/>
    <n v="14.497999999999999"/>
    <x v="0"/>
    <x v="0"/>
    <x v="0"/>
    <x v="0"/>
    <x v="4"/>
    <x v="18"/>
    <n v="15.802820000000001"/>
  </r>
  <r>
    <x v="1"/>
    <x v="0"/>
    <x v="1"/>
    <x v="1"/>
    <x v="0"/>
    <x v="0"/>
    <x v="0"/>
    <x v="0"/>
    <x v="0"/>
    <x v="0"/>
    <x v="0"/>
    <x v="0"/>
    <x v="1"/>
    <x v="1"/>
    <x v="1"/>
    <x v="27"/>
    <x v="27"/>
    <n v="47.978704955972098"/>
    <x v="0"/>
    <x v="0"/>
    <x v="1"/>
    <x v="3"/>
    <x v="3"/>
    <x v="19"/>
    <n v="52.296788402009589"/>
  </r>
  <r>
    <x v="1"/>
    <x v="0"/>
    <x v="1"/>
    <x v="1"/>
    <x v="0"/>
    <x v="0"/>
    <x v="0"/>
    <x v="0"/>
    <x v="0"/>
    <x v="0"/>
    <x v="0"/>
    <x v="0"/>
    <x v="1"/>
    <x v="1"/>
    <x v="1"/>
    <x v="26"/>
    <x v="26"/>
    <n v="1.60086238532014"/>
    <x v="0"/>
    <x v="0"/>
    <x v="1"/>
    <x v="3"/>
    <x v="3"/>
    <x v="15"/>
    <n v="1.7449399999989528"/>
  </r>
  <r>
    <x v="1"/>
    <x v="0"/>
    <x v="1"/>
    <x v="1"/>
    <x v="0"/>
    <x v="0"/>
    <x v="0"/>
    <x v="0"/>
    <x v="0"/>
    <x v="0"/>
    <x v="0"/>
    <x v="0"/>
    <x v="1"/>
    <x v="1"/>
    <x v="1"/>
    <x v="0"/>
    <x v="0"/>
    <n v="7.2398656583427199"/>
    <x v="0"/>
    <x v="0"/>
    <x v="0"/>
    <x v="0"/>
    <x v="0"/>
    <x v="0"/>
    <n v="7.8914535675935653"/>
  </r>
  <r>
    <x v="1"/>
    <x v="0"/>
    <x v="1"/>
    <x v="1"/>
    <x v="0"/>
    <x v="0"/>
    <x v="0"/>
    <x v="0"/>
    <x v="0"/>
    <x v="0"/>
    <x v="0"/>
    <x v="0"/>
    <x v="1"/>
    <x v="1"/>
    <x v="1"/>
    <x v="2"/>
    <x v="2"/>
    <n v="1479.8047614669999"/>
    <x v="0"/>
    <x v="1"/>
    <x v="2"/>
    <x v="2"/>
    <x v="13"/>
    <x v="2"/>
    <n v="1612.9871899990301"/>
  </r>
  <r>
    <x v="1"/>
    <x v="0"/>
    <x v="1"/>
    <x v="1"/>
    <x v="0"/>
    <x v="0"/>
    <x v="0"/>
    <x v="0"/>
    <x v="0"/>
    <x v="0"/>
    <x v="0"/>
    <x v="0"/>
    <x v="1"/>
    <x v="1"/>
    <x v="1"/>
    <x v="3"/>
    <x v="3"/>
    <n v="223.93354283967599"/>
    <x v="0"/>
    <x v="0"/>
    <x v="1"/>
    <x v="3"/>
    <x v="3"/>
    <x v="3"/>
    <n v="244.08756169524685"/>
  </r>
  <r>
    <x v="1"/>
    <x v="0"/>
    <x v="1"/>
    <x v="1"/>
    <x v="0"/>
    <x v="0"/>
    <x v="0"/>
    <x v="0"/>
    <x v="0"/>
    <x v="0"/>
    <x v="0"/>
    <x v="0"/>
    <x v="2"/>
    <x v="2"/>
    <x v="2"/>
    <x v="4"/>
    <x v="4"/>
    <n v="99.914449541224499"/>
    <x v="0"/>
    <x v="0"/>
    <x v="1"/>
    <x v="3"/>
    <x v="3"/>
    <x v="4"/>
    <n v="108.90674999993472"/>
  </r>
  <r>
    <x v="1"/>
    <x v="0"/>
    <x v="1"/>
    <x v="1"/>
    <x v="0"/>
    <x v="0"/>
    <x v="0"/>
    <x v="0"/>
    <x v="0"/>
    <x v="0"/>
    <x v="0"/>
    <x v="0"/>
    <x v="2"/>
    <x v="2"/>
    <x v="2"/>
    <x v="39"/>
    <x v="39"/>
    <n v="11.559633027516"/>
    <x v="0"/>
    <x v="0"/>
    <x v="1"/>
    <x v="4"/>
    <x v="5"/>
    <x v="9"/>
    <n v="12.599999999992441"/>
  </r>
  <r>
    <x v="1"/>
    <x v="0"/>
    <x v="1"/>
    <x v="1"/>
    <x v="0"/>
    <x v="0"/>
    <x v="0"/>
    <x v="0"/>
    <x v="0"/>
    <x v="0"/>
    <x v="0"/>
    <x v="0"/>
    <x v="2"/>
    <x v="2"/>
    <x v="2"/>
    <x v="5"/>
    <x v="5"/>
    <n v="404.15238037117001"/>
    <x v="0"/>
    <x v="0"/>
    <x v="1"/>
    <x v="1"/>
    <x v="1"/>
    <x v="5"/>
    <n v="440.52609460457535"/>
  </r>
  <r>
    <x v="1"/>
    <x v="0"/>
    <x v="1"/>
    <x v="1"/>
    <x v="0"/>
    <x v="0"/>
    <x v="0"/>
    <x v="0"/>
    <x v="0"/>
    <x v="0"/>
    <x v="0"/>
    <x v="0"/>
    <x v="2"/>
    <x v="2"/>
    <x v="2"/>
    <x v="6"/>
    <x v="6"/>
    <n v="300.31279999999998"/>
    <x v="0"/>
    <x v="0"/>
    <x v="0"/>
    <x v="0"/>
    <x v="4"/>
    <x v="6"/>
    <n v="327.34095200000002"/>
  </r>
  <r>
    <x v="1"/>
    <x v="0"/>
    <x v="1"/>
    <x v="1"/>
    <x v="0"/>
    <x v="0"/>
    <x v="0"/>
    <x v="0"/>
    <x v="0"/>
    <x v="0"/>
    <x v="0"/>
    <x v="0"/>
    <x v="2"/>
    <x v="2"/>
    <x v="2"/>
    <x v="7"/>
    <x v="7"/>
    <n v="3.4175229357777699"/>
    <x v="0"/>
    <x v="0"/>
    <x v="1"/>
    <x v="4"/>
    <x v="5"/>
    <x v="7"/>
    <n v="3.7250999999977696"/>
  </r>
  <r>
    <x v="1"/>
    <x v="0"/>
    <x v="1"/>
    <x v="1"/>
    <x v="0"/>
    <x v="0"/>
    <x v="0"/>
    <x v="0"/>
    <x v="0"/>
    <x v="0"/>
    <x v="0"/>
    <x v="0"/>
    <x v="2"/>
    <x v="2"/>
    <x v="2"/>
    <x v="8"/>
    <x v="8"/>
    <n v="536.65304054397495"/>
    <x v="0"/>
    <x v="1"/>
    <x v="2"/>
    <x v="2"/>
    <x v="6"/>
    <x v="8"/>
    <n v="584.95181419293272"/>
  </r>
  <r>
    <x v="1"/>
    <x v="0"/>
    <x v="1"/>
    <x v="1"/>
    <x v="0"/>
    <x v="0"/>
    <x v="0"/>
    <x v="0"/>
    <x v="0"/>
    <x v="0"/>
    <x v="0"/>
    <x v="0"/>
    <x v="2"/>
    <x v="2"/>
    <x v="2"/>
    <x v="9"/>
    <x v="9"/>
    <n v="22.351268636758402"/>
    <x v="0"/>
    <x v="0"/>
    <x v="1"/>
    <x v="4"/>
    <x v="5"/>
    <x v="9"/>
    <n v="24.362882814066658"/>
  </r>
  <r>
    <x v="1"/>
    <x v="0"/>
    <x v="1"/>
    <x v="1"/>
    <x v="0"/>
    <x v="0"/>
    <x v="0"/>
    <x v="0"/>
    <x v="0"/>
    <x v="0"/>
    <x v="0"/>
    <x v="0"/>
    <x v="2"/>
    <x v="2"/>
    <x v="2"/>
    <x v="10"/>
    <x v="10"/>
    <n v="133.86835779808499"/>
    <x v="0"/>
    <x v="0"/>
    <x v="1"/>
    <x v="4"/>
    <x v="5"/>
    <x v="10"/>
    <n v="145.91650999991265"/>
  </r>
  <r>
    <x v="1"/>
    <x v="0"/>
    <x v="1"/>
    <x v="1"/>
    <x v="0"/>
    <x v="0"/>
    <x v="0"/>
    <x v="0"/>
    <x v="0"/>
    <x v="0"/>
    <x v="0"/>
    <x v="0"/>
    <x v="2"/>
    <x v="2"/>
    <x v="2"/>
    <x v="28"/>
    <x v="28"/>
    <n v="5.3630300000000002"/>
    <x v="0"/>
    <x v="0"/>
    <x v="1"/>
    <x v="3"/>
    <x v="3"/>
    <x v="13"/>
    <n v="5.8457027000000004"/>
  </r>
  <r>
    <x v="1"/>
    <x v="0"/>
    <x v="1"/>
    <x v="1"/>
    <x v="0"/>
    <x v="0"/>
    <x v="0"/>
    <x v="0"/>
    <x v="0"/>
    <x v="0"/>
    <x v="0"/>
    <x v="0"/>
    <x v="2"/>
    <x v="2"/>
    <x v="2"/>
    <x v="30"/>
    <x v="30"/>
    <n v="147.500463709087"/>
    <x v="0"/>
    <x v="0"/>
    <x v="0"/>
    <x v="0"/>
    <x v="0"/>
    <x v="0"/>
    <n v="160.77550544290483"/>
  </r>
  <r>
    <x v="1"/>
    <x v="0"/>
    <x v="1"/>
    <x v="1"/>
    <x v="0"/>
    <x v="0"/>
    <x v="0"/>
    <x v="0"/>
    <x v="0"/>
    <x v="0"/>
    <x v="0"/>
    <x v="0"/>
    <x v="2"/>
    <x v="2"/>
    <x v="2"/>
    <x v="31"/>
    <x v="31"/>
    <n v="10.0276788990766"/>
    <x v="0"/>
    <x v="0"/>
    <x v="1"/>
    <x v="4"/>
    <x v="5"/>
    <x v="10"/>
    <n v="10.930169999993495"/>
  </r>
  <r>
    <x v="1"/>
    <x v="0"/>
    <x v="1"/>
    <x v="1"/>
    <x v="0"/>
    <x v="0"/>
    <x v="0"/>
    <x v="0"/>
    <x v="0"/>
    <x v="0"/>
    <x v="0"/>
    <x v="0"/>
    <x v="2"/>
    <x v="2"/>
    <x v="2"/>
    <x v="11"/>
    <x v="11"/>
    <n v="198.05656999999999"/>
    <x v="0"/>
    <x v="0"/>
    <x v="3"/>
    <x v="5"/>
    <x v="7"/>
    <x v="11"/>
    <n v="215.88166130000002"/>
  </r>
  <r>
    <x v="1"/>
    <x v="0"/>
    <x v="1"/>
    <x v="1"/>
    <x v="0"/>
    <x v="0"/>
    <x v="0"/>
    <x v="0"/>
    <x v="0"/>
    <x v="0"/>
    <x v="0"/>
    <x v="0"/>
    <x v="2"/>
    <x v="2"/>
    <x v="2"/>
    <x v="12"/>
    <x v="12"/>
    <n v="1616.0636860403699"/>
    <x v="0"/>
    <x v="0"/>
    <x v="0"/>
    <x v="0"/>
    <x v="8"/>
    <x v="12"/>
    <n v="1761.5094177840033"/>
  </r>
  <r>
    <x v="1"/>
    <x v="0"/>
    <x v="1"/>
    <x v="1"/>
    <x v="0"/>
    <x v="0"/>
    <x v="0"/>
    <x v="0"/>
    <x v="0"/>
    <x v="0"/>
    <x v="0"/>
    <x v="0"/>
    <x v="2"/>
    <x v="2"/>
    <x v="2"/>
    <x v="13"/>
    <x v="13"/>
    <n v="189.69713999999999"/>
    <x v="0"/>
    <x v="0"/>
    <x v="1"/>
    <x v="3"/>
    <x v="3"/>
    <x v="13"/>
    <n v="206.76988260000002"/>
  </r>
  <r>
    <x v="1"/>
    <x v="0"/>
    <x v="1"/>
    <x v="1"/>
    <x v="0"/>
    <x v="0"/>
    <x v="0"/>
    <x v="0"/>
    <x v="0"/>
    <x v="0"/>
    <x v="0"/>
    <x v="0"/>
    <x v="2"/>
    <x v="2"/>
    <x v="2"/>
    <x v="32"/>
    <x v="32"/>
    <n v="2.3640661937999998"/>
    <x v="0"/>
    <x v="0"/>
    <x v="1"/>
    <x v="1"/>
    <x v="1"/>
    <x v="20"/>
    <n v="2.5768321512419998"/>
  </r>
  <r>
    <x v="1"/>
    <x v="0"/>
    <x v="1"/>
    <x v="1"/>
    <x v="0"/>
    <x v="0"/>
    <x v="0"/>
    <x v="0"/>
    <x v="0"/>
    <x v="0"/>
    <x v="0"/>
    <x v="0"/>
    <x v="2"/>
    <x v="2"/>
    <x v="2"/>
    <x v="14"/>
    <x v="14"/>
    <n v="391.77393999999998"/>
    <x v="0"/>
    <x v="0"/>
    <x v="0"/>
    <x v="0"/>
    <x v="8"/>
    <x v="14"/>
    <n v="427.03359460000001"/>
  </r>
  <r>
    <x v="1"/>
    <x v="0"/>
    <x v="1"/>
    <x v="1"/>
    <x v="0"/>
    <x v="0"/>
    <x v="0"/>
    <x v="0"/>
    <x v="0"/>
    <x v="0"/>
    <x v="0"/>
    <x v="0"/>
    <x v="2"/>
    <x v="2"/>
    <x v="2"/>
    <x v="22"/>
    <x v="22"/>
    <n v="20.581076612820901"/>
    <x v="0"/>
    <x v="0"/>
    <x v="0"/>
    <x v="0"/>
    <x v="0"/>
    <x v="0"/>
    <n v="22.433373507974785"/>
  </r>
  <r>
    <x v="1"/>
    <x v="0"/>
    <x v="1"/>
    <x v="1"/>
    <x v="0"/>
    <x v="0"/>
    <x v="0"/>
    <x v="0"/>
    <x v="0"/>
    <x v="0"/>
    <x v="0"/>
    <x v="0"/>
    <x v="2"/>
    <x v="2"/>
    <x v="2"/>
    <x v="16"/>
    <x v="16"/>
    <n v="968.77620999999999"/>
    <x v="0"/>
    <x v="0"/>
    <x v="3"/>
    <x v="5"/>
    <x v="9"/>
    <x v="16"/>
    <n v="1055.9660689"/>
  </r>
  <r>
    <x v="1"/>
    <x v="0"/>
    <x v="1"/>
    <x v="1"/>
    <x v="0"/>
    <x v="0"/>
    <x v="0"/>
    <x v="0"/>
    <x v="0"/>
    <x v="0"/>
    <x v="0"/>
    <x v="0"/>
    <x v="2"/>
    <x v="2"/>
    <x v="2"/>
    <x v="33"/>
    <x v="33"/>
    <n v="0.29798165137596999"/>
    <x v="0"/>
    <x v="0"/>
    <x v="1"/>
    <x v="3"/>
    <x v="3"/>
    <x v="4"/>
    <n v="0.3247999999998073"/>
  </r>
  <r>
    <x v="1"/>
    <x v="0"/>
    <x v="1"/>
    <x v="1"/>
    <x v="0"/>
    <x v="0"/>
    <x v="0"/>
    <x v="0"/>
    <x v="0"/>
    <x v="0"/>
    <x v="0"/>
    <x v="0"/>
    <x v="2"/>
    <x v="2"/>
    <x v="2"/>
    <x v="17"/>
    <x v="17"/>
    <n v="21.369890000000002"/>
    <x v="0"/>
    <x v="0"/>
    <x v="0"/>
    <x v="0"/>
    <x v="4"/>
    <x v="17"/>
    <n v="23.293180100000004"/>
  </r>
  <r>
    <x v="1"/>
    <x v="0"/>
    <x v="1"/>
    <x v="1"/>
    <x v="0"/>
    <x v="0"/>
    <x v="0"/>
    <x v="0"/>
    <x v="0"/>
    <x v="0"/>
    <x v="0"/>
    <x v="0"/>
    <x v="2"/>
    <x v="2"/>
    <x v="2"/>
    <x v="21"/>
    <x v="21"/>
    <n v="114.767266054977"/>
    <x v="0"/>
    <x v="0"/>
    <x v="1"/>
    <x v="4"/>
    <x v="5"/>
    <x v="10"/>
    <n v="125.09631999992494"/>
  </r>
  <r>
    <x v="1"/>
    <x v="0"/>
    <x v="1"/>
    <x v="1"/>
    <x v="0"/>
    <x v="0"/>
    <x v="0"/>
    <x v="0"/>
    <x v="0"/>
    <x v="0"/>
    <x v="0"/>
    <x v="0"/>
    <x v="2"/>
    <x v="2"/>
    <x v="2"/>
    <x v="18"/>
    <x v="18"/>
    <n v="477.33409999999998"/>
    <x v="0"/>
    <x v="0"/>
    <x v="0"/>
    <x v="0"/>
    <x v="4"/>
    <x v="18"/>
    <n v="520.29416900000001"/>
  </r>
  <r>
    <x v="1"/>
    <x v="0"/>
    <x v="1"/>
    <x v="1"/>
    <x v="0"/>
    <x v="0"/>
    <x v="0"/>
    <x v="0"/>
    <x v="0"/>
    <x v="0"/>
    <x v="0"/>
    <x v="0"/>
    <x v="2"/>
    <x v="2"/>
    <x v="2"/>
    <x v="34"/>
    <x v="34"/>
    <n v="97.444850653365293"/>
    <x v="0"/>
    <x v="0"/>
    <x v="0"/>
    <x v="0"/>
    <x v="0"/>
    <x v="0"/>
    <n v="106.21488721216818"/>
  </r>
  <r>
    <x v="1"/>
    <x v="0"/>
    <x v="1"/>
    <x v="1"/>
    <x v="0"/>
    <x v="0"/>
    <x v="0"/>
    <x v="0"/>
    <x v="0"/>
    <x v="0"/>
    <x v="0"/>
    <x v="0"/>
    <x v="2"/>
    <x v="2"/>
    <x v="2"/>
    <x v="27"/>
    <x v="27"/>
    <n v="134.009153155994"/>
    <x v="0"/>
    <x v="0"/>
    <x v="1"/>
    <x v="3"/>
    <x v="3"/>
    <x v="19"/>
    <n v="146.06997694003346"/>
  </r>
  <r>
    <x v="1"/>
    <x v="0"/>
    <x v="1"/>
    <x v="1"/>
    <x v="0"/>
    <x v="0"/>
    <x v="0"/>
    <x v="0"/>
    <x v="0"/>
    <x v="0"/>
    <x v="0"/>
    <x v="0"/>
    <x v="2"/>
    <x v="2"/>
    <x v="2"/>
    <x v="26"/>
    <x v="26"/>
    <n v="128.145073394419"/>
    <x v="0"/>
    <x v="0"/>
    <x v="1"/>
    <x v="3"/>
    <x v="3"/>
    <x v="15"/>
    <n v="139.67812999991673"/>
  </r>
  <r>
    <x v="1"/>
    <x v="0"/>
    <x v="1"/>
    <x v="1"/>
    <x v="0"/>
    <x v="0"/>
    <x v="0"/>
    <x v="0"/>
    <x v="0"/>
    <x v="0"/>
    <x v="0"/>
    <x v="0"/>
    <x v="2"/>
    <x v="2"/>
    <x v="2"/>
    <x v="0"/>
    <x v="0"/>
    <n v="201.665090746766"/>
    <x v="0"/>
    <x v="0"/>
    <x v="0"/>
    <x v="0"/>
    <x v="0"/>
    <x v="0"/>
    <n v="219.81494891397494"/>
  </r>
  <r>
    <x v="1"/>
    <x v="0"/>
    <x v="1"/>
    <x v="1"/>
    <x v="0"/>
    <x v="0"/>
    <x v="0"/>
    <x v="0"/>
    <x v="0"/>
    <x v="0"/>
    <x v="0"/>
    <x v="0"/>
    <x v="2"/>
    <x v="2"/>
    <x v="2"/>
    <x v="1"/>
    <x v="1"/>
    <n v="465.50497930778499"/>
    <x v="0"/>
    <x v="0"/>
    <x v="1"/>
    <x v="1"/>
    <x v="1"/>
    <x v="1"/>
    <n v="507.40042744548566"/>
  </r>
  <r>
    <x v="1"/>
    <x v="0"/>
    <x v="1"/>
    <x v="1"/>
    <x v="0"/>
    <x v="0"/>
    <x v="0"/>
    <x v="0"/>
    <x v="0"/>
    <x v="0"/>
    <x v="0"/>
    <x v="0"/>
    <x v="2"/>
    <x v="2"/>
    <x v="2"/>
    <x v="20"/>
    <x v="20"/>
    <n v="12.760020000000001"/>
    <x v="0"/>
    <x v="0"/>
    <x v="1"/>
    <x v="3"/>
    <x v="3"/>
    <x v="13"/>
    <n v="13.908421800000001"/>
  </r>
  <r>
    <x v="1"/>
    <x v="0"/>
    <x v="1"/>
    <x v="1"/>
    <x v="0"/>
    <x v="0"/>
    <x v="0"/>
    <x v="0"/>
    <x v="0"/>
    <x v="0"/>
    <x v="0"/>
    <x v="0"/>
    <x v="2"/>
    <x v="2"/>
    <x v="2"/>
    <x v="2"/>
    <x v="2"/>
    <n v="4176.1849908231798"/>
    <x v="0"/>
    <x v="1"/>
    <x v="2"/>
    <x v="2"/>
    <x v="13"/>
    <x v="2"/>
    <n v="4552.0416399972664"/>
  </r>
  <r>
    <x v="1"/>
    <x v="0"/>
    <x v="1"/>
    <x v="1"/>
    <x v="0"/>
    <x v="0"/>
    <x v="0"/>
    <x v="0"/>
    <x v="0"/>
    <x v="0"/>
    <x v="0"/>
    <x v="0"/>
    <x v="2"/>
    <x v="2"/>
    <x v="2"/>
    <x v="3"/>
    <x v="3"/>
    <n v="82.492545369672499"/>
    <x v="0"/>
    <x v="0"/>
    <x v="1"/>
    <x v="3"/>
    <x v="3"/>
    <x v="3"/>
    <n v="89.916874452943034"/>
  </r>
  <r>
    <x v="1"/>
    <x v="0"/>
    <x v="1"/>
    <x v="1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1"/>
    <x v="0"/>
    <x v="1"/>
    <x v="1"/>
    <x v="0"/>
    <x v="0"/>
    <x v="0"/>
    <x v="0"/>
    <x v="0"/>
    <x v="0"/>
    <x v="0"/>
    <x v="0"/>
    <x v="1"/>
    <x v="6"/>
    <x v="6"/>
    <x v="5"/>
    <x v="5"/>
    <n v="108.226809816773"/>
    <x v="0"/>
    <x v="0"/>
    <x v="1"/>
    <x v="1"/>
    <x v="1"/>
    <x v="5"/>
    <n v="117.96722270028258"/>
  </r>
  <r>
    <x v="1"/>
    <x v="0"/>
    <x v="1"/>
    <x v="1"/>
    <x v="0"/>
    <x v="0"/>
    <x v="0"/>
    <x v="0"/>
    <x v="0"/>
    <x v="0"/>
    <x v="0"/>
    <x v="0"/>
    <x v="1"/>
    <x v="6"/>
    <x v="6"/>
    <x v="7"/>
    <x v="7"/>
    <n v="9.5743119265997603"/>
    <x v="0"/>
    <x v="0"/>
    <x v="1"/>
    <x v="4"/>
    <x v="5"/>
    <x v="7"/>
    <n v="10.43599999999374"/>
  </r>
  <r>
    <x v="1"/>
    <x v="0"/>
    <x v="1"/>
    <x v="1"/>
    <x v="0"/>
    <x v="0"/>
    <x v="0"/>
    <x v="0"/>
    <x v="0"/>
    <x v="0"/>
    <x v="0"/>
    <x v="0"/>
    <x v="1"/>
    <x v="6"/>
    <x v="6"/>
    <x v="8"/>
    <x v="8"/>
    <n v="299.005304055968"/>
    <x v="0"/>
    <x v="1"/>
    <x v="2"/>
    <x v="2"/>
    <x v="6"/>
    <x v="8"/>
    <n v="325.91578142100514"/>
  </r>
  <r>
    <x v="1"/>
    <x v="0"/>
    <x v="1"/>
    <x v="1"/>
    <x v="0"/>
    <x v="0"/>
    <x v="0"/>
    <x v="0"/>
    <x v="0"/>
    <x v="0"/>
    <x v="0"/>
    <x v="0"/>
    <x v="1"/>
    <x v="6"/>
    <x v="6"/>
    <x v="9"/>
    <x v="9"/>
    <n v="2.8246972477047301"/>
    <x v="0"/>
    <x v="0"/>
    <x v="1"/>
    <x v="4"/>
    <x v="5"/>
    <x v="9"/>
    <n v="3.0789199999981558"/>
  </r>
  <r>
    <x v="1"/>
    <x v="0"/>
    <x v="1"/>
    <x v="1"/>
    <x v="0"/>
    <x v="0"/>
    <x v="0"/>
    <x v="0"/>
    <x v="0"/>
    <x v="0"/>
    <x v="0"/>
    <x v="0"/>
    <x v="1"/>
    <x v="6"/>
    <x v="6"/>
    <x v="10"/>
    <x v="10"/>
    <n v="80.359266054997704"/>
    <x v="0"/>
    <x v="0"/>
    <x v="1"/>
    <x v="4"/>
    <x v="5"/>
    <x v="10"/>
    <n v="87.591599999947505"/>
  </r>
  <r>
    <x v="1"/>
    <x v="0"/>
    <x v="1"/>
    <x v="1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1"/>
    <x v="0"/>
    <x v="1"/>
    <x v="1"/>
    <x v="0"/>
    <x v="0"/>
    <x v="0"/>
    <x v="0"/>
    <x v="0"/>
    <x v="0"/>
    <x v="0"/>
    <x v="0"/>
    <x v="1"/>
    <x v="6"/>
    <x v="6"/>
    <x v="11"/>
    <x v="11"/>
    <n v="19.340800000000002"/>
    <x v="0"/>
    <x v="0"/>
    <x v="3"/>
    <x v="5"/>
    <x v="7"/>
    <x v="11"/>
    <n v="21.081472000000002"/>
  </r>
  <r>
    <x v="1"/>
    <x v="0"/>
    <x v="1"/>
    <x v="1"/>
    <x v="0"/>
    <x v="0"/>
    <x v="0"/>
    <x v="0"/>
    <x v="0"/>
    <x v="0"/>
    <x v="0"/>
    <x v="0"/>
    <x v="1"/>
    <x v="6"/>
    <x v="6"/>
    <x v="12"/>
    <x v="12"/>
    <n v="557.79709302113599"/>
    <x v="0"/>
    <x v="0"/>
    <x v="0"/>
    <x v="0"/>
    <x v="8"/>
    <x v="12"/>
    <n v="607.99883139303824"/>
  </r>
  <r>
    <x v="1"/>
    <x v="0"/>
    <x v="1"/>
    <x v="1"/>
    <x v="0"/>
    <x v="0"/>
    <x v="0"/>
    <x v="0"/>
    <x v="0"/>
    <x v="0"/>
    <x v="0"/>
    <x v="0"/>
    <x v="1"/>
    <x v="6"/>
    <x v="6"/>
    <x v="13"/>
    <x v="13"/>
    <n v="45.193620000000003"/>
    <x v="0"/>
    <x v="0"/>
    <x v="1"/>
    <x v="3"/>
    <x v="3"/>
    <x v="13"/>
    <n v="49.261045800000005"/>
  </r>
  <r>
    <x v="1"/>
    <x v="0"/>
    <x v="1"/>
    <x v="1"/>
    <x v="0"/>
    <x v="0"/>
    <x v="0"/>
    <x v="0"/>
    <x v="0"/>
    <x v="0"/>
    <x v="0"/>
    <x v="0"/>
    <x v="1"/>
    <x v="6"/>
    <x v="6"/>
    <x v="14"/>
    <x v="14"/>
    <n v="31.046500000000002"/>
    <x v="0"/>
    <x v="0"/>
    <x v="0"/>
    <x v="0"/>
    <x v="8"/>
    <x v="14"/>
    <n v="33.840685000000008"/>
  </r>
  <r>
    <x v="1"/>
    <x v="0"/>
    <x v="1"/>
    <x v="1"/>
    <x v="0"/>
    <x v="0"/>
    <x v="0"/>
    <x v="0"/>
    <x v="0"/>
    <x v="0"/>
    <x v="0"/>
    <x v="0"/>
    <x v="1"/>
    <x v="6"/>
    <x v="6"/>
    <x v="16"/>
    <x v="16"/>
    <n v="28.32"/>
    <x v="0"/>
    <x v="0"/>
    <x v="3"/>
    <x v="5"/>
    <x v="9"/>
    <x v="16"/>
    <n v="30.868800000000004"/>
  </r>
  <r>
    <x v="1"/>
    <x v="0"/>
    <x v="1"/>
    <x v="1"/>
    <x v="0"/>
    <x v="0"/>
    <x v="0"/>
    <x v="0"/>
    <x v="0"/>
    <x v="0"/>
    <x v="0"/>
    <x v="0"/>
    <x v="1"/>
    <x v="6"/>
    <x v="6"/>
    <x v="21"/>
    <x v="21"/>
    <n v="43.348541284377703"/>
    <x v="0"/>
    <x v="0"/>
    <x v="1"/>
    <x v="4"/>
    <x v="5"/>
    <x v="10"/>
    <n v="47.249909999971699"/>
  </r>
  <r>
    <x v="1"/>
    <x v="0"/>
    <x v="1"/>
    <x v="1"/>
    <x v="0"/>
    <x v="0"/>
    <x v="0"/>
    <x v="0"/>
    <x v="0"/>
    <x v="0"/>
    <x v="0"/>
    <x v="0"/>
    <x v="1"/>
    <x v="6"/>
    <x v="6"/>
    <x v="18"/>
    <x v="18"/>
    <n v="11.63236"/>
    <x v="0"/>
    <x v="0"/>
    <x v="0"/>
    <x v="0"/>
    <x v="4"/>
    <x v="18"/>
    <n v="12.6792724"/>
  </r>
  <r>
    <x v="1"/>
    <x v="0"/>
    <x v="1"/>
    <x v="1"/>
    <x v="0"/>
    <x v="0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1"/>
    <x v="0"/>
    <x v="1"/>
    <x v="1"/>
    <x v="0"/>
    <x v="0"/>
    <x v="0"/>
    <x v="0"/>
    <x v="0"/>
    <x v="0"/>
    <x v="0"/>
    <x v="0"/>
    <x v="1"/>
    <x v="6"/>
    <x v="6"/>
    <x v="0"/>
    <x v="0"/>
    <n v="187.98941103150199"/>
    <x v="0"/>
    <x v="0"/>
    <x v="0"/>
    <x v="0"/>
    <x v="0"/>
    <x v="0"/>
    <n v="204.90845802433719"/>
  </r>
  <r>
    <x v="1"/>
    <x v="0"/>
    <x v="1"/>
    <x v="1"/>
    <x v="0"/>
    <x v="0"/>
    <x v="0"/>
    <x v="0"/>
    <x v="0"/>
    <x v="0"/>
    <x v="0"/>
    <x v="0"/>
    <x v="1"/>
    <x v="6"/>
    <x v="6"/>
    <x v="2"/>
    <x v="2"/>
    <n v="382.48541284380701"/>
    <x v="0"/>
    <x v="1"/>
    <x v="2"/>
    <x v="2"/>
    <x v="13"/>
    <x v="2"/>
    <n v="416.90909999974969"/>
  </r>
  <r>
    <x v="1"/>
    <x v="0"/>
    <x v="1"/>
    <x v="1"/>
    <x v="0"/>
    <x v="0"/>
    <x v="0"/>
    <x v="0"/>
    <x v="0"/>
    <x v="0"/>
    <x v="0"/>
    <x v="0"/>
    <x v="1"/>
    <x v="6"/>
    <x v="6"/>
    <x v="3"/>
    <x v="3"/>
    <n v="47.5968704396372"/>
    <x v="0"/>
    <x v="0"/>
    <x v="1"/>
    <x v="3"/>
    <x v="3"/>
    <x v="3"/>
    <n v="51.880588779204551"/>
  </r>
  <r>
    <x v="1"/>
    <x v="0"/>
    <x v="1"/>
    <x v="1"/>
    <x v="0"/>
    <x v="0"/>
    <x v="0"/>
    <x v="0"/>
    <x v="0"/>
    <x v="0"/>
    <x v="0"/>
    <x v="0"/>
    <x v="3"/>
    <x v="7"/>
    <x v="7"/>
    <x v="6"/>
    <x v="6"/>
    <n v="60.403570000000002"/>
    <x v="0"/>
    <x v="0"/>
    <x v="0"/>
    <x v="0"/>
    <x v="4"/>
    <x v="6"/>
    <n v="65.839891300000005"/>
  </r>
  <r>
    <x v="1"/>
    <x v="0"/>
    <x v="1"/>
    <x v="1"/>
    <x v="0"/>
    <x v="0"/>
    <x v="0"/>
    <x v="0"/>
    <x v="0"/>
    <x v="0"/>
    <x v="0"/>
    <x v="0"/>
    <x v="3"/>
    <x v="7"/>
    <x v="7"/>
    <x v="9"/>
    <x v="9"/>
    <n v="144.854089582379"/>
    <x v="0"/>
    <x v="0"/>
    <x v="1"/>
    <x v="4"/>
    <x v="5"/>
    <x v="9"/>
    <n v="157.89095764479313"/>
  </r>
  <r>
    <x v="1"/>
    <x v="0"/>
    <x v="1"/>
    <x v="1"/>
    <x v="0"/>
    <x v="0"/>
    <x v="0"/>
    <x v="0"/>
    <x v="0"/>
    <x v="0"/>
    <x v="0"/>
    <x v="0"/>
    <x v="3"/>
    <x v="7"/>
    <x v="7"/>
    <x v="10"/>
    <x v="10"/>
    <n v="37.373629841498897"/>
    <x v="0"/>
    <x v="0"/>
    <x v="1"/>
    <x v="4"/>
    <x v="5"/>
    <x v="10"/>
    <n v="40.737256527233804"/>
  </r>
  <r>
    <x v="1"/>
    <x v="0"/>
    <x v="1"/>
    <x v="1"/>
    <x v="0"/>
    <x v="0"/>
    <x v="0"/>
    <x v="0"/>
    <x v="0"/>
    <x v="0"/>
    <x v="0"/>
    <x v="0"/>
    <x v="3"/>
    <x v="7"/>
    <x v="7"/>
    <x v="36"/>
    <x v="36"/>
    <n v="40.534403669700502"/>
    <x v="0"/>
    <x v="0"/>
    <x v="1"/>
    <x v="3"/>
    <x v="3"/>
    <x v="4"/>
    <n v="44.182499999973551"/>
  </r>
  <r>
    <x v="1"/>
    <x v="0"/>
    <x v="1"/>
    <x v="1"/>
    <x v="0"/>
    <x v="0"/>
    <x v="0"/>
    <x v="0"/>
    <x v="0"/>
    <x v="0"/>
    <x v="0"/>
    <x v="0"/>
    <x v="3"/>
    <x v="7"/>
    <x v="7"/>
    <x v="24"/>
    <x v="24"/>
    <n v="74.235247706377507"/>
    <x v="0"/>
    <x v="0"/>
    <x v="1"/>
    <x v="3"/>
    <x v="3"/>
    <x v="4"/>
    <n v="80.916419999951486"/>
  </r>
  <r>
    <x v="1"/>
    <x v="0"/>
    <x v="1"/>
    <x v="1"/>
    <x v="0"/>
    <x v="0"/>
    <x v="0"/>
    <x v="0"/>
    <x v="0"/>
    <x v="0"/>
    <x v="0"/>
    <x v="0"/>
    <x v="3"/>
    <x v="7"/>
    <x v="7"/>
    <x v="17"/>
    <x v="17"/>
    <n v="319.67919000000001"/>
    <x v="0"/>
    <x v="0"/>
    <x v="0"/>
    <x v="0"/>
    <x v="4"/>
    <x v="17"/>
    <n v="348.45031710000001"/>
  </r>
  <r>
    <x v="1"/>
    <x v="0"/>
    <x v="1"/>
    <x v="1"/>
    <x v="0"/>
    <x v="0"/>
    <x v="0"/>
    <x v="0"/>
    <x v="0"/>
    <x v="0"/>
    <x v="0"/>
    <x v="0"/>
    <x v="3"/>
    <x v="7"/>
    <x v="7"/>
    <x v="18"/>
    <x v="18"/>
    <n v="35.513800000000003"/>
    <x v="0"/>
    <x v="0"/>
    <x v="0"/>
    <x v="0"/>
    <x v="4"/>
    <x v="18"/>
    <n v="38.710042000000008"/>
  </r>
  <r>
    <x v="1"/>
    <x v="0"/>
    <x v="1"/>
    <x v="1"/>
    <x v="0"/>
    <x v="0"/>
    <x v="0"/>
    <x v="0"/>
    <x v="0"/>
    <x v="0"/>
    <x v="0"/>
    <x v="0"/>
    <x v="3"/>
    <x v="7"/>
    <x v="7"/>
    <x v="34"/>
    <x v="34"/>
    <n v="23.4471004362826"/>
    <x v="0"/>
    <x v="0"/>
    <x v="0"/>
    <x v="0"/>
    <x v="0"/>
    <x v="0"/>
    <n v="25.557339475548037"/>
  </r>
  <r>
    <x v="1"/>
    <x v="0"/>
    <x v="1"/>
    <x v="1"/>
    <x v="0"/>
    <x v="0"/>
    <x v="0"/>
    <x v="0"/>
    <x v="0"/>
    <x v="0"/>
    <x v="0"/>
    <x v="0"/>
    <x v="3"/>
    <x v="7"/>
    <x v="7"/>
    <x v="26"/>
    <x v="26"/>
    <n v="36.707155963280698"/>
    <x v="0"/>
    <x v="0"/>
    <x v="1"/>
    <x v="3"/>
    <x v="3"/>
    <x v="15"/>
    <n v="40.010799999975966"/>
  </r>
  <r>
    <x v="1"/>
    <x v="0"/>
    <x v="1"/>
    <x v="1"/>
    <x v="0"/>
    <x v="0"/>
    <x v="0"/>
    <x v="0"/>
    <x v="0"/>
    <x v="0"/>
    <x v="0"/>
    <x v="0"/>
    <x v="1"/>
    <x v="8"/>
    <x v="8"/>
    <x v="6"/>
    <x v="6"/>
    <n v="56.822809999999997"/>
    <x v="0"/>
    <x v="0"/>
    <x v="0"/>
    <x v="0"/>
    <x v="4"/>
    <x v="6"/>
    <n v="61.936862900000001"/>
  </r>
  <r>
    <x v="1"/>
    <x v="0"/>
    <x v="1"/>
    <x v="1"/>
    <x v="0"/>
    <x v="0"/>
    <x v="0"/>
    <x v="0"/>
    <x v="0"/>
    <x v="0"/>
    <x v="0"/>
    <x v="0"/>
    <x v="1"/>
    <x v="8"/>
    <x v="8"/>
    <x v="8"/>
    <x v="8"/>
    <n v="165.65696621727599"/>
    <x v="0"/>
    <x v="1"/>
    <x v="2"/>
    <x v="2"/>
    <x v="6"/>
    <x v="8"/>
    <n v="180.56609317683083"/>
  </r>
  <r>
    <x v="1"/>
    <x v="0"/>
    <x v="1"/>
    <x v="1"/>
    <x v="0"/>
    <x v="0"/>
    <x v="0"/>
    <x v="0"/>
    <x v="0"/>
    <x v="0"/>
    <x v="0"/>
    <x v="0"/>
    <x v="1"/>
    <x v="8"/>
    <x v="8"/>
    <x v="9"/>
    <x v="9"/>
    <n v="104.139173699468"/>
    <x v="0"/>
    <x v="0"/>
    <x v="1"/>
    <x v="4"/>
    <x v="5"/>
    <x v="9"/>
    <n v="113.51169933242014"/>
  </r>
  <r>
    <x v="1"/>
    <x v="0"/>
    <x v="1"/>
    <x v="1"/>
    <x v="0"/>
    <x v="0"/>
    <x v="0"/>
    <x v="0"/>
    <x v="0"/>
    <x v="0"/>
    <x v="0"/>
    <x v="0"/>
    <x v="1"/>
    <x v="8"/>
    <x v="8"/>
    <x v="10"/>
    <x v="10"/>
    <n v="48.3199937432166"/>
    <x v="0"/>
    <x v="0"/>
    <x v="1"/>
    <x v="4"/>
    <x v="5"/>
    <x v="10"/>
    <n v="52.6687931801061"/>
  </r>
  <r>
    <x v="1"/>
    <x v="0"/>
    <x v="1"/>
    <x v="1"/>
    <x v="0"/>
    <x v="0"/>
    <x v="0"/>
    <x v="0"/>
    <x v="0"/>
    <x v="0"/>
    <x v="0"/>
    <x v="0"/>
    <x v="1"/>
    <x v="8"/>
    <x v="8"/>
    <x v="36"/>
    <x v="36"/>
    <n v="1.82798165137505"/>
    <x v="0"/>
    <x v="0"/>
    <x v="1"/>
    <x v="3"/>
    <x v="3"/>
    <x v="4"/>
    <n v="1.9924999999988047"/>
  </r>
  <r>
    <x v="1"/>
    <x v="0"/>
    <x v="1"/>
    <x v="1"/>
    <x v="0"/>
    <x v="0"/>
    <x v="0"/>
    <x v="0"/>
    <x v="0"/>
    <x v="0"/>
    <x v="0"/>
    <x v="0"/>
    <x v="1"/>
    <x v="8"/>
    <x v="8"/>
    <x v="24"/>
    <x v="24"/>
    <n v="90.974495412789494"/>
    <x v="0"/>
    <x v="0"/>
    <x v="1"/>
    <x v="3"/>
    <x v="3"/>
    <x v="4"/>
    <n v="99.162199999940555"/>
  </r>
  <r>
    <x v="1"/>
    <x v="0"/>
    <x v="1"/>
    <x v="1"/>
    <x v="0"/>
    <x v="0"/>
    <x v="0"/>
    <x v="0"/>
    <x v="0"/>
    <x v="0"/>
    <x v="0"/>
    <x v="0"/>
    <x v="1"/>
    <x v="8"/>
    <x v="8"/>
    <x v="17"/>
    <x v="17"/>
    <n v="28.98584"/>
    <x v="0"/>
    <x v="0"/>
    <x v="0"/>
    <x v="0"/>
    <x v="4"/>
    <x v="17"/>
    <n v="31.594565600000003"/>
  </r>
  <r>
    <x v="1"/>
    <x v="0"/>
    <x v="1"/>
    <x v="1"/>
    <x v="0"/>
    <x v="0"/>
    <x v="0"/>
    <x v="0"/>
    <x v="0"/>
    <x v="0"/>
    <x v="0"/>
    <x v="0"/>
    <x v="1"/>
    <x v="8"/>
    <x v="8"/>
    <x v="21"/>
    <x v="21"/>
    <n v="6.8870642201793499"/>
    <x v="0"/>
    <x v="0"/>
    <x v="1"/>
    <x v="4"/>
    <x v="5"/>
    <x v="10"/>
    <n v="7.5068999999954924"/>
  </r>
  <r>
    <x v="1"/>
    <x v="0"/>
    <x v="1"/>
    <x v="1"/>
    <x v="0"/>
    <x v="0"/>
    <x v="0"/>
    <x v="0"/>
    <x v="0"/>
    <x v="0"/>
    <x v="0"/>
    <x v="0"/>
    <x v="1"/>
    <x v="8"/>
    <x v="8"/>
    <x v="18"/>
    <x v="18"/>
    <n v="28.42765"/>
    <x v="0"/>
    <x v="0"/>
    <x v="0"/>
    <x v="0"/>
    <x v="4"/>
    <x v="18"/>
    <n v="30.986138500000003"/>
  </r>
  <r>
    <x v="1"/>
    <x v="0"/>
    <x v="1"/>
    <x v="1"/>
    <x v="0"/>
    <x v="0"/>
    <x v="0"/>
    <x v="0"/>
    <x v="0"/>
    <x v="0"/>
    <x v="0"/>
    <x v="0"/>
    <x v="1"/>
    <x v="8"/>
    <x v="8"/>
    <x v="34"/>
    <x v="34"/>
    <n v="3.2914847161012499"/>
    <x v="0"/>
    <x v="0"/>
    <x v="0"/>
    <x v="0"/>
    <x v="0"/>
    <x v="0"/>
    <n v="3.5877183405503628"/>
  </r>
  <r>
    <x v="1"/>
    <x v="0"/>
    <x v="1"/>
    <x v="1"/>
    <x v="0"/>
    <x v="0"/>
    <x v="0"/>
    <x v="0"/>
    <x v="0"/>
    <x v="0"/>
    <x v="0"/>
    <x v="0"/>
    <x v="1"/>
    <x v="8"/>
    <x v="8"/>
    <x v="37"/>
    <x v="37"/>
    <n v="51.310550458684801"/>
    <x v="0"/>
    <x v="0"/>
    <x v="1"/>
    <x v="3"/>
    <x v="3"/>
    <x v="4"/>
    <n v="55.928499999966441"/>
  </r>
  <r>
    <x v="1"/>
    <x v="0"/>
    <x v="1"/>
    <x v="1"/>
    <x v="0"/>
    <x v="0"/>
    <x v="0"/>
    <x v="0"/>
    <x v="0"/>
    <x v="0"/>
    <x v="0"/>
    <x v="0"/>
    <x v="1"/>
    <x v="8"/>
    <x v="8"/>
    <x v="0"/>
    <x v="0"/>
    <n v="12.5109946618867"/>
    <x v="0"/>
    <x v="0"/>
    <x v="0"/>
    <x v="0"/>
    <x v="0"/>
    <x v="0"/>
    <n v="13.636984181456505"/>
  </r>
  <r>
    <x v="1"/>
    <x v="0"/>
    <x v="1"/>
    <x v="1"/>
    <x v="0"/>
    <x v="0"/>
    <x v="0"/>
    <x v="0"/>
    <x v="0"/>
    <x v="0"/>
    <x v="0"/>
    <x v="0"/>
    <x v="0"/>
    <x v="9"/>
    <x v="9"/>
    <x v="6"/>
    <x v="6"/>
    <n v="149.29432"/>
    <x v="0"/>
    <x v="0"/>
    <x v="0"/>
    <x v="0"/>
    <x v="4"/>
    <x v="6"/>
    <n v="162.73080880000001"/>
  </r>
  <r>
    <x v="1"/>
    <x v="0"/>
    <x v="1"/>
    <x v="1"/>
    <x v="0"/>
    <x v="0"/>
    <x v="0"/>
    <x v="0"/>
    <x v="0"/>
    <x v="0"/>
    <x v="0"/>
    <x v="0"/>
    <x v="0"/>
    <x v="9"/>
    <x v="9"/>
    <x v="7"/>
    <x v="7"/>
    <n v="120.38238532102901"/>
    <x v="0"/>
    <x v="0"/>
    <x v="1"/>
    <x v="4"/>
    <x v="5"/>
    <x v="7"/>
    <n v="131.21679999992162"/>
  </r>
  <r>
    <x v="1"/>
    <x v="0"/>
    <x v="1"/>
    <x v="1"/>
    <x v="0"/>
    <x v="0"/>
    <x v="0"/>
    <x v="0"/>
    <x v="0"/>
    <x v="0"/>
    <x v="0"/>
    <x v="0"/>
    <x v="0"/>
    <x v="9"/>
    <x v="9"/>
    <x v="9"/>
    <x v="9"/>
    <n v="380.30580644123802"/>
    <x v="0"/>
    <x v="0"/>
    <x v="1"/>
    <x v="4"/>
    <x v="5"/>
    <x v="9"/>
    <n v="414.53332902094945"/>
  </r>
  <r>
    <x v="1"/>
    <x v="0"/>
    <x v="1"/>
    <x v="1"/>
    <x v="0"/>
    <x v="0"/>
    <x v="0"/>
    <x v="0"/>
    <x v="0"/>
    <x v="0"/>
    <x v="0"/>
    <x v="0"/>
    <x v="0"/>
    <x v="9"/>
    <x v="9"/>
    <x v="10"/>
    <x v="10"/>
    <n v="59.377097230535703"/>
    <x v="0"/>
    <x v="0"/>
    <x v="1"/>
    <x v="4"/>
    <x v="5"/>
    <x v="10"/>
    <n v="64.721035981283919"/>
  </r>
  <r>
    <x v="1"/>
    <x v="0"/>
    <x v="1"/>
    <x v="1"/>
    <x v="0"/>
    <x v="1"/>
    <x v="0"/>
    <x v="0"/>
    <x v="0"/>
    <x v="0"/>
    <x v="0"/>
    <x v="0"/>
    <x v="0"/>
    <x v="4"/>
    <x v="4"/>
    <x v="15"/>
    <x v="15"/>
    <n v="15.160486238522999"/>
    <x v="0"/>
    <x v="0"/>
    <x v="1"/>
    <x v="3"/>
    <x v="3"/>
    <x v="15"/>
    <n v="16.524929999990071"/>
  </r>
  <r>
    <x v="1"/>
    <x v="0"/>
    <x v="1"/>
    <x v="1"/>
    <x v="0"/>
    <x v="1"/>
    <x v="0"/>
    <x v="0"/>
    <x v="0"/>
    <x v="0"/>
    <x v="0"/>
    <x v="0"/>
    <x v="0"/>
    <x v="4"/>
    <x v="4"/>
    <x v="16"/>
    <x v="16"/>
    <n v="870.40551000000005"/>
    <x v="0"/>
    <x v="0"/>
    <x v="3"/>
    <x v="5"/>
    <x v="9"/>
    <x v="16"/>
    <n v="948.74200590000009"/>
  </r>
  <r>
    <x v="1"/>
    <x v="0"/>
    <x v="1"/>
    <x v="1"/>
    <x v="0"/>
    <x v="1"/>
    <x v="0"/>
    <x v="0"/>
    <x v="0"/>
    <x v="0"/>
    <x v="0"/>
    <x v="0"/>
    <x v="0"/>
    <x v="4"/>
    <x v="4"/>
    <x v="17"/>
    <x v="17"/>
    <n v="2.6151200000000001"/>
    <x v="0"/>
    <x v="0"/>
    <x v="0"/>
    <x v="0"/>
    <x v="4"/>
    <x v="17"/>
    <n v="2.8504808000000001"/>
  </r>
  <r>
    <x v="1"/>
    <x v="0"/>
    <x v="1"/>
    <x v="1"/>
    <x v="0"/>
    <x v="1"/>
    <x v="0"/>
    <x v="0"/>
    <x v="0"/>
    <x v="0"/>
    <x v="0"/>
    <x v="0"/>
    <x v="0"/>
    <x v="4"/>
    <x v="4"/>
    <x v="18"/>
    <x v="18"/>
    <n v="98.798289999999994"/>
    <x v="0"/>
    <x v="0"/>
    <x v="0"/>
    <x v="0"/>
    <x v="4"/>
    <x v="18"/>
    <n v="107.6901361"/>
  </r>
  <r>
    <x v="1"/>
    <x v="0"/>
    <x v="1"/>
    <x v="1"/>
    <x v="0"/>
    <x v="1"/>
    <x v="0"/>
    <x v="0"/>
    <x v="0"/>
    <x v="0"/>
    <x v="0"/>
    <x v="0"/>
    <x v="0"/>
    <x v="4"/>
    <x v="4"/>
    <x v="2"/>
    <x v="2"/>
    <n v="3539.3225229336599"/>
    <x v="0"/>
    <x v="1"/>
    <x v="2"/>
    <x v="2"/>
    <x v="13"/>
    <x v="2"/>
    <n v="3857.8615499976895"/>
  </r>
  <r>
    <x v="1"/>
    <x v="0"/>
    <x v="1"/>
    <x v="1"/>
    <x v="0"/>
    <x v="1"/>
    <x v="0"/>
    <x v="0"/>
    <x v="0"/>
    <x v="0"/>
    <x v="0"/>
    <x v="0"/>
    <x v="0"/>
    <x v="0"/>
    <x v="0"/>
    <x v="5"/>
    <x v="5"/>
    <n v="31.9724478530037"/>
    <x v="0"/>
    <x v="0"/>
    <x v="1"/>
    <x v="1"/>
    <x v="1"/>
    <x v="5"/>
    <n v="34.849968159774036"/>
  </r>
  <r>
    <x v="1"/>
    <x v="0"/>
    <x v="1"/>
    <x v="1"/>
    <x v="0"/>
    <x v="1"/>
    <x v="0"/>
    <x v="0"/>
    <x v="0"/>
    <x v="0"/>
    <x v="0"/>
    <x v="0"/>
    <x v="0"/>
    <x v="0"/>
    <x v="0"/>
    <x v="6"/>
    <x v="6"/>
    <n v="38.088340000000002"/>
    <x v="0"/>
    <x v="0"/>
    <x v="0"/>
    <x v="0"/>
    <x v="4"/>
    <x v="6"/>
    <n v="41.516290600000005"/>
  </r>
  <r>
    <x v="1"/>
    <x v="0"/>
    <x v="1"/>
    <x v="1"/>
    <x v="0"/>
    <x v="1"/>
    <x v="0"/>
    <x v="0"/>
    <x v="0"/>
    <x v="0"/>
    <x v="0"/>
    <x v="0"/>
    <x v="0"/>
    <x v="0"/>
    <x v="0"/>
    <x v="7"/>
    <x v="7"/>
    <n v="9.8207339449482394"/>
    <x v="0"/>
    <x v="0"/>
    <x v="1"/>
    <x v="4"/>
    <x v="5"/>
    <x v="7"/>
    <n v="10.704599999993581"/>
  </r>
  <r>
    <x v="1"/>
    <x v="0"/>
    <x v="1"/>
    <x v="1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1"/>
    <x v="0"/>
    <x v="1"/>
    <x v="1"/>
    <x v="0"/>
    <x v="1"/>
    <x v="0"/>
    <x v="0"/>
    <x v="0"/>
    <x v="0"/>
    <x v="0"/>
    <x v="0"/>
    <x v="0"/>
    <x v="0"/>
    <x v="0"/>
    <x v="9"/>
    <x v="9"/>
    <n v="63.009633554620301"/>
    <x v="0"/>
    <x v="0"/>
    <x v="1"/>
    <x v="4"/>
    <x v="5"/>
    <x v="9"/>
    <n v="68.68050057453614"/>
  </r>
  <r>
    <x v="1"/>
    <x v="0"/>
    <x v="1"/>
    <x v="1"/>
    <x v="0"/>
    <x v="1"/>
    <x v="0"/>
    <x v="0"/>
    <x v="0"/>
    <x v="0"/>
    <x v="0"/>
    <x v="0"/>
    <x v="0"/>
    <x v="0"/>
    <x v="0"/>
    <x v="10"/>
    <x v="10"/>
    <n v="94.702043746301598"/>
    <x v="0"/>
    <x v="0"/>
    <x v="1"/>
    <x v="4"/>
    <x v="5"/>
    <x v="10"/>
    <n v="103.22522768346874"/>
  </r>
  <r>
    <x v="1"/>
    <x v="0"/>
    <x v="1"/>
    <x v="1"/>
    <x v="0"/>
    <x v="1"/>
    <x v="0"/>
    <x v="0"/>
    <x v="0"/>
    <x v="0"/>
    <x v="0"/>
    <x v="0"/>
    <x v="0"/>
    <x v="0"/>
    <x v="0"/>
    <x v="11"/>
    <x v="11"/>
    <n v="2.10168"/>
    <x v="0"/>
    <x v="0"/>
    <x v="3"/>
    <x v="5"/>
    <x v="7"/>
    <x v="11"/>
    <n v="2.2908312"/>
  </r>
  <r>
    <x v="1"/>
    <x v="0"/>
    <x v="1"/>
    <x v="1"/>
    <x v="0"/>
    <x v="1"/>
    <x v="0"/>
    <x v="0"/>
    <x v="0"/>
    <x v="0"/>
    <x v="0"/>
    <x v="0"/>
    <x v="0"/>
    <x v="0"/>
    <x v="0"/>
    <x v="12"/>
    <x v="12"/>
    <n v="353.40565116144802"/>
    <x v="0"/>
    <x v="0"/>
    <x v="0"/>
    <x v="0"/>
    <x v="8"/>
    <x v="12"/>
    <n v="385.21215976597836"/>
  </r>
  <r>
    <x v="1"/>
    <x v="0"/>
    <x v="1"/>
    <x v="1"/>
    <x v="0"/>
    <x v="1"/>
    <x v="0"/>
    <x v="0"/>
    <x v="0"/>
    <x v="0"/>
    <x v="0"/>
    <x v="0"/>
    <x v="0"/>
    <x v="0"/>
    <x v="0"/>
    <x v="14"/>
    <x v="14"/>
    <n v="54.587389999999999"/>
    <x v="0"/>
    <x v="0"/>
    <x v="0"/>
    <x v="0"/>
    <x v="8"/>
    <x v="14"/>
    <n v="59.500255100000004"/>
  </r>
  <r>
    <x v="1"/>
    <x v="0"/>
    <x v="1"/>
    <x v="1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1"/>
    <x v="0"/>
    <x v="1"/>
    <x v="1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1"/>
    <x v="0"/>
    <x v="1"/>
    <x v="1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1"/>
    <x v="0"/>
    <x v="1"/>
    <x v="1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1"/>
    <x v="0"/>
    <x v="1"/>
    <x v="1"/>
    <x v="0"/>
    <x v="1"/>
    <x v="0"/>
    <x v="0"/>
    <x v="0"/>
    <x v="0"/>
    <x v="0"/>
    <x v="0"/>
    <x v="0"/>
    <x v="0"/>
    <x v="0"/>
    <x v="21"/>
    <x v="21"/>
    <n v="10.700834862378899"/>
    <x v="0"/>
    <x v="0"/>
    <x v="1"/>
    <x v="4"/>
    <x v="5"/>
    <x v="10"/>
    <n v="11.663909999993001"/>
  </r>
  <r>
    <x v="1"/>
    <x v="0"/>
    <x v="1"/>
    <x v="1"/>
    <x v="0"/>
    <x v="1"/>
    <x v="0"/>
    <x v="0"/>
    <x v="0"/>
    <x v="0"/>
    <x v="0"/>
    <x v="0"/>
    <x v="0"/>
    <x v="0"/>
    <x v="0"/>
    <x v="18"/>
    <x v="18"/>
    <n v="44.195050000000002"/>
    <x v="0"/>
    <x v="0"/>
    <x v="0"/>
    <x v="0"/>
    <x v="4"/>
    <x v="18"/>
    <n v="48.172604500000006"/>
  </r>
  <r>
    <x v="1"/>
    <x v="0"/>
    <x v="1"/>
    <x v="1"/>
    <x v="0"/>
    <x v="1"/>
    <x v="0"/>
    <x v="0"/>
    <x v="0"/>
    <x v="0"/>
    <x v="0"/>
    <x v="0"/>
    <x v="0"/>
    <x v="0"/>
    <x v="0"/>
    <x v="25"/>
    <x v="25"/>
    <n v="57.234128440332597"/>
    <x v="0"/>
    <x v="0"/>
    <x v="1"/>
    <x v="4"/>
    <x v="5"/>
    <x v="9"/>
    <n v="62.385199999962538"/>
  </r>
  <r>
    <x v="1"/>
    <x v="0"/>
    <x v="1"/>
    <x v="1"/>
    <x v="0"/>
    <x v="1"/>
    <x v="0"/>
    <x v="0"/>
    <x v="0"/>
    <x v="0"/>
    <x v="0"/>
    <x v="0"/>
    <x v="0"/>
    <x v="0"/>
    <x v="0"/>
    <x v="26"/>
    <x v="26"/>
    <n v="2.00714678898962"/>
    <x v="0"/>
    <x v="0"/>
    <x v="1"/>
    <x v="3"/>
    <x v="3"/>
    <x v="15"/>
    <n v="2.1877899999986861"/>
  </r>
  <r>
    <x v="1"/>
    <x v="0"/>
    <x v="1"/>
    <x v="1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1"/>
    <x v="0"/>
    <x v="1"/>
    <x v="1"/>
    <x v="0"/>
    <x v="1"/>
    <x v="0"/>
    <x v="0"/>
    <x v="0"/>
    <x v="0"/>
    <x v="0"/>
    <x v="0"/>
    <x v="0"/>
    <x v="0"/>
    <x v="0"/>
    <x v="2"/>
    <x v="2"/>
    <n v="4900.9672568777896"/>
    <x v="0"/>
    <x v="1"/>
    <x v="2"/>
    <x v="2"/>
    <x v="13"/>
    <x v="2"/>
    <n v="5342.0543099967908"/>
  </r>
  <r>
    <x v="1"/>
    <x v="0"/>
    <x v="1"/>
    <x v="1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1"/>
    <x v="0"/>
    <x v="1"/>
    <x v="1"/>
    <x v="0"/>
    <x v="1"/>
    <x v="0"/>
    <x v="0"/>
    <x v="0"/>
    <x v="0"/>
    <x v="0"/>
    <x v="0"/>
    <x v="1"/>
    <x v="1"/>
    <x v="1"/>
    <x v="5"/>
    <x v="5"/>
    <n v="71.571957055758702"/>
    <x v="0"/>
    <x v="0"/>
    <x v="1"/>
    <x v="1"/>
    <x v="1"/>
    <x v="5"/>
    <n v="78.013433190776993"/>
  </r>
  <r>
    <x v="1"/>
    <x v="0"/>
    <x v="1"/>
    <x v="1"/>
    <x v="0"/>
    <x v="1"/>
    <x v="0"/>
    <x v="0"/>
    <x v="0"/>
    <x v="0"/>
    <x v="0"/>
    <x v="0"/>
    <x v="1"/>
    <x v="1"/>
    <x v="1"/>
    <x v="6"/>
    <x v="6"/>
    <n v="167.22415000000001"/>
    <x v="0"/>
    <x v="0"/>
    <x v="0"/>
    <x v="0"/>
    <x v="4"/>
    <x v="6"/>
    <n v="182.27432350000004"/>
  </r>
  <r>
    <x v="1"/>
    <x v="0"/>
    <x v="1"/>
    <x v="1"/>
    <x v="0"/>
    <x v="1"/>
    <x v="0"/>
    <x v="0"/>
    <x v="0"/>
    <x v="0"/>
    <x v="0"/>
    <x v="0"/>
    <x v="1"/>
    <x v="1"/>
    <x v="1"/>
    <x v="7"/>
    <x v="7"/>
    <n v="9.8207339449482394"/>
    <x v="0"/>
    <x v="0"/>
    <x v="1"/>
    <x v="4"/>
    <x v="5"/>
    <x v="7"/>
    <n v="10.704599999993581"/>
  </r>
  <r>
    <x v="1"/>
    <x v="0"/>
    <x v="1"/>
    <x v="1"/>
    <x v="0"/>
    <x v="1"/>
    <x v="0"/>
    <x v="0"/>
    <x v="0"/>
    <x v="0"/>
    <x v="0"/>
    <x v="0"/>
    <x v="1"/>
    <x v="1"/>
    <x v="1"/>
    <x v="8"/>
    <x v="8"/>
    <n v="5389.8792027372001"/>
    <x v="0"/>
    <x v="1"/>
    <x v="2"/>
    <x v="2"/>
    <x v="6"/>
    <x v="8"/>
    <n v="5874.9683309835482"/>
  </r>
  <r>
    <x v="1"/>
    <x v="0"/>
    <x v="1"/>
    <x v="1"/>
    <x v="0"/>
    <x v="1"/>
    <x v="0"/>
    <x v="0"/>
    <x v="0"/>
    <x v="0"/>
    <x v="0"/>
    <x v="0"/>
    <x v="1"/>
    <x v="1"/>
    <x v="1"/>
    <x v="9"/>
    <x v="9"/>
    <n v="28.0010621100907"/>
    <x v="0"/>
    <x v="0"/>
    <x v="1"/>
    <x v="4"/>
    <x v="5"/>
    <x v="9"/>
    <n v="30.521157699998867"/>
  </r>
  <r>
    <x v="1"/>
    <x v="0"/>
    <x v="1"/>
    <x v="1"/>
    <x v="0"/>
    <x v="0"/>
    <x v="0"/>
    <x v="0"/>
    <x v="0"/>
    <x v="0"/>
    <x v="0"/>
    <x v="0"/>
    <x v="0"/>
    <x v="9"/>
    <x v="9"/>
    <x v="12"/>
    <x v="12"/>
    <n v="11.143372092980901"/>
    <x v="0"/>
    <x v="0"/>
    <x v="0"/>
    <x v="0"/>
    <x v="8"/>
    <x v="12"/>
    <n v="12.146275581349183"/>
  </r>
  <r>
    <x v="1"/>
    <x v="0"/>
    <x v="1"/>
    <x v="1"/>
    <x v="0"/>
    <x v="0"/>
    <x v="0"/>
    <x v="0"/>
    <x v="0"/>
    <x v="0"/>
    <x v="0"/>
    <x v="0"/>
    <x v="0"/>
    <x v="9"/>
    <x v="9"/>
    <x v="36"/>
    <x v="36"/>
    <n v="6.6911009174271801"/>
    <x v="0"/>
    <x v="0"/>
    <x v="1"/>
    <x v="3"/>
    <x v="3"/>
    <x v="4"/>
    <n v="7.2932999999956269"/>
  </r>
  <r>
    <x v="1"/>
    <x v="0"/>
    <x v="1"/>
    <x v="1"/>
    <x v="0"/>
    <x v="0"/>
    <x v="0"/>
    <x v="0"/>
    <x v="0"/>
    <x v="0"/>
    <x v="0"/>
    <x v="0"/>
    <x v="0"/>
    <x v="9"/>
    <x v="9"/>
    <x v="24"/>
    <x v="24"/>
    <n v="76.917146788944706"/>
    <x v="0"/>
    <x v="0"/>
    <x v="1"/>
    <x v="3"/>
    <x v="3"/>
    <x v="4"/>
    <n v="83.839689999949741"/>
  </r>
  <r>
    <x v="1"/>
    <x v="0"/>
    <x v="1"/>
    <x v="1"/>
    <x v="0"/>
    <x v="0"/>
    <x v="0"/>
    <x v="0"/>
    <x v="0"/>
    <x v="0"/>
    <x v="0"/>
    <x v="0"/>
    <x v="0"/>
    <x v="9"/>
    <x v="9"/>
    <x v="17"/>
    <x v="17"/>
    <n v="78.400009999999995"/>
    <x v="0"/>
    <x v="0"/>
    <x v="0"/>
    <x v="0"/>
    <x v="4"/>
    <x v="17"/>
    <n v="85.456010899999995"/>
  </r>
  <r>
    <x v="1"/>
    <x v="0"/>
    <x v="1"/>
    <x v="1"/>
    <x v="0"/>
    <x v="0"/>
    <x v="0"/>
    <x v="0"/>
    <x v="0"/>
    <x v="0"/>
    <x v="0"/>
    <x v="0"/>
    <x v="0"/>
    <x v="9"/>
    <x v="9"/>
    <x v="21"/>
    <x v="21"/>
    <n v="1097.6886605498"/>
    <x v="0"/>
    <x v="0"/>
    <x v="1"/>
    <x v="4"/>
    <x v="5"/>
    <x v="10"/>
    <n v="1196.4806399992822"/>
  </r>
  <r>
    <x v="1"/>
    <x v="0"/>
    <x v="1"/>
    <x v="1"/>
    <x v="0"/>
    <x v="0"/>
    <x v="0"/>
    <x v="0"/>
    <x v="0"/>
    <x v="0"/>
    <x v="0"/>
    <x v="0"/>
    <x v="0"/>
    <x v="9"/>
    <x v="9"/>
    <x v="18"/>
    <x v="18"/>
    <n v="145.21629999999999"/>
    <x v="0"/>
    <x v="0"/>
    <x v="0"/>
    <x v="0"/>
    <x v="4"/>
    <x v="18"/>
    <n v="158.28576699999999"/>
  </r>
  <r>
    <x v="1"/>
    <x v="0"/>
    <x v="1"/>
    <x v="1"/>
    <x v="0"/>
    <x v="0"/>
    <x v="0"/>
    <x v="0"/>
    <x v="0"/>
    <x v="0"/>
    <x v="0"/>
    <x v="0"/>
    <x v="0"/>
    <x v="9"/>
    <x v="9"/>
    <x v="34"/>
    <x v="34"/>
    <n v="13.3102969430052"/>
    <x v="0"/>
    <x v="0"/>
    <x v="0"/>
    <x v="0"/>
    <x v="0"/>
    <x v="0"/>
    <n v="14.508223667875669"/>
  </r>
  <r>
    <x v="1"/>
    <x v="0"/>
    <x v="1"/>
    <x v="1"/>
    <x v="0"/>
    <x v="0"/>
    <x v="0"/>
    <x v="0"/>
    <x v="0"/>
    <x v="0"/>
    <x v="0"/>
    <x v="0"/>
    <x v="0"/>
    <x v="9"/>
    <x v="9"/>
    <x v="37"/>
    <x v="37"/>
    <n v="23.726238532095898"/>
    <x v="0"/>
    <x v="0"/>
    <x v="1"/>
    <x v="3"/>
    <x v="3"/>
    <x v="4"/>
    <n v="25.861599999984531"/>
  </r>
  <r>
    <x v="1"/>
    <x v="0"/>
    <x v="1"/>
    <x v="1"/>
    <x v="0"/>
    <x v="0"/>
    <x v="0"/>
    <x v="0"/>
    <x v="0"/>
    <x v="0"/>
    <x v="0"/>
    <x v="0"/>
    <x v="0"/>
    <x v="9"/>
    <x v="9"/>
    <x v="26"/>
    <x v="26"/>
    <n v="14.124403669716299"/>
    <x v="0"/>
    <x v="0"/>
    <x v="1"/>
    <x v="3"/>
    <x v="3"/>
    <x v="15"/>
    <n v="15.395599999990768"/>
  </r>
  <r>
    <x v="1"/>
    <x v="0"/>
    <x v="1"/>
    <x v="1"/>
    <x v="0"/>
    <x v="0"/>
    <x v="0"/>
    <x v="0"/>
    <x v="0"/>
    <x v="0"/>
    <x v="0"/>
    <x v="0"/>
    <x v="0"/>
    <x v="9"/>
    <x v="9"/>
    <x v="0"/>
    <x v="0"/>
    <n v="1.5822953736610501"/>
    <x v="0"/>
    <x v="0"/>
    <x v="0"/>
    <x v="0"/>
    <x v="0"/>
    <x v="0"/>
    <n v="1.7247019572905447"/>
  </r>
  <r>
    <x v="1"/>
    <x v="0"/>
    <x v="1"/>
    <x v="1"/>
    <x v="0"/>
    <x v="0"/>
    <x v="0"/>
    <x v="0"/>
    <x v="0"/>
    <x v="0"/>
    <x v="0"/>
    <x v="0"/>
    <x v="0"/>
    <x v="9"/>
    <x v="9"/>
    <x v="2"/>
    <x v="2"/>
    <n v="22.765045871546"/>
    <x v="0"/>
    <x v="1"/>
    <x v="2"/>
    <x v="2"/>
    <x v="13"/>
    <x v="2"/>
    <n v="24.813899999985143"/>
  </r>
  <r>
    <x v="1"/>
    <x v="0"/>
    <x v="1"/>
    <x v="1"/>
    <x v="0"/>
    <x v="0"/>
    <x v="0"/>
    <x v="0"/>
    <x v="0"/>
    <x v="0"/>
    <x v="0"/>
    <x v="0"/>
    <x v="2"/>
    <x v="10"/>
    <x v="10"/>
    <x v="6"/>
    <x v="6"/>
    <n v="131.78256999999999"/>
    <x v="0"/>
    <x v="0"/>
    <x v="0"/>
    <x v="0"/>
    <x v="4"/>
    <x v="6"/>
    <n v="143.64300130000001"/>
  </r>
  <r>
    <x v="1"/>
    <x v="0"/>
    <x v="1"/>
    <x v="1"/>
    <x v="0"/>
    <x v="0"/>
    <x v="0"/>
    <x v="0"/>
    <x v="0"/>
    <x v="0"/>
    <x v="0"/>
    <x v="0"/>
    <x v="2"/>
    <x v="10"/>
    <x v="10"/>
    <x v="7"/>
    <x v="7"/>
    <n v="15.4423669724678"/>
    <x v="0"/>
    <x v="0"/>
    <x v="1"/>
    <x v="4"/>
    <x v="5"/>
    <x v="7"/>
    <n v="16.832179999989904"/>
  </r>
  <r>
    <x v="1"/>
    <x v="0"/>
    <x v="1"/>
    <x v="1"/>
    <x v="0"/>
    <x v="0"/>
    <x v="0"/>
    <x v="0"/>
    <x v="0"/>
    <x v="0"/>
    <x v="0"/>
    <x v="0"/>
    <x v="2"/>
    <x v="10"/>
    <x v="10"/>
    <x v="9"/>
    <x v="9"/>
    <n v="175.255435744735"/>
    <x v="0"/>
    <x v="0"/>
    <x v="1"/>
    <x v="4"/>
    <x v="5"/>
    <x v="9"/>
    <n v="191.02842496176115"/>
  </r>
  <r>
    <x v="1"/>
    <x v="0"/>
    <x v="1"/>
    <x v="1"/>
    <x v="0"/>
    <x v="0"/>
    <x v="0"/>
    <x v="0"/>
    <x v="0"/>
    <x v="0"/>
    <x v="0"/>
    <x v="0"/>
    <x v="2"/>
    <x v="10"/>
    <x v="10"/>
    <x v="10"/>
    <x v="10"/>
    <n v="41.186383769221798"/>
    <x v="0"/>
    <x v="0"/>
    <x v="1"/>
    <x v="4"/>
    <x v="5"/>
    <x v="10"/>
    <n v="44.893158308451767"/>
  </r>
  <r>
    <x v="1"/>
    <x v="0"/>
    <x v="1"/>
    <x v="1"/>
    <x v="0"/>
    <x v="0"/>
    <x v="0"/>
    <x v="0"/>
    <x v="0"/>
    <x v="0"/>
    <x v="0"/>
    <x v="0"/>
    <x v="2"/>
    <x v="10"/>
    <x v="10"/>
    <x v="22"/>
    <x v="22"/>
    <n v="3.0003360214933799"/>
    <x v="0"/>
    <x v="0"/>
    <x v="0"/>
    <x v="0"/>
    <x v="0"/>
    <x v="0"/>
    <n v="3.2703662634277841"/>
  </r>
  <r>
    <x v="1"/>
    <x v="0"/>
    <x v="1"/>
    <x v="1"/>
    <x v="0"/>
    <x v="0"/>
    <x v="0"/>
    <x v="0"/>
    <x v="0"/>
    <x v="0"/>
    <x v="0"/>
    <x v="0"/>
    <x v="2"/>
    <x v="10"/>
    <x v="10"/>
    <x v="36"/>
    <x v="36"/>
    <n v="14.155871559624501"/>
    <x v="0"/>
    <x v="0"/>
    <x v="1"/>
    <x v="3"/>
    <x v="3"/>
    <x v="4"/>
    <n v="15.429899999990708"/>
  </r>
  <r>
    <x v="1"/>
    <x v="0"/>
    <x v="1"/>
    <x v="1"/>
    <x v="0"/>
    <x v="0"/>
    <x v="0"/>
    <x v="0"/>
    <x v="0"/>
    <x v="0"/>
    <x v="0"/>
    <x v="0"/>
    <x v="2"/>
    <x v="10"/>
    <x v="10"/>
    <x v="24"/>
    <x v="24"/>
    <n v="47.622422018320101"/>
    <x v="0"/>
    <x v="0"/>
    <x v="1"/>
    <x v="3"/>
    <x v="3"/>
    <x v="4"/>
    <n v="51.908439999968913"/>
  </r>
  <r>
    <x v="1"/>
    <x v="0"/>
    <x v="1"/>
    <x v="1"/>
    <x v="0"/>
    <x v="0"/>
    <x v="0"/>
    <x v="0"/>
    <x v="0"/>
    <x v="0"/>
    <x v="0"/>
    <x v="0"/>
    <x v="2"/>
    <x v="10"/>
    <x v="10"/>
    <x v="17"/>
    <x v="17"/>
    <n v="31.392499999999998"/>
    <x v="0"/>
    <x v="0"/>
    <x v="0"/>
    <x v="0"/>
    <x v="4"/>
    <x v="17"/>
    <n v="34.217824999999998"/>
  </r>
  <r>
    <x v="1"/>
    <x v="0"/>
    <x v="1"/>
    <x v="1"/>
    <x v="0"/>
    <x v="0"/>
    <x v="0"/>
    <x v="0"/>
    <x v="0"/>
    <x v="0"/>
    <x v="0"/>
    <x v="0"/>
    <x v="2"/>
    <x v="10"/>
    <x v="10"/>
    <x v="21"/>
    <x v="21"/>
    <n v="195.021036697131"/>
    <x v="0"/>
    <x v="0"/>
    <x v="1"/>
    <x v="4"/>
    <x v="5"/>
    <x v="10"/>
    <n v="212.5729299998728"/>
  </r>
  <r>
    <x v="1"/>
    <x v="0"/>
    <x v="1"/>
    <x v="1"/>
    <x v="0"/>
    <x v="0"/>
    <x v="0"/>
    <x v="0"/>
    <x v="0"/>
    <x v="0"/>
    <x v="0"/>
    <x v="0"/>
    <x v="2"/>
    <x v="10"/>
    <x v="10"/>
    <x v="18"/>
    <x v="18"/>
    <n v="53.4"/>
    <x v="0"/>
    <x v="0"/>
    <x v="0"/>
    <x v="0"/>
    <x v="4"/>
    <x v="18"/>
    <n v="58.206000000000003"/>
  </r>
  <r>
    <x v="1"/>
    <x v="0"/>
    <x v="1"/>
    <x v="1"/>
    <x v="0"/>
    <x v="0"/>
    <x v="0"/>
    <x v="0"/>
    <x v="0"/>
    <x v="0"/>
    <x v="0"/>
    <x v="0"/>
    <x v="2"/>
    <x v="10"/>
    <x v="10"/>
    <x v="34"/>
    <x v="34"/>
    <n v="27.736366811755602"/>
    <x v="0"/>
    <x v="0"/>
    <x v="0"/>
    <x v="0"/>
    <x v="0"/>
    <x v="0"/>
    <n v="30.232639824813607"/>
  </r>
  <r>
    <x v="1"/>
    <x v="0"/>
    <x v="1"/>
    <x v="1"/>
    <x v="0"/>
    <x v="0"/>
    <x v="0"/>
    <x v="0"/>
    <x v="0"/>
    <x v="0"/>
    <x v="0"/>
    <x v="0"/>
    <x v="2"/>
    <x v="10"/>
    <x v="10"/>
    <x v="37"/>
    <x v="37"/>
    <n v="30.807431192642099"/>
    <x v="0"/>
    <x v="0"/>
    <x v="1"/>
    <x v="3"/>
    <x v="3"/>
    <x v="4"/>
    <n v="33.580099999979893"/>
  </r>
  <r>
    <x v="1"/>
    <x v="0"/>
    <x v="1"/>
    <x v="1"/>
    <x v="0"/>
    <x v="0"/>
    <x v="0"/>
    <x v="0"/>
    <x v="0"/>
    <x v="0"/>
    <x v="0"/>
    <x v="0"/>
    <x v="2"/>
    <x v="10"/>
    <x v="10"/>
    <x v="26"/>
    <x v="26"/>
    <n v="48.012110091714298"/>
    <x v="0"/>
    <x v="0"/>
    <x v="1"/>
    <x v="3"/>
    <x v="3"/>
    <x v="15"/>
    <n v="52.333199999968592"/>
  </r>
  <r>
    <x v="1"/>
    <x v="0"/>
    <x v="1"/>
    <x v="1"/>
    <x v="0"/>
    <x v="0"/>
    <x v="0"/>
    <x v="0"/>
    <x v="0"/>
    <x v="0"/>
    <x v="0"/>
    <x v="0"/>
    <x v="2"/>
    <x v="10"/>
    <x v="10"/>
    <x v="0"/>
    <x v="0"/>
    <n v="99.740782917870206"/>
    <x v="0"/>
    <x v="0"/>
    <x v="0"/>
    <x v="0"/>
    <x v="0"/>
    <x v="0"/>
    <n v="108.71745338047853"/>
  </r>
  <r>
    <x v="1"/>
    <x v="0"/>
    <x v="1"/>
    <x v="1"/>
    <x v="0"/>
    <x v="0"/>
    <x v="0"/>
    <x v="0"/>
    <x v="0"/>
    <x v="0"/>
    <x v="0"/>
    <x v="0"/>
    <x v="2"/>
    <x v="10"/>
    <x v="10"/>
    <x v="2"/>
    <x v="2"/>
    <n v="1065.7491834856"/>
    <x v="0"/>
    <x v="1"/>
    <x v="2"/>
    <x v="2"/>
    <x v="13"/>
    <x v="2"/>
    <n v="1161.6666099993042"/>
  </r>
  <r>
    <x v="1"/>
    <x v="0"/>
    <x v="1"/>
    <x v="1"/>
    <x v="0"/>
    <x v="0"/>
    <x v="0"/>
    <x v="0"/>
    <x v="0"/>
    <x v="0"/>
    <x v="0"/>
    <x v="0"/>
    <x v="4"/>
    <x v="5"/>
    <x v="5"/>
    <x v="4"/>
    <x v="4"/>
    <n v="2.8090917431175799"/>
    <x v="0"/>
    <x v="0"/>
    <x v="1"/>
    <x v="3"/>
    <x v="3"/>
    <x v="4"/>
    <n v="3.0619099999981625"/>
  </r>
  <r>
    <x v="1"/>
    <x v="0"/>
    <x v="1"/>
    <x v="1"/>
    <x v="0"/>
    <x v="0"/>
    <x v="0"/>
    <x v="0"/>
    <x v="0"/>
    <x v="0"/>
    <x v="0"/>
    <x v="0"/>
    <x v="4"/>
    <x v="5"/>
    <x v="5"/>
    <x v="5"/>
    <x v="5"/>
    <n v="304.84601227225602"/>
    <x v="0"/>
    <x v="0"/>
    <x v="1"/>
    <x v="1"/>
    <x v="1"/>
    <x v="5"/>
    <n v="332.28215337675908"/>
  </r>
  <r>
    <x v="1"/>
    <x v="0"/>
    <x v="1"/>
    <x v="1"/>
    <x v="0"/>
    <x v="0"/>
    <x v="0"/>
    <x v="0"/>
    <x v="0"/>
    <x v="0"/>
    <x v="0"/>
    <x v="0"/>
    <x v="4"/>
    <x v="5"/>
    <x v="5"/>
    <x v="6"/>
    <x v="6"/>
    <n v="524.92912000000001"/>
    <x v="0"/>
    <x v="0"/>
    <x v="0"/>
    <x v="0"/>
    <x v="4"/>
    <x v="6"/>
    <n v="572.17274080000004"/>
  </r>
  <r>
    <x v="1"/>
    <x v="0"/>
    <x v="1"/>
    <x v="1"/>
    <x v="0"/>
    <x v="0"/>
    <x v="0"/>
    <x v="0"/>
    <x v="0"/>
    <x v="0"/>
    <x v="0"/>
    <x v="0"/>
    <x v="4"/>
    <x v="5"/>
    <x v="5"/>
    <x v="7"/>
    <x v="7"/>
    <n v="10.276422018342499"/>
    <x v="0"/>
    <x v="0"/>
    <x v="1"/>
    <x v="4"/>
    <x v="5"/>
    <x v="7"/>
    <n v="11.201299999993324"/>
  </r>
  <r>
    <x v="1"/>
    <x v="0"/>
    <x v="1"/>
    <x v="1"/>
    <x v="0"/>
    <x v="0"/>
    <x v="0"/>
    <x v="0"/>
    <x v="0"/>
    <x v="0"/>
    <x v="0"/>
    <x v="0"/>
    <x v="4"/>
    <x v="5"/>
    <x v="5"/>
    <x v="8"/>
    <x v="8"/>
    <n v="1064.1619256824899"/>
    <x v="0"/>
    <x v="1"/>
    <x v="2"/>
    <x v="2"/>
    <x v="6"/>
    <x v="8"/>
    <n v="1159.936498993914"/>
  </r>
  <r>
    <x v="1"/>
    <x v="0"/>
    <x v="1"/>
    <x v="1"/>
    <x v="0"/>
    <x v="0"/>
    <x v="0"/>
    <x v="0"/>
    <x v="0"/>
    <x v="0"/>
    <x v="0"/>
    <x v="0"/>
    <x v="4"/>
    <x v="5"/>
    <x v="5"/>
    <x v="9"/>
    <x v="9"/>
    <n v="951.01691794469002"/>
    <x v="0"/>
    <x v="0"/>
    <x v="1"/>
    <x v="4"/>
    <x v="5"/>
    <x v="9"/>
    <n v="1036.6084405597121"/>
  </r>
  <r>
    <x v="1"/>
    <x v="0"/>
    <x v="1"/>
    <x v="1"/>
    <x v="0"/>
    <x v="0"/>
    <x v="0"/>
    <x v="0"/>
    <x v="0"/>
    <x v="0"/>
    <x v="0"/>
    <x v="0"/>
    <x v="4"/>
    <x v="5"/>
    <x v="5"/>
    <x v="10"/>
    <x v="10"/>
    <n v="167.61543912117"/>
    <x v="0"/>
    <x v="0"/>
    <x v="1"/>
    <x v="4"/>
    <x v="5"/>
    <x v="10"/>
    <n v="182.70082864207532"/>
  </r>
  <r>
    <x v="1"/>
    <x v="0"/>
    <x v="1"/>
    <x v="1"/>
    <x v="0"/>
    <x v="0"/>
    <x v="0"/>
    <x v="0"/>
    <x v="0"/>
    <x v="0"/>
    <x v="0"/>
    <x v="0"/>
    <x v="4"/>
    <x v="5"/>
    <x v="5"/>
    <x v="29"/>
    <x v="29"/>
    <n v="1.5679799999999999"/>
    <x v="0"/>
    <x v="0"/>
    <x v="1"/>
    <x v="3"/>
    <x v="3"/>
    <x v="13"/>
    <n v="1.7090982000000001"/>
  </r>
  <r>
    <x v="1"/>
    <x v="0"/>
    <x v="1"/>
    <x v="1"/>
    <x v="0"/>
    <x v="0"/>
    <x v="0"/>
    <x v="0"/>
    <x v="0"/>
    <x v="0"/>
    <x v="0"/>
    <x v="0"/>
    <x v="4"/>
    <x v="5"/>
    <x v="5"/>
    <x v="35"/>
    <x v="35"/>
    <n v="385.30401000000001"/>
    <x v="0"/>
    <x v="0"/>
    <x v="0"/>
    <x v="0"/>
    <x v="0"/>
    <x v="0"/>
    <n v="419.98137090000006"/>
  </r>
  <r>
    <x v="1"/>
    <x v="0"/>
    <x v="1"/>
    <x v="1"/>
    <x v="0"/>
    <x v="0"/>
    <x v="0"/>
    <x v="0"/>
    <x v="0"/>
    <x v="0"/>
    <x v="0"/>
    <x v="0"/>
    <x v="4"/>
    <x v="5"/>
    <x v="5"/>
    <x v="12"/>
    <x v="12"/>
    <n v="268.99520930130302"/>
    <x v="0"/>
    <x v="0"/>
    <x v="0"/>
    <x v="0"/>
    <x v="8"/>
    <x v="12"/>
    <n v="293.20477813842029"/>
  </r>
  <r>
    <x v="1"/>
    <x v="0"/>
    <x v="1"/>
    <x v="1"/>
    <x v="0"/>
    <x v="0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11.44748600000001"/>
  </r>
  <r>
    <x v="1"/>
    <x v="0"/>
    <x v="1"/>
    <x v="1"/>
    <x v="0"/>
    <x v="0"/>
    <x v="0"/>
    <x v="0"/>
    <x v="0"/>
    <x v="0"/>
    <x v="0"/>
    <x v="0"/>
    <x v="4"/>
    <x v="5"/>
    <x v="5"/>
    <x v="22"/>
    <x v="22"/>
    <n v="40.296612903064599"/>
    <x v="0"/>
    <x v="0"/>
    <x v="0"/>
    <x v="0"/>
    <x v="0"/>
    <x v="0"/>
    <n v="43.923308064340418"/>
  </r>
  <r>
    <x v="1"/>
    <x v="0"/>
    <x v="1"/>
    <x v="1"/>
    <x v="0"/>
    <x v="0"/>
    <x v="0"/>
    <x v="0"/>
    <x v="0"/>
    <x v="0"/>
    <x v="0"/>
    <x v="0"/>
    <x v="4"/>
    <x v="5"/>
    <x v="5"/>
    <x v="33"/>
    <x v="33"/>
    <n v="5.1911009174280798"/>
    <x v="0"/>
    <x v="0"/>
    <x v="1"/>
    <x v="3"/>
    <x v="3"/>
    <x v="4"/>
    <n v="5.6582999999966077"/>
  </r>
  <r>
    <x v="1"/>
    <x v="0"/>
    <x v="1"/>
    <x v="1"/>
    <x v="0"/>
    <x v="0"/>
    <x v="0"/>
    <x v="0"/>
    <x v="0"/>
    <x v="0"/>
    <x v="0"/>
    <x v="0"/>
    <x v="4"/>
    <x v="5"/>
    <x v="5"/>
    <x v="36"/>
    <x v="36"/>
    <n v="55.036055045838502"/>
    <x v="0"/>
    <x v="0"/>
    <x v="1"/>
    <x v="3"/>
    <x v="3"/>
    <x v="4"/>
    <n v="59.989299999963968"/>
  </r>
  <r>
    <x v="1"/>
    <x v="0"/>
    <x v="1"/>
    <x v="1"/>
    <x v="0"/>
    <x v="0"/>
    <x v="0"/>
    <x v="0"/>
    <x v="0"/>
    <x v="0"/>
    <x v="0"/>
    <x v="0"/>
    <x v="4"/>
    <x v="5"/>
    <x v="5"/>
    <x v="23"/>
    <x v="23"/>
    <n v="6.9043486238490699"/>
    <x v="0"/>
    <x v="0"/>
    <x v="1"/>
    <x v="3"/>
    <x v="3"/>
    <x v="15"/>
    <n v="7.525739999995487"/>
  </r>
  <r>
    <x v="1"/>
    <x v="0"/>
    <x v="1"/>
    <x v="1"/>
    <x v="0"/>
    <x v="0"/>
    <x v="0"/>
    <x v="0"/>
    <x v="0"/>
    <x v="0"/>
    <x v="0"/>
    <x v="0"/>
    <x v="4"/>
    <x v="5"/>
    <x v="5"/>
    <x v="24"/>
    <x v="24"/>
    <n v="81.9393944953637"/>
    <x v="0"/>
    <x v="0"/>
    <x v="1"/>
    <x v="3"/>
    <x v="3"/>
    <x v="4"/>
    <n v="89.313939999946442"/>
  </r>
  <r>
    <x v="1"/>
    <x v="0"/>
    <x v="1"/>
    <x v="1"/>
    <x v="0"/>
    <x v="0"/>
    <x v="0"/>
    <x v="0"/>
    <x v="0"/>
    <x v="0"/>
    <x v="0"/>
    <x v="0"/>
    <x v="4"/>
    <x v="5"/>
    <x v="5"/>
    <x v="17"/>
    <x v="17"/>
    <n v="149.95918"/>
    <x v="0"/>
    <x v="0"/>
    <x v="0"/>
    <x v="0"/>
    <x v="4"/>
    <x v="17"/>
    <n v="163.4555062"/>
  </r>
  <r>
    <x v="1"/>
    <x v="0"/>
    <x v="1"/>
    <x v="1"/>
    <x v="0"/>
    <x v="0"/>
    <x v="0"/>
    <x v="0"/>
    <x v="0"/>
    <x v="0"/>
    <x v="0"/>
    <x v="0"/>
    <x v="4"/>
    <x v="5"/>
    <x v="5"/>
    <x v="21"/>
    <x v="21"/>
    <n v="173.51947706411599"/>
    <x v="0"/>
    <x v="0"/>
    <x v="1"/>
    <x v="4"/>
    <x v="5"/>
    <x v="10"/>
    <n v="189.13622999988644"/>
  </r>
  <r>
    <x v="1"/>
    <x v="0"/>
    <x v="1"/>
    <x v="1"/>
    <x v="0"/>
    <x v="0"/>
    <x v="0"/>
    <x v="0"/>
    <x v="0"/>
    <x v="0"/>
    <x v="0"/>
    <x v="0"/>
    <x v="4"/>
    <x v="5"/>
    <x v="5"/>
    <x v="18"/>
    <x v="18"/>
    <n v="815.46393"/>
    <x v="0"/>
    <x v="0"/>
    <x v="0"/>
    <x v="0"/>
    <x v="4"/>
    <x v="18"/>
    <n v="888.8556837000001"/>
  </r>
  <r>
    <x v="1"/>
    <x v="0"/>
    <x v="1"/>
    <x v="1"/>
    <x v="0"/>
    <x v="0"/>
    <x v="0"/>
    <x v="0"/>
    <x v="0"/>
    <x v="0"/>
    <x v="0"/>
    <x v="0"/>
    <x v="4"/>
    <x v="5"/>
    <x v="5"/>
    <x v="34"/>
    <x v="34"/>
    <n v="112.369131002457"/>
    <x v="0"/>
    <x v="0"/>
    <x v="0"/>
    <x v="0"/>
    <x v="0"/>
    <x v="0"/>
    <n v="122.48235279267813"/>
  </r>
  <r>
    <x v="1"/>
    <x v="0"/>
    <x v="1"/>
    <x v="1"/>
    <x v="0"/>
    <x v="0"/>
    <x v="0"/>
    <x v="0"/>
    <x v="0"/>
    <x v="0"/>
    <x v="0"/>
    <x v="0"/>
    <x v="4"/>
    <x v="5"/>
    <x v="5"/>
    <x v="25"/>
    <x v="25"/>
    <n v="33.318174311906603"/>
    <x v="0"/>
    <x v="0"/>
    <x v="1"/>
    <x v="4"/>
    <x v="5"/>
    <x v="9"/>
    <n v="36.316809999978197"/>
  </r>
  <r>
    <x v="1"/>
    <x v="0"/>
    <x v="1"/>
    <x v="1"/>
    <x v="0"/>
    <x v="0"/>
    <x v="0"/>
    <x v="0"/>
    <x v="0"/>
    <x v="0"/>
    <x v="0"/>
    <x v="0"/>
    <x v="4"/>
    <x v="5"/>
    <x v="5"/>
    <x v="37"/>
    <x v="37"/>
    <n v="113.043394495345"/>
    <x v="0"/>
    <x v="0"/>
    <x v="1"/>
    <x v="3"/>
    <x v="3"/>
    <x v="4"/>
    <n v="123.21729999992606"/>
  </r>
  <r>
    <x v="1"/>
    <x v="0"/>
    <x v="1"/>
    <x v="1"/>
    <x v="0"/>
    <x v="0"/>
    <x v="0"/>
    <x v="0"/>
    <x v="0"/>
    <x v="0"/>
    <x v="0"/>
    <x v="0"/>
    <x v="4"/>
    <x v="5"/>
    <x v="5"/>
    <x v="27"/>
    <x v="27"/>
    <n v="63.075299550886697"/>
    <x v="0"/>
    <x v="0"/>
    <x v="1"/>
    <x v="3"/>
    <x v="3"/>
    <x v="19"/>
    <n v="68.752076510466509"/>
  </r>
  <r>
    <x v="1"/>
    <x v="0"/>
    <x v="1"/>
    <x v="1"/>
    <x v="0"/>
    <x v="0"/>
    <x v="0"/>
    <x v="0"/>
    <x v="0"/>
    <x v="0"/>
    <x v="0"/>
    <x v="0"/>
    <x v="4"/>
    <x v="5"/>
    <x v="5"/>
    <x v="26"/>
    <x v="26"/>
    <n v="39.102477064196698"/>
    <x v="0"/>
    <x v="0"/>
    <x v="1"/>
    <x v="3"/>
    <x v="3"/>
    <x v="15"/>
    <n v="42.621699999974403"/>
  </r>
  <r>
    <x v="1"/>
    <x v="0"/>
    <x v="1"/>
    <x v="1"/>
    <x v="0"/>
    <x v="0"/>
    <x v="0"/>
    <x v="0"/>
    <x v="0"/>
    <x v="0"/>
    <x v="0"/>
    <x v="0"/>
    <x v="4"/>
    <x v="5"/>
    <x v="5"/>
    <x v="0"/>
    <x v="0"/>
    <n v="107.237205515714"/>
    <x v="0"/>
    <x v="0"/>
    <x v="0"/>
    <x v="0"/>
    <x v="0"/>
    <x v="0"/>
    <n v="116.88855401212827"/>
  </r>
  <r>
    <x v="1"/>
    <x v="0"/>
    <x v="1"/>
    <x v="1"/>
    <x v="0"/>
    <x v="0"/>
    <x v="0"/>
    <x v="0"/>
    <x v="0"/>
    <x v="0"/>
    <x v="0"/>
    <x v="0"/>
    <x v="4"/>
    <x v="5"/>
    <x v="5"/>
    <x v="2"/>
    <x v="2"/>
    <n v="7267.6144036653604"/>
    <x v="0"/>
    <x v="1"/>
    <x v="2"/>
    <x v="2"/>
    <x v="13"/>
    <x v="2"/>
    <n v="7921.6996999952435"/>
  </r>
  <r>
    <x v="1"/>
    <x v="0"/>
    <x v="1"/>
    <x v="1"/>
    <x v="0"/>
    <x v="0"/>
    <x v="0"/>
    <x v="0"/>
    <x v="0"/>
    <x v="0"/>
    <x v="0"/>
    <x v="0"/>
    <x v="4"/>
    <x v="5"/>
    <x v="5"/>
    <x v="3"/>
    <x v="3"/>
    <n v="51.437245316184899"/>
    <x v="0"/>
    <x v="0"/>
    <x v="1"/>
    <x v="3"/>
    <x v="3"/>
    <x v="3"/>
    <n v="56.066597394641548"/>
  </r>
  <r>
    <x v="1"/>
    <x v="0"/>
    <x v="1"/>
    <x v="1"/>
    <x v="0"/>
    <x v="0"/>
    <x v="0"/>
    <x v="0"/>
    <x v="0"/>
    <x v="0"/>
    <x v="3"/>
    <x v="3"/>
    <x v="3"/>
    <x v="3"/>
    <x v="3"/>
    <x v="8"/>
    <x v="8"/>
    <n v="6.0168918919299999E-2"/>
    <x v="0"/>
    <x v="1"/>
    <x v="2"/>
    <x v="2"/>
    <x v="6"/>
    <x v="8"/>
    <n v="6.5584121622037E-2"/>
  </r>
  <r>
    <x v="1"/>
    <x v="0"/>
    <x v="1"/>
    <x v="1"/>
    <x v="0"/>
    <x v="0"/>
    <x v="0"/>
    <x v="0"/>
    <x v="0"/>
    <x v="0"/>
    <x v="3"/>
    <x v="3"/>
    <x v="3"/>
    <x v="3"/>
    <x v="3"/>
    <x v="3"/>
    <x v="3"/>
    <n v="34.561237928338699"/>
    <x v="0"/>
    <x v="0"/>
    <x v="1"/>
    <x v="3"/>
    <x v="3"/>
    <x v="3"/>
    <n v="37.671749341889182"/>
  </r>
  <r>
    <x v="1"/>
    <x v="0"/>
    <x v="1"/>
    <x v="1"/>
    <x v="0"/>
    <x v="0"/>
    <x v="0"/>
    <x v="0"/>
    <x v="0"/>
    <x v="0"/>
    <x v="3"/>
    <x v="3"/>
    <x v="0"/>
    <x v="4"/>
    <x v="4"/>
    <x v="16"/>
    <x v="16"/>
    <n v="23.757290000000001"/>
    <x v="0"/>
    <x v="0"/>
    <x v="3"/>
    <x v="5"/>
    <x v="9"/>
    <x v="16"/>
    <n v="25.895446100000004"/>
  </r>
  <r>
    <x v="1"/>
    <x v="0"/>
    <x v="1"/>
    <x v="1"/>
    <x v="0"/>
    <x v="0"/>
    <x v="0"/>
    <x v="0"/>
    <x v="0"/>
    <x v="0"/>
    <x v="3"/>
    <x v="3"/>
    <x v="2"/>
    <x v="2"/>
    <x v="2"/>
    <x v="5"/>
    <x v="5"/>
    <n v="95.494687117290198"/>
    <x v="0"/>
    <x v="0"/>
    <x v="1"/>
    <x v="1"/>
    <x v="1"/>
    <x v="5"/>
    <n v="104.08920895784632"/>
  </r>
  <r>
    <x v="1"/>
    <x v="0"/>
    <x v="1"/>
    <x v="1"/>
    <x v="0"/>
    <x v="0"/>
    <x v="0"/>
    <x v="0"/>
    <x v="0"/>
    <x v="0"/>
    <x v="3"/>
    <x v="3"/>
    <x v="2"/>
    <x v="2"/>
    <x v="2"/>
    <x v="6"/>
    <x v="6"/>
    <n v="118.6168"/>
    <x v="0"/>
    <x v="0"/>
    <x v="0"/>
    <x v="0"/>
    <x v="4"/>
    <x v="6"/>
    <n v="129.29231200000001"/>
  </r>
  <r>
    <x v="1"/>
    <x v="0"/>
    <x v="1"/>
    <x v="1"/>
    <x v="0"/>
    <x v="0"/>
    <x v="0"/>
    <x v="0"/>
    <x v="0"/>
    <x v="0"/>
    <x v="3"/>
    <x v="3"/>
    <x v="2"/>
    <x v="2"/>
    <x v="2"/>
    <x v="8"/>
    <x v="8"/>
    <n v="231.38068243391299"/>
    <x v="0"/>
    <x v="1"/>
    <x v="2"/>
    <x v="2"/>
    <x v="6"/>
    <x v="8"/>
    <n v="252.20494385296519"/>
  </r>
  <r>
    <x v="1"/>
    <x v="0"/>
    <x v="1"/>
    <x v="1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1"/>
    <x v="0"/>
    <x v="1"/>
    <x v="1"/>
    <x v="0"/>
    <x v="0"/>
    <x v="0"/>
    <x v="0"/>
    <x v="2"/>
    <x v="2"/>
    <x v="3"/>
    <x v="3"/>
    <x v="2"/>
    <x v="2"/>
    <x v="2"/>
    <x v="38"/>
    <x v="38"/>
    <n v="1.5157499999999999"/>
    <x v="1"/>
    <x v="0"/>
    <x v="4"/>
    <x v="6"/>
    <x v="10"/>
    <x v="21"/>
    <n v="1.6521675"/>
  </r>
  <r>
    <x v="1"/>
    <x v="0"/>
    <x v="1"/>
    <x v="1"/>
    <x v="0"/>
    <x v="0"/>
    <x v="0"/>
    <x v="0"/>
    <x v="0"/>
    <x v="0"/>
    <x v="3"/>
    <x v="3"/>
    <x v="2"/>
    <x v="2"/>
    <x v="2"/>
    <x v="14"/>
    <x v="14"/>
    <n v="1.0744"/>
    <x v="0"/>
    <x v="0"/>
    <x v="0"/>
    <x v="0"/>
    <x v="8"/>
    <x v="14"/>
    <n v="1.1710960000000001"/>
  </r>
  <r>
    <x v="1"/>
    <x v="0"/>
    <x v="1"/>
    <x v="1"/>
    <x v="0"/>
    <x v="0"/>
    <x v="0"/>
    <x v="0"/>
    <x v="0"/>
    <x v="0"/>
    <x v="3"/>
    <x v="3"/>
    <x v="2"/>
    <x v="2"/>
    <x v="2"/>
    <x v="16"/>
    <x v="16"/>
    <n v="61.722749999999998"/>
    <x v="0"/>
    <x v="0"/>
    <x v="3"/>
    <x v="5"/>
    <x v="9"/>
    <x v="16"/>
    <n v="67.277797500000005"/>
  </r>
  <r>
    <x v="1"/>
    <x v="0"/>
    <x v="1"/>
    <x v="1"/>
    <x v="0"/>
    <x v="0"/>
    <x v="0"/>
    <x v="0"/>
    <x v="0"/>
    <x v="0"/>
    <x v="3"/>
    <x v="3"/>
    <x v="2"/>
    <x v="2"/>
    <x v="2"/>
    <x v="0"/>
    <x v="0"/>
    <n v="3.28873131671677"/>
    <x v="0"/>
    <x v="0"/>
    <x v="0"/>
    <x v="0"/>
    <x v="0"/>
    <x v="0"/>
    <n v="3.5847171352212794"/>
  </r>
  <r>
    <x v="1"/>
    <x v="0"/>
    <x v="1"/>
    <x v="1"/>
    <x v="0"/>
    <x v="0"/>
    <x v="0"/>
    <x v="0"/>
    <x v="0"/>
    <x v="0"/>
    <x v="3"/>
    <x v="3"/>
    <x v="2"/>
    <x v="2"/>
    <x v="2"/>
    <x v="2"/>
    <x v="2"/>
    <n v="100.110926605445"/>
    <x v="0"/>
    <x v="1"/>
    <x v="2"/>
    <x v="2"/>
    <x v="13"/>
    <x v="2"/>
    <n v="109.12090999993507"/>
  </r>
  <r>
    <x v="1"/>
    <x v="0"/>
    <x v="1"/>
    <x v="1"/>
    <x v="0"/>
    <x v="0"/>
    <x v="0"/>
    <x v="0"/>
    <x v="0"/>
    <x v="0"/>
    <x v="3"/>
    <x v="3"/>
    <x v="1"/>
    <x v="6"/>
    <x v="6"/>
    <x v="12"/>
    <x v="12"/>
    <n v="6.3114418604411302"/>
    <x v="0"/>
    <x v="0"/>
    <x v="0"/>
    <x v="0"/>
    <x v="8"/>
    <x v="12"/>
    <n v="6.8794716278808323"/>
  </r>
  <r>
    <x v="1"/>
    <x v="0"/>
    <x v="1"/>
    <x v="1"/>
    <x v="0"/>
    <x v="0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1"/>
    <x v="0"/>
    <x v="1"/>
    <x v="1"/>
    <x v="0"/>
    <x v="0"/>
    <x v="0"/>
    <x v="0"/>
    <x v="0"/>
    <x v="0"/>
    <x v="3"/>
    <x v="3"/>
    <x v="4"/>
    <x v="5"/>
    <x v="5"/>
    <x v="8"/>
    <x v="8"/>
    <n v="76.182567568055106"/>
    <x v="0"/>
    <x v="1"/>
    <x v="2"/>
    <x v="2"/>
    <x v="6"/>
    <x v="8"/>
    <n v="83.038998649180073"/>
  </r>
  <r>
    <x v="1"/>
    <x v="0"/>
    <x v="1"/>
    <x v="1"/>
    <x v="0"/>
    <x v="0"/>
    <x v="0"/>
    <x v="0"/>
    <x v="0"/>
    <x v="0"/>
    <x v="3"/>
    <x v="3"/>
    <x v="4"/>
    <x v="5"/>
    <x v="5"/>
    <x v="12"/>
    <x v="12"/>
    <n v="42.084186046351697"/>
    <x v="0"/>
    <x v="0"/>
    <x v="0"/>
    <x v="0"/>
    <x v="8"/>
    <x v="12"/>
    <n v="45.871762790523356"/>
  </r>
  <r>
    <x v="1"/>
    <x v="0"/>
    <x v="1"/>
    <x v="1"/>
    <x v="0"/>
    <x v="0"/>
    <x v="0"/>
    <x v="0"/>
    <x v="0"/>
    <x v="0"/>
    <x v="3"/>
    <x v="3"/>
    <x v="4"/>
    <x v="5"/>
    <x v="5"/>
    <x v="18"/>
    <x v="18"/>
    <n v="22.02289"/>
    <x v="0"/>
    <x v="0"/>
    <x v="0"/>
    <x v="0"/>
    <x v="4"/>
    <x v="18"/>
    <n v="24.004950100000002"/>
  </r>
  <r>
    <x v="1"/>
    <x v="0"/>
    <x v="1"/>
    <x v="1"/>
    <x v="0"/>
    <x v="0"/>
    <x v="0"/>
    <x v="0"/>
    <x v="0"/>
    <x v="0"/>
    <x v="3"/>
    <x v="3"/>
    <x v="4"/>
    <x v="5"/>
    <x v="5"/>
    <x v="27"/>
    <x v="27"/>
    <n v="6.7567567568999998"/>
    <x v="0"/>
    <x v="0"/>
    <x v="1"/>
    <x v="3"/>
    <x v="3"/>
    <x v="19"/>
    <n v="7.3648648650210005"/>
  </r>
  <r>
    <x v="1"/>
    <x v="0"/>
    <x v="1"/>
    <x v="1"/>
    <x v="0"/>
    <x v="0"/>
    <x v="0"/>
    <x v="0"/>
    <x v="0"/>
    <x v="0"/>
    <x v="3"/>
    <x v="3"/>
    <x v="4"/>
    <x v="5"/>
    <x v="5"/>
    <x v="0"/>
    <x v="0"/>
    <n v="435.72747330838803"/>
    <x v="0"/>
    <x v="0"/>
    <x v="0"/>
    <x v="0"/>
    <x v="0"/>
    <x v="0"/>
    <n v="474.942945906143"/>
  </r>
  <r>
    <x v="1"/>
    <x v="0"/>
    <x v="1"/>
    <x v="1"/>
    <x v="0"/>
    <x v="0"/>
    <x v="0"/>
    <x v="0"/>
    <x v="0"/>
    <x v="0"/>
    <x v="3"/>
    <x v="3"/>
    <x v="4"/>
    <x v="5"/>
    <x v="5"/>
    <x v="2"/>
    <x v="2"/>
    <n v="9.7132293577923399"/>
    <x v="0"/>
    <x v="1"/>
    <x v="2"/>
    <x v="2"/>
    <x v="13"/>
    <x v="2"/>
    <n v="10.587419999993651"/>
  </r>
  <r>
    <x v="1"/>
    <x v="0"/>
    <x v="1"/>
    <x v="1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1"/>
    <x v="0"/>
    <x v="1"/>
    <x v="1"/>
    <x v="0"/>
    <x v="0"/>
    <x v="0"/>
    <x v="0"/>
    <x v="0"/>
    <x v="0"/>
    <x v="18"/>
    <x v="18"/>
    <x v="0"/>
    <x v="4"/>
    <x v="4"/>
    <x v="16"/>
    <x v="16"/>
    <n v="153.33333999999999"/>
    <x v="0"/>
    <x v="0"/>
    <x v="3"/>
    <x v="5"/>
    <x v="9"/>
    <x v="16"/>
    <n v="167.1333406"/>
  </r>
  <r>
    <x v="1"/>
    <x v="0"/>
    <x v="1"/>
    <x v="1"/>
    <x v="0"/>
    <x v="0"/>
    <x v="0"/>
    <x v="0"/>
    <x v="0"/>
    <x v="0"/>
    <x v="18"/>
    <x v="18"/>
    <x v="0"/>
    <x v="4"/>
    <x v="4"/>
    <x v="33"/>
    <x v="33"/>
    <n v="0.59661467889872"/>
    <x v="0"/>
    <x v="0"/>
    <x v="1"/>
    <x v="3"/>
    <x v="3"/>
    <x v="4"/>
    <n v="0.65030999999960482"/>
  </r>
  <r>
    <x v="1"/>
    <x v="0"/>
    <x v="1"/>
    <x v="1"/>
    <x v="0"/>
    <x v="0"/>
    <x v="0"/>
    <x v="0"/>
    <x v="0"/>
    <x v="0"/>
    <x v="18"/>
    <x v="18"/>
    <x v="0"/>
    <x v="4"/>
    <x v="4"/>
    <x v="3"/>
    <x v="3"/>
    <n v="0.19023853210998001"/>
    <x v="0"/>
    <x v="0"/>
    <x v="1"/>
    <x v="3"/>
    <x v="3"/>
    <x v="3"/>
    <n v="0.20735999999987823"/>
  </r>
  <r>
    <x v="1"/>
    <x v="0"/>
    <x v="1"/>
    <x v="1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1"/>
    <x v="0"/>
    <x v="1"/>
    <x v="1"/>
    <x v="0"/>
    <x v="0"/>
    <x v="0"/>
    <x v="0"/>
    <x v="0"/>
    <x v="0"/>
    <x v="4"/>
    <x v="4"/>
    <x v="2"/>
    <x v="2"/>
    <x v="2"/>
    <x v="5"/>
    <x v="5"/>
    <n v="1.247852760746E-2"/>
    <x v="0"/>
    <x v="0"/>
    <x v="1"/>
    <x v="1"/>
    <x v="1"/>
    <x v="5"/>
    <n v="1.3601595092131401E-2"/>
  </r>
  <r>
    <x v="1"/>
    <x v="0"/>
    <x v="1"/>
    <x v="1"/>
    <x v="0"/>
    <x v="0"/>
    <x v="0"/>
    <x v="0"/>
    <x v="0"/>
    <x v="0"/>
    <x v="4"/>
    <x v="4"/>
    <x v="2"/>
    <x v="2"/>
    <x v="2"/>
    <x v="6"/>
    <x v="6"/>
    <n v="0.15"/>
    <x v="0"/>
    <x v="0"/>
    <x v="0"/>
    <x v="0"/>
    <x v="4"/>
    <x v="6"/>
    <n v="0.16350000000000001"/>
  </r>
  <r>
    <x v="1"/>
    <x v="0"/>
    <x v="1"/>
    <x v="1"/>
    <x v="0"/>
    <x v="0"/>
    <x v="0"/>
    <x v="0"/>
    <x v="0"/>
    <x v="0"/>
    <x v="4"/>
    <x v="4"/>
    <x v="2"/>
    <x v="2"/>
    <x v="2"/>
    <x v="7"/>
    <x v="7"/>
    <n v="0.62373394495375001"/>
    <x v="0"/>
    <x v="0"/>
    <x v="1"/>
    <x v="4"/>
    <x v="5"/>
    <x v="7"/>
    <n v="0.67986999999958753"/>
  </r>
  <r>
    <x v="1"/>
    <x v="0"/>
    <x v="1"/>
    <x v="1"/>
    <x v="0"/>
    <x v="0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1"/>
    <x v="0"/>
    <x v="1"/>
    <x v="1"/>
    <x v="0"/>
    <x v="0"/>
    <x v="0"/>
    <x v="0"/>
    <x v="0"/>
    <x v="0"/>
    <x v="4"/>
    <x v="4"/>
    <x v="2"/>
    <x v="2"/>
    <x v="2"/>
    <x v="9"/>
    <x v="9"/>
    <n v="8.521100917426E-2"/>
    <x v="0"/>
    <x v="0"/>
    <x v="1"/>
    <x v="4"/>
    <x v="5"/>
    <x v="9"/>
    <n v="9.2879999999943411E-2"/>
  </r>
  <r>
    <x v="1"/>
    <x v="0"/>
    <x v="1"/>
    <x v="1"/>
    <x v="0"/>
    <x v="0"/>
    <x v="0"/>
    <x v="0"/>
    <x v="0"/>
    <x v="0"/>
    <x v="4"/>
    <x v="4"/>
    <x v="2"/>
    <x v="2"/>
    <x v="2"/>
    <x v="10"/>
    <x v="10"/>
    <n v="0.91596330275173998"/>
    <x v="0"/>
    <x v="0"/>
    <x v="1"/>
    <x v="4"/>
    <x v="5"/>
    <x v="10"/>
    <n v="0.99839999999939666"/>
  </r>
  <r>
    <x v="1"/>
    <x v="0"/>
    <x v="1"/>
    <x v="1"/>
    <x v="0"/>
    <x v="0"/>
    <x v="0"/>
    <x v="0"/>
    <x v="0"/>
    <x v="0"/>
    <x v="4"/>
    <x v="4"/>
    <x v="2"/>
    <x v="2"/>
    <x v="2"/>
    <x v="11"/>
    <x v="11"/>
    <n v="0.42030000000000001"/>
    <x v="0"/>
    <x v="0"/>
    <x v="3"/>
    <x v="5"/>
    <x v="7"/>
    <x v="11"/>
    <n v="0.45812700000000006"/>
  </r>
  <r>
    <x v="1"/>
    <x v="0"/>
    <x v="1"/>
    <x v="1"/>
    <x v="0"/>
    <x v="0"/>
    <x v="0"/>
    <x v="0"/>
    <x v="0"/>
    <x v="0"/>
    <x v="4"/>
    <x v="4"/>
    <x v="2"/>
    <x v="2"/>
    <x v="2"/>
    <x v="12"/>
    <x v="12"/>
    <n v="21.437709302244102"/>
    <x v="0"/>
    <x v="0"/>
    <x v="0"/>
    <x v="0"/>
    <x v="8"/>
    <x v="12"/>
    <n v="23.367103139446073"/>
  </r>
  <r>
    <x v="1"/>
    <x v="0"/>
    <x v="1"/>
    <x v="1"/>
    <x v="0"/>
    <x v="0"/>
    <x v="0"/>
    <x v="0"/>
    <x v="0"/>
    <x v="0"/>
    <x v="4"/>
    <x v="4"/>
    <x v="2"/>
    <x v="2"/>
    <x v="2"/>
    <x v="14"/>
    <x v="14"/>
    <n v="0.50082000000000004"/>
    <x v="0"/>
    <x v="0"/>
    <x v="0"/>
    <x v="0"/>
    <x v="8"/>
    <x v="14"/>
    <n v="0.5458938000000001"/>
  </r>
  <r>
    <x v="1"/>
    <x v="0"/>
    <x v="1"/>
    <x v="1"/>
    <x v="0"/>
    <x v="0"/>
    <x v="0"/>
    <x v="0"/>
    <x v="0"/>
    <x v="0"/>
    <x v="4"/>
    <x v="4"/>
    <x v="2"/>
    <x v="2"/>
    <x v="2"/>
    <x v="16"/>
    <x v="16"/>
    <n v="2.9812500000000002"/>
    <x v="0"/>
    <x v="0"/>
    <x v="3"/>
    <x v="5"/>
    <x v="9"/>
    <x v="16"/>
    <n v="3.2495625000000006"/>
  </r>
  <r>
    <x v="1"/>
    <x v="0"/>
    <x v="1"/>
    <x v="1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1"/>
    <x v="0"/>
    <x v="1"/>
    <x v="1"/>
    <x v="0"/>
    <x v="0"/>
    <x v="0"/>
    <x v="0"/>
    <x v="0"/>
    <x v="0"/>
    <x v="4"/>
    <x v="4"/>
    <x v="2"/>
    <x v="2"/>
    <x v="2"/>
    <x v="27"/>
    <x v="27"/>
    <n v="0.65478153154540997"/>
    <x v="0"/>
    <x v="0"/>
    <x v="1"/>
    <x v="3"/>
    <x v="3"/>
    <x v="19"/>
    <n v="0.71371186938449693"/>
  </r>
  <r>
    <x v="1"/>
    <x v="0"/>
    <x v="1"/>
    <x v="1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1"/>
    <x v="0"/>
    <x v="1"/>
    <x v="1"/>
    <x v="0"/>
    <x v="0"/>
    <x v="0"/>
    <x v="0"/>
    <x v="0"/>
    <x v="0"/>
    <x v="4"/>
    <x v="4"/>
    <x v="2"/>
    <x v="2"/>
    <x v="2"/>
    <x v="2"/>
    <x v="2"/>
    <n v="3.1824403669705701"/>
    <x v="0"/>
    <x v="1"/>
    <x v="2"/>
    <x v="2"/>
    <x v="13"/>
    <x v="2"/>
    <n v="3.4688599999979215"/>
  </r>
  <r>
    <x v="1"/>
    <x v="0"/>
    <x v="1"/>
    <x v="1"/>
    <x v="0"/>
    <x v="0"/>
    <x v="0"/>
    <x v="0"/>
    <x v="2"/>
    <x v="2"/>
    <x v="5"/>
    <x v="5"/>
    <x v="2"/>
    <x v="2"/>
    <x v="2"/>
    <x v="42"/>
    <x v="42"/>
    <n v="2.1414"/>
    <x v="1"/>
    <x v="2"/>
    <x v="5"/>
    <x v="7"/>
    <x v="11"/>
    <x v="22"/>
    <n v="2.3341259999999999"/>
  </r>
  <r>
    <x v="1"/>
    <x v="0"/>
    <x v="1"/>
    <x v="1"/>
    <x v="0"/>
    <x v="0"/>
    <x v="0"/>
    <x v="0"/>
    <x v="2"/>
    <x v="2"/>
    <x v="5"/>
    <x v="5"/>
    <x v="2"/>
    <x v="2"/>
    <x v="2"/>
    <x v="41"/>
    <x v="41"/>
    <n v="0.45241489361530002"/>
    <x v="1"/>
    <x v="2"/>
    <x v="5"/>
    <x v="7"/>
    <x v="11"/>
    <x v="22"/>
    <n v="0.49313223404067708"/>
  </r>
  <r>
    <x v="1"/>
    <x v="0"/>
    <x v="1"/>
    <x v="1"/>
    <x v="0"/>
    <x v="0"/>
    <x v="0"/>
    <x v="0"/>
    <x v="2"/>
    <x v="2"/>
    <x v="5"/>
    <x v="5"/>
    <x v="2"/>
    <x v="2"/>
    <x v="2"/>
    <x v="40"/>
    <x v="40"/>
    <n v="37.548740000000002"/>
    <x v="1"/>
    <x v="2"/>
    <x v="5"/>
    <x v="7"/>
    <x v="11"/>
    <x v="22"/>
    <n v="40.928126600000006"/>
  </r>
  <r>
    <x v="1"/>
    <x v="0"/>
    <x v="1"/>
    <x v="1"/>
    <x v="0"/>
    <x v="0"/>
    <x v="0"/>
    <x v="0"/>
    <x v="2"/>
    <x v="2"/>
    <x v="5"/>
    <x v="5"/>
    <x v="2"/>
    <x v="2"/>
    <x v="2"/>
    <x v="38"/>
    <x v="38"/>
    <n v="108.81225000000001"/>
    <x v="1"/>
    <x v="0"/>
    <x v="4"/>
    <x v="6"/>
    <x v="10"/>
    <x v="21"/>
    <n v="118.60535250000001"/>
  </r>
  <r>
    <x v="1"/>
    <x v="0"/>
    <x v="1"/>
    <x v="1"/>
    <x v="0"/>
    <x v="0"/>
    <x v="0"/>
    <x v="0"/>
    <x v="0"/>
    <x v="0"/>
    <x v="5"/>
    <x v="5"/>
    <x v="2"/>
    <x v="2"/>
    <x v="2"/>
    <x v="17"/>
    <x v="17"/>
    <n v="1.86921"/>
    <x v="0"/>
    <x v="0"/>
    <x v="0"/>
    <x v="0"/>
    <x v="4"/>
    <x v="17"/>
    <n v="2.0374389000000002"/>
  </r>
  <r>
    <x v="1"/>
    <x v="0"/>
    <x v="1"/>
    <x v="1"/>
    <x v="0"/>
    <x v="0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1"/>
    <x v="0"/>
    <x v="1"/>
    <x v="1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1"/>
    <x v="0"/>
    <x v="1"/>
    <x v="1"/>
    <x v="0"/>
    <x v="0"/>
    <x v="0"/>
    <x v="0"/>
    <x v="2"/>
    <x v="2"/>
    <x v="5"/>
    <x v="5"/>
    <x v="3"/>
    <x v="7"/>
    <x v="7"/>
    <x v="40"/>
    <x v="40"/>
    <n v="148.3733"/>
    <x v="1"/>
    <x v="2"/>
    <x v="5"/>
    <x v="7"/>
    <x v="11"/>
    <x v="22"/>
    <n v="161.72689700000001"/>
  </r>
  <r>
    <x v="1"/>
    <x v="0"/>
    <x v="1"/>
    <x v="1"/>
    <x v="0"/>
    <x v="0"/>
    <x v="0"/>
    <x v="0"/>
    <x v="2"/>
    <x v="2"/>
    <x v="5"/>
    <x v="5"/>
    <x v="1"/>
    <x v="8"/>
    <x v="8"/>
    <x v="40"/>
    <x v="40"/>
    <n v="46.976100000000002"/>
    <x v="1"/>
    <x v="2"/>
    <x v="5"/>
    <x v="7"/>
    <x v="11"/>
    <x v="22"/>
    <n v="51.203949000000009"/>
  </r>
  <r>
    <x v="1"/>
    <x v="0"/>
    <x v="1"/>
    <x v="1"/>
    <x v="0"/>
    <x v="0"/>
    <x v="0"/>
    <x v="0"/>
    <x v="2"/>
    <x v="2"/>
    <x v="5"/>
    <x v="5"/>
    <x v="2"/>
    <x v="10"/>
    <x v="10"/>
    <x v="40"/>
    <x v="40"/>
    <n v="22.113800000000001"/>
    <x v="1"/>
    <x v="2"/>
    <x v="5"/>
    <x v="7"/>
    <x v="11"/>
    <x v="22"/>
    <n v="24.104042000000003"/>
  </r>
  <r>
    <x v="1"/>
    <x v="0"/>
    <x v="1"/>
    <x v="1"/>
    <x v="0"/>
    <x v="0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1"/>
    <x v="0"/>
    <x v="1"/>
    <x v="1"/>
    <x v="0"/>
    <x v="0"/>
    <x v="0"/>
    <x v="0"/>
    <x v="2"/>
    <x v="2"/>
    <x v="5"/>
    <x v="5"/>
    <x v="4"/>
    <x v="5"/>
    <x v="5"/>
    <x v="40"/>
    <x v="40"/>
    <n v="566.47329999999999"/>
    <x v="1"/>
    <x v="2"/>
    <x v="5"/>
    <x v="7"/>
    <x v="11"/>
    <x v="22"/>
    <n v="617.45589700000005"/>
  </r>
  <r>
    <x v="1"/>
    <x v="0"/>
    <x v="1"/>
    <x v="1"/>
    <x v="0"/>
    <x v="0"/>
    <x v="0"/>
    <x v="0"/>
    <x v="2"/>
    <x v="2"/>
    <x v="6"/>
    <x v="6"/>
    <x v="2"/>
    <x v="2"/>
    <x v="2"/>
    <x v="40"/>
    <x v="40"/>
    <n v="0.80710999999999999"/>
    <x v="1"/>
    <x v="2"/>
    <x v="5"/>
    <x v="7"/>
    <x v="11"/>
    <x v="22"/>
    <n v="0.87974990000000008"/>
  </r>
  <r>
    <x v="1"/>
    <x v="0"/>
    <x v="1"/>
    <x v="1"/>
    <x v="0"/>
    <x v="0"/>
    <x v="0"/>
    <x v="0"/>
    <x v="2"/>
    <x v="2"/>
    <x v="7"/>
    <x v="7"/>
    <x v="2"/>
    <x v="2"/>
    <x v="2"/>
    <x v="40"/>
    <x v="40"/>
    <n v="27.272690000000001"/>
    <x v="1"/>
    <x v="2"/>
    <x v="5"/>
    <x v="7"/>
    <x v="11"/>
    <x v="22"/>
    <n v="29.727232100000002"/>
  </r>
  <r>
    <x v="1"/>
    <x v="0"/>
    <x v="1"/>
    <x v="1"/>
    <x v="0"/>
    <x v="0"/>
    <x v="0"/>
    <x v="0"/>
    <x v="2"/>
    <x v="2"/>
    <x v="7"/>
    <x v="7"/>
    <x v="2"/>
    <x v="2"/>
    <x v="2"/>
    <x v="38"/>
    <x v="38"/>
    <n v="277.29244999999997"/>
    <x v="1"/>
    <x v="0"/>
    <x v="4"/>
    <x v="6"/>
    <x v="10"/>
    <x v="21"/>
    <n v="302.24877049999998"/>
  </r>
  <r>
    <x v="1"/>
    <x v="0"/>
    <x v="1"/>
    <x v="1"/>
    <x v="0"/>
    <x v="0"/>
    <x v="0"/>
    <x v="0"/>
    <x v="2"/>
    <x v="2"/>
    <x v="7"/>
    <x v="7"/>
    <x v="2"/>
    <x v="2"/>
    <x v="2"/>
    <x v="43"/>
    <x v="43"/>
    <n v="11.325430000000001"/>
    <x v="1"/>
    <x v="0"/>
    <x v="4"/>
    <x v="6"/>
    <x v="10"/>
    <x v="21"/>
    <n v="12.344718700000001"/>
  </r>
  <r>
    <x v="1"/>
    <x v="0"/>
    <x v="1"/>
    <x v="1"/>
    <x v="0"/>
    <x v="0"/>
    <x v="0"/>
    <x v="0"/>
    <x v="2"/>
    <x v="2"/>
    <x v="7"/>
    <x v="7"/>
    <x v="2"/>
    <x v="2"/>
    <x v="2"/>
    <x v="44"/>
    <x v="44"/>
    <n v="8.1999999999999993"/>
    <x v="1"/>
    <x v="0"/>
    <x v="4"/>
    <x v="6"/>
    <x v="10"/>
    <x v="21"/>
    <n v="8.9380000000000006"/>
  </r>
  <r>
    <x v="1"/>
    <x v="0"/>
    <x v="1"/>
    <x v="1"/>
    <x v="0"/>
    <x v="0"/>
    <x v="0"/>
    <x v="0"/>
    <x v="0"/>
    <x v="0"/>
    <x v="7"/>
    <x v="7"/>
    <x v="2"/>
    <x v="2"/>
    <x v="2"/>
    <x v="17"/>
    <x v="17"/>
    <n v="13.056089999999999"/>
    <x v="0"/>
    <x v="0"/>
    <x v="0"/>
    <x v="0"/>
    <x v="4"/>
    <x v="17"/>
    <n v="14.231138100000001"/>
  </r>
  <r>
    <x v="1"/>
    <x v="0"/>
    <x v="1"/>
    <x v="1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1"/>
    <x v="0"/>
    <x v="1"/>
    <x v="1"/>
    <x v="0"/>
    <x v="0"/>
    <x v="0"/>
    <x v="0"/>
    <x v="2"/>
    <x v="2"/>
    <x v="7"/>
    <x v="7"/>
    <x v="2"/>
    <x v="2"/>
    <x v="2"/>
    <x v="46"/>
    <x v="46"/>
    <n v="1.0092099999999999"/>
    <x v="1"/>
    <x v="0"/>
    <x v="4"/>
    <x v="6"/>
    <x v="10"/>
    <x v="21"/>
    <n v="1.1000388999999999"/>
  </r>
  <r>
    <x v="1"/>
    <x v="0"/>
    <x v="1"/>
    <x v="1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1"/>
    <x v="0"/>
    <x v="1"/>
    <x v="1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1"/>
    <x v="0"/>
    <x v="1"/>
    <x v="1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1"/>
    <x v="0"/>
    <x v="1"/>
    <x v="1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1"/>
    <x v="0"/>
    <x v="1"/>
    <x v="1"/>
    <x v="0"/>
    <x v="0"/>
    <x v="0"/>
    <x v="0"/>
    <x v="2"/>
    <x v="2"/>
    <x v="7"/>
    <x v="7"/>
    <x v="3"/>
    <x v="7"/>
    <x v="7"/>
    <x v="40"/>
    <x v="40"/>
    <n v="360.56540000000001"/>
    <x v="1"/>
    <x v="2"/>
    <x v="5"/>
    <x v="7"/>
    <x v="11"/>
    <x v="22"/>
    <n v="393.01628600000004"/>
  </r>
  <r>
    <x v="1"/>
    <x v="0"/>
    <x v="1"/>
    <x v="1"/>
    <x v="0"/>
    <x v="0"/>
    <x v="0"/>
    <x v="0"/>
    <x v="2"/>
    <x v="2"/>
    <x v="7"/>
    <x v="7"/>
    <x v="1"/>
    <x v="8"/>
    <x v="8"/>
    <x v="40"/>
    <x v="40"/>
    <n v="32.325600000000001"/>
    <x v="1"/>
    <x v="2"/>
    <x v="5"/>
    <x v="7"/>
    <x v="11"/>
    <x v="22"/>
    <n v="35.234904000000007"/>
  </r>
  <r>
    <x v="1"/>
    <x v="0"/>
    <x v="1"/>
    <x v="1"/>
    <x v="0"/>
    <x v="0"/>
    <x v="0"/>
    <x v="0"/>
    <x v="2"/>
    <x v="2"/>
    <x v="7"/>
    <x v="7"/>
    <x v="2"/>
    <x v="10"/>
    <x v="10"/>
    <x v="40"/>
    <x v="40"/>
    <n v="3.613"/>
    <x v="1"/>
    <x v="2"/>
    <x v="5"/>
    <x v="7"/>
    <x v="11"/>
    <x v="22"/>
    <n v="3.9381700000000004"/>
  </r>
  <r>
    <x v="1"/>
    <x v="0"/>
    <x v="1"/>
    <x v="1"/>
    <x v="0"/>
    <x v="0"/>
    <x v="0"/>
    <x v="0"/>
    <x v="2"/>
    <x v="2"/>
    <x v="7"/>
    <x v="7"/>
    <x v="4"/>
    <x v="5"/>
    <x v="5"/>
    <x v="40"/>
    <x v="40"/>
    <n v="153.05070000000001"/>
    <x v="1"/>
    <x v="2"/>
    <x v="5"/>
    <x v="7"/>
    <x v="11"/>
    <x v="22"/>
    <n v="166.82526300000001"/>
  </r>
  <r>
    <x v="1"/>
    <x v="0"/>
    <x v="1"/>
    <x v="1"/>
    <x v="0"/>
    <x v="0"/>
    <x v="0"/>
    <x v="0"/>
    <x v="2"/>
    <x v="2"/>
    <x v="8"/>
    <x v="8"/>
    <x v="2"/>
    <x v="2"/>
    <x v="2"/>
    <x v="40"/>
    <x v="40"/>
    <n v="10.170360000000001"/>
    <x v="1"/>
    <x v="2"/>
    <x v="5"/>
    <x v="7"/>
    <x v="11"/>
    <x v="22"/>
    <n v="11.085692400000001"/>
  </r>
  <r>
    <x v="1"/>
    <x v="0"/>
    <x v="1"/>
    <x v="1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1"/>
    <x v="0"/>
    <x v="1"/>
    <x v="1"/>
    <x v="0"/>
    <x v="0"/>
    <x v="0"/>
    <x v="0"/>
    <x v="2"/>
    <x v="2"/>
    <x v="9"/>
    <x v="9"/>
    <x v="2"/>
    <x v="2"/>
    <x v="2"/>
    <x v="40"/>
    <x v="40"/>
    <n v="266.21773000000002"/>
    <x v="1"/>
    <x v="2"/>
    <x v="5"/>
    <x v="7"/>
    <x v="11"/>
    <x v="22"/>
    <n v="290.17732570000004"/>
  </r>
  <r>
    <x v="1"/>
    <x v="0"/>
    <x v="1"/>
    <x v="1"/>
    <x v="0"/>
    <x v="0"/>
    <x v="0"/>
    <x v="0"/>
    <x v="2"/>
    <x v="2"/>
    <x v="9"/>
    <x v="9"/>
    <x v="2"/>
    <x v="2"/>
    <x v="2"/>
    <x v="38"/>
    <x v="38"/>
    <n v="739.76088000000004"/>
    <x v="1"/>
    <x v="0"/>
    <x v="4"/>
    <x v="6"/>
    <x v="10"/>
    <x v="21"/>
    <n v="806.3393592000001"/>
  </r>
  <r>
    <x v="1"/>
    <x v="0"/>
    <x v="1"/>
    <x v="1"/>
    <x v="0"/>
    <x v="0"/>
    <x v="0"/>
    <x v="0"/>
    <x v="2"/>
    <x v="2"/>
    <x v="9"/>
    <x v="9"/>
    <x v="2"/>
    <x v="2"/>
    <x v="2"/>
    <x v="48"/>
    <x v="48"/>
    <n v="1.2164699999999999"/>
    <x v="1"/>
    <x v="0"/>
    <x v="4"/>
    <x v="6"/>
    <x v="10"/>
    <x v="21"/>
    <n v="1.3259523"/>
  </r>
  <r>
    <x v="1"/>
    <x v="0"/>
    <x v="1"/>
    <x v="1"/>
    <x v="0"/>
    <x v="0"/>
    <x v="0"/>
    <x v="0"/>
    <x v="2"/>
    <x v="2"/>
    <x v="9"/>
    <x v="9"/>
    <x v="1"/>
    <x v="6"/>
    <x v="6"/>
    <x v="40"/>
    <x v="40"/>
    <n v="103.655"/>
    <x v="1"/>
    <x v="2"/>
    <x v="5"/>
    <x v="7"/>
    <x v="11"/>
    <x v="22"/>
    <n v="112.98395000000001"/>
  </r>
  <r>
    <x v="1"/>
    <x v="0"/>
    <x v="1"/>
    <x v="1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1"/>
    <x v="0"/>
    <x v="1"/>
    <x v="1"/>
    <x v="0"/>
    <x v="0"/>
    <x v="0"/>
    <x v="0"/>
    <x v="2"/>
    <x v="2"/>
    <x v="9"/>
    <x v="9"/>
    <x v="3"/>
    <x v="7"/>
    <x v="7"/>
    <x v="40"/>
    <x v="40"/>
    <n v="1456.9331"/>
    <x v="1"/>
    <x v="2"/>
    <x v="5"/>
    <x v="7"/>
    <x v="11"/>
    <x v="22"/>
    <n v="1588.0570790000002"/>
  </r>
  <r>
    <x v="1"/>
    <x v="0"/>
    <x v="1"/>
    <x v="1"/>
    <x v="0"/>
    <x v="0"/>
    <x v="0"/>
    <x v="0"/>
    <x v="2"/>
    <x v="2"/>
    <x v="9"/>
    <x v="9"/>
    <x v="1"/>
    <x v="8"/>
    <x v="8"/>
    <x v="40"/>
    <x v="40"/>
    <n v="848.99680000000001"/>
    <x v="1"/>
    <x v="2"/>
    <x v="5"/>
    <x v="7"/>
    <x v="11"/>
    <x v="22"/>
    <n v="925.40651200000002"/>
  </r>
  <r>
    <x v="1"/>
    <x v="0"/>
    <x v="1"/>
    <x v="1"/>
    <x v="0"/>
    <x v="0"/>
    <x v="0"/>
    <x v="0"/>
    <x v="2"/>
    <x v="2"/>
    <x v="9"/>
    <x v="9"/>
    <x v="2"/>
    <x v="10"/>
    <x v="10"/>
    <x v="40"/>
    <x v="40"/>
    <n v="357.83120000000002"/>
    <x v="1"/>
    <x v="2"/>
    <x v="5"/>
    <x v="7"/>
    <x v="11"/>
    <x v="22"/>
    <n v="390.03600800000004"/>
  </r>
  <r>
    <x v="1"/>
    <x v="0"/>
    <x v="1"/>
    <x v="1"/>
    <x v="0"/>
    <x v="0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1"/>
    <x v="0"/>
    <x v="1"/>
    <x v="1"/>
    <x v="0"/>
    <x v="0"/>
    <x v="0"/>
    <x v="0"/>
    <x v="2"/>
    <x v="2"/>
    <x v="9"/>
    <x v="9"/>
    <x v="4"/>
    <x v="5"/>
    <x v="5"/>
    <x v="40"/>
    <x v="40"/>
    <n v="3006.9645999999998"/>
    <x v="1"/>
    <x v="2"/>
    <x v="5"/>
    <x v="7"/>
    <x v="11"/>
    <x v="22"/>
    <n v="3277.591414"/>
  </r>
  <r>
    <x v="1"/>
    <x v="0"/>
    <x v="1"/>
    <x v="1"/>
    <x v="0"/>
    <x v="0"/>
    <x v="0"/>
    <x v="0"/>
    <x v="2"/>
    <x v="2"/>
    <x v="10"/>
    <x v="10"/>
    <x v="2"/>
    <x v="2"/>
    <x v="2"/>
    <x v="41"/>
    <x v="41"/>
    <n v="8.0346276595439399"/>
    <x v="1"/>
    <x v="2"/>
    <x v="5"/>
    <x v="7"/>
    <x v="11"/>
    <x v="22"/>
    <n v="8.757744148902896"/>
  </r>
  <r>
    <x v="1"/>
    <x v="0"/>
    <x v="1"/>
    <x v="1"/>
    <x v="0"/>
    <x v="0"/>
    <x v="0"/>
    <x v="0"/>
    <x v="2"/>
    <x v="2"/>
    <x v="10"/>
    <x v="10"/>
    <x v="2"/>
    <x v="2"/>
    <x v="2"/>
    <x v="40"/>
    <x v="40"/>
    <n v="262.30004000000002"/>
    <x v="1"/>
    <x v="2"/>
    <x v="5"/>
    <x v="7"/>
    <x v="11"/>
    <x v="22"/>
    <n v="285.90704360000007"/>
  </r>
  <r>
    <x v="1"/>
    <x v="0"/>
    <x v="1"/>
    <x v="1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1"/>
    <x v="0"/>
    <x v="1"/>
    <x v="1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1"/>
    <x v="0"/>
    <x v="1"/>
    <x v="1"/>
    <x v="0"/>
    <x v="0"/>
    <x v="0"/>
    <x v="0"/>
    <x v="3"/>
    <x v="3"/>
    <x v="12"/>
    <x v="12"/>
    <x v="2"/>
    <x v="2"/>
    <x v="2"/>
    <x v="40"/>
    <x v="40"/>
    <n v="1.6727000000000001"/>
    <x v="1"/>
    <x v="2"/>
    <x v="5"/>
    <x v="7"/>
    <x v="11"/>
    <x v="22"/>
    <n v="1.8232430000000002"/>
  </r>
  <r>
    <x v="1"/>
    <x v="0"/>
    <x v="1"/>
    <x v="1"/>
    <x v="0"/>
    <x v="0"/>
    <x v="0"/>
    <x v="0"/>
    <x v="3"/>
    <x v="3"/>
    <x v="12"/>
    <x v="12"/>
    <x v="3"/>
    <x v="7"/>
    <x v="7"/>
    <x v="40"/>
    <x v="40"/>
    <n v="135.7774"/>
    <x v="1"/>
    <x v="2"/>
    <x v="5"/>
    <x v="7"/>
    <x v="11"/>
    <x v="22"/>
    <n v="147.997366"/>
  </r>
  <r>
    <x v="1"/>
    <x v="0"/>
    <x v="1"/>
    <x v="1"/>
    <x v="0"/>
    <x v="0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1"/>
    <x v="0"/>
    <x v="1"/>
    <x v="1"/>
    <x v="0"/>
    <x v="0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1"/>
    <x v="0"/>
    <x v="1"/>
    <x v="1"/>
    <x v="0"/>
    <x v="0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1"/>
    <x v="0"/>
    <x v="1"/>
    <x v="1"/>
    <x v="0"/>
    <x v="0"/>
    <x v="0"/>
    <x v="0"/>
    <x v="3"/>
    <x v="3"/>
    <x v="12"/>
    <x v="12"/>
    <x v="4"/>
    <x v="5"/>
    <x v="5"/>
    <x v="40"/>
    <x v="40"/>
    <n v="169.5333"/>
    <x v="1"/>
    <x v="2"/>
    <x v="5"/>
    <x v="7"/>
    <x v="11"/>
    <x v="22"/>
    <n v="184.79129700000001"/>
  </r>
  <r>
    <x v="1"/>
    <x v="0"/>
    <x v="1"/>
    <x v="1"/>
    <x v="0"/>
    <x v="0"/>
    <x v="0"/>
    <x v="0"/>
    <x v="3"/>
    <x v="3"/>
    <x v="13"/>
    <x v="13"/>
    <x v="2"/>
    <x v="2"/>
    <x v="2"/>
    <x v="41"/>
    <x v="41"/>
    <n v="0.54253191489156005"/>
    <x v="1"/>
    <x v="2"/>
    <x v="5"/>
    <x v="7"/>
    <x v="11"/>
    <x v="22"/>
    <n v="0.59135978723180049"/>
  </r>
  <r>
    <x v="1"/>
    <x v="0"/>
    <x v="1"/>
    <x v="1"/>
    <x v="0"/>
    <x v="0"/>
    <x v="0"/>
    <x v="0"/>
    <x v="3"/>
    <x v="3"/>
    <x v="13"/>
    <x v="13"/>
    <x v="2"/>
    <x v="2"/>
    <x v="2"/>
    <x v="40"/>
    <x v="40"/>
    <n v="71.346810000000005"/>
    <x v="1"/>
    <x v="2"/>
    <x v="5"/>
    <x v="7"/>
    <x v="11"/>
    <x v="22"/>
    <n v="77.768022900000005"/>
  </r>
  <r>
    <x v="1"/>
    <x v="0"/>
    <x v="1"/>
    <x v="1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1"/>
    <x v="0"/>
    <x v="1"/>
    <x v="1"/>
    <x v="0"/>
    <x v="0"/>
    <x v="0"/>
    <x v="0"/>
    <x v="3"/>
    <x v="3"/>
    <x v="13"/>
    <x v="13"/>
    <x v="1"/>
    <x v="8"/>
    <x v="8"/>
    <x v="40"/>
    <x v="40"/>
    <n v="3.2833999999999999"/>
    <x v="1"/>
    <x v="2"/>
    <x v="5"/>
    <x v="7"/>
    <x v="11"/>
    <x v="22"/>
    <n v="3.5789059999999999"/>
  </r>
  <r>
    <x v="1"/>
    <x v="0"/>
    <x v="1"/>
    <x v="1"/>
    <x v="0"/>
    <x v="0"/>
    <x v="0"/>
    <x v="0"/>
    <x v="3"/>
    <x v="3"/>
    <x v="13"/>
    <x v="13"/>
    <x v="4"/>
    <x v="5"/>
    <x v="5"/>
    <x v="40"/>
    <x v="40"/>
    <n v="1.5350999999999999"/>
    <x v="1"/>
    <x v="2"/>
    <x v="5"/>
    <x v="7"/>
    <x v="11"/>
    <x v="22"/>
    <n v="1.6732590000000001"/>
  </r>
  <r>
    <x v="1"/>
    <x v="0"/>
    <x v="1"/>
    <x v="1"/>
    <x v="0"/>
    <x v="0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1"/>
    <x v="0"/>
    <x v="1"/>
    <x v="1"/>
    <x v="0"/>
    <x v="0"/>
    <x v="0"/>
    <x v="0"/>
    <x v="3"/>
    <x v="3"/>
    <x v="19"/>
    <x v="19"/>
    <x v="3"/>
    <x v="7"/>
    <x v="7"/>
    <x v="40"/>
    <x v="40"/>
    <n v="561.11580000000004"/>
    <x v="1"/>
    <x v="2"/>
    <x v="5"/>
    <x v="7"/>
    <x v="11"/>
    <x v="22"/>
    <n v="611.61622200000011"/>
  </r>
  <r>
    <x v="1"/>
    <x v="0"/>
    <x v="1"/>
    <x v="1"/>
    <x v="0"/>
    <x v="0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1"/>
    <x v="0"/>
    <x v="1"/>
    <x v="1"/>
    <x v="0"/>
    <x v="0"/>
    <x v="0"/>
    <x v="0"/>
    <x v="3"/>
    <x v="3"/>
    <x v="19"/>
    <x v="19"/>
    <x v="1"/>
    <x v="8"/>
    <x v="8"/>
    <x v="40"/>
    <x v="40"/>
    <n v="459.62052"/>
    <x v="1"/>
    <x v="2"/>
    <x v="5"/>
    <x v="7"/>
    <x v="11"/>
    <x v="22"/>
    <n v="500.98636680000004"/>
  </r>
  <r>
    <x v="1"/>
    <x v="0"/>
    <x v="1"/>
    <x v="1"/>
    <x v="0"/>
    <x v="0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1"/>
    <x v="0"/>
    <x v="1"/>
    <x v="1"/>
    <x v="0"/>
    <x v="0"/>
    <x v="0"/>
    <x v="0"/>
    <x v="3"/>
    <x v="3"/>
    <x v="19"/>
    <x v="19"/>
    <x v="2"/>
    <x v="10"/>
    <x v="10"/>
    <x v="40"/>
    <x v="40"/>
    <n v="63.902999999999999"/>
    <x v="1"/>
    <x v="2"/>
    <x v="5"/>
    <x v="7"/>
    <x v="11"/>
    <x v="22"/>
    <n v="69.654269999999997"/>
  </r>
  <r>
    <x v="1"/>
    <x v="0"/>
    <x v="1"/>
    <x v="1"/>
    <x v="0"/>
    <x v="0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1"/>
    <x v="0"/>
    <x v="1"/>
    <x v="1"/>
    <x v="0"/>
    <x v="0"/>
    <x v="0"/>
    <x v="0"/>
    <x v="3"/>
    <x v="3"/>
    <x v="19"/>
    <x v="19"/>
    <x v="4"/>
    <x v="5"/>
    <x v="5"/>
    <x v="40"/>
    <x v="40"/>
    <n v="435.68786999999998"/>
    <x v="1"/>
    <x v="2"/>
    <x v="5"/>
    <x v="7"/>
    <x v="11"/>
    <x v="22"/>
    <n v="474.89977829999998"/>
  </r>
  <r>
    <x v="1"/>
    <x v="0"/>
    <x v="1"/>
    <x v="1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1"/>
    <x v="0"/>
    <x v="1"/>
    <x v="1"/>
    <x v="0"/>
    <x v="0"/>
    <x v="0"/>
    <x v="0"/>
    <x v="2"/>
    <x v="2"/>
    <x v="14"/>
    <x v="14"/>
    <x v="2"/>
    <x v="2"/>
    <x v="2"/>
    <x v="40"/>
    <x v="40"/>
    <n v="5.72201"/>
    <x v="1"/>
    <x v="2"/>
    <x v="5"/>
    <x v="7"/>
    <x v="11"/>
    <x v="22"/>
    <n v="6.2369909000000003"/>
  </r>
  <r>
    <x v="1"/>
    <x v="0"/>
    <x v="1"/>
    <x v="1"/>
    <x v="0"/>
    <x v="0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1"/>
    <x v="0"/>
    <x v="1"/>
    <x v="1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1"/>
    <x v="0"/>
    <x v="1"/>
    <x v="1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1"/>
    <x v="0"/>
    <x v="1"/>
    <x v="1"/>
    <x v="0"/>
    <x v="0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1"/>
    <x v="0"/>
    <x v="1"/>
    <x v="1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1"/>
    <x v="0"/>
    <x v="1"/>
    <x v="1"/>
    <x v="0"/>
    <x v="0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1"/>
    <x v="0"/>
    <x v="1"/>
    <x v="1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1"/>
    <x v="0"/>
    <x v="1"/>
    <x v="1"/>
    <x v="0"/>
    <x v="0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1"/>
    <x v="0"/>
    <x v="1"/>
    <x v="1"/>
    <x v="0"/>
    <x v="0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1"/>
    <x v="0"/>
    <x v="1"/>
    <x v="1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1"/>
    <x v="0"/>
    <x v="1"/>
    <x v="1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1"/>
    <x v="0"/>
    <x v="1"/>
    <x v="1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1"/>
    <x v="0"/>
    <x v="1"/>
    <x v="1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1"/>
    <x v="0"/>
    <x v="1"/>
    <x v="1"/>
    <x v="0"/>
    <x v="0"/>
    <x v="0"/>
    <x v="0"/>
    <x v="2"/>
    <x v="2"/>
    <x v="17"/>
    <x v="17"/>
    <x v="2"/>
    <x v="2"/>
    <x v="2"/>
    <x v="42"/>
    <x v="42"/>
    <n v="8.4937900000000006"/>
    <x v="1"/>
    <x v="2"/>
    <x v="5"/>
    <x v="7"/>
    <x v="11"/>
    <x v="22"/>
    <n v="9.2582311000000015"/>
  </r>
  <r>
    <x v="1"/>
    <x v="0"/>
    <x v="1"/>
    <x v="1"/>
    <x v="0"/>
    <x v="0"/>
    <x v="0"/>
    <x v="0"/>
    <x v="2"/>
    <x v="2"/>
    <x v="17"/>
    <x v="17"/>
    <x v="2"/>
    <x v="2"/>
    <x v="2"/>
    <x v="40"/>
    <x v="40"/>
    <n v="18.970420000000001"/>
    <x v="1"/>
    <x v="2"/>
    <x v="5"/>
    <x v="7"/>
    <x v="11"/>
    <x v="22"/>
    <n v="20.677757800000002"/>
  </r>
  <r>
    <x v="1"/>
    <x v="0"/>
    <x v="1"/>
    <x v="1"/>
    <x v="0"/>
    <x v="0"/>
    <x v="0"/>
    <x v="0"/>
    <x v="2"/>
    <x v="2"/>
    <x v="17"/>
    <x v="17"/>
    <x v="2"/>
    <x v="2"/>
    <x v="2"/>
    <x v="38"/>
    <x v="38"/>
    <n v="34.217309999999998"/>
    <x v="1"/>
    <x v="0"/>
    <x v="4"/>
    <x v="6"/>
    <x v="10"/>
    <x v="21"/>
    <n v="37.296867900000002"/>
  </r>
  <r>
    <x v="1"/>
    <x v="0"/>
    <x v="1"/>
    <x v="1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1"/>
    <x v="0"/>
    <x v="1"/>
    <x v="1"/>
    <x v="0"/>
    <x v="0"/>
    <x v="0"/>
    <x v="0"/>
    <x v="2"/>
    <x v="2"/>
    <x v="17"/>
    <x v="17"/>
    <x v="3"/>
    <x v="7"/>
    <x v="7"/>
    <x v="40"/>
    <x v="40"/>
    <n v="387.69729999999998"/>
    <x v="1"/>
    <x v="2"/>
    <x v="5"/>
    <x v="7"/>
    <x v="11"/>
    <x v="22"/>
    <n v="422.590057"/>
  </r>
  <r>
    <x v="1"/>
    <x v="0"/>
    <x v="1"/>
    <x v="1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1"/>
    <x v="0"/>
    <x v="1"/>
    <x v="1"/>
    <x v="0"/>
    <x v="0"/>
    <x v="0"/>
    <x v="0"/>
    <x v="2"/>
    <x v="2"/>
    <x v="17"/>
    <x v="17"/>
    <x v="1"/>
    <x v="8"/>
    <x v="8"/>
    <x v="40"/>
    <x v="40"/>
    <n v="119.7561"/>
    <x v="1"/>
    <x v="2"/>
    <x v="5"/>
    <x v="7"/>
    <x v="11"/>
    <x v="22"/>
    <n v="130.53414900000001"/>
  </r>
  <r>
    <x v="1"/>
    <x v="0"/>
    <x v="1"/>
    <x v="1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1"/>
    <x v="0"/>
    <x v="1"/>
    <x v="1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1"/>
    <x v="0"/>
    <x v="1"/>
    <x v="1"/>
    <x v="0"/>
    <x v="0"/>
    <x v="0"/>
    <x v="0"/>
    <x v="2"/>
    <x v="2"/>
    <x v="17"/>
    <x v="17"/>
    <x v="2"/>
    <x v="10"/>
    <x v="10"/>
    <x v="40"/>
    <x v="40"/>
    <n v="57.313499999999998"/>
    <x v="1"/>
    <x v="2"/>
    <x v="5"/>
    <x v="7"/>
    <x v="11"/>
    <x v="22"/>
    <n v="62.471715000000003"/>
  </r>
  <r>
    <x v="1"/>
    <x v="0"/>
    <x v="1"/>
    <x v="1"/>
    <x v="0"/>
    <x v="0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1"/>
    <x v="0"/>
    <x v="1"/>
    <x v="1"/>
    <x v="0"/>
    <x v="0"/>
    <x v="0"/>
    <x v="0"/>
    <x v="2"/>
    <x v="2"/>
    <x v="17"/>
    <x v="17"/>
    <x v="4"/>
    <x v="5"/>
    <x v="5"/>
    <x v="40"/>
    <x v="40"/>
    <n v="1356.8815400000001"/>
    <x v="1"/>
    <x v="2"/>
    <x v="5"/>
    <x v="7"/>
    <x v="11"/>
    <x v="22"/>
    <n v="1479.0008786000003"/>
  </r>
  <r>
    <x v="1"/>
    <x v="0"/>
    <x v="1"/>
    <x v="1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1"/>
    <x v="0"/>
    <x v="1"/>
    <x v="1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1"/>
    <x v="0"/>
    <x v="1"/>
    <x v="1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1"/>
    <x v="0"/>
    <x v="1"/>
    <x v="1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1"/>
    <x v="0"/>
    <x v="1"/>
    <x v="1"/>
    <x v="0"/>
    <x v="1"/>
    <x v="0"/>
    <x v="0"/>
    <x v="0"/>
    <x v="0"/>
    <x v="2"/>
    <x v="2"/>
    <x v="2"/>
    <x v="2"/>
    <x v="2"/>
    <x v="2"/>
    <x v="2"/>
    <n v="215.257495412715"/>
    <x v="0"/>
    <x v="1"/>
    <x v="2"/>
    <x v="2"/>
    <x v="13"/>
    <x v="2"/>
    <n v="234.63066999985938"/>
  </r>
  <r>
    <x v="1"/>
    <x v="0"/>
    <x v="1"/>
    <x v="1"/>
    <x v="0"/>
    <x v="1"/>
    <x v="0"/>
    <x v="0"/>
    <x v="0"/>
    <x v="0"/>
    <x v="0"/>
    <x v="0"/>
    <x v="3"/>
    <x v="3"/>
    <x v="3"/>
    <x v="8"/>
    <x v="8"/>
    <n v="620.95729054451499"/>
    <x v="0"/>
    <x v="1"/>
    <x v="2"/>
    <x v="2"/>
    <x v="6"/>
    <x v="8"/>
    <n v="676.8434466935214"/>
  </r>
  <r>
    <x v="1"/>
    <x v="0"/>
    <x v="1"/>
    <x v="1"/>
    <x v="0"/>
    <x v="1"/>
    <x v="0"/>
    <x v="0"/>
    <x v="0"/>
    <x v="0"/>
    <x v="0"/>
    <x v="0"/>
    <x v="3"/>
    <x v="3"/>
    <x v="3"/>
    <x v="2"/>
    <x v="2"/>
    <n v="254.053504587004"/>
    <x v="0"/>
    <x v="1"/>
    <x v="2"/>
    <x v="2"/>
    <x v="13"/>
    <x v="2"/>
    <n v="276.91831999983435"/>
  </r>
  <r>
    <x v="1"/>
    <x v="0"/>
    <x v="1"/>
    <x v="1"/>
    <x v="0"/>
    <x v="1"/>
    <x v="0"/>
    <x v="0"/>
    <x v="0"/>
    <x v="0"/>
    <x v="0"/>
    <x v="0"/>
    <x v="0"/>
    <x v="4"/>
    <x v="4"/>
    <x v="8"/>
    <x v="8"/>
    <n v="59.9438648652485"/>
    <x v="0"/>
    <x v="1"/>
    <x v="2"/>
    <x v="2"/>
    <x v="6"/>
    <x v="8"/>
    <n v="65.338812703120865"/>
  </r>
  <r>
    <x v="1"/>
    <x v="0"/>
    <x v="1"/>
    <x v="1"/>
    <x v="0"/>
    <x v="1"/>
    <x v="0"/>
    <x v="0"/>
    <x v="0"/>
    <x v="0"/>
    <x v="0"/>
    <x v="0"/>
    <x v="0"/>
    <x v="4"/>
    <x v="4"/>
    <x v="11"/>
    <x v="11"/>
    <n v="103.46420999999999"/>
    <x v="0"/>
    <x v="0"/>
    <x v="3"/>
    <x v="5"/>
    <x v="7"/>
    <x v="11"/>
    <n v="112.7759889"/>
  </r>
  <r>
    <x v="1"/>
    <x v="0"/>
    <x v="1"/>
    <x v="1"/>
    <x v="0"/>
    <x v="1"/>
    <x v="0"/>
    <x v="0"/>
    <x v="0"/>
    <x v="0"/>
    <x v="0"/>
    <x v="0"/>
    <x v="0"/>
    <x v="4"/>
    <x v="4"/>
    <x v="12"/>
    <x v="12"/>
    <n v="674.08075581139201"/>
    <x v="0"/>
    <x v="0"/>
    <x v="0"/>
    <x v="0"/>
    <x v="8"/>
    <x v="12"/>
    <n v="734.74802383441738"/>
  </r>
  <r>
    <x v="1"/>
    <x v="0"/>
    <x v="1"/>
    <x v="1"/>
    <x v="0"/>
    <x v="1"/>
    <x v="0"/>
    <x v="0"/>
    <x v="0"/>
    <x v="0"/>
    <x v="0"/>
    <x v="0"/>
    <x v="0"/>
    <x v="4"/>
    <x v="4"/>
    <x v="14"/>
    <x v="14"/>
    <n v="140.94395"/>
    <x v="0"/>
    <x v="0"/>
    <x v="0"/>
    <x v="0"/>
    <x v="8"/>
    <x v="14"/>
    <n v="153.6289055"/>
  </r>
  <r>
    <x v="1"/>
    <x v="0"/>
    <x v="1"/>
    <x v="1"/>
    <x v="0"/>
    <x v="1"/>
    <x v="0"/>
    <x v="0"/>
    <x v="0"/>
    <x v="0"/>
    <x v="0"/>
    <x v="0"/>
    <x v="1"/>
    <x v="1"/>
    <x v="1"/>
    <x v="10"/>
    <x v="10"/>
    <n v="48.105871559604203"/>
    <x v="0"/>
    <x v="0"/>
    <x v="1"/>
    <x v="4"/>
    <x v="5"/>
    <x v="10"/>
    <n v="52.435399999968588"/>
  </r>
  <r>
    <x v="1"/>
    <x v="0"/>
    <x v="1"/>
    <x v="1"/>
    <x v="0"/>
    <x v="1"/>
    <x v="0"/>
    <x v="0"/>
    <x v="0"/>
    <x v="0"/>
    <x v="0"/>
    <x v="0"/>
    <x v="1"/>
    <x v="1"/>
    <x v="1"/>
    <x v="11"/>
    <x v="11"/>
    <n v="8.6088699999999996"/>
    <x v="0"/>
    <x v="0"/>
    <x v="3"/>
    <x v="5"/>
    <x v="7"/>
    <x v="11"/>
    <n v="9.3836683000000001"/>
  </r>
  <r>
    <x v="1"/>
    <x v="0"/>
    <x v="1"/>
    <x v="1"/>
    <x v="0"/>
    <x v="1"/>
    <x v="0"/>
    <x v="0"/>
    <x v="0"/>
    <x v="0"/>
    <x v="0"/>
    <x v="0"/>
    <x v="1"/>
    <x v="1"/>
    <x v="1"/>
    <x v="12"/>
    <x v="12"/>
    <n v="992.76526743808802"/>
    <x v="0"/>
    <x v="0"/>
    <x v="0"/>
    <x v="0"/>
    <x v="8"/>
    <x v="12"/>
    <n v="1082.114141507516"/>
  </r>
  <r>
    <x v="1"/>
    <x v="0"/>
    <x v="1"/>
    <x v="1"/>
    <x v="0"/>
    <x v="1"/>
    <x v="0"/>
    <x v="0"/>
    <x v="0"/>
    <x v="0"/>
    <x v="0"/>
    <x v="0"/>
    <x v="1"/>
    <x v="1"/>
    <x v="1"/>
    <x v="14"/>
    <x v="14"/>
    <n v="256.91739999999999"/>
    <x v="0"/>
    <x v="0"/>
    <x v="0"/>
    <x v="0"/>
    <x v="8"/>
    <x v="14"/>
    <n v="280.03996599999999"/>
  </r>
  <r>
    <x v="1"/>
    <x v="0"/>
    <x v="1"/>
    <x v="1"/>
    <x v="0"/>
    <x v="1"/>
    <x v="0"/>
    <x v="0"/>
    <x v="0"/>
    <x v="0"/>
    <x v="0"/>
    <x v="0"/>
    <x v="1"/>
    <x v="1"/>
    <x v="1"/>
    <x v="15"/>
    <x v="15"/>
    <n v="0.69258715596289"/>
    <x v="0"/>
    <x v="0"/>
    <x v="1"/>
    <x v="3"/>
    <x v="3"/>
    <x v="15"/>
    <n v="0.75491999999955017"/>
  </r>
  <r>
    <x v="1"/>
    <x v="0"/>
    <x v="1"/>
    <x v="1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1"/>
    <x v="0"/>
    <x v="1"/>
    <x v="1"/>
    <x v="0"/>
    <x v="1"/>
    <x v="0"/>
    <x v="0"/>
    <x v="0"/>
    <x v="0"/>
    <x v="0"/>
    <x v="0"/>
    <x v="1"/>
    <x v="1"/>
    <x v="1"/>
    <x v="16"/>
    <x v="16"/>
    <n v="2.8"/>
    <x v="0"/>
    <x v="0"/>
    <x v="3"/>
    <x v="5"/>
    <x v="9"/>
    <x v="16"/>
    <n v="3.052"/>
  </r>
  <r>
    <x v="1"/>
    <x v="0"/>
    <x v="1"/>
    <x v="1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1"/>
    <x v="0"/>
    <x v="1"/>
    <x v="1"/>
    <x v="0"/>
    <x v="1"/>
    <x v="0"/>
    <x v="0"/>
    <x v="0"/>
    <x v="0"/>
    <x v="0"/>
    <x v="0"/>
    <x v="1"/>
    <x v="1"/>
    <x v="1"/>
    <x v="24"/>
    <x v="24"/>
    <n v="32.593440366952898"/>
    <x v="0"/>
    <x v="0"/>
    <x v="1"/>
    <x v="3"/>
    <x v="3"/>
    <x v="4"/>
    <n v="35.526849999978658"/>
  </r>
  <r>
    <x v="1"/>
    <x v="0"/>
    <x v="1"/>
    <x v="1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1"/>
    <x v="0"/>
    <x v="1"/>
    <x v="1"/>
    <x v="0"/>
    <x v="1"/>
    <x v="0"/>
    <x v="0"/>
    <x v="0"/>
    <x v="0"/>
    <x v="0"/>
    <x v="0"/>
    <x v="1"/>
    <x v="1"/>
    <x v="1"/>
    <x v="18"/>
    <x v="18"/>
    <n v="36.161140000000003"/>
    <x v="0"/>
    <x v="0"/>
    <x v="0"/>
    <x v="0"/>
    <x v="4"/>
    <x v="18"/>
    <n v="39.415642600000005"/>
  </r>
  <r>
    <x v="1"/>
    <x v="0"/>
    <x v="1"/>
    <x v="1"/>
    <x v="0"/>
    <x v="1"/>
    <x v="0"/>
    <x v="0"/>
    <x v="0"/>
    <x v="0"/>
    <x v="0"/>
    <x v="0"/>
    <x v="1"/>
    <x v="1"/>
    <x v="1"/>
    <x v="26"/>
    <x v="26"/>
    <n v="8.8048256880681102"/>
    <x v="0"/>
    <x v="0"/>
    <x v="1"/>
    <x v="3"/>
    <x v="3"/>
    <x v="15"/>
    <n v="9.5972599999942414"/>
  </r>
  <r>
    <x v="1"/>
    <x v="0"/>
    <x v="1"/>
    <x v="1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1"/>
    <x v="0"/>
    <x v="1"/>
    <x v="1"/>
    <x v="0"/>
    <x v="1"/>
    <x v="0"/>
    <x v="0"/>
    <x v="0"/>
    <x v="0"/>
    <x v="0"/>
    <x v="0"/>
    <x v="1"/>
    <x v="1"/>
    <x v="1"/>
    <x v="2"/>
    <x v="2"/>
    <n v="4536.7731467862704"/>
    <x v="0"/>
    <x v="1"/>
    <x v="2"/>
    <x v="2"/>
    <x v="13"/>
    <x v="2"/>
    <n v="4945.0827299970351"/>
  </r>
  <r>
    <x v="1"/>
    <x v="0"/>
    <x v="1"/>
    <x v="1"/>
    <x v="0"/>
    <x v="1"/>
    <x v="0"/>
    <x v="0"/>
    <x v="0"/>
    <x v="0"/>
    <x v="0"/>
    <x v="0"/>
    <x v="2"/>
    <x v="2"/>
    <x v="2"/>
    <x v="4"/>
    <x v="4"/>
    <n v="19.596880733933201"/>
    <x v="0"/>
    <x v="0"/>
    <x v="1"/>
    <x v="3"/>
    <x v="3"/>
    <x v="4"/>
    <n v="21.360599999987191"/>
  </r>
  <r>
    <x v="1"/>
    <x v="0"/>
    <x v="1"/>
    <x v="1"/>
    <x v="0"/>
    <x v="1"/>
    <x v="0"/>
    <x v="0"/>
    <x v="0"/>
    <x v="0"/>
    <x v="0"/>
    <x v="0"/>
    <x v="2"/>
    <x v="2"/>
    <x v="2"/>
    <x v="6"/>
    <x v="6"/>
    <n v="9.2899999999999996E-2"/>
    <x v="0"/>
    <x v="0"/>
    <x v="0"/>
    <x v="0"/>
    <x v="4"/>
    <x v="6"/>
    <n v="0.101261"/>
  </r>
  <r>
    <x v="1"/>
    <x v="0"/>
    <x v="1"/>
    <x v="1"/>
    <x v="0"/>
    <x v="1"/>
    <x v="0"/>
    <x v="0"/>
    <x v="0"/>
    <x v="0"/>
    <x v="0"/>
    <x v="0"/>
    <x v="2"/>
    <x v="2"/>
    <x v="2"/>
    <x v="8"/>
    <x v="8"/>
    <n v="6254.5721824724596"/>
    <x v="0"/>
    <x v="1"/>
    <x v="2"/>
    <x v="2"/>
    <x v="6"/>
    <x v="8"/>
    <n v="6817.4836788949815"/>
  </r>
  <r>
    <x v="1"/>
    <x v="0"/>
    <x v="1"/>
    <x v="1"/>
    <x v="0"/>
    <x v="1"/>
    <x v="0"/>
    <x v="0"/>
    <x v="0"/>
    <x v="0"/>
    <x v="0"/>
    <x v="0"/>
    <x v="2"/>
    <x v="2"/>
    <x v="2"/>
    <x v="9"/>
    <x v="9"/>
    <n v="19.646559633015698"/>
    <x v="0"/>
    <x v="0"/>
    <x v="1"/>
    <x v="4"/>
    <x v="5"/>
    <x v="9"/>
    <n v="21.414749999987112"/>
  </r>
  <r>
    <x v="1"/>
    <x v="0"/>
    <x v="1"/>
    <x v="1"/>
    <x v="0"/>
    <x v="1"/>
    <x v="0"/>
    <x v="0"/>
    <x v="0"/>
    <x v="0"/>
    <x v="0"/>
    <x v="0"/>
    <x v="2"/>
    <x v="2"/>
    <x v="2"/>
    <x v="10"/>
    <x v="10"/>
    <n v="0.29816513761449998"/>
    <x v="0"/>
    <x v="0"/>
    <x v="1"/>
    <x v="4"/>
    <x v="5"/>
    <x v="10"/>
    <n v="0.324999999999805"/>
  </r>
  <r>
    <x v="1"/>
    <x v="0"/>
    <x v="1"/>
    <x v="1"/>
    <x v="0"/>
    <x v="1"/>
    <x v="0"/>
    <x v="0"/>
    <x v="0"/>
    <x v="0"/>
    <x v="0"/>
    <x v="0"/>
    <x v="2"/>
    <x v="2"/>
    <x v="2"/>
    <x v="30"/>
    <x v="30"/>
    <n v="0.75280241935183001"/>
    <x v="0"/>
    <x v="0"/>
    <x v="0"/>
    <x v="0"/>
    <x v="0"/>
    <x v="0"/>
    <n v="0.82055463709349474"/>
  </r>
  <r>
    <x v="1"/>
    <x v="0"/>
    <x v="1"/>
    <x v="1"/>
    <x v="0"/>
    <x v="1"/>
    <x v="0"/>
    <x v="0"/>
    <x v="0"/>
    <x v="0"/>
    <x v="0"/>
    <x v="0"/>
    <x v="2"/>
    <x v="2"/>
    <x v="2"/>
    <x v="11"/>
    <x v="11"/>
    <n v="9.1143300000000007"/>
    <x v="0"/>
    <x v="0"/>
    <x v="3"/>
    <x v="5"/>
    <x v="7"/>
    <x v="11"/>
    <n v="9.9346197000000007"/>
  </r>
  <r>
    <x v="1"/>
    <x v="0"/>
    <x v="1"/>
    <x v="1"/>
    <x v="0"/>
    <x v="1"/>
    <x v="0"/>
    <x v="0"/>
    <x v="0"/>
    <x v="0"/>
    <x v="0"/>
    <x v="0"/>
    <x v="2"/>
    <x v="2"/>
    <x v="2"/>
    <x v="12"/>
    <x v="12"/>
    <n v="634.19269767200899"/>
    <x v="0"/>
    <x v="0"/>
    <x v="0"/>
    <x v="0"/>
    <x v="8"/>
    <x v="12"/>
    <n v="691.27004046248987"/>
  </r>
  <r>
    <x v="1"/>
    <x v="0"/>
    <x v="1"/>
    <x v="1"/>
    <x v="0"/>
    <x v="1"/>
    <x v="0"/>
    <x v="0"/>
    <x v="0"/>
    <x v="0"/>
    <x v="0"/>
    <x v="0"/>
    <x v="2"/>
    <x v="2"/>
    <x v="2"/>
    <x v="14"/>
    <x v="14"/>
    <n v="39.66272"/>
    <x v="0"/>
    <x v="0"/>
    <x v="0"/>
    <x v="0"/>
    <x v="8"/>
    <x v="14"/>
    <n v="43.232364800000006"/>
  </r>
  <r>
    <x v="1"/>
    <x v="0"/>
    <x v="1"/>
    <x v="1"/>
    <x v="0"/>
    <x v="1"/>
    <x v="0"/>
    <x v="0"/>
    <x v="0"/>
    <x v="0"/>
    <x v="0"/>
    <x v="0"/>
    <x v="2"/>
    <x v="2"/>
    <x v="2"/>
    <x v="16"/>
    <x v="16"/>
    <n v="77.915629999999993"/>
    <x v="0"/>
    <x v="0"/>
    <x v="3"/>
    <x v="5"/>
    <x v="9"/>
    <x v="16"/>
    <n v="84.928036699999993"/>
  </r>
  <r>
    <x v="1"/>
    <x v="0"/>
    <x v="1"/>
    <x v="1"/>
    <x v="0"/>
    <x v="1"/>
    <x v="0"/>
    <x v="0"/>
    <x v="0"/>
    <x v="0"/>
    <x v="0"/>
    <x v="0"/>
    <x v="2"/>
    <x v="2"/>
    <x v="2"/>
    <x v="17"/>
    <x v="17"/>
    <n v="0.74104999999999999"/>
    <x v="0"/>
    <x v="0"/>
    <x v="0"/>
    <x v="0"/>
    <x v="4"/>
    <x v="17"/>
    <n v="0.80774450000000009"/>
  </r>
  <r>
    <x v="1"/>
    <x v="0"/>
    <x v="1"/>
    <x v="1"/>
    <x v="0"/>
    <x v="1"/>
    <x v="0"/>
    <x v="0"/>
    <x v="0"/>
    <x v="0"/>
    <x v="0"/>
    <x v="0"/>
    <x v="2"/>
    <x v="2"/>
    <x v="2"/>
    <x v="18"/>
    <x v="18"/>
    <n v="28.610289999999999"/>
    <x v="0"/>
    <x v="0"/>
    <x v="0"/>
    <x v="0"/>
    <x v="4"/>
    <x v="18"/>
    <n v="31.185216100000002"/>
  </r>
  <r>
    <x v="1"/>
    <x v="0"/>
    <x v="1"/>
    <x v="1"/>
    <x v="0"/>
    <x v="1"/>
    <x v="0"/>
    <x v="0"/>
    <x v="0"/>
    <x v="0"/>
    <x v="0"/>
    <x v="0"/>
    <x v="2"/>
    <x v="2"/>
    <x v="2"/>
    <x v="34"/>
    <x v="34"/>
    <n v="2.2980524017076598"/>
    <x v="0"/>
    <x v="0"/>
    <x v="0"/>
    <x v="0"/>
    <x v="0"/>
    <x v="0"/>
    <n v="2.5048771178613491"/>
  </r>
  <r>
    <x v="1"/>
    <x v="0"/>
    <x v="1"/>
    <x v="1"/>
    <x v="0"/>
    <x v="1"/>
    <x v="0"/>
    <x v="0"/>
    <x v="0"/>
    <x v="0"/>
    <x v="0"/>
    <x v="0"/>
    <x v="2"/>
    <x v="2"/>
    <x v="2"/>
    <x v="27"/>
    <x v="27"/>
    <n v="1.8127139640023899"/>
    <x v="0"/>
    <x v="0"/>
    <x v="1"/>
    <x v="3"/>
    <x v="3"/>
    <x v="19"/>
    <n v="1.9758582207626052"/>
  </r>
  <r>
    <x v="1"/>
    <x v="0"/>
    <x v="1"/>
    <x v="1"/>
    <x v="0"/>
    <x v="1"/>
    <x v="0"/>
    <x v="0"/>
    <x v="0"/>
    <x v="0"/>
    <x v="0"/>
    <x v="0"/>
    <x v="2"/>
    <x v="2"/>
    <x v="2"/>
    <x v="0"/>
    <x v="0"/>
    <n v="2.1584893238373701"/>
    <x v="0"/>
    <x v="0"/>
    <x v="0"/>
    <x v="0"/>
    <x v="0"/>
    <x v="0"/>
    <n v="2.3527533629827335"/>
  </r>
  <r>
    <x v="1"/>
    <x v="0"/>
    <x v="1"/>
    <x v="1"/>
    <x v="0"/>
    <x v="1"/>
    <x v="0"/>
    <x v="0"/>
    <x v="0"/>
    <x v="0"/>
    <x v="0"/>
    <x v="0"/>
    <x v="2"/>
    <x v="2"/>
    <x v="2"/>
    <x v="20"/>
    <x v="20"/>
    <n v="0.32718000000000003"/>
    <x v="0"/>
    <x v="0"/>
    <x v="1"/>
    <x v="3"/>
    <x v="3"/>
    <x v="13"/>
    <n v="0.35662620000000006"/>
  </r>
  <r>
    <x v="1"/>
    <x v="0"/>
    <x v="1"/>
    <x v="1"/>
    <x v="0"/>
    <x v="1"/>
    <x v="0"/>
    <x v="0"/>
    <x v="0"/>
    <x v="0"/>
    <x v="0"/>
    <x v="0"/>
    <x v="2"/>
    <x v="2"/>
    <x v="2"/>
    <x v="2"/>
    <x v="2"/>
    <n v="9473.2875412787198"/>
    <x v="0"/>
    <x v="1"/>
    <x v="2"/>
    <x v="2"/>
    <x v="13"/>
    <x v="2"/>
    <n v="10325.883419993805"/>
  </r>
  <r>
    <x v="1"/>
    <x v="0"/>
    <x v="1"/>
    <x v="1"/>
    <x v="0"/>
    <x v="1"/>
    <x v="0"/>
    <x v="0"/>
    <x v="0"/>
    <x v="0"/>
    <x v="0"/>
    <x v="0"/>
    <x v="2"/>
    <x v="2"/>
    <x v="2"/>
    <x v="3"/>
    <x v="3"/>
    <n v="6.4675922131257497"/>
    <x v="0"/>
    <x v="0"/>
    <x v="1"/>
    <x v="3"/>
    <x v="3"/>
    <x v="3"/>
    <n v="7.0496755123070676"/>
  </r>
  <r>
    <x v="1"/>
    <x v="0"/>
    <x v="1"/>
    <x v="1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1"/>
    <x v="0"/>
    <x v="1"/>
    <x v="1"/>
    <x v="0"/>
    <x v="1"/>
    <x v="0"/>
    <x v="0"/>
    <x v="0"/>
    <x v="0"/>
    <x v="0"/>
    <x v="0"/>
    <x v="1"/>
    <x v="6"/>
    <x v="6"/>
    <x v="8"/>
    <x v="8"/>
    <n v="36.8113040542897"/>
    <x v="0"/>
    <x v="1"/>
    <x v="2"/>
    <x v="2"/>
    <x v="6"/>
    <x v="8"/>
    <n v="40.124321419175779"/>
  </r>
  <r>
    <x v="1"/>
    <x v="0"/>
    <x v="1"/>
    <x v="1"/>
    <x v="0"/>
    <x v="1"/>
    <x v="0"/>
    <x v="0"/>
    <x v="0"/>
    <x v="0"/>
    <x v="0"/>
    <x v="0"/>
    <x v="1"/>
    <x v="6"/>
    <x v="6"/>
    <x v="12"/>
    <x v="12"/>
    <n v="103.801279069373"/>
    <x v="0"/>
    <x v="0"/>
    <x v="0"/>
    <x v="0"/>
    <x v="8"/>
    <x v="12"/>
    <n v="113.14339418561657"/>
  </r>
  <r>
    <x v="1"/>
    <x v="0"/>
    <x v="1"/>
    <x v="1"/>
    <x v="0"/>
    <x v="1"/>
    <x v="0"/>
    <x v="0"/>
    <x v="0"/>
    <x v="0"/>
    <x v="0"/>
    <x v="0"/>
    <x v="1"/>
    <x v="6"/>
    <x v="6"/>
    <x v="14"/>
    <x v="14"/>
    <n v="113.65703000000001"/>
    <x v="0"/>
    <x v="0"/>
    <x v="0"/>
    <x v="0"/>
    <x v="8"/>
    <x v="14"/>
    <n v="123.88616270000001"/>
  </r>
  <r>
    <x v="1"/>
    <x v="0"/>
    <x v="1"/>
    <x v="1"/>
    <x v="0"/>
    <x v="1"/>
    <x v="0"/>
    <x v="0"/>
    <x v="0"/>
    <x v="0"/>
    <x v="0"/>
    <x v="0"/>
    <x v="1"/>
    <x v="6"/>
    <x v="6"/>
    <x v="16"/>
    <x v="16"/>
    <n v="270.11804000000001"/>
    <x v="0"/>
    <x v="0"/>
    <x v="3"/>
    <x v="5"/>
    <x v="9"/>
    <x v="16"/>
    <n v="294.42866360000005"/>
  </r>
  <r>
    <x v="1"/>
    <x v="0"/>
    <x v="1"/>
    <x v="1"/>
    <x v="0"/>
    <x v="1"/>
    <x v="0"/>
    <x v="0"/>
    <x v="0"/>
    <x v="0"/>
    <x v="0"/>
    <x v="0"/>
    <x v="1"/>
    <x v="6"/>
    <x v="6"/>
    <x v="18"/>
    <x v="18"/>
    <n v="36.475499999999997"/>
    <x v="0"/>
    <x v="0"/>
    <x v="0"/>
    <x v="0"/>
    <x v="4"/>
    <x v="18"/>
    <n v="39.758294999999997"/>
  </r>
  <r>
    <x v="1"/>
    <x v="0"/>
    <x v="1"/>
    <x v="1"/>
    <x v="0"/>
    <x v="1"/>
    <x v="0"/>
    <x v="0"/>
    <x v="0"/>
    <x v="0"/>
    <x v="0"/>
    <x v="0"/>
    <x v="1"/>
    <x v="6"/>
    <x v="6"/>
    <x v="2"/>
    <x v="2"/>
    <n v="510.30604587125299"/>
    <x v="0"/>
    <x v="1"/>
    <x v="2"/>
    <x v="2"/>
    <x v="13"/>
    <x v="2"/>
    <n v="556.23358999966581"/>
  </r>
  <r>
    <x v="1"/>
    <x v="0"/>
    <x v="1"/>
    <x v="1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1"/>
    <x v="0"/>
    <x v="1"/>
    <x v="1"/>
    <x v="0"/>
    <x v="1"/>
    <x v="0"/>
    <x v="0"/>
    <x v="0"/>
    <x v="0"/>
    <x v="0"/>
    <x v="0"/>
    <x v="3"/>
    <x v="7"/>
    <x v="7"/>
    <x v="9"/>
    <x v="9"/>
    <n v="372.59672561374401"/>
    <x v="0"/>
    <x v="0"/>
    <x v="1"/>
    <x v="4"/>
    <x v="5"/>
    <x v="9"/>
    <n v="406.13043091898101"/>
  </r>
  <r>
    <x v="1"/>
    <x v="0"/>
    <x v="1"/>
    <x v="1"/>
    <x v="0"/>
    <x v="1"/>
    <x v="0"/>
    <x v="0"/>
    <x v="0"/>
    <x v="0"/>
    <x v="0"/>
    <x v="0"/>
    <x v="3"/>
    <x v="7"/>
    <x v="7"/>
    <x v="10"/>
    <x v="10"/>
    <n v="157.22939792114499"/>
    <x v="0"/>
    <x v="0"/>
    <x v="1"/>
    <x v="4"/>
    <x v="5"/>
    <x v="10"/>
    <n v="171.38004373404806"/>
  </r>
  <r>
    <x v="1"/>
    <x v="0"/>
    <x v="1"/>
    <x v="1"/>
    <x v="0"/>
    <x v="1"/>
    <x v="0"/>
    <x v="0"/>
    <x v="0"/>
    <x v="0"/>
    <x v="0"/>
    <x v="0"/>
    <x v="3"/>
    <x v="7"/>
    <x v="7"/>
    <x v="36"/>
    <x v="36"/>
    <n v="166.19098165127599"/>
    <x v="0"/>
    <x v="0"/>
    <x v="1"/>
    <x v="3"/>
    <x v="3"/>
    <x v="4"/>
    <n v="181.14816999989085"/>
  </r>
  <r>
    <x v="1"/>
    <x v="0"/>
    <x v="1"/>
    <x v="1"/>
    <x v="0"/>
    <x v="1"/>
    <x v="0"/>
    <x v="0"/>
    <x v="0"/>
    <x v="0"/>
    <x v="0"/>
    <x v="0"/>
    <x v="3"/>
    <x v="7"/>
    <x v="7"/>
    <x v="24"/>
    <x v="24"/>
    <n v="270.52335779800302"/>
    <x v="0"/>
    <x v="0"/>
    <x v="1"/>
    <x v="3"/>
    <x v="3"/>
    <x v="4"/>
    <n v="294.87045999982331"/>
  </r>
  <r>
    <x v="1"/>
    <x v="0"/>
    <x v="1"/>
    <x v="1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1"/>
    <x v="0"/>
    <x v="1"/>
    <x v="1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1"/>
    <x v="0"/>
    <x v="1"/>
    <x v="1"/>
    <x v="0"/>
    <x v="1"/>
    <x v="0"/>
    <x v="0"/>
    <x v="0"/>
    <x v="0"/>
    <x v="0"/>
    <x v="0"/>
    <x v="3"/>
    <x v="7"/>
    <x v="7"/>
    <x v="34"/>
    <x v="34"/>
    <n v="112.546102181493"/>
    <x v="0"/>
    <x v="0"/>
    <x v="0"/>
    <x v="0"/>
    <x v="0"/>
    <x v="0"/>
    <n v="122.67525137782738"/>
  </r>
  <r>
    <x v="1"/>
    <x v="0"/>
    <x v="1"/>
    <x v="1"/>
    <x v="0"/>
    <x v="1"/>
    <x v="0"/>
    <x v="0"/>
    <x v="0"/>
    <x v="0"/>
    <x v="0"/>
    <x v="0"/>
    <x v="3"/>
    <x v="7"/>
    <x v="7"/>
    <x v="26"/>
    <x v="26"/>
    <n v="3.6707247706400001"/>
    <x v="0"/>
    <x v="0"/>
    <x v="1"/>
    <x v="3"/>
    <x v="3"/>
    <x v="15"/>
    <n v="4.0010899999976006"/>
  </r>
  <r>
    <x v="1"/>
    <x v="0"/>
    <x v="1"/>
    <x v="1"/>
    <x v="0"/>
    <x v="1"/>
    <x v="0"/>
    <x v="0"/>
    <x v="0"/>
    <x v="0"/>
    <x v="0"/>
    <x v="0"/>
    <x v="1"/>
    <x v="8"/>
    <x v="8"/>
    <x v="6"/>
    <x v="6"/>
    <n v="142.56323"/>
    <x v="0"/>
    <x v="0"/>
    <x v="0"/>
    <x v="0"/>
    <x v="4"/>
    <x v="6"/>
    <n v="155.39392070000002"/>
  </r>
  <r>
    <x v="1"/>
    <x v="0"/>
    <x v="1"/>
    <x v="1"/>
    <x v="0"/>
    <x v="1"/>
    <x v="0"/>
    <x v="0"/>
    <x v="0"/>
    <x v="0"/>
    <x v="0"/>
    <x v="0"/>
    <x v="1"/>
    <x v="8"/>
    <x v="8"/>
    <x v="8"/>
    <x v="8"/>
    <n v="447.273608110971"/>
    <x v="0"/>
    <x v="1"/>
    <x v="2"/>
    <x v="2"/>
    <x v="6"/>
    <x v="8"/>
    <n v="487.52823284095842"/>
  </r>
  <r>
    <x v="1"/>
    <x v="0"/>
    <x v="1"/>
    <x v="1"/>
    <x v="0"/>
    <x v="1"/>
    <x v="0"/>
    <x v="0"/>
    <x v="0"/>
    <x v="0"/>
    <x v="0"/>
    <x v="0"/>
    <x v="1"/>
    <x v="8"/>
    <x v="8"/>
    <x v="9"/>
    <x v="9"/>
    <n v="297.34819376272497"/>
    <x v="0"/>
    <x v="0"/>
    <x v="1"/>
    <x v="4"/>
    <x v="5"/>
    <x v="9"/>
    <n v="324.10953120137026"/>
  </r>
  <r>
    <x v="1"/>
    <x v="0"/>
    <x v="1"/>
    <x v="1"/>
    <x v="0"/>
    <x v="1"/>
    <x v="0"/>
    <x v="0"/>
    <x v="0"/>
    <x v="0"/>
    <x v="0"/>
    <x v="0"/>
    <x v="1"/>
    <x v="8"/>
    <x v="8"/>
    <x v="10"/>
    <x v="10"/>
    <n v="152.839853447189"/>
    <x v="0"/>
    <x v="0"/>
    <x v="1"/>
    <x v="4"/>
    <x v="5"/>
    <x v="10"/>
    <n v="166.59544025743602"/>
  </r>
  <r>
    <x v="1"/>
    <x v="0"/>
    <x v="1"/>
    <x v="1"/>
    <x v="0"/>
    <x v="1"/>
    <x v="0"/>
    <x v="0"/>
    <x v="0"/>
    <x v="0"/>
    <x v="0"/>
    <x v="0"/>
    <x v="1"/>
    <x v="8"/>
    <x v="8"/>
    <x v="36"/>
    <x v="36"/>
    <n v="7.4947247706377098"/>
    <x v="0"/>
    <x v="0"/>
    <x v="1"/>
    <x v="3"/>
    <x v="3"/>
    <x v="4"/>
    <n v="8.1692499999951043"/>
  </r>
  <r>
    <x v="1"/>
    <x v="0"/>
    <x v="1"/>
    <x v="1"/>
    <x v="0"/>
    <x v="1"/>
    <x v="0"/>
    <x v="0"/>
    <x v="0"/>
    <x v="0"/>
    <x v="0"/>
    <x v="0"/>
    <x v="1"/>
    <x v="8"/>
    <x v="8"/>
    <x v="24"/>
    <x v="24"/>
    <n v="321.246486238339"/>
    <x v="0"/>
    <x v="0"/>
    <x v="1"/>
    <x v="3"/>
    <x v="3"/>
    <x v="4"/>
    <n v="350.15866999978954"/>
  </r>
  <r>
    <x v="1"/>
    <x v="0"/>
    <x v="1"/>
    <x v="1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1"/>
    <x v="0"/>
    <x v="1"/>
    <x v="1"/>
    <x v="0"/>
    <x v="1"/>
    <x v="0"/>
    <x v="0"/>
    <x v="0"/>
    <x v="0"/>
    <x v="0"/>
    <x v="0"/>
    <x v="1"/>
    <x v="8"/>
    <x v="8"/>
    <x v="21"/>
    <x v="21"/>
    <n v="22.0385045871427"/>
    <x v="0"/>
    <x v="0"/>
    <x v="1"/>
    <x v="4"/>
    <x v="5"/>
    <x v="10"/>
    <n v="24.021969999985544"/>
  </r>
  <r>
    <x v="1"/>
    <x v="0"/>
    <x v="1"/>
    <x v="1"/>
    <x v="0"/>
    <x v="1"/>
    <x v="0"/>
    <x v="0"/>
    <x v="0"/>
    <x v="0"/>
    <x v="0"/>
    <x v="0"/>
    <x v="1"/>
    <x v="8"/>
    <x v="8"/>
    <x v="18"/>
    <x v="18"/>
    <n v="51.484180000000002"/>
    <x v="0"/>
    <x v="0"/>
    <x v="0"/>
    <x v="0"/>
    <x v="4"/>
    <x v="18"/>
    <n v="56.117756200000009"/>
  </r>
  <r>
    <x v="1"/>
    <x v="0"/>
    <x v="1"/>
    <x v="1"/>
    <x v="0"/>
    <x v="1"/>
    <x v="0"/>
    <x v="0"/>
    <x v="0"/>
    <x v="0"/>
    <x v="0"/>
    <x v="0"/>
    <x v="1"/>
    <x v="8"/>
    <x v="8"/>
    <x v="34"/>
    <x v="34"/>
    <n v="15.799126637285999"/>
    <x v="0"/>
    <x v="0"/>
    <x v="0"/>
    <x v="0"/>
    <x v="0"/>
    <x v="0"/>
    <n v="17.22104803464174"/>
  </r>
  <r>
    <x v="1"/>
    <x v="0"/>
    <x v="1"/>
    <x v="1"/>
    <x v="0"/>
    <x v="1"/>
    <x v="0"/>
    <x v="0"/>
    <x v="0"/>
    <x v="0"/>
    <x v="0"/>
    <x v="0"/>
    <x v="1"/>
    <x v="8"/>
    <x v="8"/>
    <x v="37"/>
    <x v="37"/>
    <n v="225.766614678764"/>
    <x v="0"/>
    <x v="0"/>
    <x v="1"/>
    <x v="3"/>
    <x v="3"/>
    <x v="4"/>
    <n v="246.08560999985278"/>
  </r>
  <r>
    <x v="1"/>
    <x v="0"/>
    <x v="1"/>
    <x v="1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1"/>
    <x v="0"/>
    <x v="1"/>
    <x v="1"/>
    <x v="0"/>
    <x v="1"/>
    <x v="0"/>
    <x v="0"/>
    <x v="0"/>
    <x v="0"/>
    <x v="0"/>
    <x v="0"/>
    <x v="0"/>
    <x v="9"/>
    <x v="9"/>
    <x v="6"/>
    <x v="6"/>
    <n v="356.50851999999998"/>
    <x v="0"/>
    <x v="0"/>
    <x v="0"/>
    <x v="0"/>
    <x v="4"/>
    <x v="6"/>
    <n v="388.59428680000002"/>
  </r>
  <r>
    <x v="1"/>
    <x v="0"/>
    <x v="1"/>
    <x v="1"/>
    <x v="0"/>
    <x v="1"/>
    <x v="0"/>
    <x v="0"/>
    <x v="0"/>
    <x v="0"/>
    <x v="0"/>
    <x v="0"/>
    <x v="0"/>
    <x v="9"/>
    <x v="9"/>
    <x v="7"/>
    <x v="7"/>
    <n v="467.74492660522401"/>
    <x v="0"/>
    <x v="0"/>
    <x v="1"/>
    <x v="4"/>
    <x v="5"/>
    <x v="7"/>
    <n v="509.84196999969419"/>
  </r>
  <r>
    <x v="1"/>
    <x v="0"/>
    <x v="1"/>
    <x v="1"/>
    <x v="0"/>
    <x v="1"/>
    <x v="0"/>
    <x v="0"/>
    <x v="0"/>
    <x v="0"/>
    <x v="0"/>
    <x v="0"/>
    <x v="0"/>
    <x v="9"/>
    <x v="9"/>
    <x v="9"/>
    <x v="9"/>
    <n v="1117.0755661621599"/>
    <x v="0"/>
    <x v="0"/>
    <x v="1"/>
    <x v="4"/>
    <x v="5"/>
    <x v="9"/>
    <n v="1217.6123671167545"/>
  </r>
  <r>
    <x v="1"/>
    <x v="0"/>
    <x v="1"/>
    <x v="1"/>
    <x v="0"/>
    <x v="1"/>
    <x v="0"/>
    <x v="0"/>
    <x v="0"/>
    <x v="0"/>
    <x v="0"/>
    <x v="0"/>
    <x v="0"/>
    <x v="9"/>
    <x v="9"/>
    <x v="10"/>
    <x v="10"/>
    <n v="179.41459991535299"/>
    <x v="0"/>
    <x v="0"/>
    <x v="1"/>
    <x v="4"/>
    <x v="5"/>
    <x v="10"/>
    <n v="195.56191390773478"/>
  </r>
  <r>
    <x v="1"/>
    <x v="0"/>
    <x v="1"/>
    <x v="1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1"/>
    <x v="0"/>
    <x v="1"/>
    <x v="1"/>
    <x v="0"/>
    <x v="1"/>
    <x v="0"/>
    <x v="0"/>
    <x v="0"/>
    <x v="0"/>
    <x v="0"/>
    <x v="0"/>
    <x v="0"/>
    <x v="9"/>
    <x v="9"/>
    <x v="36"/>
    <x v="36"/>
    <n v="27.433660550442301"/>
    <x v="0"/>
    <x v="0"/>
    <x v="1"/>
    <x v="3"/>
    <x v="3"/>
    <x v="4"/>
    <n v="29.902689999982112"/>
  </r>
  <r>
    <x v="1"/>
    <x v="0"/>
    <x v="1"/>
    <x v="1"/>
    <x v="0"/>
    <x v="1"/>
    <x v="0"/>
    <x v="0"/>
    <x v="0"/>
    <x v="0"/>
    <x v="0"/>
    <x v="0"/>
    <x v="0"/>
    <x v="9"/>
    <x v="9"/>
    <x v="24"/>
    <x v="24"/>
    <n v="283.127779816344"/>
    <x v="0"/>
    <x v="0"/>
    <x v="1"/>
    <x v="3"/>
    <x v="3"/>
    <x v="4"/>
    <n v="308.60927999981499"/>
  </r>
  <r>
    <x v="1"/>
    <x v="0"/>
    <x v="1"/>
    <x v="1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1"/>
    <x v="0"/>
    <x v="1"/>
    <x v="1"/>
    <x v="0"/>
    <x v="1"/>
    <x v="0"/>
    <x v="0"/>
    <x v="0"/>
    <x v="0"/>
    <x v="0"/>
    <x v="0"/>
    <x v="0"/>
    <x v="9"/>
    <x v="9"/>
    <x v="21"/>
    <x v="21"/>
    <n v="178.905678898975"/>
    <x v="0"/>
    <x v="0"/>
    <x v="1"/>
    <x v="4"/>
    <x v="5"/>
    <x v="10"/>
    <n v="195.00718999988277"/>
  </r>
  <r>
    <x v="1"/>
    <x v="0"/>
    <x v="1"/>
    <x v="1"/>
    <x v="0"/>
    <x v="1"/>
    <x v="0"/>
    <x v="0"/>
    <x v="0"/>
    <x v="0"/>
    <x v="0"/>
    <x v="0"/>
    <x v="0"/>
    <x v="9"/>
    <x v="9"/>
    <x v="18"/>
    <x v="18"/>
    <n v="262.08433000000002"/>
    <x v="0"/>
    <x v="0"/>
    <x v="0"/>
    <x v="0"/>
    <x v="4"/>
    <x v="18"/>
    <n v="285.67191970000005"/>
  </r>
  <r>
    <x v="1"/>
    <x v="0"/>
    <x v="1"/>
    <x v="1"/>
    <x v="0"/>
    <x v="1"/>
    <x v="0"/>
    <x v="0"/>
    <x v="0"/>
    <x v="0"/>
    <x v="0"/>
    <x v="0"/>
    <x v="0"/>
    <x v="9"/>
    <x v="9"/>
    <x v="34"/>
    <x v="34"/>
    <n v="63.889449780573301"/>
    <x v="0"/>
    <x v="0"/>
    <x v="0"/>
    <x v="0"/>
    <x v="0"/>
    <x v="0"/>
    <n v="69.639500260824903"/>
  </r>
  <r>
    <x v="1"/>
    <x v="0"/>
    <x v="1"/>
    <x v="1"/>
    <x v="0"/>
    <x v="1"/>
    <x v="0"/>
    <x v="0"/>
    <x v="0"/>
    <x v="0"/>
    <x v="0"/>
    <x v="0"/>
    <x v="0"/>
    <x v="9"/>
    <x v="9"/>
    <x v="37"/>
    <x v="37"/>
    <n v="104.395302752231"/>
    <x v="0"/>
    <x v="0"/>
    <x v="1"/>
    <x v="3"/>
    <x v="3"/>
    <x v="4"/>
    <n v="113.7908799999318"/>
  </r>
  <r>
    <x v="1"/>
    <x v="0"/>
    <x v="1"/>
    <x v="1"/>
    <x v="0"/>
    <x v="1"/>
    <x v="0"/>
    <x v="0"/>
    <x v="0"/>
    <x v="0"/>
    <x v="0"/>
    <x v="0"/>
    <x v="0"/>
    <x v="9"/>
    <x v="9"/>
    <x v="26"/>
    <x v="26"/>
    <n v="1.4124311926597"/>
    <x v="0"/>
    <x v="0"/>
    <x v="1"/>
    <x v="3"/>
    <x v="3"/>
    <x v="15"/>
    <n v="1.5395499999990732"/>
  </r>
  <r>
    <x v="1"/>
    <x v="0"/>
    <x v="1"/>
    <x v="1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1"/>
    <x v="0"/>
    <x v="1"/>
    <x v="1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1"/>
    <x v="0"/>
    <x v="1"/>
    <x v="1"/>
    <x v="0"/>
    <x v="1"/>
    <x v="0"/>
    <x v="0"/>
    <x v="0"/>
    <x v="0"/>
    <x v="0"/>
    <x v="0"/>
    <x v="2"/>
    <x v="10"/>
    <x v="10"/>
    <x v="6"/>
    <x v="6"/>
    <n v="459.55817999999999"/>
    <x v="0"/>
    <x v="0"/>
    <x v="0"/>
    <x v="0"/>
    <x v="4"/>
    <x v="6"/>
    <n v="500.91841620000002"/>
  </r>
  <r>
    <x v="1"/>
    <x v="0"/>
    <x v="1"/>
    <x v="1"/>
    <x v="0"/>
    <x v="1"/>
    <x v="0"/>
    <x v="0"/>
    <x v="0"/>
    <x v="0"/>
    <x v="0"/>
    <x v="0"/>
    <x v="2"/>
    <x v="10"/>
    <x v="10"/>
    <x v="7"/>
    <x v="7"/>
    <n v="56.866082568773201"/>
    <x v="0"/>
    <x v="0"/>
    <x v="1"/>
    <x v="4"/>
    <x v="5"/>
    <x v="7"/>
    <n v="61.984029999962793"/>
  </r>
  <r>
    <x v="1"/>
    <x v="0"/>
    <x v="1"/>
    <x v="1"/>
    <x v="0"/>
    <x v="1"/>
    <x v="0"/>
    <x v="0"/>
    <x v="0"/>
    <x v="0"/>
    <x v="0"/>
    <x v="0"/>
    <x v="2"/>
    <x v="10"/>
    <x v="10"/>
    <x v="9"/>
    <x v="9"/>
    <n v="497.40727162947098"/>
    <x v="0"/>
    <x v="0"/>
    <x v="1"/>
    <x v="4"/>
    <x v="5"/>
    <x v="9"/>
    <n v="542.17392607612339"/>
  </r>
  <r>
    <x v="1"/>
    <x v="0"/>
    <x v="1"/>
    <x v="1"/>
    <x v="0"/>
    <x v="1"/>
    <x v="0"/>
    <x v="0"/>
    <x v="0"/>
    <x v="0"/>
    <x v="0"/>
    <x v="0"/>
    <x v="2"/>
    <x v="10"/>
    <x v="10"/>
    <x v="10"/>
    <x v="10"/>
    <n v="310.36063497937403"/>
    <x v="0"/>
    <x v="0"/>
    <x v="1"/>
    <x v="4"/>
    <x v="5"/>
    <x v="10"/>
    <n v="338.2930921275177"/>
  </r>
  <r>
    <x v="1"/>
    <x v="0"/>
    <x v="1"/>
    <x v="1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1"/>
    <x v="0"/>
    <x v="1"/>
    <x v="1"/>
    <x v="0"/>
    <x v="1"/>
    <x v="0"/>
    <x v="0"/>
    <x v="0"/>
    <x v="0"/>
    <x v="0"/>
    <x v="0"/>
    <x v="2"/>
    <x v="10"/>
    <x v="10"/>
    <x v="36"/>
    <x v="36"/>
    <n v="58.038889908222103"/>
    <x v="0"/>
    <x v="0"/>
    <x v="1"/>
    <x v="3"/>
    <x v="3"/>
    <x v="4"/>
    <n v="63.262389999962096"/>
  </r>
  <r>
    <x v="1"/>
    <x v="0"/>
    <x v="1"/>
    <x v="1"/>
    <x v="0"/>
    <x v="1"/>
    <x v="0"/>
    <x v="0"/>
    <x v="0"/>
    <x v="0"/>
    <x v="0"/>
    <x v="0"/>
    <x v="2"/>
    <x v="10"/>
    <x v="10"/>
    <x v="24"/>
    <x v="24"/>
    <n v="181.48933027512001"/>
    <x v="0"/>
    <x v="0"/>
    <x v="1"/>
    <x v="3"/>
    <x v="3"/>
    <x v="4"/>
    <n v="197.82336999988084"/>
  </r>
  <r>
    <x v="1"/>
    <x v="0"/>
    <x v="1"/>
    <x v="1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1"/>
    <x v="0"/>
    <x v="1"/>
    <x v="1"/>
    <x v="0"/>
    <x v="1"/>
    <x v="0"/>
    <x v="0"/>
    <x v="0"/>
    <x v="0"/>
    <x v="0"/>
    <x v="0"/>
    <x v="2"/>
    <x v="10"/>
    <x v="10"/>
    <x v="21"/>
    <x v="21"/>
    <n v="71.140660550416001"/>
    <x v="0"/>
    <x v="0"/>
    <x v="1"/>
    <x v="4"/>
    <x v="5"/>
    <x v="10"/>
    <n v="77.543319999953454"/>
  </r>
  <r>
    <x v="1"/>
    <x v="0"/>
    <x v="1"/>
    <x v="1"/>
    <x v="0"/>
    <x v="1"/>
    <x v="0"/>
    <x v="0"/>
    <x v="0"/>
    <x v="0"/>
    <x v="0"/>
    <x v="0"/>
    <x v="2"/>
    <x v="10"/>
    <x v="10"/>
    <x v="18"/>
    <x v="18"/>
    <n v="170.91007999999999"/>
    <x v="0"/>
    <x v="0"/>
    <x v="0"/>
    <x v="0"/>
    <x v="4"/>
    <x v="18"/>
    <n v="186.29198719999999"/>
  </r>
  <r>
    <x v="1"/>
    <x v="0"/>
    <x v="1"/>
    <x v="1"/>
    <x v="0"/>
    <x v="1"/>
    <x v="0"/>
    <x v="0"/>
    <x v="0"/>
    <x v="0"/>
    <x v="0"/>
    <x v="0"/>
    <x v="2"/>
    <x v="10"/>
    <x v="10"/>
    <x v="34"/>
    <x v="34"/>
    <n v="133.134544975903"/>
    <x v="0"/>
    <x v="0"/>
    <x v="0"/>
    <x v="0"/>
    <x v="0"/>
    <x v="0"/>
    <n v="145.11665402373427"/>
  </r>
  <r>
    <x v="1"/>
    <x v="0"/>
    <x v="1"/>
    <x v="1"/>
    <x v="0"/>
    <x v="1"/>
    <x v="0"/>
    <x v="0"/>
    <x v="0"/>
    <x v="0"/>
    <x v="0"/>
    <x v="0"/>
    <x v="2"/>
    <x v="10"/>
    <x v="10"/>
    <x v="37"/>
    <x v="37"/>
    <n v="135.55288073386399"/>
    <x v="0"/>
    <x v="0"/>
    <x v="1"/>
    <x v="3"/>
    <x v="3"/>
    <x v="4"/>
    <n v="147.75263999991176"/>
  </r>
  <r>
    <x v="1"/>
    <x v="0"/>
    <x v="1"/>
    <x v="1"/>
    <x v="0"/>
    <x v="1"/>
    <x v="0"/>
    <x v="0"/>
    <x v="0"/>
    <x v="0"/>
    <x v="0"/>
    <x v="0"/>
    <x v="2"/>
    <x v="10"/>
    <x v="10"/>
    <x v="26"/>
    <x v="26"/>
    <n v="4.8012018348594996"/>
    <x v="0"/>
    <x v="0"/>
    <x v="1"/>
    <x v="3"/>
    <x v="3"/>
    <x v="15"/>
    <n v="5.2333099999968553"/>
  </r>
  <r>
    <x v="1"/>
    <x v="0"/>
    <x v="1"/>
    <x v="1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1"/>
    <x v="0"/>
    <x v="1"/>
    <x v="1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1"/>
    <x v="0"/>
    <x v="1"/>
    <x v="1"/>
    <x v="0"/>
    <x v="1"/>
    <x v="0"/>
    <x v="0"/>
    <x v="0"/>
    <x v="0"/>
    <x v="0"/>
    <x v="0"/>
    <x v="4"/>
    <x v="5"/>
    <x v="5"/>
    <x v="6"/>
    <x v="6"/>
    <n v="895.29524000000004"/>
    <x v="0"/>
    <x v="0"/>
    <x v="0"/>
    <x v="0"/>
    <x v="4"/>
    <x v="6"/>
    <n v="975.87181160000011"/>
  </r>
  <r>
    <x v="1"/>
    <x v="0"/>
    <x v="1"/>
    <x v="1"/>
    <x v="0"/>
    <x v="1"/>
    <x v="0"/>
    <x v="0"/>
    <x v="0"/>
    <x v="0"/>
    <x v="0"/>
    <x v="0"/>
    <x v="4"/>
    <x v="5"/>
    <x v="5"/>
    <x v="7"/>
    <x v="7"/>
    <n v="44.188568807312897"/>
    <x v="0"/>
    <x v="0"/>
    <x v="1"/>
    <x v="4"/>
    <x v="5"/>
    <x v="7"/>
    <n v="48.16553999997106"/>
  </r>
  <r>
    <x v="1"/>
    <x v="0"/>
    <x v="1"/>
    <x v="1"/>
    <x v="0"/>
    <x v="1"/>
    <x v="0"/>
    <x v="0"/>
    <x v="0"/>
    <x v="0"/>
    <x v="0"/>
    <x v="0"/>
    <x v="4"/>
    <x v="5"/>
    <x v="5"/>
    <x v="8"/>
    <x v="8"/>
    <n v="5744.53081760433"/>
    <x v="0"/>
    <x v="1"/>
    <x v="2"/>
    <x v="2"/>
    <x v="6"/>
    <x v="8"/>
    <n v="6261.5385911887197"/>
  </r>
  <r>
    <x v="1"/>
    <x v="0"/>
    <x v="1"/>
    <x v="1"/>
    <x v="0"/>
    <x v="1"/>
    <x v="0"/>
    <x v="0"/>
    <x v="0"/>
    <x v="0"/>
    <x v="0"/>
    <x v="0"/>
    <x v="4"/>
    <x v="5"/>
    <x v="5"/>
    <x v="9"/>
    <x v="9"/>
    <n v="2465.13010838128"/>
    <x v="0"/>
    <x v="0"/>
    <x v="1"/>
    <x v="4"/>
    <x v="5"/>
    <x v="9"/>
    <n v="2686.9918181355956"/>
  </r>
  <r>
    <x v="1"/>
    <x v="0"/>
    <x v="1"/>
    <x v="1"/>
    <x v="0"/>
    <x v="1"/>
    <x v="0"/>
    <x v="0"/>
    <x v="0"/>
    <x v="0"/>
    <x v="0"/>
    <x v="0"/>
    <x v="4"/>
    <x v="5"/>
    <x v="5"/>
    <x v="10"/>
    <x v="10"/>
    <n v="402.97071681262298"/>
    <x v="0"/>
    <x v="0"/>
    <x v="1"/>
    <x v="4"/>
    <x v="5"/>
    <x v="10"/>
    <n v="439.23808132575908"/>
  </r>
  <r>
    <x v="1"/>
    <x v="0"/>
    <x v="1"/>
    <x v="1"/>
    <x v="0"/>
    <x v="1"/>
    <x v="0"/>
    <x v="0"/>
    <x v="0"/>
    <x v="0"/>
    <x v="0"/>
    <x v="0"/>
    <x v="4"/>
    <x v="5"/>
    <x v="5"/>
    <x v="29"/>
    <x v="29"/>
    <n v="0.69691999999999998"/>
    <x v="0"/>
    <x v="0"/>
    <x v="1"/>
    <x v="3"/>
    <x v="3"/>
    <x v="13"/>
    <n v="0.75964280000000006"/>
  </r>
  <r>
    <x v="1"/>
    <x v="0"/>
    <x v="1"/>
    <x v="1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1"/>
    <x v="0"/>
    <x v="1"/>
    <x v="1"/>
    <x v="0"/>
    <x v="1"/>
    <x v="0"/>
    <x v="0"/>
    <x v="0"/>
    <x v="0"/>
    <x v="0"/>
    <x v="0"/>
    <x v="4"/>
    <x v="5"/>
    <x v="5"/>
    <x v="12"/>
    <x v="12"/>
    <n v="7.2757790697397899"/>
    <x v="0"/>
    <x v="0"/>
    <x v="0"/>
    <x v="0"/>
    <x v="8"/>
    <x v="12"/>
    <n v="7.930599186016372"/>
  </r>
  <r>
    <x v="1"/>
    <x v="0"/>
    <x v="1"/>
    <x v="1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1"/>
    <x v="0"/>
    <x v="1"/>
    <x v="1"/>
    <x v="0"/>
    <x v="1"/>
    <x v="0"/>
    <x v="0"/>
    <x v="0"/>
    <x v="0"/>
    <x v="0"/>
    <x v="0"/>
    <x v="4"/>
    <x v="5"/>
    <x v="5"/>
    <x v="22"/>
    <x v="22"/>
    <n v="76.186365591093093"/>
    <x v="0"/>
    <x v="0"/>
    <x v="0"/>
    <x v="0"/>
    <x v="0"/>
    <x v="0"/>
    <n v="83.043138494291483"/>
  </r>
  <r>
    <x v="1"/>
    <x v="0"/>
    <x v="1"/>
    <x v="1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1"/>
    <x v="0"/>
    <x v="1"/>
    <x v="1"/>
    <x v="0"/>
    <x v="1"/>
    <x v="0"/>
    <x v="0"/>
    <x v="0"/>
    <x v="0"/>
    <x v="0"/>
    <x v="0"/>
    <x v="4"/>
    <x v="5"/>
    <x v="5"/>
    <x v="36"/>
    <x v="36"/>
    <n v="225.64773394481901"/>
    <x v="0"/>
    <x v="0"/>
    <x v="1"/>
    <x v="3"/>
    <x v="3"/>
    <x v="4"/>
    <n v="245.95602999985275"/>
  </r>
  <r>
    <x v="1"/>
    <x v="0"/>
    <x v="1"/>
    <x v="1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1"/>
    <x v="0"/>
    <x v="1"/>
    <x v="1"/>
    <x v="0"/>
    <x v="1"/>
    <x v="0"/>
    <x v="0"/>
    <x v="0"/>
    <x v="0"/>
    <x v="0"/>
    <x v="0"/>
    <x v="4"/>
    <x v="5"/>
    <x v="5"/>
    <x v="24"/>
    <x v="24"/>
    <n v="270.66262385304901"/>
    <x v="0"/>
    <x v="0"/>
    <x v="1"/>
    <x v="3"/>
    <x v="3"/>
    <x v="4"/>
    <n v="295.02225999982346"/>
  </r>
  <r>
    <x v="1"/>
    <x v="0"/>
    <x v="1"/>
    <x v="1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1"/>
    <x v="0"/>
    <x v="1"/>
    <x v="1"/>
    <x v="0"/>
    <x v="1"/>
    <x v="0"/>
    <x v="0"/>
    <x v="0"/>
    <x v="0"/>
    <x v="0"/>
    <x v="0"/>
    <x v="4"/>
    <x v="5"/>
    <x v="5"/>
    <x v="18"/>
    <x v="18"/>
    <n v="1225.01151"/>
    <x v="0"/>
    <x v="0"/>
    <x v="0"/>
    <x v="0"/>
    <x v="4"/>
    <x v="18"/>
    <n v="1335.2625459000001"/>
  </r>
  <r>
    <x v="1"/>
    <x v="0"/>
    <x v="1"/>
    <x v="1"/>
    <x v="0"/>
    <x v="1"/>
    <x v="0"/>
    <x v="0"/>
    <x v="0"/>
    <x v="0"/>
    <x v="0"/>
    <x v="0"/>
    <x v="4"/>
    <x v="5"/>
    <x v="5"/>
    <x v="34"/>
    <x v="34"/>
    <n v="488.85797553754099"/>
    <x v="0"/>
    <x v="0"/>
    <x v="0"/>
    <x v="0"/>
    <x v="0"/>
    <x v="0"/>
    <n v="532.85519333591969"/>
  </r>
  <r>
    <x v="1"/>
    <x v="0"/>
    <x v="1"/>
    <x v="1"/>
    <x v="0"/>
    <x v="1"/>
    <x v="0"/>
    <x v="0"/>
    <x v="0"/>
    <x v="0"/>
    <x v="0"/>
    <x v="0"/>
    <x v="4"/>
    <x v="5"/>
    <x v="5"/>
    <x v="25"/>
    <x v="25"/>
    <n v="122.88001834855"/>
    <x v="0"/>
    <x v="0"/>
    <x v="1"/>
    <x v="4"/>
    <x v="5"/>
    <x v="9"/>
    <n v="133.93921999991952"/>
  </r>
  <r>
    <x v="1"/>
    <x v="0"/>
    <x v="1"/>
    <x v="1"/>
    <x v="0"/>
    <x v="1"/>
    <x v="0"/>
    <x v="0"/>
    <x v="0"/>
    <x v="0"/>
    <x v="0"/>
    <x v="0"/>
    <x v="4"/>
    <x v="5"/>
    <x v="5"/>
    <x v="37"/>
    <x v="37"/>
    <n v="497.39071559603201"/>
    <x v="0"/>
    <x v="0"/>
    <x v="1"/>
    <x v="3"/>
    <x v="3"/>
    <x v="4"/>
    <n v="542.15587999967488"/>
  </r>
  <r>
    <x v="1"/>
    <x v="0"/>
    <x v="1"/>
    <x v="1"/>
    <x v="0"/>
    <x v="1"/>
    <x v="0"/>
    <x v="0"/>
    <x v="0"/>
    <x v="0"/>
    <x v="0"/>
    <x v="0"/>
    <x v="4"/>
    <x v="5"/>
    <x v="5"/>
    <x v="27"/>
    <x v="27"/>
    <n v="32.124608108789097"/>
    <x v="0"/>
    <x v="0"/>
    <x v="1"/>
    <x v="3"/>
    <x v="3"/>
    <x v="19"/>
    <n v="35.015822838580121"/>
  </r>
  <r>
    <x v="1"/>
    <x v="0"/>
    <x v="1"/>
    <x v="1"/>
    <x v="0"/>
    <x v="1"/>
    <x v="0"/>
    <x v="0"/>
    <x v="0"/>
    <x v="0"/>
    <x v="0"/>
    <x v="0"/>
    <x v="4"/>
    <x v="5"/>
    <x v="5"/>
    <x v="26"/>
    <x v="26"/>
    <n v="12.552917431185101"/>
    <x v="0"/>
    <x v="0"/>
    <x v="1"/>
    <x v="3"/>
    <x v="3"/>
    <x v="15"/>
    <n v="13.682679999991761"/>
  </r>
  <r>
    <x v="1"/>
    <x v="0"/>
    <x v="1"/>
    <x v="1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1"/>
    <x v="0"/>
    <x v="1"/>
    <x v="1"/>
    <x v="0"/>
    <x v="1"/>
    <x v="0"/>
    <x v="0"/>
    <x v="0"/>
    <x v="0"/>
    <x v="0"/>
    <x v="0"/>
    <x v="4"/>
    <x v="5"/>
    <x v="5"/>
    <x v="2"/>
    <x v="2"/>
    <n v="11285.532972470301"/>
    <x v="0"/>
    <x v="1"/>
    <x v="2"/>
    <x v="2"/>
    <x v="13"/>
    <x v="2"/>
    <n v="12301.230939992629"/>
  </r>
  <r>
    <x v="1"/>
    <x v="0"/>
    <x v="1"/>
    <x v="1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1"/>
    <x v="0"/>
    <x v="1"/>
    <x v="1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1"/>
    <x v="0"/>
    <x v="1"/>
    <x v="1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1"/>
    <x v="0"/>
    <x v="1"/>
    <x v="1"/>
    <x v="0"/>
    <x v="1"/>
    <x v="0"/>
    <x v="0"/>
    <x v="0"/>
    <x v="0"/>
    <x v="3"/>
    <x v="3"/>
    <x v="2"/>
    <x v="2"/>
    <x v="2"/>
    <x v="6"/>
    <x v="6"/>
    <n v="2.37473"/>
    <x v="0"/>
    <x v="0"/>
    <x v="0"/>
    <x v="0"/>
    <x v="4"/>
    <x v="6"/>
    <n v="2.5884557000000004"/>
  </r>
  <r>
    <x v="1"/>
    <x v="0"/>
    <x v="1"/>
    <x v="1"/>
    <x v="0"/>
    <x v="1"/>
    <x v="0"/>
    <x v="0"/>
    <x v="0"/>
    <x v="0"/>
    <x v="3"/>
    <x v="3"/>
    <x v="2"/>
    <x v="2"/>
    <x v="2"/>
    <x v="8"/>
    <x v="8"/>
    <n v="639.19471622030699"/>
    <x v="0"/>
    <x v="1"/>
    <x v="2"/>
    <x v="2"/>
    <x v="6"/>
    <x v="8"/>
    <n v="696.72224068013463"/>
  </r>
  <r>
    <x v="1"/>
    <x v="0"/>
    <x v="1"/>
    <x v="1"/>
    <x v="0"/>
    <x v="1"/>
    <x v="0"/>
    <x v="0"/>
    <x v="0"/>
    <x v="0"/>
    <x v="3"/>
    <x v="3"/>
    <x v="2"/>
    <x v="2"/>
    <x v="2"/>
    <x v="30"/>
    <x v="30"/>
    <n v="65.862952956725806"/>
    <x v="0"/>
    <x v="0"/>
    <x v="0"/>
    <x v="0"/>
    <x v="0"/>
    <x v="0"/>
    <n v="71.790618722831141"/>
  </r>
  <r>
    <x v="1"/>
    <x v="0"/>
    <x v="1"/>
    <x v="1"/>
    <x v="0"/>
    <x v="1"/>
    <x v="0"/>
    <x v="0"/>
    <x v="2"/>
    <x v="2"/>
    <x v="3"/>
    <x v="3"/>
    <x v="2"/>
    <x v="2"/>
    <x v="2"/>
    <x v="38"/>
    <x v="38"/>
    <n v="1.86825"/>
    <x v="1"/>
    <x v="0"/>
    <x v="4"/>
    <x v="6"/>
    <x v="10"/>
    <x v="21"/>
    <n v="2.0363925000000003"/>
  </r>
  <r>
    <x v="1"/>
    <x v="0"/>
    <x v="1"/>
    <x v="1"/>
    <x v="0"/>
    <x v="1"/>
    <x v="0"/>
    <x v="0"/>
    <x v="0"/>
    <x v="0"/>
    <x v="3"/>
    <x v="3"/>
    <x v="2"/>
    <x v="2"/>
    <x v="2"/>
    <x v="16"/>
    <x v="16"/>
    <n v="14.573399999999999"/>
    <x v="0"/>
    <x v="0"/>
    <x v="3"/>
    <x v="5"/>
    <x v="9"/>
    <x v="16"/>
    <n v="15.885006000000001"/>
  </r>
  <r>
    <x v="1"/>
    <x v="0"/>
    <x v="1"/>
    <x v="1"/>
    <x v="0"/>
    <x v="1"/>
    <x v="0"/>
    <x v="0"/>
    <x v="0"/>
    <x v="0"/>
    <x v="3"/>
    <x v="3"/>
    <x v="2"/>
    <x v="2"/>
    <x v="2"/>
    <x v="2"/>
    <x v="2"/>
    <n v="667.81179816473696"/>
    <x v="0"/>
    <x v="1"/>
    <x v="2"/>
    <x v="2"/>
    <x v="13"/>
    <x v="2"/>
    <n v="727.9148599995633"/>
  </r>
  <r>
    <x v="1"/>
    <x v="0"/>
    <x v="1"/>
    <x v="1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1"/>
    <x v="0"/>
    <x v="1"/>
    <x v="1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1"/>
    <x v="0"/>
    <x v="1"/>
    <x v="1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1"/>
    <x v="0"/>
    <x v="1"/>
    <x v="1"/>
    <x v="0"/>
    <x v="1"/>
    <x v="0"/>
    <x v="0"/>
    <x v="0"/>
    <x v="0"/>
    <x v="3"/>
    <x v="3"/>
    <x v="4"/>
    <x v="5"/>
    <x v="5"/>
    <x v="12"/>
    <x v="12"/>
    <n v="46.175953488196598"/>
    <x v="0"/>
    <x v="0"/>
    <x v="0"/>
    <x v="0"/>
    <x v="8"/>
    <x v="12"/>
    <n v="50.331789302134297"/>
  </r>
  <r>
    <x v="1"/>
    <x v="0"/>
    <x v="1"/>
    <x v="1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1"/>
    <x v="0"/>
    <x v="1"/>
    <x v="1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1"/>
    <x v="0"/>
    <x v="1"/>
    <x v="1"/>
    <x v="0"/>
    <x v="1"/>
    <x v="0"/>
    <x v="0"/>
    <x v="0"/>
    <x v="0"/>
    <x v="3"/>
    <x v="3"/>
    <x v="4"/>
    <x v="5"/>
    <x v="5"/>
    <x v="0"/>
    <x v="0"/>
    <n v="174.29121174328401"/>
    <x v="0"/>
    <x v="0"/>
    <x v="0"/>
    <x v="0"/>
    <x v="0"/>
    <x v="0"/>
    <n v="189.97742080017957"/>
  </r>
  <r>
    <x v="1"/>
    <x v="0"/>
    <x v="1"/>
    <x v="1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1"/>
    <x v="0"/>
    <x v="1"/>
    <x v="1"/>
    <x v="0"/>
    <x v="1"/>
    <x v="0"/>
    <x v="0"/>
    <x v="2"/>
    <x v="2"/>
    <x v="18"/>
    <x v="18"/>
    <x v="0"/>
    <x v="4"/>
    <x v="4"/>
    <x v="38"/>
    <x v="38"/>
    <n v="3.9950000000000001"/>
    <x v="1"/>
    <x v="0"/>
    <x v="4"/>
    <x v="6"/>
    <x v="10"/>
    <x v="21"/>
    <n v="4.3545500000000006"/>
  </r>
  <r>
    <x v="1"/>
    <x v="0"/>
    <x v="1"/>
    <x v="1"/>
    <x v="0"/>
    <x v="1"/>
    <x v="0"/>
    <x v="0"/>
    <x v="0"/>
    <x v="0"/>
    <x v="18"/>
    <x v="18"/>
    <x v="0"/>
    <x v="4"/>
    <x v="4"/>
    <x v="16"/>
    <x v="16"/>
    <n v="97.995000000000005"/>
    <x v="0"/>
    <x v="0"/>
    <x v="3"/>
    <x v="5"/>
    <x v="9"/>
    <x v="16"/>
    <n v="106.81455000000001"/>
  </r>
  <r>
    <x v="1"/>
    <x v="0"/>
    <x v="1"/>
    <x v="1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1"/>
    <x v="0"/>
    <x v="1"/>
    <x v="1"/>
    <x v="0"/>
    <x v="1"/>
    <x v="0"/>
    <x v="0"/>
    <x v="0"/>
    <x v="0"/>
    <x v="4"/>
    <x v="4"/>
    <x v="2"/>
    <x v="2"/>
    <x v="2"/>
    <x v="8"/>
    <x v="8"/>
    <n v="16.8015270271346"/>
    <x v="0"/>
    <x v="1"/>
    <x v="2"/>
    <x v="2"/>
    <x v="6"/>
    <x v="8"/>
    <n v="18.313664459576717"/>
  </r>
  <r>
    <x v="1"/>
    <x v="0"/>
    <x v="1"/>
    <x v="1"/>
    <x v="0"/>
    <x v="1"/>
    <x v="0"/>
    <x v="0"/>
    <x v="0"/>
    <x v="0"/>
    <x v="4"/>
    <x v="4"/>
    <x v="2"/>
    <x v="2"/>
    <x v="2"/>
    <x v="9"/>
    <x v="9"/>
    <n v="0.20807339449529"/>
    <x v="0"/>
    <x v="0"/>
    <x v="1"/>
    <x v="4"/>
    <x v="5"/>
    <x v="9"/>
    <n v="0.22679999999986611"/>
  </r>
  <r>
    <x v="1"/>
    <x v="0"/>
    <x v="1"/>
    <x v="1"/>
    <x v="0"/>
    <x v="1"/>
    <x v="0"/>
    <x v="0"/>
    <x v="0"/>
    <x v="0"/>
    <x v="4"/>
    <x v="4"/>
    <x v="2"/>
    <x v="2"/>
    <x v="2"/>
    <x v="11"/>
    <x v="11"/>
    <n v="0.1401"/>
    <x v="0"/>
    <x v="0"/>
    <x v="3"/>
    <x v="5"/>
    <x v="7"/>
    <x v="11"/>
    <n v="0.15270900000000001"/>
  </r>
  <r>
    <x v="1"/>
    <x v="0"/>
    <x v="1"/>
    <x v="1"/>
    <x v="0"/>
    <x v="1"/>
    <x v="0"/>
    <x v="0"/>
    <x v="0"/>
    <x v="0"/>
    <x v="4"/>
    <x v="4"/>
    <x v="2"/>
    <x v="2"/>
    <x v="2"/>
    <x v="12"/>
    <x v="12"/>
    <n v="1.7441860465049999E-2"/>
    <x v="0"/>
    <x v="0"/>
    <x v="0"/>
    <x v="0"/>
    <x v="8"/>
    <x v="12"/>
    <n v="1.9011627906904499E-2"/>
  </r>
  <r>
    <x v="1"/>
    <x v="0"/>
    <x v="1"/>
    <x v="1"/>
    <x v="0"/>
    <x v="1"/>
    <x v="0"/>
    <x v="0"/>
    <x v="0"/>
    <x v="0"/>
    <x v="4"/>
    <x v="4"/>
    <x v="2"/>
    <x v="2"/>
    <x v="2"/>
    <x v="16"/>
    <x v="16"/>
    <n v="0.52275000000000005"/>
    <x v="0"/>
    <x v="0"/>
    <x v="3"/>
    <x v="5"/>
    <x v="9"/>
    <x v="16"/>
    <n v="0.56979750000000007"/>
  </r>
  <r>
    <x v="1"/>
    <x v="0"/>
    <x v="1"/>
    <x v="1"/>
    <x v="0"/>
    <x v="1"/>
    <x v="0"/>
    <x v="0"/>
    <x v="0"/>
    <x v="0"/>
    <x v="4"/>
    <x v="4"/>
    <x v="2"/>
    <x v="2"/>
    <x v="2"/>
    <x v="27"/>
    <x v="27"/>
    <n v="1.5227477477800001E-2"/>
    <x v="0"/>
    <x v="0"/>
    <x v="1"/>
    <x v="3"/>
    <x v="3"/>
    <x v="19"/>
    <n v="1.6597950450802004E-2"/>
  </r>
  <r>
    <x v="1"/>
    <x v="0"/>
    <x v="1"/>
    <x v="1"/>
    <x v="0"/>
    <x v="1"/>
    <x v="0"/>
    <x v="0"/>
    <x v="0"/>
    <x v="0"/>
    <x v="4"/>
    <x v="4"/>
    <x v="2"/>
    <x v="2"/>
    <x v="2"/>
    <x v="2"/>
    <x v="2"/>
    <n v="1.97782568807221"/>
    <x v="0"/>
    <x v="1"/>
    <x v="2"/>
    <x v="2"/>
    <x v="13"/>
    <x v="2"/>
    <n v="2.1558299999987089"/>
  </r>
  <r>
    <x v="1"/>
    <x v="0"/>
    <x v="1"/>
    <x v="1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1"/>
    <x v="0"/>
    <x v="1"/>
    <x v="1"/>
    <x v="0"/>
    <x v="1"/>
    <x v="0"/>
    <x v="0"/>
    <x v="2"/>
    <x v="2"/>
    <x v="5"/>
    <x v="5"/>
    <x v="2"/>
    <x v="2"/>
    <x v="2"/>
    <x v="42"/>
    <x v="42"/>
    <n v="10.45824"/>
    <x v="1"/>
    <x v="2"/>
    <x v="5"/>
    <x v="7"/>
    <x v="11"/>
    <x v="22"/>
    <n v="11.399481600000001"/>
  </r>
  <r>
    <x v="1"/>
    <x v="0"/>
    <x v="1"/>
    <x v="1"/>
    <x v="0"/>
    <x v="1"/>
    <x v="0"/>
    <x v="0"/>
    <x v="2"/>
    <x v="2"/>
    <x v="5"/>
    <x v="5"/>
    <x v="2"/>
    <x v="2"/>
    <x v="2"/>
    <x v="41"/>
    <x v="41"/>
    <n v="7.5276808510352202"/>
    <x v="1"/>
    <x v="2"/>
    <x v="5"/>
    <x v="7"/>
    <x v="11"/>
    <x v="22"/>
    <n v="8.2051721276283907"/>
  </r>
  <r>
    <x v="1"/>
    <x v="0"/>
    <x v="1"/>
    <x v="1"/>
    <x v="0"/>
    <x v="1"/>
    <x v="0"/>
    <x v="0"/>
    <x v="2"/>
    <x v="2"/>
    <x v="5"/>
    <x v="5"/>
    <x v="2"/>
    <x v="2"/>
    <x v="2"/>
    <x v="40"/>
    <x v="40"/>
    <n v="383.86790000000002"/>
    <x v="1"/>
    <x v="2"/>
    <x v="5"/>
    <x v="7"/>
    <x v="11"/>
    <x v="22"/>
    <n v="418.41601100000003"/>
  </r>
  <r>
    <x v="1"/>
    <x v="0"/>
    <x v="1"/>
    <x v="1"/>
    <x v="0"/>
    <x v="1"/>
    <x v="0"/>
    <x v="0"/>
    <x v="2"/>
    <x v="2"/>
    <x v="5"/>
    <x v="5"/>
    <x v="2"/>
    <x v="2"/>
    <x v="2"/>
    <x v="38"/>
    <x v="38"/>
    <n v="8.4607500000000009"/>
    <x v="1"/>
    <x v="0"/>
    <x v="4"/>
    <x v="6"/>
    <x v="10"/>
    <x v="21"/>
    <n v="9.2222175000000011"/>
  </r>
  <r>
    <x v="1"/>
    <x v="0"/>
    <x v="1"/>
    <x v="1"/>
    <x v="0"/>
    <x v="1"/>
    <x v="0"/>
    <x v="0"/>
    <x v="0"/>
    <x v="0"/>
    <x v="5"/>
    <x v="5"/>
    <x v="2"/>
    <x v="2"/>
    <x v="2"/>
    <x v="17"/>
    <x v="17"/>
    <n v="9.1282599999999992"/>
    <x v="0"/>
    <x v="0"/>
    <x v="0"/>
    <x v="0"/>
    <x v="4"/>
    <x v="17"/>
    <n v="9.9498034000000004"/>
  </r>
  <r>
    <x v="1"/>
    <x v="0"/>
    <x v="1"/>
    <x v="1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1"/>
    <x v="0"/>
    <x v="1"/>
    <x v="1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1"/>
    <x v="0"/>
    <x v="1"/>
    <x v="1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1"/>
    <x v="0"/>
    <x v="1"/>
    <x v="1"/>
    <x v="0"/>
    <x v="1"/>
    <x v="0"/>
    <x v="0"/>
    <x v="2"/>
    <x v="2"/>
    <x v="5"/>
    <x v="5"/>
    <x v="3"/>
    <x v="7"/>
    <x v="7"/>
    <x v="40"/>
    <x v="40"/>
    <n v="3.3458199999999998"/>
    <x v="1"/>
    <x v="2"/>
    <x v="5"/>
    <x v="7"/>
    <x v="11"/>
    <x v="22"/>
    <n v="3.6469437999999998"/>
  </r>
  <r>
    <x v="1"/>
    <x v="0"/>
    <x v="1"/>
    <x v="1"/>
    <x v="0"/>
    <x v="1"/>
    <x v="0"/>
    <x v="0"/>
    <x v="2"/>
    <x v="2"/>
    <x v="5"/>
    <x v="5"/>
    <x v="1"/>
    <x v="8"/>
    <x v="8"/>
    <x v="40"/>
    <x v="40"/>
    <n v="2.2425000000000002"/>
    <x v="1"/>
    <x v="2"/>
    <x v="5"/>
    <x v="7"/>
    <x v="11"/>
    <x v="22"/>
    <n v="2.4443250000000005"/>
  </r>
  <r>
    <x v="1"/>
    <x v="0"/>
    <x v="1"/>
    <x v="1"/>
    <x v="0"/>
    <x v="1"/>
    <x v="0"/>
    <x v="0"/>
    <x v="2"/>
    <x v="2"/>
    <x v="5"/>
    <x v="5"/>
    <x v="2"/>
    <x v="10"/>
    <x v="10"/>
    <x v="40"/>
    <x v="40"/>
    <n v="0.54196"/>
    <x v="1"/>
    <x v="2"/>
    <x v="5"/>
    <x v="7"/>
    <x v="11"/>
    <x v="22"/>
    <n v="0.59073640000000005"/>
  </r>
  <r>
    <x v="1"/>
    <x v="0"/>
    <x v="1"/>
    <x v="1"/>
    <x v="0"/>
    <x v="1"/>
    <x v="0"/>
    <x v="0"/>
    <x v="2"/>
    <x v="2"/>
    <x v="5"/>
    <x v="5"/>
    <x v="4"/>
    <x v="5"/>
    <x v="5"/>
    <x v="40"/>
    <x v="40"/>
    <n v="73.67774"/>
    <x v="1"/>
    <x v="2"/>
    <x v="5"/>
    <x v="7"/>
    <x v="11"/>
    <x v="22"/>
    <n v="80.308736600000003"/>
  </r>
  <r>
    <x v="1"/>
    <x v="0"/>
    <x v="1"/>
    <x v="1"/>
    <x v="0"/>
    <x v="1"/>
    <x v="0"/>
    <x v="0"/>
    <x v="2"/>
    <x v="2"/>
    <x v="6"/>
    <x v="6"/>
    <x v="2"/>
    <x v="2"/>
    <x v="2"/>
    <x v="40"/>
    <x v="40"/>
    <n v="9.0165299999999995"/>
    <x v="1"/>
    <x v="2"/>
    <x v="5"/>
    <x v="7"/>
    <x v="11"/>
    <x v="22"/>
    <n v="9.8280177000000002"/>
  </r>
  <r>
    <x v="1"/>
    <x v="0"/>
    <x v="1"/>
    <x v="1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1"/>
    <x v="0"/>
    <x v="1"/>
    <x v="1"/>
    <x v="0"/>
    <x v="1"/>
    <x v="0"/>
    <x v="0"/>
    <x v="2"/>
    <x v="2"/>
    <x v="7"/>
    <x v="7"/>
    <x v="2"/>
    <x v="2"/>
    <x v="2"/>
    <x v="40"/>
    <x v="40"/>
    <n v="111.45242"/>
    <x v="1"/>
    <x v="2"/>
    <x v="5"/>
    <x v="7"/>
    <x v="11"/>
    <x v="22"/>
    <n v="121.48313780000001"/>
  </r>
  <r>
    <x v="1"/>
    <x v="0"/>
    <x v="1"/>
    <x v="1"/>
    <x v="0"/>
    <x v="1"/>
    <x v="0"/>
    <x v="0"/>
    <x v="2"/>
    <x v="2"/>
    <x v="7"/>
    <x v="7"/>
    <x v="2"/>
    <x v="2"/>
    <x v="2"/>
    <x v="38"/>
    <x v="38"/>
    <n v="151.64607000000001"/>
    <x v="1"/>
    <x v="0"/>
    <x v="4"/>
    <x v="6"/>
    <x v="10"/>
    <x v="21"/>
    <n v="165.29421630000002"/>
  </r>
  <r>
    <x v="1"/>
    <x v="0"/>
    <x v="1"/>
    <x v="1"/>
    <x v="0"/>
    <x v="1"/>
    <x v="0"/>
    <x v="0"/>
    <x v="2"/>
    <x v="2"/>
    <x v="7"/>
    <x v="7"/>
    <x v="2"/>
    <x v="2"/>
    <x v="2"/>
    <x v="43"/>
    <x v="43"/>
    <n v="0.25001000000000001"/>
    <x v="1"/>
    <x v="0"/>
    <x v="4"/>
    <x v="6"/>
    <x v="10"/>
    <x v="21"/>
    <n v="0.27251090000000006"/>
  </r>
  <r>
    <x v="1"/>
    <x v="0"/>
    <x v="1"/>
    <x v="1"/>
    <x v="0"/>
    <x v="1"/>
    <x v="0"/>
    <x v="0"/>
    <x v="2"/>
    <x v="2"/>
    <x v="7"/>
    <x v="7"/>
    <x v="2"/>
    <x v="2"/>
    <x v="2"/>
    <x v="44"/>
    <x v="44"/>
    <n v="3.2650000000000001"/>
    <x v="1"/>
    <x v="0"/>
    <x v="4"/>
    <x v="6"/>
    <x v="10"/>
    <x v="21"/>
    <n v="3.5588500000000005"/>
  </r>
  <r>
    <x v="1"/>
    <x v="0"/>
    <x v="1"/>
    <x v="1"/>
    <x v="0"/>
    <x v="1"/>
    <x v="0"/>
    <x v="0"/>
    <x v="0"/>
    <x v="0"/>
    <x v="7"/>
    <x v="7"/>
    <x v="2"/>
    <x v="2"/>
    <x v="2"/>
    <x v="17"/>
    <x v="17"/>
    <n v="0.30363000000000001"/>
    <x v="0"/>
    <x v="0"/>
    <x v="0"/>
    <x v="0"/>
    <x v="4"/>
    <x v="17"/>
    <n v="0.33095670000000005"/>
  </r>
  <r>
    <x v="1"/>
    <x v="0"/>
    <x v="1"/>
    <x v="1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1"/>
    <x v="0"/>
    <x v="1"/>
    <x v="1"/>
    <x v="0"/>
    <x v="1"/>
    <x v="0"/>
    <x v="0"/>
    <x v="2"/>
    <x v="2"/>
    <x v="7"/>
    <x v="7"/>
    <x v="2"/>
    <x v="2"/>
    <x v="2"/>
    <x v="46"/>
    <x v="46"/>
    <n v="3.9901599999999999"/>
    <x v="1"/>
    <x v="0"/>
    <x v="4"/>
    <x v="6"/>
    <x v="10"/>
    <x v="21"/>
    <n v="4.3492744000000005"/>
  </r>
  <r>
    <x v="1"/>
    <x v="0"/>
    <x v="1"/>
    <x v="1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1"/>
    <x v="0"/>
    <x v="1"/>
    <x v="1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1"/>
    <x v="0"/>
    <x v="1"/>
    <x v="1"/>
    <x v="0"/>
    <x v="1"/>
    <x v="0"/>
    <x v="0"/>
    <x v="2"/>
    <x v="2"/>
    <x v="7"/>
    <x v="7"/>
    <x v="3"/>
    <x v="7"/>
    <x v="7"/>
    <x v="40"/>
    <x v="40"/>
    <n v="78.400480000000002"/>
    <x v="1"/>
    <x v="2"/>
    <x v="5"/>
    <x v="7"/>
    <x v="11"/>
    <x v="22"/>
    <n v="85.456523200000007"/>
  </r>
  <r>
    <x v="1"/>
    <x v="0"/>
    <x v="1"/>
    <x v="1"/>
    <x v="0"/>
    <x v="1"/>
    <x v="0"/>
    <x v="0"/>
    <x v="2"/>
    <x v="2"/>
    <x v="7"/>
    <x v="7"/>
    <x v="1"/>
    <x v="8"/>
    <x v="8"/>
    <x v="40"/>
    <x v="40"/>
    <n v="7.98048"/>
    <x v="1"/>
    <x v="2"/>
    <x v="5"/>
    <x v="7"/>
    <x v="11"/>
    <x v="22"/>
    <n v="8.6987231999999999"/>
  </r>
  <r>
    <x v="1"/>
    <x v="0"/>
    <x v="1"/>
    <x v="1"/>
    <x v="0"/>
    <x v="1"/>
    <x v="0"/>
    <x v="0"/>
    <x v="2"/>
    <x v="2"/>
    <x v="7"/>
    <x v="7"/>
    <x v="2"/>
    <x v="10"/>
    <x v="10"/>
    <x v="40"/>
    <x v="40"/>
    <n v="1.80644"/>
    <x v="1"/>
    <x v="2"/>
    <x v="5"/>
    <x v="7"/>
    <x v="11"/>
    <x v="22"/>
    <n v="1.9690196000000002"/>
  </r>
  <r>
    <x v="1"/>
    <x v="0"/>
    <x v="1"/>
    <x v="1"/>
    <x v="0"/>
    <x v="1"/>
    <x v="0"/>
    <x v="0"/>
    <x v="2"/>
    <x v="2"/>
    <x v="7"/>
    <x v="7"/>
    <x v="4"/>
    <x v="5"/>
    <x v="5"/>
    <x v="40"/>
    <x v="40"/>
    <n v="57.950940000000003"/>
    <x v="1"/>
    <x v="2"/>
    <x v="5"/>
    <x v="7"/>
    <x v="11"/>
    <x v="22"/>
    <n v="63.16652460000001"/>
  </r>
  <r>
    <x v="1"/>
    <x v="0"/>
    <x v="1"/>
    <x v="1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1"/>
    <x v="0"/>
    <x v="1"/>
    <x v="1"/>
    <x v="0"/>
    <x v="1"/>
    <x v="0"/>
    <x v="0"/>
    <x v="2"/>
    <x v="2"/>
    <x v="8"/>
    <x v="8"/>
    <x v="2"/>
    <x v="2"/>
    <x v="2"/>
    <x v="40"/>
    <x v="40"/>
    <n v="78.063649999999996"/>
    <x v="1"/>
    <x v="2"/>
    <x v="5"/>
    <x v="7"/>
    <x v="11"/>
    <x v="22"/>
    <n v="85.089378499999995"/>
  </r>
  <r>
    <x v="1"/>
    <x v="0"/>
    <x v="1"/>
    <x v="1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1"/>
    <x v="0"/>
    <x v="1"/>
    <x v="1"/>
    <x v="0"/>
    <x v="1"/>
    <x v="0"/>
    <x v="0"/>
    <x v="2"/>
    <x v="2"/>
    <x v="9"/>
    <x v="9"/>
    <x v="2"/>
    <x v="2"/>
    <x v="2"/>
    <x v="40"/>
    <x v="40"/>
    <n v="696.86852999999996"/>
    <x v="1"/>
    <x v="2"/>
    <x v="5"/>
    <x v="7"/>
    <x v="11"/>
    <x v="22"/>
    <n v="759.58669770000006"/>
  </r>
  <r>
    <x v="1"/>
    <x v="0"/>
    <x v="1"/>
    <x v="1"/>
    <x v="0"/>
    <x v="1"/>
    <x v="0"/>
    <x v="0"/>
    <x v="2"/>
    <x v="2"/>
    <x v="9"/>
    <x v="9"/>
    <x v="2"/>
    <x v="2"/>
    <x v="2"/>
    <x v="38"/>
    <x v="38"/>
    <n v="221.85128"/>
    <x v="1"/>
    <x v="0"/>
    <x v="4"/>
    <x v="6"/>
    <x v="10"/>
    <x v="21"/>
    <n v="241.81789520000001"/>
  </r>
  <r>
    <x v="1"/>
    <x v="0"/>
    <x v="1"/>
    <x v="1"/>
    <x v="0"/>
    <x v="1"/>
    <x v="0"/>
    <x v="0"/>
    <x v="2"/>
    <x v="2"/>
    <x v="9"/>
    <x v="9"/>
    <x v="2"/>
    <x v="2"/>
    <x v="2"/>
    <x v="48"/>
    <x v="48"/>
    <n v="33.015300000000003"/>
    <x v="1"/>
    <x v="0"/>
    <x v="4"/>
    <x v="6"/>
    <x v="10"/>
    <x v="21"/>
    <n v="35.986677000000007"/>
  </r>
  <r>
    <x v="1"/>
    <x v="0"/>
    <x v="1"/>
    <x v="1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1"/>
    <x v="0"/>
    <x v="1"/>
    <x v="1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1"/>
    <x v="0"/>
    <x v="1"/>
    <x v="1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1"/>
    <x v="0"/>
    <x v="1"/>
    <x v="1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1"/>
    <x v="0"/>
    <x v="1"/>
    <x v="1"/>
    <x v="0"/>
    <x v="1"/>
    <x v="0"/>
    <x v="0"/>
    <x v="2"/>
    <x v="2"/>
    <x v="9"/>
    <x v="9"/>
    <x v="3"/>
    <x v="7"/>
    <x v="7"/>
    <x v="40"/>
    <x v="40"/>
    <n v="390.28363999999999"/>
    <x v="1"/>
    <x v="2"/>
    <x v="5"/>
    <x v="7"/>
    <x v="11"/>
    <x v="22"/>
    <n v="425.40916760000005"/>
  </r>
  <r>
    <x v="1"/>
    <x v="0"/>
    <x v="1"/>
    <x v="1"/>
    <x v="0"/>
    <x v="1"/>
    <x v="0"/>
    <x v="0"/>
    <x v="2"/>
    <x v="2"/>
    <x v="9"/>
    <x v="9"/>
    <x v="1"/>
    <x v="8"/>
    <x v="8"/>
    <x v="40"/>
    <x v="40"/>
    <n v="108.06568"/>
    <x v="1"/>
    <x v="2"/>
    <x v="5"/>
    <x v="7"/>
    <x v="11"/>
    <x v="22"/>
    <n v="117.79159120000001"/>
  </r>
  <r>
    <x v="1"/>
    <x v="0"/>
    <x v="1"/>
    <x v="1"/>
    <x v="0"/>
    <x v="1"/>
    <x v="0"/>
    <x v="0"/>
    <x v="2"/>
    <x v="2"/>
    <x v="9"/>
    <x v="9"/>
    <x v="2"/>
    <x v="10"/>
    <x v="10"/>
    <x v="40"/>
    <x v="40"/>
    <n v="83.658680000000004"/>
    <x v="1"/>
    <x v="2"/>
    <x v="5"/>
    <x v="7"/>
    <x v="11"/>
    <x v="22"/>
    <n v="91.187961200000018"/>
  </r>
  <r>
    <x v="1"/>
    <x v="0"/>
    <x v="1"/>
    <x v="1"/>
    <x v="0"/>
    <x v="1"/>
    <x v="0"/>
    <x v="0"/>
    <x v="2"/>
    <x v="2"/>
    <x v="9"/>
    <x v="9"/>
    <x v="4"/>
    <x v="5"/>
    <x v="5"/>
    <x v="40"/>
    <x v="40"/>
    <n v="578.80276000000003"/>
    <x v="1"/>
    <x v="2"/>
    <x v="5"/>
    <x v="7"/>
    <x v="11"/>
    <x v="22"/>
    <n v="630.89500840000005"/>
  </r>
  <r>
    <x v="1"/>
    <x v="0"/>
    <x v="1"/>
    <x v="1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1"/>
    <x v="0"/>
    <x v="1"/>
    <x v="1"/>
    <x v="0"/>
    <x v="1"/>
    <x v="0"/>
    <x v="0"/>
    <x v="2"/>
    <x v="2"/>
    <x v="10"/>
    <x v="10"/>
    <x v="2"/>
    <x v="2"/>
    <x v="2"/>
    <x v="41"/>
    <x v="41"/>
    <n v="2.8702872340316499"/>
    <x v="1"/>
    <x v="2"/>
    <x v="5"/>
    <x v="7"/>
    <x v="11"/>
    <x v="22"/>
    <n v="3.1286130850944986"/>
  </r>
  <r>
    <x v="1"/>
    <x v="0"/>
    <x v="1"/>
    <x v="1"/>
    <x v="0"/>
    <x v="1"/>
    <x v="0"/>
    <x v="0"/>
    <x v="2"/>
    <x v="2"/>
    <x v="10"/>
    <x v="10"/>
    <x v="2"/>
    <x v="2"/>
    <x v="2"/>
    <x v="40"/>
    <x v="40"/>
    <n v="276.61259999999999"/>
    <x v="1"/>
    <x v="2"/>
    <x v="5"/>
    <x v="7"/>
    <x v="11"/>
    <x v="22"/>
    <n v="301.50773400000003"/>
  </r>
  <r>
    <x v="1"/>
    <x v="0"/>
    <x v="1"/>
    <x v="1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1"/>
    <x v="0"/>
    <x v="1"/>
    <x v="1"/>
    <x v="0"/>
    <x v="1"/>
    <x v="0"/>
    <x v="0"/>
    <x v="0"/>
    <x v="0"/>
    <x v="11"/>
    <x v="11"/>
    <x v="4"/>
    <x v="5"/>
    <x v="5"/>
    <x v="10"/>
    <x v="10"/>
    <n v="81.291166519915507"/>
    <x v="0"/>
    <x v="0"/>
    <x v="1"/>
    <x v="4"/>
    <x v="5"/>
    <x v="10"/>
    <n v="88.607371506707906"/>
  </r>
  <r>
    <x v="1"/>
    <x v="0"/>
    <x v="1"/>
    <x v="1"/>
    <x v="0"/>
    <x v="1"/>
    <x v="0"/>
    <x v="0"/>
    <x v="3"/>
    <x v="3"/>
    <x v="12"/>
    <x v="12"/>
    <x v="2"/>
    <x v="2"/>
    <x v="2"/>
    <x v="40"/>
    <x v="40"/>
    <n v="8.1691099999999999"/>
    <x v="1"/>
    <x v="2"/>
    <x v="5"/>
    <x v="7"/>
    <x v="11"/>
    <x v="22"/>
    <n v="8.9043299000000005"/>
  </r>
  <r>
    <x v="1"/>
    <x v="0"/>
    <x v="1"/>
    <x v="1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1"/>
    <x v="0"/>
    <x v="1"/>
    <x v="1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1"/>
    <x v="0"/>
    <x v="1"/>
    <x v="1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1"/>
    <x v="0"/>
    <x v="1"/>
    <x v="1"/>
    <x v="0"/>
    <x v="1"/>
    <x v="0"/>
    <x v="0"/>
    <x v="3"/>
    <x v="3"/>
    <x v="12"/>
    <x v="12"/>
    <x v="3"/>
    <x v="7"/>
    <x v="7"/>
    <x v="40"/>
    <x v="40"/>
    <n v="4.7344400000000002"/>
    <x v="1"/>
    <x v="2"/>
    <x v="5"/>
    <x v="7"/>
    <x v="11"/>
    <x v="22"/>
    <n v="5.1605396000000008"/>
  </r>
  <r>
    <x v="1"/>
    <x v="0"/>
    <x v="1"/>
    <x v="1"/>
    <x v="0"/>
    <x v="1"/>
    <x v="0"/>
    <x v="0"/>
    <x v="3"/>
    <x v="3"/>
    <x v="12"/>
    <x v="12"/>
    <x v="4"/>
    <x v="5"/>
    <x v="5"/>
    <x v="40"/>
    <x v="40"/>
    <n v="8.8177800000000008"/>
    <x v="1"/>
    <x v="2"/>
    <x v="5"/>
    <x v="7"/>
    <x v="11"/>
    <x v="22"/>
    <n v="9.611380200000001"/>
  </r>
  <r>
    <x v="1"/>
    <x v="0"/>
    <x v="1"/>
    <x v="1"/>
    <x v="0"/>
    <x v="1"/>
    <x v="0"/>
    <x v="0"/>
    <x v="3"/>
    <x v="3"/>
    <x v="13"/>
    <x v="13"/>
    <x v="2"/>
    <x v="2"/>
    <x v="2"/>
    <x v="41"/>
    <x v="41"/>
    <n v="21.399010638216598"/>
    <x v="1"/>
    <x v="2"/>
    <x v="5"/>
    <x v="7"/>
    <x v="11"/>
    <x v="22"/>
    <n v="23.324921595656093"/>
  </r>
  <r>
    <x v="1"/>
    <x v="0"/>
    <x v="1"/>
    <x v="1"/>
    <x v="0"/>
    <x v="1"/>
    <x v="0"/>
    <x v="0"/>
    <x v="3"/>
    <x v="3"/>
    <x v="13"/>
    <x v="13"/>
    <x v="2"/>
    <x v="2"/>
    <x v="2"/>
    <x v="40"/>
    <x v="40"/>
    <n v="204.79186999999999"/>
    <x v="1"/>
    <x v="2"/>
    <x v="5"/>
    <x v="7"/>
    <x v="11"/>
    <x v="22"/>
    <n v="223.22313830000002"/>
  </r>
  <r>
    <x v="1"/>
    <x v="0"/>
    <x v="1"/>
    <x v="1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1"/>
    <x v="0"/>
    <x v="1"/>
    <x v="1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1"/>
    <x v="0"/>
    <x v="1"/>
    <x v="1"/>
    <x v="0"/>
    <x v="1"/>
    <x v="0"/>
    <x v="0"/>
    <x v="3"/>
    <x v="3"/>
    <x v="13"/>
    <x v="13"/>
    <x v="1"/>
    <x v="8"/>
    <x v="8"/>
    <x v="40"/>
    <x v="40"/>
    <n v="0.98499999999999999"/>
    <x v="1"/>
    <x v="2"/>
    <x v="5"/>
    <x v="7"/>
    <x v="11"/>
    <x v="22"/>
    <n v="1.07365"/>
  </r>
  <r>
    <x v="1"/>
    <x v="0"/>
    <x v="1"/>
    <x v="1"/>
    <x v="0"/>
    <x v="1"/>
    <x v="0"/>
    <x v="0"/>
    <x v="3"/>
    <x v="3"/>
    <x v="13"/>
    <x v="13"/>
    <x v="4"/>
    <x v="5"/>
    <x v="5"/>
    <x v="40"/>
    <x v="40"/>
    <n v="0.46050000000000002"/>
    <x v="1"/>
    <x v="2"/>
    <x v="5"/>
    <x v="7"/>
    <x v="11"/>
    <x v="22"/>
    <n v="0.50194500000000009"/>
  </r>
  <r>
    <x v="1"/>
    <x v="0"/>
    <x v="1"/>
    <x v="1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1"/>
    <x v="0"/>
    <x v="1"/>
    <x v="1"/>
    <x v="0"/>
    <x v="1"/>
    <x v="0"/>
    <x v="0"/>
    <x v="2"/>
    <x v="2"/>
    <x v="14"/>
    <x v="14"/>
    <x v="2"/>
    <x v="2"/>
    <x v="2"/>
    <x v="40"/>
    <x v="40"/>
    <n v="23.166840000000001"/>
    <x v="1"/>
    <x v="2"/>
    <x v="5"/>
    <x v="7"/>
    <x v="11"/>
    <x v="22"/>
    <n v="25.251855600000003"/>
  </r>
  <r>
    <x v="1"/>
    <x v="0"/>
    <x v="1"/>
    <x v="1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1"/>
    <x v="0"/>
    <x v="1"/>
    <x v="1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1"/>
    <x v="0"/>
    <x v="1"/>
    <x v="1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1"/>
    <x v="0"/>
    <x v="1"/>
    <x v="1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1"/>
    <x v="0"/>
    <x v="1"/>
    <x v="1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1"/>
    <x v="0"/>
    <x v="1"/>
    <x v="1"/>
    <x v="0"/>
    <x v="1"/>
    <x v="0"/>
    <x v="0"/>
    <x v="2"/>
    <x v="2"/>
    <x v="17"/>
    <x v="17"/>
    <x v="2"/>
    <x v="2"/>
    <x v="2"/>
    <x v="42"/>
    <x v="42"/>
    <n v="1.7922899999999999"/>
    <x v="1"/>
    <x v="2"/>
    <x v="5"/>
    <x v="7"/>
    <x v="11"/>
    <x v="22"/>
    <n v="1.9535961000000002"/>
  </r>
  <r>
    <x v="1"/>
    <x v="0"/>
    <x v="1"/>
    <x v="1"/>
    <x v="0"/>
    <x v="1"/>
    <x v="0"/>
    <x v="0"/>
    <x v="2"/>
    <x v="2"/>
    <x v="17"/>
    <x v="17"/>
    <x v="2"/>
    <x v="2"/>
    <x v="2"/>
    <x v="40"/>
    <x v="40"/>
    <n v="142.08801"/>
    <x v="1"/>
    <x v="2"/>
    <x v="5"/>
    <x v="7"/>
    <x v="11"/>
    <x v="22"/>
    <n v="154.87593090000001"/>
  </r>
  <r>
    <x v="1"/>
    <x v="0"/>
    <x v="1"/>
    <x v="1"/>
    <x v="0"/>
    <x v="1"/>
    <x v="0"/>
    <x v="0"/>
    <x v="2"/>
    <x v="2"/>
    <x v="17"/>
    <x v="17"/>
    <x v="2"/>
    <x v="2"/>
    <x v="2"/>
    <x v="38"/>
    <x v="38"/>
    <n v="0.22017"/>
    <x v="1"/>
    <x v="0"/>
    <x v="4"/>
    <x v="6"/>
    <x v="10"/>
    <x v="21"/>
    <n v="0.23998530000000001"/>
  </r>
  <r>
    <x v="1"/>
    <x v="0"/>
    <x v="1"/>
    <x v="1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1"/>
    <x v="0"/>
    <x v="1"/>
    <x v="1"/>
    <x v="0"/>
    <x v="1"/>
    <x v="0"/>
    <x v="0"/>
    <x v="2"/>
    <x v="2"/>
    <x v="17"/>
    <x v="17"/>
    <x v="3"/>
    <x v="7"/>
    <x v="7"/>
    <x v="40"/>
    <x v="40"/>
    <n v="11.75474"/>
    <x v="1"/>
    <x v="2"/>
    <x v="5"/>
    <x v="7"/>
    <x v="11"/>
    <x v="22"/>
    <n v="12.8126666"/>
  </r>
  <r>
    <x v="1"/>
    <x v="0"/>
    <x v="1"/>
    <x v="1"/>
    <x v="0"/>
    <x v="1"/>
    <x v="0"/>
    <x v="0"/>
    <x v="2"/>
    <x v="2"/>
    <x v="17"/>
    <x v="17"/>
    <x v="1"/>
    <x v="8"/>
    <x v="8"/>
    <x v="40"/>
    <x v="40"/>
    <n v="6.2513399999999999"/>
    <x v="1"/>
    <x v="2"/>
    <x v="5"/>
    <x v="7"/>
    <x v="11"/>
    <x v="22"/>
    <n v="6.8139606000000006"/>
  </r>
  <r>
    <x v="1"/>
    <x v="0"/>
    <x v="1"/>
    <x v="1"/>
    <x v="0"/>
    <x v="1"/>
    <x v="0"/>
    <x v="0"/>
    <x v="2"/>
    <x v="2"/>
    <x v="17"/>
    <x v="17"/>
    <x v="2"/>
    <x v="10"/>
    <x v="10"/>
    <x v="40"/>
    <x v="40"/>
    <n v="1.80654"/>
    <x v="1"/>
    <x v="2"/>
    <x v="5"/>
    <x v="7"/>
    <x v="11"/>
    <x v="22"/>
    <n v="1.9691286000000001"/>
  </r>
  <r>
    <x v="1"/>
    <x v="0"/>
    <x v="1"/>
    <x v="1"/>
    <x v="0"/>
    <x v="1"/>
    <x v="0"/>
    <x v="0"/>
    <x v="2"/>
    <x v="2"/>
    <x v="17"/>
    <x v="17"/>
    <x v="4"/>
    <x v="5"/>
    <x v="5"/>
    <x v="40"/>
    <x v="40"/>
    <n v="98.236440000000002"/>
    <x v="1"/>
    <x v="2"/>
    <x v="5"/>
    <x v="7"/>
    <x v="11"/>
    <x v="22"/>
    <n v="107.07771960000001"/>
  </r>
  <r>
    <x v="1"/>
    <x v="0"/>
    <x v="1"/>
    <x v="1"/>
    <x v="0"/>
    <x v="2"/>
    <x v="0"/>
    <x v="0"/>
    <x v="0"/>
    <x v="0"/>
    <x v="2"/>
    <x v="2"/>
    <x v="4"/>
    <x v="5"/>
    <x v="5"/>
    <x v="6"/>
    <x v="6"/>
    <n v="11.581340000000001"/>
    <x v="0"/>
    <x v="0"/>
    <x v="0"/>
    <x v="0"/>
    <x v="4"/>
    <x v="6"/>
    <n v="12.623660600000003"/>
  </r>
  <r>
    <x v="1"/>
    <x v="0"/>
    <x v="1"/>
    <x v="1"/>
    <x v="0"/>
    <x v="2"/>
    <x v="0"/>
    <x v="0"/>
    <x v="0"/>
    <x v="0"/>
    <x v="0"/>
    <x v="0"/>
    <x v="3"/>
    <x v="3"/>
    <x v="3"/>
    <x v="9"/>
    <x v="9"/>
    <n v="145.445825687986"/>
    <x v="0"/>
    <x v="0"/>
    <x v="1"/>
    <x v="4"/>
    <x v="5"/>
    <x v="9"/>
    <n v="158.53594999990474"/>
  </r>
  <r>
    <x v="1"/>
    <x v="0"/>
    <x v="1"/>
    <x v="1"/>
    <x v="0"/>
    <x v="2"/>
    <x v="0"/>
    <x v="0"/>
    <x v="0"/>
    <x v="0"/>
    <x v="0"/>
    <x v="0"/>
    <x v="3"/>
    <x v="3"/>
    <x v="3"/>
    <x v="11"/>
    <x v="11"/>
    <n v="15.05796"/>
    <x v="0"/>
    <x v="0"/>
    <x v="3"/>
    <x v="5"/>
    <x v="7"/>
    <x v="11"/>
    <n v="16.413176400000001"/>
  </r>
  <r>
    <x v="1"/>
    <x v="0"/>
    <x v="1"/>
    <x v="1"/>
    <x v="0"/>
    <x v="2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1"/>
    <x v="0"/>
    <x v="1"/>
    <x v="1"/>
    <x v="0"/>
    <x v="2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1"/>
    <x v="0"/>
    <x v="1"/>
    <x v="1"/>
    <x v="0"/>
    <x v="2"/>
    <x v="0"/>
    <x v="0"/>
    <x v="0"/>
    <x v="0"/>
    <x v="0"/>
    <x v="0"/>
    <x v="0"/>
    <x v="4"/>
    <x v="4"/>
    <x v="5"/>
    <x v="5"/>
    <n v="14.0123128835421"/>
    <x v="0"/>
    <x v="0"/>
    <x v="1"/>
    <x v="1"/>
    <x v="1"/>
    <x v="5"/>
    <n v="15.273421043060889"/>
  </r>
  <r>
    <x v="1"/>
    <x v="0"/>
    <x v="1"/>
    <x v="1"/>
    <x v="0"/>
    <x v="2"/>
    <x v="0"/>
    <x v="0"/>
    <x v="0"/>
    <x v="0"/>
    <x v="0"/>
    <x v="0"/>
    <x v="0"/>
    <x v="4"/>
    <x v="4"/>
    <x v="9"/>
    <x v="9"/>
    <n v="11.508962916935801"/>
    <x v="0"/>
    <x v="0"/>
    <x v="1"/>
    <x v="4"/>
    <x v="5"/>
    <x v="9"/>
    <n v="12.544769579460024"/>
  </r>
  <r>
    <x v="1"/>
    <x v="0"/>
    <x v="1"/>
    <x v="1"/>
    <x v="0"/>
    <x v="2"/>
    <x v="0"/>
    <x v="0"/>
    <x v="0"/>
    <x v="0"/>
    <x v="0"/>
    <x v="0"/>
    <x v="0"/>
    <x v="4"/>
    <x v="4"/>
    <x v="28"/>
    <x v="28"/>
    <n v="3.3"/>
    <x v="0"/>
    <x v="0"/>
    <x v="1"/>
    <x v="3"/>
    <x v="3"/>
    <x v="13"/>
    <n v="3.597"/>
  </r>
  <r>
    <x v="1"/>
    <x v="0"/>
    <x v="1"/>
    <x v="1"/>
    <x v="0"/>
    <x v="2"/>
    <x v="0"/>
    <x v="0"/>
    <x v="0"/>
    <x v="0"/>
    <x v="0"/>
    <x v="0"/>
    <x v="0"/>
    <x v="4"/>
    <x v="4"/>
    <x v="11"/>
    <x v="11"/>
    <n v="54.274160000000002"/>
    <x v="0"/>
    <x v="0"/>
    <x v="3"/>
    <x v="5"/>
    <x v="7"/>
    <x v="11"/>
    <n v="59.158834400000003"/>
  </r>
  <r>
    <x v="1"/>
    <x v="0"/>
    <x v="1"/>
    <x v="1"/>
    <x v="0"/>
    <x v="2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1"/>
    <x v="0"/>
    <x v="1"/>
    <x v="1"/>
    <x v="0"/>
    <x v="2"/>
    <x v="0"/>
    <x v="0"/>
    <x v="0"/>
    <x v="0"/>
    <x v="0"/>
    <x v="0"/>
    <x v="0"/>
    <x v="4"/>
    <x v="4"/>
    <x v="16"/>
    <x v="16"/>
    <n v="27.938459999999999"/>
    <x v="0"/>
    <x v="0"/>
    <x v="3"/>
    <x v="5"/>
    <x v="9"/>
    <x v="16"/>
    <n v="30.452921400000001"/>
  </r>
  <r>
    <x v="1"/>
    <x v="0"/>
    <x v="1"/>
    <x v="1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1"/>
    <x v="0"/>
    <x v="1"/>
    <x v="1"/>
    <x v="0"/>
    <x v="2"/>
    <x v="0"/>
    <x v="0"/>
    <x v="0"/>
    <x v="0"/>
    <x v="0"/>
    <x v="0"/>
    <x v="0"/>
    <x v="4"/>
    <x v="4"/>
    <x v="3"/>
    <x v="3"/>
    <n v="20.845269456502201"/>
    <x v="0"/>
    <x v="0"/>
    <x v="1"/>
    <x v="3"/>
    <x v="3"/>
    <x v="3"/>
    <n v="22.721343707587401"/>
  </r>
  <r>
    <x v="1"/>
    <x v="0"/>
    <x v="1"/>
    <x v="1"/>
    <x v="0"/>
    <x v="2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1"/>
    <x v="0"/>
    <x v="1"/>
    <x v="1"/>
    <x v="0"/>
    <x v="2"/>
    <x v="0"/>
    <x v="0"/>
    <x v="0"/>
    <x v="0"/>
    <x v="0"/>
    <x v="0"/>
    <x v="0"/>
    <x v="0"/>
    <x v="0"/>
    <x v="31"/>
    <x v="31"/>
    <n v="12.880954128432601"/>
    <x v="0"/>
    <x v="0"/>
    <x v="1"/>
    <x v="4"/>
    <x v="5"/>
    <x v="10"/>
    <n v="14.040239999991536"/>
  </r>
  <r>
    <x v="1"/>
    <x v="0"/>
    <x v="1"/>
    <x v="1"/>
    <x v="0"/>
    <x v="2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1"/>
    <x v="0"/>
    <x v="1"/>
    <x v="1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1"/>
    <x v="0"/>
    <x v="1"/>
    <x v="1"/>
    <x v="0"/>
    <x v="2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1"/>
    <x v="0"/>
    <x v="1"/>
    <x v="1"/>
    <x v="0"/>
    <x v="2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1"/>
    <x v="0"/>
    <x v="1"/>
    <x v="1"/>
    <x v="0"/>
    <x v="2"/>
    <x v="0"/>
    <x v="0"/>
    <x v="0"/>
    <x v="0"/>
    <x v="0"/>
    <x v="0"/>
    <x v="1"/>
    <x v="1"/>
    <x v="1"/>
    <x v="12"/>
    <x v="12"/>
    <n v="11.480232558095899"/>
    <x v="0"/>
    <x v="0"/>
    <x v="0"/>
    <x v="0"/>
    <x v="8"/>
    <x v="12"/>
    <n v="12.513453488324531"/>
  </r>
  <r>
    <x v="1"/>
    <x v="0"/>
    <x v="1"/>
    <x v="1"/>
    <x v="0"/>
    <x v="2"/>
    <x v="0"/>
    <x v="0"/>
    <x v="0"/>
    <x v="0"/>
    <x v="0"/>
    <x v="0"/>
    <x v="1"/>
    <x v="1"/>
    <x v="1"/>
    <x v="27"/>
    <x v="27"/>
    <n v="8.0947094596310691"/>
    <x v="0"/>
    <x v="0"/>
    <x v="1"/>
    <x v="3"/>
    <x v="3"/>
    <x v="19"/>
    <n v="8.8232333109978658"/>
  </r>
  <r>
    <x v="1"/>
    <x v="0"/>
    <x v="1"/>
    <x v="1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1"/>
    <x v="0"/>
    <x v="1"/>
    <x v="1"/>
    <x v="0"/>
    <x v="2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1"/>
    <x v="0"/>
    <x v="1"/>
    <x v="1"/>
    <x v="0"/>
    <x v="2"/>
    <x v="0"/>
    <x v="0"/>
    <x v="0"/>
    <x v="0"/>
    <x v="0"/>
    <x v="0"/>
    <x v="2"/>
    <x v="2"/>
    <x v="2"/>
    <x v="4"/>
    <x v="4"/>
    <n v="61.855064220146403"/>
    <x v="0"/>
    <x v="0"/>
    <x v="1"/>
    <x v="3"/>
    <x v="3"/>
    <x v="4"/>
    <n v="67.422019999959588"/>
  </r>
  <r>
    <x v="1"/>
    <x v="0"/>
    <x v="1"/>
    <x v="1"/>
    <x v="0"/>
    <x v="2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1"/>
    <x v="0"/>
    <x v="1"/>
    <x v="1"/>
    <x v="0"/>
    <x v="2"/>
    <x v="0"/>
    <x v="0"/>
    <x v="0"/>
    <x v="0"/>
    <x v="0"/>
    <x v="0"/>
    <x v="2"/>
    <x v="2"/>
    <x v="2"/>
    <x v="5"/>
    <x v="5"/>
    <n v="3.7361963190468002"/>
    <x v="0"/>
    <x v="0"/>
    <x v="1"/>
    <x v="1"/>
    <x v="1"/>
    <x v="5"/>
    <n v="4.0724539877610129"/>
  </r>
  <r>
    <x v="1"/>
    <x v="0"/>
    <x v="1"/>
    <x v="1"/>
    <x v="0"/>
    <x v="2"/>
    <x v="0"/>
    <x v="0"/>
    <x v="0"/>
    <x v="0"/>
    <x v="0"/>
    <x v="0"/>
    <x v="2"/>
    <x v="2"/>
    <x v="2"/>
    <x v="7"/>
    <x v="7"/>
    <n v="28.105871559616201"/>
    <x v="0"/>
    <x v="0"/>
    <x v="1"/>
    <x v="4"/>
    <x v="5"/>
    <x v="7"/>
    <n v="30.635399999981662"/>
  </r>
  <r>
    <x v="1"/>
    <x v="0"/>
    <x v="1"/>
    <x v="1"/>
    <x v="0"/>
    <x v="2"/>
    <x v="0"/>
    <x v="0"/>
    <x v="0"/>
    <x v="0"/>
    <x v="0"/>
    <x v="0"/>
    <x v="2"/>
    <x v="2"/>
    <x v="2"/>
    <x v="8"/>
    <x v="8"/>
    <n v="4.4237905405688496"/>
    <x v="0"/>
    <x v="1"/>
    <x v="2"/>
    <x v="2"/>
    <x v="6"/>
    <x v="8"/>
    <n v="4.8219316892200466"/>
  </r>
  <r>
    <x v="1"/>
    <x v="0"/>
    <x v="1"/>
    <x v="1"/>
    <x v="0"/>
    <x v="2"/>
    <x v="0"/>
    <x v="0"/>
    <x v="0"/>
    <x v="0"/>
    <x v="0"/>
    <x v="0"/>
    <x v="2"/>
    <x v="2"/>
    <x v="2"/>
    <x v="9"/>
    <x v="9"/>
    <n v="99.684896386924294"/>
    <x v="0"/>
    <x v="0"/>
    <x v="1"/>
    <x v="4"/>
    <x v="5"/>
    <x v="9"/>
    <n v="108.65653706174749"/>
  </r>
  <r>
    <x v="1"/>
    <x v="0"/>
    <x v="1"/>
    <x v="1"/>
    <x v="0"/>
    <x v="2"/>
    <x v="0"/>
    <x v="0"/>
    <x v="0"/>
    <x v="0"/>
    <x v="0"/>
    <x v="0"/>
    <x v="2"/>
    <x v="2"/>
    <x v="2"/>
    <x v="28"/>
    <x v="28"/>
    <n v="6.7728000000000002"/>
    <x v="0"/>
    <x v="0"/>
    <x v="1"/>
    <x v="3"/>
    <x v="3"/>
    <x v="13"/>
    <n v="7.3823520000000009"/>
  </r>
  <r>
    <x v="1"/>
    <x v="0"/>
    <x v="1"/>
    <x v="1"/>
    <x v="0"/>
    <x v="2"/>
    <x v="0"/>
    <x v="0"/>
    <x v="0"/>
    <x v="0"/>
    <x v="0"/>
    <x v="0"/>
    <x v="2"/>
    <x v="2"/>
    <x v="2"/>
    <x v="11"/>
    <x v="11"/>
    <n v="73.668369999999996"/>
    <x v="0"/>
    <x v="0"/>
    <x v="3"/>
    <x v="5"/>
    <x v="7"/>
    <x v="11"/>
    <n v="80.298523299999999"/>
  </r>
  <r>
    <x v="1"/>
    <x v="0"/>
    <x v="1"/>
    <x v="1"/>
    <x v="0"/>
    <x v="2"/>
    <x v="0"/>
    <x v="0"/>
    <x v="0"/>
    <x v="0"/>
    <x v="0"/>
    <x v="0"/>
    <x v="2"/>
    <x v="2"/>
    <x v="2"/>
    <x v="12"/>
    <x v="12"/>
    <n v="131.17291860415301"/>
    <x v="0"/>
    <x v="0"/>
    <x v="0"/>
    <x v="0"/>
    <x v="8"/>
    <x v="12"/>
    <n v="142.9784812785268"/>
  </r>
  <r>
    <x v="1"/>
    <x v="0"/>
    <x v="1"/>
    <x v="1"/>
    <x v="0"/>
    <x v="2"/>
    <x v="0"/>
    <x v="0"/>
    <x v="0"/>
    <x v="0"/>
    <x v="0"/>
    <x v="0"/>
    <x v="2"/>
    <x v="2"/>
    <x v="2"/>
    <x v="13"/>
    <x v="13"/>
    <n v="1.90554"/>
    <x v="0"/>
    <x v="0"/>
    <x v="1"/>
    <x v="3"/>
    <x v="3"/>
    <x v="13"/>
    <n v="2.0770386000000003"/>
  </r>
  <r>
    <x v="1"/>
    <x v="0"/>
    <x v="1"/>
    <x v="1"/>
    <x v="0"/>
    <x v="2"/>
    <x v="0"/>
    <x v="0"/>
    <x v="0"/>
    <x v="0"/>
    <x v="0"/>
    <x v="0"/>
    <x v="2"/>
    <x v="2"/>
    <x v="2"/>
    <x v="14"/>
    <x v="14"/>
    <n v="0.45613999999999999"/>
    <x v="0"/>
    <x v="0"/>
    <x v="0"/>
    <x v="0"/>
    <x v="8"/>
    <x v="14"/>
    <n v="0.49719260000000004"/>
  </r>
  <r>
    <x v="1"/>
    <x v="0"/>
    <x v="1"/>
    <x v="1"/>
    <x v="0"/>
    <x v="2"/>
    <x v="0"/>
    <x v="0"/>
    <x v="0"/>
    <x v="0"/>
    <x v="0"/>
    <x v="0"/>
    <x v="2"/>
    <x v="2"/>
    <x v="2"/>
    <x v="16"/>
    <x v="16"/>
    <n v="283.28674000000001"/>
    <x v="0"/>
    <x v="0"/>
    <x v="3"/>
    <x v="5"/>
    <x v="9"/>
    <x v="16"/>
    <n v="308.78254660000005"/>
  </r>
  <r>
    <x v="1"/>
    <x v="0"/>
    <x v="1"/>
    <x v="1"/>
    <x v="0"/>
    <x v="2"/>
    <x v="0"/>
    <x v="0"/>
    <x v="0"/>
    <x v="0"/>
    <x v="0"/>
    <x v="0"/>
    <x v="2"/>
    <x v="2"/>
    <x v="2"/>
    <x v="21"/>
    <x v="21"/>
    <n v="21.120045871546999"/>
    <x v="0"/>
    <x v="0"/>
    <x v="1"/>
    <x v="4"/>
    <x v="5"/>
    <x v="10"/>
    <n v="23.020849999986229"/>
  </r>
  <r>
    <x v="1"/>
    <x v="0"/>
    <x v="1"/>
    <x v="1"/>
    <x v="0"/>
    <x v="2"/>
    <x v="0"/>
    <x v="0"/>
    <x v="0"/>
    <x v="0"/>
    <x v="0"/>
    <x v="0"/>
    <x v="2"/>
    <x v="2"/>
    <x v="2"/>
    <x v="26"/>
    <x v="26"/>
    <n v="1.70960550458613"/>
    <x v="0"/>
    <x v="0"/>
    <x v="1"/>
    <x v="3"/>
    <x v="3"/>
    <x v="15"/>
    <n v="1.863469999998882"/>
  </r>
  <r>
    <x v="1"/>
    <x v="0"/>
    <x v="1"/>
    <x v="1"/>
    <x v="0"/>
    <x v="2"/>
    <x v="0"/>
    <x v="0"/>
    <x v="0"/>
    <x v="0"/>
    <x v="0"/>
    <x v="0"/>
    <x v="2"/>
    <x v="2"/>
    <x v="2"/>
    <x v="1"/>
    <x v="1"/>
    <n v="24.5955103446923"/>
    <x v="0"/>
    <x v="0"/>
    <x v="1"/>
    <x v="1"/>
    <x v="1"/>
    <x v="1"/>
    <n v="26.809106275714608"/>
  </r>
  <r>
    <x v="1"/>
    <x v="0"/>
    <x v="1"/>
    <x v="1"/>
    <x v="0"/>
    <x v="2"/>
    <x v="0"/>
    <x v="0"/>
    <x v="0"/>
    <x v="0"/>
    <x v="0"/>
    <x v="0"/>
    <x v="2"/>
    <x v="2"/>
    <x v="2"/>
    <x v="2"/>
    <x v="2"/>
    <n v="513.07618348593098"/>
    <x v="0"/>
    <x v="1"/>
    <x v="2"/>
    <x v="2"/>
    <x v="13"/>
    <x v="2"/>
    <n v="559.25303999966479"/>
  </r>
  <r>
    <x v="1"/>
    <x v="0"/>
    <x v="1"/>
    <x v="1"/>
    <x v="0"/>
    <x v="2"/>
    <x v="0"/>
    <x v="0"/>
    <x v="0"/>
    <x v="0"/>
    <x v="0"/>
    <x v="0"/>
    <x v="1"/>
    <x v="6"/>
    <x v="6"/>
    <x v="9"/>
    <x v="9"/>
    <n v="65.935628763200398"/>
    <x v="0"/>
    <x v="0"/>
    <x v="1"/>
    <x v="4"/>
    <x v="5"/>
    <x v="9"/>
    <n v="71.86983535188844"/>
  </r>
  <r>
    <x v="1"/>
    <x v="0"/>
    <x v="1"/>
    <x v="1"/>
    <x v="0"/>
    <x v="2"/>
    <x v="0"/>
    <x v="0"/>
    <x v="0"/>
    <x v="0"/>
    <x v="0"/>
    <x v="0"/>
    <x v="1"/>
    <x v="6"/>
    <x v="6"/>
    <x v="10"/>
    <x v="10"/>
    <n v="5.4263486238499601"/>
    <x v="0"/>
    <x v="0"/>
    <x v="1"/>
    <x v="4"/>
    <x v="5"/>
    <x v="10"/>
    <n v="5.914719999996457"/>
  </r>
  <r>
    <x v="1"/>
    <x v="0"/>
    <x v="1"/>
    <x v="1"/>
    <x v="0"/>
    <x v="2"/>
    <x v="0"/>
    <x v="0"/>
    <x v="0"/>
    <x v="0"/>
    <x v="0"/>
    <x v="0"/>
    <x v="1"/>
    <x v="6"/>
    <x v="6"/>
    <x v="12"/>
    <x v="12"/>
    <n v="10.901162790656199"/>
    <x v="0"/>
    <x v="0"/>
    <x v="0"/>
    <x v="0"/>
    <x v="8"/>
    <x v="12"/>
    <n v="11.882267441815259"/>
  </r>
  <r>
    <x v="1"/>
    <x v="0"/>
    <x v="1"/>
    <x v="1"/>
    <x v="0"/>
    <x v="2"/>
    <x v="0"/>
    <x v="0"/>
    <x v="0"/>
    <x v="0"/>
    <x v="0"/>
    <x v="0"/>
    <x v="1"/>
    <x v="6"/>
    <x v="6"/>
    <x v="13"/>
    <x v="13"/>
    <n v="2.9757099999999999"/>
    <x v="0"/>
    <x v="0"/>
    <x v="1"/>
    <x v="3"/>
    <x v="3"/>
    <x v="13"/>
    <n v="3.2435239"/>
  </r>
  <r>
    <x v="1"/>
    <x v="0"/>
    <x v="1"/>
    <x v="1"/>
    <x v="0"/>
    <x v="2"/>
    <x v="0"/>
    <x v="0"/>
    <x v="0"/>
    <x v="0"/>
    <x v="0"/>
    <x v="0"/>
    <x v="1"/>
    <x v="6"/>
    <x v="6"/>
    <x v="16"/>
    <x v="16"/>
    <n v="17.46"/>
    <x v="0"/>
    <x v="0"/>
    <x v="3"/>
    <x v="5"/>
    <x v="9"/>
    <x v="16"/>
    <n v="19.031400000000001"/>
  </r>
  <r>
    <x v="1"/>
    <x v="0"/>
    <x v="1"/>
    <x v="1"/>
    <x v="0"/>
    <x v="2"/>
    <x v="0"/>
    <x v="0"/>
    <x v="0"/>
    <x v="0"/>
    <x v="0"/>
    <x v="0"/>
    <x v="1"/>
    <x v="6"/>
    <x v="6"/>
    <x v="21"/>
    <x v="21"/>
    <n v="148.64004587146999"/>
    <x v="0"/>
    <x v="0"/>
    <x v="1"/>
    <x v="4"/>
    <x v="5"/>
    <x v="10"/>
    <n v="162.01764999990232"/>
  </r>
  <r>
    <x v="1"/>
    <x v="0"/>
    <x v="1"/>
    <x v="1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1"/>
    <x v="0"/>
    <x v="1"/>
    <x v="1"/>
    <x v="0"/>
    <x v="2"/>
    <x v="0"/>
    <x v="0"/>
    <x v="0"/>
    <x v="0"/>
    <x v="0"/>
    <x v="0"/>
    <x v="3"/>
    <x v="7"/>
    <x v="7"/>
    <x v="9"/>
    <x v="9"/>
    <n v="13.0770997739835"/>
    <x v="0"/>
    <x v="0"/>
    <x v="1"/>
    <x v="4"/>
    <x v="5"/>
    <x v="9"/>
    <n v="14.254038753642016"/>
  </r>
  <r>
    <x v="1"/>
    <x v="0"/>
    <x v="1"/>
    <x v="1"/>
    <x v="0"/>
    <x v="2"/>
    <x v="0"/>
    <x v="0"/>
    <x v="0"/>
    <x v="0"/>
    <x v="0"/>
    <x v="0"/>
    <x v="3"/>
    <x v="7"/>
    <x v="7"/>
    <x v="10"/>
    <x v="10"/>
    <n v="12.3051361215744"/>
    <x v="0"/>
    <x v="0"/>
    <x v="1"/>
    <x v="4"/>
    <x v="5"/>
    <x v="10"/>
    <n v="13.412598372516097"/>
  </r>
  <r>
    <x v="1"/>
    <x v="0"/>
    <x v="1"/>
    <x v="1"/>
    <x v="0"/>
    <x v="2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1"/>
    <x v="0"/>
    <x v="1"/>
    <x v="1"/>
    <x v="0"/>
    <x v="2"/>
    <x v="0"/>
    <x v="0"/>
    <x v="0"/>
    <x v="0"/>
    <x v="0"/>
    <x v="0"/>
    <x v="1"/>
    <x v="8"/>
    <x v="8"/>
    <x v="6"/>
    <x v="6"/>
    <n v="3.4159999999999999"/>
    <x v="0"/>
    <x v="0"/>
    <x v="0"/>
    <x v="0"/>
    <x v="4"/>
    <x v="6"/>
    <n v="3.7234400000000001"/>
  </r>
  <r>
    <x v="1"/>
    <x v="0"/>
    <x v="1"/>
    <x v="1"/>
    <x v="0"/>
    <x v="2"/>
    <x v="0"/>
    <x v="0"/>
    <x v="0"/>
    <x v="0"/>
    <x v="0"/>
    <x v="0"/>
    <x v="1"/>
    <x v="8"/>
    <x v="8"/>
    <x v="9"/>
    <x v="9"/>
    <n v="341.79857415986601"/>
    <x v="0"/>
    <x v="0"/>
    <x v="1"/>
    <x v="4"/>
    <x v="5"/>
    <x v="9"/>
    <n v="372.56044583425398"/>
  </r>
  <r>
    <x v="1"/>
    <x v="0"/>
    <x v="1"/>
    <x v="1"/>
    <x v="0"/>
    <x v="2"/>
    <x v="0"/>
    <x v="0"/>
    <x v="0"/>
    <x v="0"/>
    <x v="0"/>
    <x v="0"/>
    <x v="1"/>
    <x v="8"/>
    <x v="8"/>
    <x v="10"/>
    <x v="10"/>
    <n v="4.5400544408063999"/>
    <x v="0"/>
    <x v="0"/>
    <x v="1"/>
    <x v="4"/>
    <x v="5"/>
    <x v="10"/>
    <n v="4.9486593404789758"/>
  </r>
  <r>
    <x v="1"/>
    <x v="0"/>
    <x v="1"/>
    <x v="1"/>
    <x v="0"/>
    <x v="2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1"/>
    <x v="0"/>
    <x v="1"/>
    <x v="1"/>
    <x v="0"/>
    <x v="2"/>
    <x v="0"/>
    <x v="0"/>
    <x v="0"/>
    <x v="0"/>
    <x v="0"/>
    <x v="0"/>
    <x v="0"/>
    <x v="9"/>
    <x v="9"/>
    <x v="9"/>
    <x v="9"/>
    <n v="1238.7695703519801"/>
    <x v="0"/>
    <x v="0"/>
    <x v="1"/>
    <x v="4"/>
    <x v="5"/>
    <x v="9"/>
    <n v="1350.2588316836584"/>
  </r>
  <r>
    <x v="1"/>
    <x v="0"/>
    <x v="1"/>
    <x v="1"/>
    <x v="0"/>
    <x v="2"/>
    <x v="0"/>
    <x v="0"/>
    <x v="0"/>
    <x v="0"/>
    <x v="0"/>
    <x v="0"/>
    <x v="0"/>
    <x v="9"/>
    <x v="9"/>
    <x v="10"/>
    <x v="10"/>
    <n v="106.89402392832"/>
    <x v="0"/>
    <x v="0"/>
    <x v="1"/>
    <x v="4"/>
    <x v="5"/>
    <x v="10"/>
    <n v="116.51448608186881"/>
  </r>
  <r>
    <x v="1"/>
    <x v="0"/>
    <x v="1"/>
    <x v="1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1"/>
    <x v="0"/>
    <x v="1"/>
    <x v="1"/>
    <x v="0"/>
    <x v="2"/>
    <x v="0"/>
    <x v="0"/>
    <x v="0"/>
    <x v="0"/>
    <x v="0"/>
    <x v="0"/>
    <x v="0"/>
    <x v="9"/>
    <x v="9"/>
    <x v="21"/>
    <x v="21"/>
    <n v="154.69597247697101"/>
    <x v="0"/>
    <x v="0"/>
    <x v="1"/>
    <x v="4"/>
    <x v="5"/>
    <x v="10"/>
    <n v="168.61860999989841"/>
  </r>
  <r>
    <x v="1"/>
    <x v="0"/>
    <x v="1"/>
    <x v="1"/>
    <x v="0"/>
    <x v="2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1"/>
    <x v="0"/>
    <x v="1"/>
    <x v="1"/>
    <x v="0"/>
    <x v="2"/>
    <x v="0"/>
    <x v="0"/>
    <x v="0"/>
    <x v="0"/>
    <x v="0"/>
    <x v="0"/>
    <x v="2"/>
    <x v="10"/>
    <x v="10"/>
    <x v="6"/>
    <x v="6"/>
    <n v="82.650419999999997"/>
    <x v="0"/>
    <x v="0"/>
    <x v="0"/>
    <x v="0"/>
    <x v="4"/>
    <x v="6"/>
    <n v="90.088957800000003"/>
  </r>
  <r>
    <x v="1"/>
    <x v="0"/>
    <x v="1"/>
    <x v="1"/>
    <x v="0"/>
    <x v="2"/>
    <x v="0"/>
    <x v="0"/>
    <x v="0"/>
    <x v="0"/>
    <x v="0"/>
    <x v="0"/>
    <x v="2"/>
    <x v="10"/>
    <x v="10"/>
    <x v="9"/>
    <x v="9"/>
    <n v="275.94627988170998"/>
    <x v="0"/>
    <x v="0"/>
    <x v="1"/>
    <x v="4"/>
    <x v="5"/>
    <x v="9"/>
    <n v="300.7814450710639"/>
  </r>
  <r>
    <x v="1"/>
    <x v="0"/>
    <x v="1"/>
    <x v="1"/>
    <x v="0"/>
    <x v="2"/>
    <x v="0"/>
    <x v="0"/>
    <x v="0"/>
    <x v="0"/>
    <x v="0"/>
    <x v="0"/>
    <x v="2"/>
    <x v="10"/>
    <x v="10"/>
    <x v="10"/>
    <x v="10"/>
    <n v="12.262418729395201"/>
    <x v="0"/>
    <x v="0"/>
    <x v="1"/>
    <x v="4"/>
    <x v="5"/>
    <x v="10"/>
    <n v="13.366036415040769"/>
  </r>
  <r>
    <x v="1"/>
    <x v="0"/>
    <x v="1"/>
    <x v="1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1"/>
    <x v="0"/>
    <x v="1"/>
    <x v="1"/>
    <x v="0"/>
    <x v="2"/>
    <x v="0"/>
    <x v="0"/>
    <x v="0"/>
    <x v="0"/>
    <x v="0"/>
    <x v="0"/>
    <x v="2"/>
    <x v="10"/>
    <x v="10"/>
    <x v="21"/>
    <x v="21"/>
    <n v="27.1266972476901"/>
    <x v="0"/>
    <x v="0"/>
    <x v="1"/>
    <x v="4"/>
    <x v="5"/>
    <x v="10"/>
    <n v="29.568099999982209"/>
  </r>
  <r>
    <x v="1"/>
    <x v="0"/>
    <x v="1"/>
    <x v="1"/>
    <x v="0"/>
    <x v="2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1"/>
    <x v="0"/>
    <x v="1"/>
    <x v="1"/>
    <x v="0"/>
    <x v="2"/>
    <x v="0"/>
    <x v="0"/>
    <x v="0"/>
    <x v="0"/>
    <x v="0"/>
    <x v="0"/>
    <x v="4"/>
    <x v="5"/>
    <x v="5"/>
    <x v="6"/>
    <x v="6"/>
    <n v="548.84118000000001"/>
    <x v="0"/>
    <x v="0"/>
    <x v="0"/>
    <x v="0"/>
    <x v="4"/>
    <x v="6"/>
    <n v="598.23688620000007"/>
  </r>
  <r>
    <x v="1"/>
    <x v="0"/>
    <x v="1"/>
    <x v="1"/>
    <x v="0"/>
    <x v="2"/>
    <x v="0"/>
    <x v="0"/>
    <x v="0"/>
    <x v="0"/>
    <x v="0"/>
    <x v="0"/>
    <x v="4"/>
    <x v="5"/>
    <x v="5"/>
    <x v="9"/>
    <x v="9"/>
    <n v="951.15231743995002"/>
    <x v="0"/>
    <x v="0"/>
    <x v="1"/>
    <x v="4"/>
    <x v="5"/>
    <x v="9"/>
    <n v="1036.7560260095456"/>
  </r>
  <r>
    <x v="1"/>
    <x v="0"/>
    <x v="1"/>
    <x v="1"/>
    <x v="0"/>
    <x v="2"/>
    <x v="0"/>
    <x v="0"/>
    <x v="0"/>
    <x v="0"/>
    <x v="0"/>
    <x v="0"/>
    <x v="4"/>
    <x v="5"/>
    <x v="5"/>
    <x v="10"/>
    <x v="10"/>
    <n v="61.282107233318399"/>
    <x v="0"/>
    <x v="0"/>
    <x v="1"/>
    <x v="4"/>
    <x v="5"/>
    <x v="10"/>
    <n v="66.797496884317056"/>
  </r>
  <r>
    <x v="1"/>
    <x v="0"/>
    <x v="1"/>
    <x v="1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1"/>
    <x v="0"/>
    <x v="1"/>
    <x v="1"/>
    <x v="0"/>
    <x v="2"/>
    <x v="0"/>
    <x v="0"/>
    <x v="0"/>
    <x v="0"/>
    <x v="0"/>
    <x v="0"/>
    <x v="4"/>
    <x v="5"/>
    <x v="5"/>
    <x v="12"/>
    <x v="12"/>
    <n v="585.74051162568105"/>
    <x v="0"/>
    <x v="0"/>
    <x v="0"/>
    <x v="0"/>
    <x v="8"/>
    <x v="12"/>
    <n v="638.45715767199238"/>
  </r>
  <r>
    <x v="1"/>
    <x v="0"/>
    <x v="1"/>
    <x v="1"/>
    <x v="0"/>
    <x v="2"/>
    <x v="0"/>
    <x v="0"/>
    <x v="0"/>
    <x v="0"/>
    <x v="0"/>
    <x v="0"/>
    <x v="4"/>
    <x v="5"/>
    <x v="5"/>
    <x v="21"/>
    <x v="21"/>
    <n v="59.759513761431997"/>
    <x v="0"/>
    <x v="0"/>
    <x v="1"/>
    <x v="4"/>
    <x v="5"/>
    <x v="10"/>
    <n v="65.137869999960884"/>
  </r>
  <r>
    <x v="1"/>
    <x v="0"/>
    <x v="1"/>
    <x v="1"/>
    <x v="0"/>
    <x v="2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1"/>
    <x v="0"/>
    <x v="1"/>
    <x v="1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1"/>
    <x v="0"/>
    <x v="1"/>
    <x v="1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1"/>
    <x v="0"/>
    <x v="1"/>
    <x v="1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1"/>
    <x v="0"/>
    <x v="1"/>
    <x v="1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1"/>
    <x v="0"/>
    <x v="1"/>
    <x v="1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1"/>
    <x v="0"/>
    <x v="1"/>
    <x v="1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1"/>
    <x v="0"/>
    <x v="1"/>
    <x v="1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1"/>
    <x v="0"/>
    <x v="1"/>
    <x v="1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1"/>
    <x v="0"/>
    <x v="1"/>
    <x v="1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1"/>
    <x v="0"/>
    <x v="1"/>
    <x v="1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1"/>
    <x v="0"/>
    <x v="1"/>
    <x v="1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1"/>
    <x v="0"/>
    <x v="1"/>
    <x v="1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1"/>
    <x v="0"/>
    <x v="1"/>
    <x v="1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1"/>
    <x v="0"/>
    <x v="1"/>
    <x v="1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1"/>
    <x v="0"/>
    <x v="1"/>
    <x v="1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1"/>
    <x v="0"/>
    <x v="1"/>
    <x v="1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1"/>
    <x v="0"/>
    <x v="1"/>
    <x v="1"/>
    <x v="0"/>
    <x v="2"/>
    <x v="0"/>
    <x v="0"/>
    <x v="0"/>
    <x v="0"/>
    <x v="0"/>
    <x v="0"/>
    <x v="4"/>
    <x v="5"/>
    <x v="5"/>
    <x v="2"/>
    <x v="2"/>
    <n v="60.449504587119698"/>
    <x v="0"/>
    <x v="1"/>
    <x v="2"/>
    <x v="2"/>
    <x v="13"/>
    <x v="2"/>
    <n v="65.889959999960482"/>
  </r>
  <r>
    <x v="1"/>
    <x v="0"/>
    <x v="1"/>
    <x v="1"/>
    <x v="0"/>
    <x v="2"/>
    <x v="0"/>
    <x v="0"/>
    <x v="0"/>
    <x v="0"/>
    <x v="3"/>
    <x v="3"/>
    <x v="0"/>
    <x v="4"/>
    <x v="4"/>
    <x v="16"/>
    <x v="16"/>
    <n v="20.76154"/>
    <x v="0"/>
    <x v="0"/>
    <x v="3"/>
    <x v="5"/>
    <x v="9"/>
    <x v="16"/>
    <n v="22.630078600000001"/>
  </r>
  <r>
    <x v="1"/>
    <x v="0"/>
    <x v="1"/>
    <x v="1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1"/>
    <x v="0"/>
    <x v="1"/>
    <x v="1"/>
    <x v="0"/>
    <x v="2"/>
    <x v="0"/>
    <x v="0"/>
    <x v="0"/>
    <x v="0"/>
    <x v="3"/>
    <x v="3"/>
    <x v="2"/>
    <x v="2"/>
    <x v="2"/>
    <x v="12"/>
    <x v="12"/>
    <n v="6.0406976743959999E-2"/>
    <x v="0"/>
    <x v="0"/>
    <x v="0"/>
    <x v="0"/>
    <x v="8"/>
    <x v="12"/>
    <n v="6.5843604650916404E-2"/>
  </r>
  <r>
    <x v="1"/>
    <x v="0"/>
    <x v="1"/>
    <x v="1"/>
    <x v="0"/>
    <x v="2"/>
    <x v="0"/>
    <x v="0"/>
    <x v="0"/>
    <x v="0"/>
    <x v="3"/>
    <x v="3"/>
    <x v="2"/>
    <x v="2"/>
    <x v="2"/>
    <x v="16"/>
    <x v="16"/>
    <n v="68.514750000000006"/>
    <x v="0"/>
    <x v="0"/>
    <x v="3"/>
    <x v="5"/>
    <x v="9"/>
    <x v="16"/>
    <n v="74.681077500000015"/>
  </r>
  <r>
    <x v="1"/>
    <x v="0"/>
    <x v="1"/>
    <x v="1"/>
    <x v="0"/>
    <x v="2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1"/>
    <x v="0"/>
    <x v="1"/>
    <x v="1"/>
    <x v="0"/>
    <x v="2"/>
    <x v="0"/>
    <x v="0"/>
    <x v="0"/>
    <x v="0"/>
    <x v="3"/>
    <x v="3"/>
    <x v="2"/>
    <x v="2"/>
    <x v="2"/>
    <x v="2"/>
    <x v="2"/>
    <n v="3.4445137614658199"/>
    <x v="0"/>
    <x v="1"/>
    <x v="2"/>
    <x v="2"/>
    <x v="13"/>
    <x v="2"/>
    <n v="3.7545199999977439"/>
  </r>
  <r>
    <x v="1"/>
    <x v="0"/>
    <x v="1"/>
    <x v="1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1"/>
    <x v="0"/>
    <x v="1"/>
    <x v="1"/>
    <x v="0"/>
    <x v="2"/>
    <x v="0"/>
    <x v="0"/>
    <x v="0"/>
    <x v="0"/>
    <x v="4"/>
    <x v="4"/>
    <x v="2"/>
    <x v="2"/>
    <x v="2"/>
    <x v="12"/>
    <x v="12"/>
    <n v="15.905558139474399"/>
    <x v="0"/>
    <x v="0"/>
    <x v="0"/>
    <x v="0"/>
    <x v="8"/>
    <x v="12"/>
    <n v="17.337058372027098"/>
  </r>
  <r>
    <x v="1"/>
    <x v="0"/>
    <x v="1"/>
    <x v="1"/>
    <x v="0"/>
    <x v="2"/>
    <x v="0"/>
    <x v="0"/>
    <x v="0"/>
    <x v="0"/>
    <x v="4"/>
    <x v="4"/>
    <x v="2"/>
    <x v="2"/>
    <x v="2"/>
    <x v="13"/>
    <x v="13"/>
    <n v="1.1619999999999999"/>
    <x v="0"/>
    <x v="0"/>
    <x v="1"/>
    <x v="3"/>
    <x v="3"/>
    <x v="13"/>
    <n v="1.26658"/>
  </r>
  <r>
    <x v="1"/>
    <x v="0"/>
    <x v="1"/>
    <x v="1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1"/>
    <x v="0"/>
    <x v="1"/>
    <x v="1"/>
    <x v="0"/>
    <x v="2"/>
    <x v="0"/>
    <x v="0"/>
    <x v="0"/>
    <x v="0"/>
    <x v="4"/>
    <x v="4"/>
    <x v="2"/>
    <x v="2"/>
    <x v="2"/>
    <x v="2"/>
    <x v="2"/>
    <n v="0.98414678899024"/>
    <x v="0"/>
    <x v="1"/>
    <x v="2"/>
    <x v="2"/>
    <x v="13"/>
    <x v="2"/>
    <n v="1.0727199999993617"/>
  </r>
  <r>
    <x v="1"/>
    <x v="0"/>
    <x v="1"/>
    <x v="1"/>
    <x v="0"/>
    <x v="2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1"/>
    <x v="0"/>
    <x v="1"/>
    <x v="1"/>
    <x v="0"/>
    <x v="2"/>
    <x v="0"/>
    <x v="0"/>
    <x v="2"/>
    <x v="2"/>
    <x v="5"/>
    <x v="5"/>
    <x v="2"/>
    <x v="2"/>
    <x v="2"/>
    <x v="40"/>
    <x v="40"/>
    <n v="32.174999999999997"/>
    <x v="1"/>
    <x v="2"/>
    <x v="5"/>
    <x v="7"/>
    <x v="11"/>
    <x v="22"/>
    <n v="35.070749999999997"/>
  </r>
  <r>
    <x v="1"/>
    <x v="0"/>
    <x v="1"/>
    <x v="1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1"/>
    <x v="0"/>
    <x v="1"/>
    <x v="1"/>
    <x v="0"/>
    <x v="2"/>
    <x v="0"/>
    <x v="0"/>
    <x v="2"/>
    <x v="2"/>
    <x v="5"/>
    <x v="5"/>
    <x v="1"/>
    <x v="6"/>
    <x v="6"/>
    <x v="40"/>
    <x v="40"/>
    <n v="54.174140000000001"/>
    <x v="1"/>
    <x v="2"/>
    <x v="5"/>
    <x v="7"/>
    <x v="11"/>
    <x v="22"/>
    <n v="59.049812600000003"/>
  </r>
  <r>
    <x v="1"/>
    <x v="0"/>
    <x v="1"/>
    <x v="1"/>
    <x v="0"/>
    <x v="2"/>
    <x v="0"/>
    <x v="0"/>
    <x v="2"/>
    <x v="2"/>
    <x v="5"/>
    <x v="5"/>
    <x v="1"/>
    <x v="8"/>
    <x v="8"/>
    <x v="40"/>
    <x v="40"/>
    <n v="1.8007"/>
    <x v="1"/>
    <x v="2"/>
    <x v="5"/>
    <x v="7"/>
    <x v="11"/>
    <x v="22"/>
    <n v="1.962763"/>
  </r>
  <r>
    <x v="1"/>
    <x v="0"/>
    <x v="1"/>
    <x v="1"/>
    <x v="0"/>
    <x v="2"/>
    <x v="0"/>
    <x v="0"/>
    <x v="2"/>
    <x v="2"/>
    <x v="5"/>
    <x v="5"/>
    <x v="4"/>
    <x v="5"/>
    <x v="5"/>
    <x v="40"/>
    <x v="40"/>
    <n v="154.79845"/>
    <x v="1"/>
    <x v="2"/>
    <x v="5"/>
    <x v="7"/>
    <x v="11"/>
    <x v="22"/>
    <n v="168.7303105"/>
  </r>
  <r>
    <x v="1"/>
    <x v="0"/>
    <x v="1"/>
    <x v="1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1"/>
    <x v="0"/>
    <x v="1"/>
    <x v="1"/>
    <x v="0"/>
    <x v="2"/>
    <x v="0"/>
    <x v="0"/>
    <x v="2"/>
    <x v="2"/>
    <x v="7"/>
    <x v="7"/>
    <x v="2"/>
    <x v="2"/>
    <x v="2"/>
    <x v="40"/>
    <x v="40"/>
    <n v="60.051479999999998"/>
    <x v="1"/>
    <x v="2"/>
    <x v="5"/>
    <x v="7"/>
    <x v="11"/>
    <x v="22"/>
    <n v="65.456113200000004"/>
  </r>
  <r>
    <x v="1"/>
    <x v="0"/>
    <x v="1"/>
    <x v="1"/>
    <x v="0"/>
    <x v="2"/>
    <x v="0"/>
    <x v="0"/>
    <x v="2"/>
    <x v="2"/>
    <x v="7"/>
    <x v="7"/>
    <x v="2"/>
    <x v="2"/>
    <x v="2"/>
    <x v="38"/>
    <x v="38"/>
    <n v="67.332499999999996"/>
    <x v="1"/>
    <x v="0"/>
    <x v="4"/>
    <x v="6"/>
    <x v="10"/>
    <x v="21"/>
    <n v="73.392425000000003"/>
  </r>
  <r>
    <x v="1"/>
    <x v="0"/>
    <x v="1"/>
    <x v="1"/>
    <x v="0"/>
    <x v="2"/>
    <x v="0"/>
    <x v="0"/>
    <x v="2"/>
    <x v="2"/>
    <x v="7"/>
    <x v="7"/>
    <x v="1"/>
    <x v="6"/>
    <x v="6"/>
    <x v="40"/>
    <x v="40"/>
    <n v="45.850110000000001"/>
    <x v="1"/>
    <x v="2"/>
    <x v="5"/>
    <x v="7"/>
    <x v="11"/>
    <x v="22"/>
    <n v="49.976619900000003"/>
  </r>
  <r>
    <x v="1"/>
    <x v="0"/>
    <x v="1"/>
    <x v="1"/>
    <x v="0"/>
    <x v="2"/>
    <x v="0"/>
    <x v="0"/>
    <x v="2"/>
    <x v="2"/>
    <x v="7"/>
    <x v="7"/>
    <x v="1"/>
    <x v="6"/>
    <x v="6"/>
    <x v="38"/>
    <x v="38"/>
    <n v="24.709099999999999"/>
    <x v="1"/>
    <x v="0"/>
    <x v="4"/>
    <x v="6"/>
    <x v="10"/>
    <x v="21"/>
    <n v="26.932919000000002"/>
  </r>
  <r>
    <x v="1"/>
    <x v="0"/>
    <x v="1"/>
    <x v="1"/>
    <x v="0"/>
    <x v="2"/>
    <x v="0"/>
    <x v="0"/>
    <x v="2"/>
    <x v="2"/>
    <x v="7"/>
    <x v="7"/>
    <x v="1"/>
    <x v="8"/>
    <x v="8"/>
    <x v="40"/>
    <x v="40"/>
    <n v="8.4826499999999996"/>
    <x v="1"/>
    <x v="2"/>
    <x v="5"/>
    <x v="7"/>
    <x v="11"/>
    <x v="22"/>
    <n v="9.2460885000000008"/>
  </r>
  <r>
    <x v="1"/>
    <x v="0"/>
    <x v="1"/>
    <x v="1"/>
    <x v="0"/>
    <x v="2"/>
    <x v="0"/>
    <x v="0"/>
    <x v="2"/>
    <x v="2"/>
    <x v="7"/>
    <x v="7"/>
    <x v="4"/>
    <x v="5"/>
    <x v="5"/>
    <x v="40"/>
    <x v="40"/>
    <n v="3.9655"/>
    <x v="1"/>
    <x v="2"/>
    <x v="5"/>
    <x v="7"/>
    <x v="11"/>
    <x v="22"/>
    <n v="4.3223950000000002"/>
  </r>
  <r>
    <x v="1"/>
    <x v="0"/>
    <x v="1"/>
    <x v="1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1"/>
    <x v="0"/>
    <x v="1"/>
    <x v="1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1"/>
    <x v="0"/>
    <x v="1"/>
    <x v="1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1"/>
    <x v="0"/>
    <x v="1"/>
    <x v="1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1"/>
    <x v="0"/>
    <x v="1"/>
    <x v="1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1"/>
    <x v="0"/>
    <x v="1"/>
    <x v="1"/>
    <x v="0"/>
    <x v="2"/>
    <x v="0"/>
    <x v="0"/>
    <x v="2"/>
    <x v="2"/>
    <x v="9"/>
    <x v="9"/>
    <x v="2"/>
    <x v="2"/>
    <x v="2"/>
    <x v="40"/>
    <x v="40"/>
    <n v="196.62182000000001"/>
    <x v="1"/>
    <x v="2"/>
    <x v="5"/>
    <x v="7"/>
    <x v="11"/>
    <x v="22"/>
    <n v="214.31778380000003"/>
  </r>
  <r>
    <x v="1"/>
    <x v="0"/>
    <x v="1"/>
    <x v="1"/>
    <x v="0"/>
    <x v="2"/>
    <x v="0"/>
    <x v="0"/>
    <x v="2"/>
    <x v="2"/>
    <x v="9"/>
    <x v="9"/>
    <x v="2"/>
    <x v="2"/>
    <x v="2"/>
    <x v="38"/>
    <x v="38"/>
    <n v="186.89500000000001"/>
    <x v="1"/>
    <x v="0"/>
    <x v="4"/>
    <x v="6"/>
    <x v="10"/>
    <x v="21"/>
    <n v="203.71555000000004"/>
  </r>
  <r>
    <x v="1"/>
    <x v="0"/>
    <x v="1"/>
    <x v="1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1"/>
    <x v="0"/>
    <x v="1"/>
    <x v="1"/>
    <x v="0"/>
    <x v="2"/>
    <x v="0"/>
    <x v="0"/>
    <x v="2"/>
    <x v="2"/>
    <x v="9"/>
    <x v="9"/>
    <x v="1"/>
    <x v="6"/>
    <x v="6"/>
    <x v="40"/>
    <x v="40"/>
    <n v="912.01575000000003"/>
    <x v="1"/>
    <x v="2"/>
    <x v="5"/>
    <x v="7"/>
    <x v="11"/>
    <x v="22"/>
    <n v="994.09716750000007"/>
  </r>
  <r>
    <x v="1"/>
    <x v="0"/>
    <x v="1"/>
    <x v="1"/>
    <x v="0"/>
    <x v="2"/>
    <x v="0"/>
    <x v="0"/>
    <x v="2"/>
    <x v="2"/>
    <x v="9"/>
    <x v="9"/>
    <x v="1"/>
    <x v="6"/>
    <x v="6"/>
    <x v="38"/>
    <x v="38"/>
    <n v="30.611339999999998"/>
    <x v="1"/>
    <x v="0"/>
    <x v="4"/>
    <x v="6"/>
    <x v="10"/>
    <x v="21"/>
    <n v="33.3663606"/>
  </r>
  <r>
    <x v="1"/>
    <x v="0"/>
    <x v="1"/>
    <x v="1"/>
    <x v="0"/>
    <x v="2"/>
    <x v="0"/>
    <x v="0"/>
    <x v="2"/>
    <x v="2"/>
    <x v="9"/>
    <x v="9"/>
    <x v="3"/>
    <x v="7"/>
    <x v="7"/>
    <x v="40"/>
    <x v="40"/>
    <n v="89.011989999999997"/>
    <x v="1"/>
    <x v="2"/>
    <x v="5"/>
    <x v="7"/>
    <x v="11"/>
    <x v="22"/>
    <n v="97.023069100000001"/>
  </r>
  <r>
    <x v="1"/>
    <x v="0"/>
    <x v="1"/>
    <x v="1"/>
    <x v="0"/>
    <x v="2"/>
    <x v="0"/>
    <x v="0"/>
    <x v="2"/>
    <x v="2"/>
    <x v="9"/>
    <x v="9"/>
    <x v="1"/>
    <x v="8"/>
    <x v="8"/>
    <x v="40"/>
    <x v="40"/>
    <n v="993.07428000000004"/>
    <x v="1"/>
    <x v="2"/>
    <x v="5"/>
    <x v="7"/>
    <x v="11"/>
    <x v="22"/>
    <n v="1082.4509652000002"/>
  </r>
  <r>
    <x v="1"/>
    <x v="0"/>
    <x v="1"/>
    <x v="1"/>
    <x v="0"/>
    <x v="2"/>
    <x v="0"/>
    <x v="0"/>
    <x v="2"/>
    <x v="2"/>
    <x v="9"/>
    <x v="9"/>
    <x v="2"/>
    <x v="10"/>
    <x v="10"/>
    <x v="40"/>
    <x v="40"/>
    <n v="18.285119999999999"/>
    <x v="1"/>
    <x v="2"/>
    <x v="5"/>
    <x v="7"/>
    <x v="11"/>
    <x v="22"/>
    <n v="19.930780800000001"/>
  </r>
  <r>
    <x v="1"/>
    <x v="0"/>
    <x v="1"/>
    <x v="1"/>
    <x v="0"/>
    <x v="2"/>
    <x v="0"/>
    <x v="0"/>
    <x v="2"/>
    <x v="2"/>
    <x v="9"/>
    <x v="9"/>
    <x v="4"/>
    <x v="5"/>
    <x v="5"/>
    <x v="40"/>
    <x v="40"/>
    <n v="169.27855"/>
    <x v="1"/>
    <x v="2"/>
    <x v="5"/>
    <x v="7"/>
    <x v="11"/>
    <x v="22"/>
    <n v="184.5136195"/>
  </r>
  <r>
    <x v="1"/>
    <x v="0"/>
    <x v="1"/>
    <x v="1"/>
    <x v="0"/>
    <x v="2"/>
    <x v="0"/>
    <x v="0"/>
    <x v="2"/>
    <x v="2"/>
    <x v="10"/>
    <x v="10"/>
    <x v="2"/>
    <x v="2"/>
    <x v="2"/>
    <x v="41"/>
    <x v="41"/>
    <n v="0.35817021276459998"/>
    <x v="1"/>
    <x v="2"/>
    <x v="5"/>
    <x v="7"/>
    <x v="11"/>
    <x v="22"/>
    <n v="0.39040553191341398"/>
  </r>
  <r>
    <x v="1"/>
    <x v="0"/>
    <x v="1"/>
    <x v="1"/>
    <x v="0"/>
    <x v="2"/>
    <x v="0"/>
    <x v="0"/>
    <x v="2"/>
    <x v="2"/>
    <x v="10"/>
    <x v="10"/>
    <x v="2"/>
    <x v="2"/>
    <x v="2"/>
    <x v="40"/>
    <x v="40"/>
    <n v="375.99880000000002"/>
    <x v="1"/>
    <x v="2"/>
    <x v="5"/>
    <x v="7"/>
    <x v="11"/>
    <x v="22"/>
    <n v="409.83869200000004"/>
  </r>
  <r>
    <x v="1"/>
    <x v="0"/>
    <x v="1"/>
    <x v="1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1"/>
    <x v="0"/>
    <x v="1"/>
    <x v="1"/>
    <x v="0"/>
    <x v="2"/>
    <x v="0"/>
    <x v="0"/>
    <x v="0"/>
    <x v="0"/>
    <x v="11"/>
    <x v="11"/>
    <x v="4"/>
    <x v="5"/>
    <x v="5"/>
    <x v="7"/>
    <x v="7"/>
    <n v="28.860334494017401"/>
    <x v="0"/>
    <x v="0"/>
    <x v="1"/>
    <x v="4"/>
    <x v="5"/>
    <x v="7"/>
    <n v="31.45776459847897"/>
  </r>
  <r>
    <x v="1"/>
    <x v="0"/>
    <x v="1"/>
    <x v="1"/>
    <x v="0"/>
    <x v="2"/>
    <x v="0"/>
    <x v="0"/>
    <x v="0"/>
    <x v="0"/>
    <x v="11"/>
    <x v="11"/>
    <x v="4"/>
    <x v="5"/>
    <x v="5"/>
    <x v="10"/>
    <x v="10"/>
    <n v="34.792541473420798"/>
    <x v="0"/>
    <x v="0"/>
    <x v="1"/>
    <x v="4"/>
    <x v="5"/>
    <x v="10"/>
    <n v="37.923870206028674"/>
  </r>
  <r>
    <x v="1"/>
    <x v="0"/>
    <x v="1"/>
    <x v="1"/>
    <x v="0"/>
    <x v="2"/>
    <x v="0"/>
    <x v="0"/>
    <x v="3"/>
    <x v="3"/>
    <x v="12"/>
    <x v="12"/>
    <x v="3"/>
    <x v="7"/>
    <x v="7"/>
    <x v="40"/>
    <x v="40"/>
    <n v="26.71536"/>
    <x v="1"/>
    <x v="2"/>
    <x v="5"/>
    <x v="7"/>
    <x v="11"/>
    <x v="22"/>
    <n v="29.119742400000003"/>
  </r>
  <r>
    <x v="1"/>
    <x v="0"/>
    <x v="1"/>
    <x v="1"/>
    <x v="0"/>
    <x v="2"/>
    <x v="0"/>
    <x v="0"/>
    <x v="3"/>
    <x v="3"/>
    <x v="12"/>
    <x v="12"/>
    <x v="1"/>
    <x v="8"/>
    <x v="8"/>
    <x v="40"/>
    <x v="40"/>
    <n v="1.94432"/>
    <x v="1"/>
    <x v="2"/>
    <x v="5"/>
    <x v="7"/>
    <x v="11"/>
    <x v="22"/>
    <n v="2.1193088000000002"/>
  </r>
  <r>
    <x v="1"/>
    <x v="0"/>
    <x v="1"/>
    <x v="1"/>
    <x v="0"/>
    <x v="2"/>
    <x v="0"/>
    <x v="0"/>
    <x v="3"/>
    <x v="3"/>
    <x v="12"/>
    <x v="12"/>
    <x v="2"/>
    <x v="10"/>
    <x v="10"/>
    <x v="40"/>
    <x v="40"/>
    <n v="4.3898400000000004"/>
    <x v="1"/>
    <x v="2"/>
    <x v="5"/>
    <x v="7"/>
    <x v="11"/>
    <x v="22"/>
    <n v="4.7849256000000011"/>
  </r>
  <r>
    <x v="1"/>
    <x v="0"/>
    <x v="1"/>
    <x v="1"/>
    <x v="0"/>
    <x v="2"/>
    <x v="0"/>
    <x v="0"/>
    <x v="3"/>
    <x v="3"/>
    <x v="12"/>
    <x v="12"/>
    <x v="4"/>
    <x v="5"/>
    <x v="5"/>
    <x v="40"/>
    <x v="40"/>
    <n v="52.068719999999999"/>
    <x v="1"/>
    <x v="2"/>
    <x v="5"/>
    <x v="7"/>
    <x v="11"/>
    <x v="22"/>
    <n v="56.754904800000006"/>
  </r>
  <r>
    <x v="1"/>
    <x v="0"/>
    <x v="1"/>
    <x v="1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1"/>
    <x v="0"/>
    <x v="1"/>
    <x v="1"/>
    <x v="0"/>
    <x v="2"/>
    <x v="0"/>
    <x v="0"/>
    <x v="3"/>
    <x v="3"/>
    <x v="13"/>
    <x v="13"/>
    <x v="2"/>
    <x v="2"/>
    <x v="2"/>
    <x v="40"/>
    <x v="40"/>
    <n v="116.20562"/>
    <x v="1"/>
    <x v="2"/>
    <x v="5"/>
    <x v="7"/>
    <x v="11"/>
    <x v="22"/>
    <n v="126.66412580000001"/>
  </r>
  <r>
    <x v="1"/>
    <x v="0"/>
    <x v="1"/>
    <x v="1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1"/>
    <x v="0"/>
    <x v="1"/>
    <x v="1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1"/>
    <x v="0"/>
    <x v="1"/>
    <x v="1"/>
    <x v="0"/>
    <x v="2"/>
    <x v="0"/>
    <x v="0"/>
    <x v="3"/>
    <x v="3"/>
    <x v="13"/>
    <x v="13"/>
    <x v="1"/>
    <x v="8"/>
    <x v="8"/>
    <x v="40"/>
    <x v="40"/>
    <n v="4.8334000000000001"/>
    <x v="1"/>
    <x v="2"/>
    <x v="5"/>
    <x v="7"/>
    <x v="11"/>
    <x v="22"/>
    <n v="5.2684060000000006"/>
  </r>
  <r>
    <x v="1"/>
    <x v="0"/>
    <x v="1"/>
    <x v="1"/>
    <x v="0"/>
    <x v="2"/>
    <x v="0"/>
    <x v="0"/>
    <x v="3"/>
    <x v="3"/>
    <x v="13"/>
    <x v="13"/>
    <x v="4"/>
    <x v="5"/>
    <x v="5"/>
    <x v="40"/>
    <x v="40"/>
    <n v="2.2593999999999999"/>
    <x v="1"/>
    <x v="2"/>
    <x v="5"/>
    <x v="7"/>
    <x v="11"/>
    <x v="22"/>
    <n v="2.4627460000000001"/>
  </r>
  <r>
    <x v="1"/>
    <x v="0"/>
    <x v="1"/>
    <x v="1"/>
    <x v="0"/>
    <x v="2"/>
    <x v="0"/>
    <x v="0"/>
    <x v="3"/>
    <x v="3"/>
    <x v="19"/>
    <x v="19"/>
    <x v="3"/>
    <x v="7"/>
    <x v="7"/>
    <x v="40"/>
    <x v="40"/>
    <n v="447.53800000000001"/>
    <x v="1"/>
    <x v="2"/>
    <x v="5"/>
    <x v="7"/>
    <x v="11"/>
    <x v="22"/>
    <n v="487.81642000000005"/>
  </r>
  <r>
    <x v="1"/>
    <x v="0"/>
    <x v="1"/>
    <x v="1"/>
    <x v="0"/>
    <x v="2"/>
    <x v="0"/>
    <x v="0"/>
    <x v="3"/>
    <x v="3"/>
    <x v="19"/>
    <x v="19"/>
    <x v="1"/>
    <x v="8"/>
    <x v="8"/>
    <x v="40"/>
    <x v="40"/>
    <n v="146.42796999999999"/>
    <x v="1"/>
    <x v="2"/>
    <x v="5"/>
    <x v="7"/>
    <x v="11"/>
    <x v="22"/>
    <n v="159.6064873"/>
  </r>
  <r>
    <x v="1"/>
    <x v="0"/>
    <x v="1"/>
    <x v="1"/>
    <x v="0"/>
    <x v="2"/>
    <x v="0"/>
    <x v="0"/>
    <x v="3"/>
    <x v="3"/>
    <x v="19"/>
    <x v="19"/>
    <x v="2"/>
    <x v="10"/>
    <x v="10"/>
    <x v="40"/>
    <x v="40"/>
    <n v="46.897919999999999"/>
    <x v="1"/>
    <x v="2"/>
    <x v="5"/>
    <x v="7"/>
    <x v="11"/>
    <x v="22"/>
    <n v="51.118732800000004"/>
  </r>
  <r>
    <x v="1"/>
    <x v="0"/>
    <x v="1"/>
    <x v="1"/>
    <x v="0"/>
    <x v="2"/>
    <x v="0"/>
    <x v="0"/>
    <x v="3"/>
    <x v="3"/>
    <x v="19"/>
    <x v="19"/>
    <x v="4"/>
    <x v="5"/>
    <x v="5"/>
    <x v="40"/>
    <x v="40"/>
    <n v="199.66897"/>
    <x v="1"/>
    <x v="2"/>
    <x v="5"/>
    <x v="7"/>
    <x v="11"/>
    <x v="22"/>
    <n v="217.63917730000003"/>
  </r>
  <r>
    <x v="1"/>
    <x v="0"/>
    <x v="1"/>
    <x v="1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1"/>
    <x v="0"/>
    <x v="1"/>
    <x v="1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1"/>
    <x v="0"/>
    <x v="1"/>
    <x v="1"/>
    <x v="0"/>
    <x v="2"/>
    <x v="0"/>
    <x v="0"/>
    <x v="2"/>
    <x v="2"/>
    <x v="14"/>
    <x v="14"/>
    <x v="4"/>
    <x v="5"/>
    <x v="5"/>
    <x v="40"/>
    <x v="40"/>
    <n v="93.867189999999994"/>
    <x v="1"/>
    <x v="2"/>
    <x v="5"/>
    <x v="7"/>
    <x v="11"/>
    <x v="22"/>
    <n v="102.3152371"/>
  </r>
  <r>
    <x v="1"/>
    <x v="0"/>
    <x v="1"/>
    <x v="1"/>
    <x v="0"/>
    <x v="2"/>
    <x v="0"/>
    <x v="0"/>
    <x v="2"/>
    <x v="2"/>
    <x v="15"/>
    <x v="15"/>
    <x v="3"/>
    <x v="3"/>
    <x v="3"/>
    <x v="40"/>
    <x v="40"/>
    <n v="4.7789999999999999"/>
    <x v="1"/>
    <x v="2"/>
    <x v="5"/>
    <x v="7"/>
    <x v="11"/>
    <x v="22"/>
    <n v="5.2091099999999999"/>
  </r>
  <r>
    <x v="1"/>
    <x v="0"/>
    <x v="1"/>
    <x v="1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1"/>
    <x v="0"/>
    <x v="1"/>
    <x v="1"/>
    <x v="0"/>
    <x v="2"/>
    <x v="0"/>
    <x v="0"/>
    <x v="2"/>
    <x v="2"/>
    <x v="15"/>
    <x v="15"/>
    <x v="0"/>
    <x v="4"/>
    <x v="4"/>
    <x v="40"/>
    <x v="40"/>
    <n v="43.475000000000001"/>
    <x v="1"/>
    <x v="2"/>
    <x v="5"/>
    <x v="7"/>
    <x v="11"/>
    <x v="22"/>
    <n v="47.387750000000004"/>
  </r>
  <r>
    <x v="1"/>
    <x v="0"/>
    <x v="1"/>
    <x v="1"/>
    <x v="0"/>
    <x v="2"/>
    <x v="0"/>
    <x v="0"/>
    <x v="2"/>
    <x v="2"/>
    <x v="15"/>
    <x v="15"/>
    <x v="2"/>
    <x v="2"/>
    <x v="2"/>
    <x v="40"/>
    <x v="40"/>
    <n v="2.1"/>
    <x v="1"/>
    <x v="2"/>
    <x v="5"/>
    <x v="7"/>
    <x v="11"/>
    <x v="22"/>
    <n v="2.2890000000000001"/>
  </r>
  <r>
    <x v="1"/>
    <x v="0"/>
    <x v="1"/>
    <x v="1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1"/>
    <x v="0"/>
    <x v="1"/>
    <x v="1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1"/>
    <x v="0"/>
    <x v="1"/>
    <x v="1"/>
    <x v="0"/>
    <x v="2"/>
    <x v="0"/>
    <x v="0"/>
    <x v="2"/>
    <x v="2"/>
    <x v="16"/>
    <x v="16"/>
    <x v="2"/>
    <x v="2"/>
    <x v="2"/>
    <x v="40"/>
    <x v="40"/>
    <n v="21"/>
    <x v="1"/>
    <x v="2"/>
    <x v="5"/>
    <x v="7"/>
    <x v="11"/>
    <x v="22"/>
    <n v="22.89"/>
  </r>
  <r>
    <x v="1"/>
    <x v="0"/>
    <x v="1"/>
    <x v="1"/>
    <x v="0"/>
    <x v="2"/>
    <x v="0"/>
    <x v="0"/>
    <x v="2"/>
    <x v="2"/>
    <x v="17"/>
    <x v="17"/>
    <x v="3"/>
    <x v="3"/>
    <x v="3"/>
    <x v="40"/>
    <x v="40"/>
    <n v="0.13500000000000001"/>
    <x v="1"/>
    <x v="2"/>
    <x v="5"/>
    <x v="7"/>
    <x v="11"/>
    <x v="22"/>
    <n v="0.14715000000000003"/>
  </r>
  <r>
    <x v="1"/>
    <x v="0"/>
    <x v="1"/>
    <x v="1"/>
    <x v="0"/>
    <x v="2"/>
    <x v="0"/>
    <x v="0"/>
    <x v="2"/>
    <x v="2"/>
    <x v="17"/>
    <x v="17"/>
    <x v="2"/>
    <x v="2"/>
    <x v="2"/>
    <x v="40"/>
    <x v="40"/>
    <n v="93.988590000000002"/>
    <x v="1"/>
    <x v="2"/>
    <x v="5"/>
    <x v="7"/>
    <x v="11"/>
    <x v="22"/>
    <n v="102.44756310000001"/>
  </r>
  <r>
    <x v="1"/>
    <x v="0"/>
    <x v="1"/>
    <x v="1"/>
    <x v="0"/>
    <x v="2"/>
    <x v="0"/>
    <x v="0"/>
    <x v="2"/>
    <x v="2"/>
    <x v="17"/>
    <x v="17"/>
    <x v="2"/>
    <x v="2"/>
    <x v="2"/>
    <x v="38"/>
    <x v="38"/>
    <n v="34.25"/>
    <x v="1"/>
    <x v="0"/>
    <x v="4"/>
    <x v="6"/>
    <x v="10"/>
    <x v="21"/>
    <n v="37.332500000000003"/>
  </r>
  <r>
    <x v="1"/>
    <x v="0"/>
    <x v="1"/>
    <x v="1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1"/>
    <x v="0"/>
    <x v="1"/>
    <x v="1"/>
    <x v="0"/>
    <x v="2"/>
    <x v="0"/>
    <x v="0"/>
    <x v="2"/>
    <x v="2"/>
    <x v="17"/>
    <x v="17"/>
    <x v="3"/>
    <x v="7"/>
    <x v="7"/>
    <x v="7"/>
    <x v="7"/>
    <n v="308.90939372013003"/>
    <x v="0"/>
    <x v="0"/>
    <x v="1"/>
    <x v="4"/>
    <x v="5"/>
    <x v="7"/>
    <n v="336.71123915494178"/>
  </r>
  <r>
    <x v="1"/>
    <x v="0"/>
    <x v="1"/>
    <x v="1"/>
    <x v="0"/>
    <x v="2"/>
    <x v="0"/>
    <x v="0"/>
    <x v="2"/>
    <x v="2"/>
    <x v="17"/>
    <x v="17"/>
    <x v="1"/>
    <x v="8"/>
    <x v="8"/>
    <x v="7"/>
    <x v="7"/>
    <n v="9.5551289196102793"/>
    <x v="0"/>
    <x v="0"/>
    <x v="1"/>
    <x v="4"/>
    <x v="5"/>
    <x v="7"/>
    <n v="10.415090522375205"/>
  </r>
  <r>
    <x v="1"/>
    <x v="0"/>
    <x v="1"/>
    <x v="1"/>
    <x v="0"/>
    <x v="2"/>
    <x v="0"/>
    <x v="0"/>
    <x v="2"/>
    <x v="2"/>
    <x v="17"/>
    <x v="17"/>
    <x v="1"/>
    <x v="8"/>
    <x v="8"/>
    <x v="40"/>
    <x v="40"/>
    <n v="4.66648"/>
    <x v="1"/>
    <x v="2"/>
    <x v="5"/>
    <x v="7"/>
    <x v="11"/>
    <x v="22"/>
    <n v="5.0864632000000007"/>
  </r>
  <r>
    <x v="1"/>
    <x v="0"/>
    <x v="1"/>
    <x v="1"/>
    <x v="0"/>
    <x v="2"/>
    <x v="0"/>
    <x v="0"/>
    <x v="2"/>
    <x v="2"/>
    <x v="17"/>
    <x v="17"/>
    <x v="0"/>
    <x v="9"/>
    <x v="9"/>
    <x v="7"/>
    <x v="7"/>
    <n v="235.245602781293"/>
    <x v="0"/>
    <x v="0"/>
    <x v="1"/>
    <x v="4"/>
    <x v="5"/>
    <x v="7"/>
    <n v="256.41770703160938"/>
  </r>
  <r>
    <x v="1"/>
    <x v="0"/>
    <x v="1"/>
    <x v="1"/>
    <x v="0"/>
    <x v="2"/>
    <x v="0"/>
    <x v="0"/>
    <x v="2"/>
    <x v="2"/>
    <x v="17"/>
    <x v="17"/>
    <x v="2"/>
    <x v="10"/>
    <x v="10"/>
    <x v="7"/>
    <x v="7"/>
    <n v="79.5205574892058"/>
    <x v="0"/>
    <x v="0"/>
    <x v="1"/>
    <x v="4"/>
    <x v="5"/>
    <x v="7"/>
    <n v="86.677407663234334"/>
  </r>
  <r>
    <x v="1"/>
    <x v="0"/>
    <x v="1"/>
    <x v="1"/>
    <x v="0"/>
    <x v="2"/>
    <x v="0"/>
    <x v="0"/>
    <x v="2"/>
    <x v="2"/>
    <x v="17"/>
    <x v="17"/>
    <x v="4"/>
    <x v="5"/>
    <x v="5"/>
    <x v="7"/>
    <x v="7"/>
    <n v="46.034243901232898"/>
    <x v="0"/>
    <x v="0"/>
    <x v="1"/>
    <x v="4"/>
    <x v="5"/>
    <x v="7"/>
    <n v="50.177325852343863"/>
  </r>
  <r>
    <x v="1"/>
    <x v="0"/>
    <x v="1"/>
    <x v="1"/>
    <x v="0"/>
    <x v="2"/>
    <x v="0"/>
    <x v="0"/>
    <x v="2"/>
    <x v="2"/>
    <x v="17"/>
    <x v="17"/>
    <x v="4"/>
    <x v="5"/>
    <x v="5"/>
    <x v="40"/>
    <x v="40"/>
    <n v="201.08849000000001"/>
    <x v="1"/>
    <x v="2"/>
    <x v="5"/>
    <x v="7"/>
    <x v="11"/>
    <x v="22"/>
    <n v="219.18645410000002"/>
  </r>
  <r>
    <x v="1"/>
    <x v="0"/>
    <x v="1"/>
    <x v="1"/>
    <x v="0"/>
    <x v="3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1"/>
    <x v="0"/>
    <x v="1"/>
    <x v="1"/>
    <x v="0"/>
    <x v="3"/>
    <x v="0"/>
    <x v="0"/>
    <x v="0"/>
    <x v="0"/>
    <x v="0"/>
    <x v="0"/>
    <x v="3"/>
    <x v="3"/>
    <x v="3"/>
    <x v="11"/>
    <x v="11"/>
    <n v="293.87714"/>
    <x v="0"/>
    <x v="0"/>
    <x v="3"/>
    <x v="5"/>
    <x v="7"/>
    <x v="11"/>
    <n v="320.32608260000001"/>
  </r>
  <r>
    <x v="1"/>
    <x v="0"/>
    <x v="1"/>
    <x v="1"/>
    <x v="0"/>
    <x v="3"/>
    <x v="0"/>
    <x v="0"/>
    <x v="0"/>
    <x v="0"/>
    <x v="0"/>
    <x v="0"/>
    <x v="0"/>
    <x v="4"/>
    <x v="4"/>
    <x v="11"/>
    <x v="11"/>
    <n v="195.30035000000001"/>
    <x v="0"/>
    <x v="0"/>
    <x v="3"/>
    <x v="5"/>
    <x v="7"/>
    <x v="11"/>
    <n v="212.87738150000001"/>
  </r>
  <r>
    <x v="1"/>
    <x v="0"/>
    <x v="1"/>
    <x v="1"/>
    <x v="0"/>
    <x v="3"/>
    <x v="0"/>
    <x v="0"/>
    <x v="0"/>
    <x v="0"/>
    <x v="0"/>
    <x v="0"/>
    <x v="0"/>
    <x v="4"/>
    <x v="4"/>
    <x v="20"/>
    <x v="20"/>
    <n v="722.79755999999998"/>
    <x v="0"/>
    <x v="0"/>
    <x v="1"/>
    <x v="3"/>
    <x v="3"/>
    <x v="13"/>
    <n v="787.84934040000007"/>
  </r>
  <r>
    <x v="1"/>
    <x v="0"/>
    <x v="1"/>
    <x v="1"/>
    <x v="0"/>
    <x v="3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1"/>
    <x v="0"/>
    <x v="1"/>
    <x v="1"/>
    <x v="0"/>
    <x v="3"/>
    <x v="0"/>
    <x v="0"/>
    <x v="0"/>
    <x v="0"/>
    <x v="0"/>
    <x v="0"/>
    <x v="1"/>
    <x v="1"/>
    <x v="1"/>
    <x v="11"/>
    <x v="11"/>
    <n v="43.672289999999997"/>
    <x v="0"/>
    <x v="0"/>
    <x v="3"/>
    <x v="5"/>
    <x v="7"/>
    <x v="11"/>
    <n v="47.602796099999999"/>
  </r>
  <r>
    <x v="1"/>
    <x v="0"/>
    <x v="1"/>
    <x v="1"/>
    <x v="0"/>
    <x v="3"/>
    <x v="0"/>
    <x v="0"/>
    <x v="0"/>
    <x v="0"/>
    <x v="0"/>
    <x v="0"/>
    <x v="1"/>
    <x v="1"/>
    <x v="1"/>
    <x v="20"/>
    <x v="20"/>
    <n v="9.6334999999999997"/>
    <x v="0"/>
    <x v="0"/>
    <x v="1"/>
    <x v="3"/>
    <x v="3"/>
    <x v="13"/>
    <n v="10.500515"/>
  </r>
  <r>
    <x v="1"/>
    <x v="0"/>
    <x v="1"/>
    <x v="1"/>
    <x v="0"/>
    <x v="3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1"/>
    <x v="0"/>
    <x v="1"/>
    <x v="1"/>
    <x v="0"/>
    <x v="3"/>
    <x v="0"/>
    <x v="0"/>
    <x v="0"/>
    <x v="0"/>
    <x v="0"/>
    <x v="0"/>
    <x v="2"/>
    <x v="2"/>
    <x v="2"/>
    <x v="11"/>
    <x v="11"/>
    <n v="192.13247000000001"/>
    <x v="0"/>
    <x v="0"/>
    <x v="3"/>
    <x v="5"/>
    <x v="7"/>
    <x v="11"/>
    <n v="209.42439230000002"/>
  </r>
  <r>
    <x v="1"/>
    <x v="0"/>
    <x v="1"/>
    <x v="1"/>
    <x v="0"/>
    <x v="3"/>
    <x v="0"/>
    <x v="0"/>
    <x v="0"/>
    <x v="0"/>
    <x v="0"/>
    <x v="0"/>
    <x v="2"/>
    <x v="2"/>
    <x v="2"/>
    <x v="12"/>
    <x v="12"/>
    <n v="21.354651162709601"/>
    <x v="0"/>
    <x v="0"/>
    <x v="0"/>
    <x v="0"/>
    <x v="8"/>
    <x v="12"/>
    <n v="23.276569767353468"/>
  </r>
  <r>
    <x v="1"/>
    <x v="0"/>
    <x v="1"/>
    <x v="1"/>
    <x v="0"/>
    <x v="3"/>
    <x v="0"/>
    <x v="0"/>
    <x v="0"/>
    <x v="0"/>
    <x v="0"/>
    <x v="0"/>
    <x v="2"/>
    <x v="2"/>
    <x v="2"/>
    <x v="20"/>
    <x v="20"/>
    <n v="400.25578000000002"/>
    <x v="0"/>
    <x v="0"/>
    <x v="1"/>
    <x v="3"/>
    <x v="3"/>
    <x v="13"/>
    <n v="436.27880020000003"/>
  </r>
  <r>
    <x v="1"/>
    <x v="0"/>
    <x v="1"/>
    <x v="1"/>
    <x v="0"/>
    <x v="3"/>
    <x v="0"/>
    <x v="0"/>
    <x v="0"/>
    <x v="0"/>
    <x v="0"/>
    <x v="0"/>
    <x v="1"/>
    <x v="6"/>
    <x v="6"/>
    <x v="11"/>
    <x v="11"/>
    <n v="28.878"/>
    <x v="0"/>
    <x v="0"/>
    <x v="3"/>
    <x v="5"/>
    <x v="7"/>
    <x v="11"/>
    <n v="31.477020000000003"/>
  </r>
  <r>
    <x v="1"/>
    <x v="0"/>
    <x v="1"/>
    <x v="1"/>
    <x v="0"/>
    <x v="3"/>
    <x v="0"/>
    <x v="0"/>
    <x v="0"/>
    <x v="0"/>
    <x v="0"/>
    <x v="0"/>
    <x v="1"/>
    <x v="6"/>
    <x v="6"/>
    <x v="20"/>
    <x v="20"/>
    <n v="892.85321999999996"/>
    <x v="0"/>
    <x v="0"/>
    <x v="1"/>
    <x v="3"/>
    <x v="3"/>
    <x v="13"/>
    <n v="973.21000980000008"/>
  </r>
  <r>
    <x v="1"/>
    <x v="0"/>
    <x v="1"/>
    <x v="1"/>
    <x v="0"/>
    <x v="3"/>
    <x v="0"/>
    <x v="0"/>
    <x v="0"/>
    <x v="0"/>
    <x v="0"/>
    <x v="0"/>
    <x v="0"/>
    <x v="9"/>
    <x v="9"/>
    <x v="9"/>
    <x v="9"/>
    <n v="29.2110091742944"/>
    <x v="0"/>
    <x v="0"/>
    <x v="1"/>
    <x v="4"/>
    <x v="5"/>
    <x v="9"/>
    <n v="31.839999999980897"/>
  </r>
  <r>
    <x v="1"/>
    <x v="0"/>
    <x v="1"/>
    <x v="1"/>
    <x v="0"/>
    <x v="3"/>
    <x v="0"/>
    <x v="0"/>
    <x v="0"/>
    <x v="0"/>
    <x v="0"/>
    <x v="0"/>
    <x v="2"/>
    <x v="10"/>
    <x v="10"/>
    <x v="9"/>
    <x v="9"/>
    <n v="4.7302752293549597"/>
    <x v="0"/>
    <x v="0"/>
    <x v="1"/>
    <x v="4"/>
    <x v="5"/>
    <x v="9"/>
    <n v="5.1559999999969062"/>
  </r>
  <r>
    <x v="1"/>
    <x v="0"/>
    <x v="1"/>
    <x v="1"/>
    <x v="0"/>
    <x v="3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1"/>
    <x v="0"/>
    <x v="1"/>
    <x v="1"/>
    <x v="0"/>
    <x v="5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1"/>
    <x v="0"/>
    <x v="1"/>
    <x v="1"/>
    <x v="0"/>
    <x v="5"/>
    <x v="0"/>
    <x v="0"/>
    <x v="0"/>
    <x v="0"/>
    <x v="0"/>
    <x v="0"/>
    <x v="2"/>
    <x v="2"/>
    <x v="2"/>
    <x v="11"/>
    <x v="11"/>
    <n v="2.512"/>
    <x v="0"/>
    <x v="0"/>
    <x v="3"/>
    <x v="5"/>
    <x v="7"/>
    <x v="11"/>
    <n v="2.7380800000000001"/>
  </r>
  <r>
    <x v="1"/>
    <x v="0"/>
    <x v="1"/>
    <x v="1"/>
    <x v="0"/>
    <x v="5"/>
    <x v="0"/>
    <x v="0"/>
    <x v="0"/>
    <x v="0"/>
    <x v="0"/>
    <x v="0"/>
    <x v="2"/>
    <x v="2"/>
    <x v="2"/>
    <x v="18"/>
    <x v="18"/>
    <n v="9.7759999999999998"/>
    <x v="0"/>
    <x v="0"/>
    <x v="0"/>
    <x v="0"/>
    <x v="4"/>
    <x v="18"/>
    <n v="10.655840000000001"/>
  </r>
  <r>
    <x v="1"/>
    <x v="0"/>
    <x v="1"/>
    <x v="1"/>
    <x v="0"/>
    <x v="5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1"/>
    <x v="0"/>
    <x v="1"/>
    <x v="1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1"/>
    <x v="0"/>
    <x v="1"/>
    <x v="1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1"/>
    <x v="0"/>
    <x v="1"/>
    <x v="1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1"/>
    <x v="0"/>
    <x v="1"/>
    <x v="1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1"/>
    <x v="0"/>
    <x v="1"/>
    <x v="1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1"/>
    <x v="0"/>
    <x v="1"/>
    <x v="1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1"/>
    <x v="0"/>
    <x v="1"/>
    <x v="1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1"/>
    <x v="0"/>
    <x v="1"/>
    <x v="1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1"/>
    <x v="0"/>
    <x v="1"/>
    <x v="1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1"/>
    <x v="0"/>
    <x v="1"/>
    <x v="1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1"/>
    <x v="0"/>
    <x v="1"/>
    <x v="1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1"/>
    <x v="0"/>
    <x v="1"/>
    <x v="1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1"/>
    <x v="0"/>
    <x v="1"/>
    <x v="1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1"/>
    <x v="0"/>
    <x v="1"/>
    <x v="1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1"/>
    <x v="0"/>
    <x v="1"/>
    <x v="1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1"/>
    <x v="0"/>
    <x v="1"/>
    <x v="1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1"/>
    <x v="0"/>
    <x v="1"/>
    <x v="1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1"/>
    <x v="0"/>
    <x v="1"/>
    <x v="1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1"/>
    <x v="0"/>
    <x v="1"/>
    <x v="1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1"/>
    <x v="0"/>
    <x v="1"/>
    <x v="1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1"/>
    <x v="0"/>
    <x v="1"/>
    <x v="1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1"/>
    <x v="0"/>
    <x v="1"/>
    <x v="1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1"/>
    <x v="0"/>
    <x v="1"/>
    <x v="1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1"/>
    <x v="0"/>
    <x v="1"/>
    <x v="1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1"/>
    <x v="0"/>
    <x v="1"/>
    <x v="1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1"/>
    <x v="0"/>
    <x v="1"/>
    <x v="1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1"/>
    <x v="0"/>
    <x v="1"/>
    <x v="1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1"/>
    <x v="0"/>
    <x v="1"/>
    <x v="1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1"/>
    <x v="0"/>
    <x v="1"/>
    <x v="1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1"/>
    <x v="0"/>
    <x v="1"/>
    <x v="1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1"/>
    <x v="0"/>
    <x v="1"/>
    <x v="1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1"/>
    <x v="0"/>
    <x v="1"/>
    <x v="1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1"/>
    <x v="0"/>
    <x v="1"/>
    <x v="1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1"/>
    <x v="0"/>
    <x v="1"/>
    <x v="1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1"/>
    <x v="0"/>
    <x v="1"/>
    <x v="1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1"/>
    <x v="0"/>
    <x v="1"/>
    <x v="1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1"/>
    <x v="0"/>
    <x v="1"/>
    <x v="1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1"/>
    <x v="0"/>
    <x v="1"/>
    <x v="1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1"/>
    <x v="0"/>
    <x v="1"/>
    <x v="1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1"/>
    <x v="0"/>
    <x v="1"/>
    <x v="1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1"/>
    <x v="0"/>
    <x v="1"/>
    <x v="1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1"/>
    <x v="0"/>
    <x v="1"/>
    <x v="1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1"/>
    <x v="0"/>
    <x v="1"/>
    <x v="1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1"/>
    <x v="0"/>
    <x v="1"/>
    <x v="1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1"/>
    <x v="0"/>
    <x v="1"/>
    <x v="1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1"/>
    <x v="0"/>
    <x v="1"/>
    <x v="1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1"/>
    <x v="0"/>
    <x v="1"/>
    <x v="1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1"/>
    <x v="0"/>
    <x v="1"/>
    <x v="1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1"/>
    <x v="0"/>
    <x v="1"/>
    <x v="1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1"/>
    <x v="0"/>
    <x v="1"/>
    <x v="1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1"/>
    <x v="0"/>
    <x v="1"/>
    <x v="1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1"/>
    <x v="0"/>
    <x v="1"/>
    <x v="1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1"/>
    <x v="0"/>
    <x v="1"/>
    <x v="1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1"/>
    <x v="0"/>
    <x v="1"/>
    <x v="1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1"/>
    <x v="0"/>
    <x v="1"/>
    <x v="1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1"/>
    <x v="0"/>
    <x v="1"/>
    <x v="1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1"/>
    <x v="0"/>
    <x v="1"/>
    <x v="1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1"/>
    <x v="0"/>
    <x v="1"/>
    <x v="1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1"/>
    <x v="0"/>
    <x v="1"/>
    <x v="1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1"/>
    <x v="0"/>
    <x v="1"/>
    <x v="1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1"/>
    <x v="0"/>
    <x v="1"/>
    <x v="1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1"/>
    <x v="0"/>
    <x v="1"/>
    <x v="1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1"/>
    <x v="0"/>
    <x v="1"/>
    <x v="1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1"/>
    <x v="0"/>
    <x v="1"/>
    <x v="1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1"/>
    <x v="0"/>
    <x v="1"/>
    <x v="1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1"/>
    <x v="0"/>
    <x v="1"/>
    <x v="1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1"/>
    <x v="0"/>
    <x v="1"/>
    <x v="1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1"/>
    <x v="0"/>
    <x v="1"/>
    <x v="1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1"/>
    <x v="0"/>
    <x v="1"/>
    <x v="1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1"/>
    <x v="0"/>
    <x v="1"/>
    <x v="1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1"/>
    <x v="0"/>
    <x v="1"/>
    <x v="1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1"/>
    <x v="0"/>
    <x v="1"/>
    <x v="1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1"/>
    <x v="0"/>
    <x v="1"/>
    <x v="1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1"/>
    <x v="0"/>
    <x v="1"/>
    <x v="1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1"/>
    <x v="0"/>
    <x v="1"/>
    <x v="1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1"/>
    <x v="0"/>
    <x v="1"/>
    <x v="1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1"/>
    <x v="0"/>
    <x v="1"/>
    <x v="1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1"/>
    <x v="0"/>
    <x v="1"/>
    <x v="1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1"/>
    <x v="0"/>
    <x v="1"/>
    <x v="1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1"/>
    <x v="0"/>
    <x v="1"/>
    <x v="1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1"/>
    <x v="0"/>
    <x v="1"/>
    <x v="1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1"/>
    <x v="0"/>
    <x v="1"/>
    <x v="1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1"/>
    <x v="0"/>
    <x v="1"/>
    <x v="1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1"/>
    <x v="0"/>
    <x v="1"/>
    <x v="1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1"/>
    <x v="0"/>
    <x v="1"/>
    <x v="1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1"/>
    <x v="0"/>
    <x v="1"/>
    <x v="1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1"/>
    <x v="0"/>
    <x v="1"/>
    <x v="1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1"/>
    <x v="0"/>
    <x v="1"/>
    <x v="1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1"/>
    <x v="0"/>
    <x v="1"/>
    <x v="1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1"/>
    <x v="0"/>
    <x v="1"/>
    <x v="1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1"/>
    <x v="0"/>
    <x v="1"/>
    <x v="1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1"/>
    <x v="0"/>
    <x v="1"/>
    <x v="1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1"/>
    <x v="0"/>
    <x v="1"/>
    <x v="1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1"/>
    <x v="0"/>
    <x v="1"/>
    <x v="1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1"/>
    <x v="0"/>
    <x v="1"/>
    <x v="1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1"/>
    <x v="0"/>
    <x v="1"/>
    <x v="1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1"/>
    <x v="0"/>
    <x v="1"/>
    <x v="1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1"/>
    <x v="0"/>
    <x v="1"/>
    <x v="1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1"/>
    <x v="0"/>
    <x v="1"/>
    <x v="1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1"/>
    <x v="0"/>
    <x v="1"/>
    <x v="1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1"/>
    <x v="0"/>
    <x v="1"/>
    <x v="1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1"/>
    <x v="0"/>
    <x v="1"/>
    <x v="1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1"/>
    <x v="0"/>
    <x v="1"/>
    <x v="1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1"/>
    <x v="0"/>
    <x v="1"/>
    <x v="1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1"/>
    <x v="0"/>
    <x v="1"/>
    <x v="1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1"/>
    <x v="0"/>
    <x v="1"/>
    <x v="1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1"/>
    <x v="0"/>
    <x v="1"/>
    <x v="1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1"/>
    <x v="0"/>
    <x v="1"/>
    <x v="1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1"/>
    <x v="0"/>
    <x v="1"/>
    <x v="1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1"/>
    <x v="0"/>
    <x v="1"/>
    <x v="1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1"/>
    <x v="0"/>
    <x v="1"/>
    <x v="1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1"/>
    <x v="0"/>
    <x v="1"/>
    <x v="1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1"/>
    <x v="0"/>
    <x v="1"/>
    <x v="1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1"/>
    <x v="0"/>
    <x v="1"/>
    <x v="1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1"/>
    <x v="0"/>
    <x v="1"/>
    <x v="1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1"/>
    <x v="0"/>
    <x v="1"/>
    <x v="1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1"/>
    <x v="0"/>
    <x v="1"/>
    <x v="1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1"/>
    <x v="0"/>
    <x v="1"/>
    <x v="1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1"/>
    <x v="0"/>
    <x v="1"/>
    <x v="1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1"/>
    <x v="0"/>
    <x v="1"/>
    <x v="1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1"/>
    <x v="0"/>
    <x v="1"/>
    <x v="1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1"/>
    <x v="0"/>
    <x v="1"/>
    <x v="1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1"/>
    <x v="0"/>
    <x v="1"/>
    <x v="1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1"/>
    <x v="0"/>
    <x v="1"/>
    <x v="1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1"/>
    <x v="0"/>
    <x v="1"/>
    <x v="1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1"/>
    <x v="0"/>
    <x v="1"/>
    <x v="1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1"/>
    <x v="0"/>
    <x v="1"/>
    <x v="1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1"/>
    <x v="0"/>
    <x v="1"/>
    <x v="1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1"/>
    <x v="0"/>
    <x v="1"/>
    <x v="1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1"/>
    <x v="0"/>
    <x v="1"/>
    <x v="1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1"/>
    <x v="0"/>
    <x v="1"/>
    <x v="1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1"/>
    <x v="0"/>
    <x v="1"/>
    <x v="1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1"/>
    <x v="0"/>
    <x v="1"/>
    <x v="1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1"/>
    <x v="0"/>
    <x v="1"/>
    <x v="1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1"/>
    <x v="0"/>
    <x v="1"/>
    <x v="1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1"/>
    <x v="0"/>
    <x v="1"/>
    <x v="1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1"/>
    <x v="0"/>
    <x v="1"/>
    <x v="1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1"/>
    <x v="0"/>
    <x v="1"/>
    <x v="1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1"/>
    <x v="0"/>
    <x v="1"/>
    <x v="1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1"/>
    <x v="0"/>
    <x v="1"/>
    <x v="1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1"/>
    <x v="0"/>
    <x v="1"/>
    <x v="1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1"/>
    <x v="0"/>
    <x v="1"/>
    <x v="1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1"/>
    <x v="0"/>
    <x v="1"/>
    <x v="1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1"/>
    <x v="0"/>
    <x v="1"/>
    <x v="1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1"/>
    <x v="0"/>
    <x v="1"/>
    <x v="1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1"/>
    <x v="0"/>
    <x v="1"/>
    <x v="1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1"/>
    <x v="0"/>
    <x v="1"/>
    <x v="1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1"/>
    <x v="0"/>
    <x v="1"/>
    <x v="1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1"/>
    <x v="0"/>
    <x v="1"/>
    <x v="1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1"/>
    <x v="0"/>
    <x v="1"/>
    <x v="1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1"/>
    <x v="0"/>
    <x v="1"/>
    <x v="1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1"/>
    <x v="0"/>
    <x v="1"/>
    <x v="1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1"/>
    <x v="0"/>
    <x v="1"/>
    <x v="1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1"/>
    <x v="0"/>
    <x v="1"/>
    <x v="1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1"/>
    <x v="0"/>
    <x v="1"/>
    <x v="1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1"/>
    <x v="0"/>
    <x v="1"/>
    <x v="1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1"/>
    <x v="0"/>
    <x v="1"/>
    <x v="1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1"/>
    <x v="0"/>
    <x v="1"/>
    <x v="1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1"/>
    <x v="0"/>
    <x v="1"/>
    <x v="1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1"/>
    <x v="0"/>
    <x v="1"/>
    <x v="1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1"/>
    <x v="0"/>
    <x v="1"/>
    <x v="1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1"/>
    <x v="0"/>
    <x v="1"/>
    <x v="1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1"/>
    <x v="0"/>
    <x v="1"/>
    <x v="1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1"/>
    <x v="0"/>
    <x v="1"/>
    <x v="1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1"/>
    <x v="0"/>
    <x v="1"/>
    <x v="1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1"/>
    <x v="0"/>
    <x v="1"/>
    <x v="1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1"/>
    <x v="0"/>
    <x v="1"/>
    <x v="1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1"/>
    <x v="0"/>
    <x v="1"/>
    <x v="1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1"/>
    <x v="0"/>
    <x v="1"/>
    <x v="1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1"/>
    <x v="0"/>
    <x v="1"/>
    <x v="1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1"/>
    <x v="0"/>
    <x v="1"/>
    <x v="1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1"/>
    <x v="0"/>
    <x v="1"/>
    <x v="1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1"/>
    <x v="0"/>
    <x v="1"/>
    <x v="1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1"/>
    <x v="0"/>
    <x v="1"/>
    <x v="1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1"/>
    <x v="0"/>
    <x v="1"/>
    <x v="1"/>
    <x v="0"/>
    <x v="4"/>
    <x v="0"/>
    <x v="0"/>
    <x v="0"/>
    <x v="0"/>
    <x v="0"/>
    <x v="0"/>
    <x v="0"/>
    <x v="0"/>
    <x v="0"/>
    <x v="55"/>
    <x v="55"/>
    <n v="2.0282201834850202"/>
    <x v="0"/>
    <x v="0"/>
    <x v="1"/>
    <x v="3"/>
    <x v="3"/>
    <x v="15"/>
    <n v="2.2107599999986722"/>
  </r>
  <r>
    <x v="1"/>
    <x v="0"/>
    <x v="1"/>
    <x v="1"/>
    <x v="0"/>
    <x v="4"/>
    <x v="0"/>
    <x v="0"/>
    <x v="0"/>
    <x v="0"/>
    <x v="0"/>
    <x v="0"/>
    <x v="0"/>
    <x v="0"/>
    <x v="0"/>
    <x v="11"/>
    <x v="11"/>
    <n v="21.397320000000001"/>
    <x v="0"/>
    <x v="0"/>
    <x v="3"/>
    <x v="5"/>
    <x v="7"/>
    <x v="11"/>
    <n v="23.323078800000001"/>
  </r>
  <r>
    <x v="1"/>
    <x v="0"/>
    <x v="1"/>
    <x v="1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1"/>
    <x v="0"/>
    <x v="1"/>
    <x v="1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1"/>
    <x v="0"/>
    <x v="1"/>
    <x v="1"/>
    <x v="0"/>
    <x v="4"/>
    <x v="0"/>
    <x v="0"/>
    <x v="0"/>
    <x v="0"/>
    <x v="0"/>
    <x v="0"/>
    <x v="0"/>
    <x v="0"/>
    <x v="0"/>
    <x v="36"/>
    <x v="36"/>
    <n v="11.0916"/>
    <x v="0"/>
    <x v="0"/>
    <x v="1"/>
    <x v="3"/>
    <x v="3"/>
    <x v="4"/>
    <n v="12.089844000000001"/>
  </r>
  <r>
    <x v="1"/>
    <x v="0"/>
    <x v="1"/>
    <x v="1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1"/>
    <x v="0"/>
    <x v="1"/>
    <x v="1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1"/>
    <x v="0"/>
    <x v="1"/>
    <x v="1"/>
    <x v="0"/>
    <x v="4"/>
    <x v="0"/>
    <x v="0"/>
    <x v="0"/>
    <x v="0"/>
    <x v="0"/>
    <x v="0"/>
    <x v="1"/>
    <x v="1"/>
    <x v="1"/>
    <x v="55"/>
    <x v="55"/>
    <n v="3.9642935779792698"/>
    <x v="0"/>
    <x v="0"/>
    <x v="1"/>
    <x v="3"/>
    <x v="3"/>
    <x v="15"/>
    <n v="4.3210799999974041"/>
  </r>
  <r>
    <x v="1"/>
    <x v="0"/>
    <x v="1"/>
    <x v="1"/>
    <x v="0"/>
    <x v="4"/>
    <x v="0"/>
    <x v="0"/>
    <x v="0"/>
    <x v="0"/>
    <x v="0"/>
    <x v="0"/>
    <x v="1"/>
    <x v="1"/>
    <x v="1"/>
    <x v="11"/>
    <x v="11"/>
    <n v="15.771839999999999"/>
    <x v="0"/>
    <x v="0"/>
    <x v="3"/>
    <x v="5"/>
    <x v="7"/>
    <x v="11"/>
    <n v="17.1913056"/>
  </r>
  <r>
    <x v="1"/>
    <x v="0"/>
    <x v="1"/>
    <x v="1"/>
    <x v="0"/>
    <x v="4"/>
    <x v="0"/>
    <x v="0"/>
    <x v="0"/>
    <x v="0"/>
    <x v="0"/>
    <x v="0"/>
    <x v="1"/>
    <x v="1"/>
    <x v="1"/>
    <x v="16"/>
    <x v="16"/>
    <n v="0.51"/>
    <x v="0"/>
    <x v="0"/>
    <x v="3"/>
    <x v="5"/>
    <x v="9"/>
    <x v="16"/>
    <n v="0.55590000000000006"/>
  </r>
  <r>
    <x v="1"/>
    <x v="0"/>
    <x v="1"/>
    <x v="1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1"/>
    <x v="0"/>
    <x v="1"/>
    <x v="1"/>
    <x v="0"/>
    <x v="4"/>
    <x v="0"/>
    <x v="0"/>
    <x v="0"/>
    <x v="0"/>
    <x v="0"/>
    <x v="0"/>
    <x v="1"/>
    <x v="1"/>
    <x v="1"/>
    <x v="36"/>
    <x v="36"/>
    <n v="5.4064800000000002"/>
    <x v="0"/>
    <x v="0"/>
    <x v="1"/>
    <x v="3"/>
    <x v="3"/>
    <x v="4"/>
    <n v="5.8930632000000003"/>
  </r>
  <r>
    <x v="1"/>
    <x v="0"/>
    <x v="1"/>
    <x v="1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1"/>
    <x v="0"/>
    <x v="1"/>
    <x v="1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1"/>
    <x v="0"/>
    <x v="1"/>
    <x v="1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1"/>
    <x v="0"/>
    <x v="1"/>
    <x v="1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1"/>
    <x v="0"/>
    <x v="1"/>
    <x v="1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1"/>
    <x v="0"/>
    <x v="1"/>
    <x v="1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1"/>
    <x v="0"/>
    <x v="1"/>
    <x v="1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1"/>
    <x v="0"/>
    <x v="1"/>
    <x v="1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1"/>
    <x v="0"/>
    <x v="1"/>
    <x v="1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1"/>
    <x v="0"/>
    <x v="1"/>
    <x v="1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1"/>
    <x v="0"/>
    <x v="1"/>
    <x v="1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1"/>
    <x v="0"/>
    <x v="1"/>
    <x v="1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1"/>
    <x v="0"/>
    <x v="1"/>
    <x v="1"/>
    <x v="0"/>
    <x v="4"/>
    <x v="0"/>
    <x v="0"/>
    <x v="0"/>
    <x v="0"/>
    <x v="0"/>
    <x v="0"/>
    <x v="4"/>
    <x v="5"/>
    <x v="5"/>
    <x v="55"/>
    <x v="55"/>
    <n v="10.304587155957099"/>
    <x v="0"/>
    <x v="0"/>
    <x v="1"/>
    <x v="3"/>
    <x v="3"/>
    <x v="15"/>
    <n v="11.231999999993239"/>
  </r>
  <r>
    <x v="1"/>
    <x v="0"/>
    <x v="1"/>
    <x v="1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1"/>
    <x v="0"/>
    <x v="1"/>
    <x v="1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1"/>
    <x v="0"/>
    <x v="1"/>
    <x v="1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1"/>
    <x v="0"/>
    <x v="1"/>
    <x v="1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1"/>
    <x v="0"/>
    <x v="1"/>
    <x v="1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1"/>
    <x v="0"/>
    <x v="1"/>
    <x v="1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1"/>
    <x v="0"/>
    <x v="1"/>
    <x v="1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1"/>
    <x v="0"/>
    <x v="1"/>
    <x v="1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1"/>
    <x v="0"/>
    <x v="1"/>
    <x v="1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1"/>
    <x v="0"/>
    <x v="1"/>
    <x v="1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1"/>
    <x v="0"/>
    <x v="1"/>
    <x v="1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1"/>
    <x v="0"/>
    <x v="1"/>
    <x v="1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1"/>
    <x v="0"/>
    <x v="1"/>
    <x v="1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1"/>
    <x v="0"/>
    <x v="1"/>
    <x v="1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1"/>
    <x v="0"/>
    <x v="1"/>
    <x v="1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1"/>
    <x v="0"/>
    <x v="1"/>
    <x v="1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1"/>
    <x v="0"/>
    <x v="1"/>
    <x v="1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1"/>
    <x v="0"/>
    <x v="1"/>
    <x v="1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1"/>
    <x v="0"/>
    <x v="1"/>
    <x v="1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1"/>
    <x v="0"/>
    <x v="1"/>
    <x v="1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1"/>
    <x v="0"/>
    <x v="1"/>
    <x v="1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1"/>
    <x v="0"/>
    <x v="1"/>
    <x v="1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1"/>
    <x v="0"/>
    <x v="1"/>
    <x v="1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1"/>
    <x v="0"/>
    <x v="1"/>
    <x v="1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1"/>
    <x v="0"/>
    <x v="1"/>
    <x v="1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1"/>
    <x v="0"/>
    <x v="1"/>
    <x v="1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1"/>
    <x v="0"/>
    <x v="1"/>
    <x v="1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1"/>
    <x v="0"/>
    <x v="1"/>
    <x v="1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1"/>
    <x v="0"/>
    <x v="1"/>
    <x v="1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1"/>
    <x v="0"/>
    <x v="1"/>
    <x v="1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1"/>
    <x v="0"/>
    <x v="1"/>
    <x v="1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1"/>
    <x v="0"/>
    <x v="1"/>
    <x v="1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1"/>
    <x v="0"/>
    <x v="1"/>
    <x v="1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1"/>
    <x v="0"/>
    <x v="1"/>
    <x v="1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1"/>
    <x v="0"/>
    <x v="1"/>
    <x v="1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1"/>
    <x v="0"/>
    <x v="1"/>
    <x v="1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1"/>
    <x v="0"/>
    <x v="1"/>
    <x v="1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1"/>
    <x v="0"/>
    <x v="1"/>
    <x v="1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1"/>
    <x v="0"/>
    <x v="1"/>
    <x v="1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1"/>
    <x v="0"/>
    <x v="1"/>
    <x v="1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1"/>
    <x v="0"/>
    <x v="1"/>
    <x v="1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1"/>
    <x v="0"/>
    <x v="1"/>
    <x v="1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1"/>
    <x v="0"/>
    <x v="1"/>
    <x v="1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1"/>
    <x v="0"/>
    <x v="1"/>
    <x v="1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1"/>
    <x v="0"/>
    <x v="1"/>
    <x v="1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1"/>
    <x v="0"/>
    <x v="1"/>
    <x v="1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1"/>
    <x v="0"/>
    <x v="1"/>
    <x v="1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1"/>
    <x v="0"/>
    <x v="1"/>
    <x v="1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1"/>
    <x v="0"/>
    <x v="1"/>
    <x v="1"/>
    <x v="1"/>
    <x v="6"/>
    <x v="0"/>
    <x v="0"/>
    <x v="0"/>
    <x v="0"/>
    <x v="2"/>
    <x v="2"/>
    <x v="2"/>
    <x v="2"/>
    <x v="2"/>
    <x v="10"/>
    <x v="10"/>
    <n v="4.4601635877209604"/>
    <x v="0"/>
    <x v="0"/>
    <x v="1"/>
    <x v="4"/>
    <x v="5"/>
    <x v="10"/>
    <n v="4.8615783106158474"/>
  </r>
  <r>
    <x v="1"/>
    <x v="0"/>
    <x v="1"/>
    <x v="1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1"/>
    <x v="0"/>
    <x v="1"/>
    <x v="1"/>
    <x v="1"/>
    <x v="6"/>
    <x v="0"/>
    <x v="0"/>
    <x v="0"/>
    <x v="0"/>
    <x v="0"/>
    <x v="0"/>
    <x v="3"/>
    <x v="3"/>
    <x v="3"/>
    <x v="29"/>
    <x v="29"/>
    <n v="0.11942"/>
    <x v="0"/>
    <x v="0"/>
    <x v="1"/>
    <x v="3"/>
    <x v="3"/>
    <x v="13"/>
    <n v="0.1301678"/>
  </r>
  <r>
    <x v="1"/>
    <x v="0"/>
    <x v="1"/>
    <x v="1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1"/>
    <x v="0"/>
    <x v="1"/>
    <x v="1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1"/>
    <x v="0"/>
    <x v="1"/>
    <x v="1"/>
    <x v="1"/>
    <x v="6"/>
    <x v="0"/>
    <x v="0"/>
    <x v="0"/>
    <x v="0"/>
    <x v="0"/>
    <x v="0"/>
    <x v="0"/>
    <x v="4"/>
    <x v="4"/>
    <x v="9"/>
    <x v="9"/>
    <n v="39.578553462688397"/>
    <x v="0"/>
    <x v="0"/>
    <x v="1"/>
    <x v="4"/>
    <x v="5"/>
    <x v="9"/>
    <n v="43.140623274330359"/>
  </r>
  <r>
    <x v="1"/>
    <x v="0"/>
    <x v="1"/>
    <x v="1"/>
    <x v="1"/>
    <x v="6"/>
    <x v="0"/>
    <x v="0"/>
    <x v="0"/>
    <x v="0"/>
    <x v="0"/>
    <x v="0"/>
    <x v="0"/>
    <x v="4"/>
    <x v="4"/>
    <x v="10"/>
    <x v="10"/>
    <n v="20.7776146788866"/>
    <x v="0"/>
    <x v="0"/>
    <x v="1"/>
    <x v="4"/>
    <x v="5"/>
    <x v="10"/>
    <n v="22.647599999986397"/>
  </r>
  <r>
    <x v="1"/>
    <x v="0"/>
    <x v="1"/>
    <x v="1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1"/>
    <x v="0"/>
    <x v="1"/>
    <x v="1"/>
    <x v="1"/>
    <x v="6"/>
    <x v="0"/>
    <x v="0"/>
    <x v="0"/>
    <x v="0"/>
    <x v="0"/>
    <x v="0"/>
    <x v="0"/>
    <x v="4"/>
    <x v="4"/>
    <x v="12"/>
    <x v="12"/>
    <n v="45.491232557966697"/>
    <x v="0"/>
    <x v="0"/>
    <x v="0"/>
    <x v="0"/>
    <x v="8"/>
    <x v="12"/>
    <n v="49.585443488183707"/>
  </r>
  <r>
    <x v="1"/>
    <x v="0"/>
    <x v="1"/>
    <x v="1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1"/>
    <x v="0"/>
    <x v="1"/>
    <x v="1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1"/>
    <x v="0"/>
    <x v="1"/>
    <x v="1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1"/>
    <x v="0"/>
    <x v="1"/>
    <x v="1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1"/>
    <x v="0"/>
    <x v="1"/>
    <x v="1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1"/>
    <x v="0"/>
    <x v="1"/>
    <x v="1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1"/>
    <x v="0"/>
    <x v="1"/>
    <x v="1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1"/>
    <x v="0"/>
    <x v="1"/>
    <x v="1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1"/>
    <x v="0"/>
    <x v="1"/>
    <x v="1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1"/>
    <x v="0"/>
    <x v="1"/>
    <x v="1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1"/>
    <x v="0"/>
    <x v="1"/>
    <x v="1"/>
    <x v="1"/>
    <x v="6"/>
    <x v="0"/>
    <x v="0"/>
    <x v="0"/>
    <x v="0"/>
    <x v="0"/>
    <x v="0"/>
    <x v="0"/>
    <x v="0"/>
    <x v="0"/>
    <x v="2"/>
    <x v="2"/>
    <n v="161.834862385224"/>
    <x v="0"/>
    <x v="1"/>
    <x v="2"/>
    <x v="2"/>
    <x v="13"/>
    <x v="2"/>
    <n v="176.39999999989416"/>
  </r>
  <r>
    <x v="1"/>
    <x v="0"/>
    <x v="1"/>
    <x v="1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1"/>
    <x v="0"/>
    <x v="1"/>
    <x v="1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1"/>
    <x v="0"/>
    <x v="1"/>
    <x v="1"/>
    <x v="1"/>
    <x v="6"/>
    <x v="0"/>
    <x v="0"/>
    <x v="0"/>
    <x v="0"/>
    <x v="0"/>
    <x v="0"/>
    <x v="2"/>
    <x v="2"/>
    <x v="2"/>
    <x v="4"/>
    <x v="4"/>
    <n v="0.44354128440340002"/>
    <x v="0"/>
    <x v="0"/>
    <x v="1"/>
    <x v="3"/>
    <x v="3"/>
    <x v="4"/>
    <n v="0.48345999999970607"/>
  </r>
  <r>
    <x v="1"/>
    <x v="0"/>
    <x v="1"/>
    <x v="1"/>
    <x v="1"/>
    <x v="6"/>
    <x v="0"/>
    <x v="0"/>
    <x v="0"/>
    <x v="0"/>
    <x v="0"/>
    <x v="0"/>
    <x v="2"/>
    <x v="2"/>
    <x v="2"/>
    <x v="5"/>
    <x v="5"/>
    <n v="31.549723926620199"/>
    <x v="0"/>
    <x v="0"/>
    <x v="1"/>
    <x v="1"/>
    <x v="1"/>
    <x v="5"/>
    <n v="34.38919908001602"/>
  </r>
  <r>
    <x v="1"/>
    <x v="0"/>
    <x v="1"/>
    <x v="1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5.5590000000000002"/>
  </r>
  <r>
    <x v="1"/>
    <x v="0"/>
    <x v="1"/>
    <x v="1"/>
    <x v="1"/>
    <x v="6"/>
    <x v="0"/>
    <x v="0"/>
    <x v="0"/>
    <x v="0"/>
    <x v="0"/>
    <x v="0"/>
    <x v="2"/>
    <x v="2"/>
    <x v="2"/>
    <x v="8"/>
    <x v="8"/>
    <n v="11.050398648719399"/>
    <x v="0"/>
    <x v="1"/>
    <x v="2"/>
    <x v="2"/>
    <x v="6"/>
    <x v="8"/>
    <n v="12.044934527104147"/>
  </r>
  <r>
    <x v="1"/>
    <x v="0"/>
    <x v="1"/>
    <x v="1"/>
    <x v="1"/>
    <x v="6"/>
    <x v="0"/>
    <x v="0"/>
    <x v="0"/>
    <x v="0"/>
    <x v="0"/>
    <x v="0"/>
    <x v="2"/>
    <x v="2"/>
    <x v="2"/>
    <x v="9"/>
    <x v="9"/>
    <n v="99.5817931162901"/>
    <x v="0"/>
    <x v="0"/>
    <x v="1"/>
    <x v="4"/>
    <x v="5"/>
    <x v="9"/>
    <n v="108.54415449675622"/>
  </r>
  <r>
    <x v="1"/>
    <x v="0"/>
    <x v="1"/>
    <x v="1"/>
    <x v="1"/>
    <x v="6"/>
    <x v="0"/>
    <x v="0"/>
    <x v="0"/>
    <x v="0"/>
    <x v="0"/>
    <x v="0"/>
    <x v="2"/>
    <x v="2"/>
    <x v="2"/>
    <x v="10"/>
    <x v="10"/>
    <n v="31.139319025414402"/>
    <x v="0"/>
    <x v="0"/>
    <x v="1"/>
    <x v="4"/>
    <x v="5"/>
    <x v="10"/>
    <n v="33.941857737701703"/>
  </r>
  <r>
    <x v="1"/>
    <x v="0"/>
    <x v="1"/>
    <x v="1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1"/>
    <x v="0"/>
    <x v="1"/>
    <x v="1"/>
    <x v="1"/>
    <x v="6"/>
    <x v="0"/>
    <x v="0"/>
    <x v="0"/>
    <x v="0"/>
    <x v="0"/>
    <x v="0"/>
    <x v="2"/>
    <x v="2"/>
    <x v="2"/>
    <x v="80"/>
    <x v="80"/>
    <n v="31.5062110091554"/>
    <x v="0"/>
    <x v="0"/>
    <x v="1"/>
    <x v="4"/>
    <x v="5"/>
    <x v="10"/>
    <n v="34.341769999979391"/>
  </r>
  <r>
    <x v="1"/>
    <x v="0"/>
    <x v="1"/>
    <x v="1"/>
    <x v="1"/>
    <x v="6"/>
    <x v="0"/>
    <x v="0"/>
    <x v="0"/>
    <x v="0"/>
    <x v="0"/>
    <x v="0"/>
    <x v="2"/>
    <x v="2"/>
    <x v="2"/>
    <x v="31"/>
    <x v="31"/>
    <n v="12.754889908249201"/>
    <x v="0"/>
    <x v="0"/>
    <x v="1"/>
    <x v="4"/>
    <x v="5"/>
    <x v="10"/>
    <n v="13.90282999999163"/>
  </r>
  <r>
    <x v="1"/>
    <x v="0"/>
    <x v="1"/>
    <x v="1"/>
    <x v="1"/>
    <x v="6"/>
    <x v="0"/>
    <x v="0"/>
    <x v="0"/>
    <x v="0"/>
    <x v="0"/>
    <x v="0"/>
    <x v="2"/>
    <x v="2"/>
    <x v="2"/>
    <x v="11"/>
    <x v="11"/>
    <n v="0.63"/>
    <x v="0"/>
    <x v="0"/>
    <x v="3"/>
    <x v="5"/>
    <x v="7"/>
    <x v="11"/>
    <n v="0.68670000000000009"/>
  </r>
  <r>
    <x v="1"/>
    <x v="0"/>
    <x v="1"/>
    <x v="1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1"/>
    <x v="0"/>
    <x v="1"/>
    <x v="1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1"/>
    <x v="0"/>
    <x v="1"/>
    <x v="1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1"/>
    <x v="0"/>
    <x v="1"/>
    <x v="1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1"/>
    <x v="0"/>
    <x v="1"/>
    <x v="1"/>
    <x v="1"/>
    <x v="6"/>
    <x v="0"/>
    <x v="0"/>
    <x v="0"/>
    <x v="0"/>
    <x v="0"/>
    <x v="0"/>
    <x v="2"/>
    <x v="2"/>
    <x v="2"/>
    <x v="27"/>
    <x v="27"/>
    <n v="4.3686351352277502"/>
    <x v="0"/>
    <x v="0"/>
    <x v="1"/>
    <x v="3"/>
    <x v="3"/>
    <x v="19"/>
    <n v="4.7618122973982482"/>
  </r>
  <r>
    <x v="1"/>
    <x v="0"/>
    <x v="1"/>
    <x v="1"/>
    <x v="1"/>
    <x v="6"/>
    <x v="0"/>
    <x v="0"/>
    <x v="0"/>
    <x v="0"/>
    <x v="0"/>
    <x v="0"/>
    <x v="2"/>
    <x v="2"/>
    <x v="2"/>
    <x v="78"/>
    <x v="78"/>
    <n v="5.7691100917396598"/>
    <x v="0"/>
    <x v="0"/>
    <x v="1"/>
    <x v="4"/>
    <x v="5"/>
    <x v="9"/>
    <n v="6.2883299999962299"/>
  </r>
  <r>
    <x v="1"/>
    <x v="0"/>
    <x v="1"/>
    <x v="1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1"/>
    <x v="0"/>
    <x v="1"/>
    <x v="1"/>
    <x v="1"/>
    <x v="6"/>
    <x v="0"/>
    <x v="0"/>
    <x v="0"/>
    <x v="0"/>
    <x v="0"/>
    <x v="0"/>
    <x v="2"/>
    <x v="2"/>
    <x v="2"/>
    <x v="26"/>
    <x v="26"/>
    <n v="121.98999999992699"/>
    <x v="0"/>
    <x v="0"/>
    <x v="1"/>
    <x v="3"/>
    <x v="3"/>
    <x v="15"/>
    <n v="132.96909999992045"/>
  </r>
  <r>
    <x v="1"/>
    <x v="0"/>
    <x v="1"/>
    <x v="1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1"/>
    <x v="0"/>
    <x v="1"/>
    <x v="1"/>
    <x v="1"/>
    <x v="6"/>
    <x v="0"/>
    <x v="0"/>
    <x v="0"/>
    <x v="0"/>
    <x v="0"/>
    <x v="0"/>
    <x v="2"/>
    <x v="2"/>
    <x v="2"/>
    <x v="2"/>
    <x v="2"/>
    <n v="118.097678899012"/>
    <x v="0"/>
    <x v="1"/>
    <x v="2"/>
    <x v="2"/>
    <x v="13"/>
    <x v="2"/>
    <n v="128.7264699999231"/>
  </r>
  <r>
    <x v="1"/>
    <x v="0"/>
    <x v="1"/>
    <x v="1"/>
    <x v="1"/>
    <x v="6"/>
    <x v="0"/>
    <x v="0"/>
    <x v="0"/>
    <x v="0"/>
    <x v="0"/>
    <x v="0"/>
    <x v="1"/>
    <x v="6"/>
    <x v="6"/>
    <x v="9"/>
    <x v="9"/>
    <n v="33.320470222068501"/>
    <x v="0"/>
    <x v="0"/>
    <x v="1"/>
    <x v="4"/>
    <x v="5"/>
    <x v="9"/>
    <n v="36.319312542054668"/>
  </r>
  <r>
    <x v="1"/>
    <x v="0"/>
    <x v="1"/>
    <x v="1"/>
    <x v="1"/>
    <x v="6"/>
    <x v="0"/>
    <x v="0"/>
    <x v="0"/>
    <x v="0"/>
    <x v="0"/>
    <x v="0"/>
    <x v="1"/>
    <x v="6"/>
    <x v="6"/>
    <x v="10"/>
    <x v="10"/>
    <n v="139.99155963294399"/>
    <x v="0"/>
    <x v="0"/>
    <x v="1"/>
    <x v="4"/>
    <x v="5"/>
    <x v="10"/>
    <n v="152.59079999990897"/>
  </r>
  <r>
    <x v="1"/>
    <x v="0"/>
    <x v="1"/>
    <x v="1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1"/>
    <x v="0"/>
    <x v="1"/>
    <x v="1"/>
    <x v="1"/>
    <x v="6"/>
    <x v="0"/>
    <x v="0"/>
    <x v="0"/>
    <x v="0"/>
    <x v="0"/>
    <x v="0"/>
    <x v="1"/>
    <x v="6"/>
    <x v="6"/>
    <x v="31"/>
    <x v="31"/>
    <n v="0.12286238532103"/>
    <x v="0"/>
    <x v="0"/>
    <x v="1"/>
    <x v="4"/>
    <x v="5"/>
    <x v="10"/>
    <n v="0.13391999999992271"/>
  </r>
  <r>
    <x v="1"/>
    <x v="0"/>
    <x v="1"/>
    <x v="1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1"/>
    <x v="0"/>
    <x v="1"/>
    <x v="1"/>
    <x v="1"/>
    <x v="6"/>
    <x v="0"/>
    <x v="0"/>
    <x v="0"/>
    <x v="0"/>
    <x v="0"/>
    <x v="0"/>
    <x v="1"/>
    <x v="6"/>
    <x v="6"/>
    <x v="21"/>
    <x v="21"/>
    <n v="404.98971559608702"/>
    <x v="0"/>
    <x v="0"/>
    <x v="1"/>
    <x v="4"/>
    <x v="5"/>
    <x v="10"/>
    <n v="441.43878999973487"/>
  </r>
  <r>
    <x v="1"/>
    <x v="0"/>
    <x v="1"/>
    <x v="1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1"/>
    <x v="0"/>
    <x v="1"/>
    <x v="1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1"/>
    <x v="0"/>
    <x v="1"/>
    <x v="1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1"/>
    <x v="0"/>
    <x v="1"/>
    <x v="1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1"/>
    <x v="0"/>
    <x v="1"/>
    <x v="1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1"/>
    <x v="0"/>
    <x v="1"/>
    <x v="1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1"/>
    <x v="0"/>
    <x v="1"/>
    <x v="1"/>
    <x v="1"/>
    <x v="6"/>
    <x v="0"/>
    <x v="0"/>
    <x v="0"/>
    <x v="0"/>
    <x v="0"/>
    <x v="0"/>
    <x v="3"/>
    <x v="7"/>
    <x v="7"/>
    <x v="9"/>
    <x v="9"/>
    <n v="0.22204890174707001"/>
    <x v="0"/>
    <x v="0"/>
    <x v="1"/>
    <x v="4"/>
    <x v="5"/>
    <x v="9"/>
    <n v="0.24203330290430633"/>
  </r>
  <r>
    <x v="1"/>
    <x v="0"/>
    <x v="1"/>
    <x v="1"/>
    <x v="1"/>
    <x v="6"/>
    <x v="0"/>
    <x v="0"/>
    <x v="0"/>
    <x v="0"/>
    <x v="0"/>
    <x v="0"/>
    <x v="3"/>
    <x v="7"/>
    <x v="7"/>
    <x v="10"/>
    <x v="10"/>
    <n v="27.903857002630399"/>
    <x v="0"/>
    <x v="0"/>
    <x v="1"/>
    <x v="4"/>
    <x v="5"/>
    <x v="10"/>
    <n v="30.415204132867139"/>
  </r>
  <r>
    <x v="1"/>
    <x v="0"/>
    <x v="1"/>
    <x v="1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1"/>
    <x v="0"/>
    <x v="1"/>
    <x v="1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1"/>
    <x v="0"/>
    <x v="1"/>
    <x v="1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1"/>
    <x v="0"/>
    <x v="1"/>
    <x v="1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1"/>
    <x v="0"/>
    <x v="1"/>
    <x v="1"/>
    <x v="1"/>
    <x v="6"/>
    <x v="0"/>
    <x v="0"/>
    <x v="0"/>
    <x v="0"/>
    <x v="0"/>
    <x v="0"/>
    <x v="1"/>
    <x v="8"/>
    <x v="8"/>
    <x v="9"/>
    <x v="9"/>
    <n v="36.066183559880798"/>
    <x v="0"/>
    <x v="0"/>
    <x v="1"/>
    <x v="4"/>
    <x v="5"/>
    <x v="9"/>
    <n v="39.312140080270076"/>
  </r>
  <r>
    <x v="1"/>
    <x v="0"/>
    <x v="1"/>
    <x v="1"/>
    <x v="1"/>
    <x v="6"/>
    <x v="0"/>
    <x v="0"/>
    <x v="0"/>
    <x v="0"/>
    <x v="0"/>
    <x v="0"/>
    <x v="1"/>
    <x v="8"/>
    <x v="8"/>
    <x v="10"/>
    <x v="10"/>
    <n v="18.2139772751962"/>
    <x v="0"/>
    <x v="0"/>
    <x v="1"/>
    <x v="4"/>
    <x v="5"/>
    <x v="10"/>
    <n v="19.853235229963861"/>
  </r>
  <r>
    <x v="1"/>
    <x v="0"/>
    <x v="1"/>
    <x v="1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1"/>
    <x v="0"/>
    <x v="1"/>
    <x v="1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1"/>
    <x v="0"/>
    <x v="1"/>
    <x v="1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1"/>
    <x v="0"/>
    <x v="1"/>
    <x v="1"/>
    <x v="1"/>
    <x v="6"/>
    <x v="0"/>
    <x v="0"/>
    <x v="0"/>
    <x v="0"/>
    <x v="0"/>
    <x v="0"/>
    <x v="0"/>
    <x v="9"/>
    <x v="9"/>
    <x v="9"/>
    <x v="9"/>
    <n v="86.782541740866904"/>
    <x v="0"/>
    <x v="0"/>
    <x v="1"/>
    <x v="4"/>
    <x v="5"/>
    <x v="9"/>
    <n v="94.592970497544925"/>
  </r>
  <r>
    <x v="1"/>
    <x v="0"/>
    <x v="1"/>
    <x v="1"/>
    <x v="1"/>
    <x v="6"/>
    <x v="0"/>
    <x v="0"/>
    <x v="0"/>
    <x v="0"/>
    <x v="0"/>
    <x v="0"/>
    <x v="0"/>
    <x v="9"/>
    <x v="9"/>
    <x v="10"/>
    <x v="10"/>
    <n v="247.281045145837"/>
    <x v="0"/>
    <x v="0"/>
    <x v="1"/>
    <x v="4"/>
    <x v="5"/>
    <x v="10"/>
    <n v="269.53633920896237"/>
  </r>
  <r>
    <x v="1"/>
    <x v="0"/>
    <x v="1"/>
    <x v="1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1"/>
    <x v="0"/>
    <x v="1"/>
    <x v="1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1"/>
    <x v="0"/>
    <x v="1"/>
    <x v="1"/>
    <x v="1"/>
    <x v="6"/>
    <x v="0"/>
    <x v="0"/>
    <x v="0"/>
    <x v="0"/>
    <x v="0"/>
    <x v="0"/>
    <x v="0"/>
    <x v="9"/>
    <x v="9"/>
    <x v="21"/>
    <x v="21"/>
    <n v="56.7799724770301"/>
    <x v="0"/>
    <x v="0"/>
    <x v="1"/>
    <x v="4"/>
    <x v="5"/>
    <x v="10"/>
    <n v="61.890169999962815"/>
  </r>
  <r>
    <x v="1"/>
    <x v="0"/>
    <x v="1"/>
    <x v="1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1"/>
    <x v="0"/>
    <x v="1"/>
    <x v="1"/>
    <x v="1"/>
    <x v="6"/>
    <x v="0"/>
    <x v="0"/>
    <x v="0"/>
    <x v="0"/>
    <x v="0"/>
    <x v="0"/>
    <x v="2"/>
    <x v="10"/>
    <x v="10"/>
    <x v="9"/>
    <x v="9"/>
    <n v="29.219265410039"/>
    <x v="0"/>
    <x v="0"/>
    <x v="1"/>
    <x v="4"/>
    <x v="5"/>
    <x v="9"/>
    <n v="31.848999296942512"/>
  </r>
  <r>
    <x v="1"/>
    <x v="0"/>
    <x v="1"/>
    <x v="1"/>
    <x v="1"/>
    <x v="6"/>
    <x v="0"/>
    <x v="0"/>
    <x v="0"/>
    <x v="0"/>
    <x v="0"/>
    <x v="0"/>
    <x v="2"/>
    <x v="10"/>
    <x v="10"/>
    <x v="10"/>
    <x v="10"/>
    <n v="27.807763024213099"/>
    <x v="0"/>
    <x v="0"/>
    <x v="1"/>
    <x v="4"/>
    <x v="5"/>
    <x v="10"/>
    <n v="30.310461696392281"/>
  </r>
  <r>
    <x v="1"/>
    <x v="0"/>
    <x v="1"/>
    <x v="1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1"/>
    <x v="0"/>
    <x v="1"/>
    <x v="1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1"/>
    <x v="0"/>
    <x v="1"/>
    <x v="1"/>
    <x v="1"/>
    <x v="6"/>
    <x v="0"/>
    <x v="0"/>
    <x v="0"/>
    <x v="0"/>
    <x v="0"/>
    <x v="0"/>
    <x v="2"/>
    <x v="10"/>
    <x v="10"/>
    <x v="21"/>
    <x v="21"/>
    <n v="20.047495412831999"/>
    <x v="0"/>
    <x v="0"/>
    <x v="1"/>
    <x v="4"/>
    <x v="5"/>
    <x v="10"/>
    <n v="21.851769999986882"/>
  </r>
  <r>
    <x v="1"/>
    <x v="0"/>
    <x v="1"/>
    <x v="1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1"/>
    <x v="0"/>
    <x v="1"/>
    <x v="1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1"/>
    <x v="0"/>
    <x v="1"/>
    <x v="1"/>
    <x v="1"/>
    <x v="6"/>
    <x v="0"/>
    <x v="0"/>
    <x v="0"/>
    <x v="0"/>
    <x v="0"/>
    <x v="0"/>
    <x v="4"/>
    <x v="5"/>
    <x v="5"/>
    <x v="8"/>
    <x v="8"/>
    <n v="15.999972973075399"/>
    <x v="0"/>
    <x v="1"/>
    <x v="2"/>
    <x v="2"/>
    <x v="6"/>
    <x v="8"/>
    <n v="17.439970540652187"/>
  </r>
  <r>
    <x v="1"/>
    <x v="0"/>
    <x v="1"/>
    <x v="1"/>
    <x v="1"/>
    <x v="6"/>
    <x v="0"/>
    <x v="0"/>
    <x v="0"/>
    <x v="0"/>
    <x v="0"/>
    <x v="0"/>
    <x v="4"/>
    <x v="5"/>
    <x v="5"/>
    <x v="9"/>
    <x v="9"/>
    <n v="150.39621027504199"/>
    <x v="0"/>
    <x v="0"/>
    <x v="1"/>
    <x v="4"/>
    <x v="5"/>
    <x v="9"/>
    <n v="163.93186919979578"/>
  </r>
  <r>
    <x v="1"/>
    <x v="0"/>
    <x v="1"/>
    <x v="1"/>
    <x v="1"/>
    <x v="6"/>
    <x v="0"/>
    <x v="0"/>
    <x v="0"/>
    <x v="0"/>
    <x v="0"/>
    <x v="0"/>
    <x v="4"/>
    <x v="5"/>
    <x v="5"/>
    <x v="10"/>
    <x v="10"/>
    <n v="193.93369418915299"/>
    <x v="0"/>
    <x v="0"/>
    <x v="1"/>
    <x v="4"/>
    <x v="5"/>
    <x v="10"/>
    <n v="211.38772666617677"/>
  </r>
  <r>
    <x v="1"/>
    <x v="0"/>
    <x v="1"/>
    <x v="1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1"/>
    <x v="0"/>
    <x v="1"/>
    <x v="1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1"/>
    <x v="0"/>
    <x v="1"/>
    <x v="1"/>
    <x v="1"/>
    <x v="6"/>
    <x v="0"/>
    <x v="0"/>
    <x v="0"/>
    <x v="0"/>
    <x v="0"/>
    <x v="0"/>
    <x v="4"/>
    <x v="5"/>
    <x v="5"/>
    <x v="12"/>
    <x v="12"/>
    <n v="21.597313953406299"/>
    <x v="0"/>
    <x v="0"/>
    <x v="0"/>
    <x v="0"/>
    <x v="8"/>
    <x v="12"/>
    <n v="23.541072209212867"/>
  </r>
  <r>
    <x v="1"/>
    <x v="0"/>
    <x v="1"/>
    <x v="1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1"/>
    <x v="0"/>
    <x v="1"/>
    <x v="1"/>
    <x v="1"/>
    <x v="6"/>
    <x v="0"/>
    <x v="0"/>
    <x v="0"/>
    <x v="0"/>
    <x v="0"/>
    <x v="0"/>
    <x v="4"/>
    <x v="5"/>
    <x v="5"/>
    <x v="21"/>
    <x v="21"/>
    <n v="55.760568807306001"/>
    <x v="0"/>
    <x v="0"/>
    <x v="1"/>
    <x v="4"/>
    <x v="5"/>
    <x v="10"/>
    <n v="60.779019999963545"/>
  </r>
  <r>
    <x v="1"/>
    <x v="0"/>
    <x v="1"/>
    <x v="1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1"/>
    <x v="0"/>
    <x v="1"/>
    <x v="1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1"/>
    <x v="0"/>
    <x v="1"/>
    <x v="1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1"/>
    <x v="0"/>
    <x v="1"/>
    <x v="1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1"/>
    <x v="0"/>
    <x v="1"/>
    <x v="1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1"/>
    <x v="0"/>
    <x v="1"/>
    <x v="1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1"/>
    <x v="0"/>
    <x v="1"/>
    <x v="1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1"/>
    <x v="0"/>
    <x v="1"/>
    <x v="1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1"/>
    <x v="0"/>
    <x v="1"/>
    <x v="1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1"/>
    <x v="0"/>
    <x v="1"/>
    <x v="1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1"/>
    <x v="0"/>
    <x v="1"/>
    <x v="1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1"/>
    <x v="0"/>
    <x v="1"/>
    <x v="1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1"/>
    <x v="0"/>
    <x v="1"/>
    <x v="1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1"/>
    <x v="0"/>
    <x v="1"/>
    <x v="1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1"/>
    <x v="0"/>
    <x v="1"/>
    <x v="1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1"/>
    <x v="0"/>
    <x v="1"/>
    <x v="1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1"/>
    <x v="0"/>
    <x v="1"/>
    <x v="1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1"/>
    <x v="0"/>
    <x v="1"/>
    <x v="1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1"/>
    <x v="0"/>
    <x v="1"/>
    <x v="1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1"/>
    <x v="0"/>
    <x v="1"/>
    <x v="1"/>
    <x v="1"/>
    <x v="6"/>
    <x v="0"/>
    <x v="0"/>
    <x v="0"/>
    <x v="0"/>
    <x v="3"/>
    <x v="3"/>
    <x v="2"/>
    <x v="2"/>
    <x v="2"/>
    <x v="5"/>
    <x v="5"/>
    <n v="69.7520613502234"/>
    <x v="0"/>
    <x v="0"/>
    <x v="1"/>
    <x v="1"/>
    <x v="1"/>
    <x v="5"/>
    <n v="76.029746871743512"/>
  </r>
  <r>
    <x v="1"/>
    <x v="0"/>
    <x v="1"/>
    <x v="1"/>
    <x v="1"/>
    <x v="6"/>
    <x v="0"/>
    <x v="0"/>
    <x v="0"/>
    <x v="0"/>
    <x v="3"/>
    <x v="3"/>
    <x v="2"/>
    <x v="2"/>
    <x v="2"/>
    <x v="8"/>
    <x v="8"/>
    <n v="0.74324324324799995"/>
    <x v="0"/>
    <x v="1"/>
    <x v="2"/>
    <x v="2"/>
    <x v="6"/>
    <x v="8"/>
    <n v="0.81013513514031998"/>
  </r>
  <r>
    <x v="1"/>
    <x v="0"/>
    <x v="1"/>
    <x v="1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1"/>
    <x v="0"/>
    <x v="1"/>
    <x v="1"/>
    <x v="1"/>
    <x v="6"/>
    <x v="0"/>
    <x v="0"/>
    <x v="0"/>
    <x v="0"/>
    <x v="3"/>
    <x v="3"/>
    <x v="2"/>
    <x v="2"/>
    <x v="2"/>
    <x v="9"/>
    <x v="9"/>
    <n v="15.7081284403575"/>
    <x v="0"/>
    <x v="0"/>
    <x v="1"/>
    <x v="4"/>
    <x v="5"/>
    <x v="9"/>
    <n v="17.121859999989677"/>
  </r>
  <r>
    <x v="1"/>
    <x v="0"/>
    <x v="1"/>
    <x v="1"/>
    <x v="1"/>
    <x v="6"/>
    <x v="0"/>
    <x v="0"/>
    <x v="0"/>
    <x v="0"/>
    <x v="3"/>
    <x v="3"/>
    <x v="2"/>
    <x v="2"/>
    <x v="2"/>
    <x v="10"/>
    <x v="10"/>
    <n v="26.954423785722199"/>
    <x v="0"/>
    <x v="0"/>
    <x v="1"/>
    <x v="4"/>
    <x v="5"/>
    <x v="10"/>
    <n v="29.380321926437198"/>
  </r>
  <r>
    <x v="1"/>
    <x v="0"/>
    <x v="1"/>
    <x v="1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1"/>
    <x v="0"/>
    <x v="1"/>
    <x v="1"/>
    <x v="1"/>
    <x v="6"/>
    <x v="0"/>
    <x v="0"/>
    <x v="0"/>
    <x v="0"/>
    <x v="3"/>
    <x v="3"/>
    <x v="2"/>
    <x v="2"/>
    <x v="2"/>
    <x v="31"/>
    <x v="31"/>
    <n v="7.3743119266010002E-2"/>
    <x v="0"/>
    <x v="0"/>
    <x v="1"/>
    <x v="4"/>
    <x v="5"/>
    <x v="10"/>
    <n v="8.0379999999950907E-2"/>
  </r>
  <r>
    <x v="1"/>
    <x v="0"/>
    <x v="1"/>
    <x v="1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1"/>
    <x v="0"/>
    <x v="1"/>
    <x v="1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1"/>
    <x v="0"/>
    <x v="1"/>
    <x v="1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1"/>
    <x v="0"/>
    <x v="1"/>
    <x v="1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1"/>
    <x v="0"/>
    <x v="1"/>
    <x v="1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1"/>
    <x v="0"/>
    <x v="1"/>
    <x v="1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1"/>
    <x v="0"/>
    <x v="1"/>
    <x v="1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1"/>
    <x v="0"/>
    <x v="1"/>
    <x v="1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13"/>
    <x v="2"/>
    <n v="13.372259999991964"/>
  </r>
  <r>
    <x v="1"/>
    <x v="0"/>
    <x v="1"/>
    <x v="1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1"/>
    <x v="0"/>
    <x v="1"/>
    <x v="1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1"/>
    <x v="0"/>
    <x v="1"/>
    <x v="1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1"/>
    <x v="0"/>
    <x v="1"/>
    <x v="1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1"/>
    <x v="0"/>
    <x v="1"/>
    <x v="1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1"/>
    <x v="0"/>
    <x v="1"/>
    <x v="1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1"/>
    <x v="0"/>
    <x v="1"/>
    <x v="1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1"/>
    <x v="0"/>
    <x v="1"/>
    <x v="1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1"/>
    <x v="0"/>
    <x v="1"/>
    <x v="1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1"/>
    <x v="0"/>
    <x v="1"/>
    <x v="1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1"/>
    <x v="0"/>
    <x v="1"/>
    <x v="1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1"/>
    <x v="0"/>
    <x v="1"/>
    <x v="1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1"/>
    <x v="0"/>
    <x v="1"/>
    <x v="1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1"/>
    <x v="0"/>
    <x v="1"/>
    <x v="1"/>
    <x v="1"/>
    <x v="6"/>
    <x v="0"/>
    <x v="0"/>
    <x v="0"/>
    <x v="0"/>
    <x v="4"/>
    <x v="4"/>
    <x v="2"/>
    <x v="2"/>
    <x v="2"/>
    <x v="9"/>
    <x v="9"/>
    <n v="1.3835071122398399"/>
    <x v="0"/>
    <x v="0"/>
    <x v="1"/>
    <x v="4"/>
    <x v="5"/>
    <x v="9"/>
    <n v="1.5080227523414256"/>
  </r>
  <r>
    <x v="1"/>
    <x v="0"/>
    <x v="1"/>
    <x v="1"/>
    <x v="1"/>
    <x v="6"/>
    <x v="0"/>
    <x v="0"/>
    <x v="0"/>
    <x v="0"/>
    <x v="4"/>
    <x v="4"/>
    <x v="2"/>
    <x v="2"/>
    <x v="2"/>
    <x v="10"/>
    <x v="10"/>
    <n v="4.3786323360511998"/>
    <x v="0"/>
    <x v="0"/>
    <x v="1"/>
    <x v="4"/>
    <x v="5"/>
    <x v="10"/>
    <n v="4.7727092462958085"/>
  </r>
  <r>
    <x v="1"/>
    <x v="0"/>
    <x v="1"/>
    <x v="1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1"/>
    <x v="0"/>
    <x v="1"/>
    <x v="1"/>
    <x v="1"/>
    <x v="6"/>
    <x v="0"/>
    <x v="0"/>
    <x v="0"/>
    <x v="0"/>
    <x v="4"/>
    <x v="4"/>
    <x v="2"/>
    <x v="2"/>
    <x v="2"/>
    <x v="31"/>
    <x v="31"/>
    <n v="0.33555963302732"/>
    <x v="0"/>
    <x v="0"/>
    <x v="1"/>
    <x v="4"/>
    <x v="5"/>
    <x v="10"/>
    <n v="0.36575999999977882"/>
  </r>
  <r>
    <x v="1"/>
    <x v="0"/>
    <x v="1"/>
    <x v="1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1"/>
    <x v="0"/>
    <x v="1"/>
    <x v="1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1"/>
    <x v="0"/>
    <x v="1"/>
    <x v="1"/>
    <x v="1"/>
    <x v="6"/>
    <x v="0"/>
    <x v="0"/>
    <x v="0"/>
    <x v="0"/>
    <x v="4"/>
    <x v="4"/>
    <x v="2"/>
    <x v="2"/>
    <x v="2"/>
    <x v="25"/>
    <x v="25"/>
    <n v="3.3577981651356001"/>
    <x v="0"/>
    <x v="0"/>
    <x v="1"/>
    <x v="4"/>
    <x v="5"/>
    <x v="9"/>
    <n v="3.6599999999978046"/>
  </r>
  <r>
    <x v="1"/>
    <x v="0"/>
    <x v="1"/>
    <x v="1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1"/>
    <x v="0"/>
    <x v="1"/>
    <x v="1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1"/>
    <x v="0"/>
    <x v="1"/>
    <x v="1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1"/>
    <x v="0"/>
    <x v="1"/>
    <x v="1"/>
    <x v="1"/>
    <x v="6"/>
    <x v="0"/>
    <x v="0"/>
    <x v="0"/>
    <x v="0"/>
    <x v="4"/>
    <x v="4"/>
    <x v="4"/>
    <x v="5"/>
    <x v="5"/>
    <x v="26"/>
    <x v="26"/>
    <n v="0.29911926605486999"/>
    <x v="0"/>
    <x v="0"/>
    <x v="1"/>
    <x v="3"/>
    <x v="3"/>
    <x v="15"/>
    <n v="0.32603999999980832"/>
  </r>
  <r>
    <x v="1"/>
    <x v="0"/>
    <x v="1"/>
    <x v="1"/>
    <x v="1"/>
    <x v="6"/>
    <x v="0"/>
    <x v="0"/>
    <x v="0"/>
    <x v="0"/>
    <x v="4"/>
    <x v="4"/>
    <x v="4"/>
    <x v="5"/>
    <x v="5"/>
    <x v="20"/>
    <x v="20"/>
    <n v="31.501159999999999"/>
    <x v="0"/>
    <x v="0"/>
    <x v="1"/>
    <x v="3"/>
    <x v="3"/>
    <x v="13"/>
    <n v="34.336264400000005"/>
  </r>
  <r>
    <x v="1"/>
    <x v="0"/>
    <x v="1"/>
    <x v="1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1"/>
    <x v="0"/>
    <x v="1"/>
    <x v="1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1"/>
    <x v="0"/>
    <x v="1"/>
    <x v="1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1"/>
    <x v="0"/>
    <x v="1"/>
    <x v="1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1"/>
    <x v="0"/>
    <x v="1"/>
    <x v="1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1"/>
    <x v="0"/>
    <x v="1"/>
    <x v="1"/>
    <x v="1"/>
    <x v="6"/>
    <x v="0"/>
    <x v="0"/>
    <x v="2"/>
    <x v="2"/>
    <x v="5"/>
    <x v="5"/>
    <x v="2"/>
    <x v="2"/>
    <x v="2"/>
    <x v="40"/>
    <x v="40"/>
    <n v="10097.440130000001"/>
    <x v="1"/>
    <x v="2"/>
    <x v="5"/>
    <x v="7"/>
    <x v="11"/>
    <x v="22"/>
    <n v="11006.209741700002"/>
  </r>
  <r>
    <x v="1"/>
    <x v="0"/>
    <x v="1"/>
    <x v="1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1"/>
    <x v="0"/>
    <x v="1"/>
    <x v="1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1"/>
    <x v="0"/>
    <x v="1"/>
    <x v="1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1"/>
    <x v="0"/>
    <x v="1"/>
    <x v="1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1"/>
    <x v="0"/>
    <x v="1"/>
    <x v="1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1"/>
    <x v="0"/>
    <x v="1"/>
    <x v="1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1"/>
    <x v="0"/>
    <x v="1"/>
    <x v="1"/>
    <x v="1"/>
    <x v="6"/>
    <x v="0"/>
    <x v="0"/>
    <x v="2"/>
    <x v="2"/>
    <x v="5"/>
    <x v="5"/>
    <x v="1"/>
    <x v="6"/>
    <x v="6"/>
    <x v="40"/>
    <x v="40"/>
    <n v="3161.5127200000002"/>
    <x v="1"/>
    <x v="2"/>
    <x v="5"/>
    <x v="7"/>
    <x v="11"/>
    <x v="22"/>
    <n v="3446.0488648000005"/>
  </r>
  <r>
    <x v="1"/>
    <x v="0"/>
    <x v="1"/>
    <x v="1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1"/>
    <x v="0"/>
    <x v="1"/>
    <x v="1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1"/>
    <x v="0"/>
    <x v="1"/>
    <x v="1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1"/>
    <x v="0"/>
    <x v="1"/>
    <x v="1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1"/>
    <x v="0"/>
    <x v="1"/>
    <x v="1"/>
    <x v="1"/>
    <x v="6"/>
    <x v="0"/>
    <x v="0"/>
    <x v="2"/>
    <x v="2"/>
    <x v="5"/>
    <x v="5"/>
    <x v="1"/>
    <x v="8"/>
    <x v="8"/>
    <x v="40"/>
    <x v="40"/>
    <n v="135.96114"/>
    <x v="1"/>
    <x v="2"/>
    <x v="5"/>
    <x v="7"/>
    <x v="11"/>
    <x v="22"/>
    <n v="148.19764260000002"/>
  </r>
  <r>
    <x v="1"/>
    <x v="0"/>
    <x v="1"/>
    <x v="1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1"/>
    <x v="0"/>
    <x v="1"/>
    <x v="1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1"/>
    <x v="0"/>
    <x v="1"/>
    <x v="1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1"/>
    <x v="0"/>
    <x v="1"/>
    <x v="1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1"/>
    <x v="0"/>
    <x v="1"/>
    <x v="1"/>
    <x v="1"/>
    <x v="6"/>
    <x v="0"/>
    <x v="0"/>
    <x v="2"/>
    <x v="2"/>
    <x v="5"/>
    <x v="5"/>
    <x v="4"/>
    <x v="5"/>
    <x v="5"/>
    <x v="40"/>
    <x v="40"/>
    <n v="622.60940000000005"/>
    <x v="1"/>
    <x v="2"/>
    <x v="5"/>
    <x v="7"/>
    <x v="11"/>
    <x v="22"/>
    <n v="678.64424600000007"/>
  </r>
  <r>
    <x v="1"/>
    <x v="0"/>
    <x v="1"/>
    <x v="1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1"/>
    <x v="0"/>
    <x v="1"/>
    <x v="1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1"/>
    <x v="0"/>
    <x v="1"/>
    <x v="1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1"/>
    <x v="0"/>
    <x v="1"/>
    <x v="1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1"/>
    <x v="0"/>
    <x v="1"/>
    <x v="1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1"/>
    <x v="0"/>
    <x v="1"/>
    <x v="1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1"/>
    <x v="0"/>
    <x v="1"/>
    <x v="1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1"/>
    <x v="0"/>
    <x v="1"/>
    <x v="1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1"/>
    <x v="0"/>
    <x v="1"/>
    <x v="1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1"/>
    <x v="0"/>
    <x v="1"/>
    <x v="1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1"/>
    <x v="0"/>
    <x v="1"/>
    <x v="1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1"/>
    <x v="0"/>
    <x v="1"/>
    <x v="1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1"/>
    <x v="0"/>
    <x v="1"/>
    <x v="1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1"/>
    <x v="0"/>
    <x v="1"/>
    <x v="1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1"/>
    <x v="0"/>
    <x v="1"/>
    <x v="1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1"/>
    <x v="0"/>
    <x v="1"/>
    <x v="1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1"/>
    <x v="0"/>
    <x v="1"/>
    <x v="1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1"/>
    <x v="0"/>
    <x v="1"/>
    <x v="1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1"/>
    <x v="0"/>
    <x v="1"/>
    <x v="1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1"/>
    <x v="0"/>
    <x v="1"/>
    <x v="1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1"/>
    <x v="0"/>
    <x v="1"/>
    <x v="1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1"/>
    <x v="0"/>
    <x v="1"/>
    <x v="1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1"/>
    <x v="0"/>
    <x v="1"/>
    <x v="1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1"/>
    <x v="0"/>
    <x v="1"/>
    <x v="1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1"/>
    <x v="0"/>
    <x v="1"/>
    <x v="1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1"/>
    <x v="0"/>
    <x v="1"/>
    <x v="1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1"/>
    <x v="0"/>
    <x v="1"/>
    <x v="1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1"/>
    <x v="0"/>
    <x v="1"/>
    <x v="1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1"/>
    <x v="0"/>
    <x v="1"/>
    <x v="1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1"/>
    <x v="0"/>
    <x v="1"/>
    <x v="1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1"/>
    <x v="0"/>
    <x v="1"/>
    <x v="1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1"/>
    <x v="0"/>
    <x v="1"/>
    <x v="1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1"/>
    <x v="0"/>
    <x v="1"/>
    <x v="1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1"/>
    <x v="0"/>
    <x v="1"/>
    <x v="1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1"/>
    <x v="0"/>
    <x v="1"/>
    <x v="1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1"/>
    <x v="0"/>
    <x v="1"/>
    <x v="1"/>
    <x v="1"/>
    <x v="6"/>
    <x v="0"/>
    <x v="0"/>
    <x v="2"/>
    <x v="2"/>
    <x v="7"/>
    <x v="7"/>
    <x v="2"/>
    <x v="2"/>
    <x v="2"/>
    <x v="38"/>
    <x v="38"/>
    <n v="3899.0551500000001"/>
    <x v="1"/>
    <x v="0"/>
    <x v="4"/>
    <x v="6"/>
    <x v="10"/>
    <x v="21"/>
    <n v="4249.9701135000005"/>
  </r>
  <r>
    <x v="1"/>
    <x v="0"/>
    <x v="1"/>
    <x v="1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1"/>
    <x v="0"/>
    <x v="1"/>
    <x v="1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1"/>
    <x v="0"/>
    <x v="1"/>
    <x v="1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1"/>
    <x v="0"/>
    <x v="1"/>
    <x v="1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1"/>
    <x v="0"/>
    <x v="1"/>
    <x v="1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1"/>
    <x v="0"/>
    <x v="1"/>
    <x v="1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1"/>
    <x v="0"/>
    <x v="1"/>
    <x v="1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1"/>
    <x v="0"/>
    <x v="1"/>
    <x v="1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1"/>
    <x v="0"/>
    <x v="1"/>
    <x v="1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1"/>
    <x v="0"/>
    <x v="1"/>
    <x v="1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1"/>
    <x v="0"/>
    <x v="1"/>
    <x v="1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1"/>
    <x v="0"/>
    <x v="1"/>
    <x v="1"/>
    <x v="1"/>
    <x v="6"/>
    <x v="0"/>
    <x v="0"/>
    <x v="2"/>
    <x v="2"/>
    <x v="7"/>
    <x v="7"/>
    <x v="1"/>
    <x v="6"/>
    <x v="6"/>
    <x v="40"/>
    <x v="40"/>
    <n v="1689.1671200000001"/>
    <x v="1"/>
    <x v="2"/>
    <x v="5"/>
    <x v="7"/>
    <x v="11"/>
    <x v="22"/>
    <n v="1841.1921608000002"/>
  </r>
  <r>
    <x v="1"/>
    <x v="0"/>
    <x v="1"/>
    <x v="1"/>
    <x v="1"/>
    <x v="6"/>
    <x v="0"/>
    <x v="0"/>
    <x v="2"/>
    <x v="2"/>
    <x v="7"/>
    <x v="7"/>
    <x v="1"/>
    <x v="6"/>
    <x v="6"/>
    <x v="38"/>
    <x v="38"/>
    <n v="592.87671999999998"/>
    <x v="1"/>
    <x v="0"/>
    <x v="4"/>
    <x v="6"/>
    <x v="10"/>
    <x v="21"/>
    <n v="646.23562479999998"/>
  </r>
  <r>
    <x v="1"/>
    <x v="0"/>
    <x v="1"/>
    <x v="1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1"/>
    <x v="0"/>
    <x v="1"/>
    <x v="1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1"/>
    <x v="0"/>
    <x v="1"/>
    <x v="1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1"/>
    <x v="0"/>
    <x v="1"/>
    <x v="1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1"/>
    <x v="0"/>
    <x v="1"/>
    <x v="1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1"/>
    <x v="0"/>
    <x v="1"/>
    <x v="1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1"/>
    <x v="0"/>
    <x v="1"/>
    <x v="1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1"/>
    <x v="0"/>
    <x v="1"/>
    <x v="1"/>
    <x v="1"/>
    <x v="6"/>
    <x v="0"/>
    <x v="0"/>
    <x v="2"/>
    <x v="2"/>
    <x v="7"/>
    <x v="7"/>
    <x v="1"/>
    <x v="8"/>
    <x v="8"/>
    <x v="40"/>
    <x v="40"/>
    <n v="200.12311"/>
    <x v="1"/>
    <x v="2"/>
    <x v="5"/>
    <x v="7"/>
    <x v="11"/>
    <x v="22"/>
    <n v="218.13418990000002"/>
  </r>
  <r>
    <x v="1"/>
    <x v="0"/>
    <x v="1"/>
    <x v="1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1"/>
    <x v="0"/>
    <x v="1"/>
    <x v="1"/>
    <x v="1"/>
    <x v="6"/>
    <x v="0"/>
    <x v="0"/>
    <x v="2"/>
    <x v="2"/>
    <x v="7"/>
    <x v="7"/>
    <x v="4"/>
    <x v="5"/>
    <x v="5"/>
    <x v="40"/>
    <x v="40"/>
    <n v="172.01738"/>
    <x v="1"/>
    <x v="2"/>
    <x v="5"/>
    <x v="7"/>
    <x v="11"/>
    <x v="22"/>
    <n v="187.49894420000001"/>
  </r>
  <r>
    <x v="1"/>
    <x v="0"/>
    <x v="1"/>
    <x v="1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1"/>
    <x v="0"/>
    <x v="1"/>
    <x v="1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1"/>
    <x v="0"/>
    <x v="1"/>
    <x v="1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1"/>
    <x v="0"/>
    <x v="1"/>
    <x v="1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1"/>
    <x v="0"/>
    <x v="1"/>
    <x v="1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1"/>
    <x v="0"/>
    <x v="1"/>
    <x v="1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1"/>
    <x v="0"/>
    <x v="1"/>
    <x v="1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1"/>
    <x v="0"/>
    <x v="1"/>
    <x v="1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1"/>
    <x v="0"/>
    <x v="1"/>
    <x v="1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1"/>
    <x v="0"/>
    <x v="1"/>
    <x v="1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1"/>
    <x v="0"/>
    <x v="1"/>
    <x v="1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1"/>
    <x v="0"/>
    <x v="1"/>
    <x v="1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1"/>
    <x v="0"/>
    <x v="1"/>
    <x v="1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1"/>
    <x v="0"/>
    <x v="1"/>
    <x v="1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1"/>
    <x v="0"/>
    <x v="1"/>
    <x v="1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1"/>
    <x v="0"/>
    <x v="1"/>
    <x v="1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1"/>
    <x v="0"/>
    <x v="1"/>
    <x v="1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1"/>
    <x v="0"/>
    <x v="1"/>
    <x v="1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1"/>
    <x v="0"/>
    <x v="1"/>
    <x v="1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1"/>
    <x v="0"/>
    <x v="1"/>
    <x v="1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1"/>
    <x v="0"/>
    <x v="1"/>
    <x v="1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1"/>
    <x v="0"/>
    <x v="1"/>
    <x v="1"/>
    <x v="1"/>
    <x v="6"/>
    <x v="0"/>
    <x v="0"/>
    <x v="2"/>
    <x v="2"/>
    <x v="9"/>
    <x v="9"/>
    <x v="2"/>
    <x v="2"/>
    <x v="2"/>
    <x v="38"/>
    <x v="38"/>
    <n v="4597.5883599999997"/>
    <x v="1"/>
    <x v="0"/>
    <x v="4"/>
    <x v="6"/>
    <x v="10"/>
    <x v="21"/>
    <n v="5011.3713124000005"/>
  </r>
  <r>
    <x v="1"/>
    <x v="0"/>
    <x v="1"/>
    <x v="1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1"/>
    <x v="0"/>
    <x v="1"/>
    <x v="1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1"/>
    <x v="0"/>
    <x v="1"/>
    <x v="1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1"/>
    <x v="0"/>
    <x v="1"/>
    <x v="1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1"/>
    <x v="0"/>
    <x v="1"/>
    <x v="1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1"/>
    <x v="0"/>
    <x v="1"/>
    <x v="1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1"/>
    <x v="0"/>
    <x v="1"/>
    <x v="1"/>
    <x v="1"/>
    <x v="6"/>
    <x v="0"/>
    <x v="0"/>
    <x v="2"/>
    <x v="2"/>
    <x v="9"/>
    <x v="9"/>
    <x v="1"/>
    <x v="6"/>
    <x v="6"/>
    <x v="40"/>
    <x v="40"/>
    <n v="24817.23515"/>
    <x v="1"/>
    <x v="2"/>
    <x v="5"/>
    <x v="7"/>
    <x v="11"/>
    <x v="22"/>
    <n v="27050.786313500001"/>
  </r>
  <r>
    <x v="1"/>
    <x v="0"/>
    <x v="1"/>
    <x v="1"/>
    <x v="1"/>
    <x v="6"/>
    <x v="0"/>
    <x v="0"/>
    <x v="2"/>
    <x v="2"/>
    <x v="9"/>
    <x v="9"/>
    <x v="1"/>
    <x v="6"/>
    <x v="6"/>
    <x v="38"/>
    <x v="38"/>
    <n v="1429.4994300000001"/>
    <x v="1"/>
    <x v="0"/>
    <x v="4"/>
    <x v="6"/>
    <x v="10"/>
    <x v="21"/>
    <n v="1558.1543787000003"/>
  </r>
  <r>
    <x v="1"/>
    <x v="0"/>
    <x v="1"/>
    <x v="1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1"/>
    <x v="0"/>
    <x v="1"/>
    <x v="1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1"/>
    <x v="0"/>
    <x v="1"/>
    <x v="1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1"/>
    <x v="0"/>
    <x v="1"/>
    <x v="1"/>
    <x v="1"/>
    <x v="6"/>
    <x v="0"/>
    <x v="0"/>
    <x v="2"/>
    <x v="2"/>
    <x v="9"/>
    <x v="9"/>
    <x v="3"/>
    <x v="7"/>
    <x v="7"/>
    <x v="40"/>
    <x v="40"/>
    <n v="143.89462"/>
    <x v="1"/>
    <x v="2"/>
    <x v="5"/>
    <x v="7"/>
    <x v="11"/>
    <x v="22"/>
    <n v="156.84513580000001"/>
  </r>
  <r>
    <x v="1"/>
    <x v="0"/>
    <x v="1"/>
    <x v="1"/>
    <x v="1"/>
    <x v="6"/>
    <x v="0"/>
    <x v="0"/>
    <x v="2"/>
    <x v="2"/>
    <x v="9"/>
    <x v="9"/>
    <x v="1"/>
    <x v="8"/>
    <x v="8"/>
    <x v="40"/>
    <x v="40"/>
    <n v="10941.967720000001"/>
    <x v="1"/>
    <x v="2"/>
    <x v="5"/>
    <x v="7"/>
    <x v="11"/>
    <x v="22"/>
    <n v="11926.744814800002"/>
  </r>
  <r>
    <x v="1"/>
    <x v="0"/>
    <x v="1"/>
    <x v="1"/>
    <x v="1"/>
    <x v="6"/>
    <x v="0"/>
    <x v="0"/>
    <x v="2"/>
    <x v="2"/>
    <x v="9"/>
    <x v="9"/>
    <x v="2"/>
    <x v="10"/>
    <x v="10"/>
    <x v="40"/>
    <x v="40"/>
    <n v="28.203250000000001"/>
    <x v="1"/>
    <x v="2"/>
    <x v="5"/>
    <x v="7"/>
    <x v="11"/>
    <x v="22"/>
    <n v="30.741542500000001"/>
  </r>
  <r>
    <x v="1"/>
    <x v="0"/>
    <x v="1"/>
    <x v="1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1"/>
    <x v="0"/>
    <x v="1"/>
    <x v="1"/>
    <x v="1"/>
    <x v="6"/>
    <x v="0"/>
    <x v="0"/>
    <x v="2"/>
    <x v="2"/>
    <x v="9"/>
    <x v="9"/>
    <x v="4"/>
    <x v="5"/>
    <x v="5"/>
    <x v="40"/>
    <x v="40"/>
    <n v="1621.3604700000001"/>
    <x v="1"/>
    <x v="2"/>
    <x v="5"/>
    <x v="7"/>
    <x v="11"/>
    <x v="22"/>
    <n v="1767.2829123000001"/>
  </r>
  <r>
    <x v="1"/>
    <x v="0"/>
    <x v="1"/>
    <x v="1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1"/>
    <x v="0"/>
    <x v="1"/>
    <x v="1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1"/>
    <x v="0"/>
    <x v="1"/>
    <x v="1"/>
    <x v="1"/>
    <x v="6"/>
    <x v="0"/>
    <x v="0"/>
    <x v="2"/>
    <x v="2"/>
    <x v="10"/>
    <x v="10"/>
    <x v="2"/>
    <x v="2"/>
    <x v="2"/>
    <x v="40"/>
    <x v="40"/>
    <n v="3989.2150499999998"/>
    <x v="1"/>
    <x v="2"/>
    <x v="5"/>
    <x v="7"/>
    <x v="11"/>
    <x v="22"/>
    <n v="4348.2444045000002"/>
  </r>
  <r>
    <x v="1"/>
    <x v="0"/>
    <x v="1"/>
    <x v="1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1"/>
    <x v="0"/>
    <x v="1"/>
    <x v="1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1"/>
    <x v="0"/>
    <x v="1"/>
    <x v="1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1"/>
    <x v="0"/>
    <x v="1"/>
    <x v="1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1"/>
    <x v="0"/>
    <x v="1"/>
    <x v="1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1"/>
    <x v="0"/>
    <x v="1"/>
    <x v="1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1"/>
    <x v="0"/>
    <x v="1"/>
    <x v="1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1"/>
    <x v="0"/>
    <x v="1"/>
    <x v="1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1"/>
    <x v="0"/>
    <x v="1"/>
    <x v="1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1"/>
    <x v="0"/>
    <x v="1"/>
    <x v="1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1"/>
    <x v="0"/>
    <x v="1"/>
    <x v="1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1"/>
    <x v="0"/>
    <x v="1"/>
    <x v="1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1"/>
    <x v="0"/>
    <x v="1"/>
    <x v="1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1"/>
    <x v="0"/>
    <x v="1"/>
    <x v="1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1"/>
    <x v="0"/>
    <x v="1"/>
    <x v="1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1"/>
    <x v="0"/>
    <x v="1"/>
    <x v="1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1"/>
    <x v="0"/>
    <x v="1"/>
    <x v="1"/>
    <x v="1"/>
    <x v="6"/>
    <x v="0"/>
    <x v="0"/>
    <x v="0"/>
    <x v="0"/>
    <x v="11"/>
    <x v="11"/>
    <x v="4"/>
    <x v="5"/>
    <x v="5"/>
    <x v="7"/>
    <x v="7"/>
    <n v="95.4809773494148"/>
    <x v="0"/>
    <x v="0"/>
    <x v="1"/>
    <x v="4"/>
    <x v="5"/>
    <x v="7"/>
    <n v="104.07426531086215"/>
  </r>
  <r>
    <x v="1"/>
    <x v="0"/>
    <x v="1"/>
    <x v="1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1"/>
    <x v="0"/>
    <x v="1"/>
    <x v="1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1"/>
    <x v="0"/>
    <x v="1"/>
    <x v="1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1"/>
    <x v="0"/>
    <x v="1"/>
    <x v="1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1"/>
    <x v="0"/>
    <x v="1"/>
    <x v="1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1"/>
    <x v="0"/>
    <x v="1"/>
    <x v="1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1"/>
    <x v="0"/>
    <x v="1"/>
    <x v="1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1"/>
    <x v="0"/>
    <x v="1"/>
    <x v="1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1"/>
    <x v="0"/>
    <x v="1"/>
    <x v="1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1"/>
    <x v="0"/>
    <x v="1"/>
    <x v="1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1"/>
    <x v="0"/>
    <x v="1"/>
    <x v="1"/>
    <x v="1"/>
    <x v="6"/>
    <x v="0"/>
    <x v="0"/>
    <x v="3"/>
    <x v="3"/>
    <x v="12"/>
    <x v="12"/>
    <x v="3"/>
    <x v="7"/>
    <x v="7"/>
    <x v="40"/>
    <x v="40"/>
    <n v="28.108329999999999"/>
    <x v="1"/>
    <x v="2"/>
    <x v="5"/>
    <x v="7"/>
    <x v="11"/>
    <x v="22"/>
    <n v="30.638079700000002"/>
  </r>
  <r>
    <x v="1"/>
    <x v="0"/>
    <x v="1"/>
    <x v="1"/>
    <x v="1"/>
    <x v="6"/>
    <x v="0"/>
    <x v="0"/>
    <x v="3"/>
    <x v="3"/>
    <x v="12"/>
    <x v="12"/>
    <x v="1"/>
    <x v="8"/>
    <x v="8"/>
    <x v="40"/>
    <x v="40"/>
    <n v="18.666119999999999"/>
    <x v="1"/>
    <x v="2"/>
    <x v="5"/>
    <x v="7"/>
    <x v="11"/>
    <x v="22"/>
    <n v="20.3460708"/>
  </r>
  <r>
    <x v="1"/>
    <x v="0"/>
    <x v="1"/>
    <x v="1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1"/>
    <x v="0"/>
    <x v="1"/>
    <x v="1"/>
    <x v="1"/>
    <x v="6"/>
    <x v="0"/>
    <x v="0"/>
    <x v="3"/>
    <x v="3"/>
    <x v="12"/>
    <x v="12"/>
    <x v="2"/>
    <x v="10"/>
    <x v="10"/>
    <x v="40"/>
    <x v="40"/>
    <n v="0.64575000000000005"/>
    <x v="1"/>
    <x v="2"/>
    <x v="5"/>
    <x v="7"/>
    <x v="11"/>
    <x v="22"/>
    <n v="0.70386750000000009"/>
  </r>
  <r>
    <x v="1"/>
    <x v="0"/>
    <x v="1"/>
    <x v="1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1"/>
    <x v="0"/>
    <x v="1"/>
    <x v="1"/>
    <x v="1"/>
    <x v="6"/>
    <x v="0"/>
    <x v="0"/>
    <x v="3"/>
    <x v="3"/>
    <x v="12"/>
    <x v="12"/>
    <x v="4"/>
    <x v="5"/>
    <x v="5"/>
    <x v="40"/>
    <x v="40"/>
    <n v="37.964199999999998"/>
    <x v="1"/>
    <x v="2"/>
    <x v="5"/>
    <x v="7"/>
    <x v="11"/>
    <x v="22"/>
    <n v="41.380977999999999"/>
  </r>
  <r>
    <x v="1"/>
    <x v="0"/>
    <x v="1"/>
    <x v="1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1"/>
    <x v="0"/>
    <x v="1"/>
    <x v="1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1"/>
    <x v="0"/>
    <x v="1"/>
    <x v="1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1"/>
    <x v="0"/>
    <x v="1"/>
    <x v="1"/>
    <x v="1"/>
    <x v="6"/>
    <x v="0"/>
    <x v="0"/>
    <x v="3"/>
    <x v="3"/>
    <x v="13"/>
    <x v="13"/>
    <x v="2"/>
    <x v="2"/>
    <x v="2"/>
    <x v="40"/>
    <x v="40"/>
    <n v="1998.5507500000001"/>
    <x v="1"/>
    <x v="2"/>
    <x v="5"/>
    <x v="7"/>
    <x v="11"/>
    <x v="22"/>
    <n v="2178.4203175000002"/>
  </r>
  <r>
    <x v="1"/>
    <x v="0"/>
    <x v="1"/>
    <x v="1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1"/>
    <x v="0"/>
    <x v="1"/>
    <x v="1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1"/>
    <x v="0"/>
    <x v="1"/>
    <x v="1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1"/>
    <x v="0"/>
    <x v="1"/>
    <x v="1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1"/>
    <x v="0"/>
    <x v="1"/>
    <x v="1"/>
    <x v="1"/>
    <x v="6"/>
    <x v="0"/>
    <x v="0"/>
    <x v="3"/>
    <x v="3"/>
    <x v="13"/>
    <x v="13"/>
    <x v="1"/>
    <x v="8"/>
    <x v="8"/>
    <x v="40"/>
    <x v="40"/>
    <n v="114.72511"/>
    <x v="1"/>
    <x v="2"/>
    <x v="5"/>
    <x v="7"/>
    <x v="11"/>
    <x v="22"/>
    <n v="125.05036990000001"/>
  </r>
  <r>
    <x v="1"/>
    <x v="0"/>
    <x v="1"/>
    <x v="1"/>
    <x v="1"/>
    <x v="6"/>
    <x v="0"/>
    <x v="0"/>
    <x v="3"/>
    <x v="3"/>
    <x v="13"/>
    <x v="13"/>
    <x v="4"/>
    <x v="5"/>
    <x v="5"/>
    <x v="40"/>
    <x v="40"/>
    <n v="50.660699999999999"/>
    <x v="1"/>
    <x v="2"/>
    <x v="5"/>
    <x v="7"/>
    <x v="11"/>
    <x v="22"/>
    <n v="55.220162999999999"/>
  </r>
  <r>
    <x v="1"/>
    <x v="0"/>
    <x v="1"/>
    <x v="1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1"/>
    <x v="0"/>
    <x v="1"/>
    <x v="1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1"/>
    <x v="0"/>
    <x v="1"/>
    <x v="1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1"/>
    <x v="0"/>
    <x v="1"/>
    <x v="1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1"/>
    <x v="0"/>
    <x v="1"/>
    <x v="1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1"/>
    <x v="0"/>
    <x v="1"/>
    <x v="1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1"/>
    <x v="0"/>
    <x v="1"/>
    <x v="1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1"/>
    <x v="0"/>
    <x v="1"/>
    <x v="1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1"/>
    <x v="0"/>
    <x v="1"/>
    <x v="1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1"/>
    <x v="0"/>
    <x v="1"/>
    <x v="1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1"/>
    <x v="0"/>
    <x v="1"/>
    <x v="1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1"/>
    <x v="0"/>
    <x v="1"/>
    <x v="1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1"/>
    <x v="0"/>
    <x v="1"/>
    <x v="1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1"/>
    <x v="0"/>
    <x v="1"/>
    <x v="1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1"/>
    <x v="0"/>
    <x v="1"/>
    <x v="1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1"/>
    <x v="0"/>
    <x v="1"/>
    <x v="1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1"/>
    <x v="0"/>
    <x v="1"/>
    <x v="1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1"/>
    <x v="0"/>
    <x v="1"/>
    <x v="1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1"/>
    <x v="0"/>
    <x v="1"/>
    <x v="1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1"/>
    <x v="0"/>
    <x v="1"/>
    <x v="1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1"/>
    <x v="0"/>
    <x v="1"/>
    <x v="1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1"/>
    <x v="0"/>
    <x v="1"/>
    <x v="1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1"/>
    <x v="0"/>
    <x v="1"/>
    <x v="1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1"/>
    <x v="0"/>
    <x v="1"/>
    <x v="1"/>
    <x v="1"/>
    <x v="6"/>
    <x v="0"/>
    <x v="0"/>
    <x v="2"/>
    <x v="2"/>
    <x v="14"/>
    <x v="14"/>
    <x v="4"/>
    <x v="5"/>
    <x v="5"/>
    <x v="40"/>
    <x v="40"/>
    <n v="53.141869999999997"/>
    <x v="1"/>
    <x v="2"/>
    <x v="5"/>
    <x v="7"/>
    <x v="11"/>
    <x v="22"/>
    <n v="57.924638299999998"/>
  </r>
  <r>
    <x v="1"/>
    <x v="0"/>
    <x v="1"/>
    <x v="1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1"/>
    <x v="0"/>
    <x v="1"/>
    <x v="1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1"/>
    <x v="0"/>
    <x v="1"/>
    <x v="1"/>
    <x v="1"/>
    <x v="6"/>
    <x v="0"/>
    <x v="0"/>
    <x v="2"/>
    <x v="2"/>
    <x v="15"/>
    <x v="15"/>
    <x v="3"/>
    <x v="3"/>
    <x v="3"/>
    <x v="40"/>
    <x v="40"/>
    <n v="1127.94174"/>
    <x v="1"/>
    <x v="2"/>
    <x v="5"/>
    <x v="7"/>
    <x v="11"/>
    <x v="22"/>
    <n v="1229.4564966"/>
  </r>
  <r>
    <x v="1"/>
    <x v="0"/>
    <x v="1"/>
    <x v="1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1"/>
    <x v="0"/>
    <x v="1"/>
    <x v="1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1"/>
    <x v="0"/>
    <x v="1"/>
    <x v="1"/>
    <x v="1"/>
    <x v="6"/>
    <x v="0"/>
    <x v="0"/>
    <x v="2"/>
    <x v="2"/>
    <x v="15"/>
    <x v="15"/>
    <x v="0"/>
    <x v="4"/>
    <x v="4"/>
    <x v="40"/>
    <x v="40"/>
    <n v="2114.0172299999999"/>
    <x v="1"/>
    <x v="2"/>
    <x v="5"/>
    <x v="7"/>
    <x v="11"/>
    <x v="22"/>
    <n v="2304.2787807"/>
  </r>
  <r>
    <x v="1"/>
    <x v="0"/>
    <x v="1"/>
    <x v="1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1"/>
    <x v="0"/>
    <x v="1"/>
    <x v="1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1"/>
    <x v="0"/>
    <x v="1"/>
    <x v="1"/>
    <x v="1"/>
    <x v="6"/>
    <x v="0"/>
    <x v="0"/>
    <x v="2"/>
    <x v="2"/>
    <x v="15"/>
    <x v="15"/>
    <x v="2"/>
    <x v="2"/>
    <x v="2"/>
    <x v="40"/>
    <x v="40"/>
    <n v="1088.5375200000001"/>
    <x v="1"/>
    <x v="2"/>
    <x v="5"/>
    <x v="7"/>
    <x v="11"/>
    <x v="22"/>
    <n v="1186.5058968000001"/>
  </r>
  <r>
    <x v="1"/>
    <x v="0"/>
    <x v="1"/>
    <x v="1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1"/>
    <x v="0"/>
    <x v="1"/>
    <x v="1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1"/>
    <x v="0"/>
    <x v="1"/>
    <x v="1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1"/>
    <x v="0"/>
    <x v="1"/>
    <x v="1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1"/>
    <x v="0"/>
    <x v="1"/>
    <x v="1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1"/>
    <x v="0"/>
    <x v="1"/>
    <x v="1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1"/>
    <x v="0"/>
    <x v="1"/>
    <x v="1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1"/>
    <x v="0"/>
    <x v="1"/>
    <x v="1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1"/>
    <x v="0"/>
    <x v="1"/>
    <x v="1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1"/>
    <x v="0"/>
    <x v="1"/>
    <x v="1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1"/>
    <x v="0"/>
    <x v="1"/>
    <x v="1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1"/>
    <x v="0"/>
    <x v="1"/>
    <x v="1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1"/>
    <x v="0"/>
    <x v="1"/>
    <x v="1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1"/>
    <x v="0"/>
    <x v="1"/>
    <x v="1"/>
    <x v="1"/>
    <x v="6"/>
    <x v="0"/>
    <x v="0"/>
    <x v="2"/>
    <x v="2"/>
    <x v="16"/>
    <x v="16"/>
    <x v="2"/>
    <x v="2"/>
    <x v="2"/>
    <x v="40"/>
    <x v="40"/>
    <n v="598.59312"/>
    <x v="1"/>
    <x v="2"/>
    <x v="5"/>
    <x v="7"/>
    <x v="11"/>
    <x v="22"/>
    <n v="652.46650080000006"/>
  </r>
  <r>
    <x v="1"/>
    <x v="0"/>
    <x v="1"/>
    <x v="1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1"/>
    <x v="0"/>
    <x v="1"/>
    <x v="1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1"/>
    <x v="0"/>
    <x v="1"/>
    <x v="1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1"/>
    <x v="0"/>
    <x v="1"/>
    <x v="1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1"/>
    <x v="0"/>
    <x v="1"/>
    <x v="1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1"/>
    <x v="0"/>
    <x v="1"/>
    <x v="1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1"/>
    <x v="0"/>
    <x v="1"/>
    <x v="1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1"/>
    <x v="0"/>
    <x v="1"/>
    <x v="1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1"/>
    <x v="0"/>
    <x v="1"/>
    <x v="1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1"/>
    <x v="0"/>
    <x v="1"/>
    <x v="1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1"/>
    <x v="0"/>
    <x v="1"/>
    <x v="1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1"/>
    <x v="0"/>
    <x v="1"/>
    <x v="1"/>
    <x v="1"/>
    <x v="6"/>
    <x v="0"/>
    <x v="0"/>
    <x v="2"/>
    <x v="2"/>
    <x v="17"/>
    <x v="17"/>
    <x v="3"/>
    <x v="3"/>
    <x v="3"/>
    <x v="40"/>
    <x v="40"/>
    <n v="332.05221"/>
    <x v="1"/>
    <x v="2"/>
    <x v="5"/>
    <x v="7"/>
    <x v="11"/>
    <x v="22"/>
    <n v="361.93690890000005"/>
  </r>
  <r>
    <x v="1"/>
    <x v="0"/>
    <x v="1"/>
    <x v="1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1"/>
    <x v="0"/>
    <x v="1"/>
    <x v="1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1"/>
    <x v="0"/>
    <x v="1"/>
    <x v="1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1"/>
    <x v="0"/>
    <x v="1"/>
    <x v="1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1"/>
    <x v="0"/>
    <x v="1"/>
    <x v="1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1"/>
    <x v="0"/>
    <x v="1"/>
    <x v="1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1"/>
    <x v="0"/>
    <x v="1"/>
    <x v="1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1"/>
    <x v="0"/>
    <x v="1"/>
    <x v="1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1"/>
    <x v="0"/>
    <x v="1"/>
    <x v="1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1"/>
    <x v="0"/>
    <x v="1"/>
    <x v="1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1"/>
    <x v="0"/>
    <x v="1"/>
    <x v="1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1"/>
    <x v="0"/>
    <x v="1"/>
    <x v="1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1"/>
    <x v="0"/>
    <x v="1"/>
    <x v="1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1"/>
    <x v="0"/>
    <x v="1"/>
    <x v="1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1"/>
    <x v="0"/>
    <x v="1"/>
    <x v="1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1"/>
    <x v="0"/>
    <x v="1"/>
    <x v="1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1"/>
    <x v="0"/>
    <x v="1"/>
    <x v="1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1"/>
    <x v="0"/>
    <x v="1"/>
    <x v="1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1"/>
    <x v="0"/>
    <x v="1"/>
    <x v="1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1"/>
    <x v="0"/>
    <x v="1"/>
    <x v="1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1"/>
    <x v="0"/>
    <x v="1"/>
    <x v="1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1"/>
    <x v="0"/>
    <x v="1"/>
    <x v="1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1"/>
    <x v="0"/>
    <x v="1"/>
    <x v="1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1"/>
    <x v="0"/>
    <x v="1"/>
    <x v="1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1"/>
    <x v="0"/>
    <x v="1"/>
    <x v="1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1"/>
    <x v="0"/>
    <x v="1"/>
    <x v="1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1"/>
    <x v="0"/>
    <x v="1"/>
    <x v="1"/>
    <x v="1"/>
    <x v="6"/>
    <x v="0"/>
    <x v="0"/>
    <x v="2"/>
    <x v="2"/>
    <x v="17"/>
    <x v="17"/>
    <x v="3"/>
    <x v="7"/>
    <x v="7"/>
    <x v="7"/>
    <x v="7"/>
    <n v="942.37363760597202"/>
    <x v="0"/>
    <x v="0"/>
    <x v="1"/>
    <x v="4"/>
    <x v="5"/>
    <x v="7"/>
    <n v="1027.1872649905097"/>
  </r>
  <r>
    <x v="1"/>
    <x v="0"/>
    <x v="1"/>
    <x v="1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1"/>
    <x v="0"/>
    <x v="1"/>
    <x v="1"/>
    <x v="1"/>
    <x v="6"/>
    <x v="0"/>
    <x v="0"/>
    <x v="2"/>
    <x v="2"/>
    <x v="17"/>
    <x v="17"/>
    <x v="1"/>
    <x v="8"/>
    <x v="8"/>
    <x v="7"/>
    <x v="7"/>
    <n v="77.356277001457599"/>
    <x v="0"/>
    <x v="0"/>
    <x v="1"/>
    <x v="4"/>
    <x v="5"/>
    <x v="7"/>
    <n v="84.31834193158879"/>
  </r>
  <r>
    <x v="1"/>
    <x v="0"/>
    <x v="1"/>
    <x v="1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1"/>
    <x v="0"/>
    <x v="1"/>
    <x v="1"/>
    <x v="1"/>
    <x v="6"/>
    <x v="0"/>
    <x v="0"/>
    <x v="2"/>
    <x v="2"/>
    <x v="17"/>
    <x v="17"/>
    <x v="0"/>
    <x v="9"/>
    <x v="9"/>
    <x v="7"/>
    <x v="7"/>
    <n v="896.37748429707199"/>
    <x v="0"/>
    <x v="0"/>
    <x v="1"/>
    <x v="4"/>
    <x v="5"/>
    <x v="7"/>
    <n v="977.05145788380855"/>
  </r>
  <r>
    <x v="1"/>
    <x v="0"/>
    <x v="1"/>
    <x v="1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1"/>
    <x v="0"/>
    <x v="1"/>
    <x v="1"/>
    <x v="1"/>
    <x v="6"/>
    <x v="0"/>
    <x v="0"/>
    <x v="2"/>
    <x v="2"/>
    <x v="17"/>
    <x v="17"/>
    <x v="2"/>
    <x v="10"/>
    <x v="10"/>
    <x v="7"/>
    <x v="7"/>
    <n v="246.68059581235201"/>
    <x v="0"/>
    <x v="0"/>
    <x v="1"/>
    <x v="4"/>
    <x v="5"/>
    <x v="7"/>
    <n v="268.88184943546372"/>
  </r>
  <r>
    <x v="1"/>
    <x v="0"/>
    <x v="1"/>
    <x v="1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1"/>
    <x v="0"/>
    <x v="1"/>
    <x v="1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1"/>
    <x v="0"/>
    <x v="1"/>
    <x v="1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1"/>
    <x v="0"/>
    <x v="1"/>
    <x v="1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1"/>
    <x v="0"/>
    <x v="1"/>
    <x v="1"/>
    <x v="1"/>
    <x v="6"/>
    <x v="0"/>
    <x v="0"/>
    <x v="2"/>
    <x v="2"/>
    <x v="17"/>
    <x v="17"/>
    <x v="4"/>
    <x v="5"/>
    <x v="5"/>
    <x v="7"/>
    <x v="7"/>
    <n v="552.72137280781806"/>
    <x v="0"/>
    <x v="0"/>
    <x v="1"/>
    <x v="4"/>
    <x v="5"/>
    <x v="7"/>
    <n v="602.46629636052171"/>
  </r>
  <r>
    <x v="1"/>
    <x v="0"/>
    <x v="1"/>
    <x v="1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1"/>
    <x v="0"/>
    <x v="1"/>
    <x v="1"/>
    <x v="1"/>
    <x v="6"/>
    <x v="0"/>
    <x v="0"/>
    <x v="2"/>
    <x v="2"/>
    <x v="17"/>
    <x v="17"/>
    <x v="4"/>
    <x v="5"/>
    <x v="5"/>
    <x v="40"/>
    <x v="40"/>
    <n v="1872.1048900000001"/>
    <x v="1"/>
    <x v="2"/>
    <x v="5"/>
    <x v="7"/>
    <x v="11"/>
    <x v="22"/>
    <n v="2040.5943301000002"/>
  </r>
  <r>
    <x v="1"/>
    <x v="0"/>
    <x v="1"/>
    <x v="1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1"/>
    <x v="0"/>
    <x v="1"/>
    <x v="1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1"/>
    <x v="0"/>
    <x v="1"/>
    <x v="1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1"/>
    <x v="0"/>
    <x v="1"/>
    <x v="1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1"/>
    <x v="0"/>
    <x v="1"/>
    <x v="1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1"/>
    <x v="0"/>
    <x v="1"/>
    <x v="1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1"/>
    <x v="0"/>
    <x v="1"/>
    <x v="1"/>
    <x v="1"/>
    <x v="7"/>
    <x v="0"/>
    <x v="0"/>
    <x v="0"/>
    <x v="0"/>
    <x v="0"/>
    <x v="0"/>
    <x v="3"/>
    <x v="3"/>
    <x v="3"/>
    <x v="5"/>
    <x v="5"/>
    <n v="25.921398773203101"/>
    <x v="0"/>
    <x v="0"/>
    <x v="1"/>
    <x v="1"/>
    <x v="1"/>
    <x v="5"/>
    <n v="28.254324662791383"/>
  </r>
  <r>
    <x v="1"/>
    <x v="0"/>
    <x v="1"/>
    <x v="1"/>
    <x v="1"/>
    <x v="7"/>
    <x v="0"/>
    <x v="0"/>
    <x v="0"/>
    <x v="0"/>
    <x v="0"/>
    <x v="0"/>
    <x v="3"/>
    <x v="3"/>
    <x v="3"/>
    <x v="9"/>
    <x v="9"/>
    <n v="4.4036697247680001"/>
    <x v="0"/>
    <x v="0"/>
    <x v="1"/>
    <x v="4"/>
    <x v="5"/>
    <x v="9"/>
    <n v="4.7999999999971203"/>
  </r>
  <r>
    <x v="1"/>
    <x v="0"/>
    <x v="1"/>
    <x v="1"/>
    <x v="1"/>
    <x v="7"/>
    <x v="0"/>
    <x v="0"/>
    <x v="0"/>
    <x v="0"/>
    <x v="0"/>
    <x v="0"/>
    <x v="3"/>
    <x v="3"/>
    <x v="3"/>
    <x v="11"/>
    <x v="11"/>
    <n v="261.68714999999997"/>
    <x v="0"/>
    <x v="0"/>
    <x v="3"/>
    <x v="5"/>
    <x v="7"/>
    <x v="11"/>
    <n v="285.23899349999999"/>
  </r>
  <r>
    <x v="1"/>
    <x v="0"/>
    <x v="1"/>
    <x v="1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1"/>
    <x v="0"/>
    <x v="1"/>
    <x v="1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1"/>
    <x v="0"/>
    <x v="1"/>
    <x v="1"/>
    <x v="1"/>
    <x v="7"/>
    <x v="0"/>
    <x v="0"/>
    <x v="0"/>
    <x v="0"/>
    <x v="0"/>
    <x v="0"/>
    <x v="0"/>
    <x v="4"/>
    <x v="4"/>
    <x v="5"/>
    <x v="5"/>
    <n v="20.812134969483299"/>
    <x v="0"/>
    <x v="0"/>
    <x v="1"/>
    <x v="1"/>
    <x v="1"/>
    <x v="5"/>
    <n v="22.685227116736797"/>
  </r>
  <r>
    <x v="1"/>
    <x v="0"/>
    <x v="1"/>
    <x v="1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1"/>
    <x v="0"/>
    <x v="1"/>
    <x v="1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1"/>
    <x v="0"/>
    <x v="1"/>
    <x v="1"/>
    <x v="1"/>
    <x v="7"/>
    <x v="0"/>
    <x v="0"/>
    <x v="0"/>
    <x v="0"/>
    <x v="0"/>
    <x v="0"/>
    <x v="0"/>
    <x v="4"/>
    <x v="4"/>
    <x v="27"/>
    <x v="27"/>
    <n v="45.820520271241698"/>
    <x v="0"/>
    <x v="0"/>
    <x v="1"/>
    <x v="3"/>
    <x v="3"/>
    <x v="19"/>
    <n v="49.944367095653455"/>
  </r>
  <r>
    <x v="1"/>
    <x v="0"/>
    <x v="1"/>
    <x v="1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1"/>
    <x v="0"/>
    <x v="1"/>
    <x v="1"/>
    <x v="1"/>
    <x v="7"/>
    <x v="0"/>
    <x v="0"/>
    <x v="0"/>
    <x v="0"/>
    <x v="0"/>
    <x v="0"/>
    <x v="2"/>
    <x v="2"/>
    <x v="2"/>
    <x v="9"/>
    <x v="9"/>
    <n v="4.7614678899053997"/>
    <x v="0"/>
    <x v="0"/>
    <x v="1"/>
    <x v="4"/>
    <x v="5"/>
    <x v="9"/>
    <n v="5.1899999999968864"/>
  </r>
  <r>
    <x v="1"/>
    <x v="0"/>
    <x v="1"/>
    <x v="1"/>
    <x v="1"/>
    <x v="7"/>
    <x v="0"/>
    <x v="0"/>
    <x v="0"/>
    <x v="0"/>
    <x v="0"/>
    <x v="0"/>
    <x v="2"/>
    <x v="2"/>
    <x v="2"/>
    <x v="10"/>
    <x v="10"/>
    <n v="2.3495412844022598"/>
    <x v="0"/>
    <x v="0"/>
    <x v="1"/>
    <x v="4"/>
    <x v="5"/>
    <x v="10"/>
    <n v="2.5609999999984634"/>
  </r>
  <r>
    <x v="1"/>
    <x v="0"/>
    <x v="1"/>
    <x v="1"/>
    <x v="1"/>
    <x v="7"/>
    <x v="0"/>
    <x v="0"/>
    <x v="0"/>
    <x v="0"/>
    <x v="0"/>
    <x v="0"/>
    <x v="2"/>
    <x v="2"/>
    <x v="2"/>
    <x v="11"/>
    <x v="11"/>
    <n v="535.33082000000002"/>
    <x v="0"/>
    <x v="0"/>
    <x v="3"/>
    <x v="5"/>
    <x v="7"/>
    <x v="11"/>
    <n v="583.51059380000004"/>
  </r>
  <r>
    <x v="1"/>
    <x v="0"/>
    <x v="1"/>
    <x v="1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1"/>
    <x v="0"/>
    <x v="1"/>
    <x v="1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1"/>
    <x v="0"/>
    <x v="1"/>
    <x v="1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1"/>
    <x v="0"/>
    <x v="1"/>
    <x v="1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1"/>
    <x v="0"/>
    <x v="1"/>
    <x v="1"/>
    <x v="1"/>
    <x v="7"/>
    <x v="0"/>
    <x v="0"/>
    <x v="0"/>
    <x v="0"/>
    <x v="0"/>
    <x v="0"/>
    <x v="2"/>
    <x v="2"/>
    <x v="2"/>
    <x v="84"/>
    <x v="84"/>
    <n v="3.5688073394474"/>
    <x v="0"/>
    <x v="0"/>
    <x v="1"/>
    <x v="1"/>
    <x v="1"/>
    <x v="23"/>
    <n v="3.8899999999976664"/>
  </r>
  <r>
    <x v="1"/>
    <x v="0"/>
    <x v="1"/>
    <x v="1"/>
    <x v="1"/>
    <x v="7"/>
    <x v="0"/>
    <x v="0"/>
    <x v="0"/>
    <x v="0"/>
    <x v="0"/>
    <x v="0"/>
    <x v="2"/>
    <x v="2"/>
    <x v="2"/>
    <x v="18"/>
    <x v="18"/>
    <n v="32.982999999999997"/>
    <x v="0"/>
    <x v="0"/>
    <x v="0"/>
    <x v="0"/>
    <x v="4"/>
    <x v="18"/>
    <n v="35.95147"/>
  </r>
  <r>
    <x v="1"/>
    <x v="0"/>
    <x v="1"/>
    <x v="1"/>
    <x v="1"/>
    <x v="7"/>
    <x v="0"/>
    <x v="0"/>
    <x v="0"/>
    <x v="0"/>
    <x v="0"/>
    <x v="0"/>
    <x v="2"/>
    <x v="2"/>
    <x v="2"/>
    <x v="27"/>
    <x v="27"/>
    <n v="2.4774774775299999"/>
    <x v="0"/>
    <x v="0"/>
    <x v="1"/>
    <x v="3"/>
    <x v="3"/>
    <x v="19"/>
    <n v="2.7004504505077001"/>
  </r>
  <r>
    <x v="1"/>
    <x v="0"/>
    <x v="1"/>
    <x v="1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1"/>
    <x v="0"/>
    <x v="1"/>
    <x v="1"/>
    <x v="1"/>
    <x v="7"/>
    <x v="0"/>
    <x v="0"/>
    <x v="0"/>
    <x v="0"/>
    <x v="0"/>
    <x v="0"/>
    <x v="2"/>
    <x v="2"/>
    <x v="2"/>
    <x v="1"/>
    <x v="1"/>
    <n v="87.121098243887204"/>
    <x v="0"/>
    <x v="0"/>
    <x v="1"/>
    <x v="1"/>
    <x v="1"/>
    <x v="1"/>
    <n v="94.961997085837055"/>
  </r>
  <r>
    <x v="1"/>
    <x v="0"/>
    <x v="1"/>
    <x v="1"/>
    <x v="1"/>
    <x v="7"/>
    <x v="0"/>
    <x v="0"/>
    <x v="0"/>
    <x v="0"/>
    <x v="0"/>
    <x v="0"/>
    <x v="1"/>
    <x v="6"/>
    <x v="6"/>
    <x v="11"/>
    <x v="11"/>
    <n v="51.19014"/>
    <x v="0"/>
    <x v="0"/>
    <x v="3"/>
    <x v="5"/>
    <x v="7"/>
    <x v="11"/>
    <n v="55.7972526"/>
  </r>
  <r>
    <x v="1"/>
    <x v="0"/>
    <x v="1"/>
    <x v="1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1"/>
    <x v="0"/>
    <x v="1"/>
    <x v="1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1"/>
    <x v="0"/>
    <x v="1"/>
    <x v="1"/>
    <x v="1"/>
    <x v="7"/>
    <x v="0"/>
    <x v="0"/>
    <x v="0"/>
    <x v="0"/>
    <x v="0"/>
    <x v="0"/>
    <x v="0"/>
    <x v="9"/>
    <x v="9"/>
    <x v="27"/>
    <x v="27"/>
    <n v="47.707207208218598"/>
    <x v="0"/>
    <x v="0"/>
    <x v="1"/>
    <x v="3"/>
    <x v="3"/>
    <x v="19"/>
    <n v="52.000855856958275"/>
  </r>
  <r>
    <x v="1"/>
    <x v="0"/>
    <x v="1"/>
    <x v="1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1"/>
    <x v="0"/>
    <x v="1"/>
    <x v="1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1"/>
    <x v="0"/>
    <x v="1"/>
    <x v="1"/>
    <x v="1"/>
    <x v="7"/>
    <x v="0"/>
    <x v="0"/>
    <x v="0"/>
    <x v="0"/>
    <x v="3"/>
    <x v="3"/>
    <x v="2"/>
    <x v="2"/>
    <x v="2"/>
    <x v="5"/>
    <x v="5"/>
    <n v="3.53371165646857"/>
    <x v="0"/>
    <x v="0"/>
    <x v="1"/>
    <x v="1"/>
    <x v="1"/>
    <x v="5"/>
    <n v="3.8517457055507416"/>
  </r>
  <r>
    <x v="1"/>
    <x v="0"/>
    <x v="1"/>
    <x v="1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1"/>
    <x v="0"/>
    <x v="1"/>
    <x v="1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1"/>
    <x v="0"/>
    <x v="1"/>
    <x v="1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1"/>
    <x v="0"/>
    <x v="1"/>
    <x v="1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1"/>
    <x v="0"/>
    <x v="1"/>
    <x v="1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1"/>
    <x v="0"/>
    <x v="1"/>
    <x v="1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1"/>
    <x v="0"/>
    <x v="1"/>
    <x v="1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1"/>
    <x v="0"/>
    <x v="1"/>
    <x v="1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1"/>
    <x v="0"/>
    <x v="1"/>
    <x v="1"/>
    <x v="1"/>
    <x v="6"/>
    <x v="0"/>
    <x v="0"/>
    <x v="2"/>
    <x v="2"/>
    <x v="17"/>
    <x v="17"/>
    <x v="1"/>
    <x v="6"/>
    <x v="6"/>
    <x v="7"/>
    <x v="7"/>
    <n v="11.7601398057312"/>
    <x v="0"/>
    <x v="0"/>
    <x v="1"/>
    <x v="4"/>
    <x v="5"/>
    <x v="7"/>
    <n v="12.818552388247008"/>
  </r>
  <r>
    <x v="1"/>
    <x v="0"/>
    <x v="1"/>
    <x v="1"/>
    <x v="1"/>
    <x v="6"/>
    <x v="0"/>
    <x v="0"/>
    <x v="2"/>
    <x v="2"/>
    <x v="17"/>
    <x v="17"/>
    <x v="1"/>
    <x v="6"/>
    <x v="6"/>
    <x v="41"/>
    <x v="41"/>
    <n v="59.028115789621303"/>
    <x v="1"/>
    <x v="2"/>
    <x v="5"/>
    <x v="7"/>
    <x v="11"/>
    <x v="22"/>
    <n v="64.340646210687225"/>
  </r>
  <r>
    <x v="1"/>
    <x v="0"/>
    <x v="1"/>
    <x v="1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1"/>
    <x v="0"/>
    <x v="1"/>
    <x v="1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1"/>
    <x v="0"/>
    <x v="1"/>
    <x v="1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1"/>
    <x v="0"/>
    <x v="1"/>
    <x v="1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1"/>
    <x v="0"/>
    <x v="1"/>
    <x v="1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1"/>
    <x v="0"/>
    <x v="1"/>
    <x v="1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1"/>
    <x v="0"/>
    <x v="1"/>
    <x v="1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1"/>
    <x v="0"/>
    <x v="1"/>
    <x v="1"/>
    <x v="1"/>
    <x v="6"/>
    <x v="0"/>
    <x v="0"/>
    <x v="2"/>
    <x v="2"/>
    <x v="17"/>
    <x v="17"/>
    <x v="3"/>
    <x v="7"/>
    <x v="7"/>
    <x v="7"/>
    <x v="7"/>
    <n v="1036.2537883412199"/>
    <x v="0"/>
    <x v="0"/>
    <x v="1"/>
    <x v="4"/>
    <x v="5"/>
    <x v="7"/>
    <n v="1129.5166292919298"/>
  </r>
  <r>
    <x v="1"/>
    <x v="0"/>
    <x v="1"/>
    <x v="1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1"/>
    <x v="0"/>
    <x v="1"/>
    <x v="1"/>
    <x v="1"/>
    <x v="6"/>
    <x v="0"/>
    <x v="0"/>
    <x v="2"/>
    <x v="2"/>
    <x v="17"/>
    <x v="17"/>
    <x v="1"/>
    <x v="8"/>
    <x v="8"/>
    <x v="7"/>
    <x v="7"/>
    <n v="73.097570873201605"/>
    <x v="0"/>
    <x v="0"/>
    <x v="1"/>
    <x v="4"/>
    <x v="5"/>
    <x v="7"/>
    <n v="79.676352251789751"/>
  </r>
  <r>
    <x v="1"/>
    <x v="0"/>
    <x v="1"/>
    <x v="1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1"/>
    <x v="0"/>
    <x v="1"/>
    <x v="1"/>
    <x v="1"/>
    <x v="6"/>
    <x v="0"/>
    <x v="0"/>
    <x v="2"/>
    <x v="2"/>
    <x v="17"/>
    <x v="17"/>
    <x v="0"/>
    <x v="9"/>
    <x v="9"/>
    <x v="7"/>
    <x v="7"/>
    <n v="776.20001746951903"/>
    <x v="0"/>
    <x v="0"/>
    <x v="1"/>
    <x v="4"/>
    <x v="5"/>
    <x v="7"/>
    <n v="846.05801904177576"/>
  </r>
  <r>
    <x v="1"/>
    <x v="0"/>
    <x v="1"/>
    <x v="1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1"/>
    <x v="0"/>
    <x v="1"/>
    <x v="1"/>
    <x v="1"/>
    <x v="6"/>
    <x v="0"/>
    <x v="0"/>
    <x v="2"/>
    <x v="2"/>
    <x v="17"/>
    <x v="17"/>
    <x v="2"/>
    <x v="10"/>
    <x v="10"/>
    <x v="7"/>
    <x v="7"/>
    <n v="243.76131844465201"/>
    <x v="0"/>
    <x v="0"/>
    <x v="1"/>
    <x v="4"/>
    <x v="5"/>
    <x v="7"/>
    <n v="265.69983710467068"/>
  </r>
  <r>
    <x v="1"/>
    <x v="0"/>
    <x v="1"/>
    <x v="1"/>
    <x v="1"/>
    <x v="6"/>
    <x v="0"/>
    <x v="0"/>
    <x v="2"/>
    <x v="2"/>
    <x v="17"/>
    <x v="17"/>
    <x v="2"/>
    <x v="10"/>
    <x v="10"/>
    <x v="41"/>
    <x v="41"/>
    <n v="2.15393684211065"/>
    <x v="1"/>
    <x v="2"/>
    <x v="5"/>
    <x v="7"/>
    <x v="11"/>
    <x v="22"/>
    <n v="2.3477911579006085"/>
  </r>
  <r>
    <x v="1"/>
    <x v="0"/>
    <x v="1"/>
    <x v="1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1"/>
    <x v="0"/>
    <x v="1"/>
    <x v="1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1"/>
    <x v="0"/>
    <x v="1"/>
    <x v="1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1"/>
    <x v="0"/>
    <x v="1"/>
    <x v="1"/>
    <x v="1"/>
    <x v="6"/>
    <x v="0"/>
    <x v="0"/>
    <x v="2"/>
    <x v="2"/>
    <x v="17"/>
    <x v="17"/>
    <x v="4"/>
    <x v="5"/>
    <x v="5"/>
    <x v="7"/>
    <x v="7"/>
    <n v="212.586213590532"/>
    <x v="0"/>
    <x v="0"/>
    <x v="1"/>
    <x v="4"/>
    <x v="5"/>
    <x v="7"/>
    <n v="231.7189728136799"/>
  </r>
  <r>
    <x v="1"/>
    <x v="0"/>
    <x v="1"/>
    <x v="1"/>
    <x v="1"/>
    <x v="6"/>
    <x v="0"/>
    <x v="0"/>
    <x v="2"/>
    <x v="2"/>
    <x v="17"/>
    <x v="17"/>
    <x v="4"/>
    <x v="5"/>
    <x v="5"/>
    <x v="41"/>
    <x v="41"/>
    <n v="201.23561052681899"/>
    <x v="1"/>
    <x v="2"/>
    <x v="5"/>
    <x v="7"/>
    <x v="11"/>
    <x v="22"/>
    <n v="219.3468154742327"/>
  </r>
  <r>
    <x v="1"/>
    <x v="0"/>
    <x v="1"/>
    <x v="1"/>
    <x v="1"/>
    <x v="6"/>
    <x v="0"/>
    <x v="0"/>
    <x v="2"/>
    <x v="2"/>
    <x v="17"/>
    <x v="17"/>
    <x v="4"/>
    <x v="5"/>
    <x v="5"/>
    <x v="40"/>
    <x v="40"/>
    <n v="1788.96381"/>
    <x v="1"/>
    <x v="2"/>
    <x v="5"/>
    <x v="7"/>
    <x v="11"/>
    <x v="22"/>
    <n v="1949.9705529"/>
  </r>
  <r>
    <x v="1"/>
    <x v="0"/>
    <x v="1"/>
    <x v="1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1"/>
    <x v="0"/>
    <x v="1"/>
    <x v="1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1"/>
    <x v="0"/>
    <x v="1"/>
    <x v="1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1"/>
    <x v="0"/>
    <x v="1"/>
    <x v="1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1"/>
    <x v="0"/>
    <x v="1"/>
    <x v="1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1"/>
    <x v="0"/>
    <x v="1"/>
    <x v="1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2"/>
    <x v="0"/>
    <x v="2"/>
    <x v="2"/>
    <x v="0"/>
    <x v="0"/>
    <x v="0"/>
    <x v="0"/>
    <x v="0"/>
    <x v="0"/>
    <x v="2"/>
    <x v="2"/>
    <x v="2"/>
    <x v="2"/>
    <x v="2"/>
    <x v="2"/>
    <x v="2"/>
    <n v="0.19069724770631"/>
    <x v="0"/>
    <x v="1"/>
    <x v="2"/>
    <x v="2"/>
    <x v="13"/>
    <x v="2"/>
    <n v="0.20785999999987792"/>
  </r>
  <r>
    <x v="2"/>
    <x v="0"/>
    <x v="2"/>
    <x v="2"/>
    <x v="0"/>
    <x v="0"/>
    <x v="0"/>
    <x v="0"/>
    <x v="0"/>
    <x v="0"/>
    <x v="2"/>
    <x v="2"/>
    <x v="4"/>
    <x v="5"/>
    <x v="5"/>
    <x v="18"/>
    <x v="18"/>
    <n v="3.4297200000000001"/>
    <x v="0"/>
    <x v="0"/>
    <x v="0"/>
    <x v="0"/>
    <x v="4"/>
    <x v="18"/>
    <n v="3.7383948000000005"/>
  </r>
  <r>
    <x v="2"/>
    <x v="0"/>
    <x v="2"/>
    <x v="2"/>
    <x v="0"/>
    <x v="0"/>
    <x v="0"/>
    <x v="0"/>
    <x v="0"/>
    <x v="0"/>
    <x v="0"/>
    <x v="0"/>
    <x v="3"/>
    <x v="3"/>
    <x v="3"/>
    <x v="4"/>
    <x v="4"/>
    <n v="31.743972477045201"/>
    <x v="0"/>
    <x v="0"/>
    <x v="1"/>
    <x v="3"/>
    <x v="3"/>
    <x v="4"/>
    <n v="34.600929999979272"/>
  </r>
  <r>
    <x v="2"/>
    <x v="0"/>
    <x v="2"/>
    <x v="2"/>
    <x v="0"/>
    <x v="0"/>
    <x v="0"/>
    <x v="0"/>
    <x v="0"/>
    <x v="0"/>
    <x v="0"/>
    <x v="0"/>
    <x v="3"/>
    <x v="3"/>
    <x v="3"/>
    <x v="5"/>
    <x v="5"/>
    <n v="91.258576687810105"/>
    <x v="0"/>
    <x v="0"/>
    <x v="1"/>
    <x v="1"/>
    <x v="1"/>
    <x v="5"/>
    <n v="99.471848589713019"/>
  </r>
  <r>
    <x v="2"/>
    <x v="0"/>
    <x v="2"/>
    <x v="2"/>
    <x v="0"/>
    <x v="0"/>
    <x v="0"/>
    <x v="0"/>
    <x v="0"/>
    <x v="0"/>
    <x v="0"/>
    <x v="0"/>
    <x v="3"/>
    <x v="3"/>
    <x v="3"/>
    <x v="6"/>
    <x v="6"/>
    <n v="8.6850000000000005"/>
    <x v="0"/>
    <x v="0"/>
    <x v="0"/>
    <x v="0"/>
    <x v="4"/>
    <x v="6"/>
    <n v="9.4666500000000013"/>
  </r>
  <r>
    <x v="2"/>
    <x v="0"/>
    <x v="2"/>
    <x v="2"/>
    <x v="0"/>
    <x v="0"/>
    <x v="0"/>
    <x v="0"/>
    <x v="0"/>
    <x v="0"/>
    <x v="0"/>
    <x v="0"/>
    <x v="3"/>
    <x v="3"/>
    <x v="3"/>
    <x v="8"/>
    <x v="8"/>
    <n v="195.30920270395299"/>
    <x v="0"/>
    <x v="1"/>
    <x v="2"/>
    <x v="2"/>
    <x v="6"/>
    <x v="8"/>
    <n v="212.88703094730877"/>
  </r>
  <r>
    <x v="2"/>
    <x v="0"/>
    <x v="2"/>
    <x v="2"/>
    <x v="0"/>
    <x v="0"/>
    <x v="0"/>
    <x v="0"/>
    <x v="0"/>
    <x v="0"/>
    <x v="0"/>
    <x v="0"/>
    <x v="3"/>
    <x v="3"/>
    <x v="3"/>
    <x v="9"/>
    <x v="9"/>
    <n v="68.325788990784702"/>
    <x v="0"/>
    <x v="0"/>
    <x v="1"/>
    <x v="4"/>
    <x v="5"/>
    <x v="9"/>
    <n v="74.475109999955336"/>
  </r>
  <r>
    <x v="2"/>
    <x v="0"/>
    <x v="2"/>
    <x v="2"/>
    <x v="0"/>
    <x v="0"/>
    <x v="0"/>
    <x v="0"/>
    <x v="0"/>
    <x v="0"/>
    <x v="0"/>
    <x v="0"/>
    <x v="3"/>
    <x v="3"/>
    <x v="3"/>
    <x v="11"/>
    <x v="11"/>
    <n v="10.33535"/>
    <x v="0"/>
    <x v="0"/>
    <x v="3"/>
    <x v="5"/>
    <x v="7"/>
    <x v="11"/>
    <n v="11.265531500000002"/>
  </r>
  <r>
    <x v="2"/>
    <x v="0"/>
    <x v="2"/>
    <x v="2"/>
    <x v="0"/>
    <x v="0"/>
    <x v="0"/>
    <x v="0"/>
    <x v="0"/>
    <x v="0"/>
    <x v="0"/>
    <x v="0"/>
    <x v="3"/>
    <x v="3"/>
    <x v="3"/>
    <x v="12"/>
    <x v="12"/>
    <n v="185.68380232487601"/>
    <x v="0"/>
    <x v="0"/>
    <x v="0"/>
    <x v="0"/>
    <x v="8"/>
    <x v="12"/>
    <n v="202.39534453411486"/>
  </r>
  <r>
    <x v="2"/>
    <x v="0"/>
    <x v="2"/>
    <x v="2"/>
    <x v="0"/>
    <x v="0"/>
    <x v="0"/>
    <x v="0"/>
    <x v="0"/>
    <x v="0"/>
    <x v="0"/>
    <x v="0"/>
    <x v="3"/>
    <x v="3"/>
    <x v="3"/>
    <x v="16"/>
    <x v="16"/>
    <n v="605.75463999999999"/>
    <x v="0"/>
    <x v="0"/>
    <x v="3"/>
    <x v="5"/>
    <x v="9"/>
    <x v="16"/>
    <n v="660.27255760000003"/>
  </r>
  <r>
    <x v="2"/>
    <x v="0"/>
    <x v="2"/>
    <x v="2"/>
    <x v="0"/>
    <x v="0"/>
    <x v="0"/>
    <x v="0"/>
    <x v="0"/>
    <x v="0"/>
    <x v="0"/>
    <x v="0"/>
    <x v="3"/>
    <x v="3"/>
    <x v="3"/>
    <x v="2"/>
    <x v="2"/>
    <n v="3577.8574770620698"/>
    <x v="0"/>
    <x v="1"/>
    <x v="2"/>
    <x v="2"/>
    <x v="13"/>
    <x v="2"/>
    <n v="3899.8646499976562"/>
  </r>
  <r>
    <x v="2"/>
    <x v="0"/>
    <x v="2"/>
    <x v="2"/>
    <x v="0"/>
    <x v="0"/>
    <x v="0"/>
    <x v="0"/>
    <x v="0"/>
    <x v="0"/>
    <x v="0"/>
    <x v="0"/>
    <x v="0"/>
    <x v="4"/>
    <x v="4"/>
    <x v="5"/>
    <x v="5"/>
    <n v="445.53725153712799"/>
    <x v="0"/>
    <x v="0"/>
    <x v="1"/>
    <x v="1"/>
    <x v="1"/>
    <x v="5"/>
    <n v="485.63560417546955"/>
  </r>
  <r>
    <x v="2"/>
    <x v="0"/>
    <x v="2"/>
    <x v="2"/>
    <x v="0"/>
    <x v="0"/>
    <x v="0"/>
    <x v="0"/>
    <x v="0"/>
    <x v="0"/>
    <x v="0"/>
    <x v="0"/>
    <x v="0"/>
    <x v="4"/>
    <x v="4"/>
    <x v="6"/>
    <x v="6"/>
    <n v="28.486360000000001"/>
    <x v="0"/>
    <x v="0"/>
    <x v="0"/>
    <x v="0"/>
    <x v="4"/>
    <x v="6"/>
    <n v="31.050132400000003"/>
  </r>
  <r>
    <x v="2"/>
    <x v="0"/>
    <x v="2"/>
    <x v="2"/>
    <x v="0"/>
    <x v="0"/>
    <x v="0"/>
    <x v="0"/>
    <x v="0"/>
    <x v="0"/>
    <x v="0"/>
    <x v="0"/>
    <x v="0"/>
    <x v="4"/>
    <x v="4"/>
    <x v="7"/>
    <x v="7"/>
    <n v="0.91192660550404003"/>
    <x v="0"/>
    <x v="0"/>
    <x v="1"/>
    <x v="4"/>
    <x v="5"/>
    <x v="7"/>
    <n v="0.99399999999940369"/>
  </r>
  <r>
    <x v="2"/>
    <x v="0"/>
    <x v="2"/>
    <x v="2"/>
    <x v="0"/>
    <x v="0"/>
    <x v="0"/>
    <x v="0"/>
    <x v="0"/>
    <x v="0"/>
    <x v="0"/>
    <x v="0"/>
    <x v="0"/>
    <x v="4"/>
    <x v="4"/>
    <x v="8"/>
    <x v="8"/>
    <n v="712.97280405861704"/>
    <x v="0"/>
    <x v="1"/>
    <x v="2"/>
    <x v="2"/>
    <x v="6"/>
    <x v="8"/>
    <n v="777.14035642389263"/>
  </r>
  <r>
    <x v="2"/>
    <x v="0"/>
    <x v="2"/>
    <x v="2"/>
    <x v="0"/>
    <x v="0"/>
    <x v="0"/>
    <x v="0"/>
    <x v="0"/>
    <x v="0"/>
    <x v="0"/>
    <x v="0"/>
    <x v="0"/>
    <x v="4"/>
    <x v="4"/>
    <x v="9"/>
    <x v="9"/>
    <n v="40.6712935779573"/>
    <x v="0"/>
    <x v="0"/>
    <x v="1"/>
    <x v="4"/>
    <x v="5"/>
    <x v="9"/>
    <n v="44.331709999973462"/>
  </r>
  <r>
    <x v="2"/>
    <x v="0"/>
    <x v="2"/>
    <x v="2"/>
    <x v="0"/>
    <x v="0"/>
    <x v="0"/>
    <x v="0"/>
    <x v="0"/>
    <x v="0"/>
    <x v="0"/>
    <x v="0"/>
    <x v="0"/>
    <x v="4"/>
    <x v="4"/>
    <x v="10"/>
    <x v="10"/>
    <n v="14.4963302752207"/>
    <x v="0"/>
    <x v="0"/>
    <x v="1"/>
    <x v="4"/>
    <x v="5"/>
    <x v="10"/>
    <n v="15.800999999990564"/>
  </r>
  <r>
    <x v="2"/>
    <x v="0"/>
    <x v="2"/>
    <x v="2"/>
    <x v="0"/>
    <x v="0"/>
    <x v="0"/>
    <x v="0"/>
    <x v="0"/>
    <x v="0"/>
    <x v="0"/>
    <x v="0"/>
    <x v="0"/>
    <x v="4"/>
    <x v="4"/>
    <x v="31"/>
    <x v="31"/>
    <n v="111.674422018282"/>
    <x v="0"/>
    <x v="0"/>
    <x v="1"/>
    <x v="4"/>
    <x v="5"/>
    <x v="10"/>
    <n v="121.72511999992739"/>
  </r>
  <r>
    <x v="2"/>
    <x v="0"/>
    <x v="2"/>
    <x v="2"/>
    <x v="0"/>
    <x v="0"/>
    <x v="0"/>
    <x v="0"/>
    <x v="0"/>
    <x v="0"/>
    <x v="0"/>
    <x v="0"/>
    <x v="0"/>
    <x v="4"/>
    <x v="4"/>
    <x v="11"/>
    <x v="11"/>
    <n v="4.8014700000000001"/>
    <x v="0"/>
    <x v="0"/>
    <x v="3"/>
    <x v="5"/>
    <x v="7"/>
    <x v="11"/>
    <n v="5.2336023000000003"/>
  </r>
  <r>
    <x v="2"/>
    <x v="0"/>
    <x v="2"/>
    <x v="2"/>
    <x v="0"/>
    <x v="0"/>
    <x v="0"/>
    <x v="0"/>
    <x v="0"/>
    <x v="0"/>
    <x v="0"/>
    <x v="0"/>
    <x v="0"/>
    <x v="4"/>
    <x v="4"/>
    <x v="12"/>
    <x v="12"/>
    <n v="831.12123255498102"/>
    <x v="0"/>
    <x v="0"/>
    <x v="0"/>
    <x v="0"/>
    <x v="8"/>
    <x v="12"/>
    <n v="905.92214348492939"/>
  </r>
  <r>
    <x v="2"/>
    <x v="0"/>
    <x v="2"/>
    <x v="2"/>
    <x v="0"/>
    <x v="0"/>
    <x v="0"/>
    <x v="0"/>
    <x v="0"/>
    <x v="0"/>
    <x v="0"/>
    <x v="0"/>
    <x v="0"/>
    <x v="4"/>
    <x v="4"/>
    <x v="13"/>
    <x v="13"/>
    <n v="109.958"/>
    <x v="0"/>
    <x v="0"/>
    <x v="1"/>
    <x v="3"/>
    <x v="3"/>
    <x v="13"/>
    <n v="119.85422000000001"/>
  </r>
  <r>
    <x v="2"/>
    <x v="0"/>
    <x v="2"/>
    <x v="2"/>
    <x v="0"/>
    <x v="0"/>
    <x v="0"/>
    <x v="0"/>
    <x v="0"/>
    <x v="0"/>
    <x v="0"/>
    <x v="0"/>
    <x v="0"/>
    <x v="4"/>
    <x v="4"/>
    <x v="14"/>
    <x v="14"/>
    <n v="123.6651"/>
    <x v="0"/>
    <x v="0"/>
    <x v="0"/>
    <x v="0"/>
    <x v="8"/>
    <x v="14"/>
    <n v="134.79495900000001"/>
  </r>
  <r>
    <x v="2"/>
    <x v="0"/>
    <x v="2"/>
    <x v="2"/>
    <x v="0"/>
    <x v="0"/>
    <x v="0"/>
    <x v="0"/>
    <x v="0"/>
    <x v="0"/>
    <x v="0"/>
    <x v="0"/>
    <x v="0"/>
    <x v="4"/>
    <x v="4"/>
    <x v="22"/>
    <x v="22"/>
    <n v="21.505376343999998"/>
    <x v="0"/>
    <x v="0"/>
    <x v="0"/>
    <x v="0"/>
    <x v="0"/>
    <x v="0"/>
    <n v="23.440860214960001"/>
  </r>
  <r>
    <x v="2"/>
    <x v="0"/>
    <x v="2"/>
    <x v="2"/>
    <x v="0"/>
    <x v="0"/>
    <x v="0"/>
    <x v="0"/>
    <x v="0"/>
    <x v="0"/>
    <x v="0"/>
    <x v="0"/>
    <x v="0"/>
    <x v="4"/>
    <x v="4"/>
    <x v="16"/>
    <x v="16"/>
    <n v="785.06048999999996"/>
    <x v="0"/>
    <x v="0"/>
    <x v="3"/>
    <x v="5"/>
    <x v="9"/>
    <x v="16"/>
    <n v="855.71593410000003"/>
  </r>
  <r>
    <x v="2"/>
    <x v="0"/>
    <x v="2"/>
    <x v="2"/>
    <x v="0"/>
    <x v="0"/>
    <x v="0"/>
    <x v="0"/>
    <x v="0"/>
    <x v="0"/>
    <x v="0"/>
    <x v="0"/>
    <x v="0"/>
    <x v="4"/>
    <x v="4"/>
    <x v="17"/>
    <x v="17"/>
    <n v="2.6151200000000001"/>
    <x v="0"/>
    <x v="0"/>
    <x v="0"/>
    <x v="0"/>
    <x v="4"/>
    <x v="17"/>
    <n v="2.8504808000000001"/>
  </r>
  <r>
    <x v="2"/>
    <x v="0"/>
    <x v="2"/>
    <x v="2"/>
    <x v="0"/>
    <x v="0"/>
    <x v="0"/>
    <x v="0"/>
    <x v="0"/>
    <x v="0"/>
    <x v="0"/>
    <x v="0"/>
    <x v="0"/>
    <x v="4"/>
    <x v="4"/>
    <x v="21"/>
    <x v="21"/>
    <n v="164.197715596232"/>
    <x v="0"/>
    <x v="0"/>
    <x v="1"/>
    <x v="4"/>
    <x v="5"/>
    <x v="10"/>
    <n v="178.97550999989289"/>
  </r>
  <r>
    <x v="2"/>
    <x v="0"/>
    <x v="2"/>
    <x v="2"/>
    <x v="0"/>
    <x v="0"/>
    <x v="0"/>
    <x v="0"/>
    <x v="0"/>
    <x v="0"/>
    <x v="0"/>
    <x v="0"/>
    <x v="0"/>
    <x v="4"/>
    <x v="4"/>
    <x v="18"/>
    <x v="18"/>
    <n v="153.19069999999999"/>
    <x v="0"/>
    <x v="0"/>
    <x v="0"/>
    <x v="0"/>
    <x v="4"/>
    <x v="18"/>
    <n v="166.97786300000001"/>
  </r>
  <r>
    <x v="2"/>
    <x v="0"/>
    <x v="2"/>
    <x v="2"/>
    <x v="0"/>
    <x v="0"/>
    <x v="0"/>
    <x v="0"/>
    <x v="0"/>
    <x v="0"/>
    <x v="0"/>
    <x v="0"/>
    <x v="0"/>
    <x v="4"/>
    <x v="4"/>
    <x v="0"/>
    <x v="0"/>
    <n v="8.7146325622531808"/>
    <x v="0"/>
    <x v="0"/>
    <x v="0"/>
    <x v="0"/>
    <x v="0"/>
    <x v="0"/>
    <n v="9.4989494928559672"/>
  </r>
  <r>
    <x v="2"/>
    <x v="0"/>
    <x v="2"/>
    <x v="2"/>
    <x v="0"/>
    <x v="0"/>
    <x v="0"/>
    <x v="0"/>
    <x v="0"/>
    <x v="0"/>
    <x v="0"/>
    <x v="0"/>
    <x v="0"/>
    <x v="4"/>
    <x v="4"/>
    <x v="20"/>
    <x v="20"/>
    <n v="4.9994399999999999"/>
    <x v="0"/>
    <x v="0"/>
    <x v="1"/>
    <x v="3"/>
    <x v="3"/>
    <x v="13"/>
    <n v="5.4493895999999999"/>
  </r>
  <r>
    <x v="2"/>
    <x v="0"/>
    <x v="2"/>
    <x v="2"/>
    <x v="0"/>
    <x v="0"/>
    <x v="0"/>
    <x v="0"/>
    <x v="0"/>
    <x v="0"/>
    <x v="0"/>
    <x v="0"/>
    <x v="0"/>
    <x v="4"/>
    <x v="4"/>
    <x v="2"/>
    <x v="2"/>
    <n v="3624.6402568785602"/>
    <x v="0"/>
    <x v="1"/>
    <x v="2"/>
    <x v="2"/>
    <x v="13"/>
    <x v="2"/>
    <n v="3950.8578799976308"/>
  </r>
  <r>
    <x v="2"/>
    <x v="0"/>
    <x v="2"/>
    <x v="2"/>
    <x v="0"/>
    <x v="0"/>
    <x v="0"/>
    <x v="0"/>
    <x v="0"/>
    <x v="0"/>
    <x v="0"/>
    <x v="0"/>
    <x v="0"/>
    <x v="4"/>
    <x v="4"/>
    <x v="3"/>
    <x v="3"/>
    <n v="11.3379310335984"/>
    <x v="0"/>
    <x v="0"/>
    <x v="1"/>
    <x v="3"/>
    <x v="3"/>
    <x v="3"/>
    <n v="12.358344826622258"/>
  </r>
  <r>
    <x v="2"/>
    <x v="0"/>
    <x v="2"/>
    <x v="2"/>
    <x v="0"/>
    <x v="0"/>
    <x v="0"/>
    <x v="0"/>
    <x v="0"/>
    <x v="0"/>
    <x v="0"/>
    <x v="0"/>
    <x v="0"/>
    <x v="0"/>
    <x v="0"/>
    <x v="5"/>
    <x v="5"/>
    <n v="46.081785276423801"/>
    <x v="0"/>
    <x v="0"/>
    <x v="1"/>
    <x v="1"/>
    <x v="1"/>
    <x v="5"/>
    <n v="50.229145951301945"/>
  </r>
  <r>
    <x v="2"/>
    <x v="0"/>
    <x v="2"/>
    <x v="2"/>
    <x v="0"/>
    <x v="0"/>
    <x v="0"/>
    <x v="0"/>
    <x v="0"/>
    <x v="0"/>
    <x v="0"/>
    <x v="0"/>
    <x v="0"/>
    <x v="0"/>
    <x v="0"/>
    <x v="6"/>
    <x v="6"/>
    <n v="39.985210000000002"/>
    <x v="0"/>
    <x v="0"/>
    <x v="0"/>
    <x v="0"/>
    <x v="4"/>
    <x v="6"/>
    <n v="43.583878900000002"/>
  </r>
  <r>
    <x v="2"/>
    <x v="0"/>
    <x v="2"/>
    <x v="2"/>
    <x v="0"/>
    <x v="0"/>
    <x v="0"/>
    <x v="0"/>
    <x v="0"/>
    <x v="0"/>
    <x v="0"/>
    <x v="0"/>
    <x v="0"/>
    <x v="0"/>
    <x v="0"/>
    <x v="7"/>
    <x v="7"/>
    <n v="28.3903486238362"/>
    <x v="0"/>
    <x v="0"/>
    <x v="1"/>
    <x v="4"/>
    <x v="5"/>
    <x v="7"/>
    <n v="30.945479999981462"/>
  </r>
  <r>
    <x v="2"/>
    <x v="0"/>
    <x v="2"/>
    <x v="2"/>
    <x v="0"/>
    <x v="0"/>
    <x v="0"/>
    <x v="0"/>
    <x v="0"/>
    <x v="0"/>
    <x v="0"/>
    <x v="0"/>
    <x v="0"/>
    <x v="0"/>
    <x v="0"/>
    <x v="8"/>
    <x v="8"/>
    <n v="104.908682433104"/>
    <x v="0"/>
    <x v="1"/>
    <x v="2"/>
    <x v="2"/>
    <x v="6"/>
    <x v="8"/>
    <n v="114.35046385208338"/>
  </r>
  <r>
    <x v="2"/>
    <x v="0"/>
    <x v="2"/>
    <x v="2"/>
    <x v="0"/>
    <x v="0"/>
    <x v="0"/>
    <x v="0"/>
    <x v="0"/>
    <x v="0"/>
    <x v="0"/>
    <x v="0"/>
    <x v="0"/>
    <x v="0"/>
    <x v="0"/>
    <x v="9"/>
    <x v="9"/>
    <n v="12.635772202149401"/>
    <x v="0"/>
    <x v="0"/>
    <x v="1"/>
    <x v="4"/>
    <x v="5"/>
    <x v="9"/>
    <n v="13.772991700342848"/>
  </r>
  <r>
    <x v="2"/>
    <x v="0"/>
    <x v="2"/>
    <x v="2"/>
    <x v="0"/>
    <x v="0"/>
    <x v="0"/>
    <x v="0"/>
    <x v="0"/>
    <x v="0"/>
    <x v="0"/>
    <x v="0"/>
    <x v="0"/>
    <x v="0"/>
    <x v="0"/>
    <x v="10"/>
    <x v="10"/>
    <n v="36.877964113484701"/>
    <x v="0"/>
    <x v="0"/>
    <x v="1"/>
    <x v="4"/>
    <x v="5"/>
    <x v="10"/>
    <n v="40.19698088369833"/>
  </r>
  <r>
    <x v="2"/>
    <x v="0"/>
    <x v="2"/>
    <x v="2"/>
    <x v="0"/>
    <x v="0"/>
    <x v="0"/>
    <x v="0"/>
    <x v="0"/>
    <x v="0"/>
    <x v="0"/>
    <x v="0"/>
    <x v="0"/>
    <x v="0"/>
    <x v="0"/>
    <x v="55"/>
    <x v="55"/>
    <n v="0.42442201834837001"/>
    <x v="0"/>
    <x v="0"/>
    <x v="1"/>
    <x v="3"/>
    <x v="3"/>
    <x v="15"/>
    <n v="0.46261999999972336"/>
  </r>
  <r>
    <x v="2"/>
    <x v="0"/>
    <x v="2"/>
    <x v="2"/>
    <x v="0"/>
    <x v="0"/>
    <x v="0"/>
    <x v="0"/>
    <x v="0"/>
    <x v="0"/>
    <x v="0"/>
    <x v="0"/>
    <x v="0"/>
    <x v="0"/>
    <x v="0"/>
    <x v="11"/>
    <x v="11"/>
    <n v="11.552720000000001"/>
    <x v="0"/>
    <x v="0"/>
    <x v="3"/>
    <x v="5"/>
    <x v="7"/>
    <x v="11"/>
    <n v="12.592464800000002"/>
  </r>
  <r>
    <x v="2"/>
    <x v="0"/>
    <x v="2"/>
    <x v="2"/>
    <x v="0"/>
    <x v="0"/>
    <x v="0"/>
    <x v="0"/>
    <x v="0"/>
    <x v="0"/>
    <x v="0"/>
    <x v="0"/>
    <x v="0"/>
    <x v="0"/>
    <x v="0"/>
    <x v="12"/>
    <x v="12"/>
    <n v="679.41701162532502"/>
    <x v="0"/>
    <x v="0"/>
    <x v="0"/>
    <x v="0"/>
    <x v="8"/>
    <x v="12"/>
    <n v="740.56454267160427"/>
  </r>
  <r>
    <x v="2"/>
    <x v="0"/>
    <x v="2"/>
    <x v="2"/>
    <x v="0"/>
    <x v="0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2"/>
    <x v="0"/>
    <x v="2"/>
    <x v="2"/>
    <x v="0"/>
    <x v="0"/>
    <x v="0"/>
    <x v="0"/>
    <x v="0"/>
    <x v="0"/>
    <x v="0"/>
    <x v="0"/>
    <x v="0"/>
    <x v="0"/>
    <x v="0"/>
    <x v="14"/>
    <x v="14"/>
    <n v="33.973320000000001"/>
    <x v="0"/>
    <x v="0"/>
    <x v="0"/>
    <x v="0"/>
    <x v="8"/>
    <x v="14"/>
    <n v="37.030918800000002"/>
  </r>
  <r>
    <x v="2"/>
    <x v="0"/>
    <x v="2"/>
    <x v="2"/>
    <x v="0"/>
    <x v="0"/>
    <x v="0"/>
    <x v="0"/>
    <x v="0"/>
    <x v="0"/>
    <x v="0"/>
    <x v="0"/>
    <x v="0"/>
    <x v="0"/>
    <x v="0"/>
    <x v="22"/>
    <x v="22"/>
    <n v="3.7533266128882099"/>
    <x v="0"/>
    <x v="0"/>
    <x v="0"/>
    <x v="0"/>
    <x v="0"/>
    <x v="0"/>
    <n v="4.0911260080481489"/>
  </r>
  <r>
    <x v="2"/>
    <x v="0"/>
    <x v="2"/>
    <x v="2"/>
    <x v="0"/>
    <x v="0"/>
    <x v="0"/>
    <x v="0"/>
    <x v="0"/>
    <x v="0"/>
    <x v="0"/>
    <x v="0"/>
    <x v="0"/>
    <x v="0"/>
    <x v="0"/>
    <x v="23"/>
    <x v="23"/>
    <n v="2.7335045871543202"/>
    <x v="0"/>
    <x v="0"/>
    <x v="1"/>
    <x v="3"/>
    <x v="3"/>
    <x v="15"/>
    <n v="2.9795199999982094"/>
  </r>
  <r>
    <x v="2"/>
    <x v="0"/>
    <x v="2"/>
    <x v="2"/>
    <x v="0"/>
    <x v="0"/>
    <x v="0"/>
    <x v="0"/>
    <x v="0"/>
    <x v="0"/>
    <x v="0"/>
    <x v="0"/>
    <x v="0"/>
    <x v="0"/>
    <x v="0"/>
    <x v="24"/>
    <x v="24"/>
    <n v="2.61725688073237"/>
    <x v="0"/>
    <x v="0"/>
    <x v="1"/>
    <x v="3"/>
    <x v="3"/>
    <x v="4"/>
    <n v="2.8528099999982834"/>
  </r>
  <r>
    <x v="2"/>
    <x v="0"/>
    <x v="2"/>
    <x v="2"/>
    <x v="0"/>
    <x v="0"/>
    <x v="0"/>
    <x v="0"/>
    <x v="0"/>
    <x v="0"/>
    <x v="0"/>
    <x v="0"/>
    <x v="0"/>
    <x v="0"/>
    <x v="0"/>
    <x v="17"/>
    <x v="17"/>
    <n v="2.0815199999999998"/>
    <x v="0"/>
    <x v="0"/>
    <x v="0"/>
    <x v="0"/>
    <x v="4"/>
    <x v="17"/>
    <n v="2.2688568"/>
  </r>
  <r>
    <x v="2"/>
    <x v="0"/>
    <x v="2"/>
    <x v="2"/>
    <x v="0"/>
    <x v="0"/>
    <x v="0"/>
    <x v="0"/>
    <x v="0"/>
    <x v="0"/>
    <x v="0"/>
    <x v="0"/>
    <x v="0"/>
    <x v="0"/>
    <x v="0"/>
    <x v="21"/>
    <x v="21"/>
    <n v="7.4312660550414096"/>
    <x v="0"/>
    <x v="0"/>
    <x v="1"/>
    <x v="4"/>
    <x v="5"/>
    <x v="10"/>
    <n v="8.1000799999951365"/>
  </r>
  <r>
    <x v="2"/>
    <x v="0"/>
    <x v="2"/>
    <x v="2"/>
    <x v="0"/>
    <x v="0"/>
    <x v="0"/>
    <x v="0"/>
    <x v="0"/>
    <x v="0"/>
    <x v="0"/>
    <x v="0"/>
    <x v="0"/>
    <x v="0"/>
    <x v="0"/>
    <x v="18"/>
    <x v="18"/>
    <n v="18.260819999999999"/>
    <x v="0"/>
    <x v="0"/>
    <x v="0"/>
    <x v="0"/>
    <x v="4"/>
    <x v="18"/>
    <n v="19.904293800000001"/>
  </r>
  <r>
    <x v="2"/>
    <x v="0"/>
    <x v="2"/>
    <x v="2"/>
    <x v="0"/>
    <x v="0"/>
    <x v="0"/>
    <x v="0"/>
    <x v="0"/>
    <x v="0"/>
    <x v="0"/>
    <x v="0"/>
    <x v="0"/>
    <x v="0"/>
    <x v="0"/>
    <x v="25"/>
    <x v="25"/>
    <n v="24.361834862370699"/>
    <x v="0"/>
    <x v="0"/>
    <x v="1"/>
    <x v="4"/>
    <x v="5"/>
    <x v="9"/>
    <n v="26.554399999984064"/>
  </r>
  <r>
    <x v="2"/>
    <x v="0"/>
    <x v="2"/>
    <x v="2"/>
    <x v="0"/>
    <x v="0"/>
    <x v="0"/>
    <x v="0"/>
    <x v="0"/>
    <x v="0"/>
    <x v="0"/>
    <x v="0"/>
    <x v="0"/>
    <x v="0"/>
    <x v="0"/>
    <x v="26"/>
    <x v="26"/>
    <n v="0.3262385321099"/>
    <x v="0"/>
    <x v="0"/>
    <x v="1"/>
    <x v="3"/>
    <x v="3"/>
    <x v="15"/>
    <n v="0.35559999999979103"/>
  </r>
  <r>
    <x v="2"/>
    <x v="0"/>
    <x v="2"/>
    <x v="2"/>
    <x v="0"/>
    <x v="0"/>
    <x v="0"/>
    <x v="0"/>
    <x v="0"/>
    <x v="0"/>
    <x v="0"/>
    <x v="0"/>
    <x v="0"/>
    <x v="0"/>
    <x v="0"/>
    <x v="0"/>
    <x v="0"/>
    <n v="89.073531138540602"/>
    <x v="0"/>
    <x v="0"/>
    <x v="0"/>
    <x v="0"/>
    <x v="0"/>
    <x v="0"/>
    <n v="97.090148941009261"/>
  </r>
  <r>
    <x v="2"/>
    <x v="0"/>
    <x v="2"/>
    <x v="2"/>
    <x v="0"/>
    <x v="0"/>
    <x v="0"/>
    <x v="0"/>
    <x v="0"/>
    <x v="0"/>
    <x v="0"/>
    <x v="0"/>
    <x v="0"/>
    <x v="0"/>
    <x v="0"/>
    <x v="2"/>
    <x v="2"/>
    <n v="1256.8307614671401"/>
    <x v="0"/>
    <x v="1"/>
    <x v="2"/>
    <x v="2"/>
    <x v="13"/>
    <x v="2"/>
    <n v="1369.9455299991828"/>
  </r>
  <r>
    <x v="2"/>
    <x v="0"/>
    <x v="2"/>
    <x v="2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2"/>
    <x v="0"/>
    <x v="2"/>
    <x v="2"/>
    <x v="0"/>
    <x v="0"/>
    <x v="0"/>
    <x v="0"/>
    <x v="0"/>
    <x v="0"/>
    <x v="0"/>
    <x v="0"/>
    <x v="1"/>
    <x v="1"/>
    <x v="1"/>
    <x v="5"/>
    <x v="5"/>
    <n v="101.422564417949"/>
    <x v="0"/>
    <x v="0"/>
    <x v="1"/>
    <x v="1"/>
    <x v="1"/>
    <x v="5"/>
    <n v="110.55059521556443"/>
  </r>
  <r>
    <x v="2"/>
    <x v="0"/>
    <x v="2"/>
    <x v="2"/>
    <x v="0"/>
    <x v="0"/>
    <x v="0"/>
    <x v="0"/>
    <x v="0"/>
    <x v="0"/>
    <x v="0"/>
    <x v="0"/>
    <x v="1"/>
    <x v="1"/>
    <x v="1"/>
    <x v="6"/>
    <x v="6"/>
    <n v="65.40728"/>
    <x v="0"/>
    <x v="0"/>
    <x v="0"/>
    <x v="0"/>
    <x v="4"/>
    <x v="6"/>
    <n v="71.293935200000007"/>
  </r>
  <r>
    <x v="2"/>
    <x v="0"/>
    <x v="2"/>
    <x v="2"/>
    <x v="0"/>
    <x v="0"/>
    <x v="0"/>
    <x v="0"/>
    <x v="0"/>
    <x v="0"/>
    <x v="0"/>
    <x v="0"/>
    <x v="1"/>
    <x v="1"/>
    <x v="1"/>
    <x v="7"/>
    <x v="7"/>
    <n v="38.2261651375917"/>
    <x v="0"/>
    <x v="0"/>
    <x v="1"/>
    <x v="4"/>
    <x v="5"/>
    <x v="7"/>
    <n v="41.666519999974959"/>
  </r>
  <r>
    <x v="2"/>
    <x v="0"/>
    <x v="2"/>
    <x v="2"/>
    <x v="0"/>
    <x v="0"/>
    <x v="0"/>
    <x v="0"/>
    <x v="0"/>
    <x v="0"/>
    <x v="0"/>
    <x v="0"/>
    <x v="1"/>
    <x v="1"/>
    <x v="1"/>
    <x v="8"/>
    <x v="8"/>
    <n v="1560.9322364964801"/>
    <x v="0"/>
    <x v="1"/>
    <x v="2"/>
    <x v="2"/>
    <x v="6"/>
    <x v="8"/>
    <n v="1701.4161377811633"/>
  </r>
  <r>
    <x v="2"/>
    <x v="0"/>
    <x v="2"/>
    <x v="2"/>
    <x v="0"/>
    <x v="0"/>
    <x v="0"/>
    <x v="0"/>
    <x v="0"/>
    <x v="0"/>
    <x v="0"/>
    <x v="0"/>
    <x v="1"/>
    <x v="1"/>
    <x v="1"/>
    <x v="9"/>
    <x v="9"/>
    <n v="6.6497584323691497"/>
    <x v="0"/>
    <x v="0"/>
    <x v="1"/>
    <x v="4"/>
    <x v="5"/>
    <x v="9"/>
    <n v="7.2482366912823739"/>
  </r>
  <r>
    <x v="2"/>
    <x v="0"/>
    <x v="2"/>
    <x v="2"/>
    <x v="0"/>
    <x v="0"/>
    <x v="0"/>
    <x v="0"/>
    <x v="0"/>
    <x v="0"/>
    <x v="0"/>
    <x v="0"/>
    <x v="1"/>
    <x v="1"/>
    <x v="1"/>
    <x v="10"/>
    <x v="10"/>
    <n v="7.8664954128393196"/>
    <x v="0"/>
    <x v="0"/>
    <x v="1"/>
    <x v="4"/>
    <x v="5"/>
    <x v="10"/>
    <n v="8.5744799999948587"/>
  </r>
  <r>
    <x v="2"/>
    <x v="0"/>
    <x v="2"/>
    <x v="2"/>
    <x v="0"/>
    <x v="0"/>
    <x v="0"/>
    <x v="0"/>
    <x v="0"/>
    <x v="0"/>
    <x v="0"/>
    <x v="0"/>
    <x v="1"/>
    <x v="1"/>
    <x v="1"/>
    <x v="55"/>
    <x v="55"/>
    <n v="0.82956880733895"/>
    <x v="0"/>
    <x v="0"/>
    <x v="1"/>
    <x v="3"/>
    <x v="3"/>
    <x v="15"/>
    <n v="0.90422999999945552"/>
  </r>
  <r>
    <x v="2"/>
    <x v="0"/>
    <x v="2"/>
    <x v="2"/>
    <x v="0"/>
    <x v="0"/>
    <x v="0"/>
    <x v="0"/>
    <x v="0"/>
    <x v="0"/>
    <x v="0"/>
    <x v="0"/>
    <x v="1"/>
    <x v="1"/>
    <x v="1"/>
    <x v="11"/>
    <x v="11"/>
    <n v="24.8123"/>
    <x v="0"/>
    <x v="0"/>
    <x v="3"/>
    <x v="5"/>
    <x v="7"/>
    <x v="11"/>
    <n v="27.045407000000001"/>
  </r>
  <r>
    <x v="2"/>
    <x v="0"/>
    <x v="2"/>
    <x v="2"/>
    <x v="0"/>
    <x v="0"/>
    <x v="0"/>
    <x v="0"/>
    <x v="0"/>
    <x v="0"/>
    <x v="0"/>
    <x v="0"/>
    <x v="1"/>
    <x v="1"/>
    <x v="1"/>
    <x v="12"/>
    <x v="12"/>
    <n v="428.21469767279098"/>
    <x v="0"/>
    <x v="0"/>
    <x v="0"/>
    <x v="0"/>
    <x v="8"/>
    <x v="12"/>
    <n v="466.75402046334221"/>
  </r>
  <r>
    <x v="2"/>
    <x v="0"/>
    <x v="2"/>
    <x v="2"/>
    <x v="0"/>
    <x v="0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2"/>
    <x v="0"/>
    <x v="2"/>
    <x v="2"/>
    <x v="0"/>
    <x v="0"/>
    <x v="0"/>
    <x v="0"/>
    <x v="0"/>
    <x v="0"/>
    <x v="0"/>
    <x v="0"/>
    <x v="1"/>
    <x v="1"/>
    <x v="1"/>
    <x v="14"/>
    <x v="14"/>
    <n v="180.00523999999999"/>
    <x v="0"/>
    <x v="0"/>
    <x v="0"/>
    <x v="0"/>
    <x v="8"/>
    <x v="14"/>
    <n v="196.2057116"/>
  </r>
  <r>
    <x v="2"/>
    <x v="0"/>
    <x v="2"/>
    <x v="2"/>
    <x v="0"/>
    <x v="0"/>
    <x v="0"/>
    <x v="0"/>
    <x v="0"/>
    <x v="0"/>
    <x v="0"/>
    <x v="0"/>
    <x v="1"/>
    <x v="1"/>
    <x v="1"/>
    <x v="15"/>
    <x v="15"/>
    <n v="0.12941284403662001"/>
    <x v="0"/>
    <x v="0"/>
    <x v="1"/>
    <x v="3"/>
    <x v="3"/>
    <x v="15"/>
    <n v="0.14105999999991584"/>
  </r>
  <r>
    <x v="2"/>
    <x v="0"/>
    <x v="2"/>
    <x v="2"/>
    <x v="0"/>
    <x v="0"/>
    <x v="0"/>
    <x v="0"/>
    <x v="0"/>
    <x v="0"/>
    <x v="0"/>
    <x v="0"/>
    <x v="1"/>
    <x v="1"/>
    <x v="1"/>
    <x v="22"/>
    <x v="22"/>
    <n v="1.25110887096274"/>
    <x v="0"/>
    <x v="0"/>
    <x v="0"/>
    <x v="0"/>
    <x v="0"/>
    <x v="0"/>
    <n v="1.3637086693493867"/>
  </r>
  <r>
    <x v="2"/>
    <x v="0"/>
    <x v="2"/>
    <x v="2"/>
    <x v="0"/>
    <x v="0"/>
    <x v="0"/>
    <x v="0"/>
    <x v="0"/>
    <x v="0"/>
    <x v="0"/>
    <x v="0"/>
    <x v="1"/>
    <x v="1"/>
    <x v="1"/>
    <x v="23"/>
    <x v="23"/>
    <n v="30.255926605486401"/>
    <x v="0"/>
    <x v="0"/>
    <x v="1"/>
    <x v="3"/>
    <x v="3"/>
    <x v="15"/>
    <n v="32.978959999980177"/>
  </r>
  <r>
    <x v="2"/>
    <x v="0"/>
    <x v="2"/>
    <x v="2"/>
    <x v="0"/>
    <x v="0"/>
    <x v="0"/>
    <x v="0"/>
    <x v="0"/>
    <x v="0"/>
    <x v="0"/>
    <x v="0"/>
    <x v="1"/>
    <x v="1"/>
    <x v="1"/>
    <x v="24"/>
    <x v="24"/>
    <n v="7.8467614678851998"/>
    <x v="0"/>
    <x v="0"/>
    <x v="1"/>
    <x v="3"/>
    <x v="3"/>
    <x v="4"/>
    <n v="8.5529699999948683"/>
  </r>
  <r>
    <x v="2"/>
    <x v="0"/>
    <x v="2"/>
    <x v="2"/>
    <x v="0"/>
    <x v="0"/>
    <x v="0"/>
    <x v="0"/>
    <x v="0"/>
    <x v="0"/>
    <x v="0"/>
    <x v="0"/>
    <x v="1"/>
    <x v="1"/>
    <x v="1"/>
    <x v="17"/>
    <x v="17"/>
    <n v="2.51892"/>
    <x v="0"/>
    <x v="0"/>
    <x v="0"/>
    <x v="0"/>
    <x v="4"/>
    <x v="17"/>
    <n v="2.7456228000000005"/>
  </r>
  <r>
    <x v="2"/>
    <x v="0"/>
    <x v="2"/>
    <x v="2"/>
    <x v="0"/>
    <x v="0"/>
    <x v="0"/>
    <x v="0"/>
    <x v="0"/>
    <x v="0"/>
    <x v="0"/>
    <x v="0"/>
    <x v="1"/>
    <x v="1"/>
    <x v="1"/>
    <x v="18"/>
    <x v="18"/>
    <n v="22.77666"/>
    <x v="0"/>
    <x v="0"/>
    <x v="0"/>
    <x v="0"/>
    <x v="4"/>
    <x v="18"/>
    <n v="24.826559400000001"/>
  </r>
  <r>
    <x v="2"/>
    <x v="0"/>
    <x v="2"/>
    <x v="2"/>
    <x v="0"/>
    <x v="0"/>
    <x v="0"/>
    <x v="0"/>
    <x v="0"/>
    <x v="0"/>
    <x v="0"/>
    <x v="0"/>
    <x v="1"/>
    <x v="1"/>
    <x v="1"/>
    <x v="27"/>
    <x v="27"/>
    <n v="47.179058559558698"/>
    <x v="0"/>
    <x v="0"/>
    <x v="1"/>
    <x v="3"/>
    <x v="3"/>
    <x v="19"/>
    <n v="51.425173829918982"/>
  </r>
  <r>
    <x v="2"/>
    <x v="0"/>
    <x v="2"/>
    <x v="2"/>
    <x v="0"/>
    <x v="0"/>
    <x v="0"/>
    <x v="0"/>
    <x v="0"/>
    <x v="0"/>
    <x v="0"/>
    <x v="0"/>
    <x v="1"/>
    <x v="1"/>
    <x v="1"/>
    <x v="26"/>
    <x v="26"/>
    <n v="1.43111926605419"/>
    <x v="0"/>
    <x v="0"/>
    <x v="1"/>
    <x v="3"/>
    <x v="3"/>
    <x v="15"/>
    <n v="1.5599199999990672"/>
  </r>
  <r>
    <x v="2"/>
    <x v="0"/>
    <x v="2"/>
    <x v="2"/>
    <x v="0"/>
    <x v="0"/>
    <x v="0"/>
    <x v="0"/>
    <x v="0"/>
    <x v="0"/>
    <x v="0"/>
    <x v="0"/>
    <x v="1"/>
    <x v="1"/>
    <x v="1"/>
    <x v="0"/>
    <x v="0"/>
    <n v="6.4175275800532097"/>
    <x v="0"/>
    <x v="0"/>
    <x v="0"/>
    <x v="0"/>
    <x v="0"/>
    <x v="0"/>
    <n v="6.9951050622579993"/>
  </r>
  <r>
    <x v="2"/>
    <x v="0"/>
    <x v="2"/>
    <x v="2"/>
    <x v="0"/>
    <x v="0"/>
    <x v="0"/>
    <x v="0"/>
    <x v="0"/>
    <x v="0"/>
    <x v="0"/>
    <x v="0"/>
    <x v="1"/>
    <x v="1"/>
    <x v="1"/>
    <x v="2"/>
    <x v="2"/>
    <n v="1089.3066972470499"/>
    <x v="0"/>
    <x v="1"/>
    <x v="2"/>
    <x v="2"/>
    <x v="13"/>
    <x v="2"/>
    <n v="1187.3442999992844"/>
  </r>
  <r>
    <x v="2"/>
    <x v="0"/>
    <x v="2"/>
    <x v="2"/>
    <x v="0"/>
    <x v="0"/>
    <x v="0"/>
    <x v="0"/>
    <x v="0"/>
    <x v="0"/>
    <x v="0"/>
    <x v="0"/>
    <x v="1"/>
    <x v="1"/>
    <x v="1"/>
    <x v="3"/>
    <x v="3"/>
    <n v="97.603702455441095"/>
    <x v="0"/>
    <x v="0"/>
    <x v="1"/>
    <x v="3"/>
    <x v="3"/>
    <x v="3"/>
    <n v="106.3880356764308"/>
  </r>
  <r>
    <x v="2"/>
    <x v="0"/>
    <x v="2"/>
    <x v="2"/>
    <x v="0"/>
    <x v="0"/>
    <x v="0"/>
    <x v="0"/>
    <x v="0"/>
    <x v="0"/>
    <x v="0"/>
    <x v="0"/>
    <x v="2"/>
    <x v="2"/>
    <x v="2"/>
    <x v="4"/>
    <x v="4"/>
    <n v="91.424798165082805"/>
    <x v="0"/>
    <x v="0"/>
    <x v="1"/>
    <x v="3"/>
    <x v="3"/>
    <x v="4"/>
    <n v="99.653029999940259"/>
  </r>
  <r>
    <x v="2"/>
    <x v="0"/>
    <x v="2"/>
    <x v="2"/>
    <x v="0"/>
    <x v="0"/>
    <x v="0"/>
    <x v="0"/>
    <x v="0"/>
    <x v="0"/>
    <x v="0"/>
    <x v="0"/>
    <x v="2"/>
    <x v="2"/>
    <x v="2"/>
    <x v="39"/>
    <x v="39"/>
    <n v="7.7768623853164298"/>
    <x v="0"/>
    <x v="0"/>
    <x v="1"/>
    <x v="4"/>
    <x v="5"/>
    <x v="9"/>
    <n v="8.4767799999949087"/>
  </r>
  <r>
    <x v="2"/>
    <x v="0"/>
    <x v="2"/>
    <x v="2"/>
    <x v="0"/>
    <x v="0"/>
    <x v="0"/>
    <x v="0"/>
    <x v="0"/>
    <x v="0"/>
    <x v="0"/>
    <x v="0"/>
    <x v="2"/>
    <x v="2"/>
    <x v="2"/>
    <x v="5"/>
    <x v="5"/>
    <n v="754.329631907573"/>
    <x v="0"/>
    <x v="0"/>
    <x v="1"/>
    <x v="1"/>
    <x v="1"/>
    <x v="5"/>
    <n v="822.21929877925459"/>
  </r>
  <r>
    <x v="2"/>
    <x v="0"/>
    <x v="2"/>
    <x v="2"/>
    <x v="0"/>
    <x v="0"/>
    <x v="0"/>
    <x v="0"/>
    <x v="0"/>
    <x v="0"/>
    <x v="0"/>
    <x v="0"/>
    <x v="2"/>
    <x v="2"/>
    <x v="2"/>
    <x v="6"/>
    <x v="6"/>
    <n v="548.52160000000003"/>
    <x v="0"/>
    <x v="0"/>
    <x v="0"/>
    <x v="0"/>
    <x v="4"/>
    <x v="6"/>
    <n v="597.88854400000014"/>
  </r>
  <r>
    <x v="2"/>
    <x v="0"/>
    <x v="2"/>
    <x v="2"/>
    <x v="0"/>
    <x v="0"/>
    <x v="0"/>
    <x v="0"/>
    <x v="0"/>
    <x v="0"/>
    <x v="0"/>
    <x v="0"/>
    <x v="2"/>
    <x v="2"/>
    <x v="2"/>
    <x v="7"/>
    <x v="7"/>
    <n v="4.5329174311899401"/>
    <x v="0"/>
    <x v="0"/>
    <x v="1"/>
    <x v="4"/>
    <x v="5"/>
    <x v="7"/>
    <n v="4.9408799999970352"/>
  </r>
  <r>
    <x v="2"/>
    <x v="0"/>
    <x v="2"/>
    <x v="2"/>
    <x v="0"/>
    <x v="0"/>
    <x v="0"/>
    <x v="0"/>
    <x v="0"/>
    <x v="0"/>
    <x v="0"/>
    <x v="0"/>
    <x v="2"/>
    <x v="2"/>
    <x v="2"/>
    <x v="8"/>
    <x v="8"/>
    <n v="449.11318919206298"/>
    <x v="0"/>
    <x v="1"/>
    <x v="2"/>
    <x v="2"/>
    <x v="6"/>
    <x v="8"/>
    <n v="489.53337621934867"/>
  </r>
  <r>
    <x v="2"/>
    <x v="0"/>
    <x v="2"/>
    <x v="2"/>
    <x v="0"/>
    <x v="0"/>
    <x v="0"/>
    <x v="0"/>
    <x v="0"/>
    <x v="0"/>
    <x v="0"/>
    <x v="0"/>
    <x v="2"/>
    <x v="2"/>
    <x v="2"/>
    <x v="9"/>
    <x v="9"/>
    <n v="28.637100917413999"/>
    <x v="0"/>
    <x v="0"/>
    <x v="1"/>
    <x v="4"/>
    <x v="5"/>
    <x v="9"/>
    <n v="31.214439999981263"/>
  </r>
  <r>
    <x v="2"/>
    <x v="0"/>
    <x v="2"/>
    <x v="2"/>
    <x v="0"/>
    <x v="0"/>
    <x v="0"/>
    <x v="0"/>
    <x v="0"/>
    <x v="0"/>
    <x v="0"/>
    <x v="0"/>
    <x v="2"/>
    <x v="2"/>
    <x v="2"/>
    <x v="10"/>
    <x v="10"/>
    <n v="53.100165137582799"/>
    <x v="0"/>
    <x v="0"/>
    <x v="1"/>
    <x v="4"/>
    <x v="5"/>
    <x v="10"/>
    <n v="57.879179999965253"/>
  </r>
  <r>
    <x v="2"/>
    <x v="0"/>
    <x v="2"/>
    <x v="2"/>
    <x v="0"/>
    <x v="0"/>
    <x v="0"/>
    <x v="0"/>
    <x v="0"/>
    <x v="0"/>
    <x v="0"/>
    <x v="0"/>
    <x v="2"/>
    <x v="2"/>
    <x v="2"/>
    <x v="28"/>
    <x v="28"/>
    <n v="4.8000600000000002"/>
    <x v="0"/>
    <x v="0"/>
    <x v="1"/>
    <x v="3"/>
    <x v="3"/>
    <x v="13"/>
    <n v="5.2320654000000006"/>
  </r>
  <r>
    <x v="2"/>
    <x v="0"/>
    <x v="2"/>
    <x v="2"/>
    <x v="0"/>
    <x v="0"/>
    <x v="0"/>
    <x v="0"/>
    <x v="0"/>
    <x v="0"/>
    <x v="0"/>
    <x v="0"/>
    <x v="2"/>
    <x v="2"/>
    <x v="2"/>
    <x v="30"/>
    <x v="30"/>
    <n v="136.769178762894"/>
    <x v="0"/>
    <x v="0"/>
    <x v="0"/>
    <x v="0"/>
    <x v="0"/>
    <x v="0"/>
    <n v="149.07840485155447"/>
  </r>
  <r>
    <x v="2"/>
    <x v="0"/>
    <x v="2"/>
    <x v="2"/>
    <x v="0"/>
    <x v="0"/>
    <x v="0"/>
    <x v="0"/>
    <x v="0"/>
    <x v="0"/>
    <x v="0"/>
    <x v="0"/>
    <x v="2"/>
    <x v="2"/>
    <x v="2"/>
    <x v="31"/>
    <x v="31"/>
    <n v="8.5353761467838698"/>
    <x v="0"/>
    <x v="0"/>
    <x v="1"/>
    <x v="4"/>
    <x v="5"/>
    <x v="10"/>
    <n v="9.3035599999944196"/>
  </r>
  <r>
    <x v="2"/>
    <x v="0"/>
    <x v="2"/>
    <x v="2"/>
    <x v="0"/>
    <x v="0"/>
    <x v="0"/>
    <x v="0"/>
    <x v="0"/>
    <x v="0"/>
    <x v="0"/>
    <x v="0"/>
    <x v="2"/>
    <x v="2"/>
    <x v="2"/>
    <x v="11"/>
    <x v="11"/>
    <n v="203.20058"/>
    <x v="0"/>
    <x v="0"/>
    <x v="3"/>
    <x v="5"/>
    <x v="7"/>
    <x v="11"/>
    <n v="221.48863220000001"/>
  </r>
  <r>
    <x v="2"/>
    <x v="0"/>
    <x v="2"/>
    <x v="2"/>
    <x v="0"/>
    <x v="0"/>
    <x v="0"/>
    <x v="0"/>
    <x v="0"/>
    <x v="0"/>
    <x v="0"/>
    <x v="0"/>
    <x v="2"/>
    <x v="2"/>
    <x v="2"/>
    <x v="12"/>
    <x v="12"/>
    <n v="1492.3438023199101"/>
    <x v="0"/>
    <x v="0"/>
    <x v="0"/>
    <x v="0"/>
    <x v="8"/>
    <x v="12"/>
    <n v="1626.6547445287022"/>
  </r>
  <r>
    <x v="2"/>
    <x v="0"/>
    <x v="2"/>
    <x v="2"/>
    <x v="0"/>
    <x v="0"/>
    <x v="0"/>
    <x v="0"/>
    <x v="0"/>
    <x v="0"/>
    <x v="0"/>
    <x v="0"/>
    <x v="2"/>
    <x v="2"/>
    <x v="2"/>
    <x v="13"/>
    <x v="13"/>
    <n v="189.34195"/>
    <x v="0"/>
    <x v="0"/>
    <x v="1"/>
    <x v="3"/>
    <x v="3"/>
    <x v="13"/>
    <n v="206.38272550000002"/>
  </r>
  <r>
    <x v="2"/>
    <x v="0"/>
    <x v="2"/>
    <x v="2"/>
    <x v="0"/>
    <x v="0"/>
    <x v="0"/>
    <x v="0"/>
    <x v="0"/>
    <x v="0"/>
    <x v="0"/>
    <x v="0"/>
    <x v="2"/>
    <x v="2"/>
    <x v="2"/>
    <x v="14"/>
    <x v="14"/>
    <n v="348.72332999999998"/>
    <x v="0"/>
    <x v="0"/>
    <x v="0"/>
    <x v="0"/>
    <x v="8"/>
    <x v="14"/>
    <n v="380.10842969999999"/>
  </r>
  <r>
    <x v="2"/>
    <x v="0"/>
    <x v="2"/>
    <x v="2"/>
    <x v="0"/>
    <x v="0"/>
    <x v="0"/>
    <x v="0"/>
    <x v="0"/>
    <x v="0"/>
    <x v="0"/>
    <x v="0"/>
    <x v="2"/>
    <x v="2"/>
    <x v="2"/>
    <x v="22"/>
    <x v="22"/>
    <n v="32.408521505246703"/>
    <x v="0"/>
    <x v="0"/>
    <x v="0"/>
    <x v="0"/>
    <x v="0"/>
    <x v="0"/>
    <n v="35.325288440718907"/>
  </r>
  <r>
    <x v="2"/>
    <x v="0"/>
    <x v="2"/>
    <x v="2"/>
    <x v="0"/>
    <x v="0"/>
    <x v="0"/>
    <x v="0"/>
    <x v="0"/>
    <x v="0"/>
    <x v="0"/>
    <x v="0"/>
    <x v="2"/>
    <x v="2"/>
    <x v="2"/>
    <x v="16"/>
    <x v="16"/>
    <n v="1040.9043300000001"/>
    <x v="0"/>
    <x v="0"/>
    <x v="3"/>
    <x v="5"/>
    <x v="9"/>
    <x v="16"/>
    <n v="1134.5857197000003"/>
  </r>
  <r>
    <x v="2"/>
    <x v="0"/>
    <x v="2"/>
    <x v="2"/>
    <x v="0"/>
    <x v="0"/>
    <x v="0"/>
    <x v="0"/>
    <x v="0"/>
    <x v="0"/>
    <x v="0"/>
    <x v="0"/>
    <x v="2"/>
    <x v="2"/>
    <x v="2"/>
    <x v="17"/>
    <x v="17"/>
    <n v="19.213249999999999"/>
    <x v="0"/>
    <x v="0"/>
    <x v="0"/>
    <x v="0"/>
    <x v="4"/>
    <x v="17"/>
    <n v="20.942442499999999"/>
  </r>
  <r>
    <x v="2"/>
    <x v="0"/>
    <x v="2"/>
    <x v="2"/>
    <x v="0"/>
    <x v="0"/>
    <x v="0"/>
    <x v="0"/>
    <x v="0"/>
    <x v="0"/>
    <x v="0"/>
    <x v="0"/>
    <x v="2"/>
    <x v="2"/>
    <x v="2"/>
    <x v="21"/>
    <x v="21"/>
    <n v="101.88992660544299"/>
    <x v="0"/>
    <x v="0"/>
    <x v="1"/>
    <x v="4"/>
    <x v="5"/>
    <x v="10"/>
    <n v="111.06001999993288"/>
  </r>
  <r>
    <x v="2"/>
    <x v="0"/>
    <x v="2"/>
    <x v="2"/>
    <x v="0"/>
    <x v="0"/>
    <x v="0"/>
    <x v="0"/>
    <x v="0"/>
    <x v="0"/>
    <x v="0"/>
    <x v="0"/>
    <x v="2"/>
    <x v="2"/>
    <x v="2"/>
    <x v="18"/>
    <x v="18"/>
    <n v="457.33193"/>
    <x v="0"/>
    <x v="0"/>
    <x v="0"/>
    <x v="0"/>
    <x v="4"/>
    <x v="18"/>
    <n v="498.49180370000005"/>
  </r>
  <r>
    <x v="2"/>
    <x v="0"/>
    <x v="2"/>
    <x v="2"/>
    <x v="0"/>
    <x v="0"/>
    <x v="0"/>
    <x v="0"/>
    <x v="0"/>
    <x v="0"/>
    <x v="0"/>
    <x v="0"/>
    <x v="2"/>
    <x v="2"/>
    <x v="2"/>
    <x v="34"/>
    <x v="34"/>
    <n v="94.672967683980104"/>
    <x v="0"/>
    <x v="0"/>
    <x v="0"/>
    <x v="0"/>
    <x v="0"/>
    <x v="0"/>
    <n v="103.19353477553832"/>
  </r>
  <r>
    <x v="2"/>
    <x v="0"/>
    <x v="2"/>
    <x v="2"/>
    <x v="0"/>
    <x v="0"/>
    <x v="0"/>
    <x v="0"/>
    <x v="0"/>
    <x v="0"/>
    <x v="0"/>
    <x v="0"/>
    <x v="2"/>
    <x v="2"/>
    <x v="2"/>
    <x v="27"/>
    <x v="27"/>
    <n v="121.639092344921"/>
    <x v="0"/>
    <x v="0"/>
    <x v="1"/>
    <x v="3"/>
    <x v="3"/>
    <x v="19"/>
    <n v="132.58661065596391"/>
  </r>
  <r>
    <x v="2"/>
    <x v="0"/>
    <x v="2"/>
    <x v="2"/>
    <x v="0"/>
    <x v="0"/>
    <x v="0"/>
    <x v="0"/>
    <x v="0"/>
    <x v="0"/>
    <x v="0"/>
    <x v="0"/>
    <x v="2"/>
    <x v="2"/>
    <x v="2"/>
    <x v="26"/>
    <x v="26"/>
    <n v="127.94090825680399"/>
    <x v="0"/>
    <x v="0"/>
    <x v="1"/>
    <x v="3"/>
    <x v="3"/>
    <x v="15"/>
    <n v="139.45558999991636"/>
  </r>
  <r>
    <x v="2"/>
    <x v="0"/>
    <x v="2"/>
    <x v="2"/>
    <x v="0"/>
    <x v="0"/>
    <x v="0"/>
    <x v="0"/>
    <x v="0"/>
    <x v="0"/>
    <x v="0"/>
    <x v="0"/>
    <x v="2"/>
    <x v="2"/>
    <x v="2"/>
    <x v="0"/>
    <x v="0"/>
    <n v="137.123334519189"/>
    <x v="0"/>
    <x v="0"/>
    <x v="0"/>
    <x v="0"/>
    <x v="0"/>
    <x v="0"/>
    <n v="149.46443462591603"/>
  </r>
  <r>
    <x v="2"/>
    <x v="0"/>
    <x v="2"/>
    <x v="2"/>
    <x v="0"/>
    <x v="0"/>
    <x v="0"/>
    <x v="0"/>
    <x v="0"/>
    <x v="0"/>
    <x v="0"/>
    <x v="0"/>
    <x v="2"/>
    <x v="2"/>
    <x v="2"/>
    <x v="1"/>
    <x v="1"/>
    <n v="417.54615861839301"/>
    <x v="0"/>
    <x v="0"/>
    <x v="1"/>
    <x v="1"/>
    <x v="1"/>
    <x v="1"/>
    <n v="455.12531289404842"/>
  </r>
  <r>
    <x v="2"/>
    <x v="0"/>
    <x v="2"/>
    <x v="2"/>
    <x v="0"/>
    <x v="0"/>
    <x v="0"/>
    <x v="0"/>
    <x v="0"/>
    <x v="0"/>
    <x v="0"/>
    <x v="0"/>
    <x v="2"/>
    <x v="2"/>
    <x v="2"/>
    <x v="20"/>
    <x v="20"/>
    <n v="306.28865000000002"/>
    <x v="0"/>
    <x v="0"/>
    <x v="1"/>
    <x v="3"/>
    <x v="3"/>
    <x v="13"/>
    <n v="333.85462850000005"/>
  </r>
  <r>
    <x v="2"/>
    <x v="0"/>
    <x v="2"/>
    <x v="2"/>
    <x v="0"/>
    <x v="0"/>
    <x v="0"/>
    <x v="0"/>
    <x v="0"/>
    <x v="0"/>
    <x v="0"/>
    <x v="0"/>
    <x v="2"/>
    <x v="2"/>
    <x v="2"/>
    <x v="2"/>
    <x v="2"/>
    <n v="3533.9566788969601"/>
    <x v="0"/>
    <x v="1"/>
    <x v="2"/>
    <x v="2"/>
    <x v="13"/>
    <x v="2"/>
    <n v="3852.0127799976867"/>
  </r>
  <r>
    <x v="2"/>
    <x v="0"/>
    <x v="2"/>
    <x v="2"/>
    <x v="0"/>
    <x v="0"/>
    <x v="0"/>
    <x v="0"/>
    <x v="0"/>
    <x v="0"/>
    <x v="0"/>
    <x v="0"/>
    <x v="2"/>
    <x v="2"/>
    <x v="2"/>
    <x v="3"/>
    <x v="3"/>
    <n v="55.835577992514501"/>
    <x v="0"/>
    <x v="0"/>
    <x v="1"/>
    <x v="3"/>
    <x v="3"/>
    <x v="3"/>
    <n v="60.860780011840809"/>
  </r>
  <r>
    <x v="2"/>
    <x v="0"/>
    <x v="2"/>
    <x v="2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2"/>
    <x v="0"/>
    <x v="2"/>
    <x v="2"/>
    <x v="0"/>
    <x v="0"/>
    <x v="0"/>
    <x v="0"/>
    <x v="0"/>
    <x v="0"/>
    <x v="0"/>
    <x v="0"/>
    <x v="1"/>
    <x v="6"/>
    <x v="6"/>
    <x v="5"/>
    <x v="5"/>
    <n v="166.50911043071301"/>
    <x v="0"/>
    <x v="0"/>
    <x v="1"/>
    <x v="1"/>
    <x v="1"/>
    <x v="5"/>
    <n v="181.4949303694772"/>
  </r>
  <r>
    <x v="2"/>
    <x v="0"/>
    <x v="2"/>
    <x v="2"/>
    <x v="0"/>
    <x v="0"/>
    <x v="0"/>
    <x v="0"/>
    <x v="0"/>
    <x v="0"/>
    <x v="0"/>
    <x v="0"/>
    <x v="1"/>
    <x v="6"/>
    <x v="6"/>
    <x v="7"/>
    <x v="7"/>
    <n v="9.5743119265997603"/>
    <x v="0"/>
    <x v="0"/>
    <x v="1"/>
    <x v="4"/>
    <x v="5"/>
    <x v="7"/>
    <n v="10.43599999999374"/>
  </r>
  <r>
    <x v="2"/>
    <x v="0"/>
    <x v="2"/>
    <x v="2"/>
    <x v="0"/>
    <x v="0"/>
    <x v="0"/>
    <x v="0"/>
    <x v="0"/>
    <x v="0"/>
    <x v="0"/>
    <x v="0"/>
    <x v="1"/>
    <x v="6"/>
    <x v="6"/>
    <x v="8"/>
    <x v="8"/>
    <n v="306.13255405601302"/>
    <x v="0"/>
    <x v="1"/>
    <x v="2"/>
    <x v="2"/>
    <x v="6"/>
    <x v="8"/>
    <n v="333.68448392105421"/>
  </r>
  <r>
    <x v="2"/>
    <x v="0"/>
    <x v="2"/>
    <x v="2"/>
    <x v="0"/>
    <x v="0"/>
    <x v="0"/>
    <x v="0"/>
    <x v="0"/>
    <x v="0"/>
    <x v="0"/>
    <x v="0"/>
    <x v="1"/>
    <x v="6"/>
    <x v="6"/>
    <x v="9"/>
    <x v="9"/>
    <n v="2.8246972477047301"/>
    <x v="0"/>
    <x v="0"/>
    <x v="1"/>
    <x v="4"/>
    <x v="5"/>
    <x v="9"/>
    <n v="3.0789199999981558"/>
  </r>
  <r>
    <x v="2"/>
    <x v="0"/>
    <x v="2"/>
    <x v="2"/>
    <x v="0"/>
    <x v="0"/>
    <x v="0"/>
    <x v="0"/>
    <x v="0"/>
    <x v="0"/>
    <x v="0"/>
    <x v="0"/>
    <x v="1"/>
    <x v="6"/>
    <x v="6"/>
    <x v="10"/>
    <x v="10"/>
    <n v="80.359266054997704"/>
    <x v="0"/>
    <x v="0"/>
    <x v="1"/>
    <x v="4"/>
    <x v="5"/>
    <x v="10"/>
    <n v="87.591599999947505"/>
  </r>
  <r>
    <x v="2"/>
    <x v="0"/>
    <x v="2"/>
    <x v="2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2"/>
    <x v="0"/>
    <x v="2"/>
    <x v="2"/>
    <x v="0"/>
    <x v="0"/>
    <x v="0"/>
    <x v="0"/>
    <x v="0"/>
    <x v="0"/>
    <x v="0"/>
    <x v="0"/>
    <x v="1"/>
    <x v="6"/>
    <x v="6"/>
    <x v="12"/>
    <x v="12"/>
    <n v="457.32761627733203"/>
    <x v="0"/>
    <x v="0"/>
    <x v="0"/>
    <x v="0"/>
    <x v="8"/>
    <x v="12"/>
    <n v="498.48710174229194"/>
  </r>
  <r>
    <x v="2"/>
    <x v="0"/>
    <x v="2"/>
    <x v="2"/>
    <x v="0"/>
    <x v="0"/>
    <x v="0"/>
    <x v="0"/>
    <x v="0"/>
    <x v="0"/>
    <x v="0"/>
    <x v="0"/>
    <x v="1"/>
    <x v="6"/>
    <x v="6"/>
    <x v="14"/>
    <x v="14"/>
    <n v="30.7895"/>
    <x v="0"/>
    <x v="0"/>
    <x v="0"/>
    <x v="0"/>
    <x v="8"/>
    <x v="14"/>
    <n v="33.560555000000001"/>
  </r>
  <r>
    <x v="2"/>
    <x v="0"/>
    <x v="2"/>
    <x v="2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2"/>
    <x v="0"/>
    <x v="2"/>
    <x v="2"/>
    <x v="0"/>
    <x v="0"/>
    <x v="0"/>
    <x v="0"/>
    <x v="0"/>
    <x v="0"/>
    <x v="0"/>
    <x v="0"/>
    <x v="1"/>
    <x v="6"/>
    <x v="6"/>
    <x v="21"/>
    <x v="21"/>
    <n v="43.348541284377703"/>
    <x v="0"/>
    <x v="0"/>
    <x v="1"/>
    <x v="4"/>
    <x v="5"/>
    <x v="10"/>
    <n v="47.249909999971699"/>
  </r>
  <r>
    <x v="2"/>
    <x v="0"/>
    <x v="2"/>
    <x v="2"/>
    <x v="0"/>
    <x v="0"/>
    <x v="0"/>
    <x v="0"/>
    <x v="0"/>
    <x v="0"/>
    <x v="0"/>
    <x v="0"/>
    <x v="1"/>
    <x v="6"/>
    <x v="6"/>
    <x v="18"/>
    <x v="18"/>
    <n v="39.923859999999998"/>
    <x v="0"/>
    <x v="0"/>
    <x v="0"/>
    <x v="0"/>
    <x v="4"/>
    <x v="18"/>
    <n v="43.517007399999997"/>
  </r>
  <r>
    <x v="2"/>
    <x v="0"/>
    <x v="2"/>
    <x v="2"/>
    <x v="0"/>
    <x v="0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2"/>
    <x v="0"/>
    <x v="2"/>
    <x v="2"/>
    <x v="0"/>
    <x v="0"/>
    <x v="0"/>
    <x v="0"/>
    <x v="0"/>
    <x v="0"/>
    <x v="0"/>
    <x v="0"/>
    <x v="1"/>
    <x v="6"/>
    <x v="6"/>
    <x v="0"/>
    <x v="0"/>
    <n v="187.679090746805"/>
    <x v="0"/>
    <x v="0"/>
    <x v="0"/>
    <x v="0"/>
    <x v="0"/>
    <x v="0"/>
    <n v="204.57020891401746"/>
  </r>
  <r>
    <x v="2"/>
    <x v="0"/>
    <x v="2"/>
    <x v="2"/>
    <x v="0"/>
    <x v="0"/>
    <x v="0"/>
    <x v="0"/>
    <x v="0"/>
    <x v="0"/>
    <x v="0"/>
    <x v="0"/>
    <x v="1"/>
    <x v="6"/>
    <x v="6"/>
    <x v="20"/>
    <x v="20"/>
    <n v="4.0000000000000003E-5"/>
    <x v="0"/>
    <x v="0"/>
    <x v="1"/>
    <x v="3"/>
    <x v="3"/>
    <x v="13"/>
    <n v="4.3600000000000009E-5"/>
  </r>
  <r>
    <x v="2"/>
    <x v="0"/>
    <x v="2"/>
    <x v="2"/>
    <x v="0"/>
    <x v="0"/>
    <x v="0"/>
    <x v="0"/>
    <x v="0"/>
    <x v="0"/>
    <x v="0"/>
    <x v="0"/>
    <x v="1"/>
    <x v="6"/>
    <x v="6"/>
    <x v="2"/>
    <x v="2"/>
    <n v="384.613596330044"/>
    <x v="0"/>
    <x v="1"/>
    <x v="2"/>
    <x v="2"/>
    <x v="13"/>
    <x v="2"/>
    <n v="419.228819999748"/>
  </r>
  <r>
    <x v="2"/>
    <x v="0"/>
    <x v="2"/>
    <x v="2"/>
    <x v="0"/>
    <x v="0"/>
    <x v="0"/>
    <x v="0"/>
    <x v="0"/>
    <x v="0"/>
    <x v="0"/>
    <x v="0"/>
    <x v="1"/>
    <x v="6"/>
    <x v="6"/>
    <x v="3"/>
    <x v="3"/>
    <n v="37.223193593155699"/>
    <x v="0"/>
    <x v="0"/>
    <x v="1"/>
    <x v="3"/>
    <x v="3"/>
    <x v="3"/>
    <n v="40.573281016539717"/>
  </r>
  <r>
    <x v="2"/>
    <x v="0"/>
    <x v="2"/>
    <x v="2"/>
    <x v="0"/>
    <x v="0"/>
    <x v="0"/>
    <x v="0"/>
    <x v="0"/>
    <x v="0"/>
    <x v="0"/>
    <x v="0"/>
    <x v="3"/>
    <x v="7"/>
    <x v="7"/>
    <x v="6"/>
    <x v="6"/>
    <n v="54.363219999999998"/>
    <x v="0"/>
    <x v="0"/>
    <x v="0"/>
    <x v="0"/>
    <x v="4"/>
    <x v="6"/>
    <n v="59.255909800000005"/>
  </r>
  <r>
    <x v="2"/>
    <x v="0"/>
    <x v="2"/>
    <x v="2"/>
    <x v="0"/>
    <x v="0"/>
    <x v="0"/>
    <x v="0"/>
    <x v="0"/>
    <x v="0"/>
    <x v="0"/>
    <x v="0"/>
    <x v="3"/>
    <x v="7"/>
    <x v="7"/>
    <x v="9"/>
    <x v="9"/>
    <n v="133.12412035641901"/>
    <x v="0"/>
    <x v="0"/>
    <x v="1"/>
    <x v="4"/>
    <x v="5"/>
    <x v="9"/>
    <n v="145.10529118849672"/>
  </r>
  <r>
    <x v="2"/>
    <x v="0"/>
    <x v="2"/>
    <x v="2"/>
    <x v="0"/>
    <x v="0"/>
    <x v="0"/>
    <x v="0"/>
    <x v="0"/>
    <x v="0"/>
    <x v="0"/>
    <x v="0"/>
    <x v="3"/>
    <x v="7"/>
    <x v="7"/>
    <x v="10"/>
    <x v="10"/>
    <n v="34.275028555213403"/>
    <x v="0"/>
    <x v="0"/>
    <x v="1"/>
    <x v="4"/>
    <x v="5"/>
    <x v="10"/>
    <n v="37.359781125182614"/>
  </r>
  <r>
    <x v="2"/>
    <x v="0"/>
    <x v="2"/>
    <x v="2"/>
    <x v="0"/>
    <x v="0"/>
    <x v="0"/>
    <x v="0"/>
    <x v="0"/>
    <x v="0"/>
    <x v="0"/>
    <x v="0"/>
    <x v="3"/>
    <x v="7"/>
    <x v="7"/>
    <x v="11"/>
    <x v="11"/>
    <n v="76.248270000000005"/>
    <x v="0"/>
    <x v="0"/>
    <x v="3"/>
    <x v="5"/>
    <x v="7"/>
    <x v="11"/>
    <n v="83.110614300000009"/>
  </r>
  <r>
    <x v="2"/>
    <x v="0"/>
    <x v="2"/>
    <x v="2"/>
    <x v="0"/>
    <x v="0"/>
    <x v="0"/>
    <x v="0"/>
    <x v="0"/>
    <x v="0"/>
    <x v="0"/>
    <x v="0"/>
    <x v="3"/>
    <x v="7"/>
    <x v="7"/>
    <x v="36"/>
    <x v="36"/>
    <n v="36.480963302730402"/>
    <x v="0"/>
    <x v="0"/>
    <x v="1"/>
    <x v="3"/>
    <x v="3"/>
    <x v="4"/>
    <n v="39.764249999976144"/>
  </r>
  <r>
    <x v="2"/>
    <x v="0"/>
    <x v="2"/>
    <x v="2"/>
    <x v="0"/>
    <x v="0"/>
    <x v="0"/>
    <x v="0"/>
    <x v="0"/>
    <x v="0"/>
    <x v="0"/>
    <x v="0"/>
    <x v="3"/>
    <x v="7"/>
    <x v="7"/>
    <x v="24"/>
    <x v="24"/>
    <n v="67.199018348583493"/>
    <x v="0"/>
    <x v="0"/>
    <x v="1"/>
    <x v="3"/>
    <x v="3"/>
    <x v="4"/>
    <n v="73.246929999956009"/>
  </r>
  <r>
    <x v="2"/>
    <x v="0"/>
    <x v="2"/>
    <x v="2"/>
    <x v="0"/>
    <x v="0"/>
    <x v="0"/>
    <x v="0"/>
    <x v="0"/>
    <x v="0"/>
    <x v="0"/>
    <x v="0"/>
    <x v="3"/>
    <x v="7"/>
    <x v="7"/>
    <x v="17"/>
    <x v="17"/>
    <n v="287.71129000000002"/>
    <x v="0"/>
    <x v="0"/>
    <x v="0"/>
    <x v="0"/>
    <x v="4"/>
    <x v="17"/>
    <n v="313.60530610000006"/>
  </r>
  <r>
    <x v="2"/>
    <x v="0"/>
    <x v="2"/>
    <x v="2"/>
    <x v="0"/>
    <x v="0"/>
    <x v="0"/>
    <x v="0"/>
    <x v="0"/>
    <x v="0"/>
    <x v="0"/>
    <x v="0"/>
    <x v="3"/>
    <x v="7"/>
    <x v="7"/>
    <x v="18"/>
    <x v="18"/>
    <n v="31.962430000000001"/>
    <x v="0"/>
    <x v="0"/>
    <x v="0"/>
    <x v="0"/>
    <x v="4"/>
    <x v="18"/>
    <n v="34.839048700000006"/>
  </r>
  <r>
    <x v="2"/>
    <x v="0"/>
    <x v="2"/>
    <x v="2"/>
    <x v="0"/>
    <x v="0"/>
    <x v="0"/>
    <x v="0"/>
    <x v="0"/>
    <x v="0"/>
    <x v="0"/>
    <x v="0"/>
    <x v="3"/>
    <x v="7"/>
    <x v="7"/>
    <x v="34"/>
    <x v="34"/>
    <n v="21.103844541126001"/>
    <x v="0"/>
    <x v="0"/>
    <x v="0"/>
    <x v="0"/>
    <x v="0"/>
    <x v="0"/>
    <n v="23.003190549827345"/>
  </r>
  <r>
    <x v="2"/>
    <x v="0"/>
    <x v="2"/>
    <x v="2"/>
    <x v="0"/>
    <x v="0"/>
    <x v="0"/>
    <x v="0"/>
    <x v="0"/>
    <x v="0"/>
    <x v="0"/>
    <x v="0"/>
    <x v="3"/>
    <x v="7"/>
    <x v="7"/>
    <x v="26"/>
    <x v="26"/>
    <n v="34.754449541263497"/>
    <x v="0"/>
    <x v="0"/>
    <x v="1"/>
    <x v="3"/>
    <x v="3"/>
    <x v="15"/>
    <n v="37.882349999977215"/>
  </r>
  <r>
    <x v="2"/>
    <x v="0"/>
    <x v="2"/>
    <x v="2"/>
    <x v="0"/>
    <x v="0"/>
    <x v="0"/>
    <x v="0"/>
    <x v="0"/>
    <x v="0"/>
    <x v="0"/>
    <x v="0"/>
    <x v="1"/>
    <x v="8"/>
    <x v="8"/>
    <x v="6"/>
    <x v="6"/>
    <n v="50.945120000000003"/>
    <x v="0"/>
    <x v="0"/>
    <x v="0"/>
    <x v="0"/>
    <x v="4"/>
    <x v="6"/>
    <n v="55.530180800000004"/>
  </r>
  <r>
    <x v="2"/>
    <x v="0"/>
    <x v="2"/>
    <x v="2"/>
    <x v="0"/>
    <x v="0"/>
    <x v="0"/>
    <x v="0"/>
    <x v="0"/>
    <x v="0"/>
    <x v="0"/>
    <x v="0"/>
    <x v="1"/>
    <x v="8"/>
    <x v="8"/>
    <x v="8"/>
    <x v="8"/>
    <n v="149.09120270365699"/>
    <x v="0"/>
    <x v="1"/>
    <x v="2"/>
    <x v="2"/>
    <x v="6"/>
    <x v="8"/>
    <n v="162.50941094698612"/>
  </r>
  <r>
    <x v="2"/>
    <x v="0"/>
    <x v="2"/>
    <x v="2"/>
    <x v="0"/>
    <x v="0"/>
    <x v="0"/>
    <x v="0"/>
    <x v="0"/>
    <x v="0"/>
    <x v="0"/>
    <x v="0"/>
    <x v="1"/>
    <x v="8"/>
    <x v="8"/>
    <x v="9"/>
    <x v="9"/>
    <n v="97.815219022528098"/>
    <x v="0"/>
    <x v="0"/>
    <x v="1"/>
    <x v="4"/>
    <x v="5"/>
    <x v="9"/>
    <n v="106.61858873455563"/>
  </r>
  <r>
    <x v="2"/>
    <x v="0"/>
    <x v="2"/>
    <x v="2"/>
    <x v="0"/>
    <x v="0"/>
    <x v="0"/>
    <x v="0"/>
    <x v="0"/>
    <x v="0"/>
    <x v="0"/>
    <x v="0"/>
    <x v="1"/>
    <x v="8"/>
    <x v="8"/>
    <x v="10"/>
    <x v="10"/>
    <n v="45.045235523975698"/>
    <x v="0"/>
    <x v="0"/>
    <x v="1"/>
    <x v="4"/>
    <x v="5"/>
    <x v="10"/>
    <n v="49.099306721133516"/>
  </r>
  <r>
    <x v="2"/>
    <x v="0"/>
    <x v="2"/>
    <x v="2"/>
    <x v="0"/>
    <x v="0"/>
    <x v="0"/>
    <x v="0"/>
    <x v="0"/>
    <x v="0"/>
    <x v="0"/>
    <x v="0"/>
    <x v="1"/>
    <x v="8"/>
    <x v="8"/>
    <x v="11"/>
    <x v="11"/>
    <n v="5.4145799999999999"/>
    <x v="0"/>
    <x v="0"/>
    <x v="3"/>
    <x v="5"/>
    <x v="7"/>
    <x v="11"/>
    <n v="5.9018922000000007"/>
  </r>
  <r>
    <x v="2"/>
    <x v="0"/>
    <x v="2"/>
    <x v="2"/>
    <x v="0"/>
    <x v="0"/>
    <x v="0"/>
    <x v="0"/>
    <x v="0"/>
    <x v="0"/>
    <x v="0"/>
    <x v="0"/>
    <x v="1"/>
    <x v="8"/>
    <x v="8"/>
    <x v="36"/>
    <x v="36"/>
    <n v="1.6451834862375501"/>
    <x v="0"/>
    <x v="0"/>
    <x v="1"/>
    <x v="3"/>
    <x v="3"/>
    <x v="4"/>
    <n v="1.7932499999989298"/>
  </r>
  <r>
    <x v="2"/>
    <x v="0"/>
    <x v="2"/>
    <x v="2"/>
    <x v="0"/>
    <x v="0"/>
    <x v="0"/>
    <x v="0"/>
    <x v="0"/>
    <x v="0"/>
    <x v="0"/>
    <x v="0"/>
    <x v="1"/>
    <x v="8"/>
    <x v="8"/>
    <x v="24"/>
    <x v="24"/>
    <n v="82.103633027473705"/>
    <x v="0"/>
    <x v="0"/>
    <x v="1"/>
    <x v="3"/>
    <x v="3"/>
    <x v="4"/>
    <n v="89.492959999946351"/>
  </r>
  <r>
    <x v="2"/>
    <x v="0"/>
    <x v="2"/>
    <x v="2"/>
    <x v="0"/>
    <x v="0"/>
    <x v="0"/>
    <x v="0"/>
    <x v="0"/>
    <x v="0"/>
    <x v="0"/>
    <x v="0"/>
    <x v="1"/>
    <x v="8"/>
    <x v="8"/>
    <x v="17"/>
    <x v="17"/>
    <n v="26.087250000000001"/>
    <x v="0"/>
    <x v="0"/>
    <x v="0"/>
    <x v="0"/>
    <x v="4"/>
    <x v="17"/>
    <n v="28.435102500000003"/>
  </r>
  <r>
    <x v="2"/>
    <x v="0"/>
    <x v="2"/>
    <x v="2"/>
    <x v="0"/>
    <x v="0"/>
    <x v="0"/>
    <x v="0"/>
    <x v="0"/>
    <x v="0"/>
    <x v="0"/>
    <x v="0"/>
    <x v="1"/>
    <x v="8"/>
    <x v="8"/>
    <x v="21"/>
    <x v="21"/>
    <n v="6.2047981651338899"/>
    <x v="0"/>
    <x v="0"/>
    <x v="1"/>
    <x v="4"/>
    <x v="5"/>
    <x v="10"/>
    <n v="6.7632299999959402"/>
  </r>
  <r>
    <x v="2"/>
    <x v="0"/>
    <x v="2"/>
    <x v="2"/>
    <x v="0"/>
    <x v="0"/>
    <x v="0"/>
    <x v="0"/>
    <x v="0"/>
    <x v="0"/>
    <x v="0"/>
    <x v="0"/>
    <x v="1"/>
    <x v="8"/>
    <x v="8"/>
    <x v="18"/>
    <x v="18"/>
    <n v="25.584890000000001"/>
    <x v="0"/>
    <x v="0"/>
    <x v="0"/>
    <x v="0"/>
    <x v="4"/>
    <x v="18"/>
    <n v="27.887530100000003"/>
  </r>
  <r>
    <x v="2"/>
    <x v="0"/>
    <x v="2"/>
    <x v="2"/>
    <x v="0"/>
    <x v="0"/>
    <x v="0"/>
    <x v="0"/>
    <x v="0"/>
    <x v="0"/>
    <x v="0"/>
    <x v="0"/>
    <x v="1"/>
    <x v="8"/>
    <x v="8"/>
    <x v="34"/>
    <x v="34"/>
    <n v="2.9625406113033499"/>
    <x v="0"/>
    <x v="0"/>
    <x v="0"/>
    <x v="0"/>
    <x v="0"/>
    <x v="0"/>
    <n v="3.2291692663206515"/>
  </r>
  <r>
    <x v="2"/>
    <x v="0"/>
    <x v="2"/>
    <x v="2"/>
    <x v="0"/>
    <x v="0"/>
    <x v="0"/>
    <x v="0"/>
    <x v="0"/>
    <x v="0"/>
    <x v="0"/>
    <x v="0"/>
    <x v="1"/>
    <x v="8"/>
    <x v="8"/>
    <x v="37"/>
    <x v="37"/>
    <n v="46.175697247678698"/>
    <x v="0"/>
    <x v="0"/>
    <x v="1"/>
    <x v="3"/>
    <x v="3"/>
    <x v="4"/>
    <n v="50.331509999969782"/>
  </r>
  <r>
    <x v="2"/>
    <x v="0"/>
    <x v="2"/>
    <x v="2"/>
    <x v="0"/>
    <x v="0"/>
    <x v="0"/>
    <x v="0"/>
    <x v="0"/>
    <x v="0"/>
    <x v="0"/>
    <x v="0"/>
    <x v="1"/>
    <x v="8"/>
    <x v="8"/>
    <x v="0"/>
    <x v="0"/>
    <n v="11.259896797121501"/>
    <x v="0"/>
    <x v="0"/>
    <x v="0"/>
    <x v="0"/>
    <x v="0"/>
    <x v="0"/>
    <n v="12.273287508862436"/>
  </r>
  <r>
    <x v="2"/>
    <x v="0"/>
    <x v="2"/>
    <x v="2"/>
    <x v="0"/>
    <x v="0"/>
    <x v="0"/>
    <x v="0"/>
    <x v="0"/>
    <x v="0"/>
    <x v="0"/>
    <x v="0"/>
    <x v="0"/>
    <x v="9"/>
    <x v="9"/>
    <x v="6"/>
    <x v="6"/>
    <n v="130.98657"/>
    <x v="0"/>
    <x v="0"/>
    <x v="0"/>
    <x v="0"/>
    <x v="4"/>
    <x v="6"/>
    <n v="142.77536130000001"/>
  </r>
  <r>
    <x v="2"/>
    <x v="0"/>
    <x v="2"/>
    <x v="2"/>
    <x v="0"/>
    <x v="0"/>
    <x v="0"/>
    <x v="0"/>
    <x v="0"/>
    <x v="0"/>
    <x v="0"/>
    <x v="0"/>
    <x v="0"/>
    <x v="9"/>
    <x v="9"/>
    <x v="7"/>
    <x v="7"/>
    <n v="108.381954128375"/>
    <x v="0"/>
    <x v="0"/>
    <x v="1"/>
    <x v="4"/>
    <x v="5"/>
    <x v="7"/>
    <n v="118.13632999992876"/>
  </r>
  <r>
    <x v="2"/>
    <x v="0"/>
    <x v="2"/>
    <x v="2"/>
    <x v="0"/>
    <x v="0"/>
    <x v="0"/>
    <x v="0"/>
    <x v="0"/>
    <x v="0"/>
    <x v="0"/>
    <x v="0"/>
    <x v="0"/>
    <x v="9"/>
    <x v="9"/>
    <x v="9"/>
    <x v="9"/>
    <n v="346.593176285911"/>
    <x v="0"/>
    <x v="0"/>
    <x v="1"/>
    <x v="4"/>
    <x v="5"/>
    <x v="9"/>
    <n v="377.78656215164301"/>
  </r>
  <r>
    <x v="2"/>
    <x v="0"/>
    <x v="2"/>
    <x v="2"/>
    <x v="0"/>
    <x v="0"/>
    <x v="0"/>
    <x v="0"/>
    <x v="0"/>
    <x v="0"/>
    <x v="0"/>
    <x v="0"/>
    <x v="0"/>
    <x v="9"/>
    <x v="9"/>
    <x v="10"/>
    <x v="10"/>
    <n v="54.619321091429804"/>
    <x v="0"/>
    <x v="0"/>
    <x v="1"/>
    <x v="4"/>
    <x v="5"/>
    <x v="10"/>
    <n v="59.535059989658492"/>
  </r>
  <r>
    <x v="2"/>
    <x v="0"/>
    <x v="2"/>
    <x v="2"/>
    <x v="0"/>
    <x v="0"/>
    <x v="0"/>
    <x v="0"/>
    <x v="0"/>
    <x v="0"/>
    <x v="0"/>
    <x v="0"/>
    <x v="0"/>
    <x v="9"/>
    <x v="9"/>
    <x v="11"/>
    <x v="11"/>
    <n v="44.897309999999997"/>
    <x v="0"/>
    <x v="0"/>
    <x v="3"/>
    <x v="5"/>
    <x v="7"/>
    <x v="11"/>
    <n v="48.9380679"/>
  </r>
  <r>
    <x v="2"/>
    <x v="0"/>
    <x v="2"/>
    <x v="2"/>
    <x v="0"/>
    <x v="0"/>
    <x v="0"/>
    <x v="0"/>
    <x v="0"/>
    <x v="0"/>
    <x v="0"/>
    <x v="0"/>
    <x v="0"/>
    <x v="9"/>
    <x v="9"/>
    <x v="12"/>
    <x v="12"/>
    <n v="10.029034883682799"/>
    <x v="0"/>
    <x v="0"/>
    <x v="0"/>
    <x v="0"/>
    <x v="8"/>
    <x v="12"/>
    <n v="10.931648023214253"/>
  </r>
  <r>
    <x v="2"/>
    <x v="0"/>
    <x v="2"/>
    <x v="2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2"/>
    <x v="0"/>
    <x v="2"/>
    <x v="2"/>
    <x v="0"/>
    <x v="0"/>
    <x v="0"/>
    <x v="0"/>
    <x v="0"/>
    <x v="0"/>
    <x v="0"/>
    <x v="0"/>
    <x v="0"/>
    <x v="9"/>
    <x v="9"/>
    <x v="36"/>
    <x v="36"/>
    <n v="6.0219908256844601"/>
    <x v="0"/>
    <x v="0"/>
    <x v="1"/>
    <x v="3"/>
    <x v="3"/>
    <x v="4"/>
    <n v="6.5639699999960621"/>
  </r>
  <r>
    <x v="2"/>
    <x v="0"/>
    <x v="2"/>
    <x v="2"/>
    <x v="0"/>
    <x v="0"/>
    <x v="0"/>
    <x v="0"/>
    <x v="0"/>
    <x v="0"/>
    <x v="0"/>
    <x v="0"/>
    <x v="0"/>
    <x v="9"/>
    <x v="9"/>
    <x v="24"/>
    <x v="24"/>
    <n v="69.695045871517806"/>
    <x v="0"/>
    <x v="0"/>
    <x v="1"/>
    <x v="3"/>
    <x v="3"/>
    <x v="4"/>
    <n v="75.967599999954416"/>
  </r>
  <r>
    <x v="2"/>
    <x v="0"/>
    <x v="2"/>
    <x v="2"/>
    <x v="0"/>
    <x v="0"/>
    <x v="0"/>
    <x v="0"/>
    <x v="0"/>
    <x v="0"/>
    <x v="0"/>
    <x v="0"/>
    <x v="0"/>
    <x v="9"/>
    <x v="9"/>
    <x v="17"/>
    <x v="17"/>
    <n v="70.560010000000005"/>
    <x v="0"/>
    <x v="0"/>
    <x v="0"/>
    <x v="0"/>
    <x v="4"/>
    <x v="17"/>
    <n v="76.910410900000016"/>
  </r>
  <r>
    <x v="2"/>
    <x v="0"/>
    <x v="2"/>
    <x v="2"/>
    <x v="0"/>
    <x v="0"/>
    <x v="0"/>
    <x v="0"/>
    <x v="0"/>
    <x v="0"/>
    <x v="0"/>
    <x v="0"/>
    <x v="0"/>
    <x v="9"/>
    <x v="9"/>
    <x v="21"/>
    <x v="21"/>
    <n v="988.95773394436105"/>
    <x v="0"/>
    <x v="0"/>
    <x v="1"/>
    <x v="4"/>
    <x v="5"/>
    <x v="10"/>
    <n v="1077.9639299993537"/>
  </r>
  <r>
    <x v="2"/>
    <x v="0"/>
    <x v="2"/>
    <x v="2"/>
    <x v="0"/>
    <x v="0"/>
    <x v="0"/>
    <x v="0"/>
    <x v="0"/>
    <x v="0"/>
    <x v="0"/>
    <x v="0"/>
    <x v="0"/>
    <x v="9"/>
    <x v="9"/>
    <x v="18"/>
    <x v="18"/>
    <n v="130.69468000000001"/>
    <x v="0"/>
    <x v="0"/>
    <x v="0"/>
    <x v="0"/>
    <x v="4"/>
    <x v="18"/>
    <n v="142.45720120000001"/>
  </r>
  <r>
    <x v="2"/>
    <x v="0"/>
    <x v="2"/>
    <x v="2"/>
    <x v="0"/>
    <x v="0"/>
    <x v="0"/>
    <x v="0"/>
    <x v="0"/>
    <x v="0"/>
    <x v="0"/>
    <x v="0"/>
    <x v="0"/>
    <x v="9"/>
    <x v="9"/>
    <x v="34"/>
    <x v="34"/>
    <n v="11.980092576215601"/>
    <x v="0"/>
    <x v="0"/>
    <x v="0"/>
    <x v="0"/>
    <x v="0"/>
    <x v="0"/>
    <n v="13.058300908075006"/>
  </r>
  <r>
    <x v="2"/>
    <x v="0"/>
    <x v="2"/>
    <x v="2"/>
    <x v="0"/>
    <x v="0"/>
    <x v="0"/>
    <x v="0"/>
    <x v="0"/>
    <x v="0"/>
    <x v="0"/>
    <x v="0"/>
    <x v="0"/>
    <x v="9"/>
    <x v="9"/>
    <x v="37"/>
    <x v="37"/>
    <n v="21.351880733932099"/>
    <x v="0"/>
    <x v="0"/>
    <x v="1"/>
    <x v="3"/>
    <x v="3"/>
    <x v="4"/>
    <n v="23.273549999985988"/>
  </r>
  <r>
    <x v="2"/>
    <x v="0"/>
    <x v="2"/>
    <x v="2"/>
    <x v="0"/>
    <x v="0"/>
    <x v="0"/>
    <x v="0"/>
    <x v="0"/>
    <x v="0"/>
    <x v="0"/>
    <x v="0"/>
    <x v="0"/>
    <x v="9"/>
    <x v="9"/>
    <x v="26"/>
    <x v="26"/>
    <n v="13.373009174303901"/>
    <x v="0"/>
    <x v="0"/>
    <x v="1"/>
    <x v="3"/>
    <x v="3"/>
    <x v="15"/>
    <n v="14.576579999991253"/>
  </r>
  <r>
    <x v="2"/>
    <x v="0"/>
    <x v="2"/>
    <x v="2"/>
    <x v="0"/>
    <x v="0"/>
    <x v="0"/>
    <x v="0"/>
    <x v="0"/>
    <x v="0"/>
    <x v="0"/>
    <x v="0"/>
    <x v="0"/>
    <x v="9"/>
    <x v="9"/>
    <x v="0"/>
    <x v="0"/>
    <n v="1.4240658362949501"/>
    <x v="0"/>
    <x v="0"/>
    <x v="0"/>
    <x v="0"/>
    <x v="0"/>
    <x v="0"/>
    <n v="1.5522317615614958"/>
  </r>
  <r>
    <x v="2"/>
    <x v="0"/>
    <x v="2"/>
    <x v="2"/>
    <x v="0"/>
    <x v="0"/>
    <x v="0"/>
    <x v="0"/>
    <x v="0"/>
    <x v="0"/>
    <x v="0"/>
    <x v="0"/>
    <x v="0"/>
    <x v="9"/>
    <x v="9"/>
    <x v="2"/>
    <x v="2"/>
    <n v="20.488541284391399"/>
    <x v="0"/>
    <x v="1"/>
    <x v="2"/>
    <x v="2"/>
    <x v="13"/>
    <x v="2"/>
    <n v="22.332509999986627"/>
  </r>
  <r>
    <x v="2"/>
    <x v="0"/>
    <x v="2"/>
    <x v="2"/>
    <x v="0"/>
    <x v="0"/>
    <x v="0"/>
    <x v="0"/>
    <x v="0"/>
    <x v="0"/>
    <x v="0"/>
    <x v="0"/>
    <x v="2"/>
    <x v="10"/>
    <x v="10"/>
    <x v="6"/>
    <x v="6"/>
    <n v="119.61547"/>
    <x v="0"/>
    <x v="0"/>
    <x v="0"/>
    <x v="0"/>
    <x v="4"/>
    <x v="6"/>
    <n v="130.38086230000002"/>
  </r>
  <r>
    <x v="2"/>
    <x v="0"/>
    <x v="2"/>
    <x v="2"/>
    <x v="0"/>
    <x v="0"/>
    <x v="0"/>
    <x v="0"/>
    <x v="0"/>
    <x v="0"/>
    <x v="0"/>
    <x v="0"/>
    <x v="2"/>
    <x v="10"/>
    <x v="10"/>
    <x v="7"/>
    <x v="7"/>
    <n v="13.9208623853128"/>
    <x v="0"/>
    <x v="0"/>
    <x v="1"/>
    <x v="4"/>
    <x v="5"/>
    <x v="7"/>
    <n v="15.173739999990953"/>
  </r>
  <r>
    <x v="2"/>
    <x v="0"/>
    <x v="2"/>
    <x v="2"/>
    <x v="0"/>
    <x v="0"/>
    <x v="0"/>
    <x v="0"/>
    <x v="0"/>
    <x v="0"/>
    <x v="0"/>
    <x v="0"/>
    <x v="2"/>
    <x v="10"/>
    <x v="10"/>
    <x v="9"/>
    <x v="9"/>
    <n v="162.09931699381599"/>
    <x v="0"/>
    <x v="0"/>
    <x v="1"/>
    <x v="4"/>
    <x v="5"/>
    <x v="9"/>
    <n v="176.68825552325944"/>
  </r>
  <r>
    <x v="2"/>
    <x v="0"/>
    <x v="2"/>
    <x v="2"/>
    <x v="0"/>
    <x v="0"/>
    <x v="0"/>
    <x v="0"/>
    <x v="0"/>
    <x v="0"/>
    <x v="0"/>
    <x v="0"/>
    <x v="2"/>
    <x v="10"/>
    <x v="10"/>
    <x v="10"/>
    <x v="10"/>
    <n v="39.5643805657133"/>
    <x v="0"/>
    <x v="0"/>
    <x v="1"/>
    <x v="4"/>
    <x v="5"/>
    <x v="10"/>
    <n v="43.125174816627499"/>
  </r>
  <r>
    <x v="2"/>
    <x v="0"/>
    <x v="2"/>
    <x v="2"/>
    <x v="0"/>
    <x v="0"/>
    <x v="0"/>
    <x v="0"/>
    <x v="0"/>
    <x v="0"/>
    <x v="0"/>
    <x v="0"/>
    <x v="2"/>
    <x v="10"/>
    <x v="10"/>
    <x v="11"/>
    <x v="11"/>
    <n v="28.485810000000001"/>
    <x v="0"/>
    <x v="0"/>
    <x v="3"/>
    <x v="5"/>
    <x v="7"/>
    <x v="11"/>
    <n v="31.049532900000003"/>
  </r>
  <r>
    <x v="2"/>
    <x v="0"/>
    <x v="2"/>
    <x v="2"/>
    <x v="0"/>
    <x v="0"/>
    <x v="0"/>
    <x v="0"/>
    <x v="0"/>
    <x v="0"/>
    <x v="0"/>
    <x v="0"/>
    <x v="2"/>
    <x v="10"/>
    <x v="10"/>
    <x v="22"/>
    <x v="22"/>
    <n v="2.7003024193440401"/>
    <x v="0"/>
    <x v="0"/>
    <x v="0"/>
    <x v="0"/>
    <x v="0"/>
    <x v="0"/>
    <n v="2.9433296370850042"/>
  </r>
  <r>
    <x v="2"/>
    <x v="0"/>
    <x v="2"/>
    <x v="2"/>
    <x v="0"/>
    <x v="0"/>
    <x v="0"/>
    <x v="0"/>
    <x v="0"/>
    <x v="0"/>
    <x v="0"/>
    <x v="0"/>
    <x v="2"/>
    <x v="10"/>
    <x v="10"/>
    <x v="36"/>
    <x v="36"/>
    <n v="12.7402844036621"/>
    <x v="0"/>
    <x v="0"/>
    <x v="1"/>
    <x v="3"/>
    <x v="3"/>
    <x v="4"/>
    <n v="13.886909999991691"/>
  </r>
  <r>
    <x v="2"/>
    <x v="0"/>
    <x v="2"/>
    <x v="2"/>
    <x v="0"/>
    <x v="0"/>
    <x v="0"/>
    <x v="0"/>
    <x v="0"/>
    <x v="0"/>
    <x v="0"/>
    <x v="0"/>
    <x v="2"/>
    <x v="10"/>
    <x v="10"/>
    <x v="24"/>
    <x v="24"/>
    <n v="43.300412844010701"/>
    <x v="0"/>
    <x v="0"/>
    <x v="1"/>
    <x v="3"/>
    <x v="3"/>
    <x v="4"/>
    <n v="47.197449999971667"/>
  </r>
  <r>
    <x v="2"/>
    <x v="0"/>
    <x v="2"/>
    <x v="2"/>
    <x v="0"/>
    <x v="0"/>
    <x v="0"/>
    <x v="0"/>
    <x v="0"/>
    <x v="0"/>
    <x v="0"/>
    <x v="0"/>
    <x v="2"/>
    <x v="10"/>
    <x v="10"/>
    <x v="17"/>
    <x v="17"/>
    <n v="28.253250000000001"/>
    <x v="0"/>
    <x v="0"/>
    <x v="0"/>
    <x v="0"/>
    <x v="4"/>
    <x v="17"/>
    <n v="30.796042500000002"/>
  </r>
  <r>
    <x v="2"/>
    <x v="0"/>
    <x v="2"/>
    <x v="2"/>
    <x v="0"/>
    <x v="0"/>
    <x v="0"/>
    <x v="0"/>
    <x v="0"/>
    <x v="0"/>
    <x v="0"/>
    <x v="0"/>
    <x v="2"/>
    <x v="10"/>
    <x v="10"/>
    <x v="21"/>
    <x v="21"/>
    <n v="176.52521100906799"/>
    <x v="0"/>
    <x v="0"/>
    <x v="1"/>
    <x v="4"/>
    <x v="5"/>
    <x v="10"/>
    <n v="192.41247999988411"/>
  </r>
  <r>
    <x v="2"/>
    <x v="0"/>
    <x v="2"/>
    <x v="2"/>
    <x v="0"/>
    <x v="0"/>
    <x v="0"/>
    <x v="0"/>
    <x v="0"/>
    <x v="0"/>
    <x v="0"/>
    <x v="0"/>
    <x v="2"/>
    <x v="10"/>
    <x v="10"/>
    <x v="18"/>
    <x v="18"/>
    <n v="48.06"/>
    <x v="0"/>
    <x v="0"/>
    <x v="0"/>
    <x v="0"/>
    <x v="4"/>
    <x v="18"/>
    <n v="52.385400000000004"/>
  </r>
  <r>
    <x v="2"/>
    <x v="0"/>
    <x v="2"/>
    <x v="2"/>
    <x v="0"/>
    <x v="0"/>
    <x v="0"/>
    <x v="0"/>
    <x v="0"/>
    <x v="0"/>
    <x v="0"/>
    <x v="0"/>
    <x v="2"/>
    <x v="10"/>
    <x v="10"/>
    <x v="34"/>
    <x v="34"/>
    <n v="24.9644436676979"/>
    <x v="0"/>
    <x v="0"/>
    <x v="0"/>
    <x v="0"/>
    <x v="0"/>
    <x v="0"/>
    <n v="27.211243597790713"/>
  </r>
  <r>
    <x v="2"/>
    <x v="0"/>
    <x v="2"/>
    <x v="2"/>
    <x v="0"/>
    <x v="0"/>
    <x v="0"/>
    <x v="0"/>
    <x v="0"/>
    <x v="0"/>
    <x v="0"/>
    <x v="0"/>
    <x v="2"/>
    <x v="10"/>
    <x v="10"/>
    <x v="37"/>
    <x v="37"/>
    <n v="27.724458715579701"/>
    <x v="0"/>
    <x v="0"/>
    <x v="1"/>
    <x v="3"/>
    <x v="3"/>
    <x v="4"/>
    <n v="30.219659999981875"/>
  </r>
  <r>
    <x v="2"/>
    <x v="0"/>
    <x v="2"/>
    <x v="2"/>
    <x v="0"/>
    <x v="0"/>
    <x v="0"/>
    <x v="0"/>
    <x v="0"/>
    <x v="0"/>
    <x v="0"/>
    <x v="0"/>
    <x v="2"/>
    <x v="10"/>
    <x v="10"/>
    <x v="26"/>
    <x v="26"/>
    <n v="45.458009174284598"/>
    <x v="0"/>
    <x v="0"/>
    <x v="1"/>
    <x v="3"/>
    <x v="3"/>
    <x v="15"/>
    <n v="49.549229999970215"/>
  </r>
  <r>
    <x v="2"/>
    <x v="0"/>
    <x v="2"/>
    <x v="2"/>
    <x v="0"/>
    <x v="0"/>
    <x v="0"/>
    <x v="0"/>
    <x v="0"/>
    <x v="0"/>
    <x v="0"/>
    <x v="0"/>
    <x v="2"/>
    <x v="10"/>
    <x v="10"/>
    <x v="0"/>
    <x v="0"/>
    <n v="89.766711743520901"/>
    <x v="0"/>
    <x v="0"/>
    <x v="0"/>
    <x v="0"/>
    <x v="0"/>
    <x v="0"/>
    <n v="97.845715800437787"/>
  </r>
  <r>
    <x v="2"/>
    <x v="0"/>
    <x v="2"/>
    <x v="2"/>
    <x v="0"/>
    <x v="0"/>
    <x v="0"/>
    <x v="0"/>
    <x v="0"/>
    <x v="0"/>
    <x v="0"/>
    <x v="0"/>
    <x v="2"/>
    <x v="10"/>
    <x v="10"/>
    <x v="2"/>
    <x v="2"/>
    <n v="517.20203669693694"/>
    <x v="0"/>
    <x v="1"/>
    <x v="2"/>
    <x v="2"/>
    <x v="13"/>
    <x v="2"/>
    <n v="563.75021999966134"/>
  </r>
  <r>
    <x v="2"/>
    <x v="0"/>
    <x v="2"/>
    <x v="2"/>
    <x v="0"/>
    <x v="0"/>
    <x v="0"/>
    <x v="0"/>
    <x v="0"/>
    <x v="0"/>
    <x v="0"/>
    <x v="0"/>
    <x v="4"/>
    <x v="5"/>
    <x v="5"/>
    <x v="4"/>
    <x v="4"/>
    <n v="2.56326605504433"/>
    <x v="0"/>
    <x v="0"/>
    <x v="1"/>
    <x v="3"/>
    <x v="3"/>
    <x v="4"/>
    <n v="2.7939599999983198"/>
  </r>
  <r>
    <x v="2"/>
    <x v="0"/>
    <x v="2"/>
    <x v="2"/>
    <x v="0"/>
    <x v="0"/>
    <x v="0"/>
    <x v="0"/>
    <x v="0"/>
    <x v="0"/>
    <x v="0"/>
    <x v="0"/>
    <x v="4"/>
    <x v="5"/>
    <x v="5"/>
    <x v="5"/>
    <x v="5"/>
    <n v="217.16775460287701"/>
    <x v="0"/>
    <x v="0"/>
    <x v="1"/>
    <x v="1"/>
    <x v="1"/>
    <x v="5"/>
    <n v="236.71285251713596"/>
  </r>
  <r>
    <x v="2"/>
    <x v="0"/>
    <x v="2"/>
    <x v="2"/>
    <x v="0"/>
    <x v="0"/>
    <x v="0"/>
    <x v="0"/>
    <x v="0"/>
    <x v="0"/>
    <x v="0"/>
    <x v="0"/>
    <x v="4"/>
    <x v="5"/>
    <x v="5"/>
    <x v="6"/>
    <x v="6"/>
    <n v="473.37560999999999"/>
    <x v="0"/>
    <x v="0"/>
    <x v="0"/>
    <x v="0"/>
    <x v="4"/>
    <x v="6"/>
    <n v="515.97941490000005"/>
  </r>
  <r>
    <x v="2"/>
    <x v="0"/>
    <x v="2"/>
    <x v="2"/>
    <x v="0"/>
    <x v="0"/>
    <x v="0"/>
    <x v="0"/>
    <x v="0"/>
    <x v="0"/>
    <x v="0"/>
    <x v="0"/>
    <x v="4"/>
    <x v="5"/>
    <x v="5"/>
    <x v="7"/>
    <x v="7"/>
    <n v="9.2453119265999604"/>
    <x v="0"/>
    <x v="0"/>
    <x v="1"/>
    <x v="4"/>
    <x v="5"/>
    <x v="7"/>
    <n v="10.077389999993958"/>
  </r>
  <r>
    <x v="2"/>
    <x v="0"/>
    <x v="2"/>
    <x v="2"/>
    <x v="0"/>
    <x v="0"/>
    <x v="0"/>
    <x v="0"/>
    <x v="0"/>
    <x v="0"/>
    <x v="0"/>
    <x v="0"/>
    <x v="4"/>
    <x v="5"/>
    <x v="5"/>
    <x v="8"/>
    <x v="8"/>
    <n v="1424.66465541452"/>
    <x v="0"/>
    <x v="1"/>
    <x v="2"/>
    <x v="2"/>
    <x v="6"/>
    <x v="8"/>
    <n v="1552.884474401827"/>
  </r>
  <r>
    <x v="2"/>
    <x v="0"/>
    <x v="2"/>
    <x v="2"/>
    <x v="0"/>
    <x v="0"/>
    <x v="0"/>
    <x v="0"/>
    <x v="0"/>
    <x v="0"/>
    <x v="0"/>
    <x v="0"/>
    <x v="4"/>
    <x v="5"/>
    <x v="5"/>
    <x v="9"/>
    <x v="9"/>
    <n v="853.86197152938598"/>
    <x v="0"/>
    <x v="0"/>
    <x v="1"/>
    <x v="4"/>
    <x v="5"/>
    <x v="9"/>
    <n v="930.70954896703074"/>
  </r>
  <r>
    <x v="2"/>
    <x v="0"/>
    <x v="2"/>
    <x v="2"/>
    <x v="0"/>
    <x v="0"/>
    <x v="0"/>
    <x v="0"/>
    <x v="0"/>
    <x v="0"/>
    <x v="0"/>
    <x v="0"/>
    <x v="4"/>
    <x v="5"/>
    <x v="5"/>
    <x v="10"/>
    <x v="10"/>
    <n v="159.655682844024"/>
    <x v="0"/>
    <x v="0"/>
    <x v="1"/>
    <x v="4"/>
    <x v="5"/>
    <x v="10"/>
    <n v="174.02469429998618"/>
  </r>
  <r>
    <x v="2"/>
    <x v="0"/>
    <x v="2"/>
    <x v="2"/>
    <x v="0"/>
    <x v="0"/>
    <x v="0"/>
    <x v="0"/>
    <x v="0"/>
    <x v="0"/>
    <x v="0"/>
    <x v="0"/>
    <x v="4"/>
    <x v="5"/>
    <x v="5"/>
    <x v="29"/>
    <x v="29"/>
    <n v="1.4254199999999999"/>
    <x v="0"/>
    <x v="0"/>
    <x v="1"/>
    <x v="3"/>
    <x v="3"/>
    <x v="13"/>
    <n v="1.5537078"/>
  </r>
  <r>
    <x v="2"/>
    <x v="0"/>
    <x v="2"/>
    <x v="2"/>
    <x v="0"/>
    <x v="0"/>
    <x v="0"/>
    <x v="0"/>
    <x v="0"/>
    <x v="0"/>
    <x v="0"/>
    <x v="0"/>
    <x v="4"/>
    <x v="5"/>
    <x v="5"/>
    <x v="35"/>
    <x v="35"/>
    <n v="347.613"/>
    <x v="0"/>
    <x v="0"/>
    <x v="0"/>
    <x v="0"/>
    <x v="0"/>
    <x v="0"/>
    <n v="378.89817000000005"/>
  </r>
  <r>
    <x v="2"/>
    <x v="0"/>
    <x v="2"/>
    <x v="2"/>
    <x v="0"/>
    <x v="0"/>
    <x v="0"/>
    <x v="0"/>
    <x v="0"/>
    <x v="0"/>
    <x v="0"/>
    <x v="0"/>
    <x v="4"/>
    <x v="5"/>
    <x v="5"/>
    <x v="55"/>
    <x v="55"/>
    <n v="2.15633027522806"/>
    <x v="0"/>
    <x v="0"/>
    <x v="1"/>
    <x v="3"/>
    <x v="3"/>
    <x v="15"/>
    <n v="2.3503999999985856"/>
  </r>
  <r>
    <x v="2"/>
    <x v="0"/>
    <x v="2"/>
    <x v="2"/>
    <x v="0"/>
    <x v="0"/>
    <x v="0"/>
    <x v="0"/>
    <x v="0"/>
    <x v="0"/>
    <x v="0"/>
    <x v="0"/>
    <x v="4"/>
    <x v="5"/>
    <x v="5"/>
    <x v="12"/>
    <x v="12"/>
    <n v="268.825953487351"/>
    <x v="0"/>
    <x v="0"/>
    <x v="0"/>
    <x v="0"/>
    <x v="8"/>
    <x v="12"/>
    <n v="293.02028930121259"/>
  </r>
  <r>
    <x v="2"/>
    <x v="0"/>
    <x v="2"/>
    <x v="2"/>
    <x v="0"/>
    <x v="0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11.44748600000001"/>
  </r>
  <r>
    <x v="2"/>
    <x v="0"/>
    <x v="2"/>
    <x v="2"/>
    <x v="0"/>
    <x v="0"/>
    <x v="0"/>
    <x v="0"/>
    <x v="0"/>
    <x v="0"/>
    <x v="0"/>
    <x v="0"/>
    <x v="4"/>
    <x v="5"/>
    <x v="5"/>
    <x v="22"/>
    <x v="22"/>
    <n v="36.266951612758199"/>
    <x v="0"/>
    <x v="0"/>
    <x v="0"/>
    <x v="0"/>
    <x v="0"/>
    <x v="0"/>
    <n v="39.530977257906436"/>
  </r>
  <r>
    <x v="2"/>
    <x v="0"/>
    <x v="2"/>
    <x v="2"/>
    <x v="0"/>
    <x v="0"/>
    <x v="0"/>
    <x v="0"/>
    <x v="0"/>
    <x v="0"/>
    <x v="0"/>
    <x v="0"/>
    <x v="4"/>
    <x v="5"/>
    <x v="5"/>
    <x v="33"/>
    <x v="33"/>
    <n v="4.6719908256852696"/>
    <x v="0"/>
    <x v="0"/>
    <x v="1"/>
    <x v="3"/>
    <x v="3"/>
    <x v="4"/>
    <n v="5.0924699999969443"/>
  </r>
  <r>
    <x v="2"/>
    <x v="0"/>
    <x v="2"/>
    <x v="2"/>
    <x v="0"/>
    <x v="0"/>
    <x v="0"/>
    <x v="0"/>
    <x v="0"/>
    <x v="0"/>
    <x v="0"/>
    <x v="0"/>
    <x v="4"/>
    <x v="5"/>
    <x v="5"/>
    <x v="36"/>
    <x v="36"/>
    <n v="49.532449541254699"/>
    <x v="0"/>
    <x v="0"/>
    <x v="1"/>
    <x v="3"/>
    <x v="3"/>
    <x v="4"/>
    <n v="53.990369999967626"/>
  </r>
  <r>
    <x v="2"/>
    <x v="0"/>
    <x v="2"/>
    <x v="2"/>
    <x v="0"/>
    <x v="0"/>
    <x v="0"/>
    <x v="0"/>
    <x v="0"/>
    <x v="0"/>
    <x v="0"/>
    <x v="0"/>
    <x v="4"/>
    <x v="5"/>
    <x v="5"/>
    <x v="23"/>
    <x v="23"/>
    <n v="6.0507339449505002"/>
    <x v="0"/>
    <x v="0"/>
    <x v="1"/>
    <x v="3"/>
    <x v="3"/>
    <x v="15"/>
    <n v="6.5952999999960458"/>
  </r>
  <r>
    <x v="2"/>
    <x v="0"/>
    <x v="2"/>
    <x v="2"/>
    <x v="0"/>
    <x v="0"/>
    <x v="0"/>
    <x v="0"/>
    <x v="0"/>
    <x v="0"/>
    <x v="0"/>
    <x v="0"/>
    <x v="4"/>
    <x v="5"/>
    <x v="5"/>
    <x v="24"/>
    <x v="24"/>
    <n v="73.628889908212699"/>
    <x v="0"/>
    <x v="0"/>
    <x v="1"/>
    <x v="3"/>
    <x v="3"/>
    <x v="4"/>
    <n v="80.255489999951848"/>
  </r>
  <r>
    <x v="2"/>
    <x v="0"/>
    <x v="2"/>
    <x v="2"/>
    <x v="0"/>
    <x v="0"/>
    <x v="0"/>
    <x v="0"/>
    <x v="0"/>
    <x v="0"/>
    <x v="0"/>
    <x v="0"/>
    <x v="4"/>
    <x v="5"/>
    <x v="5"/>
    <x v="17"/>
    <x v="17"/>
    <n v="134.96325999999999"/>
    <x v="0"/>
    <x v="0"/>
    <x v="0"/>
    <x v="0"/>
    <x v="4"/>
    <x v="17"/>
    <n v="147.10995339999999"/>
  </r>
  <r>
    <x v="2"/>
    <x v="0"/>
    <x v="2"/>
    <x v="2"/>
    <x v="0"/>
    <x v="0"/>
    <x v="0"/>
    <x v="0"/>
    <x v="0"/>
    <x v="0"/>
    <x v="0"/>
    <x v="0"/>
    <x v="4"/>
    <x v="5"/>
    <x v="5"/>
    <x v="21"/>
    <x v="21"/>
    <n v="157.225908256786"/>
    <x v="0"/>
    <x v="0"/>
    <x v="1"/>
    <x v="4"/>
    <x v="5"/>
    <x v="10"/>
    <n v="171.37623999989674"/>
  </r>
  <r>
    <x v="2"/>
    <x v="0"/>
    <x v="2"/>
    <x v="2"/>
    <x v="0"/>
    <x v="0"/>
    <x v="0"/>
    <x v="0"/>
    <x v="0"/>
    <x v="0"/>
    <x v="0"/>
    <x v="0"/>
    <x v="4"/>
    <x v="5"/>
    <x v="5"/>
    <x v="18"/>
    <x v="18"/>
    <n v="700.47272999999996"/>
    <x v="0"/>
    <x v="0"/>
    <x v="0"/>
    <x v="0"/>
    <x v="4"/>
    <x v="18"/>
    <n v="763.51527569999996"/>
  </r>
  <r>
    <x v="2"/>
    <x v="0"/>
    <x v="2"/>
    <x v="2"/>
    <x v="0"/>
    <x v="0"/>
    <x v="0"/>
    <x v="0"/>
    <x v="0"/>
    <x v="0"/>
    <x v="0"/>
    <x v="0"/>
    <x v="4"/>
    <x v="5"/>
    <x v="5"/>
    <x v="34"/>
    <x v="34"/>
    <n v="101.138530129285"/>
    <x v="0"/>
    <x v="0"/>
    <x v="0"/>
    <x v="0"/>
    <x v="0"/>
    <x v="0"/>
    <n v="110.24099784092066"/>
  </r>
  <r>
    <x v="2"/>
    <x v="0"/>
    <x v="2"/>
    <x v="2"/>
    <x v="0"/>
    <x v="0"/>
    <x v="0"/>
    <x v="0"/>
    <x v="0"/>
    <x v="0"/>
    <x v="0"/>
    <x v="0"/>
    <x v="4"/>
    <x v="5"/>
    <x v="5"/>
    <x v="25"/>
    <x v="25"/>
    <n v="31.9888165137423"/>
    <x v="0"/>
    <x v="0"/>
    <x v="1"/>
    <x v="4"/>
    <x v="5"/>
    <x v="9"/>
    <n v="34.867809999979109"/>
  </r>
  <r>
    <x v="2"/>
    <x v="0"/>
    <x v="2"/>
    <x v="2"/>
    <x v="0"/>
    <x v="0"/>
    <x v="0"/>
    <x v="0"/>
    <x v="0"/>
    <x v="0"/>
    <x v="0"/>
    <x v="0"/>
    <x v="4"/>
    <x v="5"/>
    <x v="5"/>
    <x v="37"/>
    <x v="37"/>
    <n v="101.73071559626899"/>
    <x v="0"/>
    <x v="0"/>
    <x v="1"/>
    <x v="3"/>
    <x v="3"/>
    <x v="4"/>
    <n v="110.88647999993321"/>
  </r>
  <r>
    <x v="2"/>
    <x v="0"/>
    <x v="2"/>
    <x v="2"/>
    <x v="0"/>
    <x v="0"/>
    <x v="0"/>
    <x v="0"/>
    <x v="0"/>
    <x v="0"/>
    <x v="0"/>
    <x v="0"/>
    <x v="4"/>
    <x v="5"/>
    <x v="5"/>
    <x v="27"/>
    <x v="27"/>
    <n v="60.908648649939899"/>
    <x v="0"/>
    <x v="0"/>
    <x v="1"/>
    <x v="3"/>
    <x v="3"/>
    <x v="19"/>
    <n v="66.390427028434488"/>
  </r>
  <r>
    <x v="2"/>
    <x v="0"/>
    <x v="2"/>
    <x v="2"/>
    <x v="0"/>
    <x v="0"/>
    <x v="0"/>
    <x v="0"/>
    <x v="0"/>
    <x v="0"/>
    <x v="0"/>
    <x v="0"/>
    <x v="4"/>
    <x v="5"/>
    <x v="5"/>
    <x v="26"/>
    <x v="26"/>
    <n v="36.896697247684301"/>
    <x v="0"/>
    <x v="0"/>
    <x v="1"/>
    <x v="3"/>
    <x v="3"/>
    <x v="15"/>
    <n v="40.217399999975889"/>
  </r>
  <r>
    <x v="2"/>
    <x v="0"/>
    <x v="2"/>
    <x v="2"/>
    <x v="0"/>
    <x v="0"/>
    <x v="0"/>
    <x v="0"/>
    <x v="0"/>
    <x v="0"/>
    <x v="0"/>
    <x v="0"/>
    <x v="4"/>
    <x v="5"/>
    <x v="5"/>
    <x v="0"/>
    <x v="0"/>
    <n v="116.295891458749"/>
    <x v="0"/>
    <x v="0"/>
    <x v="0"/>
    <x v="0"/>
    <x v="0"/>
    <x v="0"/>
    <n v="126.76252169003642"/>
  </r>
  <r>
    <x v="2"/>
    <x v="0"/>
    <x v="2"/>
    <x v="2"/>
    <x v="0"/>
    <x v="0"/>
    <x v="0"/>
    <x v="0"/>
    <x v="0"/>
    <x v="0"/>
    <x v="0"/>
    <x v="0"/>
    <x v="4"/>
    <x v="5"/>
    <x v="5"/>
    <x v="2"/>
    <x v="2"/>
    <n v="6708.3688165097401"/>
    <x v="0"/>
    <x v="1"/>
    <x v="2"/>
    <x v="2"/>
    <x v="13"/>
    <x v="2"/>
    <n v="7312.1220099956172"/>
  </r>
  <r>
    <x v="2"/>
    <x v="0"/>
    <x v="2"/>
    <x v="2"/>
    <x v="0"/>
    <x v="0"/>
    <x v="0"/>
    <x v="0"/>
    <x v="0"/>
    <x v="0"/>
    <x v="3"/>
    <x v="3"/>
    <x v="3"/>
    <x v="3"/>
    <x v="3"/>
    <x v="8"/>
    <x v="8"/>
    <n v="6.0168918919299999E-2"/>
    <x v="0"/>
    <x v="1"/>
    <x v="2"/>
    <x v="2"/>
    <x v="6"/>
    <x v="8"/>
    <n v="6.5584121622037E-2"/>
  </r>
  <r>
    <x v="2"/>
    <x v="0"/>
    <x v="2"/>
    <x v="2"/>
    <x v="0"/>
    <x v="0"/>
    <x v="0"/>
    <x v="0"/>
    <x v="0"/>
    <x v="0"/>
    <x v="3"/>
    <x v="3"/>
    <x v="3"/>
    <x v="3"/>
    <x v="3"/>
    <x v="3"/>
    <x v="3"/>
    <n v="2.5415266007869799"/>
    <x v="0"/>
    <x v="0"/>
    <x v="1"/>
    <x v="3"/>
    <x v="3"/>
    <x v="3"/>
    <n v="2.7702639948578085"/>
  </r>
  <r>
    <x v="2"/>
    <x v="0"/>
    <x v="2"/>
    <x v="2"/>
    <x v="0"/>
    <x v="0"/>
    <x v="0"/>
    <x v="0"/>
    <x v="0"/>
    <x v="0"/>
    <x v="3"/>
    <x v="3"/>
    <x v="0"/>
    <x v="4"/>
    <x v="4"/>
    <x v="16"/>
    <x v="16"/>
    <n v="20.11176"/>
    <x v="0"/>
    <x v="0"/>
    <x v="3"/>
    <x v="5"/>
    <x v="9"/>
    <x v="16"/>
    <n v="21.921818400000003"/>
  </r>
  <r>
    <x v="2"/>
    <x v="0"/>
    <x v="2"/>
    <x v="2"/>
    <x v="0"/>
    <x v="0"/>
    <x v="0"/>
    <x v="0"/>
    <x v="0"/>
    <x v="0"/>
    <x v="3"/>
    <x v="3"/>
    <x v="2"/>
    <x v="2"/>
    <x v="2"/>
    <x v="5"/>
    <x v="5"/>
    <n v="83.137263804312795"/>
    <x v="0"/>
    <x v="0"/>
    <x v="1"/>
    <x v="1"/>
    <x v="1"/>
    <x v="5"/>
    <n v="90.619617546700951"/>
  </r>
  <r>
    <x v="2"/>
    <x v="0"/>
    <x v="2"/>
    <x v="2"/>
    <x v="0"/>
    <x v="0"/>
    <x v="0"/>
    <x v="0"/>
    <x v="0"/>
    <x v="0"/>
    <x v="3"/>
    <x v="3"/>
    <x v="2"/>
    <x v="2"/>
    <x v="2"/>
    <x v="6"/>
    <x v="6"/>
    <n v="113.49293"/>
    <x v="0"/>
    <x v="0"/>
    <x v="0"/>
    <x v="0"/>
    <x v="4"/>
    <x v="6"/>
    <n v="123.70729370000001"/>
  </r>
  <r>
    <x v="2"/>
    <x v="0"/>
    <x v="2"/>
    <x v="2"/>
    <x v="0"/>
    <x v="0"/>
    <x v="0"/>
    <x v="0"/>
    <x v="0"/>
    <x v="0"/>
    <x v="3"/>
    <x v="3"/>
    <x v="2"/>
    <x v="2"/>
    <x v="2"/>
    <x v="8"/>
    <x v="8"/>
    <n v="133.13118243328401"/>
    <x v="0"/>
    <x v="1"/>
    <x v="2"/>
    <x v="2"/>
    <x v="6"/>
    <x v="8"/>
    <n v="145.11298885227959"/>
  </r>
  <r>
    <x v="2"/>
    <x v="0"/>
    <x v="2"/>
    <x v="2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2"/>
    <x v="0"/>
    <x v="2"/>
    <x v="2"/>
    <x v="0"/>
    <x v="0"/>
    <x v="0"/>
    <x v="0"/>
    <x v="0"/>
    <x v="0"/>
    <x v="3"/>
    <x v="3"/>
    <x v="2"/>
    <x v="2"/>
    <x v="2"/>
    <x v="14"/>
    <x v="14"/>
    <n v="1.0745800000000001"/>
    <x v="0"/>
    <x v="0"/>
    <x v="0"/>
    <x v="0"/>
    <x v="8"/>
    <x v="14"/>
    <n v="1.1712922000000001"/>
  </r>
  <r>
    <x v="2"/>
    <x v="0"/>
    <x v="2"/>
    <x v="2"/>
    <x v="0"/>
    <x v="0"/>
    <x v="0"/>
    <x v="0"/>
    <x v="0"/>
    <x v="0"/>
    <x v="3"/>
    <x v="3"/>
    <x v="2"/>
    <x v="2"/>
    <x v="2"/>
    <x v="16"/>
    <x v="16"/>
    <n v="44.869990000000001"/>
    <x v="0"/>
    <x v="0"/>
    <x v="3"/>
    <x v="5"/>
    <x v="9"/>
    <x v="16"/>
    <n v="48.908289100000005"/>
  </r>
  <r>
    <x v="2"/>
    <x v="0"/>
    <x v="2"/>
    <x v="2"/>
    <x v="0"/>
    <x v="0"/>
    <x v="0"/>
    <x v="0"/>
    <x v="0"/>
    <x v="0"/>
    <x v="3"/>
    <x v="3"/>
    <x v="2"/>
    <x v="2"/>
    <x v="2"/>
    <x v="0"/>
    <x v="0"/>
    <n v="1.9509386120941801"/>
    <x v="0"/>
    <x v="0"/>
    <x v="0"/>
    <x v="0"/>
    <x v="0"/>
    <x v="0"/>
    <n v="2.1265230871826564"/>
  </r>
  <r>
    <x v="2"/>
    <x v="0"/>
    <x v="2"/>
    <x v="2"/>
    <x v="0"/>
    <x v="0"/>
    <x v="0"/>
    <x v="0"/>
    <x v="0"/>
    <x v="0"/>
    <x v="3"/>
    <x v="3"/>
    <x v="2"/>
    <x v="2"/>
    <x v="2"/>
    <x v="2"/>
    <x v="2"/>
    <n v="97.442422018290202"/>
    <x v="0"/>
    <x v="1"/>
    <x v="2"/>
    <x v="2"/>
    <x v="13"/>
    <x v="2"/>
    <n v="106.21223999993633"/>
  </r>
  <r>
    <x v="2"/>
    <x v="0"/>
    <x v="2"/>
    <x v="2"/>
    <x v="0"/>
    <x v="0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2"/>
    <x v="0"/>
    <x v="2"/>
    <x v="2"/>
    <x v="0"/>
    <x v="0"/>
    <x v="0"/>
    <x v="0"/>
    <x v="0"/>
    <x v="0"/>
    <x v="3"/>
    <x v="3"/>
    <x v="4"/>
    <x v="5"/>
    <x v="5"/>
    <x v="8"/>
    <x v="8"/>
    <n v="68.564310811249598"/>
    <x v="0"/>
    <x v="1"/>
    <x v="2"/>
    <x v="2"/>
    <x v="6"/>
    <x v="8"/>
    <n v="74.735098784262064"/>
  </r>
  <r>
    <x v="2"/>
    <x v="0"/>
    <x v="2"/>
    <x v="2"/>
    <x v="0"/>
    <x v="0"/>
    <x v="0"/>
    <x v="0"/>
    <x v="0"/>
    <x v="0"/>
    <x v="3"/>
    <x v="3"/>
    <x v="4"/>
    <x v="5"/>
    <x v="5"/>
    <x v="12"/>
    <x v="12"/>
    <n v="39.522034883570697"/>
    <x v="0"/>
    <x v="0"/>
    <x v="0"/>
    <x v="0"/>
    <x v="8"/>
    <x v="12"/>
    <n v="43.079018023092061"/>
  </r>
  <r>
    <x v="2"/>
    <x v="0"/>
    <x v="2"/>
    <x v="2"/>
    <x v="0"/>
    <x v="0"/>
    <x v="0"/>
    <x v="0"/>
    <x v="0"/>
    <x v="0"/>
    <x v="3"/>
    <x v="3"/>
    <x v="4"/>
    <x v="5"/>
    <x v="5"/>
    <x v="18"/>
    <x v="18"/>
    <n v="19.770710000000001"/>
    <x v="0"/>
    <x v="0"/>
    <x v="0"/>
    <x v="0"/>
    <x v="4"/>
    <x v="18"/>
    <n v="21.550073900000005"/>
  </r>
  <r>
    <x v="2"/>
    <x v="0"/>
    <x v="2"/>
    <x v="2"/>
    <x v="0"/>
    <x v="0"/>
    <x v="0"/>
    <x v="0"/>
    <x v="0"/>
    <x v="0"/>
    <x v="3"/>
    <x v="3"/>
    <x v="4"/>
    <x v="5"/>
    <x v="5"/>
    <x v="27"/>
    <x v="27"/>
    <n v="6.0810810812099998"/>
    <x v="0"/>
    <x v="0"/>
    <x v="1"/>
    <x v="3"/>
    <x v="3"/>
    <x v="19"/>
    <n v="6.6283783785189003"/>
  </r>
  <r>
    <x v="2"/>
    <x v="0"/>
    <x v="2"/>
    <x v="2"/>
    <x v="0"/>
    <x v="0"/>
    <x v="0"/>
    <x v="0"/>
    <x v="0"/>
    <x v="0"/>
    <x v="3"/>
    <x v="3"/>
    <x v="4"/>
    <x v="5"/>
    <x v="5"/>
    <x v="0"/>
    <x v="0"/>
    <n v="392.15472597755002"/>
    <x v="0"/>
    <x v="0"/>
    <x v="0"/>
    <x v="0"/>
    <x v="0"/>
    <x v="0"/>
    <n v="427.44865131552956"/>
  </r>
  <r>
    <x v="2"/>
    <x v="0"/>
    <x v="2"/>
    <x v="2"/>
    <x v="0"/>
    <x v="0"/>
    <x v="0"/>
    <x v="0"/>
    <x v="0"/>
    <x v="0"/>
    <x v="3"/>
    <x v="3"/>
    <x v="4"/>
    <x v="5"/>
    <x v="5"/>
    <x v="2"/>
    <x v="2"/>
    <n v="8.4039816513710992"/>
    <x v="0"/>
    <x v="1"/>
    <x v="2"/>
    <x v="2"/>
    <x v="13"/>
    <x v="2"/>
    <n v="9.1603399999944983"/>
  </r>
  <r>
    <x v="2"/>
    <x v="0"/>
    <x v="2"/>
    <x v="2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2"/>
    <x v="0"/>
    <x v="2"/>
    <x v="2"/>
    <x v="0"/>
    <x v="0"/>
    <x v="0"/>
    <x v="0"/>
    <x v="0"/>
    <x v="0"/>
    <x v="18"/>
    <x v="18"/>
    <x v="0"/>
    <x v="4"/>
    <x v="4"/>
    <x v="16"/>
    <x v="16"/>
    <n v="153.33333999999999"/>
    <x v="0"/>
    <x v="0"/>
    <x v="3"/>
    <x v="5"/>
    <x v="9"/>
    <x v="16"/>
    <n v="167.1333406"/>
  </r>
  <r>
    <x v="2"/>
    <x v="0"/>
    <x v="2"/>
    <x v="2"/>
    <x v="0"/>
    <x v="0"/>
    <x v="0"/>
    <x v="0"/>
    <x v="0"/>
    <x v="0"/>
    <x v="18"/>
    <x v="18"/>
    <x v="0"/>
    <x v="4"/>
    <x v="4"/>
    <x v="3"/>
    <x v="3"/>
    <n v="0.19023853210998001"/>
    <x v="0"/>
    <x v="0"/>
    <x v="1"/>
    <x v="3"/>
    <x v="3"/>
    <x v="3"/>
    <n v="0.20735999999987823"/>
  </r>
  <r>
    <x v="2"/>
    <x v="0"/>
    <x v="2"/>
    <x v="2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2"/>
    <x v="0"/>
    <x v="2"/>
    <x v="2"/>
    <x v="0"/>
    <x v="0"/>
    <x v="0"/>
    <x v="0"/>
    <x v="0"/>
    <x v="0"/>
    <x v="4"/>
    <x v="4"/>
    <x v="2"/>
    <x v="2"/>
    <x v="2"/>
    <x v="5"/>
    <x v="5"/>
    <n v="0.47781595092388002"/>
    <x v="0"/>
    <x v="0"/>
    <x v="1"/>
    <x v="1"/>
    <x v="1"/>
    <x v="5"/>
    <n v="0.5208193865070293"/>
  </r>
  <r>
    <x v="2"/>
    <x v="0"/>
    <x v="2"/>
    <x v="2"/>
    <x v="0"/>
    <x v="0"/>
    <x v="0"/>
    <x v="0"/>
    <x v="0"/>
    <x v="0"/>
    <x v="4"/>
    <x v="4"/>
    <x v="2"/>
    <x v="2"/>
    <x v="2"/>
    <x v="6"/>
    <x v="6"/>
    <n v="0.15"/>
    <x v="0"/>
    <x v="0"/>
    <x v="0"/>
    <x v="0"/>
    <x v="4"/>
    <x v="6"/>
    <n v="0.16350000000000001"/>
  </r>
  <r>
    <x v="2"/>
    <x v="0"/>
    <x v="2"/>
    <x v="2"/>
    <x v="0"/>
    <x v="0"/>
    <x v="0"/>
    <x v="0"/>
    <x v="0"/>
    <x v="0"/>
    <x v="4"/>
    <x v="4"/>
    <x v="2"/>
    <x v="2"/>
    <x v="2"/>
    <x v="7"/>
    <x v="7"/>
    <n v="0.82672477064171002"/>
    <x v="0"/>
    <x v="0"/>
    <x v="1"/>
    <x v="4"/>
    <x v="5"/>
    <x v="7"/>
    <n v="0.90112999999946397"/>
  </r>
  <r>
    <x v="2"/>
    <x v="0"/>
    <x v="2"/>
    <x v="2"/>
    <x v="0"/>
    <x v="0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2"/>
    <x v="0"/>
    <x v="2"/>
    <x v="2"/>
    <x v="0"/>
    <x v="0"/>
    <x v="0"/>
    <x v="0"/>
    <x v="0"/>
    <x v="0"/>
    <x v="4"/>
    <x v="4"/>
    <x v="2"/>
    <x v="2"/>
    <x v="2"/>
    <x v="9"/>
    <x v="9"/>
    <n v="7.7394495412799996E-2"/>
    <x v="0"/>
    <x v="0"/>
    <x v="1"/>
    <x v="4"/>
    <x v="5"/>
    <x v="9"/>
    <n v="8.4359999999952001E-2"/>
  </r>
  <r>
    <x v="2"/>
    <x v="0"/>
    <x v="2"/>
    <x v="2"/>
    <x v="0"/>
    <x v="0"/>
    <x v="0"/>
    <x v="0"/>
    <x v="0"/>
    <x v="0"/>
    <x v="4"/>
    <x v="4"/>
    <x v="2"/>
    <x v="2"/>
    <x v="2"/>
    <x v="10"/>
    <x v="10"/>
    <n v="0.50418348623822995"/>
    <x v="0"/>
    <x v="0"/>
    <x v="1"/>
    <x v="4"/>
    <x v="5"/>
    <x v="10"/>
    <n v="0.54955999999967065"/>
  </r>
  <r>
    <x v="2"/>
    <x v="0"/>
    <x v="2"/>
    <x v="2"/>
    <x v="0"/>
    <x v="0"/>
    <x v="0"/>
    <x v="0"/>
    <x v="0"/>
    <x v="0"/>
    <x v="4"/>
    <x v="4"/>
    <x v="2"/>
    <x v="2"/>
    <x v="2"/>
    <x v="11"/>
    <x v="11"/>
    <n v="0.42030000000000001"/>
    <x v="0"/>
    <x v="0"/>
    <x v="3"/>
    <x v="5"/>
    <x v="7"/>
    <x v="11"/>
    <n v="0.45812700000000006"/>
  </r>
  <r>
    <x v="2"/>
    <x v="0"/>
    <x v="2"/>
    <x v="2"/>
    <x v="0"/>
    <x v="0"/>
    <x v="0"/>
    <x v="0"/>
    <x v="0"/>
    <x v="0"/>
    <x v="4"/>
    <x v="4"/>
    <x v="2"/>
    <x v="2"/>
    <x v="2"/>
    <x v="12"/>
    <x v="12"/>
    <n v="20.8653953487579"/>
    <x v="0"/>
    <x v="0"/>
    <x v="0"/>
    <x v="0"/>
    <x v="8"/>
    <x v="12"/>
    <n v="22.743280930146113"/>
  </r>
  <r>
    <x v="2"/>
    <x v="0"/>
    <x v="2"/>
    <x v="2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2"/>
    <x v="0"/>
    <x v="2"/>
    <x v="2"/>
    <x v="0"/>
    <x v="0"/>
    <x v="0"/>
    <x v="0"/>
    <x v="0"/>
    <x v="0"/>
    <x v="4"/>
    <x v="4"/>
    <x v="2"/>
    <x v="2"/>
    <x v="2"/>
    <x v="16"/>
    <x v="16"/>
    <n v="2.9812500000000002"/>
    <x v="0"/>
    <x v="0"/>
    <x v="3"/>
    <x v="5"/>
    <x v="9"/>
    <x v="16"/>
    <n v="3.2495625000000006"/>
  </r>
  <r>
    <x v="2"/>
    <x v="0"/>
    <x v="2"/>
    <x v="2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2"/>
    <x v="0"/>
    <x v="2"/>
    <x v="2"/>
    <x v="0"/>
    <x v="0"/>
    <x v="0"/>
    <x v="0"/>
    <x v="0"/>
    <x v="0"/>
    <x v="4"/>
    <x v="4"/>
    <x v="2"/>
    <x v="2"/>
    <x v="2"/>
    <x v="27"/>
    <x v="27"/>
    <n v="0.63658558559907996"/>
    <x v="0"/>
    <x v="0"/>
    <x v="1"/>
    <x v="3"/>
    <x v="3"/>
    <x v="19"/>
    <n v="0.69387828830299725"/>
  </r>
  <r>
    <x v="2"/>
    <x v="0"/>
    <x v="2"/>
    <x v="2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2"/>
    <x v="0"/>
    <x v="2"/>
    <x v="2"/>
    <x v="0"/>
    <x v="0"/>
    <x v="0"/>
    <x v="0"/>
    <x v="0"/>
    <x v="0"/>
    <x v="4"/>
    <x v="4"/>
    <x v="2"/>
    <x v="2"/>
    <x v="2"/>
    <x v="2"/>
    <x v="2"/>
    <n v="3.18244954128249"/>
    <x v="0"/>
    <x v="1"/>
    <x v="2"/>
    <x v="2"/>
    <x v="13"/>
    <x v="2"/>
    <n v="3.4688699999979145"/>
  </r>
  <r>
    <x v="2"/>
    <x v="0"/>
    <x v="2"/>
    <x v="2"/>
    <x v="0"/>
    <x v="0"/>
    <x v="0"/>
    <x v="0"/>
    <x v="2"/>
    <x v="2"/>
    <x v="5"/>
    <x v="5"/>
    <x v="2"/>
    <x v="2"/>
    <x v="2"/>
    <x v="42"/>
    <x v="42"/>
    <n v="1.9228000000000001"/>
    <x v="1"/>
    <x v="2"/>
    <x v="5"/>
    <x v="7"/>
    <x v="11"/>
    <x v="22"/>
    <n v="2.0958520000000003"/>
  </r>
  <r>
    <x v="2"/>
    <x v="0"/>
    <x v="2"/>
    <x v="2"/>
    <x v="0"/>
    <x v="0"/>
    <x v="0"/>
    <x v="0"/>
    <x v="2"/>
    <x v="2"/>
    <x v="5"/>
    <x v="5"/>
    <x v="2"/>
    <x v="2"/>
    <x v="2"/>
    <x v="41"/>
    <x v="41"/>
    <n v="0.40587234042399001"/>
    <x v="1"/>
    <x v="2"/>
    <x v="5"/>
    <x v="7"/>
    <x v="11"/>
    <x v="22"/>
    <n v="0.44240085106214916"/>
  </r>
  <r>
    <x v="2"/>
    <x v="0"/>
    <x v="2"/>
    <x v="2"/>
    <x v="0"/>
    <x v="0"/>
    <x v="0"/>
    <x v="0"/>
    <x v="2"/>
    <x v="2"/>
    <x v="5"/>
    <x v="5"/>
    <x v="2"/>
    <x v="2"/>
    <x v="2"/>
    <x v="40"/>
    <x v="40"/>
    <n v="34.274430000000002"/>
    <x v="1"/>
    <x v="2"/>
    <x v="5"/>
    <x v="7"/>
    <x v="11"/>
    <x v="22"/>
    <n v="37.359128700000007"/>
  </r>
  <r>
    <x v="2"/>
    <x v="0"/>
    <x v="2"/>
    <x v="2"/>
    <x v="0"/>
    <x v="0"/>
    <x v="0"/>
    <x v="0"/>
    <x v="2"/>
    <x v="2"/>
    <x v="5"/>
    <x v="5"/>
    <x v="2"/>
    <x v="2"/>
    <x v="2"/>
    <x v="38"/>
    <x v="38"/>
    <n v="107.19344"/>
    <x v="1"/>
    <x v="0"/>
    <x v="4"/>
    <x v="6"/>
    <x v="10"/>
    <x v="21"/>
    <n v="116.8408496"/>
  </r>
  <r>
    <x v="2"/>
    <x v="0"/>
    <x v="2"/>
    <x v="2"/>
    <x v="0"/>
    <x v="0"/>
    <x v="0"/>
    <x v="0"/>
    <x v="0"/>
    <x v="0"/>
    <x v="5"/>
    <x v="5"/>
    <x v="2"/>
    <x v="2"/>
    <x v="2"/>
    <x v="17"/>
    <x v="17"/>
    <n v="1.67808"/>
    <x v="0"/>
    <x v="0"/>
    <x v="0"/>
    <x v="0"/>
    <x v="4"/>
    <x v="17"/>
    <n v="1.8291072000000002"/>
  </r>
  <r>
    <x v="2"/>
    <x v="0"/>
    <x v="2"/>
    <x v="2"/>
    <x v="0"/>
    <x v="0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2"/>
    <x v="0"/>
    <x v="2"/>
    <x v="2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2"/>
    <x v="0"/>
    <x v="2"/>
    <x v="2"/>
    <x v="0"/>
    <x v="0"/>
    <x v="0"/>
    <x v="0"/>
    <x v="2"/>
    <x v="2"/>
    <x v="5"/>
    <x v="5"/>
    <x v="3"/>
    <x v="7"/>
    <x v="7"/>
    <x v="40"/>
    <x v="40"/>
    <n v="6.4527299999999999"/>
    <x v="1"/>
    <x v="2"/>
    <x v="5"/>
    <x v="7"/>
    <x v="11"/>
    <x v="22"/>
    <n v="7.0334757000000003"/>
  </r>
  <r>
    <x v="2"/>
    <x v="0"/>
    <x v="2"/>
    <x v="2"/>
    <x v="0"/>
    <x v="0"/>
    <x v="0"/>
    <x v="0"/>
    <x v="2"/>
    <x v="2"/>
    <x v="5"/>
    <x v="5"/>
    <x v="1"/>
    <x v="8"/>
    <x v="8"/>
    <x v="40"/>
    <x v="40"/>
    <n v="4.8096899999999998"/>
    <x v="1"/>
    <x v="2"/>
    <x v="5"/>
    <x v="7"/>
    <x v="11"/>
    <x v="22"/>
    <n v="5.2425620999999998"/>
  </r>
  <r>
    <x v="2"/>
    <x v="0"/>
    <x v="2"/>
    <x v="2"/>
    <x v="0"/>
    <x v="0"/>
    <x v="0"/>
    <x v="0"/>
    <x v="2"/>
    <x v="2"/>
    <x v="5"/>
    <x v="5"/>
    <x v="2"/>
    <x v="10"/>
    <x v="10"/>
    <x v="40"/>
    <x v="40"/>
    <n v="1.0451699999999999"/>
    <x v="1"/>
    <x v="2"/>
    <x v="5"/>
    <x v="7"/>
    <x v="11"/>
    <x v="22"/>
    <n v="1.1392353"/>
  </r>
  <r>
    <x v="2"/>
    <x v="0"/>
    <x v="2"/>
    <x v="2"/>
    <x v="0"/>
    <x v="0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2"/>
    <x v="0"/>
    <x v="2"/>
    <x v="2"/>
    <x v="0"/>
    <x v="0"/>
    <x v="0"/>
    <x v="0"/>
    <x v="2"/>
    <x v="2"/>
    <x v="5"/>
    <x v="5"/>
    <x v="4"/>
    <x v="5"/>
    <x v="5"/>
    <x v="40"/>
    <x v="40"/>
    <n v="550.93106999999998"/>
    <x v="1"/>
    <x v="2"/>
    <x v="5"/>
    <x v="7"/>
    <x v="11"/>
    <x v="22"/>
    <n v="600.51486629999999"/>
  </r>
  <r>
    <x v="2"/>
    <x v="0"/>
    <x v="2"/>
    <x v="2"/>
    <x v="0"/>
    <x v="0"/>
    <x v="0"/>
    <x v="0"/>
    <x v="2"/>
    <x v="2"/>
    <x v="6"/>
    <x v="6"/>
    <x v="2"/>
    <x v="2"/>
    <x v="2"/>
    <x v="40"/>
    <x v="40"/>
    <n v="0.73036000000000001"/>
    <x v="1"/>
    <x v="2"/>
    <x v="5"/>
    <x v="7"/>
    <x v="11"/>
    <x v="22"/>
    <n v="0.79609240000000003"/>
  </r>
  <r>
    <x v="2"/>
    <x v="0"/>
    <x v="2"/>
    <x v="2"/>
    <x v="0"/>
    <x v="0"/>
    <x v="0"/>
    <x v="0"/>
    <x v="2"/>
    <x v="2"/>
    <x v="7"/>
    <x v="7"/>
    <x v="2"/>
    <x v="2"/>
    <x v="2"/>
    <x v="40"/>
    <x v="40"/>
    <n v="26.277729999999998"/>
    <x v="1"/>
    <x v="2"/>
    <x v="5"/>
    <x v="7"/>
    <x v="11"/>
    <x v="22"/>
    <n v="28.6427257"/>
  </r>
  <r>
    <x v="2"/>
    <x v="0"/>
    <x v="2"/>
    <x v="2"/>
    <x v="0"/>
    <x v="0"/>
    <x v="0"/>
    <x v="0"/>
    <x v="2"/>
    <x v="2"/>
    <x v="7"/>
    <x v="7"/>
    <x v="2"/>
    <x v="2"/>
    <x v="2"/>
    <x v="38"/>
    <x v="38"/>
    <n v="274.42385999999999"/>
    <x v="1"/>
    <x v="0"/>
    <x v="4"/>
    <x v="6"/>
    <x v="10"/>
    <x v="21"/>
    <n v="299.12200740000003"/>
  </r>
  <r>
    <x v="2"/>
    <x v="0"/>
    <x v="2"/>
    <x v="2"/>
    <x v="0"/>
    <x v="0"/>
    <x v="0"/>
    <x v="0"/>
    <x v="2"/>
    <x v="2"/>
    <x v="7"/>
    <x v="7"/>
    <x v="2"/>
    <x v="2"/>
    <x v="2"/>
    <x v="43"/>
    <x v="43"/>
    <n v="11.025"/>
    <x v="1"/>
    <x v="0"/>
    <x v="4"/>
    <x v="6"/>
    <x v="10"/>
    <x v="21"/>
    <n v="12.017250000000001"/>
  </r>
  <r>
    <x v="2"/>
    <x v="0"/>
    <x v="2"/>
    <x v="2"/>
    <x v="0"/>
    <x v="0"/>
    <x v="0"/>
    <x v="0"/>
    <x v="2"/>
    <x v="2"/>
    <x v="7"/>
    <x v="7"/>
    <x v="2"/>
    <x v="2"/>
    <x v="2"/>
    <x v="44"/>
    <x v="44"/>
    <n v="8.08"/>
    <x v="1"/>
    <x v="0"/>
    <x v="4"/>
    <x v="6"/>
    <x v="10"/>
    <x v="21"/>
    <n v="8.8071999999999999"/>
  </r>
  <r>
    <x v="2"/>
    <x v="0"/>
    <x v="2"/>
    <x v="2"/>
    <x v="0"/>
    <x v="0"/>
    <x v="0"/>
    <x v="0"/>
    <x v="0"/>
    <x v="0"/>
    <x v="7"/>
    <x v="7"/>
    <x v="2"/>
    <x v="2"/>
    <x v="2"/>
    <x v="17"/>
    <x v="17"/>
    <n v="12.692"/>
    <x v="0"/>
    <x v="0"/>
    <x v="0"/>
    <x v="0"/>
    <x v="4"/>
    <x v="17"/>
    <n v="13.834280000000001"/>
  </r>
  <r>
    <x v="2"/>
    <x v="0"/>
    <x v="2"/>
    <x v="2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2"/>
    <x v="0"/>
    <x v="2"/>
    <x v="2"/>
    <x v="0"/>
    <x v="0"/>
    <x v="0"/>
    <x v="0"/>
    <x v="2"/>
    <x v="2"/>
    <x v="7"/>
    <x v="7"/>
    <x v="2"/>
    <x v="2"/>
    <x v="2"/>
    <x v="46"/>
    <x v="46"/>
    <n v="0.90895999999999999"/>
    <x v="1"/>
    <x v="0"/>
    <x v="4"/>
    <x v="6"/>
    <x v="10"/>
    <x v="21"/>
    <n v="0.99076640000000005"/>
  </r>
  <r>
    <x v="2"/>
    <x v="0"/>
    <x v="2"/>
    <x v="2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2"/>
    <x v="0"/>
    <x v="2"/>
    <x v="2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2"/>
    <x v="0"/>
    <x v="2"/>
    <x v="2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2"/>
    <x v="0"/>
    <x v="2"/>
    <x v="2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2"/>
    <x v="0"/>
    <x v="2"/>
    <x v="2"/>
    <x v="0"/>
    <x v="0"/>
    <x v="0"/>
    <x v="0"/>
    <x v="2"/>
    <x v="2"/>
    <x v="7"/>
    <x v="7"/>
    <x v="3"/>
    <x v="7"/>
    <x v="7"/>
    <x v="40"/>
    <x v="40"/>
    <n v="180.36819"/>
    <x v="1"/>
    <x v="2"/>
    <x v="5"/>
    <x v="7"/>
    <x v="11"/>
    <x v="22"/>
    <n v="196.60132710000002"/>
  </r>
  <r>
    <x v="2"/>
    <x v="0"/>
    <x v="2"/>
    <x v="2"/>
    <x v="0"/>
    <x v="0"/>
    <x v="0"/>
    <x v="0"/>
    <x v="2"/>
    <x v="2"/>
    <x v="7"/>
    <x v="7"/>
    <x v="1"/>
    <x v="8"/>
    <x v="8"/>
    <x v="40"/>
    <x v="40"/>
    <n v="31.73508"/>
    <x v="1"/>
    <x v="2"/>
    <x v="5"/>
    <x v="7"/>
    <x v="11"/>
    <x v="22"/>
    <n v="34.591237200000002"/>
  </r>
  <r>
    <x v="2"/>
    <x v="0"/>
    <x v="2"/>
    <x v="2"/>
    <x v="0"/>
    <x v="0"/>
    <x v="0"/>
    <x v="0"/>
    <x v="2"/>
    <x v="2"/>
    <x v="7"/>
    <x v="7"/>
    <x v="2"/>
    <x v="10"/>
    <x v="10"/>
    <x v="40"/>
    <x v="40"/>
    <n v="3.4839000000000002"/>
    <x v="1"/>
    <x v="2"/>
    <x v="5"/>
    <x v="7"/>
    <x v="11"/>
    <x v="22"/>
    <n v="3.7974510000000006"/>
  </r>
  <r>
    <x v="2"/>
    <x v="0"/>
    <x v="2"/>
    <x v="2"/>
    <x v="0"/>
    <x v="0"/>
    <x v="0"/>
    <x v="0"/>
    <x v="2"/>
    <x v="2"/>
    <x v="7"/>
    <x v="7"/>
    <x v="4"/>
    <x v="5"/>
    <x v="5"/>
    <x v="40"/>
    <x v="40"/>
    <n v="148.58778000000001"/>
    <x v="1"/>
    <x v="2"/>
    <x v="5"/>
    <x v="7"/>
    <x v="11"/>
    <x v="22"/>
    <n v="161.96068020000001"/>
  </r>
  <r>
    <x v="2"/>
    <x v="0"/>
    <x v="2"/>
    <x v="2"/>
    <x v="0"/>
    <x v="0"/>
    <x v="0"/>
    <x v="0"/>
    <x v="2"/>
    <x v="2"/>
    <x v="8"/>
    <x v="8"/>
    <x v="2"/>
    <x v="2"/>
    <x v="2"/>
    <x v="40"/>
    <x v="40"/>
    <n v="9.1363400000000006"/>
    <x v="1"/>
    <x v="2"/>
    <x v="5"/>
    <x v="7"/>
    <x v="11"/>
    <x v="22"/>
    <n v="9.9586106000000019"/>
  </r>
  <r>
    <x v="2"/>
    <x v="0"/>
    <x v="2"/>
    <x v="2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2"/>
    <x v="0"/>
    <x v="2"/>
    <x v="2"/>
    <x v="0"/>
    <x v="0"/>
    <x v="0"/>
    <x v="0"/>
    <x v="2"/>
    <x v="2"/>
    <x v="9"/>
    <x v="9"/>
    <x v="2"/>
    <x v="2"/>
    <x v="2"/>
    <x v="40"/>
    <x v="40"/>
    <n v="254.90016"/>
    <x v="1"/>
    <x v="2"/>
    <x v="5"/>
    <x v="7"/>
    <x v="11"/>
    <x v="22"/>
    <n v="277.8411744"/>
  </r>
  <r>
    <x v="2"/>
    <x v="0"/>
    <x v="2"/>
    <x v="2"/>
    <x v="0"/>
    <x v="0"/>
    <x v="0"/>
    <x v="0"/>
    <x v="2"/>
    <x v="2"/>
    <x v="9"/>
    <x v="9"/>
    <x v="2"/>
    <x v="2"/>
    <x v="2"/>
    <x v="38"/>
    <x v="38"/>
    <n v="729.47933"/>
    <x v="1"/>
    <x v="0"/>
    <x v="4"/>
    <x v="6"/>
    <x v="10"/>
    <x v="21"/>
    <n v="795.13246970000012"/>
  </r>
  <r>
    <x v="2"/>
    <x v="0"/>
    <x v="2"/>
    <x v="2"/>
    <x v="0"/>
    <x v="0"/>
    <x v="0"/>
    <x v="0"/>
    <x v="2"/>
    <x v="2"/>
    <x v="9"/>
    <x v="9"/>
    <x v="2"/>
    <x v="2"/>
    <x v="2"/>
    <x v="48"/>
    <x v="48"/>
    <n v="1.08338"/>
    <x v="1"/>
    <x v="0"/>
    <x v="4"/>
    <x v="6"/>
    <x v="10"/>
    <x v="21"/>
    <n v="1.1808842000000002"/>
  </r>
  <r>
    <x v="2"/>
    <x v="0"/>
    <x v="2"/>
    <x v="2"/>
    <x v="0"/>
    <x v="0"/>
    <x v="0"/>
    <x v="0"/>
    <x v="2"/>
    <x v="2"/>
    <x v="9"/>
    <x v="9"/>
    <x v="1"/>
    <x v="6"/>
    <x v="6"/>
    <x v="40"/>
    <x v="40"/>
    <n v="103.655"/>
    <x v="1"/>
    <x v="2"/>
    <x v="5"/>
    <x v="7"/>
    <x v="11"/>
    <x v="22"/>
    <n v="112.98395000000001"/>
  </r>
  <r>
    <x v="2"/>
    <x v="0"/>
    <x v="2"/>
    <x v="2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2"/>
    <x v="0"/>
    <x v="2"/>
    <x v="2"/>
    <x v="0"/>
    <x v="0"/>
    <x v="0"/>
    <x v="0"/>
    <x v="2"/>
    <x v="2"/>
    <x v="9"/>
    <x v="9"/>
    <x v="3"/>
    <x v="7"/>
    <x v="7"/>
    <x v="40"/>
    <x v="40"/>
    <n v="1303.6880100000001"/>
    <x v="1"/>
    <x v="2"/>
    <x v="5"/>
    <x v="7"/>
    <x v="11"/>
    <x v="22"/>
    <n v="1421.0199309000002"/>
  </r>
  <r>
    <x v="2"/>
    <x v="0"/>
    <x v="2"/>
    <x v="2"/>
    <x v="0"/>
    <x v="0"/>
    <x v="0"/>
    <x v="0"/>
    <x v="2"/>
    <x v="2"/>
    <x v="9"/>
    <x v="9"/>
    <x v="1"/>
    <x v="8"/>
    <x v="8"/>
    <x v="40"/>
    <x v="40"/>
    <n v="803.94521999999995"/>
    <x v="1"/>
    <x v="2"/>
    <x v="5"/>
    <x v="7"/>
    <x v="11"/>
    <x v="22"/>
    <n v="876.30028979999997"/>
  </r>
  <r>
    <x v="2"/>
    <x v="0"/>
    <x v="2"/>
    <x v="2"/>
    <x v="0"/>
    <x v="0"/>
    <x v="0"/>
    <x v="0"/>
    <x v="2"/>
    <x v="2"/>
    <x v="9"/>
    <x v="9"/>
    <x v="2"/>
    <x v="10"/>
    <x v="10"/>
    <x v="40"/>
    <x v="40"/>
    <n v="332.98266000000001"/>
    <x v="1"/>
    <x v="2"/>
    <x v="5"/>
    <x v="7"/>
    <x v="11"/>
    <x v="22"/>
    <n v="362.95109940000003"/>
  </r>
  <r>
    <x v="2"/>
    <x v="0"/>
    <x v="2"/>
    <x v="2"/>
    <x v="0"/>
    <x v="0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2"/>
    <x v="0"/>
    <x v="2"/>
    <x v="2"/>
    <x v="0"/>
    <x v="0"/>
    <x v="0"/>
    <x v="0"/>
    <x v="2"/>
    <x v="2"/>
    <x v="9"/>
    <x v="9"/>
    <x v="4"/>
    <x v="5"/>
    <x v="5"/>
    <x v="40"/>
    <x v="40"/>
    <n v="2666.68788"/>
    <x v="1"/>
    <x v="2"/>
    <x v="5"/>
    <x v="7"/>
    <x v="11"/>
    <x v="22"/>
    <n v="2906.6897892000002"/>
  </r>
  <r>
    <x v="2"/>
    <x v="0"/>
    <x v="2"/>
    <x v="2"/>
    <x v="0"/>
    <x v="0"/>
    <x v="0"/>
    <x v="0"/>
    <x v="2"/>
    <x v="2"/>
    <x v="10"/>
    <x v="10"/>
    <x v="2"/>
    <x v="2"/>
    <x v="2"/>
    <x v="41"/>
    <x v="41"/>
    <n v="0.52755319148736002"/>
    <x v="1"/>
    <x v="2"/>
    <x v="5"/>
    <x v="7"/>
    <x v="11"/>
    <x v="22"/>
    <n v="0.5750329787212225"/>
  </r>
  <r>
    <x v="2"/>
    <x v="0"/>
    <x v="2"/>
    <x v="2"/>
    <x v="0"/>
    <x v="0"/>
    <x v="0"/>
    <x v="0"/>
    <x v="2"/>
    <x v="2"/>
    <x v="10"/>
    <x v="10"/>
    <x v="2"/>
    <x v="2"/>
    <x v="2"/>
    <x v="40"/>
    <x v="40"/>
    <n v="256.59980999999999"/>
    <x v="1"/>
    <x v="2"/>
    <x v="5"/>
    <x v="7"/>
    <x v="11"/>
    <x v="22"/>
    <n v="279.69379290000001"/>
  </r>
  <r>
    <x v="2"/>
    <x v="0"/>
    <x v="2"/>
    <x v="2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2"/>
    <x v="0"/>
    <x v="2"/>
    <x v="2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2"/>
    <x v="0"/>
    <x v="2"/>
    <x v="2"/>
    <x v="0"/>
    <x v="0"/>
    <x v="0"/>
    <x v="0"/>
    <x v="3"/>
    <x v="3"/>
    <x v="12"/>
    <x v="12"/>
    <x v="2"/>
    <x v="2"/>
    <x v="2"/>
    <x v="40"/>
    <x v="40"/>
    <n v="1.5009999999999999"/>
    <x v="1"/>
    <x v="2"/>
    <x v="5"/>
    <x v="7"/>
    <x v="11"/>
    <x v="22"/>
    <n v="1.63609"/>
  </r>
  <r>
    <x v="2"/>
    <x v="0"/>
    <x v="2"/>
    <x v="2"/>
    <x v="0"/>
    <x v="0"/>
    <x v="0"/>
    <x v="0"/>
    <x v="3"/>
    <x v="3"/>
    <x v="12"/>
    <x v="12"/>
    <x v="3"/>
    <x v="7"/>
    <x v="7"/>
    <x v="40"/>
    <x v="40"/>
    <n v="135.43916999999999"/>
    <x v="1"/>
    <x v="2"/>
    <x v="5"/>
    <x v="7"/>
    <x v="11"/>
    <x v="22"/>
    <n v="147.6286953"/>
  </r>
  <r>
    <x v="2"/>
    <x v="0"/>
    <x v="2"/>
    <x v="2"/>
    <x v="0"/>
    <x v="0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2"/>
    <x v="0"/>
    <x v="2"/>
    <x v="2"/>
    <x v="0"/>
    <x v="0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2"/>
    <x v="0"/>
    <x v="2"/>
    <x v="2"/>
    <x v="0"/>
    <x v="0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2"/>
    <x v="0"/>
    <x v="2"/>
    <x v="2"/>
    <x v="0"/>
    <x v="0"/>
    <x v="0"/>
    <x v="0"/>
    <x v="3"/>
    <x v="3"/>
    <x v="12"/>
    <x v="12"/>
    <x v="4"/>
    <x v="5"/>
    <x v="5"/>
    <x v="40"/>
    <x v="40"/>
    <n v="168.85499999999999"/>
    <x v="1"/>
    <x v="2"/>
    <x v="5"/>
    <x v="7"/>
    <x v="11"/>
    <x v="22"/>
    <n v="184.05195000000001"/>
  </r>
  <r>
    <x v="2"/>
    <x v="0"/>
    <x v="2"/>
    <x v="2"/>
    <x v="0"/>
    <x v="0"/>
    <x v="0"/>
    <x v="0"/>
    <x v="3"/>
    <x v="3"/>
    <x v="13"/>
    <x v="13"/>
    <x v="2"/>
    <x v="2"/>
    <x v="2"/>
    <x v="41"/>
    <x v="41"/>
    <n v="0.48712765957262"/>
    <x v="1"/>
    <x v="2"/>
    <x v="5"/>
    <x v="7"/>
    <x v="11"/>
    <x v="22"/>
    <n v="0.53096914893415581"/>
  </r>
  <r>
    <x v="2"/>
    <x v="0"/>
    <x v="2"/>
    <x v="2"/>
    <x v="0"/>
    <x v="0"/>
    <x v="0"/>
    <x v="0"/>
    <x v="3"/>
    <x v="3"/>
    <x v="13"/>
    <x v="13"/>
    <x v="2"/>
    <x v="2"/>
    <x v="2"/>
    <x v="40"/>
    <x v="40"/>
    <n v="68.941289999999995"/>
    <x v="1"/>
    <x v="2"/>
    <x v="5"/>
    <x v="7"/>
    <x v="11"/>
    <x v="22"/>
    <n v="75.146006099999994"/>
  </r>
  <r>
    <x v="2"/>
    <x v="0"/>
    <x v="2"/>
    <x v="2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2"/>
    <x v="0"/>
    <x v="2"/>
    <x v="2"/>
    <x v="0"/>
    <x v="0"/>
    <x v="0"/>
    <x v="0"/>
    <x v="3"/>
    <x v="3"/>
    <x v="13"/>
    <x v="13"/>
    <x v="1"/>
    <x v="8"/>
    <x v="8"/>
    <x v="40"/>
    <x v="40"/>
    <n v="3.2012999999999998"/>
    <x v="1"/>
    <x v="2"/>
    <x v="5"/>
    <x v="7"/>
    <x v="11"/>
    <x v="22"/>
    <n v="3.489417"/>
  </r>
  <r>
    <x v="2"/>
    <x v="0"/>
    <x v="2"/>
    <x v="2"/>
    <x v="0"/>
    <x v="0"/>
    <x v="0"/>
    <x v="0"/>
    <x v="3"/>
    <x v="3"/>
    <x v="13"/>
    <x v="13"/>
    <x v="4"/>
    <x v="5"/>
    <x v="5"/>
    <x v="40"/>
    <x v="40"/>
    <n v="1.4966999999999999"/>
    <x v="1"/>
    <x v="2"/>
    <x v="5"/>
    <x v="7"/>
    <x v="11"/>
    <x v="22"/>
    <n v="1.6314029999999999"/>
  </r>
  <r>
    <x v="2"/>
    <x v="0"/>
    <x v="2"/>
    <x v="2"/>
    <x v="0"/>
    <x v="0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2"/>
    <x v="0"/>
    <x v="2"/>
    <x v="2"/>
    <x v="0"/>
    <x v="0"/>
    <x v="0"/>
    <x v="0"/>
    <x v="3"/>
    <x v="3"/>
    <x v="19"/>
    <x v="19"/>
    <x v="3"/>
    <x v="7"/>
    <x v="7"/>
    <x v="40"/>
    <x v="40"/>
    <n v="561.11580000000004"/>
    <x v="1"/>
    <x v="2"/>
    <x v="5"/>
    <x v="7"/>
    <x v="11"/>
    <x v="22"/>
    <n v="611.61622200000011"/>
  </r>
  <r>
    <x v="2"/>
    <x v="0"/>
    <x v="2"/>
    <x v="2"/>
    <x v="0"/>
    <x v="0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2"/>
    <x v="0"/>
    <x v="2"/>
    <x v="2"/>
    <x v="0"/>
    <x v="0"/>
    <x v="0"/>
    <x v="0"/>
    <x v="3"/>
    <x v="3"/>
    <x v="19"/>
    <x v="19"/>
    <x v="1"/>
    <x v="8"/>
    <x v="8"/>
    <x v="40"/>
    <x v="40"/>
    <n v="459.62052"/>
    <x v="1"/>
    <x v="2"/>
    <x v="5"/>
    <x v="7"/>
    <x v="11"/>
    <x v="22"/>
    <n v="500.98636680000004"/>
  </r>
  <r>
    <x v="2"/>
    <x v="0"/>
    <x v="2"/>
    <x v="2"/>
    <x v="0"/>
    <x v="0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2"/>
    <x v="0"/>
    <x v="2"/>
    <x v="2"/>
    <x v="0"/>
    <x v="0"/>
    <x v="0"/>
    <x v="0"/>
    <x v="3"/>
    <x v="3"/>
    <x v="19"/>
    <x v="19"/>
    <x v="2"/>
    <x v="10"/>
    <x v="10"/>
    <x v="40"/>
    <x v="40"/>
    <n v="63.902999999999999"/>
    <x v="1"/>
    <x v="2"/>
    <x v="5"/>
    <x v="7"/>
    <x v="11"/>
    <x v="22"/>
    <n v="69.654269999999997"/>
  </r>
  <r>
    <x v="2"/>
    <x v="0"/>
    <x v="2"/>
    <x v="2"/>
    <x v="0"/>
    <x v="0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2"/>
    <x v="0"/>
    <x v="2"/>
    <x v="2"/>
    <x v="0"/>
    <x v="0"/>
    <x v="0"/>
    <x v="0"/>
    <x v="3"/>
    <x v="3"/>
    <x v="19"/>
    <x v="19"/>
    <x v="4"/>
    <x v="5"/>
    <x v="5"/>
    <x v="40"/>
    <x v="40"/>
    <n v="435.68786999999998"/>
    <x v="1"/>
    <x v="2"/>
    <x v="5"/>
    <x v="7"/>
    <x v="11"/>
    <x v="22"/>
    <n v="474.89977829999998"/>
  </r>
  <r>
    <x v="2"/>
    <x v="0"/>
    <x v="2"/>
    <x v="2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2"/>
    <x v="0"/>
    <x v="2"/>
    <x v="2"/>
    <x v="0"/>
    <x v="0"/>
    <x v="0"/>
    <x v="0"/>
    <x v="2"/>
    <x v="2"/>
    <x v="14"/>
    <x v="14"/>
    <x v="2"/>
    <x v="2"/>
    <x v="2"/>
    <x v="40"/>
    <x v="40"/>
    <n v="5.4203200000000002"/>
    <x v="1"/>
    <x v="2"/>
    <x v="5"/>
    <x v="7"/>
    <x v="11"/>
    <x v="22"/>
    <n v="5.9081488000000011"/>
  </r>
  <r>
    <x v="2"/>
    <x v="0"/>
    <x v="2"/>
    <x v="2"/>
    <x v="0"/>
    <x v="0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2"/>
    <x v="0"/>
    <x v="2"/>
    <x v="2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2"/>
    <x v="0"/>
    <x v="2"/>
    <x v="2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2"/>
    <x v="0"/>
    <x v="2"/>
    <x v="2"/>
    <x v="0"/>
    <x v="0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2"/>
    <x v="0"/>
    <x v="2"/>
    <x v="2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2"/>
    <x v="0"/>
    <x v="2"/>
    <x v="2"/>
    <x v="0"/>
    <x v="0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2"/>
    <x v="0"/>
    <x v="2"/>
    <x v="2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2"/>
    <x v="0"/>
    <x v="2"/>
    <x v="2"/>
    <x v="0"/>
    <x v="0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2"/>
    <x v="0"/>
    <x v="2"/>
    <x v="2"/>
    <x v="0"/>
    <x v="0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2"/>
    <x v="0"/>
    <x v="2"/>
    <x v="2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2"/>
    <x v="0"/>
    <x v="2"/>
    <x v="2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2"/>
    <x v="0"/>
    <x v="2"/>
    <x v="2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2"/>
    <x v="0"/>
    <x v="2"/>
    <x v="2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2"/>
    <x v="0"/>
    <x v="2"/>
    <x v="2"/>
    <x v="0"/>
    <x v="0"/>
    <x v="0"/>
    <x v="0"/>
    <x v="2"/>
    <x v="2"/>
    <x v="17"/>
    <x v="17"/>
    <x v="2"/>
    <x v="2"/>
    <x v="2"/>
    <x v="42"/>
    <x v="42"/>
    <n v="8.2368799999999993"/>
    <x v="1"/>
    <x v="2"/>
    <x v="5"/>
    <x v="7"/>
    <x v="11"/>
    <x v="22"/>
    <n v="8.9781992000000006"/>
  </r>
  <r>
    <x v="2"/>
    <x v="0"/>
    <x v="2"/>
    <x v="2"/>
    <x v="0"/>
    <x v="0"/>
    <x v="0"/>
    <x v="0"/>
    <x v="2"/>
    <x v="2"/>
    <x v="17"/>
    <x v="17"/>
    <x v="2"/>
    <x v="2"/>
    <x v="2"/>
    <x v="40"/>
    <x v="40"/>
    <n v="17.6251"/>
    <x v="1"/>
    <x v="2"/>
    <x v="5"/>
    <x v="7"/>
    <x v="11"/>
    <x v="22"/>
    <n v="19.211359000000002"/>
  </r>
  <r>
    <x v="2"/>
    <x v="0"/>
    <x v="2"/>
    <x v="2"/>
    <x v="0"/>
    <x v="0"/>
    <x v="0"/>
    <x v="0"/>
    <x v="2"/>
    <x v="2"/>
    <x v="17"/>
    <x v="17"/>
    <x v="2"/>
    <x v="2"/>
    <x v="2"/>
    <x v="38"/>
    <x v="38"/>
    <n v="33.953220000000002"/>
    <x v="1"/>
    <x v="0"/>
    <x v="4"/>
    <x v="6"/>
    <x v="10"/>
    <x v="21"/>
    <n v="37.009009800000001"/>
  </r>
  <r>
    <x v="2"/>
    <x v="0"/>
    <x v="2"/>
    <x v="2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2"/>
    <x v="0"/>
    <x v="2"/>
    <x v="2"/>
    <x v="0"/>
    <x v="0"/>
    <x v="0"/>
    <x v="0"/>
    <x v="2"/>
    <x v="2"/>
    <x v="17"/>
    <x v="17"/>
    <x v="3"/>
    <x v="7"/>
    <x v="7"/>
    <x v="40"/>
    <x v="40"/>
    <n v="27.46341"/>
    <x v="1"/>
    <x v="2"/>
    <x v="5"/>
    <x v="7"/>
    <x v="11"/>
    <x v="22"/>
    <n v="29.935116900000001"/>
  </r>
  <r>
    <x v="2"/>
    <x v="0"/>
    <x v="2"/>
    <x v="2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2"/>
    <x v="0"/>
    <x v="2"/>
    <x v="2"/>
    <x v="0"/>
    <x v="0"/>
    <x v="0"/>
    <x v="0"/>
    <x v="2"/>
    <x v="2"/>
    <x v="17"/>
    <x v="17"/>
    <x v="1"/>
    <x v="8"/>
    <x v="8"/>
    <x v="40"/>
    <x v="40"/>
    <n v="12.055949999999999"/>
    <x v="1"/>
    <x v="2"/>
    <x v="5"/>
    <x v="7"/>
    <x v="11"/>
    <x v="22"/>
    <n v="13.140985499999999"/>
  </r>
  <r>
    <x v="2"/>
    <x v="0"/>
    <x v="2"/>
    <x v="2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2"/>
    <x v="0"/>
    <x v="2"/>
    <x v="2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2"/>
    <x v="0"/>
    <x v="2"/>
    <x v="2"/>
    <x v="0"/>
    <x v="0"/>
    <x v="0"/>
    <x v="0"/>
    <x v="2"/>
    <x v="2"/>
    <x v="17"/>
    <x v="17"/>
    <x v="2"/>
    <x v="10"/>
    <x v="10"/>
    <x v="40"/>
    <x v="40"/>
    <n v="3.4839899999999999"/>
    <x v="1"/>
    <x v="2"/>
    <x v="5"/>
    <x v="7"/>
    <x v="11"/>
    <x v="22"/>
    <n v="3.7975491000000003"/>
  </r>
  <r>
    <x v="2"/>
    <x v="0"/>
    <x v="2"/>
    <x v="2"/>
    <x v="0"/>
    <x v="0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2"/>
    <x v="0"/>
    <x v="2"/>
    <x v="2"/>
    <x v="0"/>
    <x v="0"/>
    <x v="0"/>
    <x v="0"/>
    <x v="2"/>
    <x v="2"/>
    <x v="17"/>
    <x v="17"/>
    <x v="4"/>
    <x v="5"/>
    <x v="5"/>
    <x v="40"/>
    <x v="40"/>
    <n v="1149.66662"/>
    <x v="1"/>
    <x v="2"/>
    <x v="5"/>
    <x v="7"/>
    <x v="11"/>
    <x v="22"/>
    <n v="1253.1366158000001"/>
  </r>
  <r>
    <x v="2"/>
    <x v="0"/>
    <x v="2"/>
    <x v="2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2"/>
    <x v="0"/>
    <x v="2"/>
    <x v="2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2"/>
    <x v="0"/>
    <x v="2"/>
    <x v="2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2"/>
    <x v="0"/>
    <x v="2"/>
    <x v="2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2"/>
    <x v="0"/>
    <x v="2"/>
    <x v="2"/>
    <x v="0"/>
    <x v="1"/>
    <x v="0"/>
    <x v="0"/>
    <x v="0"/>
    <x v="0"/>
    <x v="2"/>
    <x v="2"/>
    <x v="2"/>
    <x v="2"/>
    <x v="2"/>
    <x v="2"/>
    <x v="2"/>
    <n v="215.27852293565101"/>
    <x v="0"/>
    <x v="1"/>
    <x v="2"/>
    <x v="2"/>
    <x v="13"/>
    <x v="2"/>
    <n v="234.65358999985963"/>
  </r>
  <r>
    <x v="2"/>
    <x v="0"/>
    <x v="2"/>
    <x v="2"/>
    <x v="0"/>
    <x v="1"/>
    <x v="0"/>
    <x v="0"/>
    <x v="0"/>
    <x v="0"/>
    <x v="0"/>
    <x v="0"/>
    <x v="3"/>
    <x v="3"/>
    <x v="3"/>
    <x v="8"/>
    <x v="8"/>
    <n v="0.18513513513631999"/>
    <x v="0"/>
    <x v="1"/>
    <x v="2"/>
    <x v="2"/>
    <x v="6"/>
    <x v="8"/>
    <n v="0.20179729729858881"/>
  </r>
  <r>
    <x v="2"/>
    <x v="0"/>
    <x v="2"/>
    <x v="2"/>
    <x v="0"/>
    <x v="1"/>
    <x v="0"/>
    <x v="0"/>
    <x v="0"/>
    <x v="0"/>
    <x v="0"/>
    <x v="0"/>
    <x v="3"/>
    <x v="3"/>
    <x v="3"/>
    <x v="2"/>
    <x v="2"/>
    <n v="283.86810091726102"/>
    <x v="0"/>
    <x v="1"/>
    <x v="2"/>
    <x v="2"/>
    <x v="13"/>
    <x v="2"/>
    <n v="309.4162299998145"/>
  </r>
  <r>
    <x v="2"/>
    <x v="0"/>
    <x v="2"/>
    <x v="2"/>
    <x v="0"/>
    <x v="1"/>
    <x v="0"/>
    <x v="0"/>
    <x v="0"/>
    <x v="0"/>
    <x v="0"/>
    <x v="0"/>
    <x v="0"/>
    <x v="4"/>
    <x v="4"/>
    <x v="6"/>
    <x v="6"/>
    <n v="6.2050000000000001"/>
    <x v="0"/>
    <x v="0"/>
    <x v="0"/>
    <x v="0"/>
    <x v="4"/>
    <x v="6"/>
    <n v="6.7634500000000006"/>
  </r>
  <r>
    <x v="2"/>
    <x v="0"/>
    <x v="2"/>
    <x v="2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2"/>
    <x v="0"/>
    <x v="2"/>
    <x v="2"/>
    <x v="0"/>
    <x v="1"/>
    <x v="0"/>
    <x v="0"/>
    <x v="0"/>
    <x v="0"/>
    <x v="0"/>
    <x v="0"/>
    <x v="0"/>
    <x v="4"/>
    <x v="4"/>
    <x v="8"/>
    <x v="8"/>
    <n v="108.54663513583"/>
    <x v="0"/>
    <x v="1"/>
    <x v="2"/>
    <x v="2"/>
    <x v="6"/>
    <x v="8"/>
    <n v="118.31583229805472"/>
  </r>
  <r>
    <x v="2"/>
    <x v="0"/>
    <x v="2"/>
    <x v="2"/>
    <x v="0"/>
    <x v="1"/>
    <x v="0"/>
    <x v="0"/>
    <x v="0"/>
    <x v="0"/>
    <x v="0"/>
    <x v="0"/>
    <x v="0"/>
    <x v="4"/>
    <x v="4"/>
    <x v="11"/>
    <x v="11"/>
    <n v="106.89688"/>
    <x v="0"/>
    <x v="0"/>
    <x v="3"/>
    <x v="5"/>
    <x v="7"/>
    <x v="11"/>
    <n v="116.51759920000001"/>
  </r>
  <r>
    <x v="2"/>
    <x v="0"/>
    <x v="2"/>
    <x v="2"/>
    <x v="0"/>
    <x v="2"/>
    <x v="0"/>
    <x v="0"/>
    <x v="0"/>
    <x v="0"/>
    <x v="0"/>
    <x v="0"/>
    <x v="0"/>
    <x v="9"/>
    <x v="9"/>
    <x v="10"/>
    <x v="10"/>
    <n v="52.841042975300503"/>
    <x v="0"/>
    <x v="0"/>
    <x v="1"/>
    <x v="4"/>
    <x v="5"/>
    <x v="10"/>
    <n v="57.596736843077551"/>
  </r>
  <r>
    <x v="2"/>
    <x v="0"/>
    <x v="2"/>
    <x v="2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2"/>
    <x v="0"/>
    <x v="2"/>
    <x v="2"/>
    <x v="0"/>
    <x v="2"/>
    <x v="0"/>
    <x v="0"/>
    <x v="0"/>
    <x v="0"/>
    <x v="0"/>
    <x v="0"/>
    <x v="0"/>
    <x v="9"/>
    <x v="9"/>
    <x v="21"/>
    <x v="21"/>
    <n v="50.224293577951499"/>
    <x v="0"/>
    <x v="0"/>
    <x v="1"/>
    <x v="4"/>
    <x v="5"/>
    <x v="10"/>
    <n v="54.74447999996714"/>
  </r>
  <r>
    <x v="2"/>
    <x v="0"/>
    <x v="2"/>
    <x v="2"/>
    <x v="0"/>
    <x v="2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2"/>
    <x v="0"/>
    <x v="2"/>
    <x v="2"/>
    <x v="0"/>
    <x v="2"/>
    <x v="0"/>
    <x v="0"/>
    <x v="0"/>
    <x v="0"/>
    <x v="0"/>
    <x v="0"/>
    <x v="2"/>
    <x v="10"/>
    <x v="10"/>
    <x v="6"/>
    <x v="6"/>
    <n v="78.906369999999995"/>
    <x v="0"/>
    <x v="0"/>
    <x v="0"/>
    <x v="0"/>
    <x v="4"/>
    <x v="6"/>
    <n v="86.007943300000008"/>
  </r>
  <r>
    <x v="2"/>
    <x v="0"/>
    <x v="2"/>
    <x v="2"/>
    <x v="0"/>
    <x v="2"/>
    <x v="0"/>
    <x v="0"/>
    <x v="0"/>
    <x v="0"/>
    <x v="0"/>
    <x v="0"/>
    <x v="2"/>
    <x v="10"/>
    <x v="10"/>
    <x v="9"/>
    <x v="9"/>
    <n v="270.19568408494303"/>
    <x v="0"/>
    <x v="0"/>
    <x v="1"/>
    <x v="4"/>
    <x v="5"/>
    <x v="9"/>
    <n v="294.51329565258794"/>
  </r>
  <r>
    <x v="2"/>
    <x v="0"/>
    <x v="2"/>
    <x v="2"/>
    <x v="0"/>
    <x v="2"/>
    <x v="0"/>
    <x v="0"/>
    <x v="0"/>
    <x v="0"/>
    <x v="0"/>
    <x v="0"/>
    <x v="2"/>
    <x v="10"/>
    <x v="10"/>
    <x v="10"/>
    <x v="10"/>
    <n v="7.1827791326105599"/>
    <x v="0"/>
    <x v="0"/>
    <x v="1"/>
    <x v="4"/>
    <x v="5"/>
    <x v="10"/>
    <n v="7.8292292545455107"/>
  </r>
  <r>
    <x v="2"/>
    <x v="0"/>
    <x v="2"/>
    <x v="2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2"/>
    <x v="0"/>
    <x v="2"/>
    <x v="2"/>
    <x v="0"/>
    <x v="2"/>
    <x v="0"/>
    <x v="0"/>
    <x v="0"/>
    <x v="0"/>
    <x v="0"/>
    <x v="0"/>
    <x v="2"/>
    <x v="10"/>
    <x v="10"/>
    <x v="21"/>
    <x v="21"/>
    <n v="10.6309999999936"/>
    <x v="0"/>
    <x v="0"/>
    <x v="1"/>
    <x v="4"/>
    <x v="5"/>
    <x v="10"/>
    <n v="11.587789999993024"/>
  </r>
  <r>
    <x v="2"/>
    <x v="0"/>
    <x v="2"/>
    <x v="2"/>
    <x v="0"/>
    <x v="2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2"/>
    <x v="0"/>
    <x v="2"/>
    <x v="2"/>
    <x v="0"/>
    <x v="2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2"/>
    <x v="0"/>
    <x v="2"/>
    <x v="2"/>
    <x v="0"/>
    <x v="2"/>
    <x v="0"/>
    <x v="0"/>
    <x v="0"/>
    <x v="0"/>
    <x v="0"/>
    <x v="0"/>
    <x v="4"/>
    <x v="5"/>
    <x v="5"/>
    <x v="6"/>
    <x v="6"/>
    <n v="519.77910999999995"/>
    <x v="0"/>
    <x v="0"/>
    <x v="0"/>
    <x v="0"/>
    <x v="4"/>
    <x v="6"/>
    <n v="566.55922989999999"/>
  </r>
  <r>
    <x v="2"/>
    <x v="0"/>
    <x v="2"/>
    <x v="2"/>
    <x v="0"/>
    <x v="2"/>
    <x v="0"/>
    <x v="0"/>
    <x v="0"/>
    <x v="0"/>
    <x v="0"/>
    <x v="0"/>
    <x v="4"/>
    <x v="5"/>
    <x v="5"/>
    <x v="9"/>
    <x v="9"/>
    <n v="938.567513074153"/>
    <x v="0"/>
    <x v="0"/>
    <x v="1"/>
    <x v="4"/>
    <x v="5"/>
    <x v="9"/>
    <n v="1023.0385892508268"/>
  </r>
  <r>
    <x v="2"/>
    <x v="0"/>
    <x v="2"/>
    <x v="2"/>
    <x v="0"/>
    <x v="2"/>
    <x v="0"/>
    <x v="0"/>
    <x v="0"/>
    <x v="0"/>
    <x v="0"/>
    <x v="0"/>
    <x v="4"/>
    <x v="5"/>
    <x v="5"/>
    <x v="10"/>
    <x v="10"/>
    <n v="40.056850910944"/>
    <x v="0"/>
    <x v="0"/>
    <x v="1"/>
    <x v="4"/>
    <x v="5"/>
    <x v="10"/>
    <n v="43.661967492928966"/>
  </r>
  <r>
    <x v="2"/>
    <x v="0"/>
    <x v="2"/>
    <x v="2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2"/>
    <x v="0"/>
    <x v="2"/>
    <x v="2"/>
    <x v="0"/>
    <x v="2"/>
    <x v="0"/>
    <x v="0"/>
    <x v="0"/>
    <x v="0"/>
    <x v="0"/>
    <x v="0"/>
    <x v="4"/>
    <x v="5"/>
    <x v="5"/>
    <x v="21"/>
    <x v="21"/>
    <n v="43.264256880707997"/>
    <x v="0"/>
    <x v="0"/>
    <x v="1"/>
    <x v="4"/>
    <x v="5"/>
    <x v="10"/>
    <n v="47.15803999997172"/>
  </r>
  <r>
    <x v="2"/>
    <x v="0"/>
    <x v="2"/>
    <x v="2"/>
    <x v="0"/>
    <x v="2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2"/>
    <x v="0"/>
    <x v="2"/>
    <x v="2"/>
    <x v="0"/>
    <x v="2"/>
    <x v="0"/>
    <x v="0"/>
    <x v="0"/>
    <x v="0"/>
    <x v="0"/>
    <x v="0"/>
    <x v="4"/>
    <x v="5"/>
    <x v="5"/>
    <x v="2"/>
    <x v="2"/>
    <n v="57.0641834862043"/>
    <x v="0"/>
    <x v="1"/>
    <x v="2"/>
    <x v="2"/>
    <x v="13"/>
    <x v="2"/>
    <n v="62.199959999962694"/>
  </r>
  <r>
    <x v="2"/>
    <x v="0"/>
    <x v="2"/>
    <x v="2"/>
    <x v="0"/>
    <x v="2"/>
    <x v="0"/>
    <x v="0"/>
    <x v="0"/>
    <x v="0"/>
    <x v="3"/>
    <x v="3"/>
    <x v="2"/>
    <x v="2"/>
    <x v="2"/>
    <x v="8"/>
    <x v="8"/>
    <n v="16.97635135146"/>
    <x v="0"/>
    <x v="1"/>
    <x v="2"/>
    <x v="2"/>
    <x v="6"/>
    <x v="8"/>
    <n v="18.504222973091402"/>
  </r>
  <r>
    <x v="2"/>
    <x v="0"/>
    <x v="2"/>
    <x v="2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2"/>
    <x v="0"/>
    <x v="2"/>
    <x v="2"/>
    <x v="0"/>
    <x v="2"/>
    <x v="0"/>
    <x v="0"/>
    <x v="0"/>
    <x v="0"/>
    <x v="3"/>
    <x v="3"/>
    <x v="2"/>
    <x v="2"/>
    <x v="2"/>
    <x v="12"/>
    <x v="12"/>
    <n v="6.0406976743959999E-2"/>
    <x v="0"/>
    <x v="0"/>
    <x v="0"/>
    <x v="0"/>
    <x v="8"/>
    <x v="12"/>
    <n v="6.5843604650916404E-2"/>
  </r>
  <r>
    <x v="2"/>
    <x v="0"/>
    <x v="2"/>
    <x v="2"/>
    <x v="0"/>
    <x v="2"/>
    <x v="0"/>
    <x v="0"/>
    <x v="0"/>
    <x v="0"/>
    <x v="3"/>
    <x v="3"/>
    <x v="2"/>
    <x v="2"/>
    <x v="2"/>
    <x v="16"/>
    <x v="16"/>
    <n v="57.321300000000001"/>
    <x v="0"/>
    <x v="0"/>
    <x v="3"/>
    <x v="5"/>
    <x v="9"/>
    <x v="16"/>
    <n v="62.480217000000003"/>
  </r>
  <r>
    <x v="2"/>
    <x v="0"/>
    <x v="2"/>
    <x v="2"/>
    <x v="0"/>
    <x v="2"/>
    <x v="0"/>
    <x v="0"/>
    <x v="0"/>
    <x v="0"/>
    <x v="3"/>
    <x v="3"/>
    <x v="2"/>
    <x v="2"/>
    <x v="2"/>
    <x v="27"/>
    <x v="27"/>
    <n v="0.45045045045999998"/>
    <x v="0"/>
    <x v="0"/>
    <x v="1"/>
    <x v="3"/>
    <x v="3"/>
    <x v="19"/>
    <n v="0.49099099100140003"/>
  </r>
  <r>
    <x v="2"/>
    <x v="0"/>
    <x v="2"/>
    <x v="2"/>
    <x v="0"/>
    <x v="2"/>
    <x v="0"/>
    <x v="0"/>
    <x v="0"/>
    <x v="0"/>
    <x v="3"/>
    <x v="3"/>
    <x v="2"/>
    <x v="2"/>
    <x v="2"/>
    <x v="2"/>
    <x v="2"/>
    <n v="3.4445137614658199"/>
    <x v="0"/>
    <x v="1"/>
    <x v="2"/>
    <x v="2"/>
    <x v="13"/>
    <x v="2"/>
    <n v="3.7545199999977439"/>
  </r>
  <r>
    <x v="2"/>
    <x v="0"/>
    <x v="2"/>
    <x v="2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2"/>
    <x v="0"/>
    <x v="2"/>
    <x v="2"/>
    <x v="0"/>
    <x v="2"/>
    <x v="0"/>
    <x v="0"/>
    <x v="0"/>
    <x v="0"/>
    <x v="4"/>
    <x v="4"/>
    <x v="2"/>
    <x v="2"/>
    <x v="2"/>
    <x v="10"/>
    <x v="10"/>
    <n v="0.41174311926580998"/>
    <x v="0"/>
    <x v="0"/>
    <x v="1"/>
    <x v="4"/>
    <x v="5"/>
    <x v="10"/>
    <n v="0.44879999999973291"/>
  </r>
  <r>
    <x v="2"/>
    <x v="0"/>
    <x v="2"/>
    <x v="2"/>
    <x v="0"/>
    <x v="2"/>
    <x v="0"/>
    <x v="0"/>
    <x v="0"/>
    <x v="0"/>
    <x v="4"/>
    <x v="4"/>
    <x v="2"/>
    <x v="2"/>
    <x v="2"/>
    <x v="12"/>
    <x v="12"/>
    <n v="15.905558139474399"/>
    <x v="0"/>
    <x v="0"/>
    <x v="0"/>
    <x v="0"/>
    <x v="8"/>
    <x v="12"/>
    <n v="17.337058372027098"/>
  </r>
  <r>
    <x v="2"/>
    <x v="0"/>
    <x v="2"/>
    <x v="2"/>
    <x v="0"/>
    <x v="2"/>
    <x v="0"/>
    <x v="0"/>
    <x v="0"/>
    <x v="0"/>
    <x v="4"/>
    <x v="4"/>
    <x v="2"/>
    <x v="2"/>
    <x v="2"/>
    <x v="13"/>
    <x v="13"/>
    <n v="1.1619999999999999"/>
    <x v="0"/>
    <x v="0"/>
    <x v="1"/>
    <x v="3"/>
    <x v="3"/>
    <x v="13"/>
    <n v="1.26658"/>
  </r>
  <r>
    <x v="2"/>
    <x v="0"/>
    <x v="2"/>
    <x v="2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2"/>
    <x v="0"/>
    <x v="2"/>
    <x v="2"/>
    <x v="0"/>
    <x v="2"/>
    <x v="0"/>
    <x v="0"/>
    <x v="0"/>
    <x v="0"/>
    <x v="4"/>
    <x v="4"/>
    <x v="2"/>
    <x v="2"/>
    <x v="2"/>
    <x v="2"/>
    <x v="2"/>
    <n v="0.98414678899024"/>
    <x v="0"/>
    <x v="1"/>
    <x v="2"/>
    <x v="2"/>
    <x v="13"/>
    <x v="2"/>
    <n v="1.0727199999993617"/>
  </r>
  <r>
    <x v="2"/>
    <x v="0"/>
    <x v="2"/>
    <x v="2"/>
    <x v="0"/>
    <x v="2"/>
    <x v="0"/>
    <x v="0"/>
    <x v="2"/>
    <x v="2"/>
    <x v="5"/>
    <x v="5"/>
    <x v="2"/>
    <x v="2"/>
    <x v="2"/>
    <x v="40"/>
    <x v="40"/>
    <n v="32.174999999999997"/>
    <x v="1"/>
    <x v="2"/>
    <x v="5"/>
    <x v="7"/>
    <x v="11"/>
    <x v="22"/>
    <n v="35.070749999999997"/>
  </r>
  <r>
    <x v="2"/>
    <x v="0"/>
    <x v="2"/>
    <x v="2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2"/>
    <x v="0"/>
    <x v="2"/>
    <x v="2"/>
    <x v="0"/>
    <x v="2"/>
    <x v="0"/>
    <x v="0"/>
    <x v="2"/>
    <x v="2"/>
    <x v="5"/>
    <x v="5"/>
    <x v="1"/>
    <x v="6"/>
    <x v="6"/>
    <x v="40"/>
    <x v="40"/>
    <n v="54.174140000000001"/>
    <x v="1"/>
    <x v="2"/>
    <x v="5"/>
    <x v="7"/>
    <x v="11"/>
    <x v="22"/>
    <n v="59.049812600000003"/>
  </r>
  <r>
    <x v="2"/>
    <x v="0"/>
    <x v="2"/>
    <x v="2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2"/>
    <x v="0"/>
    <x v="2"/>
    <x v="2"/>
    <x v="0"/>
    <x v="2"/>
    <x v="0"/>
    <x v="0"/>
    <x v="2"/>
    <x v="2"/>
    <x v="5"/>
    <x v="5"/>
    <x v="1"/>
    <x v="8"/>
    <x v="8"/>
    <x v="40"/>
    <x v="40"/>
    <n v="43.802500000000002"/>
    <x v="1"/>
    <x v="2"/>
    <x v="5"/>
    <x v="7"/>
    <x v="11"/>
    <x v="22"/>
    <n v="47.744725000000003"/>
  </r>
  <r>
    <x v="2"/>
    <x v="0"/>
    <x v="2"/>
    <x v="2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2"/>
    <x v="0"/>
    <x v="2"/>
    <x v="2"/>
    <x v="0"/>
    <x v="2"/>
    <x v="0"/>
    <x v="0"/>
    <x v="2"/>
    <x v="2"/>
    <x v="5"/>
    <x v="5"/>
    <x v="4"/>
    <x v="5"/>
    <x v="5"/>
    <x v="40"/>
    <x v="40"/>
    <n v="164.82085000000001"/>
    <x v="1"/>
    <x v="2"/>
    <x v="5"/>
    <x v="7"/>
    <x v="11"/>
    <x v="22"/>
    <n v="179.65472650000001"/>
  </r>
  <r>
    <x v="2"/>
    <x v="0"/>
    <x v="2"/>
    <x v="2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2"/>
    <x v="0"/>
    <x v="2"/>
    <x v="2"/>
    <x v="0"/>
    <x v="2"/>
    <x v="0"/>
    <x v="0"/>
    <x v="2"/>
    <x v="2"/>
    <x v="7"/>
    <x v="7"/>
    <x v="2"/>
    <x v="2"/>
    <x v="2"/>
    <x v="40"/>
    <x v="40"/>
    <n v="60.051479999999998"/>
    <x v="1"/>
    <x v="2"/>
    <x v="5"/>
    <x v="7"/>
    <x v="11"/>
    <x v="22"/>
    <n v="65.456113200000004"/>
  </r>
  <r>
    <x v="2"/>
    <x v="0"/>
    <x v="2"/>
    <x v="2"/>
    <x v="0"/>
    <x v="2"/>
    <x v="0"/>
    <x v="0"/>
    <x v="2"/>
    <x v="2"/>
    <x v="7"/>
    <x v="7"/>
    <x v="2"/>
    <x v="2"/>
    <x v="2"/>
    <x v="38"/>
    <x v="38"/>
    <n v="67.332499999999996"/>
    <x v="1"/>
    <x v="0"/>
    <x v="4"/>
    <x v="6"/>
    <x v="10"/>
    <x v="21"/>
    <n v="73.392425000000003"/>
  </r>
  <r>
    <x v="2"/>
    <x v="0"/>
    <x v="2"/>
    <x v="2"/>
    <x v="0"/>
    <x v="2"/>
    <x v="0"/>
    <x v="0"/>
    <x v="2"/>
    <x v="2"/>
    <x v="7"/>
    <x v="7"/>
    <x v="1"/>
    <x v="6"/>
    <x v="6"/>
    <x v="40"/>
    <x v="40"/>
    <n v="45.850110000000001"/>
    <x v="1"/>
    <x v="2"/>
    <x v="5"/>
    <x v="7"/>
    <x v="11"/>
    <x v="22"/>
    <n v="49.976619900000003"/>
  </r>
  <r>
    <x v="2"/>
    <x v="0"/>
    <x v="2"/>
    <x v="2"/>
    <x v="0"/>
    <x v="2"/>
    <x v="0"/>
    <x v="0"/>
    <x v="2"/>
    <x v="2"/>
    <x v="7"/>
    <x v="7"/>
    <x v="1"/>
    <x v="6"/>
    <x v="6"/>
    <x v="38"/>
    <x v="38"/>
    <n v="24.709099999999999"/>
    <x v="1"/>
    <x v="0"/>
    <x v="4"/>
    <x v="6"/>
    <x v="10"/>
    <x v="21"/>
    <n v="26.932919000000002"/>
  </r>
  <r>
    <x v="2"/>
    <x v="0"/>
    <x v="2"/>
    <x v="2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2"/>
    <x v="0"/>
    <x v="2"/>
    <x v="2"/>
    <x v="0"/>
    <x v="2"/>
    <x v="0"/>
    <x v="0"/>
    <x v="2"/>
    <x v="2"/>
    <x v="7"/>
    <x v="7"/>
    <x v="1"/>
    <x v="8"/>
    <x v="8"/>
    <x v="40"/>
    <x v="40"/>
    <n v="8.4826499999999996"/>
    <x v="1"/>
    <x v="2"/>
    <x v="5"/>
    <x v="7"/>
    <x v="11"/>
    <x v="22"/>
    <n v="9.2460885000000008"/>
  </r>
  <r>
    <x v="2"/>
    <x v="0"/>
    <x v="2"/>
    <x v="2"/>
    <x v="0"/>
    <x v="2"/>
    <x v="0"/>
    <x v="0"/>
    <x v="2"/>
    <x v="2"/>
    <x v="7"/>
    <x v="7"/>
    <x v="4"/>
    <x v="5"/>
    <x v="5"/>
    <x v="40"/>
    <x v="40"/>
    <n v="3.9655"/>
    <x v="1"/>
    <x v="2"/>
    <x v="5"/>
    <x v="7"/>
    <x v="11"/>
    <x v="22"/>
    <n v="4.3223950000000002"/>
  </r>
  <r>
    <x v="2"/>
    <x v="0"/>
    <x v="2"/>
    <x v="2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2"/>
    <x v="0"/>
    <x v="2"/>
    <x v="2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2"/>
    <x v="0"/>
    <x v="2"/>
    <x v="2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2"/>
    <x v="0"/>
    <x v="2"/>
    <x v="2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2"/>
    <x v="0"/>
    <x v="2"/>
    <x v="2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2"/>
    <x v="0"/>
    <x v="2"/>
    <x v="2"/>
    <x v="0"/>
    <x v="2"/>
    <x v="0"/>
    <x v="0"/>
    <x v="2"/>
    <x v="2"/>
    <x v="9"/>
    <x v="9"/>
    <x v="2"/>
    <x v="2"/>
    <x v="2"/>
    <x v="40"/>
    <x v="40"/>
    <n v="196.62182000000001"/>
    <x v="1"/>
    <x v="2"/>
    <x v="5"/>
    <x v="7"/>
    <x v="11"/>
    <x v="22"/>
    <n v="214.31778380000003"/>
  </r>
  <r>
    <x v="2"/>
    <x v="0"/>
    <x v="2"/>
    <x v="2"/>
    <x v="0"/>
    <x v="2"/>
    <x v="0"/>
    <x v="0"/>
    <x v="2"/>
    <x v="2"/>
    <x v="9"/>
    <x v="9"/>
    <x v="2"/>
    <x v="2"/>
    <x v="2"/>
    <x v="38"/>
    <x v="38"/>
    <n v="186.89500000000001"/>
    <x v="1"/>
    <x v="0"/>
    <x v="4"/>
    <x v="6"/>
    <x v="10"/>
    <x v="21"/>
    <n v="203.71555000000004"/>
  </r>
  <r>
    <x v="2"/>
    <x v="0"/>
    <x v="2"/>
    <x v="2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2"/>
    <x v="0"/>
    <x v="2"/>
    <x v="2"/>
    <x v="0"/>
    <x v="2"/>
    <x v="0"/>
    <x v="0"/>
    <x v="2"/>
    <x v="2"/>
    <x v="9"/>
    <x v="9"/>
    <x v="1"/>
    <x v="6"/>
    <x v="6"/>
    <x v="40"/>
    <x v="40"/>
    <n v="908.44574999999998"/>
    <x v="1"/>
    <x v="2"/>
    <x v="5"/>
    <x v="7"/>
    <x v="11"/>
    <x v="22"/>
    <n v="990.20586750000007"/>
  </r>
  <r>
    <x v="2"/>
    <x v="0"/>
    <x v="2"/>
    <x v="2"/>
    <x v="0"/>
    <x v="2"/>
    <x v="0"/>
    <x v="0"/>
    <x v="2"/>
    <x v="2"/>
    <x v="9"/>
    <x v="9"/>
    <x v="1"/>
    <x v="6"/>
    <x v="6"/>
    <x v="38"/>
    <x v="38"/>
    <n v="30.611339999999998"/>
    <x v="1"/>
    <x v="0"/>
    <x v="4"/>
    <x v="6"/>
    <x v="10"/>
    <x v="21"/>
    <n v="33.3663606"/>
  </r>
  <r>
    <x v="2"/>
    <x v="0"/>
    <x v="2"/>
    <x v="2"/>
    <x v="0"/>
    <x v="2"/>
    <x v="0"/>
    <x v="0"/>
    <x v="2"/>
    <x v="2"/>
    <x v="9"/>
    <x v="9"/>
    <x v="3"/>
    <x v="7"/>
    <x v="7"/>
    <x v="40"/>
    <x v="40"/>
    <n v="212.87839"/>
    <x v="1"/>
    <x v="2"/>
    <x v="5"/>
    <x v="7"/>
    <x v="11"/>
    <x v="22"/>
    <n v="232.03744510000001"/>
  </r>
  <r>
    <x v="2"/>
    <x v="0"/>
    <x v="2"/>
    <x v="2"/>
    <x v="0"/>
    <x v="2"/>
    <x v="0"/>
    <x v="0"/>
    <x v="2"/>
    <x v="2"/>
    <x v="9"/>
    <x v="9"/>
    <x v="1"/>
    <x v="8"/>
    <x v="8"/>
    <x v="40"/>
    <x v="40"/>
    <n v="1030.0420799999999"/>
    <x v="1"/>
    <x v="2"/>
    <x v="5"/>
    <x v="7"/>
    <x v="11"/>
    <x v="22"/>
    <n v="1122.7458672"/>
  </r>
  <r>
    <x v="2"/>
    <x v="0"/>
    <x v="2"/>
    <x v="2"/>
    <x v="0"/>
    <x v="2"/>
    <x v="0"/>
    <x v="0"/>
    <x v="2"/>
    <x v="2"/>
    <x v="9"/>
    <x v="9"/>
    <x v="2"/>
    <x v="10"/>
    <x v="10"/>
    <x v="40"/>
    <x v="40"/>
    <n v="36.795119999999997"/>
    <x v="1"/>
    <x v="2"/>
    <x v="5"/>
    <x v="7"/>
    <x v="11"/>
    <x v="22"/>
    <n v="40.106680799999999"/>
  </r>
  <r>
    <x v="2"/>
    <x v="0"/>
    <x v="2"/>
    <x v="2"/>
    <x v="0"/>
    <x v="1"/>
    <x v="0"/>
    <x v="0"/>
    <x v="0"/>
    <x v="0"/>
    <x v="0"/>
    <x v="0"/>
    <x v="0"/>
    <x v="4"/>
    <x v="4"/>
    <x v="12"/>
    <x v="12"/>
    <n v="674.08075581139201"/>
    <x v="0"/>
    <x v="0"/>
    <x v="0"/>
    <x v="0"/>
    <x v="8"/>
    <x v="12"/>
    <n v="734.74802383441738"/>
  </r>
  <r>
    <x v="2"/>
    <x v="0"/>
    <x v="2"/>
    <x v="2"/>
    <x v="0"/>
    <x v="1"/>
    <x v="0"/>
    <x v="0"/>
    <x v="0"/>
    <x v="0"/>
    <x v="0"/>
    <x v="0"/>
    <x v="0"/>
    <x v="4"/>
    <x v="4"/>
    <x v="14"/>
    <x v="14"/>
    <n v="65.227630000000005"/>
    <x v="0"/>
    <x v="0"/>
    <x v="0"/>
    <x v="0"/>
    <x v="8"/>
    <x v="14"/>
    <n v="71.098116700000006"/>
  </r>
  <r>
    <x v="2"/>
    <x v="0"/>
    <x v="2"/>
    <x v="2"/>
    <x v="0"/>
    <x v="1"/>
    <x v="0"/>
    <x v="0"/>
    <x v="0"/>
    <x v="0"/>
    <x v="0"/>
    <x v="0"/>
    <x v="0"/>
    <x v="4"/>
    <x v="4"/>
    <x v="16"/>
    <x v="16"/>
    <n v="1274.6055100000001"/>
    <x v="0"/>
    <x v="0"/>
    <x v="3"/>
    <x v="5"/>
    <x v="9"/>
    <x v="16"/>
    <n v="1389.3200059000003"/>
  </r>
  <r>
    <x v="2"/>
    <x v="0"/>
    <x v="2"/>
    <x v="2"/>
    <x v="0"/>
    <x v="1"/>
    <x v="0"/>
    <x v="0"/>
    <x v="0"/>
    <x v="0"/>
    <x v="0"/>
    <x v="0"/>
    <x v="0"/>
    <x v="4"/>
    <x v="4"/>
    <x v="18"/>
    <x v="18"/>
    <n v="3.2549999999999999"/>
    <x v="0"/>
    <x v="0"/>
    <x v="0"/>
    <x v="0"/>
    <x v="4"/>
    <x v="18"/>
    <n v="3.5479500000000002"/>
  </r>
  <r>
    <x v="2"/>
    <x v="0"/>
    <x v="2"/>
    <x v="2"/>
    <x v="0"/>
    <x v="1"/>
    <x v="0"/>
    <x v="0"/>
    <x v="0"/>
    <x v="0"/>
    <x v="0"/>
    <x v="0"/>
    <x v="0"/>
    <x v="4"/>
    <x v="4"/>
    <x v="20"/>
    <x v="20"/>
    <n v="722.79755999999998"/>
    <x v="0"/>
    <x v="0"/>
    <x v="1"/>
    <x v="3"/>
    <x v="3"/>
    <x v="13"/>
    <n v="787.84934040000007"/>
  </r>
  <r>
    <x v="2"/>
    <x v="0"/>
    <x v="2"/>
    <x v="2"/>
    <x v="0"/>
    <x v="1"/>
    <x v="0"/>
    <x v="0"/>
    <x v="0"/>
    <x v="0"/>
    <x v="0"/>
    <x v="0"/>
    <x v="0"/>
    <x v="4"/>
    <x v="4"/>
    <x v="2"/>
    <x v="2"/>
    <n v="3842.05378898852"/>
    <x v="0"/>
    <x v="1"/>
    <x v="2"/>
    <x v="2"/>
    <x v="13"/>
    <x v="2"/>
    <n v="4187.8386299974873"/>
  </r>
  <r>
    <x v="2"/>
    <x v="0"/>
    <x v="2"/>
    <x v="2"/>
    <x v="0"/>
    <x v="1"/>
    <x v="0"/>
    <x v="0"/>
    <x v="0"/>
    <x v="0"/>
    <x v="0"/>
    <x v="0"/>
    <x v="0"/>
    <x v="4"/>
    <x v="4"/>
    <x v="3"/>
    <x v="3"/>
    <n v="2.87596847268208"/>
    <x v="0"/>
    <x v="0"/>
    <x v="1"/>
    <x v="3"/>
    <x v="3"/>
    <x v="3"/>
    <n v="3.1348056352234672"/>
  </r>
  <r>
    <x v="2"/>
    <x v="0"/>
    <x v="2"/>
    <x v="2"/>
    <x v="0"/>
    <x v="1"/>
    <x v="0"/>
    <x v="0"/>
    <x v="0"/>
    <x v="0"/>
    <x v="0"/>
    <x v="0"/>
    <x v="0"/>
    <x v="0"/>
    <x v="0"/>
    <x v="5"/>
    <x v="5"/>
    <n v="31.9724478530037"/>
    <x v="0"/>
    <x v="0"/>
    <x v="1"/>
    <x v="1"/>
    <x v="1"/>
    <x v="5"/>
    <n v="34.849968159774036"/>
  </r>
  <r>
    <x v="2"/>
    <x v="0"/>
    <x v="2"/>
    <x v="2"/>
    <x v="0"/>
    <x v="1"/>
    <x v="0"/>
    <x v="0"/>
    <x v="0"/>
    <x v="0"/>
    <x v="0"/>
    <x v="0"/>
    <x v="0"/>
    <x v="0"/>
    <x v="0"/>
    <x v="6"/>
    <x v="6"/>
    <n v="38.088340000000002"/>
    <x v="0"/>
    <x v="0"/>
    <x v="0"/>
    <x v="0"/>
    <x v="4"/>
    <x v="6"/>
    <n v="41.516290600000005"/>
  </r>
  <r>
    <x v="2"/>
    <x v="0"/>
    <x v="2"/>
    <x v="2"/>
    <x v="0"/>
    <x v="1"/>
    <x v="0"/>
    <x v="0"/>
    <x v="0"/>
    <x v="0"/>
    <x v="0"/>
    <x v="0"/>
    <x v="0"/>
    <x v="0"/>
    <x v="0"/>
    <x v="7"/>
    <x v="7"/>
    <n v="10.049137614672899"/>
    <x v="0"/>
    <x v="0"/>
    <x v="1"/>
    <x v="4"/>
    <x v="5"/>
    <x v="7"/>
    <n v="10.953559999993461"/>
  </r>
  <r>
    <x v="2"/>
    <x v="0"/>
    <x v="2"/>
    <x v="2"/>
    <x v="0"/>
    <x v="1"/>
    <x v="0"/>
    <x v="0"/>
    <x v="0"/>
    <x v="0"/>
    <x v="0"/>
    <x v="0"/>
    <x v="0"/>
    <x v="0"/>
    <x v="0"/>
    <x v="8"/>
    <x v="8"/>
    <n v="2689.2695675847799"/>
    <x v="0"/>
    <x v="1"/>
    <x v="2"/>
    <x v="2"/>
    <x v="6"/>
    <x v="8"/>
    <n v="2931.3038286674105"/>
  </r>
  <r>
    <x v="2"/>
    <x v="0"/>
    <x v="2"/>
    <x v="2"/>
    <x v="0"/>
    <x v="1"/>
    <x v="0"/>
    <x v="0"/>
    <x v="0"/>
    <x v="0"/>
    <x v="0"/>
    <x v="0"/>
    <x v="0"/>
    <x v="0"/>
    <x v="0"/>
    <x v="9"/>
    <x v="9"/>
    <n v="63.521678463765603"/>
    <x v="0"/>
    <x v="0"/>
    <x v="1"/>
    <x v="4"/>
    <x v="5"/>
    <x v="9"/>
    <n v="69.238629525504507"/>
  </r>
  <r>
    <x v="2"/>
    <x v="0"/>
    <x v="2"/>
    <x v="2"/>
    <x v="0"/>
    <x v="1"/>
    <x v="0"/>
    <x v="0"/>
    <x v="0"/>
    <x v="0"/>
    <x v="0"/>
    <x v="0"/>
    <x v="0"/>
    <x v="0"/>
    <x v="0"/>
    <x v="10"/>
    <x v="10"/>
    <n v="97.282006908516394"/>
    <x v="0"/>
    <x v="0"/>
    <x v="1"/>
    <x v="4"/>
    <x v="5"/>
    <x v="10"/>
    <n v="106.03738753028287"/>
  </r>
  <r>
    <x v="2"/>
    <x v="0"/>
    <x v="2"/>
    <x v="2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2"/>
    <x v="0"/>
    <x v="2"/>
    <x v="2"/>
    <x v="0"/>
    <x v="1"/>
    <x v="0"/>
    <x v="0"/>
    <x v="0"/>
    <x v="0"/>
    <x v="0"/>
    <x v="0"/>
    <x v="0"/>
    <x v="0"/>
    <x v="0"/>
    <x v="11"/>
    <x v="11"/>
    <n v="37.82967"/>
    <x v="0"/>
    <x v="0"/>
    <x v="3"/>
    <x v="5"/>
    <x v="7"/>
    <x v="11"/>
    <n v="41.234340300000007"/>
  </r>
  <r>
    <x v="2"/>
    <x v="0"/>
    <x v="2"/>
    <x v="2"/>
    <x v="0"/>
    <x v="1"/>
    <x v="0"/>
    <x v="0"/>
    <x v="0"/>
    <x v="0"/>
    <x v="0"/>
    <x v="0"/>
    <x v="0"/>
    <x v="0"/>
    <x v="0"/>
    <x v="12"/>
    <x v="12"/>
    <n v="699.40891860199304"/>
    <x v="0"/>
    <x v="0"/>
    <x v="0"/>
    <x v="0"/>
    <x v="8"/>
    <x v="12"/>
    <n v="762.35572127617252"/>
  </r>
  <r>
    <x v="2"/>
    <x v="0"/>
    <x v="2"/>
    <x v="2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2"/>
    <x v="0"/>
    <x v="2"/>
    <x v="2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2"/>
    <x v="0"/>
    <x v="2"/>
    <x v="2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2"/>
    <x v="0"/>
    <x v="2"/>
    <x v="2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2"/>
    <x v="0"/>
    <x v="2"/>
    <x v="2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2"/>
    <x v="0"/>
    <x v="2"/>
    <x v="2"/>
    <x v="0"/>
    <x v="1"/>
    <x v="0"/>
    <x v="0"/>
    <x v="0"/>
    <x v="0"/>
    <x v="0"/>
    <x v="0"/>
    <x v="0"/>
    <x v="0"/>
    <x v="0"/>
    <x v="21"/>
    <x v="21"/>
    <n v="11.342458715589499"/>
    <x v="0"/>
    <x v="0"/>
    <x v="1"/>
    <x v="4"/>
    <x v="5"/>
    <x v="10"/>
    <n v="12.363279999992555"/>
  </r>
  <r>
    <x v="2"/>
    <x v="0"/>
    <x v="2"/>
    <x v="2"/>
    <x v="0"/>
    <x v="1"/>
    <x v="0"/>
    <x v="0"/>
    <x v="0"/>
    <x v="0"/>
    <x v="0"/>
    <x v="0"/>
    <x v="0"/>
    <x v="0"/>
    <x v="0"/>
    <x v="18"/>
    <x v="18"/>
    <n v="44.195050000000002"/>
    <x v="0"/>
    <x v="0"/>
    <x v="0"/>
    <x v="0"/>
    <x v="4"/>
    <x v="18"/>
    <n v="48.172604500000006"/>
  </r>
  <r>
    <x v="2"/>
    <x v="0"/>
    <x v="2"/>
    <x v="2"/>
    <x v="0"/>
    <x v="1"/>
    <x v="0"/>
    <x v="0"/>
    <x v="0"/>
    <x v="0"/>
    <x v="0"/>
    <x v="0"/>
    <x v="0"/>
    <x v="0"/>
    <x v="0"/>
    <x v="25"/>
    <x v="25"/>
    <n v="59.622385321065103"/>
    <x v="0"/>
    <x v="0"/>
    <x v="1"/>
    <x v="4"/>
    <x v="5"/>
    <x v="9"/>
    <n v="64.988399999960961"/>
  </r>
  <r>
    <x v="2"/>
    <x v="0"/>
    <x v="2"/>
    <x v="2"/>
    <x v="0"/>
    <x v="1"/>
    <x v="0"/>
    <x v="0"/>
    <x v="0"/>
    <x v="0"/>
    <x v="0"/>
    <x v="0"/>
    <x v="0"/>
    <x v="0"/>
    <x v="0"/>
    <x v="26"/>
    <x v="26"/>
    <n v="1.7943302752282799"/>
    <x v="0"/>
    <x v="0"/>
    <x v="1"/>
    <x v="3"/>
    <x v="3"/>
    <x v="15"/>
    <n v="1.9558199999988253"/>
  </r>
  <r>
    <x v="2"/>
    <x v="0"/>
    <x v="2"/>
    <x v="2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2"/>
    <x v="0"/>
    <x v="2"/>
    <x v="2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2"/>
    <x v="0"/>
    <x v="2"/>
    <x v="2"/>
    <x v="0"/>
    <x v="1"/>
    <x v="0"/>
    <x v="0"/>
    <x v="0"/>
    <x v="0"/>
    <x v="0"/>
    <x v="0"/>
    <x v="0"/>
    <x v="0"/>
    <x v="0"/>
    <x v="2"/>
    <x v="2"/>
    <n v="7938.5966421970697"/>
    <x v="0"/>
    <x v="1"/>
    <x v="2"/>
    <x v="2"/>
    <x v="13"/>
    <x v="2"/>
    <n v="8653.070339994807"/>
  </r>
  <r>
    <x v="2"/>
    <x v="0"/>
    <x v="2"/>
    <x v="2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2"/>
    <x v="0"/>
    <x v="2"/>
    <x v="2"/>
    <x v="0"/>
    <x v="1"/>
    <x v="0"/>
    <x v="0"/>
    <x v="0"/>
    <x v="0"/>
    <x v="0"/>
    <x v="0"/>
    <x v="1"/>
    <x v="1"/>
    <x v="1"/>
    <x v="5"/>
    <x v="5"/>
    <n v="71.571957055758702"/>
    <x v="0"/>
    <x v="0"/>
    <x v="1"/>
    <x v="1"/>
    <x v="1"/>
    <x v="5"/>
    <n v="78.013433190776993"/>
  </r>
  <r>
    <x v="2"/>
    <x v="0"/>
    <x v="2"/>
    <x v="2"/>
    <x v="0"/>
    <x v="1"/>
    <x v="0"/>
    <x v="0"/>
    <x v="0"/>
    <x v="0"/>
    <x v="0"/>
    <x v="0"/>
    <x v="1"/>
    <x v="1"/>
    <x v="1"/>
    <x v="6"/>
    <x v="6"/>
    <n v="172.90434999999999"/>
    <x v="0"/>
    <x v="0"/>
    <x v="0"/>
    <x v="0"/>
    <x v="4"/>
    <x v="6"/>
    <n v="188.46574150000001"/>
  </r>
  <r>
    <x v="2"/>
    <x v="0"/>
    <x v="2"/>
    <x v="2"/>
    <x v="0"/>
    <x v="1"/>
    <x v="0"/>
    <x v="0"/>
    <x v="0"/>
    <x v="0"/>
    <x v="0"/>
    <x v="0"/>
    <x v="1"/>
    <x v="1"/>
    <x v="1"/>
    <x v="7"/>
    <x v="7"/>
    <n v="10.049137614672899"/>
    <x v="0"/>
    <x v="0"/>
    <x v="1"/>
    <x v="4"/>
    <x v="5"/>
    <x v="7"/>
    <n v="10.953559999993461"/>
  </r>
  <r>
    <x v="2"/>
    <x v="0"/>
    <x v="2"/>
    <x v="2"/>
    <x v="0"/>
    <x v="1"/>
    <x v="0"/>
    <x v="0"/>
    <x v="0"/>
    <x v="0"/>
    <x v="0"/>
    <x v="0"/>
    <x v="1"/>
    <x v="1"/>
    <x v="1"/>
    <x v="8"/>
    <x v="8"/>
    <n v="7541.68831085908"/>
    <x v="0"/>
    <x v="1"/>
    <x v="2"/>
    <x v="2"/>
    <x v="6"/>
    <x v="8"/>
    <n v="8220.4402588363973"/>
  </r>
  <r>
    <x v="2"/>
    <x v="0"/>
    <x v="2"/>
    <x v="2"/>
    <x v="0"/>
    <x v="1"/>
    <x v="0"/>
    <x v="0"/>
    <x v="0"/>
    <x v="0"/>
    <x v="0"/>
    <x v="0"/>
    <x v="1"/>
    <x v="1"/>
    <x v="1"/>
    <x v="9"/>
    <x v="9"/>
    <n v="28.1290896330264"/>
    <x v="0"/>
    <x v="0"/>
    <x v="1"/>
    <x v="4"/>
    <x v="5"/>
    <x v="9"/>
    <n v="30.660707699998778"/>
  </r>
  <r>
    <x v="2"/>
    <x v="0"/>
    <x v="2"/>
    <x v="2"/>
    <x v="0"/>
    <x v="1"/>
    <x v="0"/>
    <x v="0"/>
    <x v="0"/>
    <x v="0"/>
    <x v="0"/>
    <x v="0"/>
    <x v="1"/>
    <x v="1"/>
    <x v="1"/>
    <x v="10"/>
    <x v="10"/>
    <n v="48.828550458686301"/>
    <x v="0"/>
    <x v="0"/>
    <x v="1"/>
    <x v="4"/>
    <x v="5"/>
    <x v="10"/>
    <n v="53.22311999996807"/>
  </r>
  <r>
    <x v="2"/>
    <x v="0"/>
    <x v="2"/>
    <x v="2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2"/>
    <x v="0"/>
    <x v="2"/>
    <x v="2"/>
    <x v="0"/>
    <x v="1"/>
    <x v="0"/>
    <x v="0"/>
    <x v="0"/>
    <x v="0"/>
    <x v="0"/>
    <x v="0"/>
    <x v="1"/>
    <x v="1"/>
    <x v="1"/>
    <x v="11"/>
    <x v="11"/>
    <n v="38.447319999999998"/>
    <x v="0"/>
    <x v="0"/>
    <x v="3"/>
    <x v="5"/>
    <x v="7"/>
    <x v="11"/>
    <n v="41.907578800000003"/>
  </r>
  <r>
    <x v="2"/>
    <x v="0"/>
    <x v="2"/>
    <x v="2"/>
    <x v="0"/>
    <x v="1"/>
    <x v="0"/>
    <x v="0"/>
    <x v="0"/>
    <x v="0"/>
    <x v="0"/>
    <x v="0"/>
    <x v="1"/>
    <x v="1"/>
    <x v="1"/>
    <x v="12"/>
    <x v="12"/>
    <n v="1145.8642790654101"/>
    <x v="0"/>
    <x v="0"/>
    <x v="0"/>
    <x v="0"/>
    <x v="8"/>
    <x v="12"/>
    <n v="1248.9920641812971"/>
  </r>
  <r>
    <x v="2"/>
    <x v="0"/>
    <x v="2"/>
    <x v="2"/>
    <x v="0"/>
    <x v="1"/>
    <x v="0"/>
    <x v="0"/>
    <x v="0"/>
    <x v="0"/>
    <x v="0"/>
    <x v="0"/>
    <x v="1"/>
    <x v="1"/>
    <x v="1"/>
    <x v="14"/>
    <x v="14"/>
    <n v="272.22802000000001"/>
    <x v="0"/>
    <x v="0"/>
    <x v="0"/>
    <x v="0"/>
    <x v="8"/>
    <x v="14"/>
    <n v="296.72854180000002"/>
  </r>
  <r>
    <x v="2"/>
    <x v="0"/>
    <x v="2"/>
    <x v="2"/>
    <x v="0"/>
    <x v="1"/>
    <x v="0"/>
    <x v="0"/>
    <x v="0"/>
    <x v="0"/>
    <x v="0"/>
    <x v="0"/>
    <x v="1"/>
    <x v="1"/>
    <x v="1"/>
    <x v="15"/>
    <x v="15"/>
    <n v="0.66878899082528998"/>
    <x v="0"/>
    <x v="0"/>
    <x v="1"/>
    <x v="3"/>
    <x v="3"/>
    <x v="15"/>
    <n v="0.72897999999956609"/>
  </r>
  <r>
    <x v="2"/>
    <x v="0"/>
    <x v="2"/>
    <x v="2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2"/>
    <x v="0"/>
    <x v="2"/>
    <x v="2"/>
    <x v="0"/>
    <x v="1"/>
    <x v="0"/>
    <x v="0"/>
    <x v="0"/>
    <x v="0"/>
    <x v="0"/>
    <x v="0"/>
    <x v="1"/>
    <x v="1"/>
    <x v="1"/>
    <x v="16"/>
    <x v="16"/>
    <n v="2.8"/>
    <x v="0"/>
    <x v="0"/>
    <x v="3"/>
    <x v="5"/>
    <x v="9"/>
    <x v="16"/>
    <n v="3.052"/>
  </r>
  <r>
    <x v="2"/>
    <x v="0"/>
    <x v="2"/>
    <x v="2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2"/>
    <x v="0"/>
    <x v="2"/>
    <x v="2"/>
    <x v="0"/>
    <x v="1"/>
    <x v="0"/>
    <x v="0"/>
    <x v="0"/>
    <x v="0"/>
    <x v="0"/>
    <x v="0"/>
    <x v="1"/>
    <x v="1"/>
    <x v="1"/>
    <x v="24"/>
    <x v="24"/>
    <n v="32.593440366952898"/>
    <x v="0"/>
    <x v="0"/>
    <x v="1"/>
    <x v="3"/>
    <x v="3"/>
    <x v="4"/>
    <n v="35.526849999978658"/>
  </r>
  <r>
    <x v="2"/>
    <x v="0"/>
    <x v="2"/>
    <x v="2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2"/>
    <x v="0"/>
    <x v="2"/>
    <x v="2"/>
    <x v="0"/>
    <x v="1"/>
    <x v="0"/>
    <x v="0"/>
    <x v="0"/>
    <x v="0"/>
    <x v="0"/>
    <x v="0"/>
    <x v="1"/>
    <x v="1"/>
    <x v="1"/>
    <x v="18"/>
    <x v="18"/>
    <n v="55.134790000000002"/>
    <x v="0"/>
    <x v="0"/>
    <x v="0"/>
    <x v="0"/>
    <x v="4"/>
    <x v="18"/>
    <n v="60.09692110000001"/>
  </r>
  <r>
    <x v="2"/>
    <x v="0"/>
    <x v="2"/>
    <x v="2"/>
    <x v="0"/>
    <x v="1"/>
    <x v="0"/>
    <x v="0"/>
    <x v="0"/>
    <x v="0"/>
    <x v="0"/>
    <x v="0"/>
    <x v="1"/>
    <x v="1"/>
    <x v="1"/>
    <x v="26"/>
    <x v="26"/>
    <n v="7.87125688072922"/>
    <x v="0"/>
    <x v="0"/>
    <x v="1"/>
    <x v="3"/>
    <x v="3"/>
    <x v="15"/>
    <n v="8.5796699999948505"/>
  </r>
  <r>
    <x v="2"/>
    <x v="0"/>
    <x v="2"/>
    <x v="2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2"/>
    <x v="0"/>
    <x v="2"/>
    <x v="2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2"/>
    <x v="0"/>
    <x v="2"/>
    <x v="2"/>
    <x v="0"/>
    <x v="1"/>
    <x v="0"/>
    <x v="0"/>
    <x v="0"/>
    <x v="0"/>
    <x v="0"/>
    <x v="0"/>
    <x v="1"/>
    <x v="1"/>
    <x v="1"/>
    <x v="2"/>
    <x v="2"/>
    <n v="6075.8475321064498"/>
    <x v="0"/>
    <x v="1"/>
    <x v="2"/>
    <x v="2"/>
    <x v="13"/>
    <x v="2"/>
    <n v="6622.6738099960303"/>
  </r>
  <r>
    <x v="2"/>
    <x v="0"/>
    <x v="2"/>
    <x v="2"/>
    <x v="0"/>
    <x v="1"/>
    <x v="0"/>
    <x v="0"/>
    <x v="0"/>
    <x v="0"/>
    <x v="0"/>
    <x v="0"/>
    <x v="2"/>
    <x v="2"/>
    <x v="2"/>
    <x v="4"/>
    <x v="4"/>
    <n v="19.406880733933299"/>
    <x v="0"/>
    <x v="0"/>
    <x v="1"/>
    <x v="3"/>
    <x v="3"/>
    <x v="4"/>
    <n v="21.153499999987297"/>
  </r>
  <r>
    <x v="2"/>
    <x v="0"/>
    <x v="2"/>
    <x v="2"/>
    <x v="0"/>
    <x v="1"/>
    <x v="0"/>
    <x v="0"/>
    <x v="0"/>
    <x v="0"/>
    <x v="0"/>
    <x v="0"/>
    <x v="2"/>
    <x v="2"/>
    <x v="2"/>
    <x v="6"/>
    <x v="6"/>
    <n v="277.33327000000003"/>
    <x v="0"/>
    <x v="0"/>
    <x v="0"/>
    <x v="0"/>
    <x v="4"/>
    <x v="6"/>
    <n v="302.29326430000003"/>
  </r>
  <r>
    <x v="2"/>
    <x v="0"/>
    <x v="2"/>
    <x v="2"/>
    <x v="0"/>
    <x v="1"/>
    <x v="0"/>
    <x v="0"/>
    <x v="0"/>
    <x v="0"/>
    <x v="0"/>
    <x v="0"/>
    <x v="2"/>
    <x v="2"/>
    <x v="2"/>
    <x v="7"/>
    <x v="7"/>
    <n v="0.60058715596293999"/>
    <x v="0"/>
    <x v="0"/>
    <x v="1"/>
    <x v="4"/>
    <x v="5"/>
    <x v="7"/>
    <n v="0.65463999999960465"/>
  </r>
  <r>
    <x v="2"/>
    <x v="0"/>
    <x v="2"/>
    <x v="2"/>
    <x v="0"/>
    <x v="1"/>
    <x v="0"/>
    <x v="0"/>
    <x v="0"/>
    <x v="0"/>
    <x v="0"/>
    <x v="0"/>
    <x v="2"/>
    <x v="2"/>
    <x v="2"/>
    <x v="8"/>
    <x v="8"/>
    <n v="6596.9033446368103"/>
    <x v="0"/>
    <x v="1"/>
    <x v="2"/>
    <x v="2"/>
    <x v="6"/>
    <x v="8"/>
    <n v="7190.6246456541239"/>
  </r>
  <r>
    <x v="2"/>
    <x v="0"/>
    <x v="2"/>
    <x v="2"/>
    <x v="0"/>
    <x v="1"/>
    <x v="0"/>
    <x v="0"/>
    <x v="0"/>
    <x v="0"/>
    <x v="0"/>
    <x v="0"/>
    <x v="2"/>
    <x v="2"/>
    <x v="2"/>
    <x v="9"/>
    <x v="9"/>
    <n v="20.384091743107"/>
    <x v="0"/>
    <x v="0"/>
    <x v="1"/>
    <x v="4"/>
    <x v="5"/>
    <x v="9"/>
    <n v="22.218659999986631"/>
  </r>
  <r>
    <x v="2"/>
    <x v="0"/>
    <x v="2"/>
    <x v="2"/>
    <x v="0"/>
    <x v="1"/>
    <x v="0"/>
    <x v="0"/>
    <x v="0"/>
    <x v="0"/>
    <x v="0"/>
    <x v="0"/>
    <x v="2"/>
    <x v="2"/>
    <x v="2"/>
    <x v="10"/>
    <x v="10"/>
    <n v="0.29816513761449998"/>
    <x v="0"/>
    <x v="0"/>
    <x v="1"/>
    <x v="4"/>
    <x v="5"/>
    <x v="10"/>
    <n v="0.324999999999805"/>
  </r>
  <r>
    <x v="2"/>
    <x v="0"/>
    <x v="2"/>
    <x v="2"/>
    <x v="0"/>
    <x v="1"/>
    <x v="0"/>
    <x v="0"/>
    <x v="0"/>
    <x v="0"/>
    <x v="0"/>
    <x v="0"/>
    <x v="2"/>
    <x v="2"/>
    <x v="2"/>
    <x v="31"/>
    <x v="31"/>
    <n v="1.17034862385251"/>
    <x v="0"/>
    <x v="0"/>
    <x v="1"/>
    <x v="4"/>
    <x v="5"/>
    <x v="10"/>
    <n v="1.2756799999992361"/>
  </r>
  <r>
    <x v="2"/>
    <x v="0"/>
    <x v="2"/>
    <x v="2"/>
    <x v="0"/>
    <x v="1"/>
    <x v="0"/>
    <x v="0"/>
    <x v="0"/>
    <x v="0"/>
    <x v="0"/>
    <x v="0"/>
    <x v="2"/>
    <x v="2"/>
    <x v="2"/>
    <x v="11"/>
    <x v="11"/>
    <n v="20.462160000000001"/>
    <x v="0"/>
    <x v="0"/>
    <x v="3"/>
    <x v="5"/>
    <x v="7"/>
    <x v="11"/>
    <n v="22.303754400000003"/>
  </r>
  <r>
    <x v="2"/>
    <x v="0"/>
    <x v="2"/>
    <x v="2"/>
    <x v="0"/>
    <x v="1"/>
    <x v="0"/>
    <x v="0"/>
    <x v="0"/>
    <x v="0"/>
    <x v="0"/>
    <x v="0"/>
    <x v="2"/>
    <x v="2"/>
    <x v="2"/>
    <x v="12"/>
    <x v="12"/>
    <n v="590.39397674194299"/>
    <x v="0"/>
    <x v="0"/>
    <x v="0"/>
    <x v="0"/>
    <x v="8"/>
    <x v="12"/>
    <n v="643.52943464871794"/>
  </r>
  <r>
    <x v="2"/>
    <x v="0"/>
    <x v="2"/>
    <x v="2"/>
    <x v="0"/>
    <x v="1"/>
    <x v="0"/>
    <x v="0"/>
    <x v="0"/>
    <x v="0"/>
    <x v="0"/>
    <x v="0"/>
    <x v="2"/>
    <x v="2"/>
    <x v="2"/>
    <x v="14"/>
    <x v="14"/>
    <n v="52.594740000000002"/>
    <x v="0"/>
    <x v="0"/>
    <x v="0"/>
    <x v="0"/>
    <x v="8"/>
    <x v="14"/>
    <n v="57.328266600000006"/>
  </r>
  <r>
    <x v="2"/>
    <x v="0"/>
    <x v="2"/>
    <x v="2"/>
    <x v="0"/>
    <x v="1"/>
    <x v="0"/>
    <x v="0"/>
    <x v="0"/>
    <x v="0"/>
    <x v="0"/>
    <x v="0"/>
    <x v="2"/>
    <x v="2"/>
    <x v="2"/>
    <x v="16"/>
    <x v="16"/>
    <n v="163.73733999999999"/>
    <x v="0"/>
    <x v="0"/>
    <x v="3"/>
    <x v="5"/>
    <x v="9"/>
    <x v="16"/>
    <n v="178.4737006"/>
  </r>
  <r>
    <x v="2"/>
    <x v="0"/>
    <x v="2"/>
    <x v="2"/>
    <x v="0"/>
    <x v="1"/>
    <x v="0"/>
    <x v="0"/>
    <x v="0"/>
    <x v="0"/>
    <x v="0"/>
    <x v="0"/>
    <x v="2"/>
    <x v="2"/>
    <x v="2"/>
    <x v="18"/>
    <x v="18"/>
    <n v="122.37658"/>
    <x v="0"/>
    <x v="0"/>
    <x v="0"/>
    <x v="0"/>
    <x v="4"/>
    <x v="18"/>
    <n v="133.3904722"/>
  </r>
  <r>
    <x v="2"/>
    <x v="0"/>
    <x v="2"/>
    <x v="2"/>
    <x v="0"/>
    <x v="1"/>
    <x v="0"/>
    <x v="0"/>
    <x v="0"/>
    <x v="0"/>
    <x v="0"/>
    <x v="0"/>
    <x v="2"/>
    <x v="2"/>
    <x v="2"/>
    <x v="34"/>
    <x v="34"/>
    <n v="4.9827877728410597"/>
    <x v="0"/>
    <x v="0"/>
    <x v="0"/>
    <x v="0"/>
    <x v="0"/>
    <x v="0"/>
    <n v="5.4312386723967556"/>
  </r>
  <r>
    <x v="2"/>
    <x v="0"/>
    <x v="2"/>
    <x v="2"/>
    <x v="0"/>
    <x v="1"/>
    <x v="0"/>
    <x v="0"/>
    <x v="0"/>
    <x v="0"/>
    <x v="0"/>
    <x v="0"/>
    <x v="2"/>
    <x v="2"/>
    <x v="2"/>
    <x v="27"/>
    <x v="27"/>
    <n v="3.6146531532297801"/>
    <x v="0"/>
    <x v="0"/>
    <x v="1"/>
    <x v="3"/>
    <x v="3"/>
    <x v="19"/>
    <n v="3.9399719370204607"/>
  </r>
  <r>
    <x v="2"/>
    <x v="0"/>
    <x v="2"/>
    <x v="2"/>
    <x v="0"/>
    <x v="1"/>
    <x v="0"/>
    <x v="0"/>
    <x v="0"/>
    <x v="0"/>
    <x v="0"/>
    <x v="0"/>
    <x v="2"/>
    <x v="2"/>
    <x v="2"/>
    <x v="0"/>
    <x v="0"/>
    <n v="10.3635738433873"/>
    <x v="0"/>
    <x v="0"/>
    <x v="0"/>
    <x v="0"/>
    <x v="0"/>
    <x v="0"/>
    <n v="11.296295489292158"/>
  </r>
  <r>
    <x v="2"/>
    <x v="0"/>
    <x v="2"/>
    <x v="2"/>
    <x v="0"/>
    <x v="1"/>
    <x v="0"/>
    <x v="0"/>
    <x v="0"/>
    <x v="0"/>
    <x v="0"/>
    <x v="0"/>
    <x v="2"/>
    <x v="2"/>
    <x v="2"/>
    <x v="20"/>
    <x v="20"/>
    <n v="99.990899999999996"/>
    <x v="0"/>
    <x v="0"/>
    <x v="1"/>
    <x v="3"/>
    <x v="3"/>
    <x v="13"/>
    <n v="108.990081"/>
  </r>
  <r>
    <x v="2"/>
    <x v="0"/>
    <x v="2"/>
    <x v="2"/>
    <x v="0"/>
    <x v="1"/>
    <x v="0"/>
    <x v="0"/>
    <x v="0"/>
    <x v="0"/>
    <x v="0"/>
    <x v="0"/>
    <x v="2"/>
    <x v="2"/>
    <x v="2"/>
    <x v="2"/>
    <x v="2"/>
    <n v="11904.0184403598"/>
    <x v="0"/>
    <x v="1"/>
    <x v="2"/>
    <x v="2"/>
    <x v="13"/>
    <x v="2"/>
    <n v="12975.380099992182"/>
  </r>
  <r>
    <x v="2"/>
    <x v="0"/>
    <x v="2"/>
    <x v="2"/>
    <x v="0"/>
    <x v="1"/>
    <x v="0"/>
    <x v="0"/>
    <x v="0"/>
    <x v="0"/>
    <x v="0"/>
    <x v="0"/>
    <x v="2"/>
    <x v="2"/>
    <x v="2"/>
    <x v="3"/>
    <x v="3"/>
    <n v="6.5241532968651796"/>
    <x v="0"/>
    <x v="0"/>
    <x v="1"/>
    <x v="3"/>
    <x v="3"/>
    <x v="3"/>
    <n v="7.1113270935830464"/>
  </r>
  <r>
    <x v="2"/>
    <x v="0"/>
    <x v="2"/>
    <x v="2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2"/>
    <x v="0"/>
    <x v="2"/>
    <x v="2"/>
    <x v="0"/>
    <x v="1"/>
    <x v="0"/>
    <x v="0"/>
    <x v="0"/>
    <x v="0"/>
    <x v="0"/>
    <x v="0"/>
    <x v="1"/>
    <x v="6"/>
    <x v="6"/>
    <x v="8"/>
    <x v="8"/>
    <n v="66.541250000425904"/>
    <x v="0"/>
    <x v="1"/>
    <x v="2"/>
    <x v="2"/>
    <x v="6"/>
    <x v="8"/>
    <n v="72.529962500464237"/>
  </r>
  <r>
    <x v="2"/>
    <x v="0"/>
    <x v="2"/>
    <x v="2"/>
    <x v="0"/>
    <x v="1"/>
    <x v="0"/>
    <x v="0"/>
    <x v="0"/>
    <x v="0"/>
    <x v="0"/>
    <x v="0"/>
    <x v="1"/>
    <x v="6"/>
    <x v="6"/>
    <x v="12"/>
    <x v="12"/>
    <n v="103.801279069373"/>
    <x v="0"/>
    <x v="0"/>
    <x v="0"/>
    <x v="0"/>
    <x v="8"/>
    <x v="12"/>
    <n v="113.14339418561657"/>
  </r>
  <r>
    <x v="2"/>
    <x v="0"/>
    <x v="2"/>
    <x v="2"/>
    <x v="0"/>
    <x v="1"/>
    <x v="0"/>
    <x v="0"/>
    <x v="0"/>
    <x v="0"/>
    <x v="0"/>
    <x v="0"/>
    <x v="1"/>
    <x v="6"/>
    <x v="6"/>
    <x v="14"/>
    <x v="14"/>
    <n v="84.548490000000001"/>
    <x v="0"/>
    <x v="0"/>
    <x v="0"/>
    <x v="0"/>
    <x v="8"/>
    <x v="14"/>
    <n v="92.157854100000009"/>
  </r>
  <r>
    <x v="2"/>
    <x v="0"/>
    <x v="2"/>
    <x v="2"/>
    <x v="0"/>
    <x v="1"/>
    <x v="0"/>
    <x v="0"/>
    <x v="0"/>
    <x v="0"/>
    <x v="0"/>
    <x v="0"/>
    <x v="1"/>
    <x v="6"/>
    <x v="6"/>
    <x v="16"/>
    <x v="16"/>
    <n v="458.11297000000002"/>
    <x v="0"/>
    <x v="0"/>
    <x v="3"/>
    <x v="5"/>
    <x v="9"/>
    <x v="16"/>
    <n v="499.34313730000008"/>
  </r>
  <r>
    <x v="2"/>
    <x v="0"/>
    <x v="2"/>
    <x v="2"/>
    <x v="0"/>
    <x v="1"/>
    <x v="0"/>
    <x v="0"/>
    <x v="0"/>
    <x v="0"/>
    <x v="0"/>
    <x v="0"/>
    <x v="1"/>
    <x v="6"/>
    <x v="6"/>
    <x v="20"/>
    <x v="20"/>
    <n v="892.85321999999996"/>
    <x v="0"/>
    <x v="0"/>
    <x v="1"/>
    <x v="3"/>
    <x v="3"/>
    <x v="13"/>
    <n v="973.21000980000008"/>
  </r>
  <r>
    <x v="2"/>
    <x v="0"/>
    <x v="2"/>
    <x v="2"/>
    <x v="0"/>
    <x v="1"/>
    <x v="0"/>
    <x v="0"/>
    <x v="0"/>
    <x v="0"/>
    <x v="0"/>
    <x v="0"/>
    <x v="1"/>
    <x v="6"/>
    <x v="6"/>
    <x v="2"/>
    <x v="2"/>
    <n v="459.62878899054999"/>
    <x v="0"/>
    <x v="1"/>
    <x v="2"/>
    <x v="2"/>
    <x v="13"/>
    <x v="2"/>
    <n v="500.99537999969954"/>
  </r>
  <r>
    <x v="2"/>
    <x v="0"/>
    <x v="2"/>
    <x v="2"/>
    <x v="0"/>
    <x v="1"/>
    <x v="0"/>
    <x v="0"/>
    <x v="0"/>
    <x v="0"/>
    <x v="0"/>
    <x v="0"/>
    <x v="1"/>
    <x v="6"/>
    <x v="6"/>
    <x v="3"/>
    <x v="3"/>
    <n v="1.8799990146316901"/>
    <x v="0"/>
    <x v="0"/>
    <x v="1"/>
    <x v="3"/>
    <x v="3"/>
    <x v="3"/>
    <n v="2.0491989259485424"/>
  </r>
  <r>
    <x v="2"/>
    <x v="0"/>
    <x v="2"/>
    <x v="2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2"/>
    <x v="0"/>
    <x v="2"/>
    <x v="2"/>
    <x v="0"/>
    <x v="1"/>
    <x v="0"/>
    <x v="0"/>
    <x v="0"/>
    <x v="0"/>
    <x v="0"/>
    <x v="0"/>
    <x v="3"/>
    <x v="7"/>
    <x v="7"/>
    <x v="9"/>
    <x v="9"/>
    <n v="374.70722679526301"/>
    <x v="0"/>
    <x v="0"/>
    <x v="1"/>
    <x v="4"/>
    <x v="5"/>
    <x v="9"/>
    <n v="408.43087720683673"/>
  </r>
  <r>
    <x v="2"/>
    <x v="0"/>
    <x v="2"/>
    <x v="2"/>
    <x v="0"/>
    <x v="1"/>
    <x v="0"/>
    <x v="0"/>
    <x v="0"/>
    <x v="0"/>
    <x v="0"/>
    <x v="0"/>
    <x v="3"/>
    <x v="7"/>
    <x v="7"/>
    <x v="10"/>
    <x v="10"/>
    <n v="157.22943302078301"/>
    <x v="0"/>
    <x v="0"/>
    <x v="1"/>
    <x v="4"/>
    <x v="5"/>
    <x v="10"/>
    <n v="171.38008199265349"/>
  </r>
  <r>
    <x v="2"/>
    <x v="0"/>
    <x v="2"/>
    <x v="2"/>
    <x v="0"/>
    <x v="1"/>
    <x v="0"/>
    <x v="0"/>
    <x v="0"/>
    <x v="0"/>
    <x v="0"/>
    <x v="0"/>
    <x v="3"/>
    <x v="7"/>
    <x v="7"/>
    <x v="11"/>
    <x v="11"/>
    <n v="330.40917000000002"/>
    <x v="0"/>
    <x v="0"/>
    <x v="3"/>
    <x v="5"/>
    <x v="7"/>
    <x v="11"/>
    <n v="360.14599530000004"/>
  </r>
  <r>
    <x v="2"/>
    <x v="0"/>
    <x v="2"/>
    <x v="2"/>
    <x v="0"/>
    <x v="1"/>
    <x v="0"/>
    <x v="0"/>
    <x v="0"/>
    <x v="0"/>
    <x v="0"/>
    <x v="0"/>
    <x v="3"/>
    <x v="7"/>
    <x v="7"/>
    <x v="36"/>
    <x v="36"/>
    <n v="166.19098165127599"/>
    <x v="0"/>
    <x v="0"/>
    <x v="1"/>
    <x v="3"/>
    <x v="3"/>
    <x v="4"/>
    <n v="181.14816999989085"/>
  </r>
  <r>
    <x v="2"/>
    <x v="0"/>
    <x v="2"/>
    <x v="2"/>
    <x v="0"/>
    <x v="1"/>
    <x v="0"/>
    <x v="0"/>
    <x v="0"/>
    <x v="0"/>
    <x v="0"/>
    <x v="0"/>
    <x v="3"/>
    <x v="7"/>
    <x v="7"/>
    <x v="24"/>
    <x v="24"/>
    <n v="270.52335779800302"/>
    <x v="0"/>
    <x v="0"/>
    <x v="1"/>
    <x v="3"/>
    <x v="3"/>
    <x v="4"/>
    <n v="294.87045999982331"/>
  </r>
  <r>
    <x v="2"/>
    <x v="0"/>
    <x v="2"/>
    <x v="2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2"/>
    <x v="0"/>
    <x v="2"/>
    <x v="2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2"/>
    <x v="0"/>
    <x v="2"/>
    <x v="2"/>
    <x v="0"/>
    <x v="1"/>
    <x v="0"/>
    <x v="0"/>
    <x v="0"/>
    <x v="0"/>
    <x v="0"/>
    <x v="0"/>
    <x v="3"/>
    <x v="7"/>
    <x v="7"/>
    <x v="34"/>
    <x v="34"/>
    <n v="112.553854146558"/>
    <x v="0"/>
    <x v="0"/>
    <x v="0"/>
    <x v="0"/>
    <x v="0"/>
    <x v="0"/>
    <n v="122.68370101974823"/>
  </r>
  <r>
    <x v="2"/>
    <x v="0"/>
    <x v="2"/>
    <x v="2"/>
    <x v="0"/>
    <x v="1"/>
    <x v="0"/>
    <x v="0"/>
    <x v="0"/>
    <x v="0"/>
    <x v="0"/>
    <x v="0"/>
    <x v="3"/>
    <x v="7"/>
    <x v="7"/>
    <x v="26"/>
    <x v="26"/>
    <n v="3.8616330275206199"/>
    <x v="0"/>
    <x v="0"/>
    <x v="1"/>
    <x v="3"/>
    <x v="3"/>
    <x v="15"/>
    <n v="4.2091799999974757"/>
  </r>
  <r>
    <x v="2"/>
    <x v="0"/>
    <x v="2"/>
    <x v="2"/>
    <x v="0"/>
    <x v="1"/>
    <x v="0"/>
    <x v="0"/>
    <x v="0"/>
    <x v="0"/>
    <x v="0"/>
    <x v="0"/>
    <x v="1"/>
    <x v="8"/>
    <x v="8"/>
    <x v="6"/>
    <x v="6"/>
    <n v="142.75343000000001"/>
    <x v="0"/>
    <x v="0"/>
    <x v="0"/>
    <x v="0"/>
    <x v="4"/>
    <x v="6"/>
    <n v="155.60123870000001"/>
  </r>
  <r>
    <x v="2"/>
    <x v="0"/>
    <x v="2"/>
    <x v="2"/>
    <x v="0"/>
    <x v="1"/>
    <x v="0"/>
    <x v="0"/>
    <x v="0"/>
    <x v="0"/>
    <x v="0"/>
    <x v="0"/>
    <x v="1"/>
    <x v="8"/>
    <x v="8"/>
    <x v="8"/>
    <x v="8"/>
    <n v="447.273608110971"/>
    <x v="0"/>
    <x v="1"/>
    <x v="2"/>
    <x v="2"/>
    <x v="6"/>
    <x v="8"/>
    <n v="487.52823284095842"/>
  </r>
  <r>
    <x v="2"/>
    <x v="0"/>
    <x v="2"/>
    <x v="2"/>
    <x v="0"/>
    <x v="1"/>
    <x v="0"/>
    <x v="0"/>
    <x v="0"/>
    <x v="0"/>
    <x v="0"/>
    <x v="0"/>
    <x v="1"/>
    <x v="8"/>
    <x v="8"/>
    <x v="9"/>
    <x v="9"/>
    <n v="299.22675652606699"/>
    <x v="0"/>
    <x v="0"/>
    <x v="1"/>
    <x v="4"/>
    <x v="5"/>
    <x v="9"/>
    <n v="326.15716461341304"/>
  </r>
  <r>
    <x v="2"/>
    <x v="0"/>
    <x v="2"/>
    <x v="2"/>
    <x v="0"/>
    <x v="1"/>
    <x v="0"/>
    <x v="0"/>
    <x v="0"/>
    <x v="0"/>
    <x v="0"/>
    <x v="0"/>
    <x v="1"/>
    <x v="8"/>
    <x v="8"/>
    <x v="10"/>
    <x v="10"/>
    <n v="152.83989103777"/>
    <x v="0"/>
    <x v="0"/>
    <x v="1"/>
    <x v="4"/>
    <x v="5"/>
    <x v="10"/>
    <n v="166.59548123116932"/>
  </r>
  <r>
    <x v="2"/>
    <x v="0"/>
    <x v="2"/>
    <x v="2"/>
    <x v="0"/>
    <x v="1"/>
    <x v="0"/>
    <x v="0"/>
    <x v="0"/>
    <x v="0"/>
    <x v="0"/>
    <x v="0"/>
    <x v="1"/>
    <x v="8"/>
    <x v="8"/>
    <x v="11"/>
    <x v="11"/>
    <n v="23.463180000000001"/>
    <x v="0"/>
    <x v="0"/>
    <x v="3"/>
    <x v="5"/>
    <x v="7"/>
    <x v="11"/>
    <n v="25.574866200000002"/>
  </r>
  <r>
    <x v="2"/>
    <x v="0"/>
    <x v="2"/>
    <x v="2"/>
    <x v="0"/>
    <x v="1"/>
    <x v="0"/>
    <x v="0"/>
    <x v="0"/>
    <x v="0"/>
    <x v="0"/>
    <x v="0"/>
    <x v="1"/>
    <x v="8"/>
    <x v="8"/>
    <x v="36"/>
    <x v="36"/>
    <n v="7.4947155963257801"/>
    <x v="0"/>
    <x v="0"/>
    <x v="1"/>
    <x v="3"/>
    <x v="3"/>
    <x v="4"/>
    <n v="8.1692399999951011"/>
  </r>
  <r>
    <x v="2"/>
    <x v="0"/>
    <x v="2"/>
    <x v="2"/>
    <x v="0"/>
    <x v="1"/>
    <x v="0"/>
    <x v="0"/>
    <x v="0"/>
    <x v="0"/>
    <x v="0"/>
    <x v="0"/>
    <x v="1"/>
    <x v="8"/>
    <x v="8"/>
    <x v="24"/>
    <x v="24"/>
    <n v="321.246486238339"/>
    <x v="0"/>
    <x v="0"/>
    <x v="1"/>
    <x v="3"/>
    <x v="3"/>
    <x v="4"/>
    <n v="350.15866999978954"/>
  </r>
  <r>
    <x v="2"/>
    <x v="0"/>
    <x v="2"/>
    <x v="2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2"/>
    <x v="0"/>
    <x v="2"/>
    <x v="2"/>
    <x v="0"/>
    <x v="1"/>
    <x v="0"/>
    <x v="0"/>
    <x v="0"/>
    <x v="0"/>
    <x v="0"/>
    <x v="0"/>
    <x v="1"/>
    <x v="8"/>
    <x v="8"/>
    <x v="21"/>
    <x v="21"/>
    <n v="22.0615229357666"/>
    <x v="0"/>
    <x v="0"/>
    <x v="1"/>
    <x v="4"/>
    <x v="5"/>
    <x v="10"/>
    <n v="24.047059999985596"/>
  </r>
  <r>
    <x v="2"/>
    <x v="0"/>
    <x v="2"/>
    <x v="2"/>
    <x v="0"/>
    <x v="1"/>
    <x v="0"/>
    <x v="0"/>
    <x v="0"/>
    <x v="0"/>
    <x v="0"/>
    <x v="0"/>
    <x v="1"/>
    <x v="8"/>
    <x v="8"/>
    <x v="18"/>
    <x v="18"/>
    <n v="51.484169999999999"/>
    <x v="0"/>
    <x v="0"/>
    <x v="0"/>
    <x v="0"/>
    <x v="4"/>
    <x v="18"/>
    <n v="56.117745300000003"/>
  </r>
  <r>
    <x v="2"/>
    <x v="0"/>
    <x v="2"/>
    <x v="2"/>
    <x v="0"/>
    <x v="1"/>
    <x v="0"/>
    <x v="0"/>
    <x v="0"/>
    <x v="0"/>
    <x v="0"/>
    <x v="0"/>
    <x v="1"/>
    <x v="8"/>
    <x v="8"/>
    <x v="34"/>
    <x v="34"/>
    <n v="15.800214846893001"/>
    <x v="0"/>
    <x v="0"/>
    <x v="0"/>
    <x v="0"/>
    <x v="0"/>
    <x v="0"/>
    <n v="17.222234183113372"/>
  </r>
  <r>
    <x v="2"/>
    <x v="0"/>
    <x v="2"/>
    <x v="2"/>
    <x v="0"/>
    <x v="1"/>
    <x v="0"/>
    <x v="0"/>
    <x v="0"/>
    <x v="0"/>
    <x v="0"/>
    <x v="0"/>
    <x v="1"/>
    <x v="8"/>
    <x v="8"/>
    <x v="37"/>
    <x v="37"/>
    <n v="225.74815596316699"/>
    <x v="0"/>
    <x v="0"/>
    <x v="1"/>
    <x v="3"/>
    <x v="3"/>
    <x v="4"/>
    <n v="246.06548999985205"/>
  </r>
  <r>
    <x v="2"/>
    <x v="0"/>
    <x v="2"/>
    <x v="2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2"/>
    <x v="0"/>
    <x v="2"/>
    <x v="2"/>
    <x v="0"/>
    <x v="1"/>
    <x v="0"/>
    <x v="0"/>
    <x v="0"/>
    <x v="0"/>
    <x v="0"/>
    <x v="0"/>
    <x v="0"/>
    <x v="9"/>
    <x v="9"/>
    <x v="6"/>
    <x v="6"/>
    <n v="357.15627999999998"/>
    <x v="0"/>
    <x v="0"/>
    <x v="0"/>
    <x v="0"/>
    <x v="4"/>
    <x v="6"/>
    <n v="389.30034519999998"/>
  </r>
  <r>
    <x v="2"/>
    <x v="0"/>
    <x v="2"/>
    <x v="2"/>
    <x v="0"/>
    <x v="1"/>
    <x v="0"/>
    <x v="0"/>
    <x v="0"/>
    <x v="0"/>
    <x v="0"/>
    <x v="0"/>
    <x v="0"/>
    <x v="9"/>
    <x v="9"/>
    <x v="7"/>
    <x v="7"/>
    <n v="467.42182568779299"/>
    <x v="0"/>
    <x v="0"/>
    <x v="1"/>
    <x v="4"/>
    <x v="5"/>
    <x v="7"/>
    <n v="509.48978999969438"/>
  </r>
  <r>
    <x v="2"/>
    <x v="0"/>
    <x v="2"/>
    <x v="2"/>
    <x v="0"/>
    <x v="1"/>
    <x v="0"/>
    <x v="0"/>
    <x v="0"/>
    <x v="0"/>
    <x v="0"/>
    <x v="0"/>
    <x v="0"/>
    <x v="9"/>
    <x v="9"/>
    <x v="9"/>
    <x v="9"/>
    <n v="1126.20927151043"/>
    <x v="0"/>
    <x v="0"/>
    <x v="1"/>
    <x v="4"/>
    <x v="5"/>
    <x v="9"/>
    <n v="1227.5681059463689"/>
  </r>
  <r>
    <x v="2"/>
    <x v="0"/>
    <x v="2"/>
    <x v="2"/>
    <x v="0"/>
    <x v="1"/>
    <x v="0"/>
    <x v="0"/>
    <x v="0"/>
    <x v="0"/>
    <x v="0"/>
    <x v="0"/>
    <x v="0"/>
    <x v="9"/>
    <x v="9"/>
    <x v="10"/>
    <x v="10"/>
    <n v="179.414652904484"/>
    <x v="0"/>
    <x v="0"/>
    <x v="1"/>
    <x v="4"/>
    <x v="5"/>
    <x v="10"/>
    <n v="195.56197166588757"/>
  </r>
  <r>
    <x v="2"/>
    <x v="0"/>
    <x v="2"/>
    <x v="2"/>
    <x v="0"/>
    <x v="1"/>
    <x v="0"/>
    <x v="0"/>
    <x v="0"/>
    <x v="0"/>
    <x v="0"/>
    <x v="0"/>
    <x v="0"/>
    <x v="9"/>
    <x v="9"/>
    <x v="11"/>
    <x v="11"/>
    <n v="194.55501000000001"/>
    <x v="0"/>
    <x v="0"/>
    <x v="3"/>
    <x v="5"/>
    <x v="7"/>
    <x v="11"/>
    <n v="212.06496090000002"/>
  </r>
  <r>
    <x v="2"/>
    <x v="0"/>
    <x v="2"/>
    <x v="2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2"/>
    <x v="0"/>
    <x v="2"/>
    <x v="2"/>
    <x v="0"/>
    <x v="1"/>
    <x v="0"/>
    <x v="0"/>
    <x v="0"/>
    <x v="0"/>
    <x v="0"/>
    <x v="0"/>
    <x v="0"/>
    <x v="9"/>
    <x v="9"/>
    <x v="36"/>
    <x v="36"/>
    <n v="27.4336513761303"/>
    <x v="0"/>
    <x v="0"/>
    <x v="1"/>
    <x v="3"/>
    <x v="3"/>
    <x v="4"/>
    <n v="29.902679999982027"/>
  </r>
  <r>
    <x v="2"/>
    <x v="0"/>
    <x v="2"/>
    <x v="2"/>
    <x v="0"/>
    <x v="1"/>
    <x v="0"/>
    <x v="0"/>
    <x v="0"/>
    <x v="0"/>
    <x v="0"/>
    <x v="0"/>
    <x v="0"/>
    <x v="9"/>
    <x v="9"/>
    <x v="24"/>
    <x v="24"/>
    <n v="283.127779816344"/>
    <x v="0"/>
    <x v="0"/>
    <x v="1"/>
    <x v="3"/>
    <x v="3"/>
    <x v="4"/>
    <n v="308.60927999981499"/>
  </r>
  <r>
    <x v="2"/>
    <x v="0"/>
    <x v="2"/>
    <x v="2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2"/>
    <x v="0"/>
    <x v="2"/>
    <x v="2"/>
    <x v="0"/>
    <x v="1"/>
    <x v="0"/>
    <x v="0"/>
    <x v="0"/>
    <x v="0"/>
    <x v="0"/>
    <x v="0"/>
    <x v="0"/>
    <x v="9"/>
    <x v="9"/>
    <x v="21"/>
    <x v="21"/>
    <n v="179.09233944943401"/>
    <x v="0"/>
    <x v="0"/>
    <x v="1"/>
    <x v="4"/>
    <x v="5"/>
    <x v="10"/>
    <n v="195.21064999988309"/>
  </r>
  <r>
    <x v="2"/>
    <x v="0"/>
    <x v="2"/>
    <x v="2"/>
    <x v="0"/>
    <x v="1"/>
    <x v="0"/>
    <x v="0"/>
    <x v="0"/>
    <x v="0"/>
    <x v="0"/>
    <x v="0"/>
    <x v="0"/>
    <x v="9"/>
    <x v="9"/>
    <x v="18"/>
    <x v="18"/>
    <n v="262.08429999999998"/>
    <x v="0"/>
    <x v="0"/>
    <x v="0"/>
    <x v="0"/>
    <x v="4"/>
    <x v="18"/>
    <n v="285.67188700000003"/>
  </r>
  <r>
    <x v="2"/>
    <x v="0"/>
    <x v="2"/>
    <x v="2"/>
    <x v="0"/>
    <x v="1"/>
    <x v="0"/>
    <x v="0"/>
    <x v="0"/>
    <x v="0"/>
    <x v="0"/>
    <x v="0"/>
    <x v="0"/>
    <x v="9"/>
    <x v="9"/>
    <x v="34"/>
    <x v="34"/>
    <n v="63.893849780573198"/>
    <x v="0"/>
    <x v="0"/>
    <x v="0"/>
    <x v="0"/>
    <x v="0"/>
    <x v="0"/>
    <n v="69.644296260824788"/>
  </r>
  <r>
    <x v="2"/>
    <x v="0"/>
    <x v="2"/>
    <x v="2"/>
    <x v="0"/>
    <x v="1"/>
    <x v="0"/>
    <x v="0"/>
    <x v="0"/>
    <x v="0"/>
    <x v="0"/>
    <x v="0"/>
    <x v="0"/>
    <x v="9"/>
    <x v="9"/>
    <x v="37"/>
    <x v="37"/>
    <n v="104.386752293515"/>
    <x v="0"/>
    <x v="0"/>
    <x v="1"/>
    <x v="3"/>
    <x v="3"/>
    <x v="4"/>
    <n v="113.78155999993136"/>
  </r>
  <r>
    <x v="2"/>
    <x v="0"/>
    <x v="2"/>
    <x v="2"/>
    <x v="0"/>
    <x v="1"/>
    <x v="0"/>
    <x v="0"/>
    <x v="0"/>
    <x v="0"/>
    <x v="0"/>
    <x v="0"/>
    <x v="0"/>
    <x v="9"/>
    <x v="9"/>
    <x v="26"/>
    <x v="26"/>
    <n v="1.4859082568798401"/>
    <x v="0"/>
    <x v="0"/>
    <x v="1"/>
    <x v="3"/>
    <x v="3"/>
    <x v="15"/>
    <n v="1.6196399999990259"/>
  </r>
  <r>
    <x v="2"/>
    <x v="0"/>
    <x v="2"/>
    <x v="2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2"/>
    <x v="0"/>
    <x v="2"/>
    <x v="2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2"/>
    <x v="0"/>
    <x v="2"/>
    <x v="2"/>
    <x v="0"/>
    <x v="1"/>
    <x v="0"/>
    <x v="0"/>
    <x v="0"/>
    <x v="0"/>
    <x v="0"/>
    <x v="0"/>
    <x v="2"/>
    <x v="10"/>
    <x v="10"/>
    <x v="6"/>
    <x v="6"/>
    <n v="462.19722000000002"/>
    <x v="0"/>
    <x v="0"/>
    <x v="0"/>
    <x v="0"/>
    <x v="4"/>
    <x v="6"/>
    <n v="503.79496980000005"/>
  </r>
  <r>
    <x v="2"/>
    <x v="0"/>
    <x v="2"/>
    <x v="2"/>
    <x v="0"/>
    <x v="1"/>
    <x v="0"/>
    <x v="0"/>
    <x v="0"/>
    <x v="0"/>
    <x v="0"/>
    <x v="0"/>
    <x v="2"/>
    <x v="10"/>
    <x v="10"/>
    <x v="7"/>
    <x v="7"/>
    <n v="56.846045871525497"/>
    <x v="0"/>
    <x v="0"/>
    <x v="1"/>
    <x v="4"/>
    <x v="5"/>
    <x v="7"/>
    <n v="61.962189999962796"/>
  </r>
  <r>
    <x v="2"/>
    <x v="0"/>
    <x v="2"/>
    <x v="2"/>
    <x v="0"/>
    <x v="1"/>
    <x v="0"/>
    <x v="0"/>
    <x v="0"/>
    <x v="0"/>
    <x v="0"/>
    <x v="0"/>
    <x v="2"/>
    <x v="10"/>
    <x v="10"/>
    <x v="9"/>
    <x v="9"/>
    <n v="501.19270406556302"/>
    <x v="0"/>
    <x v="0"/>
    <x v="1"/>
    <x v="4"/>
    <x v="5"/>
    <x v="9"/>
    <n v="546.30004743146378"/>
  </r>
  <r>
    <x v="2"/>
    <x v="0"/>
    <x v="2"/>
    <x v="2"/>
    <x v="0"/>
    <x v="1"/>
    <x v="0"/>
    <x v="0"/>
    <x v="0"/>
    <x v="0"/>
    <x v="0"/>
    <x v="0"/>
    <x v="2"/>
    <x v="10"/>
    <x v="10"/>
    <x v="10"/>
    <x v="10"/>
    <n v="310.36065218951899"/>
    <x v="0"/>
    <x v="0"/>
    <x v="1"/>
    <x v="4"/>
    <x v="5"/>
    <x v="10"/>
    <n v="338.29311088657573"/>
  </r>
  <r>
    <x v="2"/>
    <x v="0"/>
    <x v="2"/>
    <x v="2"/>
    <x v="0"/>
    <x v="1"/>
    <x v="0"/>
    <x v="0"/>
    <x v="0"/>
    <x v="0"/>
    <x v="0"/>
    <x v="0"/>
    <x v="2"/>
    <x v="10"/>
    <x v="10"/>
    <x v="11"/>
    <x v="11"/>
    <n v="123.43850999999999"/>
    <x v="0"/>
    <x v="0"/>
    <x v="3"/>
    <x v="5"/>
    <x v="7"/>
    <x v="11"/>
    <n v="134.54797590000001"/>
  </r>
  <r>
    <x v="2"/>
    <x v="0"/>
    <x v="2"/>
    <x v="2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2"/>
    <x v="0"/>
    <x v="2"/>
    <x v="2"/>
    <x v="0"/>
    <x v="1"/>
    <x v="0"/>
    <x v="0"/>
    <x v="0"/>
    <x v="0"/>
    <x v="0"/>
    <x v="0"/>
    <x v="2"/>
    <x v="10"/>
    <x v="10"/>
    <x v="36"/>
    <x v="36"/>
    <n v="58.038899082534002"/>
    <x v="0"/>
    <x v="0"/>
    <x v="1"/>
    <x v="3"/>
    <x v="3"/>
    <x v="4"/>
    <n v="63.262399999962064"/>
  </r>
  <r>
    <x v="2"/>
    <x v="0"/>
    <x v="2"/>
    <x v="2"/>
    <x v="0"/>
    <x v="1"/>
    <x v="0"/>
    <x v="0"/>
    <x v="0"/>
    <x v="0"/>
    <x v="0"/>
    <x v="0"/>
    <x v="2"/>
    <x v="10"/>
    <x v="10"/>
    <x v="24"/>
    <x v="24"/>
    <n v="181.48933027512001"/>
    <x v="0"/>
    <x v="0"/>
    <x v="1"/>
    <x v="3"/>
    <x v="3"/>
    <x v="4"/>
    <n v="197.82336999988084"/>
  </r>
  <r>
    <x v="2"/>
    <x v="0"/>
    <x v="2"/>
    <x v="2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2"/>
    <x v="0"/>
    <x v="2"/>
    <x v="2"/>
    <x v="0"/>
    <x v="1"/>
    <x v="0"/>
    <x v="0"/>
    <x v="0"/>
    <x v="0"/>
    <x v="0"/>
    <x v="0"/>
    <x v="2"/>
    <x v="10"/>
    <x v="10"/>
    <x v="21"/>
    <x v="21"/>
    <n v="71.214844036654497"/>
    <x v="0"/>
    <x v="0"/>
    <x v="1"/>
    <x v="4"/>
    <x v="5"/>
    <x v="10"/>
    <n v="77.624179999953412"/>
  </r>
  <r>
    <x v="2"/>
    <x v="0"/>
    <x v="2"/>
    <x v="2"/>
    <x v="0"/>
    <x v="1"/>
    <x v="0"/>
    <x v="0"/>
    <x v="0"/>
    <x v="0"/>
    <x v="0"/>
    <x v="0"/>
    <x v="2"/>
    <x v="10"/>
    <x v="10"/>
    <x v="18"/>
    <x v="18"/>
    <n v="170.91007999999999"/>
    <x v="0"/>
    <x v="0"/>
    <x v="0"/>
    <x v="0"/>
    <x v="4"/>
    <x v="18"/>
    <n v="186.29198719999999"/>
  </r>
  <r>
    <x v="2"/>
    <x v="0"/>
    <x v="2"/>
    <x v="2"/>
    <x v="0"/>
    <x v="1"/>
    <x v="0"/>
    <x v="0"/>
    <x v="0"/>
    <x v="0"/>
    <x v="0"/>
    <x v="0"/>
    <x v="2"/>
    <x v="10"/>
    <x v="10"/>
    <x v="34"/>
    <x v="34"/>
    <n v="133.143722268479"/>
    <x v="0"/>
    <x v="0"/>
    <x v="0"/>
    <x v="0"/>
    <x v="0"/>
    <x v="0"/>
    <n v="145.12665727264212"/>
  </r>
  <r>
    <x v="2"/>
    <x v="0"/>
    <x v="2"/>
    <x v="2"/>
    <x v="0"/>
    <x v="1"/>
    <x v="0"/>
    <x v="0"/>
    <x v="0"/>
    <x v="0"/>
    <x v="0"/>
    <x v="0"/>
    <x v="2"/>
    <x v="10"/>
    <x v="10"/>
    <x v="37"/>
    <x v="37"/>
    <n v="135.54174311918501"/>
    <x v="0"/>
    <x v="0"/>
    <x v="1"/>
    <x v="3"/>
    <x v="3"/>
    <x v="4"/>
    <n v="147.74049999991166"/>
  </r>
  <r>
    <x v="2"/>
    <x v="0"/>
    <x v="2"/>
    <x v="2"/>
    <x v="0"/>
    <x v="1"/>
    <x v="0"/>
    <x v="0"/>
    <x v="0"/>
    <x v="0"/>
    <x v="0"/>
    <x v="0"/>
    <x v="2"/>
    <x v="10"/>
    <x v="10"/>
    <x v="26"/>
    <x v="26"/>
    <n v="5.0509082568777002"/>
    <x v="0"/>
    <x v="0"/>
    <x v="1"/>
    <x v="3"/>
    <x v="3"/>
    <x v="15"/>
    <n v="5.5054899999966933"/>
  </r>
  <r>
    <x v="2"/>
    <x v="0"/>
    <x v="2"/>
    <x v="2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2"/>
    <x v="0"/>
    <x v="2"/>
    <x v="2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2"/>
    <x v="0"/>
    <x v="2"/>
    <x v="2"/>
    <x v="0"/>
    <x v="1"/>
    <x v="0"/>
    <x v="0"/>
    <x v="0"/>
    <x v="0"/>
    <x v="0"/>
    <x v="0"/>
    <x v="4"/>
    <x v="5"/>
    <x v="5"/>
    <x v="6"/>
    <x v="6"/>
    <n v="1036.1600000000001"/>
    <x v="0"/>
    <x v="0"/>
    <x v="0"/>
    <x v="0"/>
    <x v="4"/>
    <x v="6"/>
    <n v="1129.4144000000001"/>
  </r>
  <r>
    <x v="2"/>
    <x v="0"/>
    <x v="2"/>
    <x v="2"/>
    <x v="0"/>
    <x v="1"/>
    <x v="0"/>
    <x v="0"/>
    <x v="0"/>
    <x v="0"/>
    <x v="0"/>
    <x v="0"/>
    <x v="4"/>
    <x v="5"/>
    <x v="5"/>
    <x v="7"/>
    <x v="7"/>
    <n v="44.172275229331298"/>
    <x v="0"/>
    <x v="0"/>
    <x v="1"/>
    <x v="4"/>
    <x v="5"/>
    <x v="7"/>
    <n v="48.147779999971121"/>
  </r>
  <r>
    <x v="2"/>
    <x v="0"/>
    <x v="2"/>
    <x v="2"/>
    <x v="0"/>
    <x v="1"/>
    <x v="0"/>
    <x v="0"/>
    <x v="0"/>
    <x v="0"/>
    <x v="0"/>
    <x v="0"/>
    <x v="4"/>
    <x v="5"/>
    <x v="5"/>
    <x v="8"/>
    <x v="8"/>
    <n v="5906.52046625402"/>
    <x v="0"/>
    <x v="1"/>
    <x v="2"/>
    <x v="2"/>
    <x v="6"/>
    <x v="8"/>
    <n v="6438.1073082168823"/>
  </r>
  <r>
    <x v="2"/>
    <x v="0"/>
    <x v="2"/>
    <x v="2"/>
    <x v="0"/>
    <x v="1"/>
    <x v="0"/>
    <x v="0"/>
    <x v="0"/>
    <x v="0"/>
    <x v="0"/>
    <x v="0"/>
    <x v="4"/>
    <x v="5"/>
    <x v="5"/>
    <x v="9"/>
    <x v="9"/>
    <n v="2476.7688109985702"/>
    <x v="0"/>
    <x v="0"/>
    <x v="1"/>
    <x v="4"/>
    <x v="5"/>
    <x v="9"/>
    <n v="2699.6780039884416"/>
  </r>
  <r>
    <x v="2"/>
    <x v="0"/>
    <x v="2"/>
    <x v="2"/>
    <x v="0"/>
    <x v="1"/>
    <x v="0"/>
    <x v="0"/>
    <x v="0"/>
    <x v="0"/>
    <x v="0"/>
    <x v="0"/>
    <x v="4"/>
    <x v="5"/>
    <x v="5"/>
    <x v="10"/>
    <x v="10"/>
    <n v="402.97079765501599"/>
    <x v="0"/>
    <x v="0"/>
    <x v="1"/>
    <x v="4"/>
    <x v="5"/>
    <x v="10"/>
    <n v="439.23816944396748"/>
  </r>
  <r>
    <x v="2"/>
    <x v="0"/>
    <x v="2"/>
    <x v="2"/>
    <x v="0"/>
    <x v="1"/>
    <x v="0"/>
    <x v="0"/>
    <x v="0"/>
    <x v="0"/>
    <x v="0"/>
    <x v="0"/>
    <x v="4"/>
    <x v="5"/>
    <x v="5"/>
    <x v="29"/>
    <x v="29"/>
    <n v="0.63358000000000003"/>
    <x v="0"/>
    <x v="0"/>
    <x v="1"/>
    <x v="3"/>
    <x v="3"/>
    <x v="13"/>
    <n v="0.69060220000000005"/>
  </r>
  <r>
    <x v="2"/>
    <x v="0"/>
    <x v="2"/>
    <x v="2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2"/>
    <x v="0"/>
    <x v="2"/>
    <x v="2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2"/>
    <x v="0"/>
    <x v="2"/>
    <x v="2"/>
    <x v="0"/>
    <x v="1"/>
    <x v="0"/>
    <x v="0"/>
    <x v="0"/>
    <x v="0"/>
    <x v="0"/>
    <x v="0"/>
    <x v="4"/>
    <x v="5"/>
    <x v="5"/>
    <x v="12"/>
    <x v="12"/>
    <n v="7.4450348836926397"/>
    <x v="0"/>
    <x v="0"/>
    <x v="0"/>
    <x v="0"/>
    <x v="8"/>
    <x v="12"/>
    <n v="8.1150880232249776"/>
  </r>
  <r>
    <x v="2"/>
    <x v="0"/>
    <x v="2"/>
    <x v="2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2"/>
    <x v="0"/>
    <x v="2"/>
    <x v="2"/>
    <x v="0"/>
    <x v="1"/>
    <x v="0"/>
    <x v="0"/>
    <x v="0"/>
    <x v="0"/>
    <x v="0"/>
    <x v="0"/>
    <x v="4"/>
    <x v="5"/>
    <x v="5"/>
    <x v="22"/>
    <x v="22"/>
    <n v="76.186366935179095"/>
    <x v="0"/>
    <x v="0"/>
    <x v="0"/>
    <x v="0"/>
    <x v="0"/>
    <x v="0"/>
    <n v="83.043139959345226"/>
  </r>
  <r>
    <x v="2"/>
    <x v="0"/>
    <x v="2"/>
    <x v="2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2"/>
    <x v="0"/>
    <x v="2"/>
    <x v="2"/>
    <x v="0"/>
    <x v="1"/>
    <x v="0"/>
    <x v="0"/>
    <x v="0"/>
    <x v="0"/>
    <x v="0"/>
    <x v="0"/>
    <x v="4"/>
    <x v="5"/>
    <x v="5"/>
    <x v="36"/>
    <x v="36"/>
    <n v="225.64772477050701"/>
    <x v="0"/>
    <x v="0"/>
    <x v="1"/>
    <x v="3"/>
    <x v="3"/>
    <x v="4"/>
    <n v="245.95601999985266"/>
  </r>
  <r>
    <x v="2"/>
    <x v="0"/>
    <x v="2"/>
    <x v="2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2"/>
    <x v="0"/>
    <x v="2"/>
    <x v="2"/>
    <x v="0"/>
    <x v="1"/>
    <x v="0"/>
    <x v="0"/>
    <x v="0"/>
    <x v="0"/>
    <x v="0"/>
    <x v="0"/>
    <x v="4"/>
    <x v="5"/>
    <x v="5"/>
    <x v="24"/>
    <x v="24"/>
    <n v="270.66262385304901"/>
    <x v="0"/>
    <x v="0"/>
    <x v="1"/>
    <x v="3"/>
    <x v="3"/>
    <x v="4"/>
    <n v="295.02225999982346"/>
  </r>
  <r>
    <x v="2"/>
    <x v="0"/>
    <x v="2"/>
    <x v="2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2"/>
    <x v="0"/>
    <x v="2"/>
    <x v="2"/>
    <x v="0"/>
    <x v="1"/>
    <x v="0"/>
    <x v="0"/>
    <x v="0"/>
    <x v="0"/>
    <x v="0"/>
    <x v="0"/>
    <x v="4"/>
    <x v="5"/>
    <x v="5"/>
    <x v="18"/>
    <x v="18"/>
    <n v="1225.0115000000001"/>
    <x v="0"/>
    <x v="0"/>
    <x v="0"/>
    <x v="0"/>
    <x v="4"/>
    <x v="18"/>
    <n v="1335.2625350000001"/>
  </r>
  <r>
    <x v="2"/>
    <x v="0"/>
    <x v="2"/>
    <x v="2"/>
    <x v="0"/>
    <x v="1"/>
    <x v="0"/>
    <x v="0"/>
    <x v="0"/>
    <x v="0"/>
    <x v="0"/>
    <x v="0"/>
    <x v="4"/>
    <x v="5"/>
    <x v="5"/>
    <x v="34"/>
    <x v="34"/>
    <n v="488.891652393436"/>
    <x v="0"/>
    <x v="0"/>
    <x v="0"/>
    <x v="0"/>
    <x v="0"/>
    <x v="0"/>
    <n v="532.89190110884533"/>
  </r>
  <r>
    <x v="2"/>
    <x v="0"/>
    <x v="2"/>
    <x v="2"/>
    <x v="0"/>
    <x v="1"/>
    <x v="0"/>
    <x v="0"/>
    <x v="0"/>
    <x v="0"/>
    <x v="0"/>
    <x v="0"/>
    <x v="4"/>
    <x v="5"/>
    <x v="5"/>
    <x v="25"/>
    <x v="25"/>
    <n v="122.88001834855"/>
    <x v="0"/>
    <x v="0"/>
    <x v="1"/>
    <x v="4"/>
    <x v="5"/>
    <x v="9"/>
    <n v="133.93921999991952"/>
  </r>
  <r>
    <x v="2"/>
    <x v="0"/>
    <x v="2"/>
    <x v="2"/>
    <x v="0"/>
    <x v="1"/>
    <x v="0"/>
    <x v="0"/>
    <x v="0"/>
    <x v="0"/>
    <x v="0"/>
    <x v="0"/>
    <x v="4"/>
    <x v="5"/>
    <x v="5"/>
    <x v="37"/>
    <x v="37"/>
    <n v="497.35003669694902"/>
    <x v="0"/>
    <x v="0"/>
    <x v="1"/>
    <x v="3"/>
    <x v="3"/>
    <x v="4"/>
    <n v="542.11153999967451"/>
  </r>
  <r>
    <x v="2"/>
    <x v="0"/>
    <x v="2"/>
    <x v="2"/>
    <x v="0"/>
    <x v="1"/>
    <x v="0"/>
    <x v="0"/>
    <x v="0"/>
    <x v="0"/>
    <x v="0"/>
    <x v="0"/>
    <x v="4"/>
    <x v="5"/>
    <x v="5"/>
    <x v="27"/>
    <x v="27"/>
    <n v="31.151135135795499"/>
    <x v="0"/>
    <x v="0"/>
    <x v="1"/>
    <x v="3"/>
    <x v="3"/>
    <x v="19"/>
    <n v="33.954737298017093"/>
  </r>
  <r>
    <x v="2"/>
    <x v="0"/>
    <x v="2"/>
    <x v="2"/>
    <x v="0"/>
    <x v="1"/>
    <x v="0"/>
    <x v="0"/>
    <x v="0"/>
    <x v="0"/>
    <x v="0"/>
    <x v="0"/>
    <x v="4"/>
    <x v="5"/>
    <x v="5"/>
    <x v="26"/>
    <x v="26"/>
    <n v="12.719275229350201"/>
    <x v="0"/>
    <x v="0"/>
    <x v="1"/>
    <x v="3"/>
    <x v="3"/>
    <x v="15"/>
    <n v="13.864009999991719"/>
  </r>
  <r>
    <x v="2"/>
    <x v="0"/>
    <x v="2"/>
    <x v="2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2"/>
    <x v="0"/>
    <x v="2"/>
    <x v="2"/>
    <x v="0"/>
    <x v="1"/>
    <x v="0"/>
    <x v="0"/>
    <x v="0"/>
    <x v="0"/>
    <x v="0"/>
    <x v="0"/>
    <x v="4"/>
    <x v="5"/>
    <x v="5"/>
    <x v="2"/>
    <x v="2"/>
    <n v="12091.3222476992"/>
    <x v="0"/>
    <x v="1"/>
    <x v="2"/>
    <x v="2"/>
    <x v="13"/>
    <x v="2"/>
    <n v="13179.541249992128"/>
  </r>
  <r>
    <x v="2"/>
    <x v="0"/>
    <x v="2"/>
    <x v="2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2"/>
    <x v="0"/>
    <x v="2"/>
    <x v="2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2"/>
    <x v="0"/>
    <x v="2"/>
    <x v="2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2"/>
    <x v="0"/>
    <x v="2"/>
    <x v="2"/>
    <x v="0"/>
    <x v="1"/>
    <x v="0"/>
    <x v="0"/>
    <x v="0"/>
    <x v="0"/>
    <x v="3"/>
    <x v="3"/>
    <x v="2"/>
    <x v="2"/>
    <x v="2"/>
    <x v="6"/>
    <x v="6"/>
    <n v="2.7574999999999998"/>
    <x v="0"/>
    <x v="0"/>
    <x v="0"/>
    <x v="0"/>
    <x v="4"/>
    <x v="6"/>
    <n v="3.0056750000000001"/>
  </r>
  <r>
    <x v="2"/>
    <x v="0"/>
    <x v="2"/>
    <x v="2"/>
    <x v="0"/>
    <x v="1"/>
    <x v="0"/>
    <x v="0"/>
    <x v="0"/>
    <x v="0"/>
    <x v="3"/>
    <x v="3"/>
    <x v="2"/>
    <x v="2"/>
    <x v="2"/>
    <x v="8"/>
    <x v="8"/>
    <n v="679.75235811245898"/>
    <x v="0"/>
    <x v="1"/>
    <x v="2"/>
    <x v="2"/>
    <x v="6"/>
    <x v="8"/>
    <n v="740.93007034258039"/>
  </r>
  <r>
    <x v="2"/>
    <x v="0"/>
    <x v="2"/>
    <x v="2"/>
    <x v="0"/>
    <x v="1"/>
    <x v="0"/>
    <x v="0"/>
    <x v="0"/>
    <x v="0"/>
    <x v="3"/>
    <x v="3"/>
    <x v="2"/>
    <x v="2"/>
    <x v="2"/>
    <x v="30"/>
    <x v="30"/>
    <n v="57.5242432793398"/>
    <x v="0"/>
    <x v="0"/>
    <x v="0"/>
    <x v="0"/>
    <x v="0"/>
    <x v="0"/>
    <n v="62.701425174480384"/>
  </r>
  <r>
    <x v="2"/>
    <x v="0"/>
    <x v="2"/>
    <x v="2"/>
    <x v="0"/>
    <x v="1"/>
    <x v="0"/>
    <x v="0"/>
    <x v="0"/>
    <x v="0"/>
    <x v="3"/>
    <x v="3"/>
    <x v="2"/>
    <x v="2"/>
    <x v="2"/>
    <x v="16"/>
    <x v="16"/>
    <n v="14.573399999999999"/>
    <x v="0"/>
    <x v="0"/>
    <x v="3"/>
    <x v="5"/>
    <x v="9"/>
    <x v="16"/>
    <n v="15.885006000000001"/>
  </r>
  <r>
    <x v="2"/>
    <x v="0"/>
    <x v="2"/>
    <x v="2"/>
    <x v="0"/>
    <x v="1"/>
    <x v="0"/>
    <x v="0"/>
    <x v="0"/>
    <x v="0"/>
    <x v="3"/>
    <x v="3"/>
    <x v="2"/>
    <x v="2"/>
    <x v="2"/>
    <x v="2"/>
    <x v="2"/>
    <n v="660.29595412804395"/>
    <x v="0"/>
    <x v="1"/>
    <x v="2"/>
    <x v="2"/>
    <x v="13"/>
    <x v="2"/>
    <n v="719.72258999956796"/>
  </r>
  <r>
    <x v="2"/>
    <x v="0"/>
    <x v="2"/>
    <x v="2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2"/>
    <x v="0"/>
    <x v="2"/>
    <x v="2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2"/>
    <x v="0"/>
    <x v="2"/>
    <x v="2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2"/>
    <x v="0"/>
    <x v="2"/>
    <x v="2"/>
    <x v="0"/>
    <x v="1"/>
    <x v="0"/>
    <x v="0"/>
    <x v="0"/>
    <x v="0"/>
    <x v="3"/>
    <x v="3"/>
    <x v="4"/>
    <x v="5"/>
    <x v="5"/>
    <x v="12"/>
    <x v="12"/>
    <n v="46.175953488196598"/>
    <x v="0"/>
    <x v="0"/>
    <x v="0"/>
    <x v="0"/>
    <x v="8"/>
    <x v="12"/>
    <n v="50.331789302134297"/>
  </r>
  <r>
    <x v="2"/>
    <x v="0"/>
    <x v="2"/>
    <x v="2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2"/>
    <x v="0"/>
    <x v="2"/>
    <x v="2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2"/>
    <x v="0"/>
    <x v="2"/>
    <x v="2"/>
    <x v="0"/>
    <x v="1"/>
    <x v="0"/>
    <x v="0"/>
    <x v="0"/>
    <x v="0"/>
    <x v="3"/>
    <x v="3"/>
    <x v="4"/>
    <x v="5"/>
    <x v="5"/>
    <x v="0"/>
    <x v="0"/>
    <n v="174.29121174328401"/>
    <x v="0"/>
    <x v="0"/>
    <x v="0"/>
    <x v="0"/>
    <x v="0"/>
    <x v="0"/>
    <n v="189.97742080017957"/>
  </r>
  <r>
    <x v="2"/>
    <x v="0"/>
    <x v="2"/>
    <x v="2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2"/>
    <x v="0"/>
    <x v="2"/>
    <x v="2"/>
    <x v="0"/>
    <x v="1"/>
    <x v="0"/>
    <x v="0"/>
    <x v="0"/>
    <x v="0"/>
    <x v="18"/>
    <x v="18"/>
    <x v="0"/>
    <x v="4"/>
    <x v="4"/>
    <x v="16"/>
    <x v="16"/>
    <n v="97.995000000000005"/>
    <x v="0"/>
    <x v="0"/>
    <x v="3"/>
    <x v="5"/>
    <x v="9"/>
    <x v="16"/>
    <n v="106.81455000000001"/>
  </r>
  <r>
    <x v="2"/>
    <x v="0"/>
    <x v="2"/>
    <x v="2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2"/>
    <x v="0"/>
    <x v="2"/>
    <x v="2"/>
    <x v="0"/>
    <x v="1"/>
    <x v="0"/>
    <x v="0"/>
    <x v="0"/>
    <x v="0"/>
    <x v="4"/>
    <x v="4"/>
    <x v="2"/>
    <x v="2"/>
    <x v="2"/>
    <x v="7"/>
    <x v="7"/>
    <n v="0.10917431192653999"/>
    <x v="0"/>
    <x v="0"/>
    <x v="1"/>
    <x v="4"/>
    <x v="5"/>
    <x v="7"/>
    <n v="0.11899999999992861"/>
  </r>
  <r>
    <x v="2"/>
    <x v="0"/>
    <x v="2"/>
    <x v="2"/>
    <x v="0"/>
    <x v="1"/>
    <x v="0"/>
    <x v="0"/>
    <x v="0"/>
    <x v="0"/>
    <x v="4"/>
    <x v="4"/>
    <x v="2"/>
    <x v="2"/>
    <x v="2"/>
    <x v="8"/>
    <x v="8"/>
    <n v="16.8015270271346"/>
    <x v="0"/>
    <x v="1"/>
    <x v="2"/>
    <x v="2"/>
    <x v="6"/>
    <x v="8"/>
    <n v="18.313664459576717"/>
  </r>
  <r>
    <x v="2"/>
    <x v="0"/>
    <x v="2"/>
    <x v="2"/>
    <x v="0"/>
    <x v="1"/>
    <x v="0"/>
    <x v="0"/>
    <x v="0"/>
    <x v="0"/>
    <x v="4"/>
    <x v="4"/>
    <x v="2"/>
    <x v="2"/>
    <x v="2"/>
    <x v="9"/>
    <x v="9"/>
    <n v="0.21588990825675"/>
    <x v="0"/>
    <x v="0"/>
    <x v="1"/>
    <x v="4"/>
    <x v="5"/>
    <x v="9"/>
    <n v="0.23531999999985753"/>
  </r>
  <r>
    <x v="2"/>
    <x v="0"/>
    <x v="2"/>
    <x v="2"/>
    <x v="0"/>
    <x v="1"/>
    <x v="0"/>
    <x v="0"/>
    <x v="0"/>
    <x v="0"/>
    <x v="4"/>
    <x v="4"/>
    <x v="2"/>
    <x v="2"/>
    <x v="2"/>
    <x v="11"/>
    <x v="11"/>
    <n v="0.1401"/>
    <x v="0"/>
    <x v="0"/>
    <x v="3"/>
    <x v="5"/>
    <x v="7"/>
    <x v="11"/>
    <n v="0.15270900000000001"/>
  </r>
  <r>
    <x v="2"/>
    <x v="0"/>
    <x v="2"/>
    <x v="2"/>
    <x v="0"/>
    <x v="1"/>
    <x v="0"/>
    <x v="0"/>
    <x v="0"/>
    <x v="0"/>
    <x v="4"/>
    <x v="4"/>
    <x v="2"/>
    <x v="2"/>
    <x v="2"/>
    <x v="12"/>
    <x v="12"/>
    <n v="0.59094186046287001"/>
    <x v="0"/>
    <x v="0"/>
    <x v="0"/>
    <x v="0"/>
    <x v="8"/>
    <x v="12"/>
    <n v="0.64412662790452835"/>
  </r>
  <r>
    <x v="2"/>
    <x v="0"/>
    <x v="2"/>
    <x v="2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2"/>
    <x v="0"/>
    <x v="2"/>
    <x v="2"/>
    <x v="0"/>
    <x v="1"/>
    <x v="0"/>
    <x v="0"/>
    <x v="0"/>
    <x v="0"/>
    <x v="4"/>
    <x v="4"/>
    <x v="2"/>
    <x v="2"/>
    <x v="2"/>
    <x v="16"/>
    <x v="16"/>
    <n v="0.52275000000000005"/>
    <x v="0"/>
    <x v="0"/>
    <x v="3"/>
    <x v="5"/>
    <x v="9"/>
    <x v="16"/>
    <n v="0.56979750000000007"/>
  </r>
  <r>
    <x v="2"/>
    <x v="0"/>
    <x v="2"/>
    <x v="2"/>
    <x v="0"/>
    <x v="1"/>
    <x v="0"/>
    <x v="0"/>
    <x v="0"/>
    <x v="0"/>
    <x v="4"/>
    <x v="4"/>
    <x v="2"/>
    <x v="2"/>
    <x v="2"/>
    <x v="27"/>
    <x v="27"/>
    <n v="3.3504504505210003E-2"/>
    <x v="0"/>
    <x v="0"/>
    <x v="1"/>
    <x v="3"/>
    <x v="3"/>
    <x v="19"/>
    <n v="3.6519909910678904E-2"/>
  </r>
  <r>
    <x v="2"/>
    <x v="0"/>
    <x v="2"/>
    <x v="2"/>
    <x v="0"/>
    <x v="1"/>
    <x v="0"/>
    <x v="0"/>
    <x v="0"/>
    <x v="0"/>
    <x v="4"/>
    <x v="4"/>
    <x v="2"/>
    <x v="2"/>
    <x v="2"/>
    <x v="2"/>
    <x v="2"/>
    <n v="1.97782568807221"/>
    <x v="0"/>
    <x v="1"/>
    <x v="2"/>
    <x v="2"/>
    <x v="13"/>
    <x v="2"/>
    <n v="2.1558299999987089"/>
  </r>
  <r>
    <x v="2"/>
    <x v="0"/>
    <x v="2"/>
    <x v="2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2"/>
    <x v="0"/>
    <x v="2"/>
    <x v="2"/>
    <x v="0"/>
    <x v="1"/>
    <x v="0"/>
    <x v="0"/>
    <x v="2"/>
    <x v="2"/>
    <x v="5"/>
    <x v="5"/>
    <x v="2"/>
    <x v="2"/>
    <x v="2"/>
    <x v="42"/>
    <x v="42"/>
    <n v="10.67684"/>
    <x v="1"/>
    <x v="2"/>
    <x v="5"/>
    <x v="7"/>
    <x v="11"/>
    <x v="22"/>
    <n v="11.637755600000002"/>
  </r>
  <r>
    <x v="2"/>
    <x v="0"/>
    <x v="2"/>
    <x v="2"/>
    <x v="0"/>
    <x v="1"/>
    <x v="0"/>
    <x v="0"/>
    <x v="2"/>
    <x v="2"/>
    <x v="5"/>
    <x v="5"/>
    <x v="2"/>
    <x v="2"/>
    <x v="2"/>
    <x v="41"/>
    <x v="41"/>
    <n v="7.5728297872052703"/>
    <x v="1"/>
    <x v="2"/>
    <x v="5"/>
    <x v="7"/>
    <x v="11"/>
    <x v="22"/>
    <n v="8.254384468053745"/>
  </r>
  <r>
    <x v="2"/>
    <x v="0"/>
    <x v="2"/>
    <x v="2"/>
    <x v="0"/>
    <x v="1"/>
    <x v="0"/>
    <x v="0"/>
    <x v="2"/>
    <x v="2"/>
    <x v="5"/>
    <x v="5"/>
    <x v="2"/>
    <x v="2"/>
    <x v="2"/>
    <x v="40"/>
    <x v="40"/>
    <n v="387.13170000000002"/>
    <x v="1"/>
    <x v="2"/>
    <x v="5"/>
    <x v="7"/>
    <x v="11"/>
    <x v="22"/>
    <n v="421.97355300000004"/>
  </r>
  <r>
    <x v="2"/>
    <x v="0"/>
    <x v="2"/>
    <x v="2"/>
    <x v="0"/>
    <x v="1"/>
    <x v="0"/>
    <x v="0"/>
    <x v="2"/>
    <x v="2"/>
    <x v="5"/>
    <x v="5"/>
    <x v="2"/>
    <x v="2"/>
    <x v="2"/>
    <x v="38"/>
    <x v="38"/>
    <n v="10.081759999999999"/>
    <x v="1"/>
    <x v="0"/>
    <x v="4"/>
    <x v="6"/>
    <x v="10"/>
    <x v="21"/>
    <n v="10.989118400000001"/>
  </r>
  <r>
    <x v="2"/>
    <x v="0"/>
    <x v="2"/>
    <x v="2"/>
    <x v="0"/>
    <x v="1"/>
    <x v="0"/>
    <x v="0"/>
    <x v="0"/>
    <x v="0"/>
    <x v="5"/>
    <x v="5"/>
    <x v="2"/>
    <x v="2"/>
    <x v="2"/>
    <x v="17"/>
    <x v="17"/>
    <n v="9.3181600000000007"/>
    <x v="0"/>
    <x v="0"/>
    <x v="0"/>
    <x v="0"/>
    <x v="4"/>
    <x v="17"/>
    <n v="10.156794400000001"/>
  </r>
  <r>
    <x v="2"/>
    <x v="0"/>
    <x v="2"/>
    <x v="2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2"/>
    <x v="0"/>
    <x v="2"/>
    <x v="2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2"/>
    <x v="0"/>
    <x v="2"/>
    <x v="2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2"/>
    <x v="0"/>
    <x v="2"/>
    <x v="2"/>
    <x v="0"/>
    <x v="1"/>
    <x v="0"/>
    <x v="0"/>
    <x v="2"/>
    <x v="2"/>
    <x v="5"/>
    <x v="5"/>
    <x v="3"/>
    <x v="7"/>
    <x v="7"/>
    <x v="40"/>
    <x v="40"/>
    <n v="3.5847899999999999"/>
    <x v="1"/>
    <x v="2"/>
    <x v="5"/>
    <x v="7"/>
    <x v="11"/>
    <x v="22"/>
    <n v="3.9074211000000001"/>
  </r>
  <r>
    <x v="2"/>
    <x v="0"/>
    <x v="2"/>
    <x v="2"/>
    <x v="0"/>
    <x v="1"/>
    <x v="0"/>
    <x v="0"/>
    <x v="2"/>
    <x v="2"/>
    <x v="5"/>
    <x v="5"/>
    <x v="1"/>
    <x v="8"/>
    <x v="8"/>
    <x v="40"/>
    <x v="40"/>
    <n v="2.4071099999999999"/>
    <x v="1"/>
    <x v="2"/>
    <x v="5"/>
    <x v="7"/>
    <x v="11"/>
    <x v="22"/>
    <n v="2.6237499"/>
  </r>
  <r>
    <x v="2"/>
    <x v="0"/>
    <x v="2"/>
    <x v="2"/>
    <x v="0"/>
    <x v="1"/>
    <x v="0"/>
    <x v="0"/>
    <x v="2"/>
    <x v="2"/>
    <x v="5"/>
    <x v="5"/>
    <x v="2"/>
    <x v="10"/>
    <x v="10"/>
    <x v="40"/>
    <x v="40"/>
    <n v="0.58059000000000005"/>
    <x v="1"/>
    <x v="2"/>
    <x v="5"/>
    <x v="7"/>
    <x v="11"/>
    <x v="22"/>
    <n v="0.6328431000000001"/>
  </r>
  <r>
    <x v="2"/>
    <x v="0"/>
    <x v="2"/>
    <x v="2"/>
    <x v="0"/>
    <x v="1"/>
    <x v="0"/>
    <x v="0"/>
    <x v="2"/>
    <x v="2"/>
    <x v="5"/>
    <x v="5"/>
    <x v="4"/>
    <x v="5"/>
    <x v="5"/>
    <x v="40"/>
    <x v="40"/>
    <n v="79.197569999999999"/>
    <x v="1"/>
    <x v="2"/>
    <x v="5"/>
    <x v="7"/>
    <x v="11"/>
    <x v="22"/>
    <n v="86.325351300000008"/>
  </r>
  <r>
    <x v="2"/>
    <x v="0"/>
    <x v="2"/>
    <x v="2"/>
    <x v="0"/>
    <x v="1"/>
    <x v="0"/>
    <x v="0"/>
    <x v="2"/>
    <x v="2"/>
    <x v="6"/>
    <x v="6"/>
    <x v="2"/>
    <x v="2"/>
    <x v="2"/>
    <x v="40"/>
    <x v="40"/>
    <n v="9.0943699999999996"/>
    <x v="1"/>
    <x v="2"/>
    <x v="5"/>
    <x v="7"/>
    <x v="11"/>
    <x v="22"/>
    <n v="9.9128632999999997"/>
  </r>
  <r>
    <x v="2"/>
    <x v="0"/>
    <x v="2"/>
    <x v="2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2"/>
    <x v="0"/>
    <x v="2"/>
    <x v="2"/>
    <x v="0"/>
    <x v="1"/>
    <x v="0"/>
    <x v="0"/>
    <x v="2"/>
    <x v="2"/>
    <x v="7"/>
    <x v="7"/>
    <x v="2"/>
    <x v="2"/>
    <x v="2"/>
    <x v="40"/>
    <x v="40"/>
    <n v="112.44656000000001"/>
    <x v="1"/>
    <x v="2"/>
    <x v="5"/>
    <x v="7"/>
    <x v="11"/>
    <x v="22"/>
    <n v="122.56675040000002"/>
  </r>
  <r>
    <x v="2"/>
    <x v="0"/>
    <x v="2"/>
    <x v="2"/>
    <x v="0"/>
    <x v="1"/>
    <x v="0"/>
    <x v="0"/>
    <x v="2"/>
    <x v="2"/>
    <x v="7"/>
    <x v="7"/>
    <x v="2"/>
    <x v="2"/>
    <x v="2"/>
    <x v="38"/>
    <x v="38"/>
    <n v="154.518"/>
    <x v="1"/>
    <x v="0"/>
    <x v="4"/>
    <x v="6"/>
    <x v="10"/>
    <x v="21"/>
    <n v="168.42462"/>
  </r>
  <r>
    <x v="2"/>
    <x v="0"/>
    <x v="2"/>
    <x v="2"/>
    <x v="0"/>
    <x v="1"/>
    <x v="0"/>
    <x v="0"/>
    <x v="2"/>
    <x v="2"/>
    <x v="7"/>
    <x v="7"/>
    <x v="2"/>
    <x v="2"/>
    <x v="2"/>
    <x v="43"/>
    <x v="43"/>
    <n v="0.55000000000000004"/>
    <x v="1"/>
    <x v="0"/>
    <x v="4"/>
    <x v="6"/>
    <x v="10"/>
    <x v="21"/>
    <n v="0.59950000000000014"/>
  </r>
  <r>
    <x v="2"/>
    <x v="0"/>
    <x v="2"/>
    <x v="2"/>
    <x v="0"/>
    <x v="1"/>
    <x v="0"/>
    <x v="0"/>
    <x v="2"/>
    <x v="2"/>
    <x v="7"/>
    <x v="7"/>
    <x v="2"/>
    <x v="2"/>
    <x v="2"/>
    <x v="44"/>
    <x v="44"/>
    <n v="3.3849999999999998"/>
    <x v="1"/>
    <x v="0"/>
    <x v="4"/>
    <x v="6"/>
    <x v="10"/>
    <x v="21"/>
    <n v="3.6896499999999999"/>
  </r>
  <r>
    <x v="2"/>
    <x v="0"/>
    <x v="2"/>
    <x v="2"/>
    <x v="0"/>
    <x v="1"/>
    <x v="0"/>
    <x v="0"/>
    <x v="0"/>
    <x v="0"/>
    <x v="7"/>
    <x v="7"/>
    <x v="2"/>
    <x v="2"/>
    <x v="2"/>
    <x v="17"/>
    <x v="17"/>
    <n v="0.66800000000000004"/>
    <x v="0"/>
    <x v="0"/>
    <x v="0"/>
    <x v="0"/>
    <x v="4"/>
    <x v="17"/>
    <n v="0.7281200000000001"/>
  </r>
  <r>
    <x v="2"/>
    <x v="0"/>
    <x v="2"/>
    <x v="2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2"/>
    <x v="0"/>
    <x v="2"/>
    <x v="2"/>
    <x v="0"/>
    <x v="1"/>
    <x v="0"/>
    <x v="0"/>
    <x v="2"/>
    <x v="2"/>
    <x v="7"/>
    <x v="7"/>
    <x v="2"/>
    <x v="2"/>
    <x v="2"/>
    <x v="46"/>
    <x v="46"/>
    <n v="4.0905199999999997"/>
    <x v="1"/>
    <x v="0"/>
    <x v="4"/>
    <x v="6"/>
    <x v="10"/>
    <x v="21"/>
    <n v="4.4586667999999996"/>
  </r>
  <r>
    <x v="2"/>
    <x v="0"/>
    <x v="2"/>
    <x v="2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2"/>
    <x v="0"/>
    <x v="2"/>
    <x v="2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2"/>
    <x v="0"/>
    <x v="2"/>
    <x v="2"/>
    <x v="0"/>
    <x v="1"/>
    <x v="0"/>
    <x v="0"/>
    <x v="2"/>
    <x v="2"/>
    <x v="7"/>
    <x v="7"/>
    <x v="3"/>
    <x v="7"/>
    <x v="7"/>
    <x v="40"/>
    <x v="40"/>
    <n v="84.324690000000004"/>
    <x v="1"/>
    <x v="2"/>
    <x v="5"/>
    <x v="7"/>
    <x v="11"/>
    <x v="22"/>
    <n v="91.913912100000005"/>
  </r>
  <r>
    <x v="2"/>
    <x v="0"/>
    <x v="2"/>
    <x v="2"/>
    <x v="0"/>
    <x v="1"/>
    <x v="0"/>
    <x v="0"/>
    <x v="2"/>
    <x v="2"/>
    <x v="7"/>
    <x v="7"/>
    <x v="1"/>
    <x v="8"/>
    <x v="8"/>
    <x v="40"/>
    <x v="40"/>
    <n v="8.5709999999999997"/>
    <x v="1"/>
    <x v="2"/>
    <x v="5"/>
    <x v="7"/>
    <x v="11"/>
    <x v="22"/>
    <n v="9.34239"/>
  </r>
  <r>
    <x v="2"/>
    <x v="0"/>
    <x v="2"/>
    <x v="2"/>
    <x v="0"/>
    <x v="1"/>
    <x v="0"/>
    <x v="0"/>
    <x v="2"/>
    <x v="2"/>
    <x v="7"/>
    <x v="7"/>
    <x v="2"/>
    <x v="10"/>
    <x v="10"/>
    <x v="40"/>
    <x v="40"/>
    <n v="1.93554"/>
    <x v="1"/>
    <x v="2"/>
    <x v="5"/>
    <x v="7"/>
    <x v="11"/>
    <x v="22"/>
    <n v="2.1097386"/>
  </r>
  <r>
    <x v="2"/>
    <x v="0"/>
    <x v="2"/>
    <x v="2"/>
    <x v="0"/>
    <x v="1"/>
    <x v="0"/>
    <x v="0"/>
    <x v="2"/>
    <x v="2"/>
    <x v="7"/>
    <x v="7"/>
    <x v="4"/>
    <x v="5"/>
    <x v="5"/>
    <x v="40"/>
    <x v="40"/>
    <n v="62.41386"/>
    <x v="1"/>
    <x v="2"/>
    <x v="5"/>
    <x v="7"/>
    <x v="11"/>
    <x v="22"/>
    <n v="68.03110740000001"/>
  </r>
  <r>
    <x v="2"/>
    <x v="0"/>
    <x v="2"/>
    <x v="2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2"/>
    <x v="0"/>
    <x v="2"/>
    <x v="2"/>
    <x v="0"/>
    <x v="1"/>
    <x v="0"/>
    <x v="0"/>
    <x v="2"/>
    <x v="2"/>
    <x v="8"/>
    <x v="8"/>
    <x v="2"/>
    <x v="2"/>
    <x v="2"/>
    <x v="40"/>
    <x v="40"/>
    <n v="79.096850000000003"/>
    <x v="1"/>
    <x v="2"/>
    <x v="5"/>
    <x v="7"/>
    <x v="11"/>
    <x v="22"/>
    <n v="86.215566500000008"/>
  </r>
  <r>
    <x v="2"/>
    <x v="0"/>
    <x v="2"/>
    <x v="2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2"/>
    <x v="0"/>
    <x v="2"/>
    <x v="2"/>
    <x v="0"/>
    <x v="1"/>
    <x v="0"/>
    <x v="0"/>
    <x v="2"/>
    <x v="2"/>
    <x v="9"/>
    <x v="9"/>
    <x v="2"/>
    <x v="2"/>
    <x v="2"/>
    <x v="40"/>
    <x v="40"/>
    <n v="708.18218999999999"/>
    <x v="1"/>
    <x v="2"/>
    <x v="5"/>
    <x v="7"/>
    <x v="11"/>
    <x v="22"/>
    <n v="771.91858710000008"/>
  </r>
  <r>
    <x v="2"/>
    <x v="0"/>
    <x v="2"/>
    <x v="2"/>
    <x v="0"/>
    <x v="1"/>
    <x v="0"/>
    <x v="0"/>
    <x v="2"/>
    <x v="2"/>
    <x v="9"/>
    <x v="9"/>
    <x v="2"/>
    <x v="2"/>
    <x v="2"/>
    <x v="38"/>
    <x v="38"/>
    <n v="232.12938"/>
    <x v="1"/>
    <x v="0"/>
    <x v="4"/>
    <x v="6"/>
    <x v="10"/>
    <x v="21"/>
    <n v="253.02102420000003"/>
  </r>
  <r>
    <x v="2"/>
    <x v="0"/>
    <x v="2"/>
    <x v="2"/>
    <x v="0"/>
    <x v="1"/>
    <x v="0"/>
    <x v="0"/>
    <x v="2"/>
    <x v="2"/>
    <x v="9"/>
    <x v="9"/>
    <x v="2"/>
    <x v="2"/>
    <x v="2"/>
    <x v="48"/>
    <x v="48"/>
    <n v="33.149419999999999"/>
    <x v="1"/>
    <x v="0"/>
    <x v="4"/>
    <x v="6"/>
    <x v="10"/>
    <x v="21"/>
    <n v="36.1328678"/>
  </r>
  <r>
    <x v="2"/>
    <x v="0"/>
    <x v="2"/>
    <x v="2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2"/>
    <x v="0"/>
    <x v="2"/>
    <x v="2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2"/>
    <x v="0"/>
    <x v="2"/>
    <x v="2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2"/>
    <x v="0"/>
    <x v="2"/>
    <x v="2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2"/>
    <x v="0"/>
    <x v="2"/>
    <x v="2"/>
    <x v="0"/>
    <x v="1"/>
    <x v="0"/>
    <x v="0"/>
    <x v="2"/>
    <x v="2"/>
    <x v="9"/>
    <x v="9"/>
    <x v="3"/>
    <x v="7"/>
    <x v="7"/>
    <x v="40"/>
    <x v="40"/>
    <n v="419.66233"/>
    <x v="1"/>
    <x v="2"/>
    <x v="5"/>
    <x v="7"/>
    <x v="11"/>
    <x v="22"/>
    <n v="457.43193970000004"/>
  </r>
  <r>
    <x v="2"/>
    <x v="0"/>
    <x v="2"/>
    <x v="2"/>
    <x v="0"/>
    <x v="1"/>
    <x v="0"/>
    <x v="0"/>
    <x v="2"/>
    <x v="2"/>
    <x v="9"/>
    <x v="9"/>
    <x v="1"/>
    <x v="8"/>
    <x v="8"/>
    <x v="40"/>
    <x v="40"/>
    <n v="116.14946"/>
    <x v="1"/>
    <x v="2"/>
    <x v="5"/>
    <x v="7"/>
    <x v="11"/>
    <x v="22"/>
    <n v="126.60291140000001"/>
  </r>
  <r>
    <x v="2"/>
    <x v="0"/>
    <x v="2"/>
    <x v="2"/>
    <x v="0"/>
    <x v="1"/>
    <x v="0"/>
    <x v="0"/>
    <x v="2"/>
    <x v="2"/>
    <x v="9"/>
    <x v="9"/>
    <x v="2"/>
    <x v="10"/>
    <x v="10"/>
    <x v="40"/>
    <x v="40"/>
    <n v="89.997219999999999"/>
    <x v="1"/>
    <x v="2"/>
    <x v="5"/>
    <x v="7"/>
    <x v="11"/>
    <x v="22"/>
    <n v="98.096969800000011"/>
  </r>
  <r>
    <x v="2"/>
    <x v="0"/>
    <x v="2"/>
    <x v="2"/>
    <x v="0"/>
    <x v="1"/>
    <x v="0"/>
    <x v="0"/>
    <x v="2"/>
    <x v="2"/>
    <x v="9"/>
    <x v="9"/>
    <x v="4"/>
    <x v="5"/>
    <x v="5"/>
    <x v="40"/>
    <x v="40"/>
    <n v="623.13427999999999"/>
    <x v="1"/>
    <x v="2"/>
    <x v="5"/>
    <x v="7"/>
    <x v="11"/>
    <x v="22"/>
    <n v="679.21636520000004"/>
  </r>
  <r>
    <x v="2"/>
    <x v="0"/>
    <x v="2"/>
    <x v="2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2"/>
    <x v="0"/>
    <x v="2"/>
    <x v="2"/>
    <x v="0"/>
    <x v="1"/>
    <x v="0"/>
    <x v="0"/>
    <x v="2"/>
    <x v="2"/>
    <x v="10"/>
    <x v="10"/>
    <x v="2"/>
    <x v="2"/>
    <x v="2"/>
    <x v="41"/>
    <x v="41"/>
    <n v="2.9295425531803598"/>
    <x v="1"/>
    <x v="2"/>
    <x v="5"/>
    <x v="7"/>
    <x v="11"/>
    <x v="22"/>
    <n v="3.1932013829665924"/>
  </r>
  <r>
    <x v="2"/>
    <x v="0"/>
    <x v="2"/>
    <x v="2"/>
    <x v="0"/>
    <x v="1"/>
    <x v="0"/>
    <x v="0"/>
    <x v="2"/>
    <x v="2"/>
    <x v="10"/>
    <x v="10"/>
    <x v="2"/>
    <x v="2"/>
    <x v="2"/>
    <x v="40"/>
    <x v="40"/>
    <n v="282.31319999999999"/>
    <x v="1"/>
    <x v="2"/>
    <x v="5"/>
    <x v="7"/>
    <x v="11"/>
    <x v="22"/>
    <n v="307.72138799999999"/>
  </r>
  <r>
    <x v="2"/>
    <x v="0"/>
    <x v="2"/>
    <x v="2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2"/>
    <x v="0"/>
    <x v="2"/>
    <x v="2"/>
    <x v="0"/>
    <x v="1"/>
    <x v="0"/>
    <x v="0"/>
    <x v="0"/>
    <x v="0"/>
    <x v="11"/>
    <x v="11"/>
    <x v="4"/>
    <x v="5"/>
    <x v="5"/>
    <x v="10"/>
    <x v="10"/>
    <n v="81.291166519915507"/>
    <x v="0"/>
    <x v="0"/>
    <x v="1"/>
    <x v="4"/>
    <x v="5"/>
    <x v="10"/>
    <n v="88.607371506707906"/>
  </r>
  <r>
    <x v="2"/>
    <x v="0"/>
    <x v="2"/>
    <x v="2"/>
    <x v="0"/>
    <x v="1"/>
    <x v="0"/>
    <x v="0"/>
    <x v="3"/>
    <x v="3"/>
    <x v="12"/>
    <x v="12"/>
    <x v="2"/>
    <x v="2"/>
    <x v="2"/>
    <x v="40"/>
    <x v="40"/>
    <n v="8.3370499999999996"/>
    <x v="1"/>
    <x v="2"/>
    <x v="5"/>
    <x v="7"/>
    <x v="11"/>
    <x v="22"/>
    <n v="9.0873845000000006"/>
  </r>
  <r>
    <x v="2"/>
    <x v="0"/>
    <x v="2"/>
    <x v="2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2"/>
    <x v="0"/>
    <x v="2"/>
    <x v="2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2"/>
    <x v="0"/>
    <x v="2"/>
    <x v="2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2"/>
    <x v="0"/>
    <x v="2"/>
    <x v="2"/>
    <x v="0"/>
    <x v="1"/>
    <x v="0"/>
    <x v="0"/>
    <x v="3"/>
    <x v="3"/>
    <x v="12"/>
    <x v="12"/>
    <x v="3"/>
    <x v="7"/>
    <x v="7"/>
    <x v="40"/>
    <x v="40"/>
    <n v="5.0726699999999996"/>
    <x v="1"/>
    <x v="2"/>
    <x v="5"/>
    <x v="7"/>
    <x v="11"/>
    <x v="22"/>
    <n v="5.5292102999999999"/>
  </r>
  <r>
    <x v="2"/>
    <x v="0"/>
    <x v="2"/>
    <x v="2"/>
    <x v="0"/>
    <x v="1"/>
    <x v="0"/>
    <x v="0"/>
    <x v="3"/>
    <x v="3"/>
    <x v="12"/>
    <x v="12"/>
    <x v="4"/>
    <x v="5"/>
    <x v="5"/>
    <x v="40"/>
    <x v="40"/>
    <n v="9.4960799999999992"/>
    <x v="1"/>
    <x v="2"/>
    <x v="5"/>
    <x v="7"/>
    <x v="11"/>
    <x v="22"/>
    <n v="10.3507272"/>
  </r>
  <r>
    <x v="2"/>
    <x v="0"/>
    <x v="2"/>
    <x v="2"/>
    <x v="0"/>
    <x v="1"/>
    <x v="0"/>
    <x v="0"/>
    <x v="3"/>
    <x v="3"/>
    <x v="13"/>
    <x v="13"/>
    <x v="2"/>
    <x v="2"/>
    <x v="2"/>
    <x v="41"/>
    <x v="41"/>
    <n v="21.4543404254504"/>
    <x v="1"/>
    <x v="2"/>
    <x v="5"/>
    <x v="7"/>
    <x v="11"/>
    <x v="22"/>
    <n v="23.385231063740939"/>
  </r>
  <r>
    <x v="2"/>
    <x v="0"/>
    <x v="2"/>
    <x v="2"/>
    <x v="0"/>
    <x v="1"/>
    <x v="0"/>
    <x v="0"/>
    <x v="3"/>
    <x v="3"/>
    <x v="13"/>
    <x v="13"/>
    <x v="2"/>
    <x v="2"/>
    <x v="2"/>
    <x v="40"/>
    <x v="40"/>
    <n v="207.20653999999999"/>
    <x v="1"/>
    <x v="2"/>
    <x v="5"/>
    <x v="7"/>
    <x v="11"/>
    <x v="22"/>
    <n v="225.8551286"/>
  </r>
  <r>
    <x v="2"/>
    <x v="0"/>
    <x v="2"/>
    <x v="2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2"/>
    <x v="0"/>
    <x v="2"/>
    <x v="2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2"/>
    <x v="0"/>
    <x v="2"/>
    <x v="2"/>
    <x v="0"/>
    <x v="1"/>
    <x v="0"/>
    <x v="0"/>
    <x v="3"/>
    <x v="3"/>
    <x v="13"/>
    <x v="13"/>
    <x v="1"/>
    <x v="8"/>
    <x v="8"/>
    <x v="40"/>
    <x v="40"/>
    <n v="1.0670999999999999"/>
    <x v="1"/>
    <x v="2"/>
    <x v="5"/>
    <x v="7"/>
    <x v="11"/>
    <x v="22"/>
    <n v="1.1631389999999999"/>
  </r>
  <r>
    <x v="2"/>
    <x v="0"/>
    <x v="2"/>
    <x v="2"/>
    <x v="0"/>
    <x v="1"/>
    <x v="0"/>
    <x v="0"/>
    <x v="3"/>
    <x v="3"/>
    <x v="13"/>
    <x v="13"/>
    <x v="4"/>
    <x v="5"/>
    <x v="5"/>
    <x v="40"/>
    <x v="40"/>
    <n v="0.49890000000000001"/>
    <x v="1"/>
    <x v="2"/>
    <x v="5"/>
    <x v="7"/>
    <x v="11"/>
    <x v="22"/>
    <n v="0.54380100000000009"/>
  </r>
  <r>
    <x v="2"/>
    <x v="0"/>
    <x v="2"/>
    <x v="2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2"/>
    <x v="0"/>
    <x v="2"/>
    <x v="2"/>
    <x v="0"/>
    <x v="1"/>
    <x v="0"/>
    <x v="0"/>
    <x v="2"/>
    <x v="2"/>
    <x v="14"/>
    <x v="14"/>
    <x v="2"/>
    <x v="2"/>
    <x v="2"/>
    <x v="40"/>
    <x v="40"/>
    <n v="23.468900000000001"/>
    <x v="1"/>
    <x v="2"/>
    <x v="5"/>
    <x v="7"/>
    <x v="11"/>
    <x v="22"/>
    <n v="25.581101000000004"/>
  </r>
  <r>
    <x v="2"/>
    <x v="0"/>
    <x v="2"/>
    <x v="2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2"/>
    <x v="0"/>
    <x v="2"/>
    <x v="2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2"/>
    <x v="0"/>
    <x v="2"/>
    <x v="2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2"/>
    <x v="0"/>
    <x v="2"/>
    <x v="2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2"/>
    <x v="0"/>
    <x v="2"/>
    <x v="2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2"/>
    <x v="0"/>
    <x v="2"/>
    <x v="2"/>
    <x v="0"/>
    <x v="1"/>
    <x v="0"/>
    <x v="0"/>
    <x v="2"/>
    <x v="2"/>
    <x v="17"/>
    <x v="17"/>
    <x v="2"/>
    <x v="2"/>
    <x v="2"/>
    <x v="42"/>
    <x v="42"/>
    <n v="2.0504699999999998"/>
    <x v="1"/>
    <x v="2"/>
    <x v="5"/>
    <x v="7"/>
    <x v="11"/>
    <x v="22"/>
    <n v="2.2350122999999997"/>
  </r>
  <r>
    <x v="2"/>
    <x v="0"/>
    <x v="2"/>
    <x v="2"/>
    <x v="0"/>
    <x v="1"/>
    <x v="0"/>
    <x v="0"/>
    <x v="2"/>
    <x v="2"/>
    <x v="17"/>
    <x v="17"/>
    <x v="2"/>
    <x v="2"/>
    <x v="2"/>
    <x v="40"/>
    <x v="40"/>
    <n v="143.43494999999999"/>
    <x v="1"/>
    <x v="2"/>
    <x v="5"/>
    <x v="7"/>
    <x v="11"/>
    <x v="22"/>
    <n v="156.34409550000001"/>
  </r>
  <r>
    <x v="2"/>
    <x v="0"/>
    <x v="2"/>
    <x v="2"/>
    <x v="0"/>
    <x v="1"/>
    <x v="0"/>
    <x v="0"/>
    <x v="2"/>
    <x v="2"/>
    <x v="17"/>
    <x v="17"/>
    <x v="2"/>
    <x v="2"/>
    <x v="2"/>
    <x v="38"/>
    <x v="38"/>
    <n v="0.48437999999999998"/>
    <x v="1"/>
    <x v="0"/>
    <x v="4"/>
    <x v="6"/>
    <x v="10"/>
    <x v="21"/>
    <n v="0.52797420000000006"/>
  </r>
  <r>
    <x v="2"/>
    <x v="0"/>
    <x v="2"/>
    <x v="2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2"/>
    <x v="0"/>
    <x v="2"/>
    <x v="2"/>
    <x v="0"/>
    <x v="1"/>
    <x v="0"/>
    <x v="0"/>
    <x v="2"/>
    <x v="2"/>
    <x v="17"/>
    <x v="17"/>
    <x v="3"/>
    <x v="7"/>
    <x v="7"/>
    <x v="40"/>
    <x v="40"/>
    <n v="12.61143"/>
    <x v="1"/>
    <x v="2"/>
    <x v="5"/>
    <x v="7"/>
    <x v="11"/>
    <x v="22"/>
    <n v="13.746458700000002"/>
  </r>
  <r>
    <x v="2"/>
    <x v="0"/>
    <x v="2"/>
    <x v="2"/>
    <x v="0"/>
    <x v="1"/>
    <x v="0"/>
    <x v="0"/>
    <x v="2"/>
    <x v="2"/>
    <x v="17"/>
    <x v="17"/>
    <x v="1"/>
    <x v="8"/>
    <x v="8"/>
    <x v="40"/>
    <x v="40"/>
    <n v="6.6978900000000001"/>
    <x v="1"/>
    <x v="2"/>
    <x v="5"/>
    <x v="7"/>
    <x v="11"/>
    <x v="22"/>
    <n v="7.3007001000000002"/>
  </r>
  <r>
    <x v="2"/>
    <x v="0"/>
    <x v="2"/>
    <x v="2"/>
    <x v="0"/>
    <x v="1"/>
    <x v="0"/>
    <x v="0"/>
    <x v="2"/>
    <x v="2"/>
    <x v="17"/>
    <x v="17"/>
    <x v="2"/>
    <x v="10"/>
    <x v="10"/>
    <x v="40"/>
    <x v="40"/>
    <n v="1.9354499999999999"/>
    <x v="1"/>
    <x v="2"/>
    <x v="5"/>
    <x v="7"/>
    <x v="11"/>
    <x v="22"/>
    <n v="2.1096405000000003"/>
  </r>
  <r>
    <x v="2"/>
    <x v="0"/>
    <x v="2"/>
    <x v="2"/>
    <x v="0"/>
    <x v="1"/>
    <x v="0"/>
    <x v="0"/>
    <x v="2"/>
    <x v="2"/>
    <x v="17"/>
    <x v="17"/>
    <x v="4"/>
    <x v="5"/>
    <x v="5"/>
    <x v="40"/>
    <x v="40"/>
    <n v="105.78095999999999"/>
    <x v="1"/>
    <x v="2"/>
    <x v="5"/>
    <x v="7"/>
    <x v="11"/>
    <x v="22"/>
    <n v="115.3012464"/>
  </r>
  <r>
    <x v="2"/>
    <x v="0"/>
    <x v="2"/>
    <x v="2"/>
    <x v="0"/>
    <x v="2"/>
    <x v="0"/>
    <x v="0"/>
    <x v="0"/>
    <x v="0"/>
    <x v="2"/>
    <x v="2"/>
    <x v="4"/>
    <x v="5"/>
    <x v="5"/>
    <x v="6"/>
    <x v="6"/>
    <n v="9.2651599999999998"/>
    <x v="0"/>
    <x v="0"/>
    <x v="0"/>
    <x v="0"/>
    <x v="4"/>
    <x v="6"/>
    <n v="10.099024400000001"/>
  </r>
  <r>
    <x v="2"/>
    <x v="0"/>
    <x v="2"/>
    <x v="2"/>
    <x v="0"/>
    <x v="2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2"/>
    <x v="0"/>
    <x v="2"/>
    <x v="2"/>
    <x v="0"/>
    <x v="2"/>
    <x v="0"/>
    <x v="0"/>
    <x v="0"/>
    <x v="0"/>
    <x v="0"/>
    <x v="0"/>
    <x v="3"/>
    <x v="3"/>
    <x v="3"/>
    <x v="9"/>
    <x v="9"/>
    <n v="166.41276146779001"/>
    <x v="0"/>
    <x v="0"/>
    <x v="1"/>
    <x v="4"/>
    <x v="5"/>
    <x v="9"/>
    <n v="181.38990999989113"/>
  </r>
  <r>
    <x v="2"/>
    <x v="0"/>
    <x v="2"/>
    <x v="2"/>
    <x v="0"/>
    <x v="2"/>
    <x v="0"/>
    <x v="0"/>
    <x v="0"/>
    <x v="0"/>
    <x v="0"/>
    <x v="0"/>
    <x v="3"/>
    <x v="3"/>
    <x v="3"/>
    <x v="11"/>
    <x v="11"/>
    <n v="28.62021"/>
    <x v="0"/>
    <x v="0"/>
    <x v="3"/>
    <x v="5"/>
    <x v="7"/>
    <x v="11"/>
    <n v="31.196028900000002"/>
  </r>
  <r>
    <x v="2"/>
    <x v="0"/>
    <x v="2"/>
    <x v="2"/>
    <x v="0"/>
    <x v="2"/>
    <x v="0"/>
    <x v="0"/>
    <x v="0"/>
    <x v="0"/>
    <x v="0"/>
    <x v="0"/>
    <x v="3"/>
    <x v="3"/>
    <x v="3"/>
    <x v="12"/>
    <x v="12"/>
    <n v="9.1779069767089994E-2"/>
    <x v="0"/>
    <x v="0"/>
    <x v="0"/>
    <x v="0"/>
    <x v="8"/>
    <x v="12"/>
    <n v="0.1000391860461281"/>
  </r>
  <r>
    <x v="2"/>
    <x v="0"/>
    <x v="2"/>
    <x v="2"/>
    <x v="0"/>
    <x v="2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2"/>
    <x v="0"/>
    <x v="2"/>
    <x v="2"/>
    <x v="0"/>
    <x v="2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2"/>
    <x v="0"/>
    <x v="2"/>
    <x v="2"/>
    <x v="0"/>
    <x v="2"/>
    <x v="0"/>
    <x v="0"/>
    <x v="0"/>
    <x v="0"/>
    <x v="0"/>
    <x v="0"/>
    <x v="0"/>
    <x v="4"/>
    <x v="4"/>
    <x v="9"/>
    <x v="9"/>
    <n v="11.508962916935801"/>
    <x v="0"/>
    <x v="0"/>
    <x v="1"/>
    <x v="4"/>
    <x v="5"/>
    <x v="9"/>
    <n v="12.544769579460024"/>
  </r>
  <r>
    <x v="2"/>
    <x v="0"/>
    <x v="2"/>
    <x v="2"/>
    <x v="0"/>
    <x v="2"/>
    <x v="0"/>
    <x v="0"/>
    <x v="0"/>
    <x v="0"/>
    <x v="0"/>
    <x v="0"/>
    <x v="0"/>
    <x v="4"/>
    <x v="4"/>
    <x v="12"/>
    <x v="12"/>
    <n v="218.85930232474999"/>
    <x v="0"/>
    <x v="0"/>
    <x v="0"/>
    <x v="0"/>
    <x v="8"/>
    <x v="12"/>
    <n v="238.55663953397752"/>
  </r>
  <r>
    <x v="2"/>
    <x v="0"/>
    <x v="2"/>
    <x v="2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2"/>
    <x v="0"/>
    <x v="2"/>
    <x v="2"/>
    <x v="0"/>
    <x v="2"/>
    <x v="0"/>
    <x v="0"/>
    <x v="0"/>
    <x v="0"/>
    <x v="0"/>
    <x v="0"/>
    <x v="0"/>
    <x v="4"/>
    <x v="4"/>
    <x v="2"/>
    <x v="2"/>
    <n v="4.5871559629999997E-5"/>
    <x v="0"/>
    <x v="1"/>
    <x v="2"/>
    <x v="2"/>
    <x v="13"/>
    <x v="2"/>
    <n v="4.9999999996700003E-5"/>
  </r>
  <r>
    <x v="2"/>
    <x v="0"/>
    <x v="2"/>
    <x v="2"/>
    <x v="0"/>
    <x v="2"/>
    <x v="0"/>
    <x v="0"/>
    <x v="0"/>
    <x v="0"/>
    <x v="0"/>
    <x v="0"/>
    <x v="0"/>
    <x v="4"/>
    <x v="4"/>
    <x v="3"/>
    <x v="3"/>
    <n v="20.845269456502201"/>
    <x v="0"/>
    <x v="0"/>
    <x v="1"/>
    <x v="3"/>
    <x v="3"/>
    <x v="3"/>
    <n v="22.721343707587401"/>
  </r>
  <r>
    <x v="2"/>
    <x v="0"/>
    <x v="2"/>
    <x v="2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2"/>
    <x v="0"/>
    <x v="2"/>
    <x v="2"/>
    <x v="0"/>
    <x v="2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2"/>
    <x v="0"/>
    <x v="2"/>
    <x v="2"/>
    <x v="0"/>
    <x v="2"/>
    <x v="0"/>
    <x v="0"/>
    <x v="0"/>
    <x v="0"/>
    <x v="0"/>
    <x v="0"/>
    <x v="0"/>
    <x v="0"/>
    <x v="0"/>
    <x v="31"/>
    <x v="31"/>
    <n v="12.880954128432601"/>
    <x v="0"/>
    <x v="0"/>
    <x v="1"/>
    <x v="4"/>
    <x v="5"/>
    <x v="10"/>
    <n v="14.040239999991536"/>
  </r>
  <r>
    <x v="2"/>
    <x v="0"/>
    <x v="2"/>
    <x v="2"/>
    <x v="0"/>
    <x v="2"/>
    <x v="0"/>
    <x v="0"/>
    <x v="0"/>
    <x v="0"/>
    <x v="0"/>
    <x v="0"/>
    <x v="0"/>
    <x v="0"/>
    <x v="0"/>
    <x v="12"/>
    <x v="12"/>
    <n v="63.702418604409097"/>
    <x v="0"/>
    <x v="0"/>
    <x v="0"/>
    <x v="0"/>
    <x v="8"/>
    <x v="12"/>
    <n v="69.435636278805916"/>
  </r>
  <r>
    <x v="2"/>
    <x v="0"/>
    <x v="2"/>
    <x v="2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2"/>
    <x v="0"/>
    <x v="2"/>
    <x v="2"/>
    <x v="0"/>
    <x v="2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2"/>
    <x v="0"/>
    <x v="2"/>
    <x v="2"/>
    <x v="0"/>
    <x v="2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2"/>
    <x v="0"/>
    <x v="2"/>
    <x v="2"/>
    <x v="0"/>
    <x v="2"/>
    <x v="0"/>
    <x v="0"/>
    <x v="0"/>
    <x v="0"/>
    <x v="0"/>
    <x v="0"/>
    <x v="1"/>
    <x v="1"/>
    <x v="1"/>
    <x v="12"/>
    <x v="12"/>
    <n v="24.796046511533699"/>
    <x v="0"/>
    <x v="0"/>
    <x v="0"/>
    <x v="0"/>
    <x v="8"/>
    <x v="12"/>
    <n v="27.027690697571735"/>
  </r>
  <r>
    <x v="2"/>
    <x v="0"/>
    <x v="2"/>
    <x v="2"/>
    <x v="0"/>
    <x v="2"/>
    <x v="0"/>
    <x v="0"/>
    <x v="0"/>
    <x v="0"/>
    <x v="0"/>
    <x v="0"/>
    <x v="1"/>
    <x v="1"/>
    <x v="1"/>
    <x v="14"/>
    <x v="14"/>
    <n v="9.3636199999999992"/>
    <x v="0"/>
    <x v="0"/>
    <x v="0"/>
    <x v="0"/>
    <x v="8"/>
    <x v="14"/>
    <n v="10.206345799999999"/>
  </r>
  <r>
    <x v="2"/>
    <x v="0"/>
    <x v="2"/>
    <x v="2"/>
    <x v="0"/>
    <x v="2"/>
    <x v="0"/>
    <x v="0"/>
    <x v="0"/>
    <x v="0"/>
    <x v="0"/>
    <x v="0"/>
    <x v="1"/>
    <x v="1"/>
    <x v="1"/>
    <x v="27"/>
    <x v="27"/>
    <n v="7.9107387389064501"/>
    <x v="0"/>
    <x v="0"/>
    <x v="1"/>
    <x v="3"/>
    <x v="3"/>
    <x v="19"/>
    <n v="8.6227052254080316"/>
  </r>
  <r>
    <x v="2"/>
    <x v="0"/>
    <x v="2"/>
    <x v="2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2"/>
    <x v="0"/>
    <x v="2"/>
    <x v="2"/>
    <x v="0"/>
    <x v="2"/>
    <x v="0"/>
    <x v="0"/>
    <x v="0"/>
    <x v="0"/>
    <x v="0"/>
    <x v="0"/>
    <x v="1"/>
    <x v="1"/>
    <x v="1"/>
    <x v="2"/>
    <x v="2"/>
    <n v="54.018348623820799"/>
    <x v="0"/>
    <x v="1"/>
    <x v="2"/>
    <x v="2"/>
    <x v="13"/>
    <x v="2"/>
    <n v="58.879999999964674"/>
  </r>
  <r>
    <x v="2"/>
    <x v="0"/>
    <x v="2"/>
    <x v="2"/>
    <x v="0"/>
    <x v="2"/>
    <x v="0"/>
    <x v="0"/>
    <x v="0"/>
    <x v="0"/>
    <x v="0"/>
    <x v="0"/>
    <x v="2"/>
    <x v="2"/>
    <x v="2"/>
    <x v="4"/>
    <x v="4"/>
    <n v="61.855064220146403"/>
    <x v="0"/>
    <x v="0"/>
    <x v="1"/>
    <x v="3"/>
    <x v="3"/>
    <x v="4"/>
    <n v="67.422019999959588"/>
  </r>
  <r>
    <x v="2"/>
    <x v="0"/>
    <x v="2"/>
    <x v="2"/>
    <x v="0"/>
    <x v="2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2"/>
    <x v="0"/>
    <x v="2"/>
    <x v="2"/>
    <x v="0"/>
    <x v="2"/>
    <x v="0"/>
    <x v="0"/>
    <x v="0"/>
    <x v="0"/>
    <x v="0"/>
    <x v="0"/>
    <x v="2"/>
    <x v="2"/>
    <x v="2"/>
    <x v="5"/>
    <x v="5"/>
    <n v="18.311515337562501"/>
    <x v="0"/>
    <x v="0"/>
    <x v="1"/>
    <x v="1"/>
    <x v="1"/>
    <x v="5"/>
    <n v="19.959551717943128"/>
  </r>
  <r>
    <x v="2"/>
    <x v="0"/>
    <x v="2"/>
    <x v="2"/>
    <x v="0"/>
    <x v="2"/>
    <x v="0"/>
    <x v="0"/>
    <x v="0"/>
    <x v="0"/>
    <x v="0"/>
    <x v="0"/>
    <x v="2"/>
    <x v="2"/>
    <x v="2"/>
    <x v="7"/>
    <x v="7"/>
    <n v="28.105871559616201"/>
    <x v="0"/>
    <x v="0"/>
    <x v="1"/>
    <x v="4"/>
    <x v="5"/>
    <x v="7"/>
    <n v="30.635399999981662"/>
  </r>
  <r>
    <x v="2"/>
    <x v="0"/>
    <x v="2"/>
    <x v="2"/>
    <x v="0"/>
    <x v="2"/>
    <x v="0"/>
    <x v="0"/>
    <x v="0"/>
    <x v="0"/>
    <x v="0"/>
    <x v="0"/>
    <x v="2"/>
    <x v="2"/>
    <x v="2"/>
    <x v="8"/>
    <x v="8"/>
    <n v="9.7937297297924104"/>
    <x v="0"/>
    <x v="1"/>
    <x v="2"/>
    <x v="2"/>
    <x v="6"/>
    <x v="8"/>
    <n v="10.675165405473727"/>
  </r>
  <r>
    <x v="2"/>
    <x v="0"/>
    <x v="2"/>
    <x v="2"/>
    <x v="0"/>
    <x v="2"/>
    <x v="0"/>
    <x v="0"/>
    <x v="0"/>
    <x v="0"/>
    <x v="0"/>
    <x v="0"/>
    <x v="2"/>
    <x v="2"/>
    <x v="2"/>
    <x v="9"/>
    <x v="9"/>
    <n v="97.678749050746902"/>
    <x v="0"/>
    <x v="0"/>
    <x v="1"/>
    <x v="4"/>
    <x v="5"/>
    <x v="9"/>
    <n v="106.46983646531413"/>
  </r>
  <r>
    <x v="2"/>
    <x v="0"/>
    <x v="2"/>
    <x v="2"/>
    <x v="0"/>
    <x v="2"/>
    <x v="0"/>
    <x v="0"/>
    <x v="0"/>
    <x v="0"/>
    <x v="0"/>
    <x v="0"/>
    <x v="2"/>
    <x v="2"/>
    <x v="2"/>
    <x v="10"/>
    <x v="10"/>
    <n v="57.0176697247364"/>
    <x v="0"/>
    <x v="0"/>
    <x v="1"/>
    <x v="4"/>
    <x v="5"/>
    <x v="10"/>
    <n v="62.14925999996268"/>
  </r>
  <r>
    <x v="2"/>
    <x v="0"/>
    <x v="2"/>
    <x v="2"/>
    <x v="0"/>
    <x v="2"/>
    <x v="0"/>
    <x v="0"/>
    <x v="0"/>
    <x v="0"/>
    <x v="0"/>
    <x v="0"/>
    <x v="2"/>
    <x v="2"/>
    <x v="2"/>
    <x v="28"/>
    <x v="28"/>
    <n v="4.5164299999999997"/>
    <x v="0"/>
    <x v="0"/>
    <x v="1"/>
    <x v="3"/>
    <x v="3"/>
    <x v="13"/>
    <n v="4.9229086999999998"/>
  </r>
  <r>
    <x v="2"/>
    <x v="0"/>
    <x v="2"/>
    <x v="2"/>
    <x v="0"/>
    <x v="2"/>
    <x v="0"/>
    <x v="0"/>
    <x v="0"/>
    <x v="0"/>
    <x v="0"/>
    <x v="0"/>
    <x v="2"/>
    <x v="2"/>
    <x v="2"/>
    <x v="31"/>
    <x v="31"/>
    <n v="2.1559633027510001"/>
    <x v="0"/>
    <x v="0"/>
    <x v="1"/>
    <x v="4"/>
    <x v="5"/>
    <x v="10"/>
    <n v="2.3499999999985901"/>
  </r>
  <r>
    <x v="2"/>
    <x v="0"/>
    <x v="2"/>
    <x v="2"/>
    <x v="0"/>
    <x v="2"/>
    <x v="0"/>
    <x v="0"/>
    <x v="0"/>
    <x v="0"/>
    <x v="0"/>
    <x v="0"/>
    <x v="2"/>
    <x v="2"/>
    <x v="2"/>
    <x v="11"/>
    <x v="11"/>
    <n v="3.8940299999999999"/>
    <x v="0"/>
    <x v="0"/>
    <x v="3"/>
    <x v="5"/>
    <x v="7"/>
    <x v="11"/>
    <n v="4.2444927000000003"/>
  </r>
  <r>
    <x v="2"/>
    <x v="0"/>
    <x v="2"/>
    <x v="2"/>
    <x v="0"/>
    <x v="2"/>
    <x v="0"/>
    <x v="0"/>
    <x v="0"/>
    <x v="0"/>
    <x v="0"/>
    <x v="0"/>
    <x v="2"/>
    <x v="2"/>
    <x v="2"/>
    <x v="12"/>
    <x v="12"/>
    <n v="135.25495348785799"/>
    <x v="0"/>
    <x v="0"/>
    <x v="0"/>
    <x v="0"/>
    <x v="8"/>
    <x v="12"/>
    <n v="147.42789930176522"/>
  </r>
  <r>
    <x v="2"/>
    <x v="0"/>
    <x v="2"/>
    <x v="2"/>
    <x v="0"/>
    <x v="2"/>
    <x v="0"/>
    <x v="0"/>
    <x v="0"/>
    <x v="0"/>
    <x v="0"/>
    <x v="0"/>
    <x v="2"/>
    <x v="2"/>
    <x v="2"/>
    <x v="13"/>
    <x v="13"/>
    <n v="1.90554"/>
    <x v="0"/>
    <x v="0"/>
    <x v="1"/>
    <x v="3"/>
    <x v="3"/>
    <x v="13"/>
    <n v="2.0770386000000003"/>
  </r>
  <r>
    <x v="2"/>
    <x v="0"/>
    <x v="2"/>
    <x v="2"/>
    <x v="0"/>
    <x v="2"/>
    <x v="0"/>
    <x v="0"/>
    <x v="0"/>
    <x v="0"/>
    <x v="0"/>
    <x v="0"/>
    <x v="2"/>
    <x v="2"/>
    <x v="2"/>
    <x v="14"/>
    <x v="14"/>
    <n v="120.56534000000001"/>
    <x v="0"/>
    <x v="0"/>
    <x v="0"/>
    <x v="0"/>
    <x v="8"/>
    <x v="14"/>
    <n v="131.4162206"/>
  </r>
  <r>
    <x v="2"/>
    <x v="0"/>
    <x v="2"/>
    <x v="2"/>
    <x v="0"/>
    <x v="2"/>
    <x v="0"/>
    <x v="0"/>
    <x v="0"/>
    <x v="0"/>
    <x v="0"/>
    <x v="0"/>
    <x v="2"/>
    <x v="2"/>
    <x v="2"/>
    <x v="16"/>
    <x v="16"/>
    <n v="282.60532000000001"/>
    <x v="0"/>
    <x v="0"/>
    <x v="3"/>
    <x v="5"/>
    <x v="9"/>
    <x v="16"/>
    <n v="308.03979880000003"/>
  </r>
  <r>
    <x v="2"/>
    <x v="0"/>
    <x v="2"/>
    <x v="2"/>
    <x v="0"/>
    <x v="2"/>
    <x v="0"/>
    <x v="0"/>
    <x v="0"/>
    <x v="0"/>
    <x v="0"/>
    <x v="0"/>
    <x v="2"/>
    <x v="2"/>
    <x v="2"/>
    <x v="21"/>
    <x v="21"/>
    <n v="21.2397247706295"/>
    <x v="0"/>
    <x v="0"/>
    <x v="1"/>
    <x v="4"/>
    <x v="5"/>
    <x v="10"/>
    <n v="23.151299999986158"/>
  </r>
  <r>
    <x v="2"/>
    <x v="0"/>
    <x v="2"/>
    <x v="2"/>
    <x v="0"/>
    <x v="2"/>
    <x v="0"/>
    <x v="0"/>
    <x v="0"/>
    <x v="0"/>
    <x v="0"/>
    <x v="0"/>
    <x v="2"/>
    <x v="2"/>
    <x v="2"/>
    <x v="18"/>
    <x v="18"/>
    <n v="2.4062700000000001"/>
    <x v="0"/>
    <x v="0"/>
    <x v="0"/>
    <x v="0"/>
    <x v="4"/>
    <x v="18"/>
    <n v="2.6228343000000005"/>
  </r>
  <r>
    <x v="2"/>
    <x v="0"/>
    <x v="2"/>
    <x v="2"/>
    <x v="0"/>
    <x v="2"/>
    <x v="0"/>
    <x v="0"/>
    <x v="0"/>
    <x v="0"/>
    <x v="0"/>
    <x v="0"/>
    <x v="2"/>
    <x v="2"/>
    <x v="2"/>
    <x v="26"/>
    <x v="26"/>
    <n v="1.70963302752191"/>
    <x v="0"/>
    <x v="0"/>
    <x v="1"/>
    <x v="3"/>
    <x v="3"/>
    <x v="15"/>
    <n v="1.8634999999988822"/>
  </r>
  <r>
    <x v="2"/>
    <x v="0"/>
    <x v="2"/>
    <x v="2"/>
    <x v="0"/>
    <x v="2"/>
    <x v="0"/>
    <x v="0"/>
    <x v="0"/>
    <x v="0"/>
    <x v="0"/>
    <x v="0"/>
    <x v="2"/>
    <x v="2"/>
    <x v="2"/>
    <x v="0"/>
    <x v="0"/>
    <n v="22.723843416306501"/>
    <x v="0"/>
    <x v="0"/>
    <x v="0"/>
    <x v="0"/>
    <x v="0"/>
    <x v="0"/>
    <n v="24.768989323774086"/>
  </r>
  <r>
    <x v="2"/>
    <x v="0"/>
    <x v="2"/>
    <x v="2"/>
    <x v="0"/>
    <x v="2"/>
    <x v="0"/>
    <x v="0"/>
    <x v="0"/>
    <x v="0"/>
    <x v="0"/>
    <x v="0"/>
    <x v="2"/>
    <x v="2"/>
    <x v="2"/>
    <x v="1"/>
    <x v="1"/>
    <n v="15.3834482757775"/>
    <x v="0"/>
    <x v="0"/>
    <x v="1"/>
    <x v="1"/>
    <x v="1"/>
    <x v="1"/>
    <n v="16.767958620597476"/>
  </r>
  <r>
    <x v="2"/>
    <x v="0"/>
    <x v="2"/>
    <x v="2"/>
    <x v="0"/>
    <x v="2"/>
    <x v="0"/>
    <x v="0"/>
    <x v="0"/>
    <x v="0"/>
    <x v="0"/>
    <x v="0"/>
    <x v="2"/>
    <x v="2"/>
    <x v="2"/>
    <x v="2"/>
    <x v="2"/>
    <n v="628.61032110053998"/>
    <x v="0"/>
    <x v="1"/>
    <x v="2"/>
    <x v="2"/>
    <x v="13"/>
    <x v="2"/>
    <n v="685.18524999958868"/>
  </r>
  <r>
    <x v="2"/>
    <x v="0"/>
    <x v="2"/>
    <x v="2"/>
    <x v="0"/>
    <x v="2"/>
    <x v="0"/>
    <x v="0"/>
    <x v="0"/>
    <x v="0"/>
    <x v="0"/>
    <x v="0"/>
    <x v="1"/>
    <x v="6"/>
    <x v="6"/>
    <x v="9"/>
    <x v="9"/>
    <n v="87.187968212728904"/>
    <x v="0"/>
    <x v="0"/>
    <x v="1"/>
    <x v="4"/>
    <x v="5"/>
    <x v="9"/>
    <n v="95.034885351874507"/>
  </r>
  <r>
    <x v="2"/>
    <x v="0"/>
    <x v="2"/>
    <x v="2"/>
    <x v="0"/>
    <x v="2"/>
    <x v="0"/>
    <x v="0"/>
    <x v="0"/>
    <x v="0"/>
    <x v="0"/>
    <x v="0"/>
    <x v="1"/>
    <x v="6"/>
    <x v="6"/>
    <x v="10"/>
    <x v="10"/>
    <n v="5.5485802766783996"/>
    <x v="0"/>
    <x v="0"/>
    <x v="1"/>
    <x v="4"/>
    <x v="5"/>
    <x v="10"/>
    <n v="6.0479525015794557"/>
  </r>
  <r>
    <x v="2"/>
    <x v="0"/>
    <x v="2"/>
    <x v="2"/>
    <x v="0"/>
    <x v="2"/>
    <x v="0"/>
    <x v="0"/>
    <x v="0"/>
    <x v="0"/>
    <x v="0"/>
    <x v="0"/>
    <x v="1"/>
    <x v="6"/>
    <x v="6"/>
    <x v="12"/>
    <x v="12"/>
    <n v="26.851162790595598"/>
    <x v="0"/>
    <x v="0"/>
    <x v="0"/>
    <x v="0"/>
    <x v="8"/>
    <x v="12"/>
    <n v="29.267767441749204"/>
  </r>
  <r>
    <x v="2"/>
    <x v="0"/>
    <x v="2"/>
    <x v="2"/>
    <x v="0"/>
    <x v="2"/>
    <x v="0"/>
    <x v="0"/>
    <x v="0"/>
    <x v="0"/>
    <x v="0"/>
    <x v="0"/>
    <x v="1"/>
    <x v="6"/>
    <x v="6"/>
    <x v="13"/>
    <x v="13"/>
    <n v="2.9757099999999999"/>
    <x v="0"/>
    <x v="0"/>
    <x v="1"/>
    <x v="3"/>
    <x v="3"/>
    <x v="13"/>
    <n v="3.2435239"/>
  </r>
  <r>
    <x v="2"/>
    <x v="0"/>
    <x v="2"/>
    <x v="2"/>
    <x v="0"/>
    <x v="2"/>
    <x v="0"/>
    <x v="0"/>
    <x v="0"/>
    <x v="0"/>
    <x v="0"/>
    <x v="0"/>
    <x v="1"/>
    <x v="6"/>
    <x v="6"/>
    <x v="16"/>
    <x v="16"/>
    <n v="1.1000000000000001"/>
    <x v="0"/>
    <x v="0"/>
    <x v="3"/>
    <x v="5"/>
    <x v="9"/>
    <x v="16"/>
    <n v="1.1990000000000003"/>
  </r>
  <r>
    <x v="2"/>
    <x v="0"/>
    <x v="2"/>
    <x v="2"/>
    <x v="0"/>
    <x v="2"/>
    <x v="0"/>
    <x v="0"/>
    <x v="0"/>
    <x v="0"/>
    <x v="0"/>
    <x v="0"/>
    <x v="1"/>
    <x v="6"/>
    <x v="6"/>
    <x v="21"/>
    <x v="21"/>
    <n v="148.64004587146999"/>
    <x v="0"/>
    <x v="0"/>
    <x v="1"/>
    <x v="4"/>
    <x v="5"/>
    <x v="10"/>
    <n v="162.01764999990232"/>
  </r>
  <r>
    <x v="2"/>
    <x v="0"/>
    <x v="2"/>
    <x v="2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2"/>
    <x v="0"/>
    <x v="2"/>
    <x v="2"/>
    <x v="0"/>
    <x v="2"/>
    <x v="0"/>
    <x v="0"/>
    <x v="0"/>
    <x v="0"/>
    <x v="0"/>
    <x v="0"/>
    <x v="3"/>
    <x v="7"/>
    <x v="7"/>
    <x v="9"/>
    <x v="9"/>
    <n v="10.0028772253032"/>
    <x v="0"/>
    <x v="0"/>
    <x v="1"/>
    <x v="4"/>
    <x v="5"/>
    <x v="9"/>
    <n v="10.903136175580489"/>
  </r>
  <r>
    <x v="2"/>
    <x v="0"/>
    <x v="2"/>
    <x v="2"/>
    <x v="0"/>
    <x v="2"/>
    <x v="0"/>
    <x v="0"/>
    <x v="0"/>
    <x v="0"/>
    <x v="0"/>
    <x v="0"/>
    <x v="3"/>
    <x v="7"/>
    <x v="7"/>
    <x v="10"/>
    <x v="10"/>
    <n v="14.3719151494093"/>
    <x v="0"/>
    <x v="0"/>
    <x v="1"/>
    <x v="4"/>
    <x v="5"/>
    <x v="10"/>
    <n v="15.665387512856139"/>
  </r>
  <r>
    <x v="2"/>
    <x v="0"/>
    <x v="2"/>
    <x v="2"/>
    <x v="0"/>
    <x v="2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2"/>
    <x v="0"/>
    <x v="2"/>
    <x v="2"/>
    <x v="0"/>
    <x v="2"/>
    <x v="0"/>
    <x v="0"/>
    <x v="0"/>
    <x v="0"/>
    <x v="0"/>
    <x v="0"/>
    <x v="1"/>
    <x v="8"/>
    <x v="8"/>
    <x v="6"/>
    <x v="6"/>
    <n v="2.9279999999999999"/>
    <x v="0"/>
    <x v="0"/>
    <x v="0"/>
    <x v="0"/>
    <x v="4"/>
    <x v="6"/>
    <n v="3.1915200000000001"/>
  </r>
  <r>
    <x v="2"/>
    <x v="0"/>
    <x v="2"/>
    <x v="2"/>
    <x v="0"/>
    <x v="2"/>
    <x v="0"/>
    <x v="0"/>
    <x v="0"/>
    <x v="0"/>
    <x v="0"/>
    <x v="0"/>
    <x v="1"/>
    <x v="8"/>
    <x v="8"/>
    <x v="9"/>
    <x v="9"/>
    <n v="335.50896838414798"/>
    <x v="0"/>
    <x v="0"/>
    <x v="1"/>
    <x v="4"/>
    <x v="5"/>
    <x v="9"/>
    <n v="365.70477553872132"/>
  </r>
  <r>
    <x v="2"/>
    <x v="0"/>
    <x v="2"/>
    <x v="2"/>
    <x v="0"/>
    <x v="2"/>
    <x v="0"/>
    <x v="0"/>
    <x v="0"/>
    <x v="0"/>
    <x v="0"/>
    <x v="0"/>
    <x v="1"/>
    <x v="8"/>
    <x v="8"/>
    <x v="10"/>
    <x v="10"/>
    <n v="2.5435700249184001"/>
    <x v="0"/>
    <x v="0"/>
    <x v="1"/>
    <x v="4"/>
    <x v="5"/>
    <x v="10"/>
    <n v="2.7724913271610565"/>
  </r>
  <r>
    <x v="2"/>
    <x v="0"/>
    <x v="2"/>
    <x v="2"/>
    <x v="0"/>
    <x v="2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2"/>
    <x v="0"/>
    <x v="2"/>
    <x v="2"/>
    <x v="0"/>
    <x v="2"/>
    <x v="0"/>
    <x v="0"/>
    <x v="0"/>
    <x v="0"/>
    <x v="0"/>
    <x v="0"/>
    <x v="0"/>
    <x v="9"/>
    <x v="9"/>
    <x v="9"/>
    <x v="9"/>
    <n v="1223.2245893454501"/>
    <x v="0"/>
    <x v="0"/>
    <x v="1"/>
    <x v="4"/>
    <x v="5"/>
    <x v="9"/>
    <n v="1333.3148023865408"/>
  </r>
  <r>
    <x v="2"/>
    <x v="0"/>
    <x v="2"/>
    <x v="2"/>
    <x v="0"/>
    <x v="2"/>
    <x v="0"/>
    <x v="0"/>
    <x v="2"/>
    <x v="2"/>
    <x v="9"/>
    <x v="9"/>
    <x v="4"/>
    <x v="5"/>
    <x v="5"/>
    <x v="40"/>
    <x v="40"/>
    <n v="465.22375"/>
    <x v="1"/>
    <x v="2"/>
    <x v="5"/>
    <x v="7"/>
    <x v="11"/>
    <x v="22"/>
    <n v="507.09388750000005"/>
  </r>
  <r>
    <x v="2"/>
    <x v="0"/>
    <x v="2"/>
    <x v="2"/>
    <x v="0"/>
    <x v="2"/>
    <x v="0"/>
    <x v="0"/>
    <x v="2"/>
    <x v="2"/>
    <x v="10"/>
    <x v="10"/>
    <x v="2"/>
    <x v="2"/>
    <x v="2"/>
    <x v="41"/>
    <x v="41"/>
    <n v="7.8049787233746004"/>
    <x v="1"/>
    <x v="2"/>
    <x v="5"/>
    <x v="7"/>
    <x v="11"/>
    <x v="22"/>
    <n v="8.5074268084783142"/>
  </r>
  <r>
    <x v="2"/>
    <x v="0"/>
    <x v="2"/>
    <x v="2"/>
    <x v="0"/>
    <x v="2"/>
    <x v="0"/>
    <x v="0"/>
    <x v="2"/>
    <x v="2"/>
    <x v="10"/>
    <x v="10"/>
    <x v="2"/>
    <x v="2"/>
    <x v="2"/>
    <x v="40"/>
    <x v="40"/>
    <n v="375.99880000000002"/>
    <x v="1"/>
    <x v="2"/>
    <x v="5"/>
    <x v="7"/>
    <x v="11"/>
    <x v="22"/>
    <n v="409.83869200000004"/>
  </r>
  <r>
    <x v="2"/>
    <x v="0"/>
    <x v="2"/>
    <x v="2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2"/>
    <x v="0"/>
    <x v="2"/>
    <x v="2"/>
    <x v="0"/>
    <x v="2"/>
    <x v="0"/>
    <x v="0"/>
    <x v="0"/>
    <x v="0"/>
    <x v="11"/>
    <x v="11"/>
    <x v="4"/>
    <x v="5"/>
    <x v="5"/>
    <x v="7"/>
    <x v="7"/>
    <n v="28.860334494017401"/>
    <x v="0"/>
    <x v="0"/>
    <x v="1"/>
    <x v="4"/>
    <x v="5"/>
    <x v="7"/>
    <n v="31.45776459847897"/>
  </r>
  <r>
    <x v="2"/>
    <x v="0"/>
    <x v="2"/>
    <x v="2"/>
    <x v="0"/>
    <x v="2"/>
    <x v="0"/>
    <x v="0"/>
    <x v="0"/>
    <x v="0"/>
    <x v="11"/>
    <x v="11"/>
    <x v="4"/>
    <x v="5"/>
    <x v="5"/>
    <x v="10"/>
    <x v="10"/>
    <n v="34.792541473420798"/>
    <x v="0"/>
    <x v="0"/>
    <x v="1"/>
    <x v="4"/>
    <x v="5"/>
    <x v="10"/>
    <n v="37.923870206028674"/>
  </r>
  <r>
    <x v="2"/>
    <x v="0"/>
    <x v="2"/>
    <x v="2"/>
    <x v="0"/>
    <x v="2"/>
    <x v="0"/>
    <x v="0"/>
    <x v="3"/>
    <x v="3"/>
    <x v="12"/>
    <x v="12"/>
    <x v="3"/>
    <x v="7"/>
    <x v="7"/>
    <x v="40"/>
    <x v="40"/>
    <n v="26.71536"/>
    <x v="1"/>
    <x v="2"/>
    <x v="5"/>
    <x v="7"/>
    <x v="11"/>
    <x v="22"/>
    <n v="29.119742400000003"/>
  </r>
  <r>
    <x v="2"/>
    <x v="0"/>
    <x v="2"/>
    <x v="2"/>
    <x v="0"/>
    <x v="2"/>
    <x v="0"/>
    <x v="0"/>
    <x v="3"/>
    <x v="3"/>
    <x v="12"/>
    <x v="12"/>
    <x v="1"/>
    <x v="8"/>
    <x v="8"/>
    <x v="40"/>
    <x v="40"/>
    <n v="1.94432"/>
    <x v="1"/>
    <x v="2"/>
    <x v="5"/>
    <x v="7"/>
    <x v="11"/>
    <x v="22"/>
    <n v="2.1193088000000002"/>
  </r>
  <r>
    <x v="2"/>
    <x v="0"/>
    <x v="2"/>
    <x v="2"/>
    <x v="0"/>
    <x v="2"/>
    <x v="0"/>
    <x v="0"/>
    <x v="3"/>
    <x v="3"/>
    <x v="12"/>
    <x v="12"/>
    <x v="2"/>
    <x v="10"/>
    <x v="10"/>
    <x v="40"/>
    <x v="40"/>
    <n v="4.3898400000000004"/>
    <x v="1"/>
    <x v="2"/>
    <x v="5"/>
    <x v="7"/>
    <x v="11"/>
    <x v="22"/>
    <n v="4.7849256000000011"/>
  </r>
  <r>
    <x v="2"/>
    <x v="0"/>
    <x v="2"/>
    <x v="2"/>
    <x v="0"/>
    <x v="2"/>
    <x v="0"/>
    <x v="0"/>
    <x v="3"/>
    <x v="3"/>
    <x v="12"/>
    <x v="12"/>
    <x v="4"/>
    <x v="5"/>
    <x v="5"/>
    <x v="40"/>
    <x v="40"/>
    <n v="52.068719999999999"/>
    <x v="1"/>
    <x v="2"/>
    <x v="5"/>
    <x v="7"/>
    <x v="11"/>
    <x v="22"/>
    <n v="56.754904800000006"/>
  </r>
  <r>
    <x v="2"/>
    <x v="0"/>
    <x v="2"/>
    <x v="2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2"/>
    <x v="0"/>
    <x v="2"/>
    <x v="2"/>
    <x v="0"/>
    <x v="2"/>
    <x v="0"/>
    <x v="0"/>
    <x v="3"/>
    <x v="3"/>
    <x v="13"/>
    <x v="13"/>
    <x v="2"/>
    <x v="2"/>
    <x v="2"/>
    <x v="40"/>
    <x v="40"/>
    <n v="115.06562"/>
    <x v="1"/>
    <x v="2"/>
    <x v="5"/>
    <x v="7"/>
    <x v="11"/>
    <x v="22"/>
    <n v="125.4215258"/>
  </r>
  <r>
    <x v="2"/>
    <x v="0"/>
    <x v="2"/>
    <x v="2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2"/>
    <x v="0"/>
    <x v="2"/>
    <x v="2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2"/>
    <x v="0"/>
    <x v="2"/>
    <x v="2"/>
    <x v="0"/>
    <x v="2"/>
    <x v="0"/>
    <x v="0"/>
    <x v="3"/>
    <x v="3"/>
    <x v="13"/>
    <x v="13"/>
    <x v="1"/>
    <x v="8"/>
    <x v="8"/>
    <x v="40"/>
    <x v="40"/>
    <n v="4.8334000000000001"/>
    <x v="1"/>
    <x v="2"/>
    <x v="5"/>
    <x v="7"/>
    <x v="11"/>
    <x v="22"/>
    <n v="5.2684060000000006"/>
  </r>
  <r>
    <x v="2"/>
    <x v="0"/>
    <x v="2"/>
    <x v="2"/>
    <x v="0"/>
    <x v="2"/>
    <x v="0"/>
    <x v="0"/>
    <x v="3"/>
    <x v="3"/>
    <x v="13"/>
    <x v="13"/>
    <x v="4"/>
    <x v="5"/>
    <x v="5"/>
    <x v="40"/>
    <x v="40"/>
    <n v="2.2593999999999999"/>
    <x v="1"/>
    <x v="2"/>
    <x v="5"/>
    <x v="7"/>
    <x v="11"/>
    <x v="22"/>
    <n v="2.4627460000000001"/>
  </r>
  <r>
    <x v="2"/>
    <x v="0"/>
    <x v="2"/>
    <x v="2"/>
    <x v="0"/>
    <x v="2"/>
    <x v="0"/>
    <x v="0"/>
    <x v="3"/>
    <x v="3"/>
    <x v="19"/>
    <x v="19"/>
    <x v="3"/>
    <x v="7"/>
    <x v="7"/>
    <x v="40"/>
    <x v="40"/>
    <n v="447.53800000000001"/>
    <x v="1"/>
    <x v="2"/>
    <x v="5"/>
    <x v="7"/>
    <x v="11"/>
    <x v="22"/>
    <n v="487.81642000000005"/>
  </r>
  <r>
    <x v="2"/>
    <x v="0"/>
    <x v="2"/>
    <x v="2"/>
    <x v="0"/>
    <x v="2"/>
    <x v="0"/>
    <x v="0"/>
    <x v="3"/>
    <x v="3"/>
    <x v="19"/>
    <x v="19"/>
    <x v="1"/>
    <x v="8"/>
    <x v="8"/>
    <x v="40"/>
    <x v="40"/>
    <n v="146.42796999999999"/>
    <x v="1"/>
    <x v="2"/>
    <x v="5"/>
    <x v="7"/>
    <x v="11"/>
    <x v="22"/>
    <n v="159.6064873"/>
  </r>
  <r>
    <x v="2"/>
    <x v="0"/>
    <x v="2"/>
    <x v="2"/>
    <x v="0"/>
    <x v="2"/>
    <x v="0"/>
    <x v="0"/>
    <x v="3"/>
    <x v="3"/>
    <x v="19"/>
    <x v="19"/>
    <x v="2"/>
    <x v="10"/>
    <x v="10"/>
    <x v="40"/>
    <x v="40"/>
    <n v="46.897919999999999"/>
    <x v="1"/>
    <x v="2"/>
    <x v="5"/>
    <x v="7"/>
    <x v="11"/>
    <x v="22"/>
    <n v="51.118732800000004"/>
  </r>
  <r>
    <x v="2"/>
    <x v="0"/>
    <x v="2"/>
    <x v="2"/>
    <x v="0"/>
    <x v="2"/>
    <x v="0"/>
    <x v="0"/>
    <x v="3"/>
    <x v="3"/>
    <x v="19"/>
    <x v="19"/>
    <x v="4"/>
    <x v="5"/>
    <x v="5"/>
    <x v="40"/>
    <x v="40"/>
    <n v="199.66897"/>
    <x v="1"/>
    <x v="2"/>
    <x v="5"/>
    <x v="7"/>
    <x v="11"/>
    <x v="22"/>
    <n v="217.63917730000003"/>
  </r>
  <r>
    <x v="2"/>
    <x v="0"/>
    <x v="2"/>
    <x v="2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2"/>
    <x v="0"/>
    <x v="2"/>
    <x v="2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2"/>
    <x v="0"/>
    <x v="2"/>
    <x v="2"/>
    <x v="0"/>
    <x v="2"/>
    <x v="0"/>
    <x v="0"/>
    <x v="2"/>
    <x v="2"/>
    <x v="14"/>
    <x v="14"/>
    <x v="4"/>
    <x v="5"/>
    <x v="5"/>
    <x v="40"/>
    <x v="40"/>
    <n v="93.867189999999994"/>
    <x v="1"/>
    <x v="2"/>
    <x v="5"/>
    <x v="7"/>
    <x v="11"/>
    <x v="22"/>
    <n v="102.3152371"/>
  </r>
  <r>
    <x v="2"/>
    <x v="0"/>
    <x v="2"/>
    <x v="2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2"/>
    <x v="0"/>
    <x v="2"/>
    <x v="2"/>
    <x v="0"/>
    <x v="2"/>
    <x v="0"/>
    <x v="0"/>
    <x v="2"/>
    <x v="2"/>
    <x v="15"/>
    <x v="15"/>
    <x v="0"/>
    <x v="4"/>
    <x v="4"/>
    <x v="40"/>
    <x v="40"/>
    <n v="42.35"/>
    <x v="1"/>
    <x v="2"/>
    <x v="5"/>
    <x v="7"/>
    <x v="11"/>
    <x v="22"/>
    <n v="46.161500000000004"/>
  </r>
  <r>
    <x v="2"/>
    <x v="0"/>
    <x v="2"/>
    <x v="2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2"/>
    <x v="0"/>
    <x v="2"/>
    <x v="2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2"/>
    <x v="0"/>
    <x v="2"/>
    <x v="2"/>
    <x v="0"/>
    <x v="2"/>
    <x v="0"/>
    <x v="0"/>
    <x v="2"/>
    <x v="2"/>
    <x v="16"/>
    <x v="16"/>
    <x v="2"/>
    <x v="2"/>
    <x v="2"/>
    <x v="40"/>
    <x v="40"/>
    <n v="21"/>
    <x v="1"/>
    <x v="2"/>
    <x v="5"/>
    <x v="7"/>
    <x v="11"/>
    <x v="22"/>
    <n v="22.89"/>
  </r>
  <r>
    <x v="2"/>
    <x v="0"/>
    <x v="2"/>
    <x v="2"/>
    <x v="0"/>
    <x v="2"/>
    <x v="0"/>
    <x v="0"/>
    <x v="2"/>
    <x v="2"/>
    <x v="17"/>
    <x v="17"/>
    <x v="2"/>
    <x v="2"/>
    <x v="2"/>
    <x v="40"/>
    <x v="40"/>
    <n v="93.988590000000002"/>
    <x v="1"/>
    <x v="2"/>
    <x v="5"/>
    <x v="7"/>
    <x v="11"/>
    <x v="22"/>
    <n v="102.44756310000001"/>
  </r>
  <r>
    <x v="2"/>
    <x v="0"/>
    <x v="2"/>
    <x v="2"/>
    <x v="0"/>
    <x v="2"/>
    <x v="0"/>
    <x v="0"/>
    <x v="2"/>
    <x v="2"/>
    <x v="17"/>
    <x v="17"/>
    <x v="2"/>
    <x v="2"/>
    <x v="2"/>
    <x v="38"/>
    <x v="38"/>
    <n v="34.25"/>
    <x v="1"/>
    <x v="0"/>
    <x v="4"/>
    <x v="6"/>
    <x v="10"/>
    <x v="21"/>
    <n v="37.332500000000003"/>
  </r>
  <r>
    <x v="2"/>
    <x v="0"/>
    <x v="2"/>
    <x v="2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2"/>
    <x v="0"/>
    <x v="2"/>
    <x v="2"/>
    <x v="0"/>
    <x v="2"/>
    <x v="0"/>
    <x v="0"/>
    <x v="2"/>
    <x v="2"/>
    <x v="17"/>
    <x v="17"/>
    <x v="3"/>
    <x v="7"/>
    <x v="7"/>
    <x v="7"/>
    <x v="7"/>
    <n v="308.90939372013003"/>
    <x v="0"/>
    <x v="0"/>
    <x v="1"/>
    <x v="4"/>
    <x v="5"/>
    <x v="7"/>
    <n v="336.71123915494178"/>
  </r>
  <r>
    <x v="2"/>
    <x v="0"/>
    <x v="2"/>
    <x v="2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2"/>
    <x v="0"/>
    <x v="2"/>
    <x v="2"/>
    <x v="0"/>
    <x v="2"/>
    <x v="0"/>
    <x v="0"/>
    <x v="2"/>
    <x v="2"/>
    <x v="17"/>
    <x v="17"/>
    <x v="1"/>
    <x v="8"/>
    <x v="8"/>
    <x v="7"/>
    <x v="7"/>
    <n v="9.5551289196102793"/>
    <x v="0"/>
    <x v="0"/>
    <x v="1"/>
    <x v="4"/>
    <x v="5"/>
    <x v="7"/>
    <n v="10.415090522375205"/>
  </r>
  <r>
    <x v="2"/>
    <x v="0"/>
    <x v="2"/>
    <x v="2"/>
    <x v="0"/>
    <x v="2"/>
    <x v="0"/>
    <x v="0"/>
    <x v="2"/>
    <x v="2"/>
    <x v="17"/>
    <x v="17"/>
    <x v="1"/>
    <x v="8"/>
    <x v="8"/>
    <x v="40"/>
    <x v="40"/>
    <n v="111.92008"/>
    <x v="1"/>
    <x v="2"/>
    <x v="5"/>
    <x v="7"/>
    <x v="11"/>
    <x v="22"/>
    <n v="121.99288720000001"/>
  </r>
  <r>
    <x v="2"/>
    <x v="0"/>
    <x v="2"/>
    <x v="2"/>
    <x v="0"/>
    <x v="2"/>
    <x v="0"/>
    <x v="0"/>
    <x v="2"/>
    <x v="2"/>
    <x v="17"/>
    <x v="17"/>
    <x v="0"/>
    <x v="9"/>
    <x v="9"/>
    <x v="7"/>
    <x v="7"/>
    <n v="235.245602781293"/>
    <x v="0"/>
    <x v="0"/>
    <x v="1"/>
    <x v="4"/>
    <x v="5"/>
    <x v="7"/>
    <n v="256.41770703160938"/>
  </r>
  <r>
    <x v="2"/>
    <x v="0"/>
    <x v="2"/>
    <x v="2"/>
    <x v="0"/>
    <x v="2"/>
    <x v="0"/>
    <x v="0"/>
    <x v="2"/>
    <x v="2"/>
    <x v="17"/>
    <x v="17"/>
    <x v="2"/>
    <x v="10"/>
    <x v="10"/>
    <x v="7"/>
    <x v="7"/>
    <n v="79.5205574892058"/>
    <x v="0"/>
    <x v="0"/>
    <x v="1"/>
    <x v="4"/>
    <x v="5"/>
    <x v="7"/>
    <n v="86.677407663234334"/>
  </r>
  <r>
    <x v="2"/>
    <x v="0"/>
    <x v="2"/>
    <x v="2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2"/>
    <x v="0"/>
    <x v="2"/>
    <x v="2"/>
    <x v="0"/>
    <x v="2"/>
    <x v="0"/>
    <x v="0"/>
    <x v="2"/>
    <x v="2"/>
    <x v="17"/>
    <x v="17"/>
    <x v="4"/>
    <x v="5"/>
    <x v="5"/>
    <x v="7"/>
    <x v="7"/>
    <n v="46.034243901232898"/>
    <x v="0"/>
    <x v="0"/>
    <x v="1"/>
    <x v="4"/>
    <x v="5"/>
    <x v="7"/>
    <n v="50.177325852343863"/>
  </r>
  <r>
    <x v="2"/>
    <x v="0"/>
    <x v="2"/>
    <x v="2"/>
    <x v="0"/>
    <x v="2"/>
    <x v="0"/>
    <x v="0"/>
    <x v="2"/>
    <x v="2"/>
    <x v="17"/>
    <x v="17"/>
    <x v="4"/>
    <x v="5"/>
    <x v="5"/>
    <x v="40"/>
    <x v="40"/>
    <n v="400.75889000000001"/>
    <x v="1"/>
    <x v="2"/>
    <x v="5"/>
    <x v="7"/>
    <x v="11"/>
    <x v="22"/>
    <n v="436.82719010000005"/>
  </r>
  <r>
    <x v="2"/>
    <x v="0"/>
    <x v="2"/>
    <x v="2"/>
    <x v="0"/>
    <x v="3"/>
    <x v="0"/>
    <x v="0"/>
    <x v="0"/>
    <x v="0"/>
    <x v="0"/>
    <x v="0"/>
    <x v="3"/>
    <x v="3"/>
    <x v="3"/>
    <x v="27"/>
    <x v="27"/>
    <n v="0.11286936937175999"/>
    <x v="0"/>
    <x v="0"/>
    <x v="1"/>
    <x v="3"/>
    <x v="3"/>
    <x v="19"/>
    <n v="0.1230276126152184"/>
  </r>
  <r>
    <x v="2"/>
    <x v="0"/>
    <x v="2"/>
    <x v="2"/>
    <x v="0"/>
    <x v="3"/>
    <x v="0"/>
    <x v="0"/>
    <x v="0"/>
    <x v="0"/>
    <x v="0"/>
    <x v="0"/>
    <x v="0"/>
    <x v="4"/>
    <x v="4"/>
    <x v="11"/>
    <x v="11"/>
    <n v="8.3953500000000005"/>
    <x v="0"/>
    <x v="0"/>
    <x v="3"/>
    <x v="5"/>
    <x v="7"/>
    <x v="11"/>
    <n v="9.1509315000000004"/>
  </r>
  <r>
    <x v="2"/>
    <x v="0"/>
    <x v="2"/>
    <x v="2"/>
    <x v="0"/>
    <x v="3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2"/>
    <x v="0"/>
    <x v="2"/>
    <x v="2"/>
    <x v="0"/>
    <x v="3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2"/>
    <x v="0"/>
    <x v="2"/>
    <x v="2"/>
    <x v="0"/>
    <x v="3"/>
    <x v="0"/>
    <x v="0"/>
    <x v="0"/>
    <x v="0"/>
    <x v="0"/>
    <x v="0"/>
    <x v="0"/>
    <x v="4"/>
    <x v="4"/>
    <x v="25"/>
    <x v="25"/>
    <n v="496.763899082271"/>
    <x v="0"/>
    <x v="0"/>
    <x v="1"/>
    <x v="4"/>
    <x v="5"/>
    <x v="9"/>
    <n v="541.47264999967547"/>
  </r>
  <r>
    <x v="2"/>
    <x v="0"/>
    <x v="2"/>
    <x v="2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2"/>
    <x v="0"/>
    <x v="2"/>
    <x v="2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2"/>
    <x v="0"/>
    <x v="2"/>
    <x v="2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2"/>
    <x v="0"/>
    <x v="2"/>
    <x v="2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2"/>
    <x v="0"/>
    <x v="2"/>
    <x v="2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2"/>
    <x v="0"/>
    <x v="2"/>
    <x v="2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2"/>
    <x v="0"/>
    <x v="2"/>
    <x v="2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2"/>
    <x v="0"/>
    <x v="2"/>
    <x v="2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2"/>
    <x v="0"/>
    <x v="2"/>
    <x v="2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2"/>
    <x v="0"/>
    <x v="2"/>
    <x v="2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2"/>
    <x v="0"/>
    <x v="2"/>
    <x v="2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2"/>
    <x v="0"/>
    <x v="2"/>
    <x v="2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2"/>
    <x v="0"/>
    <x v="2"/>
    <x v="2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2"/>
    <x v="0"/>
    <x v="2"/>
    <x v="2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2"/>
    <x v="0"/>
    <x v="2"/>
    <x v="2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2"/>
    <x v="0"/>
    <x v="2"/>
    <x v="2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2"/>
    <x v="0"/>
    <x v="2"/>
    <x v="2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2"/>
    <x v="0"/>
    <x v="2"/>
    <x v="2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2"/>
    <x v="0"/>
    <x v="2"/>
    <x v="2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2"/>
    <x v="0"/>
    <x v="2"/>
    <x v="2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2"/>
    <x v="0"/>
    <x v="2"/>
    <x v="2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2"/>
    <x v="0"/>
    <x v="2"/>
    <x v="2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2"/>
    <x v="0"/>
    <x v="2"/>
    <x v="2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2"/>
    <x v="0"/>
    <x v="2"/>
    <x v="2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2"/>
    <x v="0"/>
    <x v="2"/>
    <x v="2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2"/>
    <x v="0"/>
    <x v="2"/>
    <x v="2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2"/>
    <x v="0"/>
    <x v="2"/>
    <x v="2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2"/>
    <x v="0"/>
    <x v="2"/>
    <x v="2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2"/>
    <x v="0"/>
    <x v="2"/>
    <x v="2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2"/>
    <x v="0"/>
    <x v="2"/>
    <x v="2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2"/>
    <x v="0"/>
    <x v="2"/>
    <x v="2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2"/>
    <x v="0"/>
    <x v="2"/>
    <x v="2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2"/>
    <x v="0"/>
    <x v="2"/>
    <x v="2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2"/>
    <x v="0"/>
    <x v="2"/>
    <x v="2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2"/>
    <x v="0"/>
    <x v="2"/>
    <x v="2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2"/>
    <x v="0"/>
    <x v="2"/>
    <x v="2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2"/>
    <x v="0"/>
    <x v="2"/>
    <x v="2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2"/>
    <x v="0"/>
    <x v="2"/>
    <x v="2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2"/>
    <x v="0"/>
    <x v="2"/>
    <x v="2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2"/>
    <x v="0"/>
    <x v="2"/>
    <x v="2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2"/>
    <x v="0"/>
    <x v="2"/>
    <x v="2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2"/>
    <x v="0"/>
    <x v="2"/>
    <x v="2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2"/>
    <x v="0"/>
    <x v="2"/>
    <x v="2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2"/>
    <x v="0"/>
    <x v="2"/>
    <x v="2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2"/>
    <x v="0"/>
    <x v="2"/>
    <x v="2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2"/>
    <x v="0"/>
    <x v="2"/>
    <x v="2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2"/>
    <x v="0"/>
    <x v="2"/>
    <x v="2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2"/>
    <x v="0"/>
    <x v="2"/>
    <x v="2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2"/>
    <x v="0"/>
    <x v="2"/>
    <x v="2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2"/>
    <x v="0"/>
    <x v="2"/>
    <x v="2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2"/>
    <x v="0"/>
    <x v="2"/>
    <x v="2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2"/>
    <x v="0"/>
    <x v="2"/>
    <x v="2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2"/>
    <x v="0"/>
    <x v="2"/>
    <x v="2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2"/>
    <x v="0"/>
    <x v="2"/>
    <x v="2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2"/>
    <x v="0"/>
    <x v="2"/>
    <x v="2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2"/>
    <x v="0"/>
    <x v="2"/>
    <x v="2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2"/>
    <x v="0"/>
    <x v="2"/>
    <x v="2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2"/>
    <x v="0"/>
    <x v="2"/>
    <x v="2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2"/>
    <x v="0"/>
    <x v="2"/>
    <x v="2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2"/>
    <x v="0"/>
    <x v="2"/>
    <x v="2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2"/>
    <x v="0"/>
    <x v="2"/>
    <x v="2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2"/>
    <x v="0"/>
    <x v="2"/>
    <x v="2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2"/>
    <x v="0"/>
    <x v="2"/>
    <x v="2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2"/>
    <x v="0"/>
    <x v="2"/>
    <x v="2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2"/>
    <x v="0"/>
    <x v="2"/>
    <x v="2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2"/>
    <x v="0"/>
    <x v="2"/>
    <x v="2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2"/>
    <x v="0"/>
    <x v="2"/>
    <x v="2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2"/>
    <x v="0"/>
    <x v="2"/>
    <x v="2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2"/>
    <x v="0"/>
    <x v="2"/>
    <x v="2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2"/>
    <x v="0"/>
    <x v="2"/>
    <x v="2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2"/>
    <x v="0"/>
    <x v="2"/>
    <x v="2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2"/>
    <x v="0"/>
    <x v="2"/>
    <x v="2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2"/>
    <x v="0"/>
    <x v="2"/>
    <x v="2"/>
    <x v="1"/>
    <x v="6"/>
    <x v="0"/>
    <x v="0"/>
    <x v="0"/>
    <x v="0"/>
    <x v="2"/>
    <x v="2"/>
    <x v="2"/>
    <x v="2"/>
    <x v="2"/>
    <x v="10"/>
    <x v="10"/>
    <n v="4.3892623181529604"/>
    <x v="0"/>
    <x v="0"/>
    <x v="1"/>
    <x v="4"/>
    <x v="5"/>
    <x v="10"/>
    <n v="4.7842959267867275"/>
  </r>
  <r>
    <x v="2"/>
    <x v="0"/>
    <x v="2"/>
    <x v="2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2"/>
    <x v="0"/>
    <x v="2"/>
    <x v="2"/>
    <x v="1"/>
    <x v="6"/>
    <x v="0"/>
    <x v="0"/>
    <x v="0"/>
    <x v="0"/>
    <x v="0"/>
    <x v="0"/>
    <x v="3"/>
    <x v="3"/>
    <x v="3"/>
    <x v="29"/>
    <x v="29"/>
    <n v="0.11942"/>
    <x v="0"/>
    <x v="0"/>
    <x v="1"/>
    <x v="3"/>
    <x v="3"/>
    <x v="13"/>
    <n v="0.1301678"/>
  </r>
  <r>
    <x v="2"/>
    <x v="0"/>
    <x v="2"/>
    <x v="2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2"/>
    <x v="0"/>
    <x v="2"/>
    <x v="2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2"/>
    <x v="0"/>
    <x v="2"/>
    <x v="2"/>
    <x v="1"/>
    <x v="6"/>
    <x v="0"/>
    <x v="0"/>
    <x v="0"/>
    <x v="0"/>
    <x v="0"/>
    <x v="0"/>
    <x v="0"/>
    <x v="4"/>
    <x v="4"/>
    <x v="9"/>
    <x v="9"/>
    <n v="39.578553462688397"/>
    <x v="0"/>
    <x v="0"/>
    <x v="1"/>
    <x v="4"/>
    <x v="5"/>
    <x v="9"/>
    <n v="43.140623274330359"/>
  </r>
  <r>
    <x v="2"/>
    <x v="0"/>
    <x v="2"/>
    <x v="2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2"/>
    <x v="0"/>
    <x v="2"/>
    <x v="2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2"/>
    <x v="0"/>
    <x v="2"/>
    <x v="2"/>
    <x v="0"/>
    <x v="3"/>
    <x v="0"/>
    <x v="0"/>
    <x v="0"/>
    <x v="0"/>
    <x v="0"/>
    <x v="0"/>
    <x v="0"/>
    <x v="4"/>
    <x v="4"/>
    <x v="27"/>
    <x v="27"/>
    <n v="64.3470810824452"/>
    <x v="0"/>
    <x v="0"/>
    <x v="1"/>
    <x v="3"/>
    <x v="3"/>
    <x v="19"/>
    <n v="70.138318379865268"/>
  </r>
  <r>
    <x v="2"/>
    <x v="0"/>
    <x v="2"/>
    <x v="2"/>
    <x v="0"/>
    <x v="3"/>
    <x v="0"/>
    <x v="0"/>
    <x v="0"/>
    <x v="0"/>
    <x v="0"/>
    <x v="0"/>
    <x v="0"/>
    <x v="0"/>
    <x v="0"/>
    <x v="25"/>
    <x v="25"/>
    <n v="31.4726880733756"/>
    <x v="0"/>
    <x v="0"/>
    <x v="1"/>
    <x v="4"/>
    <x v="5"/>
    <x v="9"/>
    <n v="34.30522999997941"/>
  </r>
  <r>
    <x v="2"/>
    <x v="0"/>
    <x v="2"/>
    <x v="2"/>
    <x v="0"/>
    <x v="3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2"/>
    <x v="0"/>
    <x v="2"/>
    <x v="2"/>
    <x v="0"/>
    <x v="3"/>
    <x v="0"/>
    <x v="0"/>
    <x v="0"/>
    <x v="0"/>
    <x v="0"/>
    <x v="0"/>
    <x v="1"/>
    <x v="1"/>
    <x v="1"/>
    <x v="25"/>
    <x v="25"/>
    <n v="20.165137614666801"/>
    <x v="0"/>
    <x v="0"/>
    <x v="1"/>
    <x v="4"/>
    <x v="5"/>
    <x v="9"/>
    <n v="21.979999999986813"/>
  </r>
  <r>
    <x v="2"/>
    <x v="0"/>
    <x v="2"/>
    <x v="2"/>
    <x v="0"/>
    <x v="3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2"/>
    <x v="0"/>
    <x v="2"/>
    <x v="2"/>
    <x v="0"/>
    <x v="3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2"/>
    <x v="0"/>
    <x v="2"/>
    <x v="2"/>
    <x v="0"/>
    <x v="3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2"/>
    <x v="0"/>
    <x v="2"/>
    <x v="2"/>
    <x v="0"/>
    <x v="3"/>
    <x v="0"/>
    <x v="0"/>
    <x v="0"/>
    <x v="0"/>
    <x v="0"/>
    <x v="0"/>
    <x v="2"/>
    <x v="2"/>
    <x v="2"/>
    <x v="12"/>
    <x v="12"/>
    <n v="21.354651162709601"/>
    <x v="0"/>
    <x v="0"/>
    <x v="0"/>
    <x v="0"/>
    <x v="8"/>
    <x v="12"/>
    <n v="23.276569767353468"/>
  </r>
  <r>
    <x v="2"/>
    <x v="0"/>
    <x v="2"/>
    <x v="2"/>
    <x v="0"/>
    <x v="3"/>
    <x v="0"/>
    <x v="0"/>
    <x v="0"/>
    <x v="0"/>
    <x v="0"/>
    <x v="0"/>
    <x v="2"/>
    <x v="2"/>
    <x v="2"/>
    <x v="14"/>
    <x v="14"/>
    <n v="16.7"/>
    <x v="0"/>
    <x v="0"/>
    <x v="0"/>
    <x v="0"/>
    <x v="8"/>
    <x v="14"/>
    <n v="18.202999999999999"/>
  </r>
  <r>
    <x v="2"/>
    <x v="0"/>
    <x v="2"/>
    <x v="2"/>
    <x v="0"/>
    <x v="3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2"/>
    <x v="0"/>
    <x v="2"/>
    <x v="2"/>
    <x v="0"/>
    <x v="3"/>
    <x v="0"/>
    <x v="0"/>
    <x v="0"/>
    <x v="0"/>
    <x v="0"/>
    <x v="0"/>
    <x v="2"/>
    <x v="2"/>
    <x v="2"/>
    <x v="25"/>
    <x v="25"/>
    <n v="165.08691743109401"/>
    <x v="0"/>
    <x v="0"/>
    <x v="1"/>
    <x v="4"/>
    <x v="5"/>
    <x v="9"/>
    <n v="179.94473999989248"/>
  </r>
  <r>
    <x v="2"/>
    <x v="0"/>
    <x v="2"/>
    <x v="2"/>
    <x v="0"/>
    <x v="3"/>
    <x v="0"/>
    <x v="0"/>
    <x v="0"/>
    <x v="0"/>
    <x v="0"/>
    <x v="0"/>
    <x v="2"/>
    <x v="2"/>
    <x v="2"/>
    <x v="27"/>
    <x v="27"/>
    <n v="111.08997522758"/>
    <x v="0"/>
    <x v="0"/>
    <x v="1"/>
    <x v="3"/>
    <x v="3"/>
    <x v="19"/>
    <n v="121.0880729980622"/>
  </r>
  <r>
    <x v="2"/>
    <x v="0"/>
    <x v="2"/>
    <x v="2"/>
    <x v="0"/>
    <x v="3"/>
    <x v="0"/>
    <x v="0"/>
    <x v="0"/>
    <x v="0"/>
    <x v="0"/>
    <x v="0"/>
    <x v="1"/>
    <x v="6"/>
    <x v="6"/>
    <x v="9"/>
    <x v="9"/>
    <n v="68.721100917390004"/>
    <x v="0"/>
    <x v="0"/>
    <x v="1"/>
    <x v="4"/>
    <x v="5"/>
    <x v="9"/>
    <n v="74.905999999955114"/>
  </r>
  <r>
    <x v="2"/>
    <x v="0"/>
    <x v="2"/>
    <x v="2"/>
    <x v="0"/>
    <x v="3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2"/>
    <x v="0"/>
    <x v="2"/>
    <x v="2"/>
    <x v="0"/>
    <x v="3"/>
    <x v="0"/>
    <x v="0"/>
    <x v="0"/>
    <x v="0"/>
    <x v="0"/>
    <x v="0"/>
    <x v="1"/>
    <x v="6"/>
    <x v="6"/>
    <x v="25"/>
    <x v="25"/>
    <n v="192.54097247694901"/>
    <x v="0"/>
    <x v="0"/>
    <x v="1"/>
    <x v="4"/>
    <x v="5"/>
    <x v="9"/>
    <n v="209.86965999987444"/>
  </r>
  <r>
    <x v="2"/>
    <x v="0"/>
    <x v="2"/>
    <x v="2"/>
    <x v="0"/>
    <x v="3"/>
    <x v="0"/>
    <x v="0"/>
    <x v="0"/>
    <x v="0"/>
    <x v="0"/>
    <x v="0"/>
    <x v="1"/>
    <x v="6"/>
    <x v="6"/>
    <x v="27"/>
    <x v="27"/>
    <n v="14.173457207507701"/>
    <x v="0"/>
    <x v="0"/>
    <x v="1"/>
    <x v="3"/>
    <x v="3"/>
    <x v="19"/>
    <n v="15.449068356183394"/>
  </r>
  <r>
    <x v="2"/>
    <x v="0"/>
    <x v="2"/>
    <x v="2"/>
    <x v="0"/>
    <x v="3"/>
    <x v="0"/>
    <x v="0"/>
    <x v="0"/>
    <x v="0"/>
    <x v="0"/>
    <x v="0"/>
    <x v="0"/>
    <x v="9"/>
    <x v="9"/>
    <x v="9"/>
    <x v="9"/>
    <n v="29.2110091742944"/>
    <x v="0"/>
    <x v="0"/>
    <x v="1"/>
    <x v="4"/>
    <x v="5"/>
    <x v="9"/>
    <n v="31.839999999980897"/>
  </r>
  <r>
    <x v="2"/>
    <x v="0"/>
    <x v="2"/>
    <x v="2"/>
    <x v="0"/>
    <x v="3"/>
    <x v="0"/>
    <x v="0"/>
    <x v="0"/>
    <x v="0"/>
    <x v="0"/>
    <x v="0"/>
    <x v="2"/>
    <x v="10"/>
    <x v="10"/>
    <x v="9"/>
    <x v="9"/>
    <n v="4.7302752293549597"/>
    <x v="0"/>
    <x v="0"/>
    <x v="1"/>
    <x v="4"/>
    <x v="5"/>
    <x v="9"/>
    <n v="5.1559999999969062"/>
  </r>
  <r>
    <x v="2"/>
    <x v="0"/>
    <x v="2"/>
    <x v="2"/>
    <x v="0"/>
    <x v="3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2"/>
    <x v="0"/>
    <x v="2"/>
    <x v="2"/>
    <x v="0"/>
    <x v="3"/>
    <x v="0"/>
    <x v="0"/>
    <x v="0"/>
    <x v="0"/>
    <x v="0"/>
    <x v="0"/>
    <x v="4"/>
    <x v="5"/>
    <x v="5"/>
    <x v="25"/>
    <x v="25"/>
    <n v="47.908256880705203"/>
    <x v="0"/>
    <x v="0"/>
    <x v="1"/>
    <x v="4"/>
    <x v="5"/>
    <x v="9"/>
    <n v="52.219999999968678"/>
  </r>
  <r>
    <x v="2"/>
    <x v="0"/>
    <x v="2"/>
    <x v="2"/>
    <x v="0"/>
    <x v="3"/>
    <x v="0"/>
    <x v="0"/>
    <x v="0"/>
    <x v="0"/>
    <x v="0"/>
    <x v="0"/>
    <x v="4"/>
    <x v="5"/>
    <x v="5"/>
    <x v="27"/>
    <x v="27"/>
    <n v="32.021385135814"/>
    <x v="0"/>
    <x v="0"/>
    <x v="1"/>
    <x v="3"/>
    <x v="3"/>
    <x v="19"/>
    <n v="34.903309798037263"/>
  </r>
  <r>
    <x v="2"/>
    <x v="0"/>
    <x v="2"/>
    <x v="2"/>
    <x v="0"/>
    <x v="3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2"/>
    <x v="0"/>
    <x v="2"/>
    <x v="2"/>
    <x v="0"/>
    <x v="3"/>
    <x v="0"/>
    <x v="0"/>
    <x v="0"/>
    <x v="0"/>
    <x v="4"/>
    <x v="4"/>
    <x v="2"/>
    <x v="2"/>
    <x v="2"/>
    <x v="25"/>
    <x v="25"/>
    <n v="0.20157798165126001"/>
    <x v="0"/>
    <x v="0"/>
    <x v="1"/>
    <x v="4"/>
    <x v="5"/>
    <x v="9"/>
    <n v="0.21971999999987343"/>
  </r>
  <r>
    <x v="2"/>
    <x v="0"/>
    <x v="2"/>
    <x v="2"/>
    <x v="0"/>
    <x v="3"/>
    <x v="0"/>
    <x v="0"/>
    <x v="0"/>
    <x v="0"/>
    <x v="4"/>
    <x v="4"/>
    <x v="2"/>
    <x v="2"/>
    <x v="2"/>
    <x v="27"/>
    <x v="27"/>
    <n v="2.2915540541026398"/>
    <x v="0"/>
    <x v="0"/>
    <x v="1"/>
    <x v="3"/>
    <x v="3"/>
    <x v="19"/>
    <n v="2.4977939189718774"/>
  </r>
  <r>
    <x v="2"/>
    <x v="0"/>
    <x v="2"/>
    <x v="2"/>
    <x v="0"/>
    <x v="5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2"/>
    <x v="0"/>
    <x v="2"/>
    <x v="2"/>
    <x v="0"/>
    <x v="5"/>
    <x v="0"/>
    <x v="0"/>
    <x v="0"/>
    <x v="0"/>
    <x v="0"/>
    <x v="0"/>
    <x v="2"/>
    <x v="2"/>
    <x v="2"/>
    <x v="11"/>
    <x v="11"/>
    <n v="49.115470000000002"/>
    <x v="0"/>
    <x v="0"/>
    <x v="3"/>
    <x v="5"/>
    <x v="7"/>
    <x v="11"/>
    <n v="53.535862300000005"/>
  </r>
  <r>
    <x v="2"/>
    <x v="0"/>
    <x v="2"/>
    <x v="2"/>
    <x v="0"/>
    <x v="5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2"/>
    <x v="0"/>
    <x v="2"/>
    <x v="2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2"/>
    <x v="0"/>
    <x v="2"/>
    <x v="2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2"/>
    <x v="0"/>
    <x v="2"/>
    <x v="2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2"/>
    <x v="0"/>
    <x v="2"/>
    <x v="2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2"/>
    <x v="0"/>
    <x v="2"/>
    <x v="2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2"/>
    <x v="0"/>
    <x v="2"/>
    <x v="2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2"/>
    <x v="0"/>
    <x v="2"/>
    <x v="2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2"/>
    <x v="0"/>
    <x v="2"/>
    <x v="2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2"/>
    <x v="0"/>
    <x v="2"/>
    <x v="2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2"/>
    <x v="0"/>
    <x v="2"/>
    <x v="2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2"/>
    <x v="0"/>
    <x v="2"/>
    <x v="2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2"/>
    <x v="0"/>
    <x v="2"/>
    <x v="2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2"/>
    <x v="0"/>
    <x v="2"/>
    <x v="2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2"/>
    <x v="0"/>
    <x v="2"/>
    <x v="2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2"/>
    <x v="0"/>
    <x v="2"/>
    <x v="2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2"/>
    <x v="0"/>
    <x v="2"/>
    <x v="2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2"/>
    <x v="0"/>
    <x v="2"/>
    <x v="2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2"/>
    <x v="0"/>
    <x v="2"/>
    <x v="2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2"/>
    <x v="0"/>
    <x v="2"/>
    <x v="2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2"/>
    <x v="0"/>
    <x v="2"/>
    <x v="2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2"/>
    <x v="0"/>
    <x v="2"/>
    <x v="2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2"/>
    <x v="0"/>
    <x v="2"/>
    <x v="2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2"/>
    <x v="0"/>
    <x v="2"/>
    <x v="2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2"/>
    <x v="0"/>
    <x v="2"/>
    <x v="2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2"/>
    <x v="0"/>
    <x v="2"/>
    <x v="2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2"/>
    <x v="0"/>
    <x v="2"/>
    <x v="2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2"/>
    <x v="0"/>
    <x v="2"/>
    <x v="2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2"/>
    <x v="0"/>
    <x v="2"/>
    <x v="2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2"/>
    <x v="0"/>
    <x v="2"/>
    <x v="2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2"/>
    <x v="0"/>
    <x v="2"/>
    <x v="2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2"/>
    <x v="0"/>
    <x v="2"/>
    <x v="2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2"/>
    <x v="0"/>
    <x v="2"/>
    <x v="2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2"/>
    <x v="0"/>
    <x v="2"/>
    <x v="2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2"/>
    <x v="0"/>
    <x v="2"/>
    <x v="2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2"/>
    <x v="0"/>
    <x v="2"/>
    <x v="2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2"/>
    <x v="0"/>
    <x v="2"/>
    <x v="2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2"/>
    <x v="0"/>
    <x v="2"/>
    <x v="2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2"/>
    <x v="0"/>
    <x v="2"/>
    <x v="2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2"/>
    <x v="0"/>
    <x v="2"/>
    <x v="2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2"/>
    <x v="0"/>
    <x v="2"/>
    <x v="2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2"/>
    <x v="0"/>
    <x v="2"/>
    <x v="2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2"/>
    <x v="0"/>
    <x v="2"/>
    <x v="2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2"/>
    <x v="0"/>
    <x v="2"/>
    <x v="2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2"/>
    <x v="0"/>
    <x v="2"/>
    <x v="2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2"/>
    <x v="0"/>
    <x v="2"/>
    <x v="2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2"/>
    <x v="0"/>
    <x v="2"/>
    <x v="2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2"/>
    <x v="0"/>
    <x v="2"/>
    <x v="2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2"/>
    <x v="0"/>
    <x v="2"/>
    <x v="2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2"/>
    <x v="0"/>
    <x v="2"/>
    <x v="2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2"/>
    <x v="0"/>
    <x v="2"/>
    <x v="2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2"/>
    <x v="0"/>
    <x v="2"/>
    <x v="2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2"/>
    <x v="0"/>
    <x v="2"/>
    <x v="2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2"/>
    <x v="0"/>
    <x v="2"/>
    <x v="2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2"/>
    <x v="0"/>
    <x v="2"/>
    <x v="2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2"/>
    <x v="0"/>
    <x v="2"/>
    <x v="2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2"/>
    <x v="0"/>
    <x v="2"/>
    <x v="2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2"/>
    <x v="0"/>
    <x v="2"/>
    <x v="2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2"/>
    <x v="0"/>
    <x v="2"/>
    <x v="2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2"/>
    <x v="0"/>
    <x v="2"/>
    <x v="2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2"/>
    <x v="0"/>
    <x v="2"/>
    <x v="2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2"/>
    <x v="0"/>
    <x v="2"/>
    <x v="2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2"/>
    <x v="0"/>
    <x v="2"/>
    <x v="2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2"/>
    <x v="0"/>
    <x v="2"/>
    <x v="2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2"/>
    <x v="0"/>
    <x v="2"/>
    <x v="2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2"/>
    <x v="0"/>
    <x v="2"/>
    <x v="2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2"/>
    <x v="0"/>
    <x v="2"/>
    <x v="2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2"/>
    <x v="0"/>
    <x v="2"/>
    <x v="2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2"/>
    <x v="0"/>
    <x v="2"/>
    <x v="2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2"/>
    <x v="0"/>
    <x v="2"/>
    <x v="2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2"/>
    <x v="0"/>
    <x v="2"/>
    <x v="2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2"/>
    <x v="0"/>
    <x v="2"/>
    <x v="2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2"/>
    <x v="0"/>
    <x v="2"/>
    <x v="2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2"/>
    <x v="0"/>
    <x v="2"/>
    <x v="2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2"/>
    <x v="0"/>
    <x v="2"/>
    <x v="2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2"/>
    <x v="0"/>
    <x v="2"/>
    <x v="2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2"/>
    <x v="0"/>
    <x v="2"/>
    <x v="2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2"/>
    <x v="0"/>
    <x v="2"/>
    <x v="2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2"/>
    <x v="0"/>
    <x v="2"/>
    <x v="2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2"/>
    <x v="0"/>
    <x v="2"/>
    <x v="2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2"/>
    <x v="0"/>
    <x v="2"/>
    <x v="2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2"/>
    <x v="0"/>
    <x v="2"/>
    <x v="2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2"/>
    <x v="0"/>
    <x v="2"/>
    <x v="2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2"/>
    <x v="0"/>
    <x v="2"/>
    <x v="2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2"/>
    <x v="0"/>
    <x v="2"/>
    <x v="2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2"/>
    <x v="0"/>
    <x v="2"/>
    <x v="2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2"/>
    <x v="0"/>
    <x v="2"/>
    <x v="2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2"/>
    <x v="0"/>
    <x v="2"/>
    <x v="2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2"/>
    <x v="0"/>
    <x v="2"/>
    <x v="2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2"/>
    <x v="0"/>
    <x v="2"/>
    <x v="2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2"/>
    <x v="0"/>
    <x v="2"/>
    <x v="2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2"/>
    <x v="0"/>
    <x v="2"/>
    <x v="2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2"/>
    <x v="0"/>
    <x v="2"/>
    <x v="2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2"/>
    <x v="0"/>
    <x v="2"/>
    <x v="2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2"/>
    <x v="0"/>
    <x v="2"/>
    <x v="2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2"/>
    <x v="0"/>
    <x v="2"/>
    <x v="2"/>
    <x v="0"/>
    <x v="4"/>
    <x v="0"/>
    <x v="0"/>
    <x v="0"/>
    <x v="0"/>
    <x v="0"/>
    <x v="0"/>
    <x v="0"/>
    <x v="0"/>
    <x v="0"/>
    <x v="55"/>
    <x v="55"/>
    <n v="2.0282201834850202"/>
    <x v="0"/>
    <x v="0"/>
    <x v="1"/>
    <x v="3"/>
    <x v="3"/>
    <x v="15"/>
    <n v="2.2107599999986722"/>
  </r>
  <r>
    <x v="2"/>
    <x v="0"/>
    <x v="2"/>
    <x v="2"/>
    <x v="0"/>
    <x v="4"/>
    <x v="0"/>
    <x v="0"/>
    <x v="0"/>
    <x v="0"/>
    <x v="0"/>
    <x v="0"/>
    <x v="0"/>
    <x v="0"/>
    <x v="0"/>
    <x v="11"/>
    <x v="11"/>
    <n v="21.397320000000001"/>
    <x v="0"/>
    <x v="0"/>
    <x v="3"/>
    <x v="5"/>
    <x v="7"/>
    <x v="11"/>
    <n v="23.323078800000001"/>
  </r>
  <r>
    <x v="2"/>
    <x v="0"/>
    <x v="2"/>
    <x v="2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2"/>
    <x v="0"/>
    <x v="2"/>
    <x v="2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2"/>
    <x v="0"/>
    <x v="2"/>
    <x v="2"/>
    <x v="0"/>
    <x v="4"/>
    <x v="0"/>
    <x v="0"/>
    <x v="0"/>
    <x v="0"/>
    <x v="0"/>
    <x v="0"/>
    <x v="0"/>
    <x v="0"/>
    <x v="0"/>
    <x v="36"/>
    <x v="36"/>
    <n v="11.0916"/>
    <x v="0"/>
    <x v="0"/>
    <x v="1"/>
    <x v="3"/>
    <x v="3"/>
    <x v="4"/>
    <n v="12.089844000000001"/>
  </r>
  <r>
    <x v="2"/>
    <x v="0"/>
    <x v="2"/>
    <x v="2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2"/>
    <x v="0"/>
    <x v="2"/>
    <x v="2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2"/>
    <x v="0"/>
    <x v="2"/>
    <x v="2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2"/>
    <x v="0"/>
    <x v="2"/>
    <x v="2"/>
    <x v="0"/>
    <x v="4"/>
    <x v="0"/>
    <x v="0"/>
    <x v="0"/>
    <x v="0"/>
    <x v="0"/>
    <x v="0"/>
    <x v="1"/>
    <x v="1"/>
    <x v="1"/>
    <x v="55"/>
    <x v="55"/>
    <n v="3.9642935779792698"/>
    <x v="0"/>
    <x v="0"/>
    <x v="1"/>
    <x v="3"/>
    <x v="3"/>
    <x v="15"/>
    <n v="4.3210799999974041"/>
  </r>
  <r>
    <x v="2"/>
    <x v="0"/>
    <x v="2"/>
    <x v="2"/>
    <x v="0"/>
    <x v="4"/>
    <x v="0"/>
    <x v="0"/>
    <x v="0"/>
    <x v="0"/>
    <x v="0"/>
    <x v="0"/>
    <x v="1"/>
    <x v="1"/>
    <x v="1"/>
    <x v="11"/>
    <x v="11"/>
    <n v="15.771839999999999"/>
    <x v="0"/>
    <x v="0"/>
    <x v="3"/>
    <x v="5"/>
    <x v="7"/>
    <x v="11"/>
    <n v="17.1913056"/>
  </r>
  <r>
    <x v="2"/>
    <x v="0"/>
    <x v="2"/>
    <x v="2"/>
    <x v="0"/>
    <x v="4"/>
    <x v="0"/>
    <x v="0"/>
    <x v="0"/>
    <x v="0"/>
    <x v="0"/>
    <x v="0"/>
    <x v="1"/>
    <x v="1"/>
    <x v="1"/>
    <x v="16"/>
    <x v="16"/>
    <n v="0.51"/>
    <x v="0"/>
    <x v="0"/>
    <x v="3"/>
    <x v="5"/>
    <x v="9"/>
    <x v="16"/>
    <n v="0.55590000000000006"/>
  </r>
  <r>
    <x v="2"/>
    <x v="0"/>
    <x v="2"/>
    <x v="2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2"/>
    <x v="0"/>
    <x v="2"/>
    <x v="2"/>
    <x v="0"/>
    <x v="4"/>
    <x v="0"/>
    <x v="0"/>
    <x v="0"/>
    <x v="0"/>
    <x v="0"/>
    <x v="0"/>
    <x v="1"/>
    <x v="1"/>
    <x v="1"/>
    <x v="36"/>
    <x v="36"/>
    <n v="5.4064800000000002"/>
    <x v="0"/>
    <x v="0"/>
    <x v="1"/>
    <x v="3"/>
    <x v="3"/>
    <x v="4"/>
    <n v="5.8930632000000003"/>
  </r>
  <r>
    <x v="2"/>
    <x v="0"/>
    <x v="2"/>
    <x v="2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2"/>
    <x v="0"/>
    <x v="2"/>
    <x v="2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2"/>
    <x v="0"/>
    <x v="2"/>
    <x v="2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2"/>
    <x v="0"/>
    <x v="2"/>
    <x v="2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2"/>
    <x v="0"/>
    <x v="2"/>
    <x v="2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2"/>
    <x v="0"/>
    <x v="2"/>
    <x v="2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2"/>
    <x v="0"/>
    <x v="2"/>
    <x v="2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2"/>
    <x v="0"/>
    <x v="2"/>
    <x v="2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2"/>
    <x v="0"/>
    <x v="2"/>
    <x v="2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2"/>
    <x v="0"/>
    <x v="2"/>
    <x v="2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2"/>
    <x v="0"/>
    <x v="2"/>
    <x v="2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2"/>
    <x v="0"/>
    <x v="2"/>
    <x v="2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2"/>
    <x v="0"/>
    <x v="2"/>
    <x v="2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2"/>
    <x v="0"/>
    <x v="2"/>
    <x v="2"/>
    <x v="0"/>
    <x v="4"/>
    <x v="0"/>
    <x v="0"/>
    <x v="0"/>
    <x v="0"/>
    <x v="0"/>
    <x v="0"/>
    <x v="4"/>
    <x v="5"/>
    <x v="5"/>
    <x v="55"/>
    <x v="55"/>
    <n v="10.304587155957099"/>
    <x v="0"/>
    <x v="0"/>
    <x v="1"/>
    <x v="3"/>
    <x v="3"/>
    <x v="15"/>
    <n v="11.231999999993239"/>
  </r>
  <r>
    <x v="2"/>
    <x v="0"/>
    <x v="2"/>
    <x v="2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2"/>
    <x v="0"/>
    <x v="2"/>
    <x v="2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2"/>
    <x v="0"/>
    <x v="2"/>
    <x v="2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2"/>
    <x v="0"/>
    <x v="2"/>
    <x v="2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2"/>
    <x v="0"/>
    <x v="2"/>
    <x v="2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2"/>
    <x v="0"/>
    <x v="2"/>
    <x v="2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2"/>
    <x v="0"/>
    <x v="2"/>
    <x v="2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2"/>
    <x v="0"/>
    <x v="2"/>
    <x v="2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2"/>
    <x v="0"/>
    <x v="2"/>
    <x v="2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2"/>
    <x v="0"/>
    <x v="2"/>
    <x v="2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2"/>
    <x v="0"/>
    <x v="2"/>
    <x v="2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2"/>
    <x v="0"/>
    <x v="2"/>
    <x v="2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2"/>
    <x v="0"/>
    <x v="2"/>
    <x v="2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2"/>
    <x v="0"/>
    <x v="2"/>
    <x v="2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2"/>
    <x v="0"/>
    <x v="2"/>
    <x v="2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2"/>
    <x v="0"/>
    <x v="2"/>
    <x v="2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2"/>
    <x v="0"/>
    <x v="2"/>
    <x v="2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2"/>
    <x v="0"/>
    <x v="2"/>
    <x v="2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2"/>
    <x v="0"/>
    <x v="2"/>
    <x v="2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2"/>
    <x v="0"/>
    <x v="2"/>
    <x v="2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2"/>
    <x v="0"/>
    <x v="2"/>
    <x v="2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2"/>
    <x v="0"/>
    <x v="2"/>
    <x v="2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2"/>
    <x v="0"/>
    <x v="2"/>
    <x v="2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2"/>
    <x v="0"/>
    <x v="2"/>
    <x v="2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2"/>
    <x v="0"/>
    <x v="2"/>
    <x v="2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2"/>
    <x v="0"/>
    <x v="2"/>
    <x v="2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2"/>
    <x v="0"/>
    <x v="2"/>
    <x v="2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2"/>
    <x v="0"/>
    <x v="2"/>
    <x v="2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2"/>
    <x v="0"/>
    <x v="2"/>
    <x v="2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2"/>
    <x v="0"/>
    <x v="2"/>
    <x v="2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2"/>
    <x v="0"/>
    <x v="2"/>
    <x v="2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2"/>
    <x v="0"/>
    <x v="2"/>
    <x v="2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2"/>
    <x v="0"/>
    <x v="2"/>
    <x v="2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2"/>
    <x v="0"/>
    <x v="2"/>
    <x v="2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2"/>
    <x v="0"/>
    <x v="2"/>
    <x v="2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2"/>
    <x v="0"/>
    <x v="2"/>
    <x v="2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2"/>
    <x v="0"/>
    <x v="2"/>
    <x v="2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2"/>
    <x v="0"/>
    <x v="2"/>
    <x v="2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2"/>
    <x v="0"/>
    <x v="2"/>
    <x v="2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2"/>
    <x v="0"/>
    <x v="2"/>
    <x v="2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2"/>
    <x v="0"/>
    <x v="2"/>
    <x v="2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2"/>
    <x v="0"/>
    <x v="2"/>
    <x v="2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2"/>
    <x v="0"/>
    <x v="2"/>
    <x v="2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2"/>
    <x v="0"/>
    <x v="2"/>
    <x v="2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2"/>
    <x v="0"/>
    <x v="2"/>
    <x v="2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2"/>
    <x v="0"/>
    <x v="2"/>
    <x v="2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2"/>
    <x v="0"/>
    <x v="2"/>
    <x v="2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2"/>
    <x v="0"/>
    <x v="2"/>
    <x v="2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2"/>
    <x v="0"/>
    <x v="2"/>
    <x v="2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2"/>
    <x v="0"/>
    <x v="2"/>
    <x v="2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2"/>
    <x v="0"/>
    <x v="2"/>
    <x v="2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2"/>
    <x v="0"/>
    <x v="2"/>
    <x v="2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2"/>
    <x v="0"/>
    <x v="2"/>
    <x v="2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2"/>
    <x v="0"/>
    <x v="2"/>
    <x v="2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2"/>
    <x v="0"/>
    <x v="2"/>
    <x v="2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2"/>
    <x v="0"/>
    <x v="2"/>
    <x v="2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2"/>
    <x v="0"/>
    <x v="2"/>
    <x v="2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2"/>
    <x v="0"/>
    <x v="2"/>
    <x v="2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2"/>
    <x v="0"/>
    <x v="2"/>
    <x v="2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2"/>
    <x v="0"/>
    <x v="2"/>
    <x v="2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2"/>
    <x v="0"/>
    <x v="2"/>
    <x v="2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2"/>
    <x v="0"/>
    <x v="2"/>
    <x v="2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2"/>
    <x v="0"/>
    <x v="2"/>
    <x v="2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2"/>
    <x v="0"/>
    <x v="2"/>
    <x v="2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2"/>
    <x v="0"/>
    <x v="2"/>
    <x v="2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2"/>
    <x v="0"/>
    <x v="2"/>
    <x v="2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2"/>
    <x v="0"/>
    <x v="2"/>
    <x v="2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2"/>
    <x v="0"/>
    <x v="2"/>
    <x v="2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2"/>
    <x v="0"/>
    <x v="2"/>
    <x v="2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2"/>
    <x v="0"/>
    <x v="2"/>
    <x v="2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2"/>
    <x v="0"/>
    <x v="2"/>
    <x v="2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2"/>
    <x v="0"/>
    <x v="2"/>
    <x v="2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2"/>
    <x v="0"/>
    <x v="2"/>
    <x v="2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2"/>
    <x v="0"/>
    <x v="2"/>
    <x v="2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2"/>
    <x v="0"/>
    <x v="2"/>
    <x v="2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2"/>
    <x v="0"/>
    <x v="2"/>
    <x v="2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2"/>
    <x v="0"/>
    <x v="2"/>
    <x v="2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2"/>
    <x v="0"/>
    <x v="2"/>
    <x v="2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2"/>
    <x v="0"/>
    <x v="2"/>
    <x v="2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2"/>
    <x v="0"/>
    <x v="2"/>
    <x v="2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2"/>
    <x v="0"/>
    <x v="2"/>
    <x v="2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2"/>
    <x v="0"/>
    <x v="2"/>
    <x v="2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2"/>
    <x v="0"/>
    <x v="2"/>
    <x v="2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2"/>
    <x v="0"/>
    <x v="2"/>
    <x v="2"/>
    <x v="1"/>
    <x v="6"/>
    <x v="0"/>
    <x v="0"/>
    <x v="0"/>
    <x v="0"/>
    <x v="0"/>
    <x v="0"/>
    <x v="0"/>
    <x v="0"/>
    <x v="0"/>
    <x v="2"/>
    <x v="2"/>
    <n v="797.76594495364998"/>
    <x v="0"/>
    <x v="1"/>
    <x v="2"/>
    <x v="2"/>
    <x v="13"/>
    <x v="2"/>
    <n v="869.56487999947853"/>
  </r>
  <r>
    <x v="2"/>
    <x v="0"/>
    <x v="2"/>
    <x v="2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2"/>
    <x v="0"/>
    <x v="2"/>
    <x v="2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2"/>
    <x v="0"/>
    <x v="2"/>
    <x v="2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2"/>
    <x v="0"/>
    <x v="2"/>
    <x v="2"/>
    <x v="1"/>
    <x v="6"/>
    <x v="0"/>
    <x v="0"/>
    <x v="0"/>
    <x v="0"/>
    <x v="0"/>
    <x v="0"/>
    <x v="2"/>
    <x v="2"/>
    <x v="2"/>
    <x v="4"/>
    <x v="4"/>
    <n v="0.30825688073376001"/>
    <x v="0"/>
    <x v="0"/>
    <x v="1"/>
    <x v="3"/>
    <x v="3"/>
    <x v="4"/>
    <n v="0.33599999999979846"/>
  </r>
  <r>
    <x v="2"/>
    <x v="0"/>
    <x v="2"/>
    <x v="2"/>
    <x v="1"/>
    <x v="6"/>
    <x v="0"/>
    <x v="0"/>
    <x v="0"/>
    <x v="0"/>
    <x v="0"/>
    <x v="0"/>
    <x v="2"/>
    <x v="2"/>
    <x v="2"/>
    <x v="5"/>
    <x v="5"/>
    <n v="23.920196319200201"/>
    <x v="0"/>
    <x v="0"/>
    <x v="1"/>
    <x v="1"/>
    <x v="1"/>
    <x v="5"/>
    <n v="26.073013987928221"/>
  </r>
  <r>
    <x v="2"/>
    <x v="0"/>
    <x v="2"/>
    <x v="2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5.5590000000000002"/>
  </r>
  <r>
    <x v="2"/>
    <x v="0"/>
    <x v="2"/>
    <x v="2"/>
    <x v="1"/>
    <x v="6"/>
    <x v="0"/>
    <x v="0"/>
    <x v="0"/>
    <x v="0"/>
    <x v="0"/>
    <x v="0"/>
    <x v="2"/>
    <x v="2"/>
    <x v="2"/>
    <x v="8"/>
    <x v="8"/>
    <n v="11.050398648719399"/>
    <x v="0"/>
    <x v="1"/>
    <x v="2"/>
    <x v="2"/>
    <x v="6"/>
    <x v="8"/>
    <n v="12.044934527104147"/>
  </r>
  <r>
    <x v="2"/>
    <x v="0"/>
    <x v="2"/>
    <x v="2"/>
    <x v="1"/>
    <x v="6"/>
    <x v="0"/>
    <x v="0"/>
    <x v="0"/>
    <x v="0"/>
    <x v="0"/>
    <x v="0"/>
    <x v="2"/>
    <x v="2"/>
    <x v="2"/>
    <x v="9"/>
    <x v="9"/>
    <n v="100.23851843412"/>
    <x v="0"/>
    <x v="0"/>
    <x v="1"/>
    <x v="4"/>
    <x v="5"/>
    <x v="9"/>
    <n v="109.25998509319081"/>
  </r>
  <r>
    <x v="2"/>
    <x v="0"/>
    <x v="2"/>
    <x v="2"/>
    <x v="1"/>
    <x v="6"/>
    <x v="0"/>
    <x v="0"/>
    <x v="0"/>
    <x v="0"/>
    <x v="0"/>
    <x v="0"/>
    <x v="2"/>
    <x v="2"/>
    <x v="2"/>
    <x v="10"/>
    <x v="10"/>
    <n v="30.336867695574401"/>
    <x v="0"/>
    <x v="0"/>
    <x v="1"/>
    <x v="4"/>
    <x v="5"/>
    <x v="10"/>
    <n v="33.067185788176097"/>
  </r>
  <r>
    <x v="2"/>
    <x v="0"/>
    <x v="2"/>
    <x v="2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2"/>
    <x v="0"/>
    <x v="2"/>
    <x v="2"/>
    <x v="1"/>
    <x v="6"/>
    <x v="0"/>
    <x v="0"/>
    <x v="0"/>
    <x v="0"/>
    <x v="0"/>
    <x v="0"/>
    <x v="2"/>
    <x v="2"/>
    <x v="2"/>
    <x v="80"/>
    <x v="80"/>
    <n v="31.5062110091554"/>
    <x v="0"/>
    <x v="0"/>
    <x v="1"/>
    <x v="4"/>
    <x v="5"/>
    <x v="10"/>
    <n v="34.341769999979391"/>
  </r>
  <r>
    <x v="2"/>
    <x v="0"/>
    <x v="2"/>
    <x v="2"/>
    <x v="1"/>
    <x v="6"/>
    <x v="0"/>
    <x v="0"/>
    <x v="0"/>
    <x v="0"/>
    <x v="0"/>
    <x v="0"/>
    <x v="2"/>
    <x v="2"/>
    <x v="2"/>
    <x v="31"/>
    <x v="31"/>
    <n v="12.754889908249201"/>
    <x v="0"/>
    <x v="0"/>
    <x v="1"/>
    <x v="4"/>
    <x v="5"/>
    <x v="10"/>
    <n v="13.90282999999163"/>
  </r>
  <r>
    <x v="2"/>
    <x v="0"/>
    <x v="2"/>
    <x v="2"/>
    <x v="1"/>
    <x v="6"/>
    <x v="0"/>
    <x v="0"/>
    <x v="0"/>
    <x v="0"/>
    <x v="0"/>
    <x v="0"/>
    <x v="2"/>
    <x v="2"/>
    <x v="2"/>
    <x v="11"/>
    <x v="11"/>
    <n v="0.63"/>
    <x v="0"/>
    <x v="0"/>
    <x v="3"/>
    <x v="5"/>
    <x v="7"/>
    <x v="11"/>
    <n v="0.68670000000000009"/>
  </r>
  <r>
    <x v="2"/>
    <x v="0"/>
    <x v="2"/>
    <x v="2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2"/>
    <x v="0"/>
    <x v="2"/>
    <x v="2"/>
    <x v="1"/>
    <x v="6"/>
    <x v="0"/>
    <x v="0"/>
    <x v="0"/>
    <x v="0"/>
    <x v="0"/>
    <x v="0"/>
    <x v="2"/>
    <x v="2"/>
    <x v="2"/>
    <x v="12"/>
    <x v="12"/>
    <n v="3.4845930232425699"/>
    <x v="0"/>
    <x v="0"/>
    <x v="0"/>
    <x v="0"/>
    <x v="8"/>
    <x v="12"/>
    <n v="3.7982063953344016"/>
  </r>
  <r>
    <x v="2"/>
    <x v="0"/>
    <x v="2"/>
    <x v="2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2"/>
    <x v="0"/>
    <x v="2"/>
    <x v="2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2"/>
    <x v="0"/>
    <x v="2"/>
    <x v="2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2"/>
    <x v="0"/>
    <x v="2"/>
    <x v="2"/>
    <x v="1"/>
    <x v="6"/>
    <x v="0"/>
    <x v="0"/>
    <x v="0"/>
    <x v="0"/>
    <x v="0"/>
    <x v="0"/>
    <x v="2"/>
    <x v="2"/>
    <x v="2"/>
    <x v="27"/>
    <x v="27"/>
    <n v="4.3686351352277502"/>
    <x v="0"/>
    <x v="0"/>
    <x v="1"/>
    <x v="3"/>
    <x v="3"/>
    <x v="19"/>
    <n v="4.7618122973982482"/>
  </r>
  <r>
    <x v="2"/>
    <x v="0"/>
    <x v="2"/>
    <x v="2"/>
    <x v="1"/>
    <x v="6"/>
    <x v="0"/>
    <x v="0"/>
    <x v="0"/>
    <x v="0"/>
    <x v="0"/>
    <x v="0"/>
    <x v="2"/>
    <x v="2"/>
    <x v="2"/>
    <x v="78"/>
    <x v="78"/>
    <n v="5.7691100917396598"/>
    <x v="0"/>
    <x v="0"/>
    <x v="1"/>
    <x v="4"/>
    <x v="5"/>
    <x v="9"/>
    <n v="6.2883299999962299"/>
  </r>
  <r>
    <x v="2"/>
    <x v="0"/>
    <x v="2"/>
    <x v="2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2"/>
    <x v="0"/>
    <x v="2"/>
    <x v="2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2"/>
    <x v="0"/>
    <x v="2"/>
    <x v="2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2"/>
    <x v="0"/>
    <x v="2"/>
    <x v="2"/>
    <x v="1"/>
    <x v="6"/>
    <x v="0"/>
    <x v="0"/>
    <x v="0"/>
    <x v="0"/>
    <x v="0"/>
    <x v="0"/>
    <x v="2"/>
    <x v="2"/>
    <x v="2"/>
    <x v="1"/>
    <x v="1"/>
    <n v="5.4712620689354301"/>
    <x v="0"/>
    <x v="0"/>
    <x v="1"/>
    <x v="1"/>
    <x v="1"/>
    <x v="1"/>
    <n v="5.9636756551396193"/>
  </r>
  <r>
    <x v="2"/>
    <x v="0"/>
    <x v="2"/>
    <x v="2"/>
    <x v="1"/>
    <x v="6"/>
    <x v="0"/>
    <x v="0"/>
    <x v="0"/>
    <x v="0"/>
    <x v="0"/>
    <x v="0"/>
    <x v="2"/>
    <x v="2"/>
    <x v="2"/>
    <x v="2"/>
    <x v="2"/>
    <n v="109.180293577916"/>
    <x v="0"/>
    <x v="1"/>
    <x v="2"/>
    <x v="2"/>
    <x v="13"/>
    <x v="2"/>
    <n v="119.00651999992846"/>
  </r>
  <r>
    <x v="2"/>
    <x v="0"/>
    <x v="2"/>
    <x v="2"/>
    <x v="1"/>
    <x v="6"/>
    <x v="0"/>
    <x v="0"/>
    <x v="0"/>
    <x v="0"/>
    <x v="0"/>
    <x v="0"/>
    <x v="1"/>
    <x v="6"/>
    <x v="6"/>
    <x v="9"/>
    <x v="9"/>
    <n v="33.320470222068501"/>
    <x v="0"/>
    <x v="0"/>
    <x v="1"/>
    <x v="4"/>
    <x v="5"/>
    <x v="9"/>
    <n v="36.319312542054668"/>
  </r>
  <r>
    <x v="2"/>
    <x v="0"/>
    <x v="2"/>
    <x v="2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2"/>
    <x v="0"/>
    <x v="2"/>
    <x v="2"/>
    <x v="1"/>
    <x v="6"/>
    <x v="0"/>
    <x v="0"/>
    <x v="0"/>
    <x v="0"/>
    <x v="0"/>
    <x v="0"/>
    <x v="1"/>
    <x v="6"/>
    <x v="6"/>
    <x v="31"/>
    <x v="31"/>
    <n v="0.12286238532103"/>
    <x v="0"/>
    <x v="0"/>
    <x v="1"/>
    <x v="4"/>
    <x v="5"/>
    <x v="10"/>
    <n v="0.13391999999992271"/>
  </r>
  <r>
    <x v="2"/>
    <x v="0"/>
    <x v="2"/>
    <x v="2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2"/>
    <x v="0"/>
    <x v="2"/>
    <x v="2"/>
    <x v="1"/>
    <x v="6"/>
    <x v="0"/>
    <x v="0"/>
    <x v="0"/>
    <x v="0"/>
    <x v="0"/>
    <x v="0"/>
    <x v="1"/>
    <x v="6"/>
    <x v="6"/>
    <x v="21"/>
    <x v="21"/>
    <n v="402.14284403645598"/>
    <x v="0"/>
    <x v="0"/>
    <x v="1"/>
    <x v="4"/>
    <x v="5"/>
    <x v="10"/>
    <n v="438.33569999973707"/>
  </r>
  <r>
    <x v="2"/>
    <x v="0"/>
    <x v="2"/>
    <x v="2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2"/>
    <x v="0"/>
    <x v="2"/>
    <x v="2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2"/>
    <x v="0"/>
    <x v="2"/>
    <x v="2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2"/>
    <x v="0"/>
    <x v="2"/>
    <x v="2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2"/>
    <x v="0"/>
    <x v="2"/>
    <x v="2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2"/>
    <x v="0"/>
    <x v="2"/>
    <x v="2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2"/>
    <x v="0"/>
    <x v="2"/>
    <x v="2"/>
    <x v="1"/>
    <x v="6"/>
    <x v="0"/>
    <x v="0"/>
    <x v="0"/>
    <x v="0"/>
    <x v="0"/>
    <x v="0"/>
    <x v="3"/>
    <x v="7"/>
    <x v="7"/>
    <x v="9"/>
    <x v="9"/>
    <n v="0.22204890174707001"/>
    <x v="0"/>
    <x v="0"/>
    <x v="1"/>
    <x v="4"/>
    <x v="5"/>
    <x v="9"/>
    <n v="0.24203330290430633"/>
  </r>
  <r>
    <x v="2"/>
    <x v="0"/>
    <x v="2"/>
    <x v="2"/>
    <x v="1"/>
    <x v="6"/>
    <x v="0"/>
    <x v="0"/>
    <x v="0"/>
    <x v="0"/>
    <x v="0"/>
    <x v="0"/>
    <x v="3"/>
    <x v="7"/>
    <x v="7"/>
    <x v="10"/>
    <x v="10"/>
    <n v="34.632090836076799"/>
    <x v="0"/>
    <x v="0"/>
    <x v="1"/>
    <x v="4"/>
    <x v="5"/>
    <x v="10"/>
    <n v="37.748979011323712"/>
  </r>
  <r>
    <x v="2"/>
    <x v="0"/>
    <x v="2"/>
    <x v="2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2"/>
    <x v="0"/>
    <x v="2"/>
    <x v="2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2"/>
    <x v="0"/>
    <x v="2"/>
    <x v="2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2"/>
    <x v="0"/>
    <x v="2"/>
    <x v="2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2"/>
    <x v="0"/>
    <x v="2"/>
    <x v="2"/>
    <x v="1"/>
    <x v="6"/>
    <x v="0"/>
    <x v="0"/>
    <x v="0"/>
    <x v="0"/>
    <x v="0"/>
    <x v="0"/>
    <x v="1"/>
    <x v="8"/>
    <x v="8"/>
    <x v="9"/>
    <x v="9"/>
    <n v="36.066183559880798"/>
    <x v="0"/>
    <x v="0"/>
    <x v="1"/>
    <x v="4"/>
    <x v="5"/>
    <x v="9"/>
    <n v="39.312140080270076"/>
  </r>
  <r>
    <x v="2"/>
    <x v="0"/>
    <x v="2"/>
    <x v="2"/>
    <x v="1"/>
    <x v="6"/>
    <x v="0"/>
    <x v="0"/>
    <x v="0"/>
    <x v="0"/>
    <x v="0"/>
    <x v="0"/>
    <x v="1"/>
    <x v="8"/>
    <x v="8"/>
    <x v="10"/>
    <x v="10"/>
    <n v="20.696395804297001"/>
    <x v="0"/>
    <x v="0"/>
    <x v="1"/>
    <x v="4"/>
    <x v="5"/>
    <x v="10"/>
    <n v="22.559071426683733"/>
  </r>
  <r>
    <x v="2"/>
    <x v="0"/>
    <x v="2"/>
    <x v="2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2"/>
    <x v="0"/>
    <x v="2"/>
    <x v="2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2"/>
    <x v="0"/>
    <x v="2"/>
    <x v="2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2"/>
    <x v="0"/>
    <x v="2"/>
    <x v="2"/>
    <x v="1"/>
    <x v="6"/>
    <x v="0"/>
    <x v="0"/>
    <x v="0"/>
    <x v="0"/>
    <x v="0"/>
    <x v="0"/>
    <x v="0"/>
    <x v="9"/>
    <x v="9"/>
    <x v="9"/>
    <x v="9"/>
    <n v="86.782554714918803"/>
    <x v="0"/>
    <x v="0"/>
    <x v="1"/>
    <x v="4"/>
    <x v="5"/>
    <x v="9"/>
    <n v="94.592984639261502"/>
  </r>
  <r>
    <x v="2"/>
    <x v="0"/>
    <x v="2"/>
    <x v="2"/>
    <x v="1"/>
    <x v="6"/>
    <x v="0"/>
    <x v="0"/>
    <x v="0"/>
    <x v="0"/>
    <x v="0"/>
    <x v="0"/>
    <x v="0"/>
    <x v="9"/>
    <x v="9"/>
    <x v="10"/>
    <x v="10"/>
    <n v="305.72883166893502"/>
    <x v="0"/>
    <x v="0"/>
    <x v="1"/>
    <x v="4"/>
    <x v="5"/>
    <x v="10"/>
    <n v="333.24442651913921"/>
  </r>
  <r>
    <x v="2"/>
    <x v="0"/>
    <x v="2"/>
    <x v="2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2"/>
    <x v="0"/>
    <x v="2"/>
    <x v="2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2"/>
    <x v="0"/>
    <x v="2"/>
    <x v="2"/>
    <x v="1"/>
    <x v="6"/>
    <x v="0"/>
    <x v="0"/>
    <x v="0"/>
    <x v="0"/>
    <x v="0"/>
    <x v="0"/>
    <x v="0"/>
    <x v="9"/>
    <x v="9"/>
    <x v="21"/>
    <x v="21"/>
    <n v="56.7799724770301"/>
    <x v="0"/>
    <x v="0"/>
    <x v="1"/>
    <x v="4"/>
    <x v="5"/>
    <x v="10"/>
    <n v="61.890169999962815"/>
  </r>
  <r>
    <x v="2"/>
    <x v="0"/>
    <x v="2"/>
    <x v="2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2"/>
    <x v="0"/>
    <x v="2"/>
    <x v="2"/>
    <x v="1"/>
    <x v="6"/>
    <x v="0"/>
    <x v="0"/>
    <x v="0"/>
    <x v="0"/>
    <x v="0"/>
    <x v="0"/>
    <x v="2"/>
    <x v="10"/>
    <x v="10"/>
    <x v="9"/>
    <x v="9"/>
    <n v="29.219265410039"/>
    <x v="0"/>
    <x v="0"/>
    <x v="1"/>
    <x v="4"/>
    <x v="5"/>
    <x v="9"/>
    <n v="31.848999296942512"/>
  </r>
  <r>
    <x v="2"/>
    <x v="0"/>
    <x v="2"/>
    <x v="2"/>
    <x v="1"/>
    <x v="6"/>
    <x v="0"/>
    <x v="0"/>
    <x v="0"/>
    <x v="0"/>
    <x v="0"/>
    <x v="0"/>
    <x v="2"/>
    <x v="10"/>
    <x v="10"/>
    <x v="10"/>
    <x v="10"/>
    <n v="34.512640878920301"/>
    <x v="0"/>
    <x v="0"/>
    <x v="1"/>
    <x v="4"/>
    <x v="5"/>
    <x v="10"/>
    <n v="37.618778558023131"/>
  </r>
  <r>
    <x v="2"/>
    <x v="0"/>
    <x v="2"/>
    <x v="2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2"/>
    <x v="0"/>
    <x v="2"/>
    <x v="2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2"/>
    <x v="0"/>
    <x v="2"/>
    <x v="2"/>
    <x v="1"/>
    <x v="6"/>
    <x v="0"/>
    <x v="0"/>
    <x v="0"/>
    <x v="0"/>
    <x v="0"/>
    <x v="0"/>
    <x v="2"/>
    <x v="10"/>
    <x v="10"/>
    <x v="21"/>
    <x v="21"/>
    <n v="20.047495412831999"/>
    <x v="0"/>
    <x v="0"/>
    <x v="1"/>
    <x v="4"/>
    <x v="5"/>
    <x v="10"/>
    <n v="21.851769999986882"/>
  </r>
  <r>
    <x v="2"/>
    <x v="0"/>
    <x v="2"/>
    <x v="2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2"/>
    <x v="0"/>
    <x v="2"/>
    <x v="2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2"/>
    <x v="0"/>
    <x v="2"/>
    <x v="2"/>
    <x v="1"/>
    <x v="6"/>
    <x v="0"/>
    <x v="0"/>
    <x v="0"/>
    <x v="0"/>
    <x v="0"/>
    <x v="0"/>
    <x v="4"/>
    <x v="5"/>
    <x v="5"/>
    <x v="9"/>
    <x v="9"/>
    <n v="149.52368632470899"/>
    <x v="0"/>
    <x v="0"/>
    <x v="1"/>
    <x v="4"/>
    <x v="5"/>
    <x v="9"/>
    <n v="162.98081809393281"/>
  </r>
  <r>
    <x v="2"/>
    <x v="0"/>
    <x v="2"/>
    <x v="2"/>
    <x v="1"/>
    <x v="6"/>
    <x v="0"/>
    <x v="0"/>
    <x v="0"/>
    <x v="0"/>
    <x v="0"/>
    <x v="0"/>
    <x v="4"/>
    <x v="5"/>
    <x v="5"/>
    <x v="10"/>
    <x v="10"/>
    <n v="227.441684005832"/>
    <x v="0"/>
    <x v="0"/>
    <x v="1"/>
    <x v="4"/>
    <x v="5"/>
    <x v="10"/>
    <n v="247.91143556635691"/>
  </r>
  <r>
    <x v="2"/>
    <x v="0"/>
    <x v="2"/>
    <x v="2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2"/>
    <x v="0"/>
    <x v="2"/>
    <x v="2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2"/>
    <x v="0"/>
    <x v="2"/>
    <x v="2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2"/>
    <x v="0"/>
    <x v="2"/>
    <x v="2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2"/>
    <x v="0"/>
    <x v="2"/>
    <x v="2"/>
    <x v="1"/>
    <x v="6"/>
    <x v="0"/>
    <x v="0"/>
    <x v="0"/>
    <x v="0"/>
    <x v="0"/>
    <x v="0"/>
    <x v="4"/>
    <x v="5"/>
    <x v="5"/>
    <x v="21"/>
    <x v="21"/>
    <n v="55.760568807306001"/>
    <x v="0"/>
    <x v="0"/>
    <x v="1"/>
    <x v="4"/>
    <x v="5"/>
    <x v="10"/>
    <n v="60.779019999963545"/>
  </r>
  <r>
    <x v="2"/>
    <x v="0"/>
    <x v="2"/>
    <x v="2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2"/>
    <x v="0"/>
    <x v="2"/>
    <x v="2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2"/>
    <x v="0"/>
    <x v="2"/>
    <x v="2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2"/>
    <x v="0"/>
    <x v="2"/>
    <x v="2"/>
    <x v="1"/>
    <x v="7"/>
    <x v="0"/>
    <x v="0"/>
    <x v="0"/>
    <x v="0"/>
    <x v="0"/>
    <x v="0"/>
    <x v="2"/>
    <x v="2"/>
    <x v="2"/>
    <x v="18"/>
    <x v="18"/>
    <n v="38.469000000000001"/>
    <x v="0"/>
    <x v="0"/>
    <x v="0"/>
    <x v="0"/>
    <x v="4"/>
    <x v="18"/>
    <n v="41.931210000000007"/>
  </r>
  <r>
    <x v="2"/>
    <x v="0"/>
    <x v="2"/>
    <x v="2"/>
    <x v="1"/>
    <x v="7"/>
    <x v="0"/>
    <x v="0"/>
    <x v="0"/>
    <x v="0"/>
    <x v="0"/>
    <x v="0"/>
    <x v="2"/>
    <x v="2"/>
    <x v="2"/>
    <x v="27"/>
    <x v="27"/>
    <n v="2.4774774775299999"/>
    <x v="0"/>
    <x v="0"/>
    <x v="1"/>
    <x v="3"/>
    <x v="3"/>
    <x v="19"/>
    <n v="2.7004504505077001"/>
  </r>
  <r>
    <x v="2"/>
    <x v="0"/>
    <x v="2"/>
    <x v="2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2"/>
    <x v="0"/>
    <x v="2"/>
    <x v="2"/>
    <x v="1"/>
    <x v="7"/>
    <x v="0"/>
    <x v="0"/>
    <x v="0"/>
    <x v="0"/>
    <x v="0"/>
    <x v="0"/>
    <x v="2"/>
    <x v="2"/>
    <x v="2"/>
    <x v="1"/>
    <x v="1"/>
    <n v="74.009187941297199"/>
    <x v="0"/>
    <x v="0"/>
    <x v="1"/>
    <x v="1"/>
    <x v="1"/>
    <x v="1"/>
    <n v="80.67001485601395"/>
  </r>
  <r>
    <x v="2"/>
    <x v="0"/>
    <x v="2"/>
    <x v="2"/>
    <x v="1"/>
    <x v="7"/>
    <x v="0"/>
    <x v="0"/>
    <x v="0"/>
    <x v="0"/>
    <x v="0"/>
    <x v="0"/>
    <x v="1"/>
    <x v="6"/>
    <x v="6"/>
    <x v="11"/>
    <x v="11"/>
    <n v="51.19014"/>
    <x v="0"/>
    <x v="0"/>
    <x v="3"/>
    <x v="5"/>
    <x v="7"/>
    <x v="11"/>
    <n v="55.7972526"/>
  </r>
  <r>
    <x v="2"/>
    <x v="0"/>
    <x v="2"/>
    <x v="2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2"/>
    <x v="0"/>
    <x v="2"/>
    <x v="2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2"/>
    <x v="0"/>
    <x v="2"/>
    <x v="2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2"/>
    <x v="0"/>
    <x v="2"/>
    <x v="2"/>
    <x v="1"/>
    <x v="7"/>
    <x v="0"/>
    <x v="0"/>
    <x v="0"/>
    <x v="0"/>
    <x v="0"/>
    <x v="0"/>
    <x v="0"/>
    <x v="9"/>
    <x v="9"/>
    <x v="27"/>
    <x v="27"/>
    <n v="47.707207208218598"/>
    <x v="0"/>
    <x v="0"/>
    <x v="1"/>
    <x v="3"/>
    <x v="3"/>
    <x v="19"/>
    <n v="52.000855856958275"/>
  </r>
  <r>
    <x v="2"/>
    <x v="0"/>
    <x v="2"/>
    <x v="2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2"/>
    <x v="0"/>
    <x v="2"/>
    <x v="2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2"/>
    <x v="0"/>
    <x v="2"/>
    <x v="2"/>
    <x v="1"/>
    <x v="7"/>
    <x v="0"/>
    <x v="0"/>
    <x v="0"/>
    <x v="0"/>
    <x v="3"/>
    <x v="3"/>
    <x v="2"/>
    <x v="2"/>
    <x v="2"/>
    <x v="5"/>
    <x v="5"/>
    <n v="3.53371165646857"/>
    <x v="0"/>
    <x v="0"/>
    <x v="1"/>
    <x v="1"/>
    <x v="1"/>
    <x v="5"/>
    <n v="3.8517457055507416"/>
  </r>
  <r>
    <x v="2"/>
    <x v="0"/>
    <x v="2"/>
    <x v="2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2"/>
    <x v="0"/>
    <x v="2"/>
    <x v="2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2"/>
    <x v="0"/>
    <x v="2"/>
    <x v="2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2"/>
    <x v="0"/>
    <x v="2"/>
    <x v="2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2"/>
    <x v="0"/>
    <x v="2"/>
    <x v="2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2"/>
    <x v="0"/>
    <x v="2"/>
    <x v="2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2"/>
    <x v="0"/>
    <x v="2"/>
    <x v="2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2"/>
    <x v="0"/>
    <x v="2"/>
    <x v="2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2"/>
    <x v="0"/>
    <x v="2"/>
    <x v="2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2"/>
    <x v="0"/>
    <x v="2"/>
    <x v="2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2"/>
    <x v="0"/>
    <x v="2"/>
    <x v="2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2"/>
    <x v="0"/>
    <x v="2"/>
    <x v="2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2"/>
    <x v="0"/>
    <x v="2"/>
    <x v="2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2"/>
    <x v="0"/>
    <x v="2"/>
    <x v="2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2"/>
    <x v="0"/>
    <x v="2"/>
    <x v="2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2"/>
    <x v="0"/>
    <x v="2"/>
    <x v="2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2"/>
    <x v="0"/>
    <x v="2"/>
    <x v="2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2"/>
    <x v="0"/>
    <x v="2"/>
    <x v="2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2"/>
    <x v="0"/>
    <x v="2"/>
    <x v="2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2"/>
    <x v="0"/>
    <x v="2"/>
    <x v="2"/>
    <x v="1"/>
    <x v="6"/>
    <x v="0"/>
    <x v="0"/>
    <x v="0"/>
    <x v="0"/>
    <x v="3"/>
    <x v="3"/>
    <x v="2"/>
    <x v="2"/>
    <x v="2"/>
    <x v="5"/>
    <x v="5"/>
    <n v="66.992000000509094"/>
    <x v="0"/>
    <x v="0"/>
    <x v="1"/>
    <x v="1"/>
    <x v="1"/>
    <x v="5"/>
    <n v="73.021280000554924"/>
  </r>
  <r>
    <x v="2"/>
    <x v="0"/>
    <x v="2"/>
    <x v="2"/>
    <x v="1"/>
    <x v="6"/>
    <x v="0"/>
    <x v="0"/>
    <x v="0"/>
    <x v="0"/>
    <x v="3"/>
    <x v="3"/>
    <x v="2"/>
    <x v="2"/>
    <x v="2"/>
    <x v="8"/>
    <x v="8"/>
    <n v="0.74324324324799995"/>
    <x v="0"/>
    <x v="1"/>
    <x v="2"/>
    <x v="2"/>
    <x v="6"/>
    <x v="8"/>
    <n v="0.81013513514031998"/>
  </r>
  <r>
    <x v="2"/>
    <x v="0"/>
    <x v="2"/>
    <x v="2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2"/>
    <x v="0"/>
    <x v="2"/>
    <x v="2"/>
    <x v="1"/>
    <x v="6"/>
    <x v="0"/>
    <x v="0"/>
    <x v="0"/>
    <x v="0"/>
    <x v="3"/>
    <x v="3"/>
    <x v="2"/>
    <x v="2"/>
    <x v="2"/>
    <x v="9"/>
    <x v="9"/>
    <n v="15.5977981651283"/>
    <x v="0"/>
    <x v="0"/>
    <x v="1"/>
    <x v="4"/>
    <x v="5"/>
    <x v="9"/>
    <n v="17.001599999989846"/>
  </r>
  <r>
    <x v="2"/>
    <x v="0"/>
    <x v="2"/>
    <x v="2"/>
    <x v="1"/>
    <x v="6"/>
    <x v="0"/>
    <x v="0"/>
    <x v="0"/>
    <x v="0"/>
    <x v="3"/>
    <x v="3"/>
    <x v="2"/>
    <x v="2"/>
    <x v="2"/>
    <x v="10"/>
    <x v="10"/>
    <n v="26.954423785722199"/>
    <x v="0"/>
    <x v="0"/>
    <x v="1"/>
    <x v="4"/>
    <x v="5"/>
    <x v="10"/>
    <n v="29.380321926437198"/>
  </r>
  <r>
    <x v="2"/>
    <x v="0"/>
    <x v="2"/>
    <x v="2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2"/>
    <x v="0"/>
    <x v="2"/>
    <x v="2"/>
    <x v="1"/>
    <x v="6"/>
    <x v="0"/>
    <x v="0"/>
    <x v="0"/>
    <x v="0"/>
    <x v="3"/>
    <x v="3"/>
    <x v="2"/>
    <x v="2"/>
    <x v="2"/>
    <x v="31"/>
    <x v="31"/>
    <n v="7.3743119266010002E-2"/>
    <x v="0"/>
    <x v="0"/>
    <x v="1"/>
    <x v="4"/>
    <x v="5"/>
    <x v="10"/>
    <n v="8.0379999999950907E-2"/>
  </r>
  <r>
    <x v="2"/>
    <x v="0"/>
    <x v="2"/>
    <x v="2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2"/>
    <x v="0"/>
    <x v="2"/>
    <x v="2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2"/>
    <x v="0"/>
    <x v="2"/>
    <x v="2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2"/>
    <x v="0"/>
    <x v="2"/>
    <x v="2"/>
    <x v="1"/>
    <x v="6"/>
    <x v="0"/>
    <x v="0"/>
    <x v="0"/>
    <x v="0"/>
    <x v="3"/>
    <x v="3"/>
    <x v="2"/>
    <x v="2"/>
    <x v="2"/>
    <x v="16"/>
    <x v="16"/>
    <n v="10.48536"/>
    <x v="0"/>
    <x v="0"/>
    <x v="3"/>
    <x v="5"/>
    <x v="9"/>
    <x v="16"/>
    <n v="11.4290424"/>
  </r>
  <r>
    <x v="2"/>
    <x v="0"/>
    <x v="2"/>
    <x v="2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2"/>
    <x v="0"/>
    <x v="2"/>
    <x v="2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2"/>
    <x v="0"/>
    <x v="2"/>
    <x v="2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2"/>
    <x v="0"/>
    <x v="2"/>
    <x v="2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2"/>
    <x v="0"/>
    <x v="2"/>
    <x v="2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2"/>
    <x v="0"/>
    <x v="2"/>
    <x v="2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13"/>
    <x v="2"/>
    <n v="13.372259999991964"/>
  </r>
  <r>
    <x v="2"/>
    <x v="0"/>
    <x v="2"/>
    <x v="2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2"/>
    <x v="0"/>
    <x v="2"/>
    <x v="2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2"/>
    <x v="0"/>
    <x v="2"/>
    <x v="2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2"/>
    <x v="0"/>
    <x v="2"/>
    <x v="2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2"/>
    <x v="0"/>
    <x v="2"/>
    <x v="2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2"/>
    <x v="0"/>
    <x v="2"/>
    <x v="2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2"/>
    <x v="0"/>
    <x v="2"/>
    <x v="2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2"/>
    <x v="0"/>
    <x v="2"/>
    <x v="2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2"/>
    <x v="0"/>
    <x v="2"/>
    <x v="2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2"/>
    <x v="0"/>
    <x v="2"/>
    <x v="2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2"/>
    <x v="0"/>
    <x v="2"/>
    <x v="2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2"/>
    <x v="0"/>
    <x v="2"/>
    <x v="2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2"/>
    <x v="0"/>
    <x v="2"/>
    <x v="2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2"/>
    <x v="0"/>
    <x v="2"/>
    <x v="2"/>
    <x v="1"/>
    <x v="6"/>
    <x v="0"/>
    <x v="0"/>
    <x v="0"/>
    <x v="0"/>
    <x v="4"/>
    <x v="4"/>
    <x v="2"/>
    <x v="2"/>
    <x v="2"/>
    <x v="9"/>
    <x v="9"/>
    <n v="1.3835071122398399"/>
    <x v="0"/>
    <x v="0"/>
    <x v="1"/>
    <x v="4"/>
    <x v="5"/>
    <x v="9"/>
    <n v="1.5080227523414256"/>
  </r>
  <r>
    <x v="2"/>
    <x v="0"/>
    <x v="2"/>
    <x v="2"/>
    <x v="1"/>
    <x v="6"/>
    <x v="0"/>
    <x v="0"/>
    <x v="0"/>
    <x v="0"/>
    <x v="4"/>
    <x v="4"/>
    <x v="2"/>
    <x v="2"/>
    <x v="2"/>
    <x v="10"/>
    <x v="10"/>
    <n v="4.3786323360511998"/>
    <x v="0"/>
    <x v="0"/>
    <x v="1"/>
    <x v="4"/>
    <x v="5"/>
    <x v="10"/>
    <n v="4.7727092462958085"/>
  </r>
  <r>
    <x v="2"/>
    <x v="0"/>
    <x v="2"/>
    <x v="2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2"/>
    <x v="0"/>
    <x v="2"/>
    <x v="2"/>
    <x v="1"/>
    <x v="6"/>
    <x v="0"/>
    <x v="0"/>
    <x v="0"/>
    <x v="0"/>
    <x v="4"/>
    <x v="4"/>
    <x v="2"/>
    <x v="2"/>
    <x v="2"/>
    <x v="31"/>
    <x v="31"/>
    <n v="0.33555963302732"/>
    <x v="0"/>
    <x v="0"/>
    <x v="1"/>
    <x v="4"/>
    <x v="5"/>
    <x v="10"/>
    <n v="0.36575999999977882"/>
  </r>
  <r>
    <x v="2"/>
    <x v="0"/>
    <x v="2"/>
    <x v="2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2"/>
    <x v="0"/>
    <x v="2"/>
    <x v="2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2"/>
    <x v="0"/>
    <x v="2"/>
    <x v="2"/>
    <x v="1"/>
    <x v="6"/>
    <x v="0"/>
    <x v="0"/>
    <x v="0"/>
    <x v="0"/>
    <x v="4"/>
    <x v="4"/>
    <x v="2"/>
    <x v="2"/>
    <x v="2"/>
    <x v="25"/>
    <x v="25"/>
    <n v="3.3577981651356001"/>
    <x v="0"/>
    <x v="0"/>
    <x v="1"/>
    <x v="4"/>
    <x v="5"/>
    <x v="9"/>
    <n v="3.6599999999978046"/>
  </r>
  <r>
    <x v="2"/>
    <x v="0"/>
    <x v="2"/>
    <x v="2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2"/>
    <x v="0"/>
    <x v="2"/>
    <x v="2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2"/>
    <x v="0"/>
    <x v="2"/>
    <x v="2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2"/>
    <x v="0"/>
    <x v="2"/>
    <x v="2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2"/>
    <x v="0"/>
    <x v="2"/>
    <x v="2"/>
    <x v="1"/>
    <x v="6"/>
    <x v="0"/>
    <x v="0"/>
    <x v="0"/>
    <x v="0"/>
    <x v="4"/>
    <x v="4"/>
    <x v="4"/>
    <x v="5"/>
    <x v="5"/>
    <x v="26"/>
    <x v="26"/>
    <n v="0.29911926605486999"/>
    <x v="0"/>
    <x v="0"/>
    <x v="1"/>
    <x v="3"/>
    <x v="3"/>
    <x v="15"/>
    <n v="0.32603999999980832"/>
  </r>
  <r>
    <x v="2"/>
    <x v="0"/>
    <x v="2"/>
    <x v="2"/>
    <x v="1"/>
    <x v="6"/>
    <x v="0"/>
    <x v="0"/>
    <x v="0"/>
    <x v="0"/>
    <x v="4"/>
    <x v="4"/>
    <x v="4"/>
    <x v="5"/>
    <x v="5"/>
    <x v="20"/>
    <x v="20"/>
    <n v="30.450019999999999"/>
    <x v="0"/>
    <x v="0"/>
    <x v="1"/>
    <x v="3"/>
    <x v="3"/>
    <x v="13"/>
    <n v="33.190521799999999"/>
  </r>
  <r>
    <x v="2"/>
    <x v="0"/>
    <x v="2"/>
    <x v="2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2"/>
    <x v="0"/>
    <x v="2"/>
    <x v="2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2"/>
    <x v="0"/>
    <x v="2"/>
    <x v="2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2"/>
    <x v="0"/>
    <x v="2"/>
    <x v="2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2"/>
    <x v="0"/>
    <x v="2"/>
    <x v="2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2"/>
    <x v="0"/>
    <x v="2"/>
    <x v="2"/>
    <x v="1"/>
    <x v="6"/>
    <x v="0"/>
    <x v="0"/>
    <x v="2"/>
    <x v="2"/>
    <x v="5"/>
    <x v="5"/>
    <x v="2"/>
    <x v="2"/>
    <x v="2"/>
    <x v="40"/>
    <x v="40"/>
    <n v="10097.440130000001"/>
    <x v="1"/>
    <x v="2"/>
    <x v="5"/>
    <x v="7"/>
    <x v="11"/>
    <x v="22"/>
    <n v="11006.209741700002"/>
  </r>
  <r>
    <x v="2"/>
    <x v="0"/>
    <x v="2"/>
    <x v="2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2"/>
    <x v="0"/>
    <x v="2"/>
    <x v="2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2"/>
    <x v="0"/>
    <x v="2"/>
    <x v="2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2"/>
    <x v="0"/>
    <x v="2"/>
    <x v="2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2"/>
    <x v="0"/>
    <x v="2"/>
    <x v="2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2"/>
    <x v="0"/>
    <x v="2"/>
    <x v="2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2"/>
    <x v="0"/>
    <x v="2"/>
    <x v="2"/>
    <x v="1"/>
    <x v="6"/>
    <x v="0"/>
    <x v="0"/>
    <x v="2"/>
    <x v="2"/>
    <x v="5"/>
    <x v="5"/>
    <x v="1"/>
    <x v="6"/>
    <x v="6"/>
    <x v="40"/>
    <x v="40"/>
    <n v="3161.5127200000002"/>
    <x v="1"/>
    <x v="2"/>
    <x v="5"/>
    <x v="7"/>
    <x v="11"/>
    <x v="22"/>
    <n v="3446.0488648000005"/>
  </r>
  <r>
    <x v="2"/>
    <x v="0"/>
    <x v="2"/>
    <x v="2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2"/>
    <x v="0"/>
    <x v="2"/>
    <x v="2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2"/>
    <x v="0"/>
    <x v="2"/>
    <x v="2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2"/>
    <x v="0"/>
    <x v="2"/>
    <x v="2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2"/>
    <x v="0"/>
    <x v="2"/>
    <x v="2"/>
    <x v="1"/>
    <x v="6"/>
    <x v="0"/>
    <x v="0"/>
    <x v="2"/>
    <x v="2"/>
    <x v="5"/>
    <x v="5"/>
    <x v="1"/>
    <x v="8"/>
    <x v="8"/>
    <x v="40"/>
    <x v="40"/>
    <n v="135.96114"/>
    <x v="1"/>
    <x v="2"/>
    <x v="5"/>
    <x v="7"/>
    <x v="11"/>
    <x v="22"/>
    <n v="148.19764260000002"/>
  </r>
  <r>
    <x v="2"/>
    <x v="0"/>
    <x v="2"/>
    <x v="2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2"/>
    <x v="0"/>
    <x v="2"/>
    <x v="2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2"/>
    <x v="0"/>
    <x v="2"/>
    <x v="2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2"/>
    <x v="0"/>
    <x v="2"/>
    <x v="2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2"/>
    <x v="0"/>
    <x v="2"/>
    <x v="2"/>
    <x v="1"/>
    <x v="6"/>
    <x v="0"/>
    <x v="0"/>
    <x v="2"/>
    <x v="2"/>
    <x v="5"/>
    <x v="5"/>
    <x v="4"/>
    <x v="5"/>
    <x v="5"/>
    <x v="40"/>
    <x v="40"/>
    <n v="622.60940000000005"/>
    <x v="1"/>
    <x v="2"/>
    <x v="5"/>
    <x v="7"/>
    <x v="11"/>
    <x v="22"/>
    <n v="678.64424600000007"/>
  </r>
  <r>
    <x v="2"/>
    <x v="0"/>
    <x v="2"/>
    <x v="2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2"/>
    <x v="0"/>
    <x v="2"/>
    <x v="2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2"/>
    <x v="0"/>
    <x v="2"/>
    <x v="2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2"/>
    <x v="0"/>
    <x v="2"/>
    <x v="2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2"/>
    <x v="0"/>
    <x v="2"/>
    <x v="2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2"/>
    <x v="0"/>
    <x v="2"/>
    <x v="2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2"/>
    <x v="0"/>
    <x v="2"/>
    <x v="2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2"/>
    <x v="0"/>
    <x v="2"/>
    <x v="2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2"/>
    <x v="0"/>
    <x v="2"/>
    <x v="2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2"/>
    <x v="0"/>
    <x v="2"/>
    <x v="2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2"/>
    <x v="0"/>
    <x v="2"/>
    <x v="2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2"/>
    <x v="0"/>
    <x v="2"/>
    <x v="2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2"/>
    <x v="0"/>
    <x v="2"/>
    <x v="2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2"/>
    <x v="0"/>
    <x v="2"/>
    <x v="2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2"/>
    <x v="0"/>
    <x v="2"/>
    <x v="2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2"/>
    <x v="0"/>
    <x v="2"/>
    <x v="2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2"/>
    <x v="0"/>
    <x v="2"/>
    <x v="2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2"/>
    <x v="0"/>
    <x v="2"/>
    <x v="2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2"/>
    <x v="0"/>
    <x v="2"/>
    <x v="2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2"/>
    <x v="0"/>
    <x v="2"/>
    <x v="2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2"/>
    <x v="0"/>
    <x v="2"/>
    <x v="2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2"/>
    <x v="0"/>
    <x v="2"/>
    <x v="2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2"/>
    <x v="0"/>
    <x v="2"/>
    <x v="2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2"/>
    <x v="0"/>
    <x v="2"/>
    <x v="2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2"/>
    <x v="0"/>
    <x v="2"/>
    <x v="2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2"/>
    <x v="0"/>
    <x v="2"/>
    <x v="2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2"/>
    <x v="0"/>
    <x v="2"/>
    <x v="2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2"/>
    <x v="0"/>
    <x v="2"/>
    <x v="2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2"/>
    <x v="0"/>
    <x v="2"/>
    <x v="2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2"/>
    <x v="0"/>
    <x v="2"/>
    <x v="2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2"/>
    <x v="0"/>
    <x v="2"/>
    <x v="2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2"/>
    <x v="0"/>
    <x v="2"/>
    <x v="2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2"/>
    <x v="0"/>
    <x v="2"/>
    <x v="2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2"/>
    <x v="0"/>
    <x v="2"/>
    <x v="2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2"/>
    <x v="0"/>
    <x v="2"/>
    <x v="2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2"/>
    <x v="0"/>
    <x v="2"/>
    <x v="2"/>
    <x v="1"/>
    <x v="6"/>
    <x v="0"/>
    <x v="0"/>
    <x v="2"/>
    <x v="2"/>
    <x v="7"/>
    <x v="7"/>
    <x v="2"/>
    <x v="2"/>
    <x v="2"/>
    <x v="38"/>
    <x v="38"/>
    <n v="3899.0551500000001"/>
    <x v="1"/>
    <x v="0"/>
    <x v="4"/>
    <x v="6"/>
    <x v="10"/>
    <x v="21"/>
    <n v="4249.9701135000005"/>
  </r>
  <r>
    <x v="2"/>
    <x v="0"/>
    <x v="2"/>
    <x v="2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2"/>
    <x v="0"/>
    <x v="2"/>
    <x v="2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2"/>
    <x v="0"/>
    <x v="2"/>
    <x v="2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2"/>
    <x v="0"/>
    <x v="2"/>
    <x v="2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2"/>
    <x v="0"/>
    <x v="2"/>
    <x v="2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2"/>
    <x v="0"/>
    <x v="2"/>
    <x v="2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2"/>
    <x v="0"/>
    <x v="2"/>
    <x v="2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2"/>
    <x v="0"/>
    <x v="2"/>
    <x v="2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2"/>
    <x v="0"/>
    <x v="2"/>
    <x v="2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2"/>
    <x v="0"/>
    <x v="2"/>
    <x v="2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2"/>
    <x v="0"/>
    <x v="2"/>
    <x v="2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2"/>
    <x v="0"/>
    <x v="2"/>
    <x v="2"/>
    <x v="1"/>
    <x v="6"/>
    <x v="0"/>
    <x v="0"/>
    <x v="2"/>
    <x v="2"/>
    <x v="7"/>
    <x v="7"/>
    <x v="1"/>
    <x v="6"/>
    <x v="6"/>
    <x v="40"/>
    <x v="40"/>
    <n v="1689.1671200000001"/>
    <x v="1"/>
    <x v="2"/>
    <x v="5"/>
    <x v="7"/>
    <x v="11"/>
    <x v="22"/>
    <n v="1841.1921608000002"/>
  </r>
  <r>
    <x v="2"/>
    <x v="0"/>
    <x v="2"/>
    <x v="2"/>
    <x v="1"/>
    <x v="6"/>
    <x v="0"/>
    <x v="0"/>
    <x v="2"/>
    <x v="2"/>
    <x v="7"/>
    <x v="7"/>
    <x v="1"/>
    <x v="6"/>
    <x v="6"/>
    <x v="38"/>
    <x v="38"/>
    <n v="592.87671999999998"/>
    <x v="1"/>
    <x v="0"/>
    <x v="4"/>
    <x v="6"/>
    <x v="10"/>
    <x v="21"/>
    <n v="646.23562479999998"/>
  </r>
  <r>
    <x v="2"/>
    <x v="0"/>
    <x v="2"/>
    <x v="2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2"/>
    <x v="0"/>
    <x v="2"/>
    <x v="2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2"/>
    <x v="0"/>
    <x v="2"/>
    <x v="2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2"/>
    <x v="0"/>
    <x v="2"/>
    <x v="2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2"/>
    <x v="0"/>
    <x v="2"/>
    <x v="2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2"/>
    <x v="0"/>
    <x v="2"/>
    <x v="2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2"/>
    <x v="0"/>
    <x v="2"/>
    <x v="2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2"/>
    <x v="0"/>
    <x v="2"/>
    <x v="2"/>
    <x v="1"/>
    <x v="6"/>
    <x v="0"/>
    <x v="0"/>
    <x v="2"/>
    <x v="2"/>
    <x v="7"/>
    <x v="7"/>
    <x v="1"/>
    <x v="8"/>
    <x v="8"/>
    <x v="40"/>
    <x v="40"/>
    <n v="200.12311"/>
    <x v="1"/>
    <x v="2"/>
    <x v="5"/>
    <x v="7"/>
    <x v="11"/>
    <x v="22"/>
    <n v="218.13418990000002"/>
  </r>
  <r>
    <x v="2"/>
    <x v="0"/>
    <x v="2"/>
    <x v="2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2"/>
    <x v="0"/>
    <x v="2"/>
    <x v="2"/>
    <x v="1"/>
    <x v="6"/>
    <x v="0"/>
    <x v="0"/>
    <x v="2"/>
    <x v="2"/>
    <x v="7"/>
    <x v="7"/>
    <x v="4"/>
    <x v="5"/>
    <x v="5"/>
    <x v="40"/>
    <x v="40"/>
    <n v="172.01738"/>
    <x v="1"/>
    <x v="2"/>
    <x v="5"/>
    <x v="7"/>
    <x v="11"/>
    <x v="22"/>
    <n v="187.49894420000001"/>
  </r>
  <r>
    <x v="2"/>
    <x v="0"/>
    <x v="2"/>
    <x v="2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2"/>
    <x v="0"/>
    <x v="2"/>
    <x v="2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2"/>
    <x v="0"/>
    <x v="2"/>
    <x v="2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2"/>
    <x v="0"/>
    <x v="2"/>
    <x v="2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2"/>
    <x v="0"/>
    <x v="2"/>
    <x v="2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2"/>
    <x v="0"/>
    <x v="2"/>
    <x v="2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2"/>
    <x v="0"/>
    <x v="2"/>
    <x v="2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2"/>
    <x v="0"/>
    <x v="2"/>
    <x v="2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2"/>
    <x v="0"/>
    <x v="2"/>
    <x v="2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2"/>
    <x v="0"/>
    <x v="2"/>
    <x v="2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2"/>
    <x v="0"/>
    <x v="2"/>
    <x v="2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2"/>
    <x v="0"/>
    <x v="2"/>
    <x v="2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2"/>
    <x v="0"/>
    <x v="2"/>
    <x v="2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2"/>
    <x v="0"/>
    <x v="2"/>
    <x v="2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2"/>
    <x v="0"/>
    <x v="2"/>
    <x v="2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2"/>
    <x v="0"/>
    <x v="2"/>
    <x v="2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2"/>
    <x v="0"/>
    <x v="2"/>
    <x v="2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2"/>
    <x v="0"/>
    <x v="2"/>
    <x v="2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2"/>
    <x v="0"/>
    <x v="2"/>
    <x v="2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2"/>
    <x v="0"/>
    <x v="2"/>
    <x v="2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2"/>
    <x v="0"/>
    <x v="2"/>
    <x v="2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2"/>
    <x v="0"/>
    <x v="2"/>
    <x v="2"/>
    <x v="1"/>
    <x v="6"/>
    <x v="0"/>
    <x v="0"/>
    <x v="2"/>
    <x v="2"/>
    <x v="9"/>
    <x v="9"/>
    <x v="2"/>
    <x v="2"/>
    <x v="2"/>
    <x v="38"/>
    <x v="38"/>
    <n v="4597.5883599999997"/>
    <x v="1"/>
    <x v="0"/>
    <x v="4"/>
    <x v="6"/>
    <x v="10"/>
    <x v="21"/>
    <n v="5011.3713124000005"/>
  </r>
  <r>
    <x v="2"/>
    <x v="0"/>
    <x v="2"/>
    <x v="2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2"/>
    <x v="0"/>
    <x v="2"/>
    <x v="2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2"/>
    <x v="0"/>
    <x v="2"/>
    <x v="2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2"/>
    <x v="0"/>
    <x v="2"/>
    <x v="2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2"/>
    <x v="0"/>
    <x v="2"/>
    <x v="2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2"/>
    <x v="0"/>
    <x v="2"/>
    <x v="2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2"/>
    <x v="0"/>
    <x v="2"/>
    <x v="2"/>
    <x v="1"/>
    <x v="6"/>
    <x v="0"/>
    <x v="0"/>
    <x v="2"/>
    <x v="2"/>
    <x v="9"/>
    <x v="9"/>
    <x v="1"/>
    <x v="6"/>
    <x v="6"/>
    <x v="40"/>
    <x v="40"/>
    <n v="24820.80515"/>
    <x v="1"/>
    <x v="2"/>
    <x v="5"/>
    <x v="7"/>
    <x v="11"/>
    <x v="22"/>
    <n v="27054.677613500004"/>
  </r>
  <r>
    <x v="2"/>
    <x v="0"/>
    <x v="2"/>
    <x v="2"/>
    <x v="1"/>
    <x v="6"/>
    <x v="0"/>
    <x v="0"/>
    <x v="2"/>
    <x v="2"/>
    <x v="9"/>
    <x v="9"/>
    <x v="1"/>
    <x v="6"/>
    <x v="6"/>
    <x v="38"/>
    <x v="38"/>
    <n v="1429.4994300000001"/>
    <x v="1"/>
    <x v="0"/>
    <x v="4"/>
    <x v="6"/>
    <x v="10"/>
    <x v="21"/>
    <n v="1558.1543787000003"/>
  </r>
  <r>
    <x v="2"/>
    <x v="0"/>
    <x v="2"/>
    <x v="2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2"/>
    <x v="0"/>
    <x v="2"/>
    <x v="2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2"/>
    <x v="0"/>
    <x v="2"/>
    <x v="2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2"/>
    <x v="0"/>
    <x v="2"/>
    <x v="2"/>
    <x v="1"/>
    <x v="6"/>
    <x v="0"/>
    <x v="0"/>
    <x v="2"/>
    <x v="2"/>
    <x v="9"/>
    <x v="9"/>
    <x v="3"/>
    <x v="7"/>
    <x v="7"/>
    <x v="40"/>
    <x v="40"/>
    <n v="143.89462"/>
    <x v="1"/>
    <x v="2"/>
    <x v="5"/>
    <x v="7"/>
    <x v="11"/>
    <x v="22"/>
    <n v="156.84513580000001"/>
  </r>
  <r>
    <x v="2"/>
    <x v="0"/>
    <x v="2"/>
    <x v="2"/>
    <x v="1"/>
    <x v="6"/>
    <x v="0"/>
    <x v="0"/>
    <x v="2"/>
    <x v="2"/>
    <x v="9"/>
    <x v="9"/>
    <x v="1"/>
    <x v="8"/>
    <x v="8"/>
    <x v="40"/>
    <x v="40"/>
    <n v="10941.967720000001"/>
    <x v="1"/>
    <x v="2"/>
    <x v="5"/>
    <x v="7"/>
    <x v="11"/>
    <x v="22"/>
    <n v="11926.744814800002"/>
  </r>
  <r>
    <x v="2"/>
    <x v="0"/>
    <x v="2"/>
    <x v="2"/>
    <x v="1"/>
    <x v="6"/>
    <x v="0"/>
    <x v="0"/>
    <x v="2"/>
    <x v="2"/>
    <x v="9"/>
    <x v="9"/>
    <x v="2"/>
    <x v="10"/>
    <x v="10"/>
    <x v="40"/>
    <x v="40"/>
    <n v="28.203250000000001"/>
    <x v="1"/>
    <x v="2"/>
    <x v="5"/>
    <x v="7"/>
    <x v="11"/>
    <x v="22"/>
    <n v="30.741542500000001"/>
  </r>
  <r>
    <x v="2"/>
    <x v="0"/>
    <x v="2"/>
    <x v="2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2"/>
    <x v="0"/>
    <x v="2"/>
    <x v="2"/>
    <x v="1"/>
    <x v="6"/>
    <x v="0"/>
    <x v="0"/>
    <x v="2"/>
    <x v="2"/>
    <x v="9"/>
    <x v="9"/>
    <x v="4"/>
    <x v="5"/>
    <x v="5"/>
    <x v="40"/>
    <x v="40"/>
    <n v="1621.3604700000001"/>
    <x v="1"/>
    <x v="2"/>
    <x v="5"/>
    <x v="7"/>
    <x v="11"/>
    <x v="22"/>
    <n v="1767.2829123000001"/>
  </r>
  <r>
    <x v="2"/>
    <x v="0"/>
    <x v="2"/>
    <x v="2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2"/>
    <x v="0"/>
    <x v="2"/>
    <x v="2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2"/>
    <x v="0"/>
    <x v="2"/>
    <x v="2"/>
    <x v="1"/>
    <x v="6"/>
    <x v="0"/>
    <x v="0"/>
    <x v="2"/>
    <x v="2"/>
    <x v="10"/>
    <x v="10"/>
    <x v="2"/>
    <x v="2"/>
    <x v="2"/>
    <x v="40"/>
    <x v="40"/>
    <n v="3989.2150499999998"/>
    <x v="1"/>
    <x v="2"/>
    <x v="5"/>
    <x v="7"/>
    <x v="11"/>
    <x v="22"/>
    <n v="4348.2444045000002"/>
  </r>
  <r>
    <x v="2"/>
    <x v="0"/>
    <x v="2"/>
    <x v="2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2"/>
    <x v="0"/>
    <x v="2"/>
    <x v="2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2"/>
    <x v="0"/>
    <x v="2"/>
    <x v="2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2"/>
    <x v="0"/>
    <x v="2"/>
    <x v="2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2"/>
    <x v="0"/>
    <x v="2"/>
    <x v="2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2"/>
    <x v="0"/>
    <x v="2"/>
    <x v="2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2"/>
    <x v="0"/>
    <x v="2"/>
    <x v="2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2"/>
    <x v="0"/>
    <x v="2"/>
    <x v="2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2"/>
    <x v="0"/>
    <x v="2"/>
    <x v="2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2"/>
    <x v="0"/>
    <x v="2"/>
    <x v="2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2"/>
    <x v="0"/>
    <x v="2"/>
    <x v="2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2"/>
    <x v="0"/>
    <x v="2"/>
    <x v="2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2"/>
    <x v="0"/>
    <x v="2"/>
    <x v="2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2"/>
    <x v="0"/>
    <x v="2"/>
    <x v="2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2"/>
    <x v="0"/>
    <x v="2"/>
    <x v="2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2"/>
    <x v="0"/>
    <x v="2"/>
    <x v="2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2"/>
    <x v="0"/>
    <x v="2"/>
    <x v="2"/>
    <x v="1"/>
    <x v="6"/>
    <x v="0"/>
    <x v="0"/>
    <x v="0"/>
    <x v="0"/>
    <x v="11"/>
    <x v="11"/>
    <x v="4"/>
    <x v="5"/>
    <x v="5"/>
    <x v="7"/>
    <x v="7"/>
    <n v="95.4809773494148"/>
    <x v="0"/>
    <x v="0"/>
    <x v="1"/>
    <x v="4"/>
    <x v="5"/>
    <x v="7"/>
    <n v="104.07426531086215"/>
  </r>
  <r>
    <x v="2"/>
    <x v="0"/>
    <x v="2"/>
    <x v="2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2"/>
    <x v="0"/>
    <x v="2"/>
    <x v="2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2"/>
    <x v="0"/>
    <x v="2"/>
    <x v="2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2"/>
    <x v="0"/>
    <x v="2"/>
    <x v="2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2"/>
    <x v="0"/>
    <x v="2"/>
    <x v="2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2"/>
    <x v="0"/>
    <x v="2"/>
    <x v="2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2"/>
    <x v="0"/>
    <x v="2"/>
    <x v="2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2"/>
    <x v="0"/>
    <x v="2"/>
    <x v="2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2"/>
    <x v="0"/>
    <x v="2"/>
    <x v="2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2"/>
    <x v="0"/>
    <x v="2"/>
    <x v="2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2"/>
    <x v="0"/>
    <x v="2"/>
    <x v="2"/>
    <x v="1"/>
    <x v="6"/>
    <x v="0"/>
    <x v="0"/>
    <x v="3"/>
    <x v="3"/>
    <x v="12"/>
    <x v="12"/>
    <x v="3"/>
    <x v="7"/>
    <x v="7"/>
    <x v="40"/>
    <x v="40"/>
    <n v="28.108329999999999"/>
    <x v="1"/>
    <x v="2"/>
    <x v="5"/>
    <x v="7"/>
    <x v="11"/>
    <x v="22"/>
    <n v="30.638079700000002"/>
  </r>
  <r>
    <x v="2"/>
    <x v="0"/>
    <x v="2"/>
    <x v="2"/>
    <x v="1"/>
    <x v="6"/>
    <x v="0"/>
    <x v="0"/>
    <x v="3"/>
    <x v="3"/>
    <x v="12"/>
    <x v="12"/>
    <x v="1"/>
    <x v="8"/>
    <x v="8"/>
    <x v="40"/>
    <x v="40"/>
    <n v="18.666119999999999"/>
    <x v="1"/>
    <x v="2"/>
    <x v="5"/>
    <x v="7"/>
    <x v="11"/>
    <x v="22"/>
    <n v="20.3460708"/>
  </r>
  <r>
    <x v="2"/>
    <x v="0"/>
    <x v="2"/>
    <x v="2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2"/>
    <x v="0"/>
    <x v="2"/>
    <x v="2"/>
    <x v="1"/>
    <x v="6"/>
    <x v="0"/>
    <x v="0"/>
    <x v="3"/>
    <x v="3"/>
    <x v="12"/>
    <x v="12"/>
    <x v="2"/>
    <x v="10"/>
    <x v="10"/>
    <x v="40"/>
    <x v="40"/>
    <n v="0.64575000000000005"/>
    <x v="1"/>
    <x v="2"/>
    <x v="5"/>
    <x v="7"/>
    <x v="11"/>
    <x v="22"/>
    <n v="0.70386750000000009"/>
  </r>
  <r>
    <x v="2"/>
    <x v="0"/>
    <x v="2"/>
    <x v="2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2"/>
    <x v="0"/>
    <x v="2"/>
    <x v="2"/>
    <x v="1"/>
    <x v="6"/>
    <x v="0"/>
    <x v="0"/>
    <x v="3"/>
    <x v="3"/>
    <x v="12"/>
    <x v="12"/>
    <x v="4"/>
    <x v="5"/>
    <x v="5"/>
    <x v="40"/>
    <x v="40"/>
    <n v="37.964199999999998"/>
    <x v="1"/>
    <x v="2"/>
    <x v="5"/>
    <x v="7"/>
    <x v="11"/>
    <x v="22"/>
    <n v="41.380977999999999"/>
  </r>
  <r>
    <x v="2"/>
    <x v="0"/>
    <x v="2"/>
    <x v="2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2"/>
    <x v="0"/>
    <x v="2"/>
    <x v="2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2"/>
    <x v="0"/>
    <x v="2"/>
    <x v="2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2"/>
    <x v="0"/>
    <x v="2"/>
    <x v="2"/>
    <x v="1"/>
    <x v="6"/>
    <x v="0"/>
    <x v="0"/>
    <x v="3"/>
    <x v="3"/>
    <x v="13"/>
    <x v="13"/>
    <x v="2"/>
    <x v="2"/>
    <x v="2"/>
    <x v="40"/>
    <x v="40"/>
    <n v="1999.69075"/>
    <x v="1"/>
    <x v="2"/>
    <x v="5"/>
    <x v="7"/>
    <x v="11"/>
    <x v="22"/>
    <n v="2179.6629175000003"/>
  </r>
  <r>
    <x v="2"/>
    <x v="0"/>
    <x v="2"/>
    <x v="2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2"/>
    <x v="0"/>
    <x v="2"/>
    <x v="2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2"/>
    <x v="0"/>
    <x v="2"/>
    <x v="2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2"/>
    <x v="0"/>
    <x v="2"/>
    <x v="2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2"/>
    <x v="0"/>
    <x v="2"/>
    <x v="2"/>
    <x v="1"/>
    <x v="6"/>
    <x v="0"/>
    <x v="0"/>
    <x v="3"/>
    <x v="3"/>
    <x v="13"/>
    <x v="13"/>
    <x v="1"/>
    <x v="8"/>
    <x v="8"/>
    <x v="40"/>
    <x v="40"/>
    <n v="114.72511"/>
    <x v="1"/>
    <x v="2"/>
    <x v="5"/>
    <x v="7"/>
    <x v="11"/>
    <x v="22"/>
    <n v="125.05036990000001"/>
  </r>
  <r>
    <x v="2"/>
    <x v="0"/>
    <x v="2"/>
    <x v="2"/>
    <x v="1"/>
    <x v="6"/>
    <x v="0"/>
    <x v="0"/>
    <x v="3"/>
    <x v="3"/>
    <x v="13"/>
    <x v="13"/>
    <x v="4"/>
    <x v="5"/>
    <x v="5"/>
    <x v="40"/>
    <x v="40"/>
    <n v="50.660699999999999"/>
    <x v="1"/>
    <x v="2"/>
    <x v="5"/>
    <x v="7"/>
    <x v="11"/>
    <x v="22"/>
    <n v="55.220162999999999"/>
  </r>
  <r>
    <x v="2"/>
    <x v="0"/>
    <x v="2"/>
    <x v="2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2"/>
    <x v="0"/>
    <x v="2"/>
    <x v="2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2"/>
    <x v="0"/>
    <x v="2"/>
    <x v="2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2"/>
    <x v="0"/>
    <x v="2"/>
    <x v="2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2"/>
    <x v="0"/>
    <x v="2"/>
    <x v="2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2"/>
    <x v="0"/>
    <x v="2"/>
    <x v="2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2"/>
    <x v="0"/>
    <x v="2"/>
    <x v="2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2"/>
    <x v="0"/>
    <x v="2"/>
    <x v="2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2"/>
    <x v="0"/>
    <x v="2"/>
    <x v="2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2"/>
    <x v="0"/>
    <x v="2"/>
    <x v="2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2"/>
    <x v="0"/>
    <x v="2"/>
    <x v="2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2"/>
    <x v="0"/>
    <x v="2"/>
    <x v="2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2"/>
    <x v="0"/>
    <x v="2"/>
    <x v="2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2"/>
    <x v="0"/>
    <x v="2"/>
    <x v="2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2"/>
    <x v="0"/>
    <x v="2"/>
    <x v="2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2"/>
    <x v="0"/>
    <x v="2"/>
    <x v="2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2"/>
    <x v="0"/>
    <x v="2"/>
    <x v="2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2"/>
    <x v="0"/>
    <x v="2"/>
    <x v="2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2"/>
    <x v="0"/>
    <x v="2"/>
    <x v="2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2"/>
    <x v="0"/>
    <x v="2"/>
    <x v="2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2"/>
    <x v="0"/>
    <x v="2"/>
    <x v="2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2"/>
    <x v="0"/>
    <x v="2"/>
    <x v="2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2"/>
    <x v="0"/>
    <x v="2"/>
    <x v="2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2"/>
    <x v="0"/>
    <x v="2"/>
    <x v="2"/>
    <x v="1"/>
    <x v="6"/>
    <x v="0"/>
    <x v="0"/>
    <x v="2"/>
    <x v="2"/>
    <x v="14"/>
    <x v="14"/>
    <x v="4"/>
    <x v="5"/>
    <x v="5"/>
    <x v="40"/>
    <x v="40"/>
    <n v="53.141869999999997"/>
    <x v="1"/>
    <x v="2"/>
    <x v="5"/>
    <x v="7"/>
    <x v="11"/>
    <x v="22"/>
    <n v="57.924638299999998"/>
  </r>
  <r>
    <x v="2"/>
    <x v="0"/>
    <x v="2"/>
    <x v="2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2"/>
    <x v="0"/>
    <x v="2"/>
    <x v="2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2"/>
    <x v="0"/>
    <x v="2"/>
    <x v="2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2"/>
    <x v="0"/>
    <x v="2"/>
    <x v="2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2"/>
    <x v="0"/>
    <x v="2"/>
    <x v="2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2"/>
    <x v="0"/>
    <x v="2"/>
    <x v="2"/>
    <x v="1"/>
    <x v="6"/>
    <x v="0"/>
    <x v="0"/>
    <x v="2"/>
    <x v="2"/>
    <x v="15"/>
    <x v="15"/>
    <x v="0"/>
    <x v="4"/>
    <x v="4"/>
    <x v="40"/>
    <x v="40"/>
    <n v="2115.1422299999999"/>
    <x v="1"/>
    <x v="2"/>
    <x v="5"/>
    <x v="7"/>
    <x v="11"/>
    <x v="22"/>
    <n v="2305.5050307000001"/>
  </r>
  <r>
    <x v="2"/>
    <x v="0"/>
    <x v="2"/>
    <x v="2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2"/>
    <x v="0"/>
    <x v="2"/>
    <x v="2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2"/>
    <x v="0"/>
    <x v="2"/>
    <x v="2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2"/>
    <x v="0"/>
    <x v="2"/>
    <x v="2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2"/>
    <x v="0"/>
    <x v="2"/>
    <x v="2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2"/>
    <x v="0"/>
    <x v="2"/>
    <x v="2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2"/>
    <x v="0"/>
    <x v="2"/>
    <x v="2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2"/>
    <x v="0"/>
    <x v="2"/>
    <x v="2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2"/>
    <x v="0"/>
    <x v="2"/>
    <x v="2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2"/>
    <x v="0"/>
    <x v="2"/>
    <x v="2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2"/>
    <x v="0"/>
    <x v="2"/>
    <x v="2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2"/>
    <x v="0"/>
    <x v="2"/>
    <x v="2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2"/>
    <x v="0"/>
    <x v="2"/>
    <x v="2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2"/>
    <x v="0"/>
    <x v="2"/>
    <x v="2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2"/>
    <x v="0"/>
    <x v="2"/>
    <x v="2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2"/>
    <x v="0"/>
    <x v="2"/>
    <x v="2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2"/>
    <x v="0"/>
    <x v="2"/>
    <x v="2"/>
    <x v="1"/>
    <x v="6"/>
    <x v="0"/>
    <x v="0"/>
    <x v="2"/>
    <x v="2"/>
    <x v="16"/>
    <x v="16"/>
    <x v="2"/>
    <x v="2"/>
    <x v="2"/>
    <x v="40"/>
    <x v="40"/>
    <n v="598.59312"/>
    <x v="1"/>
    <x v="2"/>
    <x v="5"/>
    <x v="7"/>
    <x v="11"/>
    <x v="22"/>
    <n v="652.46650080000006"/>
  </r>
  <r>
    <x v="2"/>
    <x v="0"/>
    <x v="2"/>
    <x v="2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2"/>
    <x v="0"/>
    <x v="2"/>
    <x v="2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2"/>
    <x v="0"/>
    <x v="2"/>
    <x v="2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2"/>
    <x v="0"/>
    <x v="2"/>
    <x v="2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2"/>
    <x v="0"/>
    <x v="2"/>
    <x v="2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2"/>
    <x v="0"/>
    <x v="2"/>
    <x v="2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2"/>
    <x v="0"/>
    <x v="2"/>
    <x v="2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2"/>
    <x v="0"/>
    <x v="2"/>
    <x v="2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2"/>
    <x v="0"/>
    <x v="2"/>
    <x v="2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2"/>
    <x v="0"/>
    <x v="2"/>
    <x v="2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2"/>
    <x v="0"/>
    <x v="2"/>
    <x v="2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2"/>
    <x v="0"/>
    <x v="2"/>
    <x v="2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2"/>
    <x v="0"/>
    <x v="2"/>
    <x v="2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2"/>
    <x v="0"/>
    <x v="2"/>
    <x v="2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2"/>
    <x v="0"/>
    <x v="2"/>
    <x v="2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2"/>
    <x v="0"/>
    <x v="2"/>
    <x v="2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2"/>
    <x v="0"/>
    <x v="2"/>
    <x v="2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2"/>
    <x v="0"/>
    <x v="2"/>
    <x v="2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2"/>
    <x v="0"/>
    <x v="2"/>
    <x v="2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2"/>
    <x v="0"/>
    <x v="2"/>
    <x v="2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2"/>
    <x v="0"/>
    <x v="2"/>
    <x v="2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2"/>
    <x v="0"/>
    <x v="2"/>
    <x v="2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2"/>
    <x v="0"/>
    <x v="2"/>
    <x v="2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2"/>
    <x v="0"/>
    <x v="2"/>
    <x v="2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2"/>
    <x v="0"/>
    <x v="2"/>
    <x v="2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2"/>
    <x v="0"/>
    <x v="2"/>
    <x v="2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2"/>
    <x v="0"/>
    <x v="2"/>
    <x v="2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2"/>
    <x v="0"/>
    <x v="2"/>
    <x v="2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2"/>
    <x v="0"/>
    <x v="2"/>
    <x v="2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2"/>
    <x v="0"/>
    <x v="2"/>
    <x v="2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2"/>
    <x v="0"/>
    <x v="2"/>
    <x v="2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2"/>
    <x v="0"/>
    <x v="2"/>
    <x v="2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2"/>
    <x v="0"/>
    <x v="2"/>
    <x v="2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2"/>
    <x v="0"/>
    <x v="2"/>
    <x v="2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2"/>
    <x v="0"/>
    <x v="2"/>
    <x v="2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2"/>
    <x v="0"/>
    <x v="2"/>
    <x v="2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2"/>
    <x v="0"/>
    <x v="2"/>
    <x v="2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2"/>
    <x v="0"/>
    <x v="2"/>
    <x v="2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2"/>
    <x v="0"/>
    <x v="2"/>
    <x v="2"/>
    <x v="1"/>
    <x v="6"/>
    <x v="0"/>
    <x v="0"/>
    <x v="2"/>
    <x v="2"/>
    <x v="17"/>
    <x v="17"/>
    <x v="3"/>
    <x v="7"/>
    <x v="7"/>
    <x v="7"/>
    <x v="7"/>
    <n v="942.37363760597202"/>
    <x v="0"/>
    <x v="0"/>
    <x v="1"/>
    <x v="4"/>
    <x v="5"/>
    <x v="7"/>
    <n v="1027.1872649905097"/>
  </r>
  <r>
    <x v="2"/>
    <x v="0"/>
    <x v="2"/>
    <x v="2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2"/>
    <x v="0"/>
    <x v="2"/>
    <x v="2"/>
    <x v="1"/>
    <x v="6"/>
    <x v="0"/>
    <x v="0"/>
    <x v="2"/>
    <x v="2"/>
    <x v="17"/>
    <x v="17"/>
    <x v="1"/>
    <x v="8"/>
    <x v="8"/>
    <x v="7"/>
    <x v="7"/>
    <n v="77.356277001457599"/>
    <x v="0"/>
    <x v="0"/>
    <x v="1"/>
    <x v="4"/>
    <x v="5"/>
    <x v="7"/>
    <n v="84.31834193158879"/>
  </r>
  <r>
    <x v="2"/>
    <x v="0"/>
    <x v="2"/>
    <x v="2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2"/>
    <x v="0"/>
    <x v="2"/>
    <x v="2"/>
    <x v="1"/>
    <x v="6"/>
    <x v="0"/>
    <x v="0"/>
    <x v="2"/>
    <x v="2"/>
    <x v="17"/>
    <x v="17"/>
    <x v="0"/>
    <x v="9"/>
    <x v="9"/>
    <x v="7"/>
    <x v="7"/>
    <n v="896.37748429707199"/>
    <x v="0"/>
    <x v="0"/>
    <x v="1"/>
    <x v="4"/>
    <x v="5"/>
    <x v="7"/>
    <n v="977.05145788380855"/>
  </r>
  <r>
    <x v="2"/>
    <x v="0"/>
    <x v="2"/>
    <x v="2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2"/>
    <x v="0"/>
    <x v="2"/>
    <x v="2"/>
    <x v="1"/>
    <x v="6"/>
    <x v="0"/>
    <x v="0"/>
    <x v="2"/>
    <x v="2"/>
    <x v="17"/>
    <x v="17"/>
    <x v="2"/>
    <x v="10"/>
    <x v="10"/>
    <x v="7"/>
    <x v="7"/>
    <n v="246.68059581235201"/>
    <x v="0"/>
    <x v="0"/>
    <x v="1"/>
    <x v="4"/>
    <x v="5"/>
    <x v="7"/>
    <n v="268.88184943546372"/>
  </r>
  <r>
    <x v="2"/>
    <x v="0"/>
    <x v="2"/>
    <x v="2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2"/>
    <x v="0"/>
    <x v="2"/>
    <x v="2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2"/>
    <x v="0"/>
    <x v="2"/>
    <x v="2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2"/>
    <x v="0"/>
    <x v="2"/>
    <x v="2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2"/>
    <x v="0"/>
    <x v="2"/>
    <x v="2"/>
    <x v="1"/>
    <x v="6"/>
    <x v="0"/>
    <x v="0"/>
    <x v="2"/>
    <x v="2"/>
    <x v="17"/>
    <x v="17"/>
    <x v="4"/>
    <x v="5"/>
    <x v="5"/>
    <x v="7"/>
    <x v="7"/>
    <n v="552.72137280781806"/>
    <x v="0"/>
    <x v="0"/>
    <x v="1"/>
    <x v="4"/>
    <x v="5"/>
    <x v="7"/>
    <n v="602.46629636052171"/>
  </r>
  <r>
    <x v="2"/>
    <x v="0"/>
    <x v="2"/>
    <x v="2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2"/>
    <x v="0"/>
    <x v="2"/>
    <x v="2"/>
    <x v="1"/>
    <x v="6"/>
    <x v="0"/>
    <x v="0"/>
    <x v="2"/>
    <x v="2"/>
    <x v="17"/>
    <x v="17"/>
    <x v="4"/>
    <x v="5"/>
    <x v="5"/>
    <x v="40"/>
    <x v="40"/>
    <n v="1872.1048900000001"/>
    <x v="1"/>
    <x v="2"/>
    <x v="5"/>
    <x v="7"/>
    <x v="11"/>
    <x v="22"/>
    <n v="2040.5943301000002"/>
  </r>
  <r>
    <x v="2"/>
    <x v="0"/>
    <x v="2"/>
    <x v="2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2"/>
    <x v="0"/>
    <x v="2"/>
    <x v="2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2"/>
    <x v="0"/>
    <x v="2"/>
    <x v="2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2"/>
    <x v="0"/>
    <x v="2"/>
    <x v="2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2"/>
    <x v="0"/>
    <x v="2"/>
    <x v="2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2"/>
    <x v="0"/>
    <x v="2"/>
    <x v="2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2"/>
    <x v="0"/>
    <x v="2"/>
    <x v="2"/>
    <x v="1"/>
    <x v="7"/>
    <x v="0"/>
    <x v="0"/>
    <x v="0"/>
    <x v="0"/>
    <x v="0"/>
    <x v="0"/>
    <x v="3"/>
    <x v="3"/>
    <x v="3"/>
    <x v="5"/>
    <x v="5"/>
    <n v="25.921398773203101"/>
    <x v="0"/>
    <x v="0"/>
    <x v="1"/>
    <x v="1"/>
    <x v="1"/>
    <x v="5"/>
    <n v="28.254324662791383"/>
  </r>
  <r>
    <x v="2"/>
    <x v="0"/>
    <x v="2"/>
    <x v="2"/>
    <x v="1"/>
    <x v="7"/>
    <x v="0"/>
    <x v="0"/>
    <x v="0"/>
    <x v="0"/>
    <x v="0"/>
    <x v="0"/>
    <x v="3"/>
    <x v="3"/>
    <x v="3"/>
    <x v="11"/>
    <x v="11"/>
    <n v="261.68714999999997"/>
    <x v="0"/>
    <x v="0"/>
    <x v="3"/>
    <x v="5"/>
    <x v="7"/>
    <x v="11"/>
    <n v="285.23899349999999"/>
  </r>
  <r>
    <x v="2"/>
    <x v="0"/>
    <x v="2"/>
    <x v="2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2"/>
    <x v="0"/>
    <x v="2"/>
    <x v="2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2"/>
    <x v="0"/>
    <x v="2"/>
    <x v="2"/>
    <x v="1"/>
    <x v="7"/>
    <x v="0"/>
    <x v="0"/>
    <x v="0"/>
    <x v="0"/>
    <x v="0"/>
    <x v="0"/>
    <x v="0"/>
    <x v="4"/>
    <x v="4"/>
    <x v="5"/>
    <x v="5"/>
    <n v="20.812134969483299"/>
    <x v="0"/>
    <x v="0"/>
    <x v="1"/>
    <x v="1"/>
    <x v="1"/>
    <x v="5"/>
    <n v="22.685227116736797"/>
  </r>
  <r>
    <x v="2"/>
    <x v="0"/>
    <x v="2"/>
    <x v="2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2"/>
    <x v="0"/>
    <x v="2"/>
    <x v="2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2"/>
    <x v="0"/>
    <x v="2"/>
    <x v="2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2"/>
    <x v="0"/>
    <x v="2"/>
    <x v="2"/>
    <x v="1"/>
    <x v="7"/>
    <x v="0"/>
    <x v="0"/>
    <x v="0"/>
    <x v="0"/>
    <x v="0"/>
    <x v="0"/>
    <x v="0"/>
    <x v="4"/>
    <x v="4"/>
    <x v="27"/>
    <x v="27"/>
    <n v="45.820520271241698"/>
    <x v="0"/>
    <x v="0"/>
    <x v="1"/>
    <x v="3"/>
    <x v="3"/>
    <x v="19"/>
    <n v="49.944367095653455"/>
  </r>
  <r>
    <x v="2"/>
    <x v="0"/>
    <x v="2"/>
    <x v="2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2"/>
    <x v="0"/>
    <x v="2"/>
    <x v="2"/>
    <x v="1"/>
    <x v="7"/>
    <x v="0"/>
    <x v="0"/>
    <x v="0"/>
    <x v="0"/>
    <x v="0"/>
    <x v="0"/>
    <x v="2"/>
    <x v="2"/>
    <x v="2"/>
    <x v="9"/>
    <x v="9"/>
    <n v="4.7614678899053997"/>
    <x v="0"/>
    <x v="0"/>
    <x v="1"/>
    <x v="4"/>
    <x v="5"/>
    <x v="9"/>
    <n v="5.1899999999968864"/>
  </r>
  <r>
    <x v="2"/>
    <x v="0"/>
    <x v="2"/>
    <x v="2"/>
    <x v="1"/>
    <x v="7"/>
    <x v="0"/>
    <x v="0"/>
    <x v="0"/>
    <x v="0"/>
    <x v="0"/>
    <x v="0"/>
    <x v="2"/>
    <x v="2"/>
    <x v="2"/>
    <x v="10"/>
    <x v="10"/>
    <n v="2.3495412844022598"/>
    <x v="0"/>
    <x v="0"/>
    <x v="1"/>
    <x v="4"/>
    <x v="5"/>
    <x v="10"/>
    <n v="2.5609999999984634"/>
  </r>
  <r>
    <x v="2"/>
    <x v="0"/>
    <x v="2"/>
    <x v="2"/>
    <x v="1"/>
    <x v="7"/>
    <x v="0"/>
    <x v="0"/>
    <x v="0"/>
    <x v="0"/>
    <x v="0"/>
    <x v="0"/>
    <x v="2"/>
    <x v="2"/>
    <x v="2"/>
    <x v="11"/>
    <x v="11"/>
    <n v="535.33082000000002"/>
    <x v="0"/>
    <x v="0"/>
    <x v="3"/>
    <x v="5"/>
    <x v="7"/>
    <x v="11"/>
    <n v="583.51059380000004"/>
  </r>
  <r>
    <x v="2"/>
    <x v="0"/>
    <x v="2"/>
    <x v="2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2"/>
    <x v="0"/>
    <x v="2"/>
    <x v="2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2"/>
    <x v="0"/>
    <x v="2"/>
    <x v="2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3"/>
    <x v="0"/>
    <x v="3"/>
    <x v="3"/>
    <x v="0"/>
    <x v="0"/>
    <x v="0"/>
    <x v="0"/>
    <x v="0"/>
    <x v="0"/>
    <x v="2"/>
    <x v="2"/>
    <x v="2"/>
    <x v="2"/>
    <x v="2"/>
    <x v="2"/>
    <x v="2"/>
    <n v="0.17374311926595001"/>
    <x v="0"/>
    <x v="1"/>
    <x v="2"/>
    <x v="2"/>
    <x v="13"/>
    <x v="2"/>
    <n v="0.18937999999988553"/>
  </r>
  <r>
    <x v="3"/>
    <x v="0"/>
    <x v="3"/>
    <x v="3"/>
    <x v="0"/>
    <x v="0"/>
    <x v="0"/>
    <x v="0"/>
    <x v="0"/>
    <x v="0"/>
    <x v="2"/>
    <x v="2"/>
    <x v="4"/>
    <x v="5"/>
    <x v="5"/>
    <x v="6"/>
    <x v="6"/>
    <n v="6.9487899999999998"/>
    <x v="0"/>
    <x v="0"/>
    <x v="0"/>
    <x v="0"/>
    <x v="4"/>
    <x v="6"/>
    <n v="7.5741811000000006"/>
  </r>
  <r>
    <x v="3"/>
    <x v="0"/>
    <x v="3"/>
    <x v="3"/>
    <x v="0"/>
    <x v="0"/>
    <x v="0"/>
    <x v="0"/>
    <x v="0"/>
    <x v="0"/>
    <x v="2"/>
    <x v="2"/>
    <x v="4"/>
    <x v="5"/>
    <x v="5"/>
    <x v="18"/>
    <x v="18"/>
    <n v="3.0486399999999998"/>
    <x v="0"/>
    <x v="0"/>
    <x v="0"/>
    <x v="0"/>
    <x v="4"/>
    <x v="18"/>
    <n v="3.3230176"/>
  </r>
  <r>
    <x v="3"/>
    <x v="0"/>
    <x v="3"/>
    <x v="3"/>
    <x v="0"/>
    <x v="0"/>
    <x v="0"/>
    <x v="0"/>
    <x v="0"/>
    <x v="0"/>
    <x v="0"/>
    <x v="0"/>
    <x v="3"/>
    <x v="3"/>
    <x v="3"/>
    <x v="5"/>
    <x v="5"/>
    <n v="94.707257669431399"/>
    <x v="0"/>
    <x v="0"/>
    <x v="1"/>
    <x v="1"/>
    <x v="1"/>
    <x v="5"/>
    <n v="103.23091085968024"/>
  </r>
  <r>
    <x v="3"/>
    <x v="0"/>
    <x v="3"/>
    <x v="3"/>
    <x v="0"/>
    <x v="0"/>
    <x v="0"/>
    <x v="0"/>
    <x v="0"/>
    <x v="0"/>
    <x v="0"/>
    <x v="0"/>
    <x v="3"/>
    <x v="3"/>
    <x v="3"/>
    <x v="6"/>
    <x v="6"/>
    <n v="9.33"/>
    <x v="0"/>
    <x v="0"/>
    <x v="0"/>
    <x v="0"/>
    <x v="4"/>
    <x v="6"/>
    <n v="10.169700000000001"/>
  </r>
  <r>
    <x v="3"/>
    <x v="0"/>
    <x v="3"/>
    <x v="3"/>
    <x v="0"/>
    <x v="0"/>
    <x v="0"/>
    <x v="0"/>
    <x v="0"/>
    <x v="0"/>
    <x v="0"/>
    <x v="0"/>
    <x v="3"/>
    <x v="3"/>
    <x v="3"/>
    <x v="8"/>
    <x v="8"/>
    <n v="15.9210878379397"/>
    <x v="0"/>
    <x v="1"/>
    <x v="2"/>
    <x v="2"/>
    <x v="6"/>
    <x v="8"/>
    <n v="17.353985743354276"/>
  </r>
  <r>
    <x v="3"/>
    <x v="0"/>
    <x v="3"/>
    <x v="3"/>
    <x v="0"/>
    <x v="0"/>
    <x v="0"/>
    <x v="0"/>
    <x v="0"/>
    <x v="0"/>
    <x v="0"/>
    <x v="0"/>
    <x v="3"/>
    <x v="3"/>
    <x v="3"/>
    <x v="9"/>
    <x v="9"/>
    <n v="18.6683669724659"/>
    <x v="0"/>
    <x v="0"/>
    <x v="1"/>
    <x v="4"/>
    <x v="5"/>
    <x v="9"/>
    <n v="20.348519999987833"/>
  </r>
  <r>
    <x v="3"/>
    <x v="0"/>
    <x v="3"/>
    <x v="3"/>
    <x v="0"/>
    <x v="0"/>
    <x v="0"/>
    <x v="0"/>
    <x v="0"/>
    <x v="0"/>
    <x v="0"/>
    <x v="0"/>
    <x v="3"/>
    <x v="3"/>
    <x v="3"/>
    <x v="12"/>
    <x v="12"/>
    <n v="149.445686045944"/>
    <x v="0"/>
    <x v="0"/>
    <x v="0"/>
    <x v="0"/>
    <x v="8"/>
    <x v="12"/>
    <n v="162.89579779007897"/>
  </r>
  <r>
    <x v="3"/>
    <x v="0"/>
    <x v="3"/>
    <x v="3"/>
    <x v="0"/>
    <x v="0"/>
    <x v="0"/>
    <x v="0"/>
    <x v="0"/>
    <x v="0"/>
    <x v="0"/>
    <x v="0"/>
    <x v="3"/>
    <x v="3"/>
    <x v="3"/>
    <x v="32"/>
    <x v="32"/>
    <n v="13.565721039882501"/>
    <x v="0"/>
    <x v="0"/>
    <x v="1"/>
    <x v="1"/>
    <x v="1"/>
    <x v="20"/>
    <n v="14.786635933471928"/>
  </r>
  <r>
    <x v="3"/>
    <x v="0"/>
    <x v="3"/>
    <x v="3"/>
    <x v="0"/>
    <x v="0"/>
    <x v="0"/>
    <x v="0"/>
    <x v="0"/>
    <x v="0"/>
    <x v="0"/>
    <x v="0"/>
    <x v="3"/>
    <x v="3"/>
    <x v="3"/>
    <x v="14"/>
    <x v="14"/>
    <n v="173.17410000000001"/>
    <x v="0"/>
    <x v="0"/>
    <x v="0"/>
    <x v="0"/>
    <x v="8"/>
    <x v="14"/>
    <n v="188.75976900000003"/>
  </r>
  <r>
    <x v="3"/>
    <x v="0"/>
    <x v="3"/>
    <x v="3"/>
    <x v="0"/>
    <x v="0"/>
    <x v="0"/>
    <x v="0"/>
    <x v="0"/>
    <x v="0"/>
    <x v="0"/>
    <x v="0"/>
    <x v="3"/>
    <x v="3"/>
    <x v="3"/>
    <x v="16"/>
    <x v="16"/>
    <n v="452.52600000000001"/>
    <x v="0"/>
    <x v="0"/>
    <x v="3"/>
    <x v="5"/>
    <x v="9"/>
    <x v="16"/>
    <n v="493.25334000000004"/>
  </r>
  <r>
    <x v="3"/>
    <x v="0"/>
    <x v="3"/>
    <x v="3"/>
    <x v="0"/>
    <x v="0"/>
    <x v="0"/>
    <x v="0"/>
    <x v="0"/>
    <x v="0"/>
    <x v="0"/>
    <x v="0"/>
    <x v="3"/>
    <x v="3"/>
    <x v="3"/>
    <x v="18"/>
    <x v="18"/>
    <n v="10.923999999999999"/>
    <x v="0"/>
    <x v="0"/>
    <x v="0"/>
    <x v="0"/>
    <x v="4"/>
    <x v="18"/>
    <n v="11.907160000000001"/>
  </r>
  <r>
    <x v="3"/>
    <x v="0"/>
    <x v="3"/>
    <x v="3"/>
    <x v="0"/>
    <x v="0"/>
    <x v="0"/>
    <x v="0"/>
    <x v="0"/>
    <x v="0"/>
    <x v="0"/>
    <x v="0"/>
    <x v="3"/>
    <x v="3"/>
    <x v="3"/>
    <x v="2"/>
    <x v="2"/>
    <n v="973.27977064161803"/>
    <x v="0"/>
    <x v="1"/>
    <x v="2"/>
    <x v="2"/>
    <x v="13"/>
    <x v="2"/>
    <n v="1060.8749499993637"/>
  </r>
  <r>
    <x v="3"/>
    <x v="0"/>
    <x v="3"/>
    <x v="3"/>
    <x v="0"/>
    <x v="0"/>
    <x v="0"/>
    <x v="0"/>
    <x v="0"/>
    <x v="0"/>
    <x v="0"/>
    <x v="0"/>
    <x v="3"/>
    <x v="3"/>
    <x v="3"/>
    <x v="3"/>
    <x v="3"/>
    <n v="567.706453157689"/>
    <x v="0"/>
    <x v="0"/>
    <x v="1"/>
    <x v="3"/>
    <x v="3"/>
    <x v="3"/>
    <n v="618.800033941881"/>
  </r>
  <r>
    <x v="3"/>
    <x v="0"/>
    <x v="3"/>
    <x v="3"/>
    <x v="0"/>
    <x v="0"/>
    <x v="0"/>
    <x v="0"/>
    <x v="0"/>
    <x v="0"/>
    <x v="0"/>
    <x v="0"/>
    <x v="0"/>
    <x v="4"/>
    <x v="4"/>
    <x v="5"/>
    <x v="5"/>
    <n v="445.53725153712799"/>
    <x v="0"/>
    <x v="0"/>
    <x v="1"/>
    <x v="1"/>
    <x v="1"/>
    <x v="5"/>
    <n v="485.63560417546955"/>
  </r>
  <r>
    <x v="3"/>
    <x v="0"/>
    <x v="3"/>
    <x v="3"/>
    <x v="0"/>
    <x v="0"/>
    <x v="0"/>
    <x v="0"/>
    <x v="0"/>
    <x v="0"/>
    <x v="0"/>
    <x v="0"/>
    <x v="0"/>
    <x v="4"/>
    <x v="4"/>
    <x v="6"/>
    <x v="6"/>
    <n v="44.21246"/>
    <x v="0"/>
    <x v="0"/>
    <x v="0"/>
    <x v="0"/>
    <x v="4"/>
    <x v="6"/>
    <n v="48.191581400000004"/>
  </r>
  <r>
    <x v="3"/>
    <x v="0"/>
    <x v="3"/>
    <x v="3"/>
    <x v="0"/>
    <x v="0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3"/>
    <x v="0"/>
    <x v="3"/>
    <x v="3"/>
    <x v="0"/>
    <x v="0"/>
    <x v="0"/>
    <x v="0"/>
    <x v="0"/>
    <x v="0"/>
    <x v="0"/>
    <x v="0"/>
    <x v="0"/>
    <x v="4"/>
    <x v="4"/>
    <x v="8"/>
    <x v="8"/>
    <n v="1469.8288919013"/>
    <x v="0"/>
    <x v="1"/>
    <x v="2"/>
    <x v="2"/>
    <x v="6"/>
    <x v="8"/>
    <n v="1602.1134921724172"/>
  </r>
  <r>
    <x v="3"/>
    <x v="0"/>
    <x v="3"/>
    <x v="3"/>
    <x v="0"/>
    <x v="0"/>
    <x v="0"/>
    <x v="0"/>
    <x v="0"/>
    <x v="0"/>
    <x v="0"/>
    <x v="0"/>
    <x v="0"/>
    <x v="4"/>
    <x v="4"/>
    <x v="9"/>
    <x v="9"/>
    <n v="36.2878073394278"/>
    <x v="0"/>
    <x v="0"/>
    <x v="1"/>
    <x v="4"/>
    <x v="5"/>
    <x v="9"/>
    <n v="39.553709999976306"/>
  </r>
  <r>
    <x v="3"/>
    <x v="0"/>
    <x v="3"/>
    <x v="3"/>
    <x v="0"/>
    <x v="0"/>
    <x v="0"/>
    <x v="0"/>
    <x v="0"/>
    <x v="0"/>
    <x v="0"/>
    <x v="0"/>
    <x v="0"/>
    <x v="4"/>
    <x v="4"/>
    <x v="10"/>
    <x v="10"/>
    <n v="14.4963302752207"/>
    <x v="0"/>
    <x v="0"/>
    <x v="1"/>
    <x v="4"/>
    <x v="5"/>
    <x v="10"/>
    <n v="15.800999999990564"/>
  </r>
  <r>
    <x v="3"/>
    <x v="0"/>
    <x v="3"/>
    <x v="3"/>
    <x v="0"/>
    <x v="0"/>
    <x v="0"/>
    <x v="0"/>
    <x v="0"/>
    <x v="0"/>
    <x v="0"/>
    <x v="0"/>
    <x v="0"/>
    <x v="4"/>
    <x v="4"/>
    <x v="11"/>
    <x v="11"/>
    <n v="9.9264700000000001"/>
    <x v="0"/>
    <x v="0"/>
    <x v="3"/>
    <x v="5"/>
    <x v="7"/>
    <x v="11"/>
    <n v="10.819852300000001"/>
  </r>
  <r>
    <x v="3"/>
    <x v="0"/>
    <x v="3"/>
    <x v="3"/>
    <x v="0"/>
    <x v="0"/>
    <x v="0"/>
    <x v="0"/>
    <x v="0"/>
    <x v="0"/>
    <x v="0"/>
    <x v="0"/>
    <x v="0"/>
    <x v="4"/>
    <x v="4"/>
    <x v="12"/>
    <x v="12"/>
    <n v="805.39836046205596"/>
    <x v="0"/>
    <x v="0"/>
    <x v="0"/>
    <x v="0"/>
    <x v="8"/>
    <x v="12"/>
    <n v="877.88421290364101"/>
  </r>
  <r>
    <x v="3"/>
    <x v="0"/>
    <x v="3"/>
    <x v="3"/>
    <x v="0"/>
    <x v="0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3"/>
    <x v="0"/>
    <x v="3"/>
    <x v="3"/>
    <x v="0"/>
    <x v="0"/>
    <x v="0"/>
    <x v="0"/>
    <x v="0"/>
    <x v="0"/>
    <x v="0"/>
    <x v="0"/>
    <x v="0"/>
    <x v="4"/>
    <x v="4"/>
    <x v="14"/>
    <x v="14"/>
    <n v="140.21786"/>
    <x v="0"/>
    <x v="0"/>
    <x v="0"/>
    <x v="0"/>
    <x v="8"/>
    <x v="14"/>
    <n v="152.83746740000001"/>
  </r>
  <r>
    <x v="3"/>
    <x v="0"/>
    <x v="3"/>
    <x v="3"/>
    <x v="0"/>
    <x v="0"/>
    <x v="0"/>
    <x v="0"/>
    <x v="0"/>
    <x v="0"/>
    <x v="0"/>
    <x v="0"/>
    <x v="0"/>
    <x v="4"/>
    <x v="4"/>
    <x v="22"/>
    <x v="22"/>
    <n v="21.505376343999998"/>
    <x v="0"/>
    <x v="0"/>
    <x v="0"/>
    <x v="0"/>
    <x v="0"/>
    <x v="0"/>
    <n v="23.440860214960001"/>
  </r>
  <r>
    <x v="3"/>
    <x v="0"/>
    <x v="3"/>
    <x v="3"/>
    <x v="0"/>
    <x v="0"/>
    <x v="0"/>
    <x v="0"/>
    <x v="0"/>
    <x v="0"/>
    <x v="0"/>
    <x v="0"/>
    <x v="0"/>
    <x v="4"/>
    <x v="4"/>
    <x v="16"/>
    <x v="16"/>
    <n v="785.06048999999996"/>
    <x v="0"/>
    <x v="0"/>
    <x v="3"/>
    <x v="5"/>
    <x v="9"/>
    <x v="16"/>
    <n v="855.71593410000003"/>
  </r>
  <r>
    <x v="3"/>
    <x v="0"/>
    <x v="3"/>
    <x v="3"/>
    <x v="0"/>
    <x v="0"/>
    <x v="0"/>
    <x v="0"/>
    <x v="0"/>
    <x v="0"/>
    <x v="0"/>
    <x v="0"/>
    <x v="0"/>
    <x v="4"/>
    <x v="4"/>
    <x v="17"/>
    <x v="17"/>
    <n v="2.6151200000000001"/>
    <x v="0"/>
    <x v="0"/>
    <x v="0"/>
    <x v="0"/>
    <x v="4"/>
    <x v="17"/>
    <n v="2.8504808000000001"/>
  </r>
  <r>
    <x v="3"/>
    <x v="0"/>
    <x v="3"/>
    <x v="3"/>
    <x v="0"/>
    <x v="0"/>
    <x v="0"/>
    <x v="0"/>
    <x v="0"/>
    <x v="0"/>
    <x v="0"/>
    <x v="0"/>
    <x v="0"/>
    <x v="4"/>
    <x v="4"/>
    <x v="21"/>
    <x v="21"/>
    <n v="18.080284403658901"/>
    <x v="0"/>
    <x v="0"/>
    <x v="1"/>
    <x v="4"/>
    <x v="5"/>
    <x v="10"/>
    <n v="19.707509999988204"/>
  </r>
  <r>
    <x v="3"/>
    <x v="0"/>
    <x v="3"/>
    <x v="3"/>
    <x v="0"/>
    <x v="0"/>
    <x v="0"/>
    <x v="0"/>
    <x v="0"/>
    <x v="0"/>
    <x v="0"/>
    <x v="0"/>
    <x v="0"/>
    <x v="4"/>
    <x v="4"/>
    <x v="18"/>
    <x v="18"/>
    <n v="150.60718"/>
    <x v="0"/>
    <x v="0"/>
    <x v="0"/>
    <x v="0"/>
    <x v="4"/>
    <x v="18"/>
    <n v="164.16182620000001"/>
  </r>
  <r>
    <x v="3"/>
    <x v="0"/>
    <x v="3"/>
    <x v="3"/>
    <x v="0"/>
    <x v="0"/>
    <x v="0"/>
    <x v="0"/>
    <x v="0"/>
    <x v="0"/>
    <x v="0"/>
    <x v="0"/>
    <x v="0"/>
    <x v="4"/>
    <x v="4"/>
    <x v="0"/>
    <x v="0"/>
    <n v="8.7146325622531808"/>
    <x v="0"/>
    <x v="0"/>
    <x v="0"/>
    <x v="0"/>
    <x v="0"/>
    <x v="0"/>
    <n v="9.4989494928559672"/>
  </r>
  <r>
    <x v="3"/>
    <x v="0"/>
    <x v="3"/>
    <x v="3"/>
    <x v="0"/>
    <x v="0"/>
    <x v="0"/>
    <x v="0"/>
    <x v="0"/>
    <x v="0"/>
    <x v="0"/>
    <x v="0"/>
    <x v="0"/>
    <x v="4"/>
    <x v="4"/>
    <x v="2"/>
    <x v="2"/>
    <n v="3100.9039174293298"/>
    <x v="0"/>
    <x v="1"/>
    <x v="2"/>
    <x v="2"/>
    <x v="13"/>
    <x v="2"/>
    <n v="3379.9852699979697"/>
  </r>
  <r>
    <x v="3"/>
    <x v="0"/>
    <x v="3"/>
    <x v="3"/>
    <x v="0"/>
    <x v="0"/>
    <x v="0"/>
    <x v="0"/>
    <x v="0"/>
    <x v="0"/>
    <x v="0"/>
    <x v="0"/>
    <x v="0"/>
    <x v="0"/>
    <x v="0"/>
    <x v="5"/>
    <x v="5"/>
    <n v="45.231067485006299"/>
    <x v="0"/>
    <x v="0"/>
    <x v="1"/>
    <x v="1"/>
    <x v="1"/>
    <x v="5"/>
    <n v="49.301863558656869"/>
  </r>
  <r>
    <x v="3"/>
    <x v="0"/>
    <x v="3"/>
    <x v="3"/>
    <x v="0"/>
    <x v="0"/>
    <x v="0"/>
    <x v="0"/>
    <x v="0"/>
    <x v="0"/>
    <x v="0"/>
    <x v="0"/>
    <x v="0"/>
    <x v="0"/>
    <x v="0"/>
    <x v="6"/>
    <x v="6"/>
    <n v="82.386849999999995"/>
    <x v="0"/>
    <x v="0"/>
    <x v="0"/>
    <x v="0"/>
    <x v="4"/>
    <x v="6"/>
    <n v="89.801666499999996"/>
  </r>
  <r>
    <x v="3"/>
    <x v="0"/>
    <x v="3"/>
    <x v="3"/>
    <x v="0"/>
    <x v="0"/>
    <x v="0"/>
    <x v="0"/>
    <x v="0"/>
    <x v="0"/>
    <x v="0"/>
    <x v="0"/>
    <x v="0"/>
    <x v="0"/>
    <x v="0"/>
    <x v="7"/>
    <x v="7"/>
    <n v="28.1510825687905"/>
    <x v="0"/>
    <x v="0"/>
    <x v="1"/>
    <x v="4"/>
    <x v="5"/>
    <x v="7"/>
    <n v="30.684679999981647"/>
  </r>
  <r>
    <x v="3"/>
    <x v="0"/>
    <x v="3"/>
    <x v="3"/>
    <x v="0"/>
    <x v="0"/>
    <x v="0"/>
    <x v="0"/>
    <x v="0"/>
    <x v="0"/>
    <x v="0"/>
    <x v="0"/>
    <x v="0"/>
    <x v="0"/>
    <x v="0"/>
    <x v="8"/>
    <x v="8"/>
    <n v="2451.4054865021799"/>
    <x v="0"/>
    <x v="1"/>
    <x v="2"/>
    <x v="2"/>
    <x v="6"/>
    <x v="8"/>
    <n v="2672.0319802873764"/>
  </r>
  <r>
    <x v="3"/>
    <x v="0"/>
    <x v="3"/>
    <x v="3"/>
    <x v="0"/>
    <x v="0"/>
    <x v="0"/>
    <x v="0"/>
    <x v="0"/>
    <x v="0"/>
    <x v="0"/>
    <x v="0"/>
    <x v="0"/>
    <x v="0"/>
    <x v="0"/>
    <x v="9"/>
    <x v="9"/>
    <n v="11.906555636756099"/>
    <x v="0"/>
    <x v="0"/>
    <x v="1"/>
    <x v="4"/>
    <x v="5"/>
    <x v="9"/>
    <n v="12.978145644064149"/>
  </r>
  <r>
    <x v="3"/>
    <x v="0"/>
    <x v="3"/>
    <x v="3"/>
    <x v="0"/>
    <x v="0"/>
    <x v="0"/>
    <x v="0"/>
    <x v="0"/>
    <x v="0"/>
    <x v="0"/>
    <x v="0"/>
    <x v="0"/>
    <x v="0"/>
    <x v="0"/>
    <x v="10"/>
    <x v="10"/>
    <n v="35.618862142517798"/>
    <x v="0"/>
    <x v="0"/>
    <x v="1"/>
    <x v="4"/>
    <x v="5"/>
    <x v="10"/>
    <n v="38.824559735344401"/>
  </r>
  <r>
    <x v="3"/>
    <x v="0"/>
    <x v="3"/>
    <x v="3"/>
    <x v="0"/>
    <x v="0"/>
    <x v="0"/>
    <x v="0"/>
    <x v="0"/>
    <x v="0"/>
    <x v="0"/>
    <x v="0"/>
    <x v="0"/>
    <x v="0"/>
    <x v="0"/>
    <x v="55"/>
    <x v="55"/>
    <n v="0.42442201834837001"/>
    <x v="0"/>
    <x v="0"/>
    <x v="1"/>
    <x v="3"/>
    <x v="3"/>
    <x v="15"/>
    <n v="0.46261999999972336"/>
  </r>
  <r>
    <x v="3"/>
    <x v="0"/>
    <x v="3"/>
    <x v="3"/>
    <x v="0"/>
    <x v="0"/>
    <x v="0"/>
    <x v="0"/>
    <x v="0"/>
    <x v="0"/>
    <x v="0"/>
    <x v="0"/>
    <x v="0"/>
    <x v="0"/>
    <x v="0"/>
    <x v="11"/>
    <x v="11"/>
    <n v="10.789110000000001"/>
    <x v="0"/>
    <x v="0"/>
    <x v="3"/>
    <x v="5"/>
    <x v="7"/>
    <x v="11"/>
    <n v="11.760129900000003"/>
  </r>
  <r>
    <x v="3"/>
    <x v="0"/>
    <x v="3"/>
    <x v="3"/>
    <x v="0"/>
    <x v="0"/>
    <x v="0"/>
    <x v="0"/>
    <x v="0"/>
    <x v="0"/>
    <x v="0"/>
    <x v="0"/>
    <x v="0"/>
    <x v="0"/>
    <x v="0"/>
    <x v="12"/>
    <x v="12"/>
    <n v="596.36493023029198"/>
    <x v="0"/>
    <x v="0"/>
    <x v="0"/>
    <x v="0"/>
    <x v="8"/>
    <x v="12"/>
    <n v="650.03777395101827"/>
  </r>
  <r>
    <x v="3"/>
    <x v="0"/>
    <x v="3"/>
    <x v="3"/>
    <x v="0"/>
    <x v="0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3"/>
    <x v="0"/>
    <x v="3"/>
    <x v="3"/>
    <x v="0"/>
    <x v="0"/>
    <x v="0"/>
    <x v="0"/>
    <x v="0"/>
    <x v="0"/>
    <x v="0"/>
    <x v="0"/>
    <x v="0"/>
    <x v="0"/>
    <x v="0"/>
    <x v="14"/>
    <x v="14"/>
    <n v="32.601599999999998"/>
    <x v="0"/>
    <x v="0"/>
    <x v="0"/>
    <x v="0"/>
    <x v="8"/>
    <x v="14"/>
    <n v="35.535744000000001"/>
  </r>
  <r>
    <x v="3"/>
    <x v="0"/>
    <x v="3"/>
    <x v="3"/>
    <x v="0"/>
    <x v="0"/>
    <x v="0"/>
    <x v="0"/>
    <x v="0"/>
    <x v="0"/>
    <x v="0"/>
    <x v="0"/>
    <x v="0"/>
    <x v="0"/>
    <x v="0"/>
    <x v="22"/>
    <x v="22"/>
    <n v="3.3362903225673"/>
    <x v="0"/>
    <x v="0"/>
    <x v="0"/>
    <x v="0"/>
    <x v="0"/>
    <x v="0"/>
    <n v="3.6365564515983571"/>
  </r>
  <r>
    <x v="3"/>
    <x v="0"/>
    <x v="3"/>
    <x v="3"/>
    <x v="0"/>
    <x v="0"/>
    <x v="0"/>
    <x v="0"/>
    <x v="0"/>
    <x v="0"/>
    <x v="0"/>
    <x v="0"/>
    <x v="0"/>
    <x v="0"/>
    <x v="0"/>
    <x v="23"/>
    <x v="23"/>
    <n v="2.6106055045855898"/>
    <x v="0"/>
    <x v="0"/>
    <x v="1"/>
    <x v="3"/>
    <x v="3"/>
    <x v="15"/>
    <n v="2.8455599999982932"/>
  </r>
  <r>
    <x v="3"/>
    <x v="0"/>
    <x v="3"/>
    <x v="3"/>
    <x v="0"/>
    <x v="0"/>
    <x v="0"/>
    <x v="0"/>
    <x v="0"/>
    <x v="0"/>
    <x v="0"/>
    <x v="0"/>
    <x v="0"/>
    <x v="0"/>
    <x v="0"/>
    <x v="24"/>
    <x v="24"/>
    <n v="2.3246880733931001"/>
    <x v="0"/>
    <x v="0"/>
    <x v="1"/>
    <x v="3"/>
    <x v="3"/>
    <x v="4"/>
    <n v="2.5339099999984795"/>
  </r>
  <r>
    <x v="3"/>
    <x v="0"/>
    <x v="3"/>
    <x v="3"/>
    <x v="0"/>
    <x v="0"/>
    <x v="0"/>
    <x v="0"/>
    <x v="0"/>
    <x v="0"/>
    <x v="0"/>
    <x v="0"/>
    <x v="0"/>
    <x v="0"/>
    <x v="0"/>
    <x v="17"/>
    <x v="17"/>
    <n v="1.8502400000000001"/>
    <x v="0"/>
    <x v="0"/>
    <x v="0"/>
    <x v="0"/>
    <x v="4"/>
    <x v="17"/>
    <n v="2.0167616000000002"/>
  </r>
  <r>
    <x v="3"/>
    <x v="0"/>
    <x v="3"/>
    <x v="3"/>
    <x v="0"/>
    <x v="0"/>
    <x v="0"/>
    <x v="0"/>
    <x v="0"/>
    <x v="0"/>
    <x v="0"/>
    <x v="0"/>
    <x v="0"/>
    <x v="0"/>
    <x v="0"/>
    <x v="21"/>
    <x v="21"/>
    <n v="7.0139816513719397"/>
    <x v="0"/>
    <x v="0"/>
    <x v="1"/>
    <x v="4"/>
    <x v="5"/>
    <x v="10"/>
    <n v="7.6452399999954146"/>
  </r>
  <r>
    <x v="3"/>
    <x v="0"/>
    <x v="3"/>
    <x v="3"/>
    <x v="0"/>
    <x v="0"/>
    <x v="0"/>
    <x v="0"/>
    <x v="0"/>
    <x v="0"/>
    <x v="0"/>
    <x v="0"/>
    <x v="0"/>
    <x v="0"/>
    <x v="0"/>
    <x v="18"/>
    <x v="18"/>
    <n v="16.231839999999998"/>
    <x v="0"/>
    <x v="0"/>
    <x v="0"/>
    <x v="0"/>
    <x v="4"/>
    <x v="18"/>
    <n v="17.6927056"/>
  </r>
  <r>
    <x v="3"/>
    <x v="0"/>
    <x v="3"/>
    <x v="3"/>
    <x v="0"/>
    <x v="0"/>
    <x v="0"/>
    <x v="0"/>
    <x v="0"/>
    <x v="0"/>
    <x v="0"/>
    <x v="0"/>
    <x v="0"/>
    <x v="0"/>
    <x v="0"/>
    <x v="25"/>
    <x v="25"/>
    <n v="22.6624036697112"/>
    <x v="0"/>
    <x v="0"/>
    <x v="1"/>
    <x v="4"/>
    <x v="5"/>
    <x v="9"/>
    <n v="24.702019999985211"/>
  </r>
  <r>
    <x v="3"/>
    <x v="0"/>
    <x v="3"/>
    <x v="3"/>
    <x v="0"/>
    <x v="0"/>
    <x v="0"/>
    <x v="0"/>
    <x v="0"/>
    <x v="0"/>
    <x v="0"/>
    <x v="0"/>
    <x v="0"/>
    <x v="0"/>
    <x v="0"/>
    <x v="26"/>
    <x v="26"/>
    <n v="0.28754128440350002"/>
    <x v="0"/>
    <x v="0"/>
    <x v="1"/>
    <x v="3"/>
    <x v="3"/>
    <x v="15"/>
    <n v="0.31341999999981507"/>
  </r>
  <r>
    <x v="3"/>
    <x v="0"/>
    <x v="3"/>
    <x v="3"/>
    <x v="0"/>
    <x v="0"/>
    <x v="0"/>
    <x v="0"/>
    <x v="0"/>
    <x v="0"/>
    <x v="0"/>
    <x v="0"/>
    <x v="0"/>
    <x v="0"/>
    <x v="0"/>
    <x v="0"/>
    <x v="0"/>
    <n v="88.278913700820397"/>
    <x v="0"/>
    <x v="0"/>
    <x v="0"/>
    <x v="0"/>
    <x v="0"/>
    <x v="0"/>
    <n v="96.224015933894236"/>
  </r>
  <r>
    <x v="3"/>
    <x v="0"/>
    <x v="3"/>
    <x v="3"/>
    <x v="0"/>
    <x v="0"/>
    <x v="0"/>
    <x v="0"/>
    <x v="0"/>
    <x v="0"/>
    <x v="0"/>
    <x v="0"/>
    <x v="0"/>
    <x v="0"/>
    <x v="0"/>
    <x v="2"/>
    <x v="2"/>
    <n v="1995.00228440247"/>
    <x v="0"/>
    <x v="1"/>
    <x v="2"/>
    <x v="2"/>
    <x v="13"/>
    <x v="2"/>
    <n v="2174.5524899986926"/>
  </r>
  <r>
    <x v="3"/>
    <x v="0"/>
    <x v="3"/>
    <x v="3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3"/>
    <x v="0"/>
    <x v="3"/>
    <x v="3"/>
    <x v="0"/>
    <x v="0"/>
    <x v="0"/>
    <x v="0"/>
    <x v="0"/>
    <x v="0"/>
    <x v="0"/>
    <x v="0"/>
    <x v="1"/>
    <x v="1"/>
    <x v="1"/>
    <x v="5"/>
    <x v="5"/>
    <n v="99.569374233885597"/>
    <x v="0"/>
    <x v="0"/>
    <x v="1"/>
    <x v="1"/>
    <x v="1"/>
    <x v="5"/>
    <n v="108.53061791493531"/>
  </r>
  <r>
    <x v="3"/>
    <x v="0"/>
    <x v="3"/>
    <x v="3"/>
    <x v="0"/>
    <x v="0"/>
    <x v="0"/>
    <x v="0"/>
    <x v="0"/>
    <x v="0"/>
    <x v="0"/>
    <x v="0"/>
    <x v="1"/>
    <x v="1"/>
    <x v="1"/>
    <x v="6"/>
    <x v="6"/>
    <n v="91.050039999999996"/>
    <x v="0"/>
    <x v="0"/>
    <x v="0"/>
    <x v="0"/>
    <x v="4"/>
    <x v="6"/>
    <n v="99.2445436"/>
  </r>
  <r>
    <x v="3"/>
    <x v="0"/>
    <x v="3"/>
    <x v="3"/>
    <x v="0"/>
    <x v="0"/>
    <x v="0"/>
    <x v="0"/>
    <x v="0"/>
    <x v="0"/>
    <x v="0"/>
    <x v="0"/>
    <x v="1"/>
    <x v="1"/>
    <x v="1"/>
    <x v="7"/>
    <x v="7"/>
    <n v="37.986899082546003"/>
    <x v="0"/>
    <x v="0"/>
    <x v="1"/>
    <x v="4"/>
    <x v="5"/>
    <x v="7"/>
    <n v="41.405719999975148"/>
  </r>
  <r>
    <x v="3"/>
    <x v="0"/>
    <x v="3"/>
    <x v="3"/>
    <x v="0"/>
    <x v="0"/>
    <x v="0"/>
    <x v="0"/>
    <x v="0"/>
    <x v="0"/>
    <x v="0"/>
    <x v="0"/>
    <x v="1"/>
    <x v="1"/>
    <x v="1"/>
    <x v="8"/>
    <x v="8"/>
    <n v="3615.4156419150299"/>
    <x v="0"/>
    <x v="1"/>
    <x v="2"/>
    <x v="2"/>
    <x v="6"/>
    <x v="8"/>
    <n v="3940.803049687383"/>
  </r>
  <r>
    <x v="3"/>
    <x v="0"/>
    <x v="3"/>
    <x v="3"/>
    <x v="0"/>
    <x v="0"/>
    <x v="0"/>
    <x v="0"/>
    <x v="0"/>
    <x v="0"/>
    <x v="0"/>
    <x v="0"/>
    <x v="1"/>
    <x v="1"/>
    <x v="1"/>
    <x v="9"/>
    <x v="9"/>
    <n v="6.2417092102705398"/>
    <x v="0"/>
    <x v="0"/>
    <x v="1"/>
    <x v="4"/>
    <x v="5"/>
    <x v="9"/>
    <n v="6.8034630391948889"/>
  </r>
  <r>
    <x v="3"/>
    <x v="0"/>
    <x v="3"/>
    <x v="3"/>
    <x v="0"/>
    <x v="0"/>
    <x v="0"/>
    <x v="0"/>
    <x v="0"/>
    <x v="0"/>
    <x v="0"/>
    <x v="0"/>
    <x v="1"/>
    <x v="1"/>
    <x v="1"/>
    <x v="10"/>
    <x v="10"/>
    <n v="7.5596468939520003"/>
    <x v="0"/>
    <x v="0"/>
    <x v="1"/>
    <x v="4"/>
    <x v="5"/>
    <x v="10"/>
    <n v="8.2400151144076812"/>
  </r>
  <r>
    <x v="3"/>
    <x v="0"/>
    <x v="3"/>
    <x v="3"/>
    <x v="0"/>
    <x v="0"/>
    <x v="0"/>
    <x v="0"/>
    <x v="0"/>
    <x v="0"/>
    <x v="0"/>
    <x v="0"/>
    <x v="1"/>
    <x v="1"/>
    <x v="1"/>
    <x v="55"/>
    <x v="55"/>
    <n v="0.82956880733895"/>
    <x v="0"/>
    <x v="0"/>
    <x v="1"/>
    <x v="3"/>
    <x v="3"/>
    <x v="15"/>
    <n v="0.90422999999945552"/>
  </r>
  <r>
    <x v="3"/>
    <x v="0"/>
    <x v="3"/>
    <x v="3"/>
    <x v="0"/>
    <x v="0"/>
    <x v="0"/>
    <x v="0"/>
    <x v="0"/>
    <x v="0"/>
    <x v="0"/>
    <x v="0"/>
    <x v="1"/>
    <x v="1"/>
    <x v="1"/>
    <x v="11"/>
    <x v="11"/>
    <n v="29.411159999999999"/>
    <x v="0"/>
    <x v="0"/>
    <x v="3"/>
    <x v="5"/>
    <x v="7"/>
    <x v="11"/>
    <n v="32.058164400000003"/>
  </r>
  <r>
    <x v="3"/>
    <x v="0"/>
    <x v="3"/>
    <x v="3"/>
    <x v="0"/>
    <x v="0"/>
    <x v="0"/>
    <x v="0"/>
    <x v="0"/>
    <x v="0"/>
    <x v="0"/>
    <x v="0"/>
    <x v="1"/>
    <x v="1"/>
    <x v="1"/>
    <x v="12"/>
    <x v="12"/>
    <n v="329.75902325456099"/>
    <x v="0"/>
    <x v="0"/>
    <x v="0"/>
    <x v="0"/>
    <x v="8"/>
    <x v="12"/>
    <n v="359.4373353474715"/>
  </r>
  <r>
    <x v="3"/>
    <x v="0"/>
    <x v="3"/>
    <x v="3"/>
    <x v="0"/>
    <x v="0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3"/>
    <x v="0"/>
    <x v="3"/>
    <x v="3"/>
    <x v="0"/>
    <x v="0"/>
    <x v="0"/>
    <x v="0"/>
    <x v="0"/>
    <x v="0"/>
    <x v="0"/>
    <x v="0"/>
    <x v="1"/>
    <x v="1"/>
    <x v="1"/>
    <x v="14"/>
    <x v="14"/>
    <n v="188.09513999999999"/>
    <x v="0"/>
    <x v="0"/>
    <x v="0"/>
    <x v="0"/>
    <x v="8"/>
    <x v="14"/>
    <n v="205.02370260000001"/>
  </r>
  <r>
    <x v="3"/>
    <x v="0"/>
    <x v="3"/>
    <x v="3"/>
    <x v="0"/>
    <x v="0"/>
    <x v="0"/>
    <x v="0"/>
    <x v="0"/>
    <x v="0"/>
    <x v="0"/>
    <x v="0"/>
    <x v="1"/>
    <x v="1"/>
    <x v="1"/>
    <x v="15"/>
    <x v="15"/>
    <n v="0.12484403669716999"/>
    <x v="0"/>
    <x v="0"/>
    <x v="1"/>
    <x v="3"/>
    <x v="3"/>
    <x v="15"/>
    <n v="0.1360799999999153"/>
  </r>
  <r>
    <x v="3"/>
    <x v="0"/>
    <x v="3"/>
    <x v="3"/>
    <x v="0"/>
    <x v="0"/>
    <x v="0"/>
    <x v="0"/>
    <x v="0"/>
    <x v="0"/>
    <x v="0"/>
    <x v="0"/>
    <x v="1"/>
    <x v="1"/>
    <x v="1"/>
    <x v="22"/>
    <x v="22"/>
    <n v="1.1120967741890999"/>
    <x v="0"/>
    <x v="0"/>
    <x v="0"/>
    <x v="0"/>
    <x v="0"/>
    <x v="0"/>
    <n v="1.212185483866119"/>
  </r>
  <r>
    <x v="3"/>
    <x v="0"/>
    <x v="3"/>
    <x v="3"/>
    <x v="0"/>
    <x v="0"/>
    <x v="0"/>
    <x v="0"/>
    <x v="0"/>
    <x v="0"/>
    <x v="0"/>
    <x v="0"/>
    <x v="1"/>
    <x v="1"/>
    <x v="1"/>
    <x v="23"/>
    <x v="23"/>
    <n v="28.772605504569899"/>
    <x v="0"/>
    <x v="0"/>
    <x v="1"/>
    <x v="3"/>
    <x v="3"/>
    <x v="15"/>
    <n v="31.362139999981192"/>
  </r>
  <r>
    <x v="3"/>
    <x v="0"/>
    <x v="3"/>
    <x v="3"/>
    <x v="0"/>
    <x v="0"/>
    <x v="0"/>
    <x v="0"/>
    <x v="0"/>
    <x v="0"/>
    <x v="0"/>
    <x v="0"/>
    <x v="1"/>
    <x v="1"/>
    <x v="1"/>
    <x v="24"/>
    <x v="24"/>
    <n v="7.05482568806916"/>
    <x v="0"/>
    <x v="0"/>
    <x v="1"/>
    <x v="3"/>
    <x v="3"/>
    <x v="4"/>
    <n v="7.6897599999953847"/>
  </r>
  <r>
    <x v="3"/>
    <x v="0"/>
    <x v="3"/>
    <x v="3"/>
    <x v="0"/>
    <x v="0"/>
    <x v="0"/>
    <x v="0"/>
    <x v="0"/>
    <x v="0"/>
    <x v="0"/>
    <x v="0"/>
    <x v="1"/>
    <x v="1"/>
    <x v="1"/>
    <x v="17"/>
    <x v="17"/>
    <n v="2.2390400000000001"/>
    <x v="0"/>
    <x v="0"/>
    <x v="0"/>
    <x v="0"/>
    <x v="4"/>
    <x v="17"/>
    <n v="2.4405536000000003"/>
  </r>
  <r>
    <x v="3"/>
    <x v="0"/>
    <x v="3"/>
    <x v="3"/>
    <x v="0"/>
    <x v="0"/>
    <x v="0"/>
    <x v="0"/>
    <x v="0"/>
    <x v="0"/>
    <x v="0"/>
    <x v="0"/>
    <x v="1"/>
    <x v="1"/>
    <x v="1"/>
    <x v="18"/>
    <x v="18"/>
    <n v="20.245920000000002"/>
    <x v="0"/>
    <x v="0"/>
    <x v="0"/>
    <x v="0"/>
    <x v="4"/>
    <x v="18"/>
    <n v="22.068052800000004"/>
  </r>
  <r>
    <x v="3"/>
    <x v="0"/>
    <x v="3"/>
    <x v="3"/>
    <x v="0"/>
    <x v="0"/>
    <x v="0"/>
    <x v="0"/>
    <x v="0"/>
    <x v="0"/>
    <x v="0"/>
    <x v="0"/>
    <x v="1"/>
    <x v="1"/>
    <x v="1"/>
    <x v="27"/>
    <x v="27"/>
    <n v="46.379416667649899"/>
    <x v="0"/>
    <x v="0"/>
    <x v="1"/>
    <x v="3"/>
    <x v="3"/>
    <x v="19"/>
    <n v="50.553564167738394"/>
  </r>
  <r>
    <x v="3"/>
    <x v="0"/>
    <x v="3"/>
    <x v="3"/>
    <x v="0"/>
    <x v="0"/>
    <x v="0"/>
    <x v="0"/>
    <x v="0"/>
    <x v="0"/>
    <x v="0"/>
    <x v="0"/>
    <x v="1"/>
    <x v="1"/>
    <x v="1"/>
    <x v="26"/>
    <x v="26"/>
    <n v="1.2613944954120899"/>
    <x v="0"/>
    <x v="0"/>
    <x v="1"/>
    <x v="3"/>
    <x v="3"/>
    <x v="15"/>
    <n v="1.3749199999991781"/>
  </r>
  <r>
    <x v="3"/>
    <x v="0"/>
    <x v="3"/>
    <x v="3"/>
    <x v="0"/>
    <x v="0"/>
    <x v="0"/>
    <x v="0"/>
    <x v="0"/>
    <x v="0"/>
    <x v="0"/>
    <x v="0"/>
    <x v="1"/>
    <x v="1"/>
    <x v="1"/>
    <x v="0"/>
    <x v="0"/>
    <n v="5.5951895017636897"/>
    <x v="0"/>
    <x v="0"/>
    <x v="0"/>
    <x v="0"/>
    <x v="0"/>
    <x v="0"/>
    <n v="6.0987565569224218"/>
  </r>
  <r>
    <x v="3"/>
    <x v="0"/>
    <x v="3"/>
    <x v="3"/>
    <x v="0"/>
    <x v="0"/>
    <x v="0"/>
    <x v="0"/>
    <x v="0"/>
    <x v="0"/>
    <x v="0"/>
    <x v="0"/>
    <x v="1"/>
    <x v="1"/>
    <x v="1"/>
    <x v="2"/>
    <x v="2"/>
    <n v="1696.3628807329301"/>
    <x v="0"/>
    <x v="1"/>
    <x v="2"/>
    <x v="2"/>
    <x v="13"/>
    <x v="2"/>
    <n v="1849.0355399988939"/>
  </r>
  <r>
    <x v="3"/>
    <x v="0"/>
    <x v="3"/>
    <x v="3"/>
    <x v="0"/>
    <x v="0"/>
    <x v="0"/>
    <x v="0"/>
    <x v="0"/>
    <x v="0"/>
    <x v="0"/>
    <x v="0"/>
    <x v="2"/>
    <x v="2"/>
    <x v="2"/>
    <x v="4"/>
    <x v="4"/>
    <n v="91.424935779761697"/>
    <x v="0"/>
    <x v="0"/>
    <x v="1"/>
    <x v="3"/>
    <x v="3"/>
    <x v="4"/>
    <n v="99.653179999940264"/>
  </r>
  <r>
    <x v="3"/>
    <x v="0"/>
    <x v="3"/>
    <x v="3"/>
    <x v="0"/>
    <x v="0"/>
    <x v="0"/>
    <x v="0"/>
    <x v="0"/>
    <x v="0"/>
    <x v="0"/>
    <x v="0"/>
    <x v="2"/>
    <x v="2"/>
    <x v="2"/>
    <x v="39"/>
    <x v="39"/>
    <n v="7.7769082568760703"/>
    <x v="0"/>
    <x v="0"/>
    <x v="1"/>
    <x v="4"/>
    <x v="5"/>
    <x v="9"/>
    <n v="8.4768299999949175"/>
  </r>
  <r>
    <x v="3"/>
    <x v="0"/>
    <x v="3"/>
    <x v="3"/>
    <x v="0"/>
    <x v="0"/>
    <x v="0"/>
    <x v="0"/>
    <x v="0"/>
    <x v="0"/>
    <x v="0"/>
    <x v="0"/>
    <x v="2"/>
    <x v="2"/>
    <x v="2"/>
    <x v="5"/>
    <x v="5"/>
    <n v="567.06735583253101"/>
    <x v="0"/>
    <x v="0"/>
    <x v="1"/>
    <x v="1"/>
    <x v="1"/>
    <x v="5"/>
    <n v="618.10341785745879"/>
  </r>
  <r>
    <x v="3"/>
    <x v="0"/>
    <x v="3"/>
    <x v="3"/>
    <x v="0"/>
    <x v="0"/>
    <x v="0"/>
    <x v="0"/>
    <x v="0"/>
    <x v="0"/>
    <x v="0"/>
    <x v="0"/>
    <x v="2"/>
    <x v="2"/>
    <x v="2"/>
    <x v="6"/>
    <x v="6"/>
    <n v="417.74527999999998"/>
    <x v="0"/>
    <x v="0"/>
    <x v="0"/>
    <x v="0"/>
    <x v="4"/>
    <x v="6"/>
    <n v="455.34235519999999"/>
  </r>
  <r>
    <x v="3"/>
    <x v="0"/>
    <x v="3"/>
    <x v="3"/>
    <x v="0"/>
    <x v="0"/>
    <x v="0"/>
    <x v="0"/>
    <x v="0"/>
    <x v="0"/>
    <x v="0"/>
    <x v="0"/>
    <x v="2"/>
    <x v="2"/>
    <x v="2"/>
    <x v="7"/>
    <x v="7"/>
    <n v="4.5325596330247997"/>
    <x v="0"/>
    <x v="0"/>
    <x v="1"/>
    <x v="4"/>
    <x v="5"/>
    <x v="7"/>
    <n v="4.9404899999970322"/>
  </r>
  <r>
    <x v="3"/>
    <x v="0"/>
    <x v="3"/>
    <x v="3"/>
    <x v="0"/>
    <x v="0"/>
    <x v="0"/>
    <x v="0"/>
    <x v="0"/>
    <x v="0"/>
    <x v="0"/>
    <x v="0"/>
    <x v="2"/>
    <x v="2"/>
    <x v="2"/>
    <x v="8"/>
    <x v="8"/>
    <n v="485.53650000310699"/>
    <x v="0"/>
    <x v="1"/>
    <x v="2"/>
    <x v="2"/>
    <x v="6"/>
    <x v="8"/>
    <n v="529.23478500338672"/>
  </r>
  <r>
    <x v="3"/>
    <x v="0"/>
    <x v="3"/>
    <x v="3"/>
    <x v="0"/>
    <x v="0"/>
    <x v="0"/>
    <x v="0"/>
    <x v="0"/>
    <x v="0"/>
    <x v="0"/>
    <x v="0"/>
    <x v="2"/>
    <x v="2"/>
    <x v="2"/>
    <x v="9"/>
    <x v="9"/>
    <n v="23.618091531793201"/>
    <x v="0"/>
    <x v="0"/>
    <x v="1"/>
    <x v="4"/>
    <x v="5"/>
    <x v="9"/>
    <n v="25.743719769654593"/>
  </r>
  <r>
    <x v="3"/>
    <x v="0"/>
    <x v="3"/>
    <x v="3"/>
    <x v="0"/>
    <x v="0"/>
    <x v="0"/>
    <x v="0"/>
    <x v="0"/>
    <x v="0"/>
    <x v="0"/>
    <x v="0"/>
    <x v="2"/>
    <x v="2"/>
    <x v="2"/>
    <x v="10"/>
    <x v="10"/>
    <n v="27.7306963381508"/>
    <x v="0"/>
    <x v="0"/>
    <x v="1"/>
    <x v="4"/>
    <x v="5"/>
    <x v="10"/>
    <n v="30.226459008584374"/>
  </r>
  <r>
    <x v="3"/>
    <x v="0"/>
    <x v="3"/>
    <x v="3"/>
    <x v="0"/>
    <x v="0"/>
    <x v="0"/>
    <x v="0"/>
    <x v="0"/>
    <x v="0"/>
    <x v="0"/>
    <x v="0"/>
    <x v="2"/>
    <x v="2"/>
    <x v="2"/>
    <x v="28"/>
    <x v="28"/>
    <n v="4.7999900000000002"/>
    <x v="0"/>
    <x v="0"/>
    <x v="1"/>
    <x v="3"/>
    <x v="3"/>
    <x v="13"/>
    <n v="5.2319891000000007"/>
  </r>
  <r>
    <x v="3"/>
    <x v="0"/>
    <x v="3"/>
    <x v="3"/>
    <x v="0"/>
    <x v="0"/>
    <x v="0"/>
    <x v="0"/>
    <x v="0"/>
    <x v="0"/>
    <x v="0"/>
    <x v="0"/>
    <x v="2"/>
    <x v="2"/>
    <x v="2"/>
    <x v="30"/>
    <x v="30"/>
    <n v="116.328637096309"/>
    <x v="0"/>
    <x v="0"/>
    <x v="0"/>
    <x v="0"/>
    <x v="0"/>
    <x v="0"/>
    <n v="126.79821443497681"/>
  </r>
  <r>
    <x v="3"/>
    <x v="0"/>
    <x v="3"/>
    <x v="3"/>
    <x v="0"/>
    <x v="0"/>
    <x v="0"/>
    <x v="0"/>
    <x v="0"/>
    <x v="0"/>
    <x v="0"/>
    <x v="0"/>
    <x v="2"/>
    <x v="2"/>
    <x v="2"/>
    <x v="31"/>
    <x v="31"/>
    <n v="8.4951009174261003"/>
    <x v="0"/>
    <x v="0"/>
    <x v="1"/>
    <x v="4"/>
    <x v="5"/>
    <x v="10"/>
    <n v="9.2596599999944509"/>
  </r>
  <r>
    <x v="3"/>
    <x v="0"/>
    <x v="3"/>
    <x v="3"/>
    <x v="0"/>
    <x v="0"/>
    <x v="0"/>
    <x v="0"/>
    <x v="0"/>
    <x v="0"/>
    <x v="0"/>
    <x v="0"/>
    <x v="2"/>
    <x v="2"/>
    <x v="2"/>
    <x v="11"/>
    <x v="11"/>
    <n v="209.87620000000001"/>
    <x v="0"/>
    <x v="0"/>
    <x v="3"/>
    <x v="5"/>
    <x v="7"/>
    <x v="11"/>
    <n v="228.76505800000004"/>
  </r>
  <r>
    <x v="3"/>
    <x v="0"/>
    <x v="3"/>
    <x v="3"/>
    <x v="0"/>
    <x v="0"/>
    <x v="0"/>
    <x v="0"/>
    <x v="2"/>
    <x v="2"/>
    <x v="0"/>
    <x v="0"/>
    <x v="2"/>
    <x v="2"/>
    <x v="2"/>
    <x v="38"/>
    <x v="38"/>
    <n v="3"/>
    <x v="1"/>
    <x v="0"/>
    <x v="4"/>
    <x v="6"/>
    <x v="10"/>
    <x v="21"/>
    <n v="3.2700000000000005"/>
  </r>
  <r>
    <x v="3"/>
    <x v="0"/>
    <x v="3"/>
    <x v="3"/>
    <x v="0"/>
    <x v="0"/>
    <x v="0"/>
    <x v="0"/>
    <x v="0"/>
    <x v="0"/>
    <x v="0"/>
    <x v="0"/>
    <x v="2"/>
    <x v="2"/>
    <x v="2"/>
    <x v="12"/>
    <x v="12"/>
    <n v="1386.43737208775"/>
    <x v="0"/>
    <x v="0"/>
    <x v="0"/>
    <x v="0"/>
    <x v="8"/>
    <x v="12"/>
    <n v="1511.2167355756476"/>
  </r>
  <r>
    <x v="3"/>
    <x v="0"/>
    <x v="3"/>
    <x v="3"/>
    <x v="0"/>
    <x v="0"/>
    <x v="0"/>
    <x v="0"/>
    <x v="0"/>
    <x v="0"/>
    <x v="0"/>
    <x v="0"/>
    <x v="2"/>
    <x v="2"/>
    <x v="2"/>
    <x v="13"/>
    <x v="13"/>
    <n v="184.23553999999999"/>
    <x v="0"/>
    <x v="0"/>
    <x v="1"/>
    <x v="3"/>
    <x v="3"/>
    <x v="13"/>
    <n v="200.81673860000001"/>
  </r>
  <r>
    <x v="3"/>
    <x v="0"/>
    <x v="3"/>
    <x v="3"/>
    <x v="0"/>
    <x v="0"/>
    <x v="0"/>
    <x v="0"/>
    <x v="0"/>
    <x v="0"/>
    <x v="0"/>
    <x v="0"/>
    <x v="2"/>
    <x v="2"/>
    <x v="2"/>
    <x v="32"/>
    <x v="32"/>
    <n v="2.3640638297338099"/>
    <x v="0"/>
    <x v="0"/>
    <x v="1"/>
    <x v="1"/>
    <x v="1"/>
    <x v="20"/>
    <n v="2.5768295744098531"/>
  </r>
  <r>
    <x v="3"/>
    <x v="0"/>
    <x v="3"/>
    <x v="3"/>
    <x v="0"/>
    <x v="0"/>
    <x v="0"/>
    <x v="0"/>
    <x v="0"/>
    <x v="0"/>
    <x v="0"/>
    <x v="0"/>
    <x v="2"/>
    <x v="2"/>
    <x v="2"/>
    <x v="14"/>
    <x v="14"/>
    <n v="301.68239"/>
    <x v="0"/>
    <x v="0"/>
    <x v="0"/>
    <x v="0"/>
    <x v="8"/>
    <x v="14"/>
    <n v="328.83380510000001"/>
  </r>
  <r>
    <x v="3"/>
    <x v="0"/>
    <x v="3"/>
    <x v="3"/>
    <x v="0"/>
    <x v="0"/>
    <x v="0"/>
    <x v="0"/>
    <x v="0"/>
    <x v="0"/>
    <x v="0"/>
    <x v="0"/>
    <x v="2"/>
    <x v="2"/>
    <x v="2"/>
    <x v="22"/>
    <x v="22"/>
    <n v="28.377549731069301"/>
    <x v="0"/>
    <x v="0"/>
    <x v="0"/>
    <x v="0"/>
    <x v="0"/>
    <x v="0"/>
    <n v="30.931529206865541"/>
  </r>
  <r>
    <x v="3"/>
    <x v="0"/>
    <x v="3"/>
    <x v="3"/>
    <x v="0"/>
    <x v="0"/>
    <x v="0"/>
    <x v="0"/>
    <x v="0"/>
    <x v="0"/>
    <x v="0"/>
    <x v="0"/>
    <x v="2"/>
    <x v="2"/>
    <x v="2"/>
    <x v="16"/>
    <x v="16"/>
    <n v="916.80246"/>
    <x v="0"/>
    <x v="0"/>
    <x v="3"/>
    <x v="5"/>
    <x v="9"/>
    <x v="16"/>
    <n v="999.31468140000004"/>
  </r>
  <r>
    <x v="3"/>
    <x v="0"/>
    <x v="3"/>
    <x v="3"/>
    <x v="0"/>
    <x v="0"/>
    <x v="0"/>
    <x v="0"/>
    <x v="0"/>
    <x v="0"/>
    <x v="0"/>
    <x v="0"/>
    <x v="2"/>
    <x v="2"/>
    <x v="2"/>
    <x v="17"/>
    <x v="17"/>
    <n v="58.079889999999999"/>
    <x v="0"/>
    <x v="0"/>
    <x v="0"/>
    <x v="0"/>
    <x v="4"/>
    <x v="17"/>
    <n v="63.3070801"/>
  </r>
  <r>
    <x v="3"/>
    <x v="0"/>
    <x v="3"/>
    <x v="3"/>
    <x v="0"/>
    <x v="0"/>
    <x v="0"/>
    <x v="0"/>
    <x v="0"/>
    <x v="0"/>
    <x v="0"/>
    <x v="0"/>
    <x v="2"/>
    <x v="2"/>
    <x v="2"/>
    <x v="21"/>
    <x v="21"/>
    <n v="98.269761467830904"/>
    <x v="0"/>
    <x v="0"/>
    <x v="1"/>
    <x v="4"/>
    <x v="5"/>
    <x v="10"/>
    <n v="107.1140399999357"/>
  </r>
  <r>
    <x v="3"/>
    <x v="0"/>
    <x v="3"/>
    <x v="3"/>
    <x v="0"/>
    <x v="0"/>
    <x v="0"/>
    <x v="0"/>
    <x v="0"/>
    <x v="0"/>
    <x v="0"/>
    <x v="0"/>
    <x v="2"/>
    <x v="2"/>
    <x v="2"/>
    <x v="18"/>
    <x v="18"/>
    <n v="443.39960000000002"/>
    <x v="0"/>
    <x v="0"/>
    <x v="0"/>
    <x v="0"/>
    <x v="4"/>
    <x v="18"/>
    <n v="483.30556400000006"/>
  </r>
  <r>
    <x v="3"/>
    <x v="0"/>
    <x v="3"/>
    <x v="3"/>
    <x v="0"/>
    <x v="0"/>
    <x v="0"/>
    <x v="0"/>
    <x v="0"/>
    <x v="0"/>
    <x v="0"/>
    <x v="0"/>
    <x v="2"/>
    <x v="2"/>
    <x v="2"/>
    <x v="34"/>
    <x v="34"/>
    <n v="96.596820959056501"/>
    <x v="0"/>
    <x v="0"/>
    <x v="0"/>
    <x v="0"/>
    <x v="0"/>
    <x v="0"/>
    <n v="105.2905348453716"/>
  </r>
  <r>
    <x v="3"/>
    <x v="0"/>
    <x v="3"/>
    <x v="3"/>
    <x v="0"/>
    <x v="0"/>
    <x v="0"/>
    <x v="0"/>
    <x v="0"/>
    <x v="0"/>
    <x v="0"/>
    <x v="0"/>
    <x v="2"/>
    <x v="2"/>
    <x v="2"/>
    <x v="27"/>
    <x v="27"/>
    <n v="115.896216218673"/>
    <x v="0"/>
    <x v="0"/>
    <x v="1"/>
    <x v="3"/>
    <x v="3"/>
    <x v="19"/>
    <n v="126.32687567835359"/>
  </r>
  <r>
    <x v="3"/>
    <x v="0"/>
    <x v="3"/>
    <x v="3"/>
    <x v="0"/>
    <x v="0"/>
    <x v="0"/>
    <x v="0"/>
    <x v="0"/>
    <x v="0"/>
    <x v="0"/>
    <x v="0"/>
    <x v="2"/>
    <x v="2"/>
    <x v="2"/>
    <x v="26"/>
    <x v="26"/>
    <n v="136.30644954120299"/>
    <x v="0"/>
    <x v="0"/>
    <x v="1"/>
    <x v="3"/>
    <x v="3"/>
    <x v="15"/>
    <n v="148.57402999991126"/>
  </r>
  <r>
    <x v="3"/>
    <x v="0"/>
    <x v="3"/>
    <x v="3"/>
    <x v="0"/>
    <x v="0"/>
    <x v="0"/>
    <x v="0"/>
    <x v="0"/>
    <x v="0"/>
    <x v="0"/>
    <x v="0"/>
    <x v="2"/>
    <x v="2"/>
    <x v="2"/>
    <x v="0"/>
    <x v="0"/>
    <n v="126.86137633416401"/>
    <x v="0"/>
    <x v="0"/>
    <x v="0"/>
    <x v="0"/>
    <x v="0"/>
    <x v="0"/>
    <n v="138.27890020423877"/>
  </r>
  <r>
    <x v="3"/>
    <x v="0"/>
    <x v="3"/>
    <x v="3"/>
    <x v="0"/>
    <x v="0"/>
    <x v="0"/>
    <x v="0"/>
    <x v="0"/>
    <x v="0"/>
    <x v="0"/>
    <x v="0"/>
    <x v="2"/>
    <x v="2"/>
    <x v="2"/>
    <x v="1"/>
    <x v="1"/>
    <n v="396.02563448057998"/>
    <x v="0"/>
    <x v="0"/>
    <x v="1"/>
    <x v="1"/>
    <x v="1"/>
    <x v="1"/>
    <n v="431.6679415838322"/>
  </r>
  <r>
    <x v="3"/>
    <x v="0"/>
    <x v="3"/>
    <x v="3"/>
    <x v="0"/>
    <x v="0"/>
    <x v="0"/>
    <x v="0"/>
    <x v="0"/>
    <x v="0"/>
    <x v="0"/>
    <x v="0"/>
    <x v="2"/>
    <x v="2"/>
    <x v="2"/>
    <x v="20"/>
    <x v="20"/>
    <n v="299.62106999999997"/>
    <x v="0"/>
    <x v="0"/>
    <x v="1"/>
    <x v="3"/>
    <x v="3"/>
    <x v="13"/>
    <n v="326.58696629999997"/>
  </r>
  <r>
    <x v="3"/>
    <x v="0"/>
    <x v="3"/>
    <x v="3"/>
    <x v="0"/>
    <x v="0"/>
    <x v="0"/>
    <x v="0"/>
    <x v="0"/>
    <x v="0"/>
    <x v="0"/>
    <x v="0"/>
    <x v="2"/>
    <x v="2"/>
    <x v="2"/>
    <x v="2"/>
    <x v="2"/>
    <n v="3002.8058807321399"/>
    <x v="0"/>
    <x v="1"/>
    <x v="2"/>
    <x v="2"/>
    <x v="13"/>
    <x v="2"/>
    <n v="3273.0584099980329"/>
  </r>
  <r>
    <x v="3"/>
    <x v="0"/>
    <x v="3"/>
    <x v="3"/>
    <x v="0"/>
    <x v="0"/>
    <x v="0"/>
    <x v="0"/>
    <x v="0"/>
    <x v="0"/>
    <x v="0"/>
    <x v="0"/>
    <x v="2"/>
    <x v="2"/>
    <x v="2"/>
    <x v="3"/>
    <x v="3"/>
    <n v="133.38613801239899"/>
    <x v="0"/>
    <x v="0"/>
    <x v="1"/>
    <x v="3"/>
    <x v="3"/>
    <x v="3"/>
    <n v="145.3908904335149"/>
  </r>
  <r>
    <x v="3"/>
    <x v="0"/>
    <x v="3"/>
    <x v="3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3"/>
    <x v="0"/>
    <x v="3"/>
    <x v="3"/>
    <x v="0"/>
    <x v="0"/>
    <x v="0"/>
    <x v="0"/>
    <x v="0"/>
    <x v="0"/>
    <x v="0"/>
    <x v="0"/>
    <x v="1"/>
    <x v="6"/>
    <x v="6"/>
    <x v="5"/>
    <x v="5"/>
    <n v="166.50911043071301"/>
    <x v="0"/>
    <x v="0"/>
    <x v="1"/>
    <x v="1"/>
    <x v="1"/>
    <x v="5"/>
    <n v="181.4949303694772"/>
  </r>
  <r>
    <x v="3"/>
    <x v="0"/>
    <x v="3"/>
    <x v="3"/>
    <x v="0"/>
    <x v="0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3"/>
    <x v="0"/>
    <x v="3"/>
    <x v="3"/>
    <x v="0"/>
    <x v="0"/>
    <x v="0"/>
    <x v="0"/>
    <x v="0"/>
    <x v="0"/>
    <x v="0"/>
    <x v="0"/>
    <x v="1"/>
    <x v="6"/>
    <x v="6"/>
    <x v="8"/>
    <x v="8"/>
    <n v="345.21471621842602"/>
    <x v="0"/>
    <x v="1"/>
    <x v="2"/>
    <x v="2"/>
    <x v="6"/>
    <x v="8"/>
    <n v="376.28404067808441"/>
  </r>
  <r>
    <x v="3"/>
    <x v="0"/>
    <x v="3"/>
    <x v="3"/>
    <x v="0"/>
    <x v="0"/>
    <x v="0"/>
    <x v="0"/>
    <x v="0"/>
    <x v="0"/>
    <x v="0"/>
    <x v="0"/>
    <x v="1"/>
    <x v="6"/>
    <x v="6"/>
    <x v="9"/>
    <x v="9"/>
    <n v="24.046055045857099"/>
    <x v="0"/>
    <x v="0"/>
    <x v="1"/>
    <x v="4"/>
    <x v="5"/>
    <x v="9"/>
    <n v="26.210199999984241"/>
  </r>
  <r>
    <x v="3"/>
    <x v="0"/>
    <x v="3"/>
    <x v="3"/>
    <x v="0"/>
    <x v="0"/>
    <x v="0"/>
    <x v="0"/>
    <x v="0"/>
    <x v="0"/>
    <x v="0"/>
    <x v="0"/>
    <x v="1"/>
    <x v="6"/>
    <x v="6"/>
    <x v="10"/>
    <x v="10"/>
    <n v="80.359266054997704"/>
    <x v="0"/>
    <x v="0"/>
    <x v="1"/>
    <x v="4"/>
    <x v="5"/>
    <x v="10"/>
    <n v="87.591599999947505"/>
  </r>
  <r>
    <x v="3"/>
    <x v="0"/>
    <x v="3"/>
    <x v="3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3"/>
    <x v="0"/>
    <x v="3"/>
    <x v="3"/>
    <x v="0"/>
    <x v="0"/>
    <x v="0"/>
    <x v="0"/>
    <x v="0"/>
    <x v="0"/>
    <x v="0"/>
    <x v="0"/>
    <x v="1"/>
    <x v="6"/>
    <x v="6"/>
    <x v="12"/>
    <x v="12"/>
    <n v="487.87547674233201"/>
    <x v="0"/>
    <x v="0"/>
    <x v="0"/>
    <x v="0"/>
    <x v="8"/>
    <x v="12"/>
    <n v="531.78426964914195"/>
  </r>
  <r>
    <x v="3"/>
    <x v="0"/>
    <x v="3"/>
    <x v="3"/>
    <x v="0"/>
    <x v="0"/>
    <x v="0"/>
    <x v="0"/>
    <x v="0"/>
    <x v="0"/>
    <x v="0"/>
    <x v="0"/>
    <x v="1"/>
    <x v="6"/>
    <x v="6"/>
    <x v="14"/>
    <x v="14"/>
    <n v="29.586069999999999"/>
    <x v="0"/>
    <x v="0"/>
    <x v="0"/>
    <x v="0"/>
    <x v="8"/>
    <x v="14"/>
    <n v="32.248816300000001"/>
  </r>
  <r>
    <x v="3"/>
    <x v="0"/>
    <x v="3"/>
    <x v="3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3"/>
    <x v="0"/>
    <x v="3"/>
    <x v="3"/>
    <x v="0"/>
    <x v="0"/>
    <x v="0"/>
    <x v="0"/>
    <x v="0"/>
    <x v="0"/>
    <x v="0"/>
    <x v="0"/>
    <x v="1"/>
    <x v="6"/>
    <x v="6"/>
    <x v="18"/>
    <x v="18"/>
    <n v="39.923859999999998"/>
    <x v="0"/>
    <x v="0"/>
    <x v="0"/>
    <x v="0"/>
    <x v="4"/>
    <x v="18"/>
    <n v="43.517007399999997"/>
  </r>
  <r>
    <x v="3"/>
    <x v="0"/>
    <x v="3"/>
    <x v="3"/>
    <x v="0"/>
    <x v="0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3"/>
    <x v="0"/>
    <x v="3"/>
    <x v="3"/>
    <x v="0"/>
    <x v="0"/>
    <x v="0"/>
    <x v="0"/>
    <x v="0"/>
    <x v="0"/>
    <x v="0"/>
    <x v="0"/>
    <x v="1"/>
    <x v="6"/>
    <x v="6"/>
    <x v="0"/>
    <x v="0"/>
    <n v="187.679090746805"/>
    <x v="0"/>
    <x v="0"/>
    <x v="0"/>
    <x v="0"/>
    <x v="0"/>
    <x v="0"/>
    <n v="204.57020891401746"/>
  </r>
  <r>
    <x v="3"/>
    <x v="0"/>
    <x v="3"/>
    <x v="3"/>
    <x v="0"/>
    <x v="0"/>
    <x v="0"/>
    <x v="0"/>
    <x v="0"/>
    <x v="0"/>
    <x v="0"/>
    <x v="0"/>
    <x v="1"/>
    <x v="6"/>
    <x v="6"/>
    <x v="2"/>
    <x v="2"/>
    <n v="401.33896330251201"/>
    <x v="0"/>
    <x v="1"/>
    <x v="2"/>
    <x v="2"/>
    <x v="13"/>
    <x v="2"/>
    <n v="437.45946999973813"/>
  </r>
  <r>
    <x v="3"/>
    <x v="0"/>
    <x v="3"/>
    <x v="3"/>
    <x v="0"/>
    <x v="0"/>
    <x v="0"/>
    <x v="0"/>
    <x v="0"/>
    <x v="0"/>
    <x v="0"/>
    <x v="0"/>
    <x v="1"/>
    <x v="6"/>
    <x v="6"/>
    <x v="3"/>
    <x v="3"/>
    <n v="40.018311819538702"/>
    <x v="0"/>
    <x v="0"/>
    <x v="1"/>
    <x v="3"/>
    <x v="3"/>
    <x v="3"/>
    <n v="43.619959883297192"/>
  </r>
  <r>
    <x v="3"/>
    <x v="0"/>
    <x v="3"/>
    <x v="3"/>
    <x v="0"/>
    <x v="0"/>
    <x v="0"/>
    <x v="0"/>
    <x v="0"/>
    <x v="0"/>
    <x v="0"/>
    <x v="0"/>
    <x v="3"/>
    <x v="7"/>
    <x v="7"/>
    <x v="6"/>
    <x v="6"/>
    <n v="48.322870000000002"/>
    <x v="0"/>
    <x v="0"/>
    <x v="0"/>
    <x v="0"/>
    <x v="4"/>
    <x v="6"/>
    <n v="52.671928300000005"/>
  </r>
  <r>
    <x v="3"/>
    <x v="0"/>
    <x v="3"/>
    <x v="3"/>
    <x v="0"/>
    <x v="0"/>
    <x v="0"/>
    <x v="0"/>
    <x v="0"/>
    <x v="0"/>
    <x v="0"/>
    <x v="0"/>
    <x v="3"/>
    <x v="7"/>
    <x v="7"/>
    <x v="9"/>
    <x v="9"/>
    <n v="124.463133443869"/>
    <x v="0"/>
    <x v="0"/>
    <x v="1"/>
    <x v="4"/>
    <x v="5"/>
    <x v="9"/>
    <n v="135.66481545381723"/>
  </r>
  <r>
    <x v="3"/>
    <x v="0"/>
    <x v="3"/>
    <x v="3"/>
    <x v="0"/>
    <x v="0"/>
    <x v="0"/>
    <x v="0"/>
    <x v="0"/>
    <x v="0"/>
    <x v="0"/>
    <x v="0"/>
    <x v="3"/>
    <x v="7"/>
    <x v="7"/>
    <x v="10"/>
    <x v="10"/>
    <n v="31.176424551536599"/>
    <x v="0"/>
    <x v="0"/>
    <x v="1"/>
    <x v="4"/>
    <x v="5"/>
    <x v="10"/>
    <n v="33.982302761174893"/>
  </r>
  <r>
    <x v="3"/>
    <x v="0"/>
    <x v="3"/>
    <x v="3"/>
    <x v="0"/>
    <x v="0"/>
    <x v="0"/>
    <x v="0"/>
    <x v="0"/>
    <x v="0"/>
    <x v="0"/>
    <x v="0"/>
    <x v="3"/>
    <x v="7"/>
    <x v="7"/>
    <x v="11"/>
    <x v="11"/>
    <n v="69.218320000000006"/>
    <x v="0"/>
    <x v="0"/>
    <x v="3"/>
    <x v="5"/>
    <x v="7"/>
    <x v="11"/>
    <n v="75.447968800000012"/>
  </r>
  <r>
    <x v="3"/>
    <x v="0"/>
    <x v="3"/>
    <x v="3"/>
    <x v="0"/>
    <x v="0"/>
    <x v="0"/>
    <x v="0"/>
    <x v="0"/>
    <x v="0"/>
    <x v="0"/>
    <x v="0"/>
    <x v="3"/>
    <x v="7"/>
    <x v="7"/>
    <x v="36"/>
    <x v="36"/>
    <n v="32.4275229357604"/>
    <x v="0"/>
    <x v="0"/>
    <x v="1"/>
    <x v="3"/>
    <x v="3"/>
    <x v="4"/>
    <n v="35.345999999978837"/>
  </r>
  <r>
    <x v="3"/>
    <x v="0"/>
    <x v="3"/>
    <x v="3"/>
    <x v="0"/>
    <x v="0"/>
    <x v="0"/>
    <x v="0"/>
    <x v="0"/>
    <x v="0"/>
    <x v="0"/>
    <x v="0"/>
    <x v="3"/>
    <x v="7"/>
    <x v="7"/>
    <x v="24"/>
    <x v="24"/>
    <n v="60.162788990789601"/>
    <x v="0"/>
    <x v="0"/>
    <x v="1"/>
    <x v="3"/>
    <x v="3"/>
    <x v="4"/>
    <n v="65.577439999960674"/>
  </r>
  <r>
    <x v="3"/>
    <x v="0"/>
    <x v="3"/>
    <x v="3"/>
    <x v="0"/>
    <x v="0"/>
    <x v="0"/>
    <x v="0"/>
    <x v="0"/>
    <x v="0"/>
    <x v="0"/>
    <x v="0"/>
    <x v="3"/>
    <x v="7"/>
    <x v="7"/>
    <x v="17"/>
    <x v="17"/>
    <n v="255.74338"/>
    <x v="0"/>
    <x v="0"/>
    <x v="0"/>
    <x v="0"/>
    <x v="4"/>
    <x v="17"/>
    <n v="278.7602842"/>
  </r>
  <r>
    <x v="3"/>
    <x v="0"/>
    <x v="3"/>
    <x v="3"/>
    <x v="0"/>
    <x v="0"/>
    <x v="0"/>
    <x v="0"/>
    <x v="0"/>
    <x v="0"/>
    <x v="0"/>
    <x v="0"/>
    <x v="3"/>
    <x v="7"/>
    <x v="7"/>
    <x v="18"/>
    <x v="18"/>
    <n v="28.411049999999999"/>
    <x v="0"/>
    <x v="0"/>
    <x v="0"/>
    <x v="0"/>
    <x v="4"/>
    <x v="18"/>
    <n v="30.968044500000001"/>
  </r>
  <r>
    <x v="3"/>
    <x v="0"/>
    <x v="3"/>
    <x v="3"/>
    <x v="0"/>
    <x v="0"/>
    <x v="0"/>
    <x v="0"/>
    <x v="0"/>
    <x v="0"/>
    <x v="0"/>
    <x v="0"/>
    <x v="3"/>
    <x v="7"/>
    <x v="7"/>
    <x v="34"/>
    <x v="34"/>
    <n v="18.760314410161399"/>
    <x v="0"/>
    <x v="0"/>
    <x v="0"/>
    <x v="0"/>
    <x v="0"/>
    <x v="0"/>
    <n v="20.448742707075926"/>
  </r>
  <r>
    <x v="3"/>
    <x v="0"/>
    <x v="3"/>
    <x v="3"/>
    <x v="0"/>
    <x v="0"/>
    <x v="0"/>
    <x v="0"/>
    <x v="0"/>
    <x v="0"/>
    <x v="0"/>
    <x v="0"/>
    <x v="3"/>
    <x v="7"/>
    <x v="7"/>
    <x v="26"/>
    <x v="26"/>
    <n v="32.759339449521597"/>
    <x v="0"/>
    <x v="0"/>
    <x v="1"/>
    <x v="3"/>
    <x v="3"/>
    <x v="15"/>
    <n v="35.707679999978545"/>
  </r>
  <r>
    <x v="3"/>
    <x v="0"/>
    <x v="3"/>
    <x v="3"/>
    <x v="0"/>
    <x v="0"/>
    <x v="0"/>
    <x v="0"/>
    <x v="0"/>
    <x v="0"/>
    <x v="0"/>
    <x v="0"/>
    <x v="1"/>
    <x v="8"/>
    <x v="8"/>
    <x v="6"/>
    <x v="6"/>
    <n v="47.433309999999999"/>
    <x v="0"/>
    <x v="0"/>
    <x v="0"/>
    <x v="0"/>
    <x v="4"/>
    <x v="6"/>
    <n v="51.702307900000001"/>
  </r>
  <r>
    <x v="3"/>
    <x v="0"/>
    <x v="3"/>
    <x v="3"/>
    <x v="0"/>
    <x v="0"/>
    <x v="0"/>
    <x v="0"/>
    <x v="0"/>
    <x v="0"/>
    <x v="0"/>
    <x v="0"/>
    <x v="1"/>
    <x v="8"/>
    <x v="8"/>
    <x v="8"/>
    <x v="8"/>
    <n v="132.52551351436199"/>
    <x v="0"/>
    <x v="1"/>
    <x v="2"/>
    <x v="2"/>
    <x v="6"/>
    <x v="8"/>
    <n v="144.45280973065459"/>
  </r>
  <r>
    <x v="3"/>
    <x v="0"/>
    <x v="3"/>
    <x v="3"/>
    <x v="0"/>
    <x v="0"/>
    <x v="0"/>
    <x v="0"/>
    <x v="0"/>
    <x v="0"/>
    <x v="0"/>
    <x v="0"/>
    <x v="1"/>
    <x v="8"/>
    <x v="8"/>
    <x v="9"/>
    <x v="9"/>
    <n v="92.842167215923098"/>
    <x v="0"/>
    <x v="0"/>
    <x v="1"/>
    <x v="4"/>
    <x v="5"/>
    <x v="9"/>
    <n v="101.19796226535618"/>
  </r>
  <r>
    <x v="3"/>
    <x v="0"/>
    <x v="3"/>
    <x v="3"/>
    <x v="0"/>
    <x v="0"/>
    <x v="0"/>
    <x v="0"/>
    <x v="0"/>
    <x v="0"/>
    <x v="0"/>
    <x v="0"/>
    <x v="1"/>
    <x v="8"/>
    <x v="8"/>
    <x v="10"/>
    <x v="10"/>
    <n v="41.7704768518362"/>
    <x v="0"/>
    <x v="0"/>
    <x v="1"/>
    <x v="4"/>
    <x v="5"/>
    <x v="10"/>
    <n v="45.529819768501461"/>
  </r>
  <r>
    <x v="3"/>
    <x v="0"/>
    <x v="3"/>
    <x v="3"/>
    <x v="0"/>
    <x v="0"/>
    <x v="0"/>
    <x v="0"/>
    <x v="0"/>
    <x v="0"/>
    <x v="0"/>
    <x v="0"/>
    <x v="1"/>
    <x v="8"/>
    <x v="8"/>
    <x v="11"/>
    <x v="11"/>
    <n v="4.9153599999999997"/>
    <x v="0"/>
    <x v="0"/>
    <x v="3"/>
    <x v="5"/>
    <x v="7"/>
    <x v="11"/>
    <n v="5.3577424000000002"/>
  </r>
  <r>
    <x v="3"/>
    <x v="0"/>
    <x v="3"/>
    <x v="3"/>
    <x v="0"/>
    <x v="0"/>
    <x v="0"/>
    <x v="0"/>
    <x v="0"/>
    <x v="0"/>
    <x v="0"/>
    <x v="0"/>
    <x v="1"/>
    <x v="8"/>
    <x v="8"/>
    <x v="36"/>
    <x v="36"/>
    <n v="1.4623853211000399"/>
    <x v="0"/>
    <x v="0"/>
    <x v="1"/>
    <x v="3"/>
    <x v="3"/>
    <x v="4"/>
    <n v="1.5939999999990437"/>
  </r>
  <r>
    <x v="3"/>
    <x v="0"/>
    <x v="3"/>
    <x v="3"/>
    <x v="0"/>
    <x v="0"/>
    <x v="0"/>
    <x v="0"/>
    <x v="0"/>
    <x v="0"/>
    <x v="0"/>
    <x v="0"/>
    <x v="1"/>
    <x v="8"/>
    <x v="8"/>
    <x v="24"/>
    <x v="24"/>
    <n v="73.232770642157902"/>
    <x v="0"/>
    <x v="0"/>
    <x v="1"/>
    <x v="3"/>
    <x v="3"/>
    <x v="4"/>
    <n v="79.823719999952118"/>
  </r>
  <r>
    <x v="3"/>
    <x v="0"/>
    <x v="3"/>
    <x v="3"/>
    <x v="0"/>
    <x v="0"/>
    <x v="0"/>
    <x v="0"/>
    <x v="0"/>
    <x v="0"/>
    <x v="0"/>
    <x v="0"/>
    <x v="1"/>
    <x v="8"/>
    <x v="8"/>
    <x v="17"/>
    <x v="17"/>
    <n v="23.188669999999998"/>
    <x v="0"/>
    <x v="0"/>
    <x v="0"/>
    <x v="0"/>
    <x v="4"/>
    <x v="17"/>
    <n v="25.275650299999999"/>
  </r>
  <r>
    <x v="3"/>
    <x v="0"/>
    <x v="3"/>
    <x v="3"/>
    <x v="0"/>
    <x v="0"/>
    <x v="0"/>
    <x v="0"/>
    <x v="0"/>
    <x v="0"/>
    <x v="0"/>
    <x v="0"/>
    <x v="1"/>
    <x v="8"/>
    <x v="8"/>
    <x v="21"/>
    <x v="21"/>
    <n v="5.5213944954095302"/>
    <x v="0"/>
    <x v="0"/>
    <x v="1"/>
    <x v="4"/>
    <x v="5"/>
    <x v="10"/>
    <n v="6.0183199999963888"/>
  </r>
  <r>
    <x v="3"/>
    <x v="0"/>
    <x v="3"/>
    <x v="3"/>
    <x v="0"/>
    <x v="0"/>
    <x v="0"/>
    <x v="0"/>
    <x v="0"/>
    <x v="0"/>
    <x v="0"/>
    <x v="0"/>
    <x v="1"/>
    <x v="8"/>
    <x v="8"/>
    <x v="18"/>
    <x v="18"/>
    <n v="22.74212"/>
    <x v="0"/>
    <x v="0"/>
    <x v="0"/>
    <x v="0"/>
    <x v="4"/>
    <x v="18"/>
    <n v="24.7889108"/>
  </r>
  <r>
    <x v="3"/>
    <x v="0"/>
    <x v="3"/>
    <x v="3"/>
    <x v="0"/>
    <x v="0"/>
    <x v="0"/>
    <x v="0"/>
    <x v="0"/>
    <x v="0"/>
    <x v="0"/>
    <x v="0"/>
    <x v="1"/>
    <x v="8"/>
    <x v="8"/>
    <x v="34"/>
    <x v="34"/>
    <n v="2.6335580785578498"/>
    <x v="0"/>
    <x v="0"/>
    <x v="0"/>
    <x v="0"/>
    <x v="0"/>
    <x v="0"/>
    <n v="2.8705783056280567"/>
  </r>
  <r>
    <x v="3"/>
    <x v="0"/>
    <x v="3"/>
    <x v="3"/>
    <x v="0"/>
    <x v="0"/>
    <x v="0"/>
    <x v="0"/>
    <x v="0"/>
    <x v="0"/>
    <x v="0"/>
    <x v="0"/>
    <x v="1"/>
    <x v="8"/>
    <x v="8"/>
    <x v="37"/>
    <x v="37"/>
    <n v="41.041614678874502"/>
    <x v="0"/>
    <x v="0"/>
    <x v="1"/>
    <x v="3"/>
    <x v="3"/>
    <x v="4"/>
    <n v="44.735359999973213"/>
  </r>
  <r>
    <x v="3"/>
    <x v="0"/>
    <x v="3"/>
    <x v="3"/>
    <x v="0"/>
    <x v="0"/>
    <x v="0"/>
    <x v="0"/>
    <x v="0"/>
    <x v="0"/>
    <x v="0"/>
    <x v="0"/>
    <x v="1"/>
    <x v="8"/>
    <x v="8"/>
    <x v="0"/>
    <x v="0"/>
    <n v="10.008798042676601"/>
    <x v="0"/>
    <x v="0"/>
    <x v="0"/>
    <x v="0"/>
    <x v="0"/>
    <x v="0"/>
    <n v="10.909589866517495"/>
  </r>
  <r>
    <x v="3"/>
    <x v="0"/>
    <x v="3"/>
    <x v="3"/>
    <x v="0"/>
    <x v="0"/>
    <x v="0"/>
    <x v="0"/>
    <x v="0"/>
    <x v="0"/>
    <x v="0"/>
    <x v="0"/>
    <x v="0"/>
    <x v="9"/>
    <x v="9"/>
    <x v="6"/>
    <x v="6"/>
    <n v="112.1506"/>
    <x v="0"/>
    <x v="0"/>
    <x v="0"/>
    <x v="0"/>
    <x v="4"/>
    <x v="6"/>
    <n v="122.24415400000001"/>
  </r>
  <r>
    <x v="3"/>
    <x v="0"/>
    <x v="3"/>
    <x v="3"/>
    <x v="0"/>
    <x v="0"/>
    <x v="0"/>
    <x v="0"/>
    <x v="0"/>
    <x v="0"/>
    <x v="0"/>
    <x v="0"/>
    <x v="0"/>
    <x v="9"/>
    <x v="9"/>
    <x v="7"/>
    <x v="7"/>
    <n v="96.394853210951297"/>
    <x v="0"/>
    <x v="0"/>
    <x v="1"/>
    <x v="4"/>
    <x v="5"/>
    <x v="7"/>
    <n v="105.07038999993692"/>
  </r>
  <r>
    <x v="3"/>
    <x v="0"/>
    <x v="3"/>
    <x v="3"/>
    <x v="0"/>
    <x v="0"/>
    <x v="0"/>
    <x v="0"/>
    <x v="0"/>
    <x v="0"/>
    <x v="0"/>
    <x v="0"/>
    <x v="0"/>
    <x v="9"/>
    <x v="9"/>
    <x v="9"/>
    <x v="9"/>
    <n v="324.13707811669298"/>
    <x v="0"/>
    <x v="0"/>
    <x v="1"/>
    <x v="4"/>
    <x v="5"/>
    <x v="9"/>
    <n v="353.30941514719535"/>
  </r>
  <r>
    <x v="3"/>
    <x v="0"/>
    <x v="3"/>
    <x v="3"/>
    <x v="0"/>
    <x v="0"/>
    <x v="0"/>
    <x v="0"/>
    <x v="0"/>
    <x v="0"/>
    <x v="0"/>
    <x v="0"/>
    <x v="0"/>
    <x v="9"/>
    <x v="9"/>
    <x v="10"/>
    <x v="10"/>
    <n v="49.861543140729601"/>
    <x v="0"/>
    <x v="0"/>
    <x v="1"/>
    <x v="4"/>
    <x v="5"/>
    <x v="10"/>
    <n v="54.349082023395269"/>
  </r>
  <r>
    <x v="3"/>
    <x v="0"/>
    <x v="3"/>
    <x v="3"/>
    <x v="0"/>
    <x v="0"/>
    <x v="0"/>
    <x v="0"/>
    <x v="0"/>
    <x v="0"/>
    <x v="0"/>
    <x v="0"/>
    <x v="0"/>
    <x v="9"/>
    <x v="9"/>
    <x v="11"/>
    <x v="11"/>
    <n v="40.757840000000002"/>
    <x v="0"/>
    <x v="0"/>
    <x v="3"/>
    <x v="5"/>
    <x v="7"/>
    <x v="11"/>
    <n v="44.426045600000002"/>
  </r>
  <r>
    <x v="3"/>
    <x v="0"/>
    <x v="3"/>
    <x v="3"/>
    <x v="0"/>
    <x v="0"/>
    <x v="0"/>
    <x v="0"/>
    <x v="0"/>
    <x v="0"/>
    <x v="0"/>
    <x v="0"/>
    <x v="0"/>
    <x v="9"/>
    <x v="9"/>
    <x v="12"/>
    <x v="12"/>
    <n v="8.9146976743847297"/>
    <x v="0"/>
    <x v="0"/>
    <x v="0"/>
    <x v="0"/>
    <x v="8"/>
    <x v="12"/>
    <n v="9.7170204650793561"/>
  </r>
  <r>
    <x v="3"/>
    <x v="0"/>
    <x v="3"/>
    <x v="3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3"/>
    <x v="0"/>
    <x v="3"/>
    <x v="3"/>
    <x v="0"/>
    <x v="0"/>
    <x v="0"/>
    <x v="0"/>
    <x v="0"/>
    <x v="0"/>
    <x v="0"/>
    <x v="0"/>
    <x v="0"/>
    <x v="9"/>
    <x v="9"/>
    <x v="36"/>
    <x v="36"/>
    <n v="5.3528807339417401"/>
    <x v="0"/>
    <x v="0"/>
    <x v="1"/>
    <x v="3"/>
    <x v="3"/>
    <x v="4"/>
    <n v="5.8346399999964973"/>
  </r>
  <r>
    <x v="3"/>
    <x v="0"/>
    <x v="3"/>
    <x v="3"/>
    <x v="0"/>
    <x v="0"/>
    <x v="0"/>
    <x v="0"/>
    <x v="0"/>
    <x v="0"/>
    <x v="0"/>
    <x v="0"/>
    <x v="0"/>
    <x v="9"/>
    <x v="9"/>
    <x v="24"/>
    <x v="24"/>
    <n v="62.472954128402897"/>
    <x v="0"/>
    <x v="0"/>
    <x v="1"/>
    <x v="3"/>
    <x v="3"/>
    <x v="4"/>
    <n v="68.095519999959166"/>
  </r>
  <r>
    <x v="3"/>
    <x v="0"/>
    <x v="3"/>
    <x v="3"/>
    <x v="0"/>
    <x v="0"/>
    <x v="0"/>
    <x v="0"/>
    <x v="0"/>
    <x v="0"/>
    <x v="0"/>
    <x v="0"/>
    <x v="0"/>
    <x v="9"/>
    <x v="9"/>
    <x v="17"/>
    <x v="17"/>
    <n v="62.720010000000002"/>
    <x v="0"/>
    <x v="0"/>
    <x v="0"/>
    <x v="0"/>
    <x v="4"/>
    <x v="17"/>
    <n v="68.364810900000009"/>
  </r>
  <r>
    <x v="3"/>
    <x v="0"/>
    <x v="3"/>
    <x v="3"/>
    <x v="0"/>
    <x v="0"/>
    <x v="0"/>
    <x v="0"/>
    <x v="0"/>
    <x v="0"/>
    <x v="0"/>
    <x v="0"/>
    <x v="0"/>
    <x v="9"/>
    <x v="9"/>
    <x v="21"/>
    <x v="21"/>
    <n v="880.21757798112299"/>
    <x v="0"/>
    <x v="0"/>
    <x v="1"/>
    <x v="4"/>
    <x v="5"/>
    <x v="10"/>
    <n v="959.43715999942413"/>
  </r>
  <r>
    <x v="3"/>
    <x v="0"/>
    <x v="3"/>
    <x v="3"/>
    <x v="0"/>
    <x v="0"/>
    <x v="0"/>
    <x v="0"/>
    <x v="0"/>
    <x v="0"/>
    <x v="0"/>
    <x v="0"/>
    <x v="0"/>
    <x v="9"/>
    <x v="9"/>
    <x v="18"/>
    <x v="18"/>
    <n v="116.17305"/>
    <x v="0"/>
    <x v="0"/>
    <x v="0"/>
    <x v="0"/>
    <x v="4"/>
    <x v="18"/>
    <n v="126.62862450000002"/>
  </r>
  <r>
    <x v="3"/>
    <x v="0"/>
    <x v="3"/>
    <x v="3"/>
    <x v="0"/>
    <x v="0"/>
    <x v="0"/>
    <x v="0"/>
    <x v="0"/>
    <x v="0"/>
    <x v="0"/>
    <x v="0"/>
    <x v="0"/>
    <x v="9"/>
    <x v="9"/>
    <x v="34"/>
    <x v="34"/>
    <n v="10.649732750910699"/>
    <x v="0"/>
    <x v="0"/>
    <x v="0"/>
    <x v="0"/>
    <x v="0"/>
    <x v="0"/>
    <n v="11.608208698492662"/>
  </r>
  <r>
    <x v="3"/>
    <x v="0"/>
    <x v="3"/>
    <x v="3"/>
    <x v="0"/>
    <x v="0"/>
    <x v="0"/>
    <x v="0"/>
    <x v="0"/>
    <x v="0"/>
    <x v="0"/>
    <x v="0"/>
    <x v="0"/>
    <x v="9"/>
    <x v="9"/>
    <x v="37"/>
    <x v="37"/>
    <n v="18.9778348623739"/>
    <x v="0"/>
    <x v="0"/>
    <x v="1"/>
    <x v="3"/>
    <x v="3"/>
    <x v="4"/>
    <n v="20.685839999987554"/>
  </r>
  <r>
    <x v="3"/>
    <x v="0"/>
    <x v="3"/>
    <x v="3"/>
    <x v="0"/>
    <x v="0"/>
    <x v="0"/>
    <x v="0"/>
    <x v="0"/>
    <x v="0"/>
    <x v="0"/>
    <x v="0"/>
    <x v="0"/>
    <x v="9"/>
    <x v="9"/>
    <x v="26"/>
    <x v="26"/>
    <n v="12.6052844036622"/>
    <x v="0"/>
    <x v="0"/>
    <x v="1"/>
    <x v="3"/>
    <x v="3"/>
    <x v="15"/>
    <n v="13.739759999991799"/>
  </r>
  <r>
    <x v="3"/>
    <x v="0"/>
    <x v="3"/>
    <x v="3"/>
    <x v="0"/>
    <x v="0"/>
    <x v="0"/>
    <x v="0"/>
    <x v="0"/>
    <x v="0"/>
    <x v="0"/>
    <x v="0"/>
    <x v="0"/>
    <x v="9"/>
    <x v="9"/>
    <x v="0"/>
    <x v="0"/>
    <n v="1.2658362989288401"/>
    <x v="0"/>
    <x v="0"/>
    <x v="0"/>
    <x v="0"/>
    <x v="0"/>
    <x v="0"/>
    <n v="1.3797615658324358"/>
  </r>
  <r>
    <x v="3"/>
    <x v="0"/>
    <x v="3"/>
    <x v="3"/>
    <x v="0"/>
    <x v="0"/>
    <x v="0"/>
    <x v="0"/>
    <x v="0"/>
    <x v="0"/>
    <x v="0"/>
    <x v="0"/>
    <x v="0"/>
    <x v="9"/>
    <x v="9"/>
    <x v="2"/>
    <x v="2"/>
    <n v="18.212036697236801"/>
    <x v="0"/>
    <x v="1"/>
    <x v="2"/>
    <x v="2"/>
    <x v="13"/>
    <x v="2"/>
    <n v="19.851119999988114"/>
  </r>
  <r>
    <x v="3"/>
    <x v="0"/>
    <x v="3"/>
    <x v="3"/>
    <x v="0"/>
    <x v="0"/>
    <x v="0"/>
    <x v="0"/>
    <x v="0"/>
    <x v="0"/>
    <x v="0"/>
    <x v="0"/>
    <x v="2"/>
    <x v="10"/>
    <x v="10"/>
    <x v="6"/>
    <x v="6"/>
    <n v="184.29675"/>
    <x v="0"/>
    <x v="0"/>
    <x v="0"/>
    <x v="0"/>
    <x v="4"/>
    <x v="6"/>
    <n v="200.88345750000002"/>
  </r>
  <r>
    <x v="3"/>
    <x v="0"/>
    <x v="3"/>
    <x v="3"/>
    <x v="0"/>
    <x v="0"/>
    <x v="0"/>
    <x v="0"/>
    <x v="0"/>
    <x v="0"/>
    <x v="0"/>
    <x v="0"/>
    <x v="2"/>
    <x v="10"/>
    <x v="10"/>
    <x v="7"/>
    <x v="7"/>
    <n v="12.4001192660476"/>
    <x v="0"/>
    <x v="0"/>
    <x v="1"/>
    <x v="4"/>
    <x v="5"/>
    <x v="7"/>
    <n v="13.516129999991884"/>
  </r>
  <r>
    <x v="3"/>
    <x v="0"/>
    <x v="3"/>
    <x v="3"/>
    <x v="0"/>
    <x v="0"/>
    <x v="0"/>
    <x v="0"/>
    <x v="0"/>
    <x v="0"/>
    <x v="0"/>
    <x v="0"/>
    <x v="2"/>
    <x v="10"/>
    <x v="10"/>
    <x v="9"/>
    <x v="9"/>
    <n v="152.00871676825301"/>
    <x v="0"/>
    <x v="0"/>
    <x v="1"/>
    <x v="4"/>
    <x v="5"/>
    <x v="9"/>
    <n v="165.68950127739581"/>
  </r>
  <r>
    <x v="3"/>
    <x v="0"/>
    <x v="3"/>
    <x v="3"/>
    <x v="0"/>
    <x v="0"/>
    <x v="0"/>
    <x v="0"/>
    <x v="0"/>
    <x v="0"/>
    <x v="0"/>
    <x v="0"/>
    <x v="2"/>
    <x v="10"/>
    <x v="10"/>
    <x v="10"/>
    <x v="10"/>
    <n v="37.942376003509096"/>
    <x v="0"/>
    <x v="0"/>
    <x v="1"/>
    <x v="4"/>
    <x v="5"/>
    <x v="10"/>
    <n v="41.357189843824919"/>
  </r>
  <r>
    <x v="3"/>
    <x v="0"/>
    <x v="3"/>
    <x v="3"/>
    <x v="0"/>
    <x v="0"/>
    <x v="0"/>
    <x v="0"/>
    <x v="0"/>
    <x v="0"/>
    <x v="0"/>
    <x v="0"/>
    <x v="2"/>
    <x v="10"/>
    <x v="10"/>
    <x v="11"/>
    <x v="11"/>
    <n v="25.859439999999999"/>
    <x v="0"/>
    <x v="0"/>
    <x v="3"/>
    <x v="5"/>
    <x v="7"/>
    <x v="11"/>
    <n v="28.186789600000001"/>
  </r>
  <r>
    <x v="3"/>
    <x v="0"/>
    <x v="3"/>
    <x v="3"/>
    <x v="0"/>
    <x v="0"/>
    <x v="0"/>
    <x v="0"/>
    <x v="0"/>
    <x v="0"/>
    <x v="0"/>
    <x v="0"/>
    <x v="2"/>
    <x v="10"/>
    <x v="10"/>
    <x v="22"/>
    <x v="22"/>
    <n v="2.4002688171947"/>
    <x v="0"/>
    <x v="0"/>
    <x v="0"/>
    <x v="0"/>
    <x v="0"/>
    <x v="0"/>
    <n v="2.6162930107422233"/>
  </r>
  <r>
    <x v="3"/>
    <x v="0"/>
    <x v="3"/>
    <x v="3"/>
    <x v="0"/>
    <x v="0"/>
    <x v="0"/>
    <x v="0"/>
    <x v="0"/>
    <x v="0"/>
    <x v="0"/>
    <x v="0"/>
    <x v="2"/>
    <x v="10"/>
    <x v="10"/>
    <x v="36"/>
    <x v="36"/>
    <n v="11.3246972476996"/>
    <x v="0"/>
    <x v="0"/>
    <x v="1"/>
    <x v="3"/>
    <x v="3"/>
    <x v="4"/>
    <n v="12.343919999992565"/>
  </r>
  <r>
    <x v="3"/>
    <x v="0"/>
    <x v="3"/>
    <x v="3"/>
    <x v="0"/>
    <x v="0"/>
    <x v="0"/>
    <x v="0"/>
    <x v="0"/>
    <x v="0"/>
    <x v="0"/>
    <x v="0"/>
    <x v="2"/>
    <x v="10"/>
    <x v="10"/>
    <x v="24"/>
    <x v="24"/>
    <n v="38.978412844013299"/>
    <x v="0"/>
    <x v="0"/>
    <x v="1"/>
    <x v="3"/>
    <x v="3"/>
    <x v="4"/>
    <n v="42.486469999974496"/>
  </r>
  <r>
    <x v="3"/>
    <x v="0"/>
    <x v="3"/>
    <x v="3"/>
    <x v="0"/>
    <x v="0"/>
    <x v="0"/>
    <x v="0"/>
    <x v="0"/>
    <x v="0"/>
    <x v="0"/>
    <x v="0"/>
    <x v="2"/>
    <x v="10"/>
    <x v="10"/>
    <x v="17"/>
    <x v="17"/>
    <n v="25.114000000000001"/>
    <x v="0"/>
    <x v="0"/>
    <x v="0"/>
    <x v="0"/>
    <x v="4"/>
    <x v="17"/>
    <n v="27.374260000000003"/>
  </r>
  <r>
    <x v="3"/>
    <x v="0"/>
    <x v="3"/>
    <x v="3"/>
    <x v="0"/>
    <x v="0"/>
    <x v="0"/>
    <x v="0"/>
    <x v="0"/>
    <x v="0"/>
    <x v="0"/>
    <x v="0"/>
    <x v="2"/>
    <x v="10"/>
    <x v="10"/>
    <x v="21"/>
    <x v="21"/>
    <n v="158.02566055036399"/>
    <x v="0"/>
    <x v="0"/>
    <x v="1"/>
    <x v="4"/>
    <x v="5"/>
    <x v="10"/>
    <n v="172.24796999989675"/>
  </r>
  <r>
    <x v="3"/>
    <x v="0"/>
    <x v="3"/>
    <x v="3"/>
    <x v="0"/>
    <x v="0"/>
    <x v="0"/>
    <x v="0"/>
    <x v="0"/>
    <x v="0"/>
    <x v="0"/>
    <x v="0"/>
    <x v="2"/>
    <x v="10"/>
    <x v="10"/>
    <x v="18"/>
    <x v="18"/>
    <n v="42.72"/>
    <x v="0"/>
    <x v="0"/>
    <x v="0"/>
    <x v="0"/>
    <x v="4"/>
    <x v="18"/>
    <n v="46.564800000000005"/>
  </r>
  <r>
    <x v="3"/>
    <x v="0"/>
    <x v="3"/>
    <x v="3"/>
    <x v="0"/>
    <x v="0"/>
    <x v="0"/>
    <x v="0"/>
    <x v="0"/>
    <x v="0"/>
    <x v="0"/>
    <x v="0"/>
    <x v="2"/>
    <x v="10"/>
    <x v="10"/>
    <x v="34"/>
    <x v="34"/>
    <n v="22.192202619710098"/>
    <x v="0"/>
    <x v="0"/>
    <x v="0"/>
    <x v="0"/>
    <x v="0"/>
    <x v="0"/>
    <n v="24.18950085548401"/>
  </r>
  <r>
    <x v="3"/>
    <x v="0"/>
    <x v="3"/>
    <x v="3"/>
    <x v="0"/>
    <x v="0"/>
    <x v="0"/>
    <x v="0"/>
    <x v="0"/>
    <x v="0"/>
    <x v="0"/>
    <x v="0"/>
    <x v="2"/>
    <x v="10"/>
    <x v="10"/>
    <x v="37"/>
    <x v="37"/>
    <n v="24.641834862370501"/>
    <x v="0"/>
    <x v="0"/>
    <x v="1"/>
    <x v="3"/>
    <x v="3"/>
    <x v="4"/>
    <n v="26.85959999998385"/>
  </r>
  <r>
    <x v="3"/>
    <x v="0"/>
    <x v="3"/>
    <x v="3"/>
    <x v="0"/>
    <x v="0"/>
    <x v="0"/>
    <x v="0"/>
    <x v="0"/>
    <x v="0"/>
    <x v="0"/>
    <x v="0"/>
    <x v="2"/>
    <x v="10"/>
    <x v="10"/>
    <x v="26"/>
    <x v="26"/>
    <n v="42.848440366946797"/>
    <x v="0"/>
    <x v="0"/>
    <x v="1"/>
    <x v="3"/>
    <x v="3"/>
    <x v="15"/>
    <n v="46.70479999997201"/>
  </r>
  <r>
    <x v="3"/>
    <x v="0"/>
    <x v="3"/>
    <x v="3"/>
    <x v="0"/>
    <x v="0"/>
    <x v="0"/>
    <x v="0"/>
    <x v="0"/>
    <x v="0"/>
    <x v="0"/>
    <x v="0"/>
    <x v="2"/>
    <x v="10"/>
    <x v="10"/>
    <x v="0"/>
    <x v="0"/>
    <n v="79.792640569171596"/>
    <x v="0"/>
    <x v="0"/>
    <x v="0"/>
    <x v="0"/>
    <x v="0"/>
    <x v="0"/>
    <n v="86.973978220397044"/>
  </r>
  <r>
    <x v="3"/>
    <x v="0"/>
    <x v="3"/>
    <x v="3"/>
    <x v="0"/>
    <x v="0"/>
    <x v="0"/>
    <x v="0"/>
    <x v="0"/>
    <x v="0"/>
    <x v="0"/>
    <x v="0"/>
    <x v="2"/>
    <x v="10"/>
    <x v="10"/>
    <x v="2"/>
    <x v="2"/>
    <n v="501.52932110061698"/>
    <x v="0"/>
    <x v="1"/>
    <x v="2"/>
    <x v="2"/>
    <x v="13"/>
    <x v="2"/>
    <n v="546.6669599996726"/>
  </r>
  <r>
    <x v="3"/>
    <x v="0"/>
    <x v="3"/>
    <x v="3"/>
    <x v="0"/>
    <x v="0"/>
    <x v="0"/>
    <x v="0"/>
    <x v="0"/>
    <x v="0"/>
    <x v="0"/>
    <x v="0"/>
    <x v="4"/>
    <x v="5"/>
    <x v="5"/>
    <x v="4"/>
    <x v="4"/>
    <n v="2.3174403669710899"/>
    <x v="0"/>
    <x v="0"/>
    <x v="1"/>
    <x v="3"/>
    <x v="3"/>
    <x v="4"/>
    <n v="2.5260099999984882"/>
  </r>
  <r>
    <x v="3"/>
    <x v="0"/>
    <x v="3"/>
    <x v="3"/>
    <x v="0"/>
    <x v="0"/>
    <x v="0"/>
    <x v="0"/>
    <x v="0"/>
    <x v="0"/>
    <x v="0"/>
    <x v="0"/>
    <x v="4"/>
    <x v="5"/>
    <x v="5"/>
    <x v="5"/>
    <x v="5"/>
    <n v="217.16775460287701"/>
    <x v="0"/>
    <x v="0"/>
    <x v="1"/>
    <x v="1"/>
    <x v="1"/>
    <x v="5"/>
    <n v="236.71285251713596"/>
  </r>
  <r>
    <x v="3"/>
    <x v="0"/>
    <x v="3"/>
    <x v="3"/>
    <x v="0"/>
    <x v="0"/>
    <x v="0"/>
    <x v="0"/>
    <x v="0"/>
    <x v="0"/>
    <x v="0"/>
    <x v="0"/>
    <x v="4"/>
    <x v="5"/>
    <x v="5"/>
    <x v="6"/>
    <x v="6"/>
    <n v="1020.3306"/>
    <x v="0"/>
    <x v="0"/>
    <x v="0"/>
    <x v="0"/>
    <x v="4"/>
    <x v="6"/>
    <n v="1112.1603540000001"/>
  </r>
  <r>
    <x v="3"/>
    <x v="0"/>
    <x v="3"/>
    <x v="3"/>
    <x v="0"/>
    <x v="0"/>
    <x v="0"/>
    <x v="0"/>
    <x v="0"/>
    <x v="0"/>
    <x v="0"/>
    <x v="0"/>
    <x v="4"/>
    <x v="5"/>
    <x v="5"/>
    <x v="7"/>
    <x v="7"/>
    <n v="8.2148990825638801"/>
    <x v="0"/>
    <x v="0"/>
    <x v="1"/>
    <x v="4"/>
    <x v="5"/>
    <x v="7"/>
    <n v="8.9542399999946305"/>
  </r>
  <r>
    <x v="3"/>
    <x v="0"/>
    <x v="3"/>
    <x v="3"/>
    <x v="0"/>
    <x v="0"/>
    <x v="0"/>
    <x v="0"/>
    <x v="0"/>
    <x v="0"/>
    <x v="0"/>
    <x v="0"/>
    <x v="4"/>
    <x v="5"/>
    <x v="5"/>
    <x v="8"/>
    <x v="8"/>
    <n v="1323.7216554138799"/>
    <x v="0"/>
    <x v="1"/>
    <x v="2"/>
    <x v="2"/>
    <x v="6"/>
    <x v="8"/>
    <n v="1442.8566044011293"/>
  </r>
  <r>
    <x v="3"/>
    <x v="0"/>
    <x v="3"/>
    <x v="3"/>
    <x v="0"/>
    <x v="0"/>
    <x v="0"/>
    <x v="0"/>
    <x v="0"/>
    <x v="0"/>
    <x v="0"/>
    <x v="0"/>
    <x v="4"/>
    <x v="5"/>
    <x v="5"/>
    <x v="9"/>
    <x v="9"/>
    <n v="792.56684762521195"/>
    <x v="0"/>
    <x v="0"/>
    <x v="1"/>
    <x v="4"/>
    <x v="5"/>
    <x v="9"/>
    <n v="863.89786391148107"/>
  </r>
  <r>
    <x v="3"/>
    <x v="0"/>
    <x v="3"/>
    <x v="3"/>
    <x v="0"/>
    <x v="0"/>
    <x v="0"/>
    <x v="0"/>
    <x v="0"/>
    <x v="0"/>
    <x v="0"/>
    <x v="0"/>
    <x v="4"/>
    <x v="5"/>
    <x v="5"/>
    <x v="10"/>
    <x v="10"/>
    <n v="159.783428091205"/>
    <x v="0"/>
    <x v="0"/>
    <x v="1"/>
    <x v="4"/>
    <x v="5"/>
    <x v="10"/>
    <n v="174.16393661941345"/>
  </r>
  <r>
    <x v="3"/>
    <x v="0"/>
    <x v="3"/>
    <x v="3"/>
    <x v="0"/>
    <x v="0"/>
    <x v="0"/>
    <x v="0"/>
    <x v="0"/>
    <x v="0"/>
    <x v="0"/>
    <x v="0"/>
    <x v="4"/>
    <x v="5"/>
    <x v="5"/>
    <x v="29"/>
    <x v="29"/>
    <n v="1.2354400000000001"/>
    <x v="0"/>
    <x v="0"/>
    <x v="1"/>
    <x v="3"/>
    <x v="3"/>
    <x v="13"/>
    <n v="1.3466296000000002"/>
  </r>
  <r>
    <x v="3"/>
    <x v="0"/>
    <x v="3"/>
    <x v="3"/>
    <x v="0"/>
    <x v="0"/>
    <x v="0"/>
    <x v="0"/>
    <x v="0"/>
    <x v="0"/>
    <x v="0"/>
    <x v="0"/>
    <x v="4"/>
    <x v="5"/>
    <x v="5"/>
    <x v="35"/>
    <x v="35"/>
    <n v="309.92200000000003"/>
    <x v="0"/>
    <x v="0"/>
    <x v="0"/>
    <x v="0"/>
    <x v="0"/>
    <x v="0"/>
    <n v="337.81498000000005"/>
  </r>
  <r>
    <x v="3"/>
    <x v="0"/>
    <x v="3"/>
    <x v="3"/>
    <x v="0"/>
    <x v="0"/>
    <x v="0"/>
    <x v="0"/>
    <x v="0"/>
    <x v="0"/>
    <x v="0"/>
    <x v="0"/>
    <x v="4"/>
    <x v="5"/>
    <x v="5"/>
    <x v="55"/>
    <x v="55"/>
    <n v="2.15633027522806"/>
    <x v="0"/>
    <x v="0"/>
    <x v="1"/>
    <x v="3"/>
    <x v="3"/>
    <x v="15"/>
    <n v="2.3503999999985856"/>
  </r>
  <r>
    <x v="3"/>
    <x v="0"/>
    <x v="3"/>
    <x v="3"/>
    <x v="0"/>
    <x v="0"/>
    <x v="0"/>
    <x v="0"/>
    <x v="0"/>
    <x v="0"/>
    <x v="0"/>
    <x v="0"/>
    <x v="4"/>
    <x v="5"/>
    <x v="5"/>
    <x v="12"/>
    <x v="12"/>
    <n v="268.64860465014198"/>
    <x v="0"/>
    <x v="0"/>
    <x v="0"/>
    <x v="0"/>
    <x v="8"/>
    <x v="12"/>
    <n v="292.82697906865479"/>
  </r>
  <r>
    <x v="3"/>
    <x v="0"/>
    <x v="3"/>
    <x v="3"/>
    <x v="0"/>
    <x v="0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11.44748600000001"/>
  </r>
  <r>
    <x v="3"/>
    <x v="0"/>
    <x v="3"/>
    <x v="3"/>
    <x v="0"/>
    <x v="0"/>
    <x v="0"/>
    <x v="0"/>
    <x v="0"/>
    <x v="0"/>
    <x v="0"/>
    <x v="0"/>
    <x v="4"/>
    <x v="5"/>
    <x v="5"/>
    <x v="22"/>
    <x v="22"/>
    <n v="32.237290322451699"/>
    <x v="0"/>
    <x v="0"/>
    <x v="0"/>
    <x v="0"/>
    <x v="0"/>
    <x v="0"/>
    <n v="35.138646451472354"/>
  </r>
  <r>
    <x v="3"/>
    <x v="0"/>
    <x v="3"/>
    <x v="3"/>
    <x v="0"/>
    <x v="0"/>
    <x v="0"/>
    <x v="0"/>
    <x v="0"/>
    <x v="0"/>
    <x v="0"/>
    <x v="0"/>
    <x v="4"/>
    <x v="5"/>
    <x v="5"/>
    <x v="33"/>
    <x v="33"/>
    <n v="4.1528807339424603"/>
    <x v="0"/>
    <x v="0"/>
    <x v="1"/>
    <x v="3"/>
    <x v="3"/>
    <x v="4"/>
    <n v="4.5266399999972817"/>
  </r>
  <r>
    <x v="3"/>
    <x v="0"/>
    <x v="3"/>
    <x v="3"/>
    <x v="0"/>
    <x v="0"/>
    <x v="0"/>
    <x v="0"/>
    <x v="0"/>
    <x v="0"/>
    <x v="0"/>
    <x v="0"/>
    <x v="4"/>
    <x v="5"/>
    <x v="5"/>
    <x v="36"/>
    <x v="36"/>
    <n v="44.028844036670797"/>
    <x v="0"/>
    <x v="0"/>
    <x v="1"/>
    <x v="3"/>
    <x v="3"/>
    <x v="4"/>
    <n v="47.99143999997117"/>
  </r>
  <r>
    <x v="3"/>
    <x v="0"/>
    <x v="3"/>
    <x v="3"/>
    <x v="0"/>
    <x v="0"/>
    <x v="0"/>
    <x v="0"/>
    <x v="0"/>
    <x v="0"/>
    <x v="0"/>
    <x v="0"/>
    <x v="4"/>
    <x v="5"/>
    <x v="5"/>
    <x v="23"/>
    <x v="23"/>
    <n v="5.1971284403638496"/>
    <x v="0"/>
    <x v="0"/>
    <x v="1"/>
    <x v="3"/>
    <x v="3"/>
    <x v="15"/>
    <n v="5.6648699999965961"/>
  </r>
  <r>
    <x v="3"/>
    <x v="0"/>
    <x v="3"/>
    <x v="3"/>
    <x v="0"/>
    <x v="0"/>
    <x v="0"/>
    <x v="0"/>
    <x v="0"/>
    <x v="0"/>
    <x v="0"/>
    <x v="0"/>
    <x v="4"/>
    <x v="5"/>
    <x v="5"/>
    <x v="24"/>
    <x v="24"/>
    <n v="65.318385321061697"/>
    <x v="0"/>
    <x v="0"/>
    <x v="1"/>
    <x v="3"/>
    <x v="3"/>
    <x v="4"/>
    <n v="71.197039999957255"/>
  </r>
  <r>
    <x v="3"/>
    <x v="0"/>
    <x v="3"/>
    <x v="3"/>
    <x v="0"/>
    <x v="0"/>
    <x v="0"/>
    <x v="0"/>
    <x v="0"/>
    <x v="0"/>
    <x v="0"/>
    <x v="0"/>
    <x v="4"/>
    <x v="5"/>
    <x v="5"/>
    <x v="17"/>
    <x v="17"/>
    <n v="164.46683999999999"/>
    <x v="0"/>
    <x v="0"/>
    <x v="0"/>
    <x v="0"/>
    <x v="4"/>
    <x v="17"/>
    <n v="179.26885559999999"/>
  </r>
  <r>
    <x v="3"/>
    <x v="0"/>
    <x v="3"/>
    <x v="3"/>
    <x v="0"/>
    <x v="0"/>
    <x v="0"/>
    <x v="0"/>
    <x v="0"/>
    <x v="0"/>
    <x v="0"/>
    <x v="0"/>
    <x v="4"/>
    <x v="5"/>
    <x v="5"/>
    <x v="21"/>
    <x v="21"/>
    <n v="140.932376146704"/>
    <x v="0"/>
    <x v="0"/>
    <x v="1"/>
    <x v="4"/>
    <x v="5"/>
    <x v="10"/>
    <n v="153.61628999990737"/>
  </r>
  <r>
    <x v="3"/>
    <x v="0"/>
    <x v="3"/>
    <x v="3"/>
    <x v="0"/>
    <x v="0"/>
    <x v="0"/>
    <x v="0"/>
    <x v="0"/>
    <x v="0"/>
    <x v="0"/>
    <x v="0"/>
    <x v="4"/>
    <x v="5"/>
    <x v="5"/>
    <x v="18"/>
    <x v="18"/>
    <n v="640.63430000000005"/>
    <x v="0"/>
    <x v="0"/>
    <x v="0"/>
    <x v="0"/>
    <x v="4"/>
    <x v="18"/>
    <n v="698.2913870000001"/>
  </r>
  <r>
    <x v="3"/>
    <x v="0"/>
    <x v="3"/>
    <x v="3"/>
    <x v="0"/>
    <x v="0"/>
    <x v="0"/>
    <x v="0"/>
    <x v="0"/>
    <x v="0"/>
    <x v="0"/>
    <x v="0"/>
    <x v="4"/>
    <x v="5"/>
    <x v="5"/>
    <x v="34"/>
    <x v="34"/>
    <n v="89.906729256113493"/>
    <x v="0"/>
    <x v="0"/>
    <x v="0"/>
    <x v="0"/>
    <x v="0"/>
    <x v="0"/>
    <n v="97.998334889163715"/>
  </r>
  <r>
    <x v="3"/>
    <x v="0"/>
    <x v="3"/>
    <x v="3"/>
    <x v="0"/>
    <x v="0"/>
    <x v="0"/>
    <x v="0"/>
    <x v="0"/>
    <x v="0"/>
    <x v="0"/>
    <x v="0"/>
    <x v="4"/>
    <x v="5"/>
    <x v="5"/>
    <x v="25"/>
    <x v="25"/>
    <n v="21.074440366959799"/>
    <x v="0"/>
    <x v="0"/>
    <x v="1"/>
    <x v="4"/>
    <x v="5"/>
    <x v="9"/>
    <n v="22.971139999986182"/>
  </r>
  <r>
    <x v="3"/>
    <x v="0"/>
    <x v="3"/>
    <x v="3"/>
    <x v="0"/>
    <x v="0"/>
    <x v="0"/>
    <x v="0"/>
    <x v="0"/>
    <x v="0"/>
    <x v="0"/>
    <x v="0"/>
    <x v="4"/>
    <x v="5"/>
    <x v="5"/>
    <x v="37"/>
    <x v="37"/>
    <n v="90.419596330220998"/>
    <x v="0"/>
    <x v="0"/>
    <x v="1"/>
    <x v="3"/>
    <x v="3"/>
    <x v="4"/>
    <n v="98.5573599999409"/>
  </r>
  <r>
    <x v="3"/>
    <x v="0"/>
    <x v="3"/>
    <x v="3"/>
    <x v="0"/>
    <x v="0"/>
    <x v="0"/>
    <x v="0"/>
    <x v="0"/>
    <x v="0"/>
    <x v="0"/>
    <x v="0"/>
    <x v="4"/>
    <x v="5"/>
    <x v="5"/>
    <x v="27"/>
    <x v="27"/>
    <n v="65.642898650040294"/>
    <x v="0"/>
    <x v="0"/>
    <x v="1"/>
    <x v="3"/>
    <x v="3"/>
    <x v="19"/>
    <n v="71.550759528543921"/>
  </r>
  <r>
    <x v="3"/>
    <x v="0"/>
    <x v="3"/>
    <x v="3"/>
    <x v="0"/>
    <x v="0"/>
    <x v="0"/>
    <x v="0"/>
    <x v="0"/>
    <x v="0"/>
    <x v="0"/>
    <x v="0"/>
    <x v="4"/>
    <x v="5"/>
    <x v="5"/>
    <x v="26"/>
    <x v="26"/>
    <n v="34.650568807318699"/>
    <x v="0"/>
    <x v="0"/>
    <x v="1"/>
    <x v="3"/>
    <x v="3"/>
    <x v="15"/>
    <n v="37.769119999977384"/>
  </r>
  <r>
    <x v="3"/>
    <x v="0"/>
    <x v="3"/>
    <x v="3"/>
    <x v="0"/>
    <x v="0"/>
    <x v="0"/>
    <x v="0"/>
    <x v="0"/>
    <x v="0"/>
    <x v="0"/>
    <x v="0"/>
    <x v="4"/>
    <x v="5"/>
    <x v="5"/>
    <x v="0"/>
    <x v="0"/>
    <n v="100.626560497939"/>
    <x v="0"/>
    <x v="0"/>
    <x v="0"/>
    <x v="0"/>
    <x v="0"/>
    <x v="0"/>
    <n v="109.68295094275351"/>
  </r>
  <r>
    <x v="3"/>
    <x v="0"/>
    <x v="3"/>
    <x v="3"/>
    <x v="0"/>
    <x v="0"/>
    <x v="0"/>
    <x v="0"/>
    <x v="0"/>
    <x v="0"/>
    <x v="0"/>
    <x v="0"/>
    <x v="4"/>
    <x v="5"/>
    <x v="5"/>
    <x v="2"/>
    <x v="2"/>
    <n v="6203.8182660513203"/>
    <x v="0"/>
    <x v="1"/>
    <x v="2"/>
    <x v="2"/>
    <x v="13"/>
    <x v="2"/>
    <n v="6762.1619099959398"/>
  </r>
  <r>
    <x v="3"/>
    <x v="0"/>
    <x v="3"/>
    <x v="3"/>
    <x v="0"/>
    <x v="0"/>
    <x v="0"/>
    <x v="0"/>
    <x v="0"/>
    <x v="0"/>
    <x v="0"/>
    <x v="0"/>
    <x v="4"/>
    <x v="5"/>
    <x v="5"/>
    <x v="3"/>
    <x v="3"/>
    <n v="1.97044433482167"/>
    <x v="0"/>
    <x v="0"/>
    <x v="1"/>
    <x v="3"/>
    <x v="3"/>
    <x v="3"/>
    <n v="2.1477843249556203"/>
  </r>
  <r>
    <x v="3"/>
    <x v="0"/>
    <x v="3"/>
    <x v="3"/>
    <x v="0"/>
    <x v="0"/>
    <x v="0"/>
    <x v="0"/>
    <x v="0"/>
    <x v="0"/>
    <x v="3"/>
    <x v="3"/>
    <x v="3"/>
    <x v="3"/>
    <x v="3"/>
    <x v="8"/>
    <x v="8"/>
    <n v="6.0168918919299999E-2"/>
    <x v="0"/>
    <x v="1"/>
    <x v="2"/>
    <x v="2"/>
    <x v="6"/>
    <x v="8"/>
    <n v="6.5584121622037E-2"/>
  </r>
  <r>
    <x v="3"/>
    <x v="0"/>
    <x v="3"/>
    <x v="3"/>
    <x v="0"/>
    <x v="0"/>
    <x v="0"/>
    <x v="0"/>
    <x v="0"/>
    <x v="0"/>
    <x v="3"/>
    <x v="3"/>
    <x v="3"/>
    <x v="3"/>
    <x v="3"/>
    <x v="3"/>
    <x v="3"/>
    <n v="31.4945586182331"/>
    <x v="0"/>
    <x v="0"/>
    <x v="1"/>
    <x v="3"/>
    <x v="3"/>
    <x v="3"/>
    <n v="34.32906889387408"/>
  </r>
  <r>
    <x v="3"/>
    <x v="0"/>
    <x v="3"/>
    <x v="3"/>
    <x v="0"/>
    <x v="0"/>
    <x v="0"/>
    <x v="0"/>
    <x v="0"/>
    <x v="0"/>
    <x v="3"/>
    <x v="3"/>
    <x v="0"/>
    <x v="4"/>
    <x v="4"/>
    <x v="16"/>
    <x v="16"/>
    <n v="20.11176"/>
    <x v="0"/>
    <x v="0"/>
    <x v="3"/>
    <x v="5"/>
    <x v="9"/>
    <x v="16"/>
    <n v="21.921818400000003"/>
  </r>
  <r>
    <x v="3"/>
    <x v="0"/>
    <x v="3"/>
    <x v="3"/>
    <x v="0"/>
    <x v="0"/>
    <x v="0"/>
    <x v="0"/>
    <x v="0"/>
    <x v="0"/>
    <x v="3"/>
    <x v="3"/>
    <x v="2"/>
    <x v="2"/>
    <x v="2"/>
    <x v="5"/>
    <x v="5"/>
    <n v="59.814895705976099"/>
    <x v="0"/>
    <x v="0"/>
    <x v="1"/>
    <x v="1"/>
    <x v="1"/>
    <x v="5"/>
    <n v="65.198236319513953"/>
  </r>
  <r>
    <x v="3"/>
    <x v="0"/>
    <x v="3"/>
    <x v="3"/>
    <x v="0"/>
    <x v="0"/>
    <x v="0"/>
    <x v="0"/>
    <x v="0"/>
    <x v="0"/>
    <x v="3"/>
    <x v="3"/>
    <x v="2"/>
    <x v="2"/>
    <x v="2"/>
    <x v="6"/>
    <x v="6"/>
    <n v="33.457999999999998"/>
    <x v="0"/>
    <x v="0"/>
    <x v="0"/>
    <x v="0"/>
    <x v="4"/>
    <x v="6"/>
    <n v="36.46922"/>
  </r>
  <r>
    <x v="3"/>
    <x v="0"/>
    <x v="3"/>
    <x v="3"/>
    <x v="0"/>
    <x v="0"/>
    <x v="0"/>
    <x v="0"/>
    <x v="0"/>
    <x v="0"/>
    <x v="3"/>
    <x v="3"/>
    <x v="2"/>
    <x v="2"/>
    <x v="2"/>
    <x v="8"/>
    <x v="8"/>
    <n v="120.59483783861"/>
    <x v="0"/>
    <x v="1"/>
    <x v="2"/>
    <x v="2"/>
    <x v="6"/>
    <x v="8"/>
    <n v="131.44837324408491"/>
  </r>
  <r>
    <x v="3"/>
    <x v="0"/>
    <x v="3"/>
    <x v="3"/>
    <x v="0"/>
    <x v="0"/>
    <x v="0"/>
    <x v="0"/>
    <x v="0"/>
    <x v="0"/>
    <x v="3"/>
    <x v="3"/>
    <x v="2"/>
    <x v="2"/>
    <x v="2"/>
    <x v="9"/>
    <x v="9"/>
    <n v="0.71559633027479996"/>
    <x v="0"/>
    <x v="0"/>
    <x v="1"/>
    <x v="4"/>
    <x v="5"/>
    <x v="9"/>
    <n v="0.77999999999953207"/>
  </r>
  <r>
    <x v="3"/>
    <x v="0"/>
    <x v="3"/>
    <x v="3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3"/>
    <x v="0"/>
    <x v="3"/>
    <x v="3"/>
    <x v="0"/>
    <x v="0"/>
    <x v="0"/>
    <x v="0"/>
    <x v="0"/>
    <x v="0"/>
    <x v="3"/>
    <x v="3"/>
    <x v="2"/>
    <x v="2"/>
    <x v="2"/>
    <x v="12"/>
    <x v="12"/>
    <n v="2.0123255813876999"/>
    <x v="0"/>
    <x v="0"/>
    <x v="0"/>
    <x v="0"/>
    <x v="8"/>
    <x v="12"/>
    <n v="2.1934348837125932"/>
  </r>
  <r>
    <x v="3"/>
    <x v="0"/>
    <x v="3"/>
    <x v="3"/>
    <x v="0"/>
    <x v="0"/>
    <x v="0"/>
    <x v="0"/>
    <x v="0"/>
    <x v="0"/>
    <x v="3"/>
    <x v="3"/>
    <x v="2"/>
    <x v="2"/>
    <x v="2"/>
    <x v="14"/>
    <x v="14"/>
    <n v="1.0747199999999999"/>
    <x v="0"/>
    <x v="0"/>
    <x v="0"/>
    <x v="0"/>
    <x v="8"/>
    <x v="14"/>
    <n v="1.1714448"/>
  </r>
  <r>
    <x v="3"/>
    <x v="0"/>
    <x v="3"/>
    <x v="3"/>
    <x v="0"/>
    <x v="0"/>
    <x v="0"/>
    <x v="0"/>
    <x v="0"/>
    <x v="0"/>
    <x v="3"/>
    <x v="3"/>
    <x v="2"/>
    <x v="2"/>
    <x v="2"/>
    <x v="16"/>
    <x v="16"/>
    <n v="47.95337"/>
    <x v="0"/>
    <x v="0"/>
    <x v="3"/>
    <x v="5"/>
    <x v="9"/>
    <x v="16"/>
    <n v="52.269173300000006"/>
  </r>
  <r>
    <x v="3"/>
    <x v="0"/>
    <x v="3"/>
    <x v="3"/>
    <x v="0"/>
    <x v="0"/>
    <x v="0"/>
    <x v="0"/>
    <x v="0"/>
    <x v="0"/>
    <x v="3"/>
    <x v="3"/>
    <x v="2"/>
    <x v="2"/>
    <x v="2"/>
    <x v="2"/>
    <x v="2"/>
    <n v="38.656348623829999"/>
    <x v="0"/>
    <x v="1"/>
    <x v="2"/>
    <x v="2"/>
    <x v="13"/>
    <x v="2"/>
    <n v="42.135419999974701"/>
  </r>
  <r>
    <x v="3"/>
    <x v="0"/>
    <x v="3"/>
    <x v="3"/>
    <x v="0"/>
    <x v="0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3"/>
    <x v="0"/>
    <x v="3"/>
    <x v="3"/>
    <x v="0"/>
    <x v="0"/>
    <x v="0"/>
    <x v="0"/>
    <x v="0"/>
    <x v="0"/>
    <x v="3"/>
    <x v="3"/>
    <x v="4"/>
    <x v="5"/>
    <x v="5"/>
    <x v="8"/>
    <x v="8"/>
    <n v="60.946054054444097"/>
    <x v="0"/>
    <x v="1"/>
    <x v="2"/>
    <x v="2"/>
    <x v="6"/>
    <x v="8"/>
    <n v="66.43119891934407"/>
  </r>
  <r>
    <x v="3"/>
    <x v="0"/>
    <x v="3"/>
    <x v="3"/>
    <x v="0"/>
    <x v="0"/>
    <x v="0"/>
    <x v="0"/>
    <x v="0"/>
    <x v="0"/>
    <x v="3"/>
    <x v="3"/>
    <x v="4"/>
    <x v="5"/>
    <x v="5"/>
    <x v="12"/>
    <x v="12"/>
    <n v="37.213290697532997"/>
    <x v="0"/>
    <x v="0"/>
    <x v="0"/>
    <x v="0"/>
    <x v="8"/>
    <x v="12"/>
    <n v="40.562486860310969"/>
  </r>
  <r>
    <x v="3"/>
    <x v="0"/>
    <x v="3"/>
    <x v="3"/>
    <x v="0"/>
    <x v="0"/>
    <x v="0"/>
    <x v="0"/>
    <x v="0"/>
    <x v="0"/>
    <x v="3"/>
    <x v="3"/>
    <x v="4"/>
    <x v="5"/>
    <x v="5"/>
    <x v="18"/>
    <x v="18"/>
    <n v="18.501919999999998"/>
    <x v="0"/>
    <x v="0"/>
    <x v="0"/>
    <x v="0"/>
    <x v="4"/>
    <x v="18"/>
    <n v="20.167092799999999"/>
  </r>
  <r>
    <x v="3"/>
    <x v="0"/>
    <x v="3"/>
    <x v="3"/>
    <x v="0"/>
    <x v="0"/>
    <x v="0"/>
    <x v="0"/>
    <x v="0"/>
    <x v="0"/>
    <x v="3"/>
    <x v="3"/>
    <x v="4"/>
    <x v="5"/>
    <x v="5"/>
    <x v="27"/>
    <x v="27"/>
    <n v="5.4054054055199998"/>
    <x v="0"/>
    <x v="0"/>
    <x v="1"/>
    <x v="3"/>
    <x v="3"/>
    <x v="19"/>
    <n v="5.8918918920168002"/>
  </r>
  <r>
    <x v="3"/>
    <x v="0"/>
    <x v="3"/>
    <x v="3"/>
    <x v="0"/>
    <x v="0"/>
    <x v="0"/>
    <x v="0"/>
    <x v="0"/>
    <x v="0"/>
    <x v="3"/>
    <x v="3"/>
    <x v="4"/>
    <x v="5"/>
    <x v="5"/>
    <x v="0"/>
    <x v="0"/>
    <n v="329.253516013313"/>
    <x v="0"/>
    <x v="0"/>
    <x v="0"/>
    <x v="0"/>
    <x v="0"/>
    <x v="0"/>
    <n v="358.88633245451121"/>
  </r>
  <r>
    <x v="3"/>
    <x v="0"/>
    <x v="3"/>
    <x v="3"/>
    <x v="0"/>
    <x v="0"/>
    <x v="0"/>
    <x v="0"/>
    <x v="0"/>
    <x v="0"/>
    <x v="3"/>
    <x v="3"/>
    <x v="4"/>
    <x v="5"/>
    <x v="5"/>
    <x v="2"/>
    <x v="2"/>
    <n v="7.0947339449498701"/>
    <x v="0"/>
    <x v="1"/>
    <x v="2"/>
    <x v="2"/>
    <x v="13"/>
    <x v="2"/>
    <n v="7.7332599999953588"/>
  </r>
  <r>
    <x v="3"/>
    <x v="0"/>
    <x v="3"/>
    <x v="3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3"/>
    <x v="0"/>
    <x v="3"/>
    <x v="3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3"/>
    <x v="0"/>
    <x v="3"/>
    <x v="3"/>
    <x v="0"/>
    <x v="0"/>
    <x v="0"/>
    <x v="0"/>
    <x v="0"/>
    <x v="0"/>
    <x v="4"/>
    <x v="4"/>
    <x v="2"/>
    <x v="2"/>
    <x v="2"/>
    <x v="5"/>
    <x v="5"/>
    <n v="0.46536196319371997"/>
    <x v="0"/>
    <x v="0"/>
    <x v="1"/>
    <x v="1"/>
    <x v="1"/>
    <x v="5"/>
    <n v="0.50724453988115481"/>
  </r>
  <r>
    <x v="3"/>
    <x v="0"/>
    <x v="3"/>
    <x v="3"/>
    <x v="0"/>
    <x v="0"/>
    <x v="0"/>
    <x v="0"/>
    <x v="0"/>
    <x v="0"/>
    <x v="4"/>
    <x v="4"/>
    <x v="2"/>
    <x v="2"/>
    <x v="2"/>
    <x v="6"/>
    <x v="6"/>
    <n v="0.89"/>
    <x v="0"/>
    <x v="0"/>
    <x v="0"/>
    <x v="0"/>
    <x v="4"/>
    <x v="6"/>
    <n v="0.97010000000000007"/>
  </r>
  <r>
    <x v="3"/>
    <x v="0"/>
    <x v="3"/>
    <x v="3"/>
    <x v="0"/>
    <x v="0"/>
    <x v="0"/>
    <x v="0"/>
    <x v="0"/>
    <x v="0"/>
    <x v="4"/>
    <x v="4"/>
    <x v="2"/>
    <x v="2"/>
    <x v="2"/>
    <x v="7"/>
    <x v="7"/>
    <n v="0.82669724770593001"/>
    <x v="0"/>
    <x v="0"/>
    <x v="1"/>
    <x v="4"/>
    <x v="5"/>
    <x v="7"/>
    <n v="0.90109999999946377"/>
  </r>
  <r>
    <x v="3"/>
    <x v="0"/>
    <x v="3"/>
    <x v="3"/>
    <x v="0"/>
    <x v="0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3"/>
    <x v="0"/>
    <x v="3"/>
    <x v="3"/>
    <x v="0"/>
    <x v="0"/>
    <x v="0"/>
    <x v="0"/>
    <x v="0"/>
    <x v="0"/>
    <x v="4"/>
    <x v="4"/>
    <x v="2"/>
    <x v="2"/>
    <x v="2"/>
    <x v="9"/>
    <x v="9"/>
    <n v="7.174311926601E-2"/>
    <x v="0"/>
    <x v="0"/>
    <x v="1"/>
    <x v="4"/>
    <x v="5"/>
    <x v="9"/>
    <n v="7.8199999999950906E-2"/>
  </r>
  <r>
    <x v="3"/>
    <x v="0"/>
    <x v="3"/>
    <x v="3"/>
    <x v="0"/>
    <x v="0"/>
    <x v="0"/>
    <x v="0"/>
    <x v="0"/>
    <x v="0"/>
    <x v="4"/>
    <x v="4"/>
    <x v="2"/>
    <x v="2"/>
    <x v="2"/>
    <x v="10"/>
    <x v="10"/>
    <n v="0.53494566312960001"/>
    <x v="0"/>
    <x v="0"/>
    <x v="1"/>
    <x v="4"/>
    <x v="5"/>
    <x v="10"/>
    <n v="0.58309077281126409"/>
  </r>
  <r>
    <x v="3"/>
    <x v="0"/>
    <x v="3"/>
    <x v="3"/>
    <x v="0"/>
    <x v="0"/>
    <x v="0"/>
    <x v="0"/>
    <x v="0"/>
    <x v="0"/>
    <x v="4"/>
    <x v="4"/>
    <x v="2"/>
    <x v="2"/>
    <x v="2"/>
    <x v="11"/>
    <x v="11"/>
    <n v="0.42030000000000001"/>
    <x v="0"/>
    <x v="0"/>
    <x v="3"/>
    <x v="5"/>
    <x v="7"/>
    <x v="11"/>
    <n v="0.45812700000000006"/>
  </r>
  <r>
    <x v="3"/>
    <x v="0"/>
    <x v="3"/>
    <x v="3"/>
    <x v="0"/>
    <x v="0"/>
    <x v="0"/>
    <x v="0"/>
    <x v="0"/>
    <x v="0"/>
    <x v="4"/>
    <x v="4"/>
    <x v="2"/>
    <x v="2"/>
    <x v="2"/>
    <x v="12"/>
    <x v="12"/>
    <n v="21.650197674336301"/>
    <x v="0"/>
    <x v="0"/>
    <x v="0"/>
    <x v="0"/>
    <x v="8"/>
    <x v="12"/>
    <n v="23.598715465026569"/>
  </r>
  <r>
    <x v="3"/>
    <x v="0"/>
    <x v="3"/>
    <x v="3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3"/>
    <x v="0"/>
    <x v="3"/>
    <x v="3"/>
    <x v="0"/>
    <x v="0"/>
    <x v="0"/>
    <x v="0"/>
    <x v="0"/>
    <x v="0"/>
    <x v="4"/>
    <x v="4"/>
    <x v="2"/>
    <x v="2"/>
    <x v="2"/>
    <x v="16"/>
    <x v="16"/>
    <n v="2.9718"/>
    <x v="0"/>
    <x v="0"/>
    <x v="3"/>
    <x v="5"/>
    <x v="9"/>
    <x v="16"/>
    <n v="3.2392620000000001"/>
  </r>
  <r>
    <x v="3"/>
    <x v="0"/>
    <x v="3"/>
    <x v="3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3"/>
    <x v="0"/>
    <x v="3"/>
    <x v="3"/>
    <x v="0"/>
    <x v="0"/>
    <x v="0"/>
    <x v="0"/>
    <x v="0"/>
    <x v="0"/>
    <x v="4"/>
    <x v="4"/>
    <x v="2"/>
    <x v="2"/>
    <x v="2"/>
    <x v="27"/>
    <x v="27"/>
    <n v="0.65090090091469999"/>
    <x v="0"/>
    <x v="0"/>
    <x v="1"/>
    <x v="3"/>
    <x v="3"/>
    <x v="19"/>
    <n v="0.70948198199702306"/>
  </r>
  <r>
    <x v="3"/>
    <x v="0"/>
    <x v="3"/>
    <x v="3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3"/>
    <x v="0"/>
    <x v="3"/>
    <x v="3"/>
    <x v="0"/>
    <x v="0"/>
    <x v="0"/>
    <x v="0"/>
    <x v="0"/>
    <x v="0"/>
    <x v="4"/>
    <x v="4"/>
    <x v="2"/>
    <x v="2"/>
    <x v="2"/>
    <x v="2"/>
    <x v="2"/>
    <n v="3.1824311926586399"/>
    <x v="0"/>
    <x v="1"/>
    <x v="2"/>
    <x v="2"/>
    <x v="13"/>
    <x v="2"/>
    <n v="3.4688499999979179"/>
  </r>
  <r>
    <x v="3"/>
    <x v="0"/>
    <x v="3"/>
    <x v="3"/>
    <x v="0"/>
    <x v="0"/>
    <x v="0"/>
    <x v="0"/>
    <x v="2"/>
    <x v="2"/>
    <x v="5"/>
    <x v="5"/>
    <x v="2"/>
    <x v="2"/>
    <x v="2"/>
    <x v="42"/>
    <x v="42"/>
    <n v="1.75576"/>
    <x v="1"/>
    <x v="2"/>
    <x v="5"/>
    <x v="7"/>
    <x v="11"/>
    <x v="22"/>
    <n v="1.9137784000000002"/>
  </r>
  <r>
    <x v="3"/>
    <x v="0"/>
    <x v="3"/>
    <x v="3"/>
    <x v="0"/>
    <x v="0"/>
    <x v="0"/>
    <x v="0"/>
    <x v="2"/>
    <x v="2"/>
    <x v="5"/>
    <x v="5"/>
    <x v="2"/>
    <x v="2"/>
    <x v="2"/>
    <x v="41"/>
    <x v="41"/>
    <n v="0.37074468084966"/>
    <x v="1"/>
    <x v="2"/>
    <x v="5"/>
    <x v="7"/>
    <x v="11"/>
    <x v="22"/>
    <n v="0.40411170212612946"/>
  </r>
  <r>
    <x v="3"/>
    <x v="0"/>
    <x v="3"/>
    <x v="3"/>
    <x v="0"/>
    <x v="0"/>
    <x v="0"/>
    <x v="0"/>
    <x v="2"/>
    <x v="2"/>
    <x v="5"/>
    <x v="5"/>
    <x v="2"/>
    <x v="2"/>
    <x v="2"/>
    <x v="40"/>
    <x v="40"/>
    <n v="27.74146"/>
    <x v="1"/>
    <x v="2"/>
    <x v="5"/>
    <x v="7"/>
    <x v="11"/>
    <x v="22"/>
    <n v="30.238191400000002"/>
  </r>
  <r>
    <x v="3"/>
    <x v="0"/>
    <x v="3"/>
    <x v="3"/>
    <x v="0"/>
    <x v="0"/>
    <x v="0"/>
    <x v="0"/>
    <x v="2"/>
    <x v="2"/>
    <x v="5"/>
    <x v="5"/>
    <x v="2"/>
    <x v="2"/>
    <x v="2"/>
    <x v="38"/>
    <x v="38"/>
    <n v="108.4671"/>
    <x v="1"/>
    <x v="0"/>
    <x v="4"/>
    <x v="6"/>
    <x v="10"/>
    <x v="21"/>
    <n v="118.22913900000002"/>
  </r>
  <r>
    <x v="3"/>
    <x v="0"/>
    <x v="3"/>
    <x v="3"/>
    <x v="0"/>
    <x v="0"/>
    <x v="0"/>
    <x v="0"/>
    <x v="0"/>
    <x v="0"/>
    <x v="5"/>
    <x v="5"/>
    <x v="2"/>
    <x v="2"/>
    <x v="2"/>
    <x v="17"/>
    <x v="17"/>
    <n v="1.5323800000000001"/>
    <x v="0"/>
    <x v="0"/>
    <x v="0"/>
    <x v="0"/>
    <x v="4"/>
    <x v="17"/>
    <n v="1.6702942000000003"/>
  </r>
  <r>
    <x v="3"/>
    <x v="0"/>
    <x v="3"/>
    <x v="3"/>
    <x v="0"/>
    <x v="0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3"/>
    <x v="0"/>
    <x v="3"/>
    <x v="3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3"/>
    <x v="0"/>
    <x v="3"/>
    <x v="3"/>
    <x v="0"/>
    <x v="0"/>
    <x v="0"/>
    <x v="0"/>
    <x v="2"/>
    <x v="2"/>
    <x v="5"/>
    <x v="5"/>
    <x v="3"/>
    <x v="7"/>
    <x v="7"/>
    <x v="40"/>
    <x v="40"/>
    <n v="6.1768799999999997"/>
    <x v="1"/>
    <x v="2"/>
    <x v="5"/>
    <x v="7"/>
    <x v="11"/>
    <x v="22"/>
    <n v="6.7327992000000005"/>
  </r>
  <r>
    <x v="3"/>
    <x v="0"/>
    <x v="3"/>
    <x v="3"/>
    <x v="0"/>
    <x v="0"/>
    <x v="0"/>
    <x v="0"/>
    <x v="2"/>
    <x v="2"/>
    <x v="5"/>
    <x v="5"/>
    <x v="1"/>
    <x v="8"/>
    <x v="8"/>
    <x v="40"/>
    <x v="40"/>
    <n v="4.61904"/>
    <x v="1"/>
    <x v="2"/>
    <x v="5"/>
    <x v="7"/>
    <x v="11"/>
    <x v="22"/>
    <n v="5.0347536000000002"/>
  </r>
  <r>
    <x v="3"/>
    <x v="0"/>
    <x v="3"/>
    <x v="3"/>
    <x v="0"/>
    <x v="0"/>
    <x v="0"/>
    <x v="0"/>
    <x v="2"/>
    <x v="2"/>
    <x v="5"/>
    <x v="5"/>
    <x v="2"/>
    <x v="10"/>
    <x v="10"/>
    <x v="40"/>
    <x v="40"/>
    <n v="1.00048"/>
    <x v="1"/>
    <x v="2"/>
    <x v="5"/>
    <x v="7"/>
    <x v="11"/>
    <x v="22"/>
    <n v="1.0905232"/>
  </r>
  <r>
    <x v="3"/>
    <x v="0"/>
    <x v="3"/>
    <x v="3"/>
    <x v="0"/>
    <x v="0"/>
    <x v="0"/>
    <x v="0"/>
    <x v="2"/>
    <x v="2"/>
    <x v="5"/>
    <x v="5"/>
    <x v="4"/>
    <x v="5"/>
    <x v="5"/>
    <x v="40"/>
    <x v="40"/>
    <n v="238.73164"/>
    <x v="1"/>
    <x v="2"/>
    <x v="5"/>
    <x v="7"/>
    <x v="11"/>
    <x v="22"/>
    <n v="260.21748760000003"/>
  </r>
  <r>
    <x v="3"/>
    <x v="0"/>
    <x v="3"/>
    <x v="3"/>
    <x v="0"/>
    <x v="0"/>
    <x v="0"/>
    <x v="0"/>
    <x v="2"/>
    <x v="2"/>
    <x v="6"/>
    <x v="6"/>
    <x v="2"/>
    <x v="2"/>
    <x v="2"/>
    <x v="40"/>
    <x v="40"/>
    <n v="0.66708000000000001"/>
    <x v="1"/>
    <x v="2"/>
    <x v="5"/>
    <x v="7"/>
    <x v="11"/>
    <x v="22"/>
    <n v="0.72711720000000002"/>
  </r>
  <r>
    <x v="3"/>
    <x v="0"/>
    <x v="3"/>
    <x v="3"/>
    <x v="0"/>
    <x v="0"/>
    <x v="0"/>
    <x v="0"/>
    <x v="2"/>
    <x v="2"/>
    <x v="7"/>
    <x v="7"/>
    <x v="2"/>
    <x v="2"/>
    <x v="2"/>
    <x v="40"/>
    <x v="40"/>
    <n v="25.608799999999999"/>
    <x v="1"/>
    <x v="2"/>
    <x v="5"/>
    <x v="7"/>
    <x v="11"/>
    <x v="22"/>
    <n v="27.913592000000001"/>
  </r>
  <r>
    <x v="3"/>
    <x v="0"/>
    <x v="3"/>
    <x v="3"/>
    <x v="0"/>
    <x v="0"/>
    <x v="0"/>
    <x v="0"/>
    <x v="2"/>
    <x v="2"/>
    <x v="7"/>
    <x v="7"/>
    <x v="2"/>
    <x v="2"/>
    <x v="2"/>
    <x v="38"/>
    <x v="38"/>
    <n v="276.31652000000003"/>
    <x v="1"/>
    <x v="0"/>
    <x v="4"/>
    <x v="6"/>
    <x v="10"/>
    <x v="21"/>
    <n v="301.18500680000005"/>
  </r>
  <r>
    <x v="3"/>
    <x v="0"/>
    <x v="3"/>
    <x v="3"/>
    <x v="0"/>
    <x v="0"/>
    <x v="0"/>
    <x v="0"/>
    <x v="2"/>
    <x v="2"/>
    <x v="7"/>
    <x v="7"/>
    <x v="2"/>
    <x v="2"/>
    <x v="2"/>
    <x v="43"/>
    <x v="43"/>
    <n v="11.26052"/>
    <x v="1"/>
    <x v="0"/>
    <x v="4"/>
    <x v="6"/>
    <x v="10"/>
    <x v="21"/>
    <n v="12.2739668"/>
  </r>
  <r>
    <x v="3"/>
    <x v="0"/>
    <x v="3"/>
    <x v="3"/>
    <x v="0"/>
    <x v="0"/>
    <x v="0"/>
    <x v="0"/>
    <x v="2"/>
    <x v="2"/>
    <x v="7"/>
    <x v="7"/>
    <x v="2"/>
    <x v="2"/>
    <x v="2"/>
    <x v="44"/>
    <x v="44"/>
    <n v="8.1741399999999995"/>
    <x v="1"/>
    <x v="0"/>
    <x v="4"/>
    <x v="6"/>
    <x v="10"/>
    <x v="21"/>
    <n v="8.9098126000000004"/>
  </r>
  <r>
    <x v="3"/>
    <x v="0"/>
    <x v="3"/>
    <x v="3"/>
    <x v="0"/>
    <x v="0"/>
    <x v="0"/>
    <x v="0"/>
    <x v="0"/>
    <x v="0"/>
    <x v="7"/>
    <x v="7"/>
    <x v="2"/>
    <x v="2"/>
    <x v="2"/>
    <x v="17"/>
    <x v="17"/>
    <n v="12.97814"/>
    <x v="0"/>
    <x v="0"/>
    <x v="0"/>
    <x v="0"/>
    <x v="4"/>
    <x v="17"/>
    <n v="14.146172600000002"/>
  </r>
  <r>
    <x v="3"/>
    <x v="0"/>
    <x v="3"/>
    <x v="3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3"/>
    <x v="0"/>
    <x v="3"/>
    <x v="3"/>
    <x v="0"/>
    <x v="0"/>
    <x v="0"/>
    <x v="0"/>
    <x v="2"/>
    <x v="2"/>
    <x v="7"/>
    <x v="7"/>
    <x v="2"/>
    <x v="2"/>
    <x v="2"/>
    <x v="46"/>
    <x v="46"/>
    <n v="0.83333999999999997"/>
    <x v="1"/>
    <x v="0"/>
    <x v="4"/>
    <x v="6"/>
    <x v="10"/>
    <x v="21"/>
    <n v="0.90834060000000005"/>
  </r>
  <r>
    <x v="3"/>
    <x v="0"/>
    <x v="3"/>
    <x v="3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3"/>
    <x v="0"/>
    <x v="3"/>
    <x v="3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3"/>
    <x v="0"/>
    <x v="3"/>
    <x v="3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3"/>
    <x v="0"/>
    <x v="3"/>
    <x v="3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3"/>
    <x v="0"/>
    <x v="3"/>
    <x v="3"/>
    <x v="0"/>
    <x v="0"/>
    <x v="0"/>
    <x v="0"/>
    <x v="2"/>
    <x v="2"/>
    <x v="7"/>
    <x v="7"/>
    <x v="3"/>
    <x v="7"/>
    <x v="7"/>
    <x v="40"/>
    <x v="40"/>
    <n v="173.47456"/>
    <x v="1"/>
    <x v="2"/>
    <x v="5"/>
    <x v="7"/>
    <x v="11"/>
    <x v="22"/>
    <n v="189.08727040000002"/>
  </r>
  <r>
    <x v="3"/>
    <x v="0"/>
    <x v="3"/>
    <x v="3"/>
    <x v="0"/>
    <x v="0"/>
    <x v="0"/>
    <x v="0"/>
    <x v="2"/>
    <x v="2"/>
    <x v="7"/>
    <x v="7"/>
    <x v="1"/>
    <x v="8"/>
    <x v="8"/>
    <x v="40"/>
    <x v="40"/>
    <n v="31.049479999999999"/>
    <x v="1"/>
    <x v="2"/>
    <x v="5"/>
    <x v="7"/>
    <x v="11"/>
    <x v="22"/>
    <n v="33.843933200000002"/>
  </r>
  <r>
    <x v="3"/>
    <x v="0"/>
    <x v="3"/>
    <x v="3"/>
    <x v="0"/>
    <x v="0"/>
    <x v="0"/>
    <x v="0"/>
    <x v="2"/>
    <x v="2"/>
    <x v="7"/>
    <x v="7"/>
    <x v="2"/>
    <x v="10"/>
    <x v="10"/>
    <x v="40"/>
    <x v="40"/>
    <n v="3.3350399999999998"/>
    <x v="1"/>
    <x v="2"/>
    <x v="5"/>
    <x v="7"/>
    <x v="11"/>
    <x v="22"/>
    <n v="3.6351936"/>
  </r>
  <r>
    <x v="3"/>
    <x v="0"/>
    <x v="3"/>
    <x v="3"/>
    <x v="0"/>
    <x v="0"/>
    <x v="0"/>
    <x v="0"/>
    <x v="2"/>
    <x v="2"/>
    <x v="7"/>
    <x v="7"/>
    <x v="4"/>
    <x v="5"/>
    <x v="5"/>
    <x v="40"/>
    <x v="40"/>
    <n v="135.88"/>
    <x v="1"/>
    <x v="2"/>
    <x v="5"/>
    <x v="7"/>
    <x v="11"/>
    <x v="22"/>
    <n v="148.10920000000002"/>
  </r>
  <r>
    <x v="3"/>
    <x v="0"/>
    <x v="3"/>
    <x v="3"/>
    <x v="0"/>
    <x v="0"/>
    <x v="0"/>
    <x v="0"/>
    <x v="2"/>
    <x v="2"/>
    <x v="8"/>
    <x v="8"/>
    <x v="2"/>
    <x v="2"/>
    <x v="2"/>
    <x v="40"/>
    <x v="40"/>
    <n v="8.3476800000000004"/>
    <x v="1"/>
    <x v="2"/>
    <x v="5"/>
    <x v="7"/>
    <x v="11"/>
    <x v="22"/>
    <n v="9.0989712000000011"/>
  </r>
  <r>
    <x v="3"/>
    <x v="0"/>
    <x v="3"/>
    <x v="3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3"/>
    <x v="0"/>
    <x v="3"/>
    <x v="3"/>
    <x v="0"/>
    <x v="0"/>
    <x v="0"/>
    <x v="0"/>
    <x v="2"/>
    <x v="2"/>
    <x v="9"/>
    <x v="9"/>
    <x v="2"/>
    <x v="2"/>
    <x v="2"/>
    <x v="40"/>
    <x v="40"/>
    <n v="247.39118999999999"/>
    <x v="1"/>
    <x v="2"/>
    <x v="5"/>
    <x v="7"/>
    <x v="11"/>
    <x v="22"/>
    <n v="269.65639709999999"/>
  </r>
  <r>
    <x v="3"/>
    <x v="0"/>
    <x v="3"/>
    <x v="3"/>
    <x v="0"/>
    <x v="0"/>
    <x v="0"/>
    <x v="0"/>
    <x v="2"/>
    <x v="2"/>
    <x v="9"/>
    <x v="9"/>
    <x v="2"/>
    <x v="2"/>
    <x v="2"/>
    <x v="38"/>
    <x v="38"/>
    <n v="737.14022"/>
    <x v="1"/>
    <x v="0"/>
    <x v="4"/>
    <x v="6"/>
    <x v="10"/>
    <x v="21"/>
    <n v="803.48283980000008"/>
  </r>
  <r>
    <x v="3"/>
    <x v="0"/>
    <x v="3"/>
    <x v="3"/>
    <x v="0"/>
    <x v="0"/>
    <x v="0"/>
    <x v="0"/>
    <x v="2"/>
    <x v="2"/>
    <x v="9"/>
    <x v="9"/>
    <x v="2"/>
    <x v="2"/>
    <x v="2"/>
    <x v="48"/>
    <x v="48"/>
    <n v="0.97851999999999995"/>
    <x v="1"/>
    <x v="0"/>
    <x v="4"/>
    <x v="6"/>
    <x v="10"/>
    <x v="21"/>
    <n v="1.0665868000000001"/>
  </r>
  <r>
    <x v="3"/>
    <x v="0"/>
    <x v="3"/>
    <x v="3"/>
    <x v="0"/>
    <x v="0"/>
    <x v="0"/>
    <x v="0"/>
    <x v="2"/>
    <x v="2"/>
    <x v="9"/>
    <x v="9"/>
    <x v="1"/>
    <x v="6"/>
    <x v="6"/>
    <x v="40"/>
    <x v="40"/>
    <n v="103.655"/>
    <x v="1"/>
    <x v="2"/>
    <x v="5"/>
    <x v="7"/>
    <x v="11"/>
    <x v="22"/>
    <n v="112.98395000000001"/>
  </r>
  <r>
    <x v="3"/>
    <x v="0"/>
    <x v="3"/>
    <x v="3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3"/>
    <x v="0"/>
    <x v="3"/>
    <x v="3"/>
    <x v="0"/>
    <x v="0"/>
    <x v="0"/>
    <x v="0"/>
    <x v="2"/>
    <x v="2"/>
    <x v="9"/>
    <x v="9"/>
    <x v="3"/>
    <x v="7"/>
    <x v="7"/>
    <x v="40"/>
    <x v="40"/>
    <n v="1029.9776400000001"/>
    <x v="1"/>
    <x v="2"/>
    <x v="5"/>
    <x v="7"/>
    <x v="11"/>
    <x v="22"/>
    <n v="1122.6756276000001"/>
  </r>
  <r>
    <x v="3"/>
    <x v="0"/>
    <x v="3"/>
    <x v="3"/>
    <x v="0"/>
    <x v="0"/>
    <x v="0"/>
    <x v="0"/>
    <x v="2"/>
    <x v="2"/>
    <x v="9"/>
    <x v="9"/>
    <x v="1"/>
    <x v="8"/>
    <x v="8"/>
    <x v="40"/>
    <x v="40"/>
    <n v="683.62163999999996"/>
    <x v="1"/>
    <x v="2"/>
    <x v="5"/>
    <x v="7"/>
    <x v="11"/>
    <x v="22"/>
    <n v="745.14758759999995"/>
  </r>
  <r>
    <x v="3"/>
    <x v="0"/>
    <x v="3"/>
    <x v="3"/>
    <x v="0"/>
    <x v="0"/>
    <x v="0"/>
    <x v="0"/>
    <x v="2"/>
    <x v="2"/>
    <x v="9"/>
    <x v="9"/>
    <x v="2"/>
    <x v="10"/>
    <x v="10"/>
    <x v="40"/>
    <x v="40"/>
    <n v="246.52755999999999"/>
    <x v="1"/>
    <x v="2"/>
    <x v="5"/>
    <x v="7"/>
    <x v="11"/>
    <x v="22"/>
    <n v="268.71504040000002"/>
  </r>
  <r>
    <x v="3"/>
    <x v="0"/>
    <x v="3"/>
    <x v="3"/>
    <x v="0"/>
    <x v="0"/>
    <x v="0"/>
    <x v="0"/>
    <x v="2"/>
    <x v="2"/>
    <x v="9"/>
    <x v="9"/>
    <x v="4"/>
    <x v="5"/>
    <x v="5"/>
    <x v="40"/>
    <x v="40"/>
    <n v="1734.4728399999999"/>
    <x v="1"/>
    <x v="2"/>
    <x v="5"/>
    <x v="7"/>
    <x v="11"/>
    <x v="22"/>
    <n v="1890.5753956000001"/>
  </r>
  <r>
    <x v="3"/>
    <x v="0"/>
    <x v="3"/>
    <x v="3"/>
    <x v="0"/>
    <x v="0"/>
    <x v="0"/>
    <x v="0"/>
    <x v="2"/>
    <x v="2"/>
    <x v="10"/>
    <x v="10"/>
    <x v="2"/>
    <x v="2"/>
    <x v="2"/>
    <x v="41"/>
    <x v="41"/>
    <n v="0.48178723404071999"/>
    <x v="1"/>
    <x v="2"/>
    <x v="5"/>
    <x v="7"/>
    <x v="11"/>
    <x v="22"/>
    <n v="0.52514808510438482"/>
  </r>
  <r>
    <x v="3"/>
    <x v="0"/>
    <x v="3"/>
    <x v="3"/>
    <x v="0"/>
    <x v="0"/>
    <x v="0"/>
    <x v="0"/>
    <x v="2"/>
    <x v="2"/>
    <x v="10"/>
    <x v="10"/>
    <x v="2"/>
    <x v="2"/>
    <x v="2"/>
    <x v="40"/>
    <x v="40"/>
    <n v="252.25056000000001"/>
    <x v="1"/>
    <x v="2"/>
    <x v="5"/>
    <x v="7"/>
    <x v="11"/>
    <x v="22"/>
    <n v="274.95311040000001"/>
  </r>
  <r>
    <x v="3"/>
    <x v="0"/>
    <x v="3"/>
    <x v="3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3"/>
    <x v="0"/>
    <x v="3"/>
    <x v="3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3"/>
    <x v="0"/>
    <x v="3"/>
    <x v="3"/>
    <x v="0"/>
    <x v="0"/>
    <x v="0"/>
    <x v="0"/>
    <x v="3"/>
    <x v="3"/>
    <x v="12"/>
    <x v="12"/>
    <x v="2"/>
    <x v="2"/>
    <x v="2"/>
    <x v="40"/>
    <x v="40"/>
    <n v="1.3722399999999999"/>
    <x v="1"/>
    <x v="2"/>
    <x v="5"/>
    <x v="7"/>
    <x v="11"/>
    <x v="22"/>
    <n v="1.4957416000000001"/>
  </r>
  <r>
    <x v="3"/>
    <x v="0"/>
    <x v="3"/>
    <x v="3"/>
    <x v="0"/>
    <x v="0"/>
    <x v="0"/>
    <x v="0"/>
    <x v="3"/>
    <x v="3"/>
    <x v="12"/>
    <x v="12"/>
    <x v="3"/>
    <x v="7"/>
    <x v="7"/>
    <x v="40"/>
    <x v="40"/>
    <n v="8.7405600000000003"/>
    <x v="1"/>
    <x v="2"/>
    <x v="5"/>
    <x v="7"/>
    <x v="11"/>
    <x v="22"/>
    <n v="9.5272104000000013"/>
  </r>
  <r>
    <x v="3"/>
    <x v="0"/>
    <x v="3"/>
    <x v="3"/>
    <x v="0"/>
    <x v="0"/>
    <x v="0"/>
    <x v="0"/>
    <x v="3"/>
    <x v="3"/>
    <x v="12"/>
    <x v="12"/>
    <x v="4"/>
    <x v="5"/>
    <x v="5"/>
    <x v="40"/>
    <x v="40"/>
    <n v="20.574719999999999"/>
    <x v="1"/>
    <x v="2"/>
    <x v="5"/>
    <x v="7"/>
    <x v="11"/>
    <x v="22"/>
    <n v="22.426444800000002"/>
  </r>
  <r>
    <x v="3"/>
    <x v="0"/>
    <x v="3"/>
    <x v="3"/>
    <x v="0"/>
    <x v="0"/>
    <x v="0"/>
    <x v="0"/>
    <x v="3"/>
    <x v="3"/>
    <x v="13"/>
    <x v="13"/>
    <x v="2"/>
    <x v="2"/>
    <x v="2"/>
    <x v="41"/>
    <x v="41"/>
    <n v="0.44489361701959002"/>
    <x v="1"/>
    <x v="2"/>
    <x v="5"/>
    <x v="7"/>
    <x v="11"/>
    <x v="22"/>
    <n v="0.48493404255135314"/>
  </r>
  <r>
    <x v="3"/>
    <x v="0"/>
    <x v="3"/>
    <x v="3"/>
    <x v="0"/>
    <x v="0"/>
    <x v="0"/>
    <x v="0"/>
    <x v="3"/>
    <x v="3"/>
    <x v="13"/>
    <x v="13"/>
    <x v="2"/>
    <x v="2"/>
    <x v="2"/>
    <x v="40"/>
    <x v="40"/>
    <n v="67.063699999999997"/>
    <x v="1"/>
    <x v="2"/>
    <x v="5"/>
    <x v="7"/>
    <x v="11"/>
    <x v="22"/>
    <n v="73.099433000000005"/>
  </r>
  <r>
    <x v="3"/>
    <x v="0"/>
    <x v="3"/>
    <x v="3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3"/>
    <x v="0"/>
    <x v="3"/>
    <x v="3"/>
    <x v="0"/>
    <x v="0"/>
    <x v="0"/>
    <x v="0"/>
    <x v="3"/>
    <x v="3"/>
    <x v="13"/>
    <x v="13"/>
    <x v="1"/>
    <x v="8"/>
    <x v="8"/>
    <x v="40"/>
    <x v="40"/>
    <n v="3.10432"/>
    <x v="1"/>
    <x v="2"/>
    <x v="5"/>
    <x v="7"/>
    <x v="11"/>
    <x v="22"/>
    <n v="3.3837088000000004"/>
  </r>
  <r>
    <x v="3"/>
    <x v="0"/>
    <x v="3"/>
    <x v="3"/>
    <x v="0"/>
    <x v="0"/>
    <x v="0"/>
    <x v="0"/>
    <x v="3"/>
    <x v="3"/>
    <x v="13"/>
    <x v="13"/>
    <x v="4"/>
    <x v="5"/>
    <x v="5"/>
    <x v="40"/>
    <x v="40"/>
    <n v="1.45136"/>
    <x v="1"/>
    <x v="2"/>
    <x v="5"/>
    <x v="7"/>
    <x v="11"/>
    <x v="22"/>
    <n v="1.5819824"/>
  </r>
  <r>
    <x v="3"/>
    <x v="0"/>
    <x v="3"/>
    <x v="3"/>
    <x v="0"/>
    <x v="0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3"/>
    <x v="0"/>
    <x v="3"/>
    <x v="3"/>
    <x v="0"/>
    <x v="0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3"/>
    <x v="0"/>
    <x v="3"/>
    <x v="3"/>
    <x v="0"/>
    <x v="0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3"/>
    <x v="0"/>
    <x v="3"/>
    <x v="3"/>
    <x v="0"/>
    <x v="0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3"/>
    <x v="0"/>
    <x v="3"/>
    <x v="3"/>
    <x v="0"/>
    <x v="0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3"/>
    <x v="0"/>
    <x v="3"/>
    <x v="3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3"/>
    <x v="0"/>
    <x v="3"/>
    <x v="3"/>
    <x v="0"/>
    <x v="0"/>
    <x v="0"/>
    <x v="0"/>
    <x v="2"/>
    <x v="2"/>
    <x v="14"/>
    <x v="14"/>
    <x v="2"/>
    <x v="2"/>
    <x v="2"/>
    <x v="40"/>
    <x v="40"/>
    <n v="5.3543200000000004"/>
    <x v="1"/>
    <x v="2"/>
    <x v="5"/>
    <x v="7"/>
    <x v="11"/>
    <x v="22"/>
    <n v="5.8362088000000005"/>
  </r>
  <r>
    <x v="3"/>
    <x v="0"/>
    <x v="3"/>
    <x v="3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3"/>
    <x v="0"/>
    <x v="3"/>
    <x v="3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3"/>
    <x v="0"/>
    <x v="3"/>
    <x v="3"/>
    <x v="0"/>
    <x v="0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3"/>
    <x v="0"/>
    <x v="3"/>
    <x v="3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3"/>
    <x v="0"/>
    <x v="3"/>
    <x v="3"/>
    <x v="0"/>
    <x v="0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3"/>
    <x v="0"/>
    <x v="3"/>
    <x v="3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3"/>
    <x v="0"/>
    <x v="3"/>
    <x v="3"/>
    <x v="0"/>
    <x v="0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3"/>
    <x v="0"/>
    <x v="3"/>
    <x v="3"/>
    <x v="0"/>
    <x v="0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3"/>
    <x v="0"/>
    <x v="3"/>
    <x v="3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3"/>
    <x v="0"/>
    <x v="3"/>
    <x v="3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3"/>
    <x v="0"/>
    <x v="3"/>
    <x v="3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3"/>
    <x v="0"/>
    <x v="3"/>
    <x v="3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3"/>
    <x v="0"/>
    <x v="3"/>
    <x v="3"/>
    <x v="0"/>
    <x v="0"/>
    <x v="0"/>
    <x v="0"/>
    <x v="2"/>
    <x v="2"/>
    <x v="17"/>
    <x v="17"/>
    <x v="2"/>
    <x v="2"/>
    <x v="2"/>
    <x v="42"/>
    <x v="42"/>
    <n v="8.3956199999999992"/>
    <x v="1"/>
    <x v="2"/>
    <x v="5"/>
    <x v="7"/>
    <x v="11"/>
    <x v="22"/>
    <n v="9.1512258000000006"/>
  </r>
  <r>
    <x v="3"/>
    <x v="0"/>
    <x v="3"/>
    <x v="3"/>
    <x v="0"/>
    <x v="0"/>
    <x v="0"/>
    <x v="0"/>
    <x v="2"/>
    <x v="2"/>
    <x v="17"/>
    <x v="17"/>
    <x v="2"/>
    <x v="2"/>
    <x v="2"/>
    <x v="40"/>
    <x v="40"/>
    <n v="16.605119999999999"/>
    <x v="1"/>
    <x v="2"/>
    <x v="5"/>
    <x v="7"/>
    <x v="11"/>
    <x v="22"/>
    <n v="18.099580800000002"/>
  </r>
  <r>
    <x v="3"/>
    <x v="0"/>
    <x v="3"/>
    <x v="3"/>
    <x v="0"/>
    <x v="0"/>
    <x v="0"/>
    <x v="0"/>
    <x v="2"/>
    <x v="2"/>
    <x v="17"/>
    <x v="17"/>
    <x v="2"/>
    <x v="2"/>
    <x v="2"/>
    <x v="38"/>
    <x v="38"/>
    <n v="34.16086"/>
    <x v="1"/>
    <x v="0"/>
    <x v="4"/>
    <x v="6"/>
    <x v="10"/>
    <x v="21"/>
    <n v="37.235337399999999"/>
  </r>
  <r>
    <x v="3"/>
    <x v="0"/>
    <x v="3"/>
    <x v="3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3"/>
    <x v="0"/>
    <x v="3"/>
    <x v="3"/>
    <x v="0"/>
    <x v="0"/>
    <x v="0"/>
    <x v="0"/>
    <x v="2"/>
    <x v="2"/>
    <x v="17"/>
    <x v="17"/>
    <x v="3"/>
    <x v="7"/>
    <x v="7"/>
    <x v="40"/>
    <x v="40"/>
    <n v="26.470559999999999"/>
    <x v="1"/>
    <x v="2"/>
    <x v="5"/>
    <x v="7"/>
    <x v="11"/>
    <x v="22"/>
    <n v="28.852910400000003"/>
  </r>
  <r>
    <x v="3"/>
    <x v="0"/>
    <x v="3"/>
    <x v="3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3"/>
    <x v="0"/>
    <x v="3"/>
    <x v="3"/>
    <x v="0"/>
    <x v="0"/>
    <x v="0"/>
    <x v="0"/>
    <x v="2"/>
    <x v="2"/>
    <x v="17"/>
    <x v="17"/>
    <x v="1"/>
    <x v="8"/>
    <x v="8"/>
    <x v="40"/>
    <x v="40"/>
    <n v="11.54088"/>
    <x v="1"/>
    <x v="2"/>
    <x v="5"/>
    <x v="7"/>
    <x v="11"/>
    <x v="22"/>
    <n v="12.5795592"/>
  </r>
  <r>
    <x v="3"/>
    <x v="0"/>
    <x v="3"/>
    <x v="3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3"/>
    <x v="0"/>
    <x v="3"/>
    <x v="3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3"/>
    <x v="0"/>
    <x v="3"/>
    <x v="3"/>
    <x v="0"/>
    <x v="0"/>
    <x v="0"/>
    <x v="0"/>
    <x v="2"/>
    <x v="2"/>
    <x v="17"/>
    <x v="17"/>
    <x v="2"/>
    <x v="10"/>
    <x v="10"/>
    <x v="40"/>
    <x v="40"/>
    <n v="3.3350399999999998"/>
    <x v="1"/>
    <x v="2"/>
    <x v="5"/>
    <x v="7"/>
    <x v="11"/>
    <x v="22"/>
    <n v="3.6351936"/>
  </r>
  <r>
    <x v="3"/>
    <x v="0"/>
    <x v="3"/>
    <x v="3"/>
    <x v="0"/>
    <x v="0"/>
    <x v="0"/>
    <x v="0"/>
    <x v="2"/>
    <x v="2"/>
    <x v="17"/>
    <x v="17"/>
    <x v="4"/>
    <x v="5"/>
    <x v="5"/>
    <x v="40"/>
    <x v="40"/>
    <n v="503.0351"/>
    <x v="1"/>
    <x v="2"/>
    <x v="5"/>
    <x v="7"/>
    <x v="11"/>
    <x v="22"/>
    <n v="548.30825900000002"/>
  </r>
  <r>
    <x v="3"/>
    <x v="0"/>
    <x v="3"/>
    <x v="3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3"/>
    <x v="0"/>
    <x v="3"/>
    <x v="3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3"/>
    <x v="0"/>
    <x v="3"/>
    <x v="3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3"/>
    <x v="0"/>
    <x v="3"/>
    <x v="3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3"/>
    <x v="0"/>
    <x v="3"/>
    <x v="3"/>
    <x v="0"/>
    <x v="1"/>
    <x v="0"/>
    <x v="0"/>
    <x v="0"/>
    <x v="0"/>
    <x v="2"/>
    <x v="2"/>
    <x v="2"/>
    <x v="2"/>
    <x v="2"/>
    <x v="2"/>
    <x v="2"/>
    <n v="215.295082568678"/>
    <x v="0"/>
    <x v="1"/>
    <x v="2"/>
    <x v="2"/>
    <x v="13"/>
    <x v="2"/>
    <n v="234.67163999985902"/>
  </r>
  <r>
    <x v="3"/>
    <x v="0"/>
    <x v="3"/>
    <x v="3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3"/>
    <x v="0"/>
    <x v="3"/>
    <x v="3"/>
    <x v="0"/>
    <x v="1"/>
    <x v="0"/>
    <x v="0"/>
    <x v="0"/>
    <x v="0"/>
    <x v="0"/>
    <x v="0"/>
    <x v="3"/>
    <x v="3"/>
    <x v="3"/>
    <x v="8"/>
    <x v="8"/>
    <n v="127.01415540621799"/>
    <x v="0"/>
    <x v="1"/>
    <x v="2"/>
    <x v="2"/>
    <x v="6"/>
    <x v="8"/>
    <n v="138.44542939277761"/>
  </r>
  <r>
    <x v="3"/>
    <x v="0"/>
    <x v="3"/>
    <x v="3"/>
    <x v="0"/>
    <x v="1"/>
    <x v="0"/>
    <x v="0"/>
    <x v="0"/>
    <x v="0"/>
    <x v="0"/>
    <x v="0"/>
    <x v="3"/>
    <x v="3"/>
    <x v="3"/>
    <x v="2"/>
    <x v="2"/>
    <n v="699.24172477022296"/>
    <x v="0"/>
    <x v="1"/>
    <x v="2"/>
    <x v="2"/>
    <x v="13"/>
    <x v="2"/>
    <n v="762.17347999954313"/>
  </r>
  <r>
    <x v="3"/>
    <x v="0"/>
    <x v="3"/>
    <x v="3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3"/>
    <x v="0"/>
    <x v="3"/>
    <x v="3"/>
    <x v="0"/>
    <x v="2"/>
    <x v="0"/>
    <x v="0"/>
    <x v="0"/>
    <x v="0"/>
    <x v="0"/>
    <x v="0"/>
    <x v="1"/>
    <x v="6"/>
    <x v="6"/>
    <x v="10"/>
    <x v="10"/>
    <n v="5.7993991223948802"/>
    <x v="0"/>
    <x v="0"/>
    <x v="1"/>
    <x v="4"/>
    <x v="5"/>
    <x v="10"/>
    <n v="6.3213450434104201"/>
  </r>
  <r>
    <x v="3"/>
    <x v="0"/>
    <x v="3"/>
    <x v="3"/>
    <x v="0"/>
    <x v="2"/>
    <x v="0"/>
    <x v="0"/>
    <x v="0"/>
    <x v="0"/>
    <x v="0"/>
    <x v="0"/>
    <x v="1"/>
    <x v="6"/>
    <x v="6"/>
    <x v="12"/>
    <x v="12"/>
    <n v="33.399627906849801"/>
    <x v="0"/>
    <x v="0"/>
    <x v="0"/>
    <x v="0"/>
    <x v="8"/>
    <x v="12"/>
    <n v="36.405594418466286"/>
  </r>
  <r>
    <x v="3"/>
    <x v="0"/>
    <x v="3"/>
    <x v="3"/>
    <x v="0"/>
    <x v="2"/>
    <x v="0"/>
    <x v="0"/>
    <x v="0"/>
    <x v="0"/>
    <x v="0"/>
    <x v="0"/>
    <x v="1"/>
    <x v="6"/>
    <x v="6"/>
    <x v="16"/>
    <x v="16"/>
    <n v="0.96299999999999997"/>
    <x v="0"/>
    <x v="0"/>
    <x v="3"/>
    <x v="5"/>
    <x v="9"/>
    <x v="16"/>
    <n v="1.0496700000000001"/>
  </r>
  <r>
    <x v="3"/>
    <x v="0"/>
    <x v="3"/>
    <x v="3"/>
    <x v="0"/>
    <x v="2"/>
    <x v="0"/>
    <x v="0"/>
    <x v="0"/>
    <x v="0"/>
    <x v="0"/>
    <x v="0"/>
    <x v="1"/>
    <x v="6"/>
    <x v="6"/>
    <x v="21"/>
    <x v="21"/>
    <n v="58.440045871524603"/>
    <x v="0"/>
    <x v="0"/>
    <x v="1"/>
    <x v="4"/>
    <x v="5"/>
    <x v="10"/>
    <n v="63.699649999961821"/>
  </r>
  <r>
    <x v="3"/>
    <x v="0"/>
    <x v="3"/>
    <x v="3"/>
    <x v="0"/>
    <x v="2"/>
    <x v="0"/>
    <x v="0"/>
    <x v="0"/>
    <x v="0"/>
    <x v="0"/>
    <x v="0"/>
    <x v="1"/>
    <x v="6"/>
    <x v="6"/>
    <x v="25"/>
    <x v="25"/>
    <n v="192.54097247694901"/>
    <x v="0"/>
    <x v="0"/>
    <x v="1"/>
    <x v="4"/>
    <x v="5"/>
    <x v="9"/>
    <n v="209.86965999987444"/>
  </r>
  <r>
    <x v="3"/>
    <x v="0"/>
    <x v="3"/>
    <x v="3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3"/>
    <x v="0"/>
    <x v="3"/>
    <x v="3"/>
    <x v="0"/>
    <x v="2"/>
    <x v="0"/>
    <x v="0"/>
    <x v="0"/>
    <x v="0"/>
    <x v="0"/>
    <x v="0"/>
    <x v="3"/>
    <x v="7"/>
    <x v="7"/>
    <x v="9"/>
    <x v="9"/>
    <n v="6.2200858157787398"/>
    <x v="0"/>
    <x v="0"/>
    <x v="1"/>
    <x v="4"/>
    <x v="5"/>
    <x v="9"/>
    <n v="6.7798935391988264"/>
  </r>
  <r>
    <x v="3"/>
    <x v="0"/>
    <x v="3"/>
    <x v="3"/>
    <x v="0"/>
    <x v="2"/>
    <x v="0"/>
    <x v="0"/>
    <x v="0"/>
    <x v="0"/>
    <x v="0"/>
    <x v="0"/>
    <x v="3"/>
    <x v="7"/>
    <x v="7"/>
    <x v="10"/>
    <x v="10"/>
    <n v="11.657010202503701"/>
    <x v="0"/>
    <x v="0"/>
    <x v="1"/>
    <x v="4"/>
    <x v="5"/>
    <x v="10"/>
    <n v="12.706141120729034"/>
  </r>
  <r>
    <x v="3"/>
    <x v="0"/>
    <x v="3"/>
    <x v="3"/>
    <x v="0"/>
    <x v="2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3"/>
    <x v="0"/>
    <x v="3"/>
    <x v="3"/>
    <x v="0"/>
    <x v="2"/>
    <x v="0"/>
    <x v="0"/>
    <x v="0"/>
    <x v="0"/>
    <x v="0"/>
    <x v="0"/>
    <x v="1"/>
    <x v="8"/>
    <x v="8"/>
    <x v="9"/>
    <x v="9"/>
    <n v="327.472498340502"/>
    <x v="0"/>
    <x v="0"/>
    <x v="1"/>
    <x v="4"/>
    <x v="5"/>
    <x v="9"/>
    <n v="356.94502319114719"/>
  </r>
  <r>
    <x v="3"/>
    <x v="0"/>
    <x v="3"/>
    <x v="3"/>
    <x v="0"/>
    <x v="2"/>
    <x v="0"/>
    <x v="0"/>
    <x v="0"/>
    <x v="0"/>
    <x v="0"/>
    <x v="0"/>
    <x v="1"/>
    <x v="8"/>
    <x v="8"/>
    <x v="10"/>
    <x v="10"/>
    <n v="1.5418852217951999"/>
    <x v="0"/>
    <x v="0"/>
    <x v="1"/>
    <x v="4"/>
    <x v="5"/>
    <x v="10"/>
    <n v="1.6806548917567681"/>
  </r>
  <r>
    <x v="3"/>
    <x v="0"/>
    <x v="3"/>
    <x v="3"/>
    <x v="0"/>
    <x v="2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3"/>
    <x v="0"/>
    <x v="3"/>
    <x v="3"/>
    <x v="0"/>
    <x v="2"/>
    <x v="0"/>
    <x v="0"/>
    <x v="0"/>
    <x v="0"/>
    <x v="0"/>
    <x v="0"/>
    <x v="0"/>
    <x v="9"/>
    <x v="9"/>
    <x v="9"/>
    <x v="9"/>
    <n v="1203.2458538568701"/>
    <x v="0"/>
    <x v="0"/>
    <x v="1"/>
    <x v="4"/>
    <x v="5"/>
    <x v="9"/>
    <n v="1311.5379807039885"/>
  </r>
  <r>
    <x v="3"/>
    <x v="0"/>
    <x v="3"/>
    <x v="3"/>
    <x v="0"/>
    <x v="2"/>
    <x v="0"/>
    <x v="0"/>
    <x v="0"/>
    <x v="0"/>
    <x v="0"/>
    <x v="0"/>
    <x v="0"/>
    <x v="9"/>
    <x v="9"/>
    <x v="10"/>
    <x v="10"/>
    <n v="29.256776187946901"/>
    <x v="0"/>
    <x v="0"/>
    <x v="1"/>
    <x v="4"/>
    <x v="5"/>
    <x v="10"/>
    <n v="31.889886044862124"/>
  </r>
  <r>
    <x v="3"/>
    <x v="0"/>
    <x v="3"/>
    <x v="3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3"/>
    <x v="0"/>
    <x v="3"/>
    <x v="3"/>
    <x v="0"/>
    <x v="2"/>
    <x v="0"/>
    <x v="0"/>
    <x v="0"/>
    <x v="0"/>
    <x v="0"/>
    <x v="0"/>
    <x v="0"/>
    <x v="9"/>
    <x v="9"/>
    <x v="21"/>
    <x v="21"/>
    <n v="50.224293577951499"/>
    <x v="0"/>
    <x v="0"/>
    <x v="1"/>
    <x v="4"/>
    <x v="5"/>
    <x v="10"/>
    <n v="54.74447999996714"/>
  </r>
  <r>
    <x v="3"/>
    <x v="0"/>
    <x v="3"/>
    <x v="3"/>
    <x v="0"/>
    <x v="2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3"/>
    <x v="0"/>
    <x v="3"/>
    <x v="3"/>
    <x v="0"/>
    <x v="2"/>
    <x v="0"/>
    <x v="0"/>
    <x v="0"/>
    <x v="0"/>
    <x v="0"/>
    <x v="0"/>
    <x v="2"/>
    <x v="10"/>
    <x v="10"/>
    <x v="9"/>
    <x v="9"/>
    <n v="262.93704936906698"/>
    <x v="0"/>
    <x v="0"/>
    <x v="1"/>
    <x v="4"/>
    <x v="5"/>
    <x v="9"/>
    <n v="286.60138381228302"/>
  </r>
  <r>
    <x v="3"/>
    <x v="0"/>
    <x v="3"/>
    <x v="3"/>
    <x v="0"/>
    <x v="2"/>
    <x v="0"/>
    <x v="0"/>
    <x v="0"/>
    <x v="0"/>
    <x v="0"/>
    <x v="0"/>
    <x v="2"/>
    <x v="10"/>
    <x v="10"/>
    <x v="10"/>
    <x v="10"/>
    <n v="4.4772899467673604"/>
    <x v="0"/>
    <x v="0"/>
    <x v="1"/>
    <x v="4"/>
    <x v="5"/>
    <x v="10"/>
    <n v="4.8802460419764229"/>
  </r>
  <r>
    <x v="3"/>
    <x v="0"/>
    <x v="3"/>
    <x v="3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3"/>
    <x v="0"/>
    <x v="3"/>
    <x v="3"/>
    <x v="0"/>
    <x v="2"/>
    <x v="0"/>
    <x v="0"/>
    <x v="0"/>
    <x v="0"/>
    <x v="0"/>
    <x v="0"/>
    <x v="2"/>
    <x v="10"/>
    <x v="10"/>
    <x v="21"/>
    <x v="21"/>
    <n v="10.6309999999936"/>
    <x v="0"/>
    <x v="0"/>
    <x v="1"/>
    <x v="4"/>
    <x v="5"/>
    <x v="10"/>
    <n v="11.587789999993024"/>
  </r>
  <r>
    <x v="3"/>
    <x v="0"/>
    <x v="3"/>
    <x v="3"/>
    <x v="0"/>
    <x v="2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3"/>
    <x v="0"/>
    <x v="3"/>
    <x v="3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3"/>
    <x v="0"/>
    <x v="3"/>
    <x v="3"/>
    <x v="0"/>
    <x v="2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3"/>
    <x v="0"/>
    <x v="3"/>
    <x v="3"/>
    <x v="0"/>
    <x v="2"/>
    <x v="0"/>
    <x v="0"/>
    <x v="0"/>
    <x v="0"/>
    <x v="0"/>
    <x v="0"/>
    <x v="4"/>
    <x v="5"/>
    <x v="5"/>
    <x v="8"/>
    <x v="8"/>
    <n v="5.4867567567918698"/>
    <x v="0"/>
    <x v="1"/>
    <x v="2"/>
    <x v="2"/>
    <x v="6"/>
    <x v="8"/>
    <n v="5.9805648649031387"/>
  </r>
  <r>
    <x v="3"/>
    <x v="0"/>
    <x v="3"/>
    <x v="3"/>
    <x v="0"/>
    <x v="2"/>
    <x v="0"/>
    <x v="0"/>
    <x v="0"/>
    <x v="0"/>
    <x v="0"/>
    <x v="0"/>
    <x v="4"/>
    <x v="5"/>
    <x v="5"/>
    <x v="9"/>
    <x v="9"/>
    <n v="922.63041031193495"/>
    <x v="0"/>
    <x v="0"/>
    <x v="1"/>
    <x v="4"/>
    <x v="5"/>
    <x v="9"/>
    <n v="1005.6671472400092"/>
  </r>
  <r>
    <x v="3"/>
    <x v="0"/>
    <x v="3"/>
    <x v="3"/>
    <x v="0"/>
    <x v="2"/>
    <x v="0"/>
    <x v="0"/>
    <x v="0"/>
    <x v="0"/>
    <x v="0"/>
    <x v="0"/>
    <x v="4"/>
    <x v="5"/>
    <x v="5"/>
    <x v="10"/>
    <x v="10"/>
    <n v="26.5360490036032"/>
    <x v="0"/>
    <x v="0"/>
    <x v="1"/>
    <x v="4"/>
    <x v="5"/>
    <x v="10"/>
    <n v="28.92429341392749"/>
  </r>
  <r>
    <x v="3"/>
    <x v="0"/>
    <x v="3"/>
    <x v="3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3"/>
    <x v="0"/>
    <x v="3"/>
    <x v="3"/>
    <x v="0"/>
    <x v="1"/>
    <x v="0"/>
    <x v="0"/>
    <x v="0"/>
    <x v="0"/>
    <x v="0"/>
    <x v="0"/>
    <x v="0"/>
    <x v="4"/>
    <x v="4"/>
    <x v="8"/>
    <x v="8"/>
    <n v="27.608655405582098"/>
    <x v="0"/>
    <x v="1"/>
    <x v="2"/>
    <x v="2"/>
    <x v="6"/>
    <x v="8"/>
    <n v="30.09343439208449"/>
  </r>
  <r>
    <x v="3"/>
    <x v="0"/>
    <x v="3"/>
    <x v="3"/>
    <x v="0"/>
    <x v="1"/>
    <x v="0"/>
    <x v="0"/>
    <x v="0"/>
    <x v="0"/>
    <x v="0"/>
    <x v="0"/>
    <x v="0"/>
    <x v="4"/>
    <x v="4"/>
    <x v="9"/>
    <x v="9"/>
    <n v="0.64728440366934004"/>
    <x v="0"/>
    <x v="0"/>
    <x v="1"/>
    <x v="4"/>
    <x v="5"/>
    <x v="9"/>
    <n v="0.70553999999958072"/>
  </r>
  <r>
    <x v="3"/>
    <x v="0"/>
    <x v="3"/>
    <x v="3"/>
    <x v="0"/>
    <x v="1"/>
    <x v="0"/>
    <x v="0"/>
    <x v="0"/>
    <x v="0"/>
    <x v="0"/>
    <x v="0"/>
    <x v="0"/>
    <x v="4"/>
    <x v="4"/>
    <x v="11"/>
    <x v="11"/>
    <n v="106.89688"/>
    <x v="0"/>
    <x v="0"/>
    <x v="3"/>
    <x v="5"/>
    <x v="7"/>
    <x v="11"/>
    <n v="116.51759920000001"/>
  </r>
  <r>
    <x v="3"/>
    <x v="0"/>
    <x v="3"/>
    <x v="3"/>
    <x v="0"/>
    <x v="1"/>
    <x v="0"/>
    <x v="0"/>
    <x v="0"/>
    <x v="0"/>
    <x v="0"/>
    <x v="0"/>
    <x v="0"/>
    <x v="4"/>
    <x v="4"/>
    <x v="12"/>
    <x v="12"/>
    <n v="674.08075581139201"/>
    <x v="0"/>
    <x v="0"/>
    <x v="0"/>
    <x v="0"/>
    <x v="8"/>
    <x v="12"/>
    <n v="734.74802383441738"/>
  </r>
  <r>
    <x v="3"/>
    <x v="0"/>
    <x v="3"/>
    <x v="3"/>
    <x v="0"/>
    <x v="1"/>
    <x v="0"/>
    <x v="0"/>
    <x v="0"/>
    <x v="0"/>
    <x v="0"/>
    <x v="0"/>
    <x v="0"/>
    <x v="4"/>
    <x v="4"/>
    <x v="14"/>
    <x v="14"/>
    <n v="92.969290000000001"/>
    <x v="0"/>
    <x v="0"/>
    <x v="0"/>
    <x v="0"/>
    <x v="8"/>
    <x v="14"/>
    <n v="101.33652610000001"/>
  </r>
  <r>
    <x v="3"/>
    <x v="0"/>
    <x v="3"/>
    <x v="3"/>
    <x v="0"/>
    <x v="1"/>
    <x v="0"/>
    <x v="0"/>
    <x v="0"/>
    <x v="0"/>
    <x v="0"/>
    <x v="0"/>
    <x v="0"/>
    <x v="4"/>
    <x v="4"/>
    <x v="16"/>
    <x v="16"/>
    <n v="1284.60574"/>
    <x v="0"/>
    <x v="0"/>
    <x v="3"/>
    <x v="5"/>
    <x v="9"/>
    <x v="16"/>
    <n v="1400.2202566000001"/>
  </r>
  <r>
    <x v="3"/>
    <x v="0"/>
    <x v="3"/>
    <x v="3"/>
    <x v="0"/>
    <x v="1"/>
    <x v="0"/>
    <x v="0"/>
    <x v="0"/>
    <x v="0"/>
    <x v="0"/>
    <x v="0"/>
    <x v="0"/>
    <x v="4"/>
    <x v="4"/>
    <x v="20"/>
    <x v="20"/>
    <n v="722.79755999999998"/>
    <x v="0"/>
    <x v="0"/>
    <x v="1"/>
    <x v="3"/>
    <x v="3"/>
    <x v="13"/>
    <n v="787.84934040000007"/>
  </r>
  <r>
    <x v="3"/>
    <x v="0"/>
    <x v="3"/>
    <x v="3"/>
    <x v="0"/>
    <x v="1"/>
    <x v="0"/>
    <x v="0"/>
    <x v="0"/>
    <x v="0"/>
    <x v="0"/>
    <x v="0"/>
    <x v="0"/>
    <x v="4"/>
    <x v="4"/>
    <x v="2"/>
    <x v="2"/>
    <n v="3331.3040825668099"/>
    <x v="0"/>
    <x v="1"/>
    <x v="2"/>
    <x v="2"/>
    <x v="13"/>
    <x v="2"/>
    <n v="3631.1214499978232"/>
  </r>
  <r>
    <x v="3"/>
    <x v="0"/>
    <x v="3"/>
    <x v="3"/>
    <x v="0"/>
    <x v="1"/>
    <x v="0"/>
    <x v="0"/>
    <x v="0"/>
    <x v="0"/>
    <x v="0"/>
    <x v="0"/>
    <x v="0"/>
    <x v="4"/>
    <x v="4"/>
    <x v="3"/>
    <x v="3"/>
    <n v="155.216532007598"/>
    <x v="0"/>
    <x v="0"/>
    <x v="1"/>
    <x v="3"/>
    <x v="3"/>
    <x v="3"/>
    <n v="169.18601988828183"/>
  </r>
  <r>
    <x v="3"/>
    <x v="0"/>
    <x v="3"/>
    <x v="3"/>
    <x v="0"/>
    <x v="1"/>
    <x v="0"/>
    <x v="0"/>
    <x v="0"/>
    <x v="0"/>
    <x v="0"/>
    <x v="0"/>
    <x v="0"/>
    <x v="0"/>
    <x v="0"/>
    <x v="5"/>
    <x v="5"/>
    <n v="31.9724478530037"/>
    <x v="0"/>
    <x v="0"/>
    <x v="1"/>
    <x v="1"/>
    <x v="1"/>
    <x v="5"/>
    <n v="34.849968159774036"/>
  </r>
  <r>
    <x v="3"/>
    <x v="0"/>
    <x v="3"/>
    <x v="3"/>
    <x v="0"/>
    <x v="1"/>
    <x v="0"/>
    <x v="0"/>
    <x v="0"/>
    <x v="0"/>
    <x v="0"/>
    <x v="0"/>
    <x v="0"/>
    <x v="0"/>
    <x v="0"/>
    <x v="6"/>
    <x v="6"/>
    <n v="38.088340000000002"/>
    <x v="0"/>
    <x v="0"/>
    <x v="0"/>
    <x v="0"/>
    <x v="4"/>
    <x v="6"/>
    <n v="41.516290600000005"/>
  </r>
  <r>
    <x v="3"/>
    <x v="0"/>
    <x v="3"/>
    <x v="3"/>
    <x v="0"/>
    <x v="1"/>
    <x v="0"/>
    <x v="0"/>
    <x v="0"/>
    <x v="0"/>
    <x v="0"/>
    <x v="0"/>
    <x v="0"/>
    <x v="0"/>
    <x v="0"/>
    <x v="7"/>
    <x v="7"/>
    <n v="10.288403669718599"/>
    <x v="0"/>
    <x v="0"/>
    <x v="1"/>
    <x v="4"/>
    <x v="5"/>
    <x v="7"/>
    <n v="11.214359999993274"/>
  </r>
  <r>
    <x v="3"/>
    <x v="0"/>
    <x v="3"/>
    <x v="3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3"/>
    <x v="0"/>
    <x v="3"/>
    <x v="3"/>
    <x v="0"/>
    <x v="1"/>
    <x v="0"/>
    <x v="0"/>
    <x v="0"/>
    <x v="0"/>
    <x v="0"/>
    <x v="0"/>
    <x v="0"/>
    <x v="0"/>
    <x v="0"/>
    <x v="9"/>
    <x v="9"/>
    <n v="64.053048722173301"/>
    <x v="0"/>
    <x v="0"/>
    <x v="1"/>
    <x v="4"/>
    <x v="5"/>
    <x v="9"/>
    <n v="69.817823107168905"/>
  </r>
  <r>
    <x v="3"/>
    <x v="0"/>
    <x v="3"/>
    <x v="3"/>
    <x v="0"/>
    <x v="1"/>
    <x v="0"/>
    <x v="0"/>
    <x v="0"/>
    <x v="0"/>
    <x v="0"/>
    <x v="0"/>
    <x v="0"/>
    <x v="0"/>
    <x v="0"/>
    <x v="10"/>
    <x v="10"/>
    <n v="103.269382776189"/>
    <x v="0"/>
    <x v="0"/>
    <x v="1"/>
    <x v="4"/>
    <x v="5"/>
    <x v="10"/>
    <n v="112.56362722604602"/>
  </r>
  <r>
    <x v="3"/>
    <x v="0"/>
    <x v="3"/>
    <x v="3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3"/>
    <x v="0"/>
    <x v="3"/>
    <x v="3"/>
    <x v="0"/>
    <x v="1"/>
    <x v="0"/>
    <x v="0"/>
    <x v="0"/>
    <x v="0"/>
    <x v="0"/>
    <x v="0"/>
    <x v="0"/>
    <x v="0"/>
    <x v="0"/>
    <x v="11"/>
    <x v="11"/>
    <n v="37.82967"/>
    <x v="0"/>
    <x v="0"/>
    <x v="3"/>
    <x v="5"/>
    <x v="7"/>
    <x v="11"/>
    <n v="41.234340300000007"/>
  </r>
  <r>
    <x v="3"/>
    <x v="0"/>
    <x v="3"/>
    <x v="3"/>
    <x v="0"/>
    <x v="1"/>
    <x v="0"/>
    <x v="0"/>
    <x v="0"/>
    <x v="0"/>
    <x v="0"/>
    <x v="0"/>
    <x v="0"/>
    <x v="0"/>
    <x v="0"/>
    <x v="12"/>
    <x v="12"/>
    <n v="701.37459302059096"/>
    <x v="0"/>
    <x v="0"/>
    <x v="0"/>
    <x v="0"/>
    <x v="8"/>
    <x v="12"/>
    <n v="764.49830639244419"/>
  </r>
  <r>
    <x v="3"/>
    <x v="0"/>
    <x v="3"/>
    <x v="3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3"/>
    <x v="0"/>
    <x v="3"/>
    <x v="3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3"/>
    <x v="0"/>
    <x v="3"/>
    <x v="3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3"/>
    <x v="0"/>
    <x v="3"/>
    <x v="3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3"/>
    <x v="0"/>
    <x v="3"/>
    <x v="3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3"/>
    <x v="0"/>
    <x v="3"/>
    <x v="3"/>
    <x v="0"/>
    <x v="1"/>
    <x v="0"/>
    <x v="0"/>
    <x v="0"/>
    <x v="0"/>
    <x v="0"/>
    <x v="0"/>
    <x v="0"/>
    <x v="0"/>
    <x v="0"/>
    <x v="21"/>
    <x v="21"/>
    <n v="11.7587339449471"/>
    <x v="0"/>
    <x v="0"/>
    <x v="1"/>
    <x v="4"/>
    <x v="5"/>
    <x v="10"/>
    <n v="12.81701999999234"/>
  </r>
  <r>
    <x v="3"/>
    <x v="0"/>
    <x v="3"/>
    <x v="3"/>
    <x v="0"/>
    <x v="1"/>
    <x v="0"/>
    <x v="0"/>
    <x v="0"/>
    <x v="0"/>
    <x v="0"/>
    <x v="0"/>
    <x v="0"/>
    <x v="0"/>
    <x v="0"/>
    <x v="18"/>
    <x v="18"/>
    <n v="44.195050000000002"/>
    <x v="0"/>
    <x v="0"/>
    <x v="0"/>
    <x v="0"/>
    <x v="4"/>
    <x v="18"/>
    <n v="48.172604500000006"/>
  </r>
  <r>
    <x v="3"/>
    <x v="0"/>
    <x v="3"/>
    <x v="3"/>
    <x v="0"/>
    <x v="1"/>
    <x v="0"/>
    <x v="0"/>
    <x v="0"/>
    <x v="0"/>
    <x v="0"/>
    <x v="0"/>
    <x v="0"/>
    <x v="0"/>
    <x v="0"/>
    <x v="25"/>
    <x v="25"/>
    <n v="61.321798165100802"/>
    <x v="0"/>
    <x v="0"/>
    <x v="1"/>
    <x v="4"/>
    <x v="5"/>
    <x v="9"/>
    <n v="66.840759999959886"/>
  </r>
  <r>
    <x v="3"/>
    <x v="0"/>
    <x v="3"/>
    <x v="3"/>
    <x v="0"/>
    <x v="1"/>
    <x v="0"/>
    <x v="0"/>
    <x v="0"/>
    <x v="0"/>
    <x v="0"/>
    <x v="0"/>
    <x v="0"/>
    <x v="0"/>
    <x v="0"/>
    <x v="26"/>
    <x v="26"/>
    <n v="1.5815137614669399"/>
    <x v="0"/>
    <x v="0"/>
    <x v="1"/>
    <x v="3"/>
    <x v="3"/>
    <x v="15"/>
    <n v="1.7238499999989647"/>
  </r>
  <r>
    <x v="3"/>
    <x v="0"/>
    <x v="3"/>
    <x v="3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3"/>
    <x v="0"/>
    <x v="3"/>
    <x v="3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3"/>
    <x v="0"/>
    <x v="3"/>
    <x v="3"/>
    <x v="0"/>
    <x v="1"/>
    <x v="0"/>
    <x v="0"/>
    <x v="0"/>
    <x v="0"/>
    <x v="0"/>
    <x v="0"/>
    <x v="0"/>
    <x v="0"/>
    <x v="0"/>
    <x v="2"/>
    <x v="2"/>
    <n v="7120.1977798122398"/>
    <x v="0"/>
    <x v="1"/>
    <x v="2"/>
    <x v="2"/>
    <x v="13"/>
    <x v="2"/>
    <n v="7761.0155799953418"/>
  </r>
  <r>
    <x v="3"/>
    <x v="0"/>
    <x v="3"/>
    <x v="3"/>
    <x v="0"/>
    <x v="1"/>
    <x v="0"/>
    <x v="0"/>
    <x v="0"/>
    <x v="0"/>
    <x v="0"/>
    <x v="0"/>
    <x v="0"/>
    <x v="0"/>
    <x v="0"/>
    <x v="3"/>
    <x v="3"/>
    <n v="31.6245812783215"/>
    <x v="0"/>
    <x v="0"/>
    <x v="1"/>
    <x v="3"/>
    <x v="3"/>
    <x v="3"/>
    <n v="34.470793593370438"/>
  </r>
  <r>
    <x v="3"/>
    <x v="0"/>
    <x v="3"/>
    <x v="3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3"/>
    <x v="0"/>
    <x v="3"/>
    <x v="3"/>
    <x v="0"/>
    <x v="1"/>
    <x v="0"/>
    <x v="0"/>
    <x v="0"/>
    <x v="0"/>
    <x v="0"/>
    <x v="0"/>
    <x v="1"/>
    <x v="1"/>
    <x v="1"/>
    <x v="5"/>
    <x v="5"/>
    <n v="71.571957055758702"/>
    <x v="0"/>
    <x v="0"/>
    <x v="1"/>
    <x v="1"/>
    <x v="1"/>
    <x v="5"/>
    <n v="78.013433190776993"/>
  </r>
  <r>
    <x v="3"/>
    <x v="0"/>
    <x v="3"/>
    <x v="3"/>
    <x v="0"/>
    <x v="1"/>
    <x v="0"/>
    <x v="0"/>
    <x v="0"/>
    <x v="0"/>
    <x v="0"/>
    <x v="0"/>
    <x v="1"/>
    <x v="1"/>
    <x v="1"/>
    <x v="6"/>
    <x v="6"/>
    <n v="172.90434999999999"/>
    <x v="0"/>
    <x v="0"/>
    <x v="0"/>
    <x v="0"/>
    <x v="4"/>
    <x v="6"/>
    <n v="188.46574150000001"/>
  </r>
  <r>
    <x v="3"/>
    <x v="0"/>
    <x v="3"/>
    <x v="3"/>
    <x v="0"/>
    <x v="1"/>
    <x v="0"/>
    <x v="0"/>
    <x v="0"/>
    <x v="0"/>
    <x v="0"/>
    <x v="0"/>
    <x v="1"/>
    <x v="1"/>
    <x v="1"/>
    <x v="7"/>
    <x v="7"/>
    <n v="10.288403669718599"/>
    <x v="0"/>
    <x v="0"/>
    <x v="1"/>
    <x v="4"/>
    <x v="5"/>
    <x v="7"/>
    <n v="11.214359999993274"/>
  </r>
  <r>
    <x v="3"/>
    <x v="0"/>
    <x v="3"/>
    <x v="3"/>
    <x v="0"/>
    <x v="1"/>
    <x v="0"/>
    <x v="0"/>
    <x v="0"/>
    <x v="0"/>
    <x v="0"/>
    <x v="0"/>
    <x v="1"/>
    <x v="1"/>
    <x v="1"/>
    <x v="8"/>
    <x v="8"/>
    <n v="5389.8792027372001"/>
    <x v="0"/>
    <x v="1"/>
    <x v="2"/>
    <x v="2"/>
    <x v="6"/>
    <x v="8"/>
    <n v="5874.9683309835482"/>
  </r>
  <r>
    <x v="3"/>
    <x v="0"/>
    <x v="3"/>
    <x v="3"/>
    <x v="0"/>
    <x v="1"/>
    <x v="0"/>
    <x v="0"/>
    <x v="0"/>
    <x v="0"/>
    <x v="0"/>
    <x v="0"/>
    <x v="1"/>
    <x v="1"/>
    <x v="1"/>
    <x v="9"/>
    <x v="9"/>
    <n v="28.261438256879501"/>
    <x v="0"/>
    <x v="0"/>
    <x v="1"/>
    <x v="4"/>
    <x v="5"/>
    <x v="9"/>
    <n v="30.804967699998659"/>
  </r>
  <r>
    <x v="3"/>
    <x v="0"/>
    <x v="3"/>
    <x v="3"/>
    <x v="0"/>
    <x v="1"/>
    <x v="0"/>
    <x v="0"/>
    <x v="0"/>
    <x v="0"/>
    <x v="0"/>
    <x v="0"/>
    <x v="1"/>
    <x v="1"/>
    <x v="1"/>
    <x v="10"/>
    <x v="10"/>
    <n v="52.274977257258001"/>
    <x v="0"/>
    <x v="0"/>
    <x v="1"/>
    <x v="4"/>
    <x v="5"/>
    <x v="10"/>
    <n v="56.979725210411225"/>
  </r>
  <r>
    <x v="3"/>
    <x v="0"/>
    <x v="3"/>
    <x v="3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3"/>
    <x v="0"/>
    <x v="3"/>
    <x v="3"/>
    <x v="0"/>
    <x v="1"/>
    <x v="0"/>
    <x v="0"/>
    <x v="0"/>
    <x v="0"/>
    <x v="0"/>
    <x v="0"/>
    <x v="1"/>
    <x v="1"/>
    <x v="1"/>
    <x v="11"/>
    <x v="11"/>
    <n v="40.072279999999999"/>
    <x v="0"/>
    <x v="0"/>
    <x v="3"/>
    <x v="5"/>
    <x v="7"/>
    <x v="11"/>
    <n v="43.6787852"/>
  </r>
  <r>
    <x v="3"/>
    <x v="0"/>
    <x v="3"/>
    <x v="3"/>
    <x v="0"/>
    <x v="1"/>
    <x v="0"/>
    <x v="0"/>
    <x v="0"/>
    <x v="0"/>
    <x v="0"/>
    <x v="0"/>
    <x v="1"/>
    <x v="1"/>
    <x v="1"/>
    <x v="12"/>
    <x v="12"/>
    <n v="1157.4474883676901"/>
    <x v="0"/>
    <x v="0"/>
    <x v="0"/>
    <x v="0"/>
    <x v="8"/>
    <x v="12"/>
    <n v="1261.6177623207823"/>
  </r>
  <r>
    <x v="3"/>
    <x v="0"/>
    <x v="3"/>
    <x v="3"/>
    <x v="0"/>
    <x v="1"/>
    <x v="0"/>
    <x v="0"/>
    <x v="0"/>
    <x v="0"/>
    <x v="0"/>
    <x v="0"/>
    <x v="1"/>
    <x v="1"/>
    <x v="1"/>
    <x v="14"/>
    <x v="14"/>
    <n v="273.72802000000001"/>
    <x v="0"/>
    <x v="0"/>
    <x v="0"/>
    <x v="0"/>
    <x v="8"/>
    <x v="14"/>
    <n v="298.36354180000006"/>
  </r>
  <r>
    <x v="3"/>
    <x v="0"/>
    <x v="3"/>
    <x v="3"/>
    <x v="0"/>
    <x v="1"/>
    <x v="0"/>
    <x v="0"/>
    <x v="0"/>
    <x v="0"/>
    <x v="0"/>
    <x v="0"/>
    <x v="1"/>
    <x v="1"/>
    <x v="1"/>
    <x v="15"/>
    <x v="15"/>
    <n v="0.64490825688035003"/>
    <x v="0"/>
    <x v="0"/>
    <x v="1"/>
    <x v="3"/>
    <x v="3"/>
    <x v="15"/>
    <n v="0.70294999999958163"/>
  </r>
  <r>
    <x v="3"/>
    <x v="0"/>
    <x v="3"/>
    <x v="3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3"/>
    <x v="0"/>
    <x v="3"/>
    <x v="3"/>
    <x v="0"/>
    <x v="1"/>
    <x v="0"/>
    <x v="0"/>
    <x v="0"/>
    <x v="0"/>
    <x v="0"/>
    <x v="0"/>
    <x v="1"/>
    <x v="1"/>
    <x v="1"/>
    <x v="16"/>
    <x v="16"/>
    <n v="24.8"/>
    <x v="0"/>
    <x v="0"/>
    <x v="3"/>
    <x v="5"/>
    <x v="9"/>
    <x v="16"/>
    <n v="27.032000000000004"/>
  </r>
  <r>
    <x v="3"/>
    <x v="0"/>
    <x v="3"/>
    <x v="3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3"/>
    <x v="0"/>
    <x v="3"/>
    <x v="3"/>
    <x v="0"/>
    <x v="1"/>
    <x v="0"/>
    <x v="0"/>
    <x v="0"/>
    <x v="0"/>
    <x v="0"/>
    <x v="0"/>
    <x v="1"/>
    <x v="1"/>
    <x v="1"/>
    <x v="24"/>
    <x v="24"/>
    <n v="32.593440366952898"/>
    <x v="0"/>
    <x v="0"/>
    <x v="1"/>
    <x v="3"/>
    <x v="3"/>
    <x v="4"/>
    <n v="35.526849999978658"/>
  </r>
  <r>
    <x v="3"/>
    <x v="0"/>
    <x v="3"/>
    <x v="3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3"/>
    <x v="0"/>
    <x v="3"/>
    <x v="3"/>
    <x v="0"/>
    <x v="1"/>
    <x v="0"/>
    <x v="0"/>
    <x v="0"/>
    <x v="0"/>
    <x v="0"/>
    <x v="0"/>
    <x v="1"/>
    <x v="1"/>
    <x v="1"/>
    <x v="18"/>
    <x v="18"/>
    <n v="55.134790000000002"/>
    <x v="0"/>
    <x v="0"/>
    <x v="0"/>
    <x v="0"/>
    <x v="4"/>
    <x v="18"/>
    <n v="60.09692110000001"/>
  </r>
  <r>
    <x v="3"/>
    <x v="0"/>
    <x v="3"/>
    <x v="3"/>
    <x v="0"/>
    <x v="1"/>
    <x v="0"/>
    <x v="0"/>
    <x v="0"/>
    <x v="0"/>
    <x v="0"/>
    <x v="0"/>
    <x v="1"/>
    <x v="1"/>
    <x v="1"/>
    <x v="26"/>
    <x v="26"/>
    <n v="6.9376697247664803"/>
    <x v="0"/>
    <x v="0"/>
    <x v="1"/>
    <x v="3"/>
    <x v="3"/>
    <x v="15"/>
    <n v="7.5620599999954639"/>
  </r>
  <r>
    <x v="3"/>
    <x v="0"/>
    <x v="3"/>
    <x v="3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3"/>
    <x v="0"/>
    <x v="3"/>
    <x v="3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3"/>
    <x v="0"/>
    <x v="3"/>
    <x v="3"/>
    <x v="0"/>
    <x v="1"/>
    <x v="0"/>
    <x v="0"/>
    <x v="0"/>
    <x v="0"/>
    <x v="0"/>
    <x v="0"/>
    <x v="1"/>
    <x v="1"/>
    <x v="1"/>
    <x v="2"/>
    <x v="2"/>
    <n v="5393.9339816481397"/>
    <x v="0"/>
    <x v="1"/>
    <x v="2"/>
    <x v="2"/>
    <x v="13"/>
    <x v="2"/>
    <n v="5879.3880399964728"/>
  </r>
  <r>
    <x v="3"/>
    <x v="0"/>
    <x v="3"/>
    <x v="3"/>
    <x v="0"/>
    <x v="1"/>
    <x v="0"/>
    <x v="0"/>
    <x v="0"/>
    <x v="0"/>
    <x v="0"/>
    <x v="0"/>
    <x v="1"/>
    <x v="1"/>
    <x v="1"/>
    <x v="3"/>
    <x v="3"/>
    <n v="247.01074283787599"/>
    <x v="0"/>
    <x v="0"/>
    <x v="1"/>
    <x v="3"/>
    <x v="3"/>
    <x v="3"/>
    <n v="269.24170969328486"/>
  </r>
  <r>
    <x v="3"/>
    <x v="0"/>
    <x v="3"/>
    <x v="3"/>
    <x v="0"/>
    <x v="1"/>
    <x v="0"/>
    <x v="0"/>
    <x v="0"/>
    <x v="0"/>
    <x v="0"/>
    <x v="0"/>
    <x v="2"/>
    <x v="2"/>
    <x v="2"/>
    <x v="4"/>
    <x v="4"/>
    <n v="19.406880733933299"/>
    <x v="0"/>
    <x v="0"/>
    <x v="1"/>
    <x v="3"/>
    <x v="3"/>
    <x v="4"/>
    <n v="21.153499999987297"/>
  </r>
  <r>
    <x v="3"/>
    <x v="0"/>
    <x v="3"/>
    <x v="3"/>
    <x v="0"/>
    <x v="1"/>
    <x v="0"/>
    <x v="0"/>
    <x v="0"/>
    <x v="0"/>
    <x v="0"/>
    <x v="0"/>
    <x v="2"/>
    <x v="2"/>
    <x v="2"/>
    <x v="6"/>
    <x v="6"/>
    <n v="277.90481"/>
    <x v="0"/>
    <x v="0"/>
    <x v="0"/>
    <x v="0"/>
    <x v="4"/>
    <x v="6"/>
    <n v="302.91624290000004"/>
  </r>
  <r>
    <x v="3"/>
    <x v="0"/>
    <x v="3"/>
    <x v="3"/>
    <x v="0"/>
    <x v="1"/>
    <x v="0"/>
    <x v="0"/>
    <x v="0"/>
    <x v="0"/>
    <x v="0"/>
    <x v="0"/>
    <x v="2"/>
    <x v="2"/>
    <x v="2"/>
    <x v="7"/>
    <x v="7"/>
    <n v="0.60058715596293999"/>
    <x v="0"/>
    <x v="0"/>
    <x v="1"/>
    <x v="4"/>
    <x v="5"/>
    <x v="7"/>
    <n v="0.65463999999960465"/>
  </r>
  <r>
    <x v="3"/>
    <x v="0"/>
    <x v="3"/>
    <x v="3"/>
    <x v="0"/>
    <x v="1"/>
    <x v="0"/>
    <x v="0"/>
    <x v="0"/>
    <x v="0"/>
    <x v="0"/>
    <x v="0"/>
    <x v="2"/>
    <x v="2"/>
    <x v="2"/>
    <x v="8"/>
    <x v="8"/>
    <n v="6089.28668922816"/>
    <x v="0"/>
    <x v="1"/>
    <x v="2"/>
    <x v="2"/>
    <x v="6"/>
    <x v="8"/>
    <n v="6637.3224912586948"/>
  </r>
  <r>
    <x v="3"/>
    <x v="0"/>
    <x v="3"/>
    <x v="3"/>
    <x v="0"/>
    <x v="1"/>
    <x v="0"/>
    <x v="0"/>
    <x v="0"/>
    <x v="0"/>
    <x v="0"/>
    <x v="0"/>
    <x v="2"/>
    <x v="2"/>
    <x v="2"/>
    <x v="9"/>
    <x v="9"/>
    <n v="19.1138532109977"/>
    <x v="0"/>
    <x v="0"/>
    <x v="1"/>
    <x v="4"/>
    <x v="5"/>
    <x v="9"/>
    <n v="20.834099999987494"/>
  </r>
  <r>
    <x v="3"/>
    <x v="0"/>
    <x v="3"/>
    <x v="3"/>
    <x v="0"/>
    <x v="1"/>
    <x v="0"/>
    <x v="0"/>
    <x v="0"/>
    <x v="0"/>
    <x v="0"/>
    <x v="0"/>
    <x v="2"/>
    <x v="2"/>
    <x v="2"/>
    <x v="10"/>
    <x v="10"/>
    <n v="0.32455276932799998"/>
    <x v="0"/>
    <x v="0"/>
    <x v="1"/>
    <x v="4"/>
    <x v="5"/>
    <x v="10"/>
    <n v="0.35376251856752"/>
  </r>
  <r>
    <x v="3"/>
    <x v="0"/>
    <x v="3"/>
    <x v="3"/>
    <x v="0"/>
    <x v="1"/>
    <x v="0"/>
    <x v="0"/>
    <x v="0"/>
    <x v="0"/>
    <x v="0"/>
    <x v="0"/>
    <x v="2"/>
    <x v="2"/>
    <x v="2"/>
    <x v="31"/>
    <x v="31"/>
    <n v="1.2104036697240399"/>
    <x v="0"/>
    <x v="0"/>
    <x v="1"/>
    <x v="4"/>
    <x v="5"/>
    <x v="10"/>
    <n v="1.3193399999992035"/>
  </r>
  <r>
    <x v="3"/>
    <x v="0"/>
    <x v="3"/>
    <x v="3"/>
    <x v="0"/>
    <x v="1"/>
    <x v="0"/>
    <x v="0"/>
    <x v="0"/>
    <x v="0"/>
    <x v="0"/>
    <x v="0"/>
    <x v="2"/>
    <x v="2"/>
    <x v="2"/>
    <x v="11"/>
    <x v="11"/>
    <n v="38.641260000000003"/>
    <x v="0"/>
    <x v="0"/>
    <x v="3"/>
    <x v="5"/>
    <x v="7"/>
    <x v="11"/>
    <n v="42.118973400000009"/>
  </r>
  <r>
    <x v="3"/>
    <x v="0"/>
    <x v="3"/>
    <x v="3"/>
    <x v="0"/>
    <x v="1"/>
    <x v="0"/>
    <x v="0"/>
    <x v="0"/>
    <x v="0"/>
    <x v="0"/>
    <x v="0"/>
    <x v="2"/>
    <x v="2"/>
    <x v="2"/>
    <x v="12"/>
    <x v="12"/>
    <n v="579.37211627686804"/>
    <x v="0"/>
    <x v="0"/>
    <x v="0"/>
    <x v="0"/>
    <x v="8"/>
    <x v="12"/>
    <n v="631.5156067417862"/>
  </r>
  <r>
    <x v="3"/>
    <x v="0"/>
    <x v="3"/>
    <x v="3"/>
    <x v="0"/>
    <x v="1"/>
    <x v="0"/>
    <x v="0"/>
    <x v="0"/>
    <x v="0"/>
    <x v="0"/>
    <x v="0"/>
    <x v="2"/>
    <x v="2"/>
    <x v="2"/>
    <x v="14"/>
    <x v="14"/>
    <n v="304.65370999999999"/>
    <x v="0"/>
    <x v="0"/>
    <x v="0"/>
    <x v="0"/>
    <x v="8"/>
    <x v="14"/>
    <n v="332.07254390000003"/>
  </r>
  <r>
    <x v="3"/>
    <x v="0"/>
    <x v="3"/>
    <x v="3"/>
    <x v="0"/>
    <x v="1"/>
    <x v="0"/>
    <x v="0"/>
    <x v="0"/>
    <x v="0"/>
    <x v="0"/>
    <x v="0"/>
    <x v="2"/>
    <x v="2"/>
    <x v="2"/>
    <x v="16"/>
    <x v="16"/>
    <n v="160.72587999999999"/>
    <x v="0"/>
    <x v="0"/>
    <x v="3"/>
    <x v="5"/>
    <x v="9"/>
    <x v="16"/>
    <n v="175.1912092"/>
  </r>
  <r>
    <x v="3"/>
    <x v="0"/>
    <x v="3"/>
    <x v="3"/>
    <x v="0"/>
    <x v="1"/>
    <x v="0"/>
    <x v="0"/>
    <x v="0"/>
    <x v="0"/>
    <x v="0"/>
    <x v="0"/>
    <x v="2"/>
    <x v="2"/>
    <x v="2"/>
    <x v="17"/>
    <x v="17"/>
    <n v="65.35848"/>
    <x v="0"/>
    <x v="0"/>
    <x v="0"/>
    <x v="0"/>
    <x v="4"/>
    <x v="17"/>
    <n v="71.240743200000011"/>
  </r>
  <r>
    <x v="3"/>
    <x v="0"/>
    <x v="3"/>
    <x v="3"/>
    <x v="0"/>
    <x v="1"/>
    <x v="0"/>
    <x v="0"/>
    <x v="0"/>
    <x v="0"/>
    <x v="0"/>
    <x v="0"/>
    <x v="2"/>
    <x v="2"/>
    <x v="2"/>
    <x v="18"/>
    <x v="18"/>
    <n v="145.36415"/>
    <x v="0"/>
    <x v="0"/>
    <x v="0"/>
    <x v="0"/>
    <x v="4"/>
    <x v="18"/>
    <n v="158.4469235"/>
  </r>
  <r>
    <x v="3"/>
    <x v="0"/>
    <x v="3"/>
    <x v="3"/>
    <x v="0"/>
    <x v="1"/>
    <x v="0"/>
    <x v="0"/>
    <x v="0"/>
    <x v="0"/>
    <x v="0"/>
    <x v="0"/>
    <x v="2"/>
    <x v="2"/>
    <x v="2"/>
    <x v="34"/>
    <x v="34"/>
    <n v="2.8410829693840198"/>
    <x v="0"/>
    <x v="0"/>
    <x v="0"/>
    <x v="0"/>
    <x v="0"/>
    <x v="0"/>
    <n v="3.096780436628582"/>
  </r>
  <r>
    <x v="3"/>
    <x v="0"/>
    <x v="3"/>
    <x v="3"/>
    <x v="0"/>
    <x v="1"/>
    <x v="0"/>
    <x v="0"/>
    <x v="0"/>
    <x v="0"/>
    <x v="0"/>
    <x v="0"/>
    <x v="2"/>
    <x v="2"/>
    <x v="2"/>
    <x v="27"/>
    <x v="27"/>
    <n v="1.9738986486904999"/>
    <x v="0"/>
    <x v="0"/>
    <x v="1"/>
    <x v="3"/>
    <x v="3"/>
    <x v="19"/>
    <n v="2.1515495270726452"/>
  </r>
  <r>
    <x v="3"/>
    <x v="0"/>
    <x v="3"/>
    <x v="3"/>
    <x v="0"/>
    <x v="1"/>
    <x v="0"/>
    <x v="0"/>
    <x v="0"/>
    <x v="0"/>
    <x v="0"/>
    <x v="0"/>
    <x v="2"/>
    <x v="2"/>
    <x v="2"/>
    <x v="0"/>
    <x v="0"/>
    <n v="7.1105498220441499"/>
    <x v="0"/>
    <x v="0"/>
    <x v="0"/>
    <x v="0"/>
    <x v="0"/>
    <x v="0"/>
    <n v="7.7504993060281242"/>
  </r>
  <r>
    <x v="3"/>
    <x v="0"/>
    <x v="3"/>
    <x v="3"/>
    <x v="0"/>
    <x v="1"/>
    <x v="0"/>
    <x v="0"/>
    <x v="0"/>
    <x v="0"/>
    <x v="0"/>
    <x v="0"/>
    <x v="2"/>
    <x v="2"/>
    <x v="2"/>
    <x v="20"/>
    <x v="20"/>
    <n v="99.030799999999999"/>
    <x v="0"/>
    <x v="0"/>
    <x v="1"/>
    <x v="3"/>
    <x v="3"/>
    <x v="13"/>
    <n v="107.943572"/>
  </r>
  <r>
    <x v="3"/>
    <x v="0"/>
    <x v="3"/>
    <x v="3"/>
    <x v="0"/>
    <x v="1"/>
    <x v="0"/>
    <x v="0"/>
    <x v="0"/>
    <x v="0"/>
    <x v="0"/>
    <x v="0"/>
    <x v="2"/>
    <x v="2"/>
    <x v="2"/>
    <x v="2"/>
    <x v="2"/>
    <n v="11450.5555504518"/>
    <x v="0"/>
    <x v="1"/>
    <x v="2"/>
    <x v="2"/>
    <x v="13"/>
    <x v="2"/>
    <n v="12481.105549992462"/>
  </r>
  <r>
    <x v="3"/>
    <x v="0"/>
    <x v="3"/>
    <x v="3"/>
    <x v="0"/>
    <x v="1"/>
    <x v="0"/>
    <x v="0"/>
    <x v="0"/>
    <x v="0"/>
    <x v="0"/>
    <x v="0"/>
    <x v="2"/>
    <x v="2"/>
    <x v="2"/>
    <x v="3"/>
    <x v="3"/>
    <n v="127.98251045278801"/>
    <x v="0"/>
    <x v="0"/>
    <x v="1"/>
    <x v="3"/>
    <x v="3"/>
    <x v="3"/>
    <n v="139.50093639353895"/>
  </r>
  <r>
    <x v="3"/>
    <x v="0"/>
    <x v="3"/>
    <x v="3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3"/>
    <x v="0"/>
    <x v="3"/>
    <x v="3"/>
    <x v="0"/>
    <x v="1"/>
    <x v="0"/>
    <x v="0"/>
    <x v="0"/>
    <x v="0"/>
    <x v="0"/>
    <x v="0"/>
    <x v="1"/>
    <x v="6"/>
    <x v="6"/>
    <x v="8"/>
    <x v="8"/>
    <n v="27.459087838013598"/>
    <x v="0"/>
    <x v="1"/>
    <x v="2"/>
    <x v="2"/>
    <x v="6"/>
    <x v="8"/>
    <n v="29.930405743434825"/>
  </r>
  <r>
    <x v="3"/>
    <x v="0"/>
    <x v="3"/>
    <x v="3"/>
    <x v="0"/>
    <x v="1"/>
    <x v="0"/>
    <x v="0"/>
    <x v="0"/>
    <x v="0"/>
    <x v="0"/>
    <x v="0"/>
    <x v="1"/>
    <x v="6"/>
    <x v="6"/>
    <x v="12"/>
    <x v="12"/>
    <n v="86.359418604322997"/>
    <x v="0"/>
    <x v="0"/>
    <x v="0"/>
    <x v="0"/>
    <x v="8"/>
    <x v="12"/>
    <n v="94.131766278712078"/>
  </r>
  <r>
    <x v="3"/>
    <x v="0"/>
    <x v="3"/>
    <x v="3"/>
    <x v="0"/>
    <x v="1"/>
    <x v="0"/>
    <x v="0"/>
    <x v="0"/>
    <x v="0"/>
    <x v="0"/>
    <x v="0"/>
    <x v="1"/>
    <x v="6"/>
    <x v="6"/>
    <x v="14"/>
    <x v="14"/>
    <n v="113.41956999999999"/>
    <x v="0"/>
    <x v="0"/>
    <x v="0"/>
    <x v="0"/>
    <x v="8"/>
    <x v="14"/>
    <n v="123.62733129999999"/>
  </r>
  <r>
    <x v="3"/>
    <x v="0"/>
    <x v="3"/>
    <x v="3"/>
    <x v="0"/>
    <x v="1"/>
    <x v="0"/>
    <x v="0"/>
    <x v="0"/>
    <x v="0"/>
    <x v="0"/>
    <x v="0"/>
    <x v="1"/>
    <x v="6"/>
    <x v="6"/>
    <x v="16"/>
    <x v="16"/>
    <n v="458.11297000000002"/>
    <x v="0"/>
    <x v="0"/>
    <x v="3"/>
    <x v="5"/>
    <x v="9"/>
    <x v="16"/>
    <n v="499.34313730000008"/>
  </r>
  <r>
    <x v="3"/>
    <x v="0"/>
    <x v="3"/>
    <x v="3"/>
    <x v="0"/>
    <x v="1"/>
    <x v="0"/>
    <x v="0"/>
    <x v="0"/>
    <x v="0"/>
    <x v="0"/>
    <x v="0"/>
    <x v="1"/>
    <x v="6"/>
    <x v="6"/>
    <x v="20"/>
    <x v="20"/>
    <n v="892.85321999999996"/>
    <x v="0"/>
    <x v="0"/>
    <x v="1"/>
    <x v="3"/>
    <x v="3"/>
    <x v="13"/>
    <n v="973.21000980000008"/>
  </r>
  <r>
    <x v="3"/>
    <x v="0"/>
    <x v="3"/>
    <x v="3"/>
    <x v="0"/>
    <x v="1"/>
    <x v="0"/>
    <x v="0"/>
    <x v="0"/>
    <x v="0"/>
    <x v="0"/>
    <x v="0"/>
    <x v="1"/>
    <x v="6"/>
    <x v="6"/>
    <x v="2"/>
    <x v="2"/>
    <n v="379.09025688050701"/>
    <x v="0"/>
    <x v="1"/>
    <x v="2"/>
    <x v="2"/>
    <x v="13"/>
    <x v="2"/>
    <n v="413.20837999975265"/>
  </r>
  <r>
    <x v="3"/>
    <x v="0"/>
    <x v="3"/>
    <x v="3"/>
    <x v="0"/>
    <x v="1"/>
    <x v="0"/>
    <x v="0"/>
    <x v="0"/>
    <x v="0"/>
    <x v="0"/>
    <x v="0"/>
    <x v="1"/>
    <x v="6"/>
    <x v="6"/>
    <x v="3"/>
    <x v="3"/>
    <n v="1.72610837425E-3"/>
    <x v="0"/>
    <x v="0"/>
    <x v="1"/>
    <x v="3"/>
    <x v="3"/>
    <x v="3"/>
    <n v="1.8814581279325E-3"/>
  </r>
  <r>
    <x v="3"/>
    <x v="0"/>
    <x v="3"/>
    <x v="3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3"/>
    <x v="0"/>
    <x v="3"/>
    <x v="3"/>
    <x v="0"/>
    <x v="1"/>
    <x v="0"/>
    <x v="0"/>
    <x v="0"/>
    <x v="0"/>
    <x v="0"/>
    <x v="0"/>
    <x v="3"/>
    <x v="7"/>
    <x v="7"/>
    <x v="9"/>
    <x v="9"/>
    <n v="378.24120473613402"/>
    <x v="0"/>
    <x v="0"/>
    <x v="1"/>
    <x v="4"/>
    <x v="5"/>
    <x v="9"/>
    <n v="412.28291316238614"/>
  </r>
  <r>
    <x v="3"/>
    <x v="0"/>
    <x v="3"/>
    <x v="3"/>
    <x v="0"/>
    <x v="1"/>
    <x v="0"/>
    <x v="0"/>
    <x v="0"/>
    <x v="0"/>
    <x v="0"/>
    <x v="0"/>
    <x v="3"/>
    <x v="7"/>
    <x v="7"/>
    <x v="10"/>
    <x v="10"/>
    <n v="157.22947083781301"/>
    <x v="0"/>
    <x v="0"/>
    <x v="1"/>
    <x v="4"/>
    <x v="5"/>
    <x v="10"/>
    <n v="171.38012321321619"/>
  </r>
  <r>
    <x v="3"/>
    <x v="0"/>
    <x v="3"/>
    <x v="3"/>
    <x v="0"/>
    <x v="1"/>
    <x v="0"/>
    <x v="0"/>
    <x v="0"/>
    <x v="0"/>
    <x v="0"/>
    <x v="0"/>
    <x v="3"/>
    <x v="7"/>
    <x v="7"/>
    <x v="11"/>
    <x v="11"/>
    <n v="337.43912"/>
    <x v="0"/>
    <x v="0"/>
    <x v="3"/>
    <x v="5"/>
    <x v="7"/>
    <x v="11"/>
    <n v="367.80864080000003"/>
  </r>
  <r>
    <x v="3"/>
    <x v="0"/>
    <x v="3"/>
    <x v="3"/>
    <x v="0"/>
    <x v="1"/>
    <x v="0"/>
    <x v="0"/>
    <x v="0"/>
    <x v="0"/>
    <x v="0"/>
    <x v="0"/>
    <x v="3"/>
    <x v="7"/>
    <x v="7"/>
    <x v="36"/>
    <x v="36"/>
    <n v="166.19098165127599"/>
    <x v="0"/>
    <x v="0"/>
    <x v="1"/>
    <x v="3"/>
    <x v="3"/>
    <x v="4"/>
    <n v="181.14816999989085"/>
  </r>
  <r>
    <x v="3"/>
    <x v="0"/>
    <x v="3"/>
    <x v="3"/>
    <x v="0"/>
    <x v="1"/>
    <x v="0"/>
    <x v="0"/>
    <x v="0"/>
    <x v="0"/>
    <x v="0"/>
    <x v="0"/>
    <x v="3"/>
    <x v="7"/>
    <x v="7"/>
    <x v="24"/>
    <x v="24"/>
    <n v="270.52335779800302"/>
    <x v="0"/>
    <x v="0"/>
    <x v="1"/>
    <x v="3"/>
    <x v="3"/>
    <x v="4"/>
    <n v="294.87045999982331"/>
  </r>
  <r>
    <x v="3"/>
    <x v="0"/>
    <x v="3"/>
    <x v="3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3"/>
    <x v="0"/>
    <x v="3"/>
    <x v="3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3"/>
    <x v="0"/>
    <x v="3"/>
    <x v="3"/>
    <x v="0"/>
    <x v="1"/>
    <x v="0"/>
    <x v="0"/>
    <x v="0"/>
    <x v="0"/>
    <x v="0"/>
    <x v="0"/>
    <x v="3"/>
    <x v="7"/>
    <x v="7"/>
    <x v="34"/>
    <x v="34"/>
    <n v="112.561880347431"/>
    <x v="0"/>
    <x v="0"/>
    <x v="0"/>
    <x v="0"/>
    <x v="0"/>
    <x v="0"/>
    <n v="122.69244957869979"/>
  </r>
  <r>
    <x v="3"/>
    <x v="0"/>
    <x v="3"/>
    <x v="3"/>
    <x v="0"/>
    <x v="1"/>
    <x v="0"/>
    <x v="0"/>
    <x v="0"/>
    <x v="0"/>
    <x v="0"/>
    <x v="0"/>
    <x v="3"/>
    <x v="7"/>
    <x v="7"/>
    <x v="26"/>
    <x v="26"/>
    <n v="4.0949449541259799"/>
    <x v="0"/>
    <x v="0"/>
    <x v="1"/>
    <x v="3"/>
    <x v="3"/>
    <x v="15"/>
    <n v="4.4634899999973188"/>
  </r>
  <r>
    <x v="3"/>
    <x v="0"/>
    <x v="3"/>
    <x v="3"/>
    <x v="0"/>
    <x v="1"/>
    <x v="0"/>
    <x v="0"/>
    <x v="0"/>
    <x v="0"/>
    <x v="0"/>
    <x v="0"/>
    <x v="1"/>
    <x v="8"/>
    <x v="8"/>
    <x v="6"/>
    <x v="6"/>
    <n v="142.75343000000001"/>
    <x v="0"/>
    <x v="0"/>
    <x v="0"/>
    <x v="0"/>
    <x v="4"/>
    <x v="6"/>
    <n v="155.60123870000001"/>
  </r>
  <r>
    <x v="3"/>
    <x v="0"/>
    <x v="3"/>
    <x v="3"/>
    <x v="0"/>
    <x v="1"/>
    <x v="0"/>
    <x v="0"/>
    <x v="0"/>
    <x v="0"/>
    <x v="0"/>
    <x v="0"/>
    <x v="1"/>
    <x v="8"/>
    <x v="8"/>
    <x v="8"/>
    <x v="8"/>
    <n v="447.27361486772702"/>
    <x v="0"/>
    <x v="1"/>
    <x v="2"/>
    <x v="2"/>
    <x v="6"/>
    <x v="8"/>
    <n v="487.5282402058225"/>
  </r>
  <r>
    <x v="3"/>
    <x v="0"/>
    <x v="3"/>
    <x v="3"/>
    <x v="0"/>
    <x v="1"/>
    <x v="0"/>
    <x v="0"/>
    <x v="0"/>
    <x v="0"/>
    <x v="0"/>
    <x v="0"/>
    <x v="1"/>
    <x v="8"/>
    <x v="8"/>
    <x v="9"/>
    <x v="9"/>
    <n v="301.20037021497802"/>
    <x v="0"/>
    <x v="0"/>
    <x v="1"/>
    <x v="4"/>
    <x v="5"/>
    <x v="9"/>
    <n v="328.30840353432609"/>
  </r>
  <r>
    <x v="3"/>
    <x v="0"/>
    <x v="3"/>
    <x v="3"/>
    <x v="0"/>
    <x v="1"/>
    <x v="0"/>
    <x v="0"/>
    <x v="0"/>
    <x v="0"/>
    <x v="0"/>
    <x v="0"/>
    <x v="1"/>
    <x v="8"/>
    <x v="8"/>
    <x v="10"/>
    <x v="10"/>
    <n v="152.83992908124901"/>
    <x v="0"/>
    <x v="0"/>
    <x v="1"/>
    <x v="4"/>
    <x v="5"/>
    <x v="10"/>
    <n v="166.59552269856144"/>
  </r>
  <r>
    <x v="3"/>
    <x v="0"/>
    <x v="3"/>
    <x v="3"/>
    <x v="0"/>
    <x v="1"/>
    <x v="0"/>
    <x v="0"/>
    <x v="0"/>
    <x v="0"/>
    <x v="0"/>
    <x v="0"/>
    <x v="1"/>
    <x v="8"/>
    <x v="8"/>
    <x v="11"/>
    <x v="11"/>
    <n v="23.962399999999999"/>
    <x v="0"/>
    <x v="0"/>
    <x v="3"/>
    <x v="5"/>
    <x v="7"/>
    <x v="11"/>
    <n v="26.119016000000002"/>
  </r>
  <r>
    <x v="3"/>
    <x v="0"/>
    <x v="3"/>
    <x v="3"/>
    <x v="0"/>
    <x v="1"/>
    <x v="0"/>
    <x v="0"/>
    <x v="0"/>
    <x v="0"/>
    <x v="0"/>
    <x v="0"/>
    <x v="1"/>
    <x v="8"/>
    <x v="8"/>
    <x v="36"/>
    <x v="36"/>
    <n v="7.4947247706377098"/>
    <x v="0"/>
    <x v="0"/>
    <x v="1"/>
    <x v="3"/>
    <x v="3"/>
    <x v="4"/>
    <n v="8.1692499999951043"/>
  </r>
  <r>
    <x v="3"/>
    <x v="0"/>
    <x v="3"/>
    <x v="3"/>
    <x v="0"/>
    <x v="1"/>
    <x v="0"/>
    <x v="0"/>
    <x v="0"/>
    <x v="0"/>
    <x v="0"/>
    <x v="0"/>
    <x v="1"/>
    <x v="8"/>
    <x v="8"/>
    <x v="24"/>
    <x v="24"/>
    <n v="321.246486238339"/>
    <x v="0"/>
    <x v="0"/>
    <x v="1"/>
    <x v="3"/>
    <x v="3"/>
    <x v="4"/>
    <n v="350.15866999978954"/>
  </r>
  <r>
    <x v="3"/>
    <x v="0"/>
    <x v="3"/>
    <x v="3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3"/>
    <x v="0"/>
    <x v="3"/>
    <x v="3"/>
    <x v="0"/>
    <x v="1"/>
    <x v="0"/>
    <x v="0"/>
    <x v="0"/>
    <x v="0"/>
    <x v="0"/>
    <x v="0"/>
    <x v="1"/>
    <x v="8"/>
    <x v="8"/>
    <x v="21"/>
    <x v="21"/>
    <n v="22.085669724757398"/>
    <x v="0"/>
    <x v="0"/>
    <x v="1"/>
    <x v="4"/>
    <x v="5"/>
    <x v="10"/>
    <n v="24.073379999985566"/>
  </r>
  <r>
    <x v="3"/>
    <x v="0"/>
    <x v="3"/>
    <x v="3"/>
    <x v="0"/>
    <x v="1"/>
    <x v="0"/>
    <x v="0"/>
    <x v="0"/>
    <x v="0"/>
    <x v="0"/>
    <x v="0"/>
    <x v="1"/>
    <x v="8"/>
    <x v="8"/>
    <x v="18"/>
    <x v="18"/>
    <n v="51.484160000000003"/>
    <x v="0"/>
    <x v="0"/>
    <x v="0"/>
    <x v="0"/>
    <x v="4"/>
    <x v="18"/>
    <n v="56.11773440000001"/>
  </r>
  <r>
    <x v="3"/>
    <x v="0"/>
    <x v="3"/>
    <x v="3"/>
    <x v="0"/>
    <x v="1"/>
    <x v="0"/>
    <x v="0"/>
    <x v="0"/>
    <x v="0"/>
    <x v="0"/>
    <x v="0"/>
    <x v="1"/>
    <x v="8"/>
    <x v="8"/>
    <x v="34"/>
    <x v="34"/>
    <n v="15.8013406110851"/>
    <x v="0"/>
    <x v="0"/>
    <x v="0"/>
    <x v="0"/>
    <x v="0"/>
    <x v="0"/>
    <n v="17.223461266082762"/>
  </r>
  <r>
    <x v="3"/>
    <x v="0"/>
    <x v="3"/>
    <x v="3"/>
    <x v="0"/>
    <x v="1"/>
    <x v="0"/>
    <x v="0"/>
    <x v="0"/>
    <x v="0"/>
    <x v="0"/>
    <x v="0"/>
    <x v="1"/>
    <x v="8"/>
    <x v="8"/>
    <x v="37"/>
    <x v="37"/>
    <n v="225.728926605369"/>
    <x v="0"/>
    <x v="0"/>
    <x v="1"/>
    <x v="3"/>
    <x v="3"/>
    <x v="4"/>
    <n v="246.04452999985222"/>
  </r>
  <r>
    <x v="3"/>
    <x v="0"/>
    <x v="3"/>
    <x v="3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3"/>
    <x v="0"/>
    <x v="3"/>
    <x v="3"/>
    <x v="0"/>
    <x v="1"/>
    <x v="0"/>
    <x v="0"/>
    <x v="0"/>
    <x v="0"/>
    <x v="0"/>
    <x v="0"/>
    <x v="0"/>
    <x v="9"/>
    <x v="9"/>
    <x v="6"/>
    <x v="6"/>
    <n v="357.15627999999998"/>
    <x v="0"/>
    <x v="0"/>
    <x v="0"/>
    <x v="0"/>
    <x v="4"/>
    <x v="6"/>
    <n v="389.30034519999998"/>
  </r>
  <r>
    <x v="3"/>
    <x v="0"/>
    <x v="3"/>
    <x v="3"/>
    <x v="0"/>
    <x v="1"/>
    <x v="0"/>
    <x v="0"/>
    <x v="0"/>
    <x v="0"/>
    <x v="0"/>
    <x v="0"/>
    <x v="0"/>
    <x v="9"/>
    <x v="9"/>
    <x v="7"/>
    <x v="7"/>
    <n v="467.08540366944499"/>
    <x v="0"/>
    <x v="0"/>
    <x v="1"/>
    <x v="4"/>
    <x v="5"/>
    <x v="7"/>
    <n v="509.12308999969508"/>
  </r>
  <r>
    <x v="3"/>
    <x v="0"/>
    <x v="3"/>
    <x v="3"/>
    <x v="0"/>
    <x v="1"/>
    <x v="0"/>
    <x v="0"/>
    <x v="0"/>
    <x v="0"/>
    <x v="0"/>
    <x v="0"/>
    <x v="0"/>
    <x v="9"/>
    <x v="9"/>
    <x v="9"/>
    <x v="9"/>
    <n v="1134.79640663381"/>
    <x v="0"/>
    <x v="0"/>
    <x v="1"/>
    <x v="4"/>
    <x v="5"/>
    <x v="9"/>
    <n v="1236.928083230853"/>
  </r>
  <r>
    <x v="3"/>
    <x v="0"/>
    <x v="3"/>
    <x v="3"/>
    <x v="0"/>
    <x v="1"/>
    <x v="0"/>
    <x v="0"/>
    <x v="0"/>
    <x v="0"/>
    <x v="0"/>
    <x v="0"/>
    <x v="0"/>
    <x v="9"/>
    <x v="9"/>
    <x v="10"/>
    <x v="10"/>
    <n v="179.41470747876099"/>
    <x v="0"/>
    <x v="0"/>
    <x v="1"/>
    <x v="4"/>
    <x v="5"/>
    <x v="10"/>
    <n v="195.56203115184948"/>
  </r>
  <r>
    <x v="3"/>
    <x v="0"/>
    <x v="3"/>
    <x v="3"/>
    <x v="0"/>
    <x v="1"/>
    <x v="0"/>
    <x v="0"/>
    <x v="0"/>
    <x v="0"/>
    <x v="0"/>
    <x v="0"/>
    <x v="0"/>
    <x v="9"/>
    <x v="9"/>
    <x v="11"/>
    <x v="11"/>
    <n v="198.69448"/>
    <x v="0"/>
    <x v="0"/>
    <x v="3"/>
    <x v="5"/>
    <x v="7"/>
    <x v="11"/>
    <n v="216.5769832"/>
  </r>
  <r>
    <x v="3"/>
    <x v="0"/>
    <x v="3"/>
    <x v="3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3"/>
    <x v="0"/>
    <x v="3"/>
    <x v="3"/>
    <x v="0"/>
    <x v="1"/>
    <x v="0"/>
    <x v="0"/>
    <x v="0"/>
    <x v="0"/>
    <x v="0"/>
    <x v="0"/>
    <x v="0"/>
    <x v="9"/>
    <x v="9"/>
    <x v="36"/>
    <x v="36"/>
    <n v="27.4336513761303"/>
    <x v="0"/>
    <x v="0"/>
    <x v="1"/>
    <x v="3"/>
    <x v="3"/>
    <x v="4"/>
    <n v="29.902679999982027"/>
  </r>
  <r>
    <x v="3"/>
    <x v="0"/>
    <x v="3"/>
    <x v="3"/>
    <x v="0"/>
    <x v="1"/>
    <x v="0"/>
    <x v="0"/>
    <x v="0"/>
    <x v="0"/>
    <x v="0"/>
    <x v="0"/>
    <x v="0"/>
    <x v="9"/>
    <x v="9"/>
    <x v="24"/>
    <x v="24"/>
    <n v="283.127779816344"/>
    <x v="0"/>
    <x v="0"/>
    <x v="1"/>
    <x v="3"/>
    <x v="3"/>
    <x v="4"/>
    <n v="308.60927999981499"/>
  </r>
  <r>
    <x v="3"/>
    <x v="0"/>
    <x v="3"/>
    <x v="3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3"/>
    <x v="0"/>
    <x v="3"/>
    <x v="3"/>
    <x v="0"/>
    <x v="1"/>
    <x v="0"/>
    <x v="0"/>
    <x v="0"/>
    <x v="0"/>
    <x v="0"/>
    <x v="0"/>
    <x v="0"/>
    <x v="9"/>
    <x v="9"/>
    <x v="21"/>
    <x v="21"/>
    <n v="179.28822935769099"/>
    <x v="0"/>
    <x v="0"/>
    <x v="1"/>
    <x v="4"/>
    <x v="5"/>
    <x v="10"/>
    <n v="195.42416999988319"/>
  </r>
  <r>
    <x v="3"/>
    <x v="0"/>
    <x v="3"/>
    <x v="3"/>
    <x v="0"/>
    <x v="1"/>
    <x v="0"/>
    <x v="0"/>
    <x v="0"/>
    <x v="0"/>
    <x v="0"/>
    <x v="0"/>
    <x v="0"/>
    <x v="9"/>
    <x v="9"/>
    <x v="18"/>
    <x v="18"/>
    <n v="262.08427"/>
    <x v="0"/>
    <x v="0"/>
    <x v="0"/>
    <x v="0"/>
    <x v="4"/>
    <x v="18"/>
    <n v="285.67185430000001"/>
  </r>
  <r>
    <x v="3"/>
    <x v="0"/>
    <x v="3"/>
    <x v="3"/>
    <x v="0"/>
    <x v="1"/>
    <x v="0"/>
    <x v="0"/>
    <x v="0"/>
    <x v="0"/>
    <x v="0"/>
    <x v="0"/>
    <x v="0"/>
    <x v="9"/>
    <x v="9"/>
    <x v="34"/>
    <x v="34"/>
    <n v="63.8984061124509"/>
    <x v="0"/>
    <x v="0"/>
    <x v="0"/>
    <x v="0"/>
    <x v="0"/>
    <x v="0"/>
    <n v="69.649262662571488"/>
  </r>
  <r>
    <x v="3"/>
    <x v="0"/>
    <x v="3"/>
    <x v="3"/>
    <x v="0"/>
    <x v="1"/>
    <x v="0"/>
    <x v="0"/>
    <x v="0"/>
    <x v="0"/>
    <x v="0"/>
    <x v="0"/>
    <x v="0"/>
    <x v="9"/>
    <x v="9"/>
    <x v="37"/>
    <x v="37"/>
    <n v="104.37788990819401"/>
    <x v="0"/>
    <x v="0"/>
    <x v="1"/>
    <x v="3"/>
    <x v="3"/>
    <x v="4"/>
    <n v="113.77189999993148"/>
  </r>
  <r>
    <x v="3"/>
    <x v="0"/>
    <x v="3"/>
    <x v="3"/>
    <x v="0"/>
    <x v="1"/>
    <x v="0"/>
    <x v="0"/>
    <x v="0"/>
    <x v="0"/>
    <x v="0"/>
    <x v="0"/>
    <x v="0"/>
    <x v="9"/>
    <x v="9"/>
    <x v="26"/>
    <x v="26"/>
    <n v="1.5757155963293299"/>
    <x v="0"/>
    <x v="0"/>
    <x v="1"/>
    <x v="3"/>
    <x v="3"/>
    <x v="15"/>
    <n v="1.7175299999989697"/>
  </r>
  <r>
    <x v="3"/>
    <x v="0"/>
    <x v="3"/>
    <x v="3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3"/>
    <x v="0"/>
    <x v="3"/>
    <x v="3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3"/>
    <x v="0"/>
    <x v="3"/>
    <x v="3"/>
    <x v="0"/>
    <x v="1"/>
    <x v="0"/>
    <x v="0"/>
    <x v="0"/>
    <x v="0"/>
    <x v="0"/>
    <x v="0"/>
    <x v="2"/>
    <x v="10"/>
    <x v="10"/>
    <x v="6"/>
    <x v="6"/>
    <n v="437.81900999999999"/>
    <x v="0"/>
    <x v="0"/>
    <x v="0"/>
    <x v="0"/>
    <x v="4"/>
    <x v="6"/>
    <n v="477.22272090000001"/>
  </r>
  <r>
    <x v="3"/>
    <x v="0"/>
    <x v="3"/>
    <x v="3"/>
    <x v="0"/>
    <x v="1"/>
    <x v="0"/>
    <x v="0"/>
    <x v="0"/>
    <x v="0"/>
    <x v="0"/>
    <x v="0"/>
    <x v="2"/>
    <x v="10"/>
    <x v="10"/>
    <x v="7"/>
    <x v="7"/>
    <n v="56.825238532076"/>
    <x v="0"/>
    <x v="0"/>
    <x v="1"/>
    <x v="4"/>
    <x v="5"/>
    <x v="7"/>
    <n v="61.939509999962844"/>
  </r>
  <r>
    <x v="3"/>
    <x v="0"/>
    <x v="3"/>
    <x v="3"/>
    <x v="0"/>
    <x v="1"/>
    <x v="0"/>
    <x v="0"/>
    <x v="0"/>
    <x v="0"/>
    <x v="0"/>
    <x v="0"/>
    <x v="2"/>
    <x v="10"/>
    <x v="10"/>
    <x v="9"/>
    <x v="9"/>
    <n v="504.66102486338502"/>
    <x v="0"/>
    <x v="0"/>
    <x v="1"/>
    <x v="4"/>
    <x v="5"/>
    <x v="9"/>
    <n v="550.08051710108975"/>
  </r>
  <r>
    <x v="3"/>
    <x v="0"/>
    <x v="3"/>
    <x v="3"/>
    <x v="0"/>
    <x v="1"/>
    <x v="0"/>
    <x v="0"/>
    <x v="0"/>
    <x v="0"/>
    <x v="0"/>
    <x v="0"/>
    <x v="2"/>
    <x v="10"/>
    <x v="10"/>
    <x v="10"/>
    <x v="10"/>
    <n v="310.36067098480999"/>
    <x v="0"/>
    <x v="0"/>
    <x v="1"/>
    <x v="4"/>
    <x v="5"/>
    <x v="10"/>
    <n v="338.29313137344292"/>
  </r>
  <r>
    <x v="3"/>
    <x v="0"/>
    <x v="3"/>
    <x v="3"/>
    <x v="0"/>
    <x v="1"/>
    <x v="0"/>
    <x v="0"/>
    <x v="0"/>
    <x v="0"/>
    <x v="0"/>
    <x v="0"/>
    <x v="2"/>
    <x v="10"/>
    <x v="10"/>
    <x v="11"/>
    <x v="11"/>
    <n v="126.06488"/>
    <x v="0"/>
    <x v="0"/>
    <x v="3"/>
    <x v="5"/>
    <x v="7"/>
    <x v="11"/>
    <n v="137.41071920000002"/>
  </r>
  <r>
    <x v="3"/>
    <x v="0"/>
    <x v="3"/>
    <x v="3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3"/>
    <x v="0"/>
    <x v="3"/>
    <x v="3"/>
    <x v="0"/>
    <x v="1"/>
    <x v="0"/>
    <x v="0"/>
    <x v="0"/>
    <x v="0"/>
    <x v="0"/>
    <x v="0"/>
    <x v="2"/>
    <x v="10"/>
    <x v="10"/>
    <x v="36"/>
    <x v="36"/>
    <n v="58.038899082534002"/>
    <x v="0"/>
    <x v="0"/>
    <x v="1"/>
    <x v="3"/>
    <x v="3"/>
    <x v="4"/>
    <n v="63.262399999962064"/>
  </r>
  <r>
    <x v="3"/>
    <x v="0"/>
    <x v="3"/>
    <x v="3"/>
    <x v="0"/>
    <x v="1"/>
    <x v="0"/>
    <x v="0"/>
    <x v="0"/>
    <x v="0"/>
    <x v="0"/>
    <x v="0"/>
    <x v="2"/>
    <x v="10"/>
    <x v="10"/>
    <x v="24"/>
    <x v="24"/>
    <n v="181.48933027512001"/>
    <x v="0"/>
    <x v="0"/>
    <x v="1"/>
    <x v="3"/>
    <x v="3"/>
    <x v="4"/>
    <n v="197.82336999988084"/>
  </r>
  <r>
    <x v="3"/>
    <x v="0"/>
    <x v="3"/>
    <x v="3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3"/>
    <x v="0"/>
    <x v="3"/>
    <x v="3"/>
    <x v="0"/>
    <x v="1"/>
    <x v="0"/>
    <x v="0"/>
    <x v="0"/>
    <x v="0"/>
    <x v="0"/>
    <x v="0"/>
    <x v="2"/>
    <x v="10"/>
    <x v="10"/>
    <x v="21"/>
    <x v="21"/>
    <n v="71.292788990782896"/>
    <x v="0"/>
    <x v="0"/>
    <x v="1"/>
    <x v="4"/>
    <x v="5"/>
    <x v="10"/>
    <n v="77.709139999953365"/>
  </r>
  <r>
    <x v="3"/>
    <x v="0"/>
    <x v="3"/>
    <x v="3"/>
    <x v="0"/>
    <x v="1"/>
    <x v="0"/>
    <x v="0"/>
    <x v="0"/>
    <x v="0"/>
    <x v="0"/>
    <x v="0"/>
    <x v="2"/>
    <x v="10"/>
    <x v="10"/>
    <x v="18"/>
    <x v="18"/>
    <n v="170.91009"/>
    <x v="0"/>
    <x v="0"/>
    <x v="0"/>
    <x v="0"/>
    <x v="4"/>
    <x v="18"/>
    <n v="186.2919981"/>
  </r>
  <r>
    <x v="3"/>
    <x v="0"/>
    <x v="3"/>
    <x v="3"/>
    <x v="0"/>
    <x v="1"/>
    <x v="0"/>
    <x v="0"/>
    <x v="0"/>
    <x v="0"/>
    <x v="0"/>
    <x v="0"/>
    <x v="2"/>
    <x v="10"/>
    <x v="10"/>
    <x v="34"/>
    <x v="34"/>
    <n v="133.15321659162299"/>
    <x v="0"/>
    <x v="0"/>
    <x v="0"/>
    <x v="0"/>
    <x v="0"/>
    <x v="0"/>
    <n v="145.13700608486909"/>
  </r>
  <r>
    <x v="3"/>
    <x v="0"/>
    <x v="3"/>
    <x v="3"/>
    <x v="0"/>
    <x v="1"/>
    <x v="0"/>
    <x v="0"/>
    <x v="0"/>
    <x v="0"/>
    <x v="0"/>
    <x v="0"/>
    <x v="2"/>
    <x v="10"/>
    <x v="10"/>
    <x v="37"/>
    <x v="37"/>
    <n v="135.53026605496501"/>
    <x v="0"/>
    <x v="0"/>
    <x v="1"/>
    <x v="3"/>
    <x v="3"/>
    <x v="4"/>
    <n v="147.72798999991187"/>
  </r>
  <r>
    <x v="3"/>
    <x v="0"/>
    <x v="3"/>
    <x v="3"/>
    <x v="0"/>
    <x v="1"/>
    <x v="0"/>
    <x v="0"/>
    <x v="0"/>
    <x v="0"/>
    <x v="0"/>
    <x v="0"/>
    <x v="2"/>
    <x v="10"/>
    <x v="10"/>
    <x v="26"/>
    <x v="26"/>
    <n v="5.3560917431160497"/>
    <x v="0"/>
    <x v="0"/>
    <x v="1"/>
    <x v="3"/>
    <x v="3"/>
    <x v="15"/>
    <n v="5.8381399999964945"/>
  </r>
  <r>
    <x v="3"/>
    <x v="0"/>
    <x v="3"/>
    <x v="3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3"/>
    <x v="0"/>
    <x v="3"/>
    <x v="3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3"/>
    <x v="0"/>
    <x v="3"/>
    <x v="3"/>
    <x v="0"/>
    <x v="1"/>
    <x v="0"/>
    <x v="0"/>
    <x v="0"/>
    <x v="0"/>
    <x v="0"/>
    <x v="0"/>
    <x v="4"/>
    <x v="5"/>
    <x v="5"/>
    <x v="6"/>
    <x v="6"/>
    <n v="930.92696000000001"/>
    <x v="0"/>
    <x v="0"/>
    <x v="0"/>
    <x v="0"/>
    <x v="4"/>
    <x v="6"/>
    <n v="1014.7103864000001"/>
  </r>
  <r>
    <x v="3"/>
    <x v="0"/>
    <x v="3"/>
    <x v="3"/>
    <x v="0"/>
    <x v="1"/>
    <x v="0"/>
    <x v="0"/>
    <x v="0"/>
    <x v="0"/>
    <x v="0"/>
    <x v="0"/>
    <x v="4"/>
    <x v="5"/>
    <x v="5"/>
    <x v="7"/>
    <x v="7"/>
    <n v="44.155284403643201"/>
    <x v="0"/>
    <x v="0"/>
    <x v="1"/>
    <x v="4"/>
    <x v="5"/>
    <x v="7"/>
    <n v="48.12925999997109"/>
  </r>
  <r>
    <x v="3"/>
    <x v="0"/>
    <x v="3"/>
    <x v="3"/>
    <x v="0"/>
    <x v="1"/>
    <x v="0"/>
    <x v="0"/>
    <x v="0"/>
    <x v="0"/>
    <x v="0"/>
    <x v="0"/>
    <x v="4"/>
    <x v="5"/>
    <x v="5"/>
    <x v="8"/>
    <x v="8"/>
    <n v="6098.9354594984898"/>
    <x v="0"/>
    <x v="1"/>
    <x v="2"/>
    <x v="2"/>
    <x v="6"/>
    <x v="8"/>
    <n v="6647.8396508533542"/>
  </r>
  <r>
    <x v="3"/>
    <x v="0"/>
    <x v="3"/>
    <x v="3"/>
    <x v="0"/>
    <x v="1"/>
    <x v="0"/>
    <x v="0"/>
    <x v="0"/>
    <x v="0"/>
    <x v="0"/>
    <x v="0"/>
    <x v="4"/>
    <x v="5"/>
    <x v="5"/>
    <x v="9"/>
    <x v="9"/>
    <n v="2488.3426415900099"/>
    <x v="0"/>
    <x v="0"/>
    <x v="1"/>
    <x v="4"/>
    <x v="5"/>
    <x v="9"/>
    <n v="2712.293479333111"/>
  </r>
  <r>
    <x v="3"/>
    <x v="0"/>
    <x v="3"/>
    <x v="3"/>
    <x v="0"/>
    <x v="1"/>
    <x v="0"/>
    <x v="0"/>
    <x v="0"/>
    <x v="0"/>
    <x v="0"/>
    <x v="0"/>
    <x v="4"/>
    <x v="5"/>
    <x v="5"/>
    <x v="10"/>
    <x v="10"/>
    <n v="455.38173645484102"/>
    <x v="0"/>
    <x v="0"/>
    <x v="1"/>
    <x v="4"/>
    <x v="5"/>
    <x v="10"/>
    <n v="496.36609273577676"/>
  </r>
  <r>
    <x v="3"/>
    <x v="0"/>
    <x v="3"/>
    <x v="3"/>
    <x v="0"/>
    <x v="1"/>
    <x v="0"/>
    <x v="0"/>
    <x v="0"/>
    <x v="0"/>
    <x v="0"/>
    <x v="0"/>
    <x v="4"/>
    <x v="5"/>
    <x v="5"/>
    <x v="29"/>
    <x v="29"/>
    <n v="0.61765999999999999"/>
    <x v="0"/>
    <x v="0"/>
    <x v="1"/>
    <x v="3"/>
    <x v="3"/>
    <x v="13"/>
    <n v="0.6732494"/>
  </r>
  <r>
    <x v="3"/>
    <x v="0"/>
    <x v="3"/>
    <x v="3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3"/>
    <x v="0"/>
    <x v="3"/>
    <x v="3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3"/>
    <x v="0"/>
    <x v="3"/>
    <x v="3"/>
    <x v="0"/>
    <x v="1"/>
    <x v="0"/>
    <x v="0"/>
    <x v="0"/>
    <x v="0"/>
    <x v="0"/>
    <x v="0"/>
    <x v="4"/>
    <x v="5"/>
    <x v="5"/>
    <x v="12"/>
    <x v="12"/>
    <n v="7.6223837209012704"/>
    <x v="0"/>
    <x v="0"/>
    <x v="0"/>
    <x v="0"/>
    <x v="8"/>
    <x v="12"/>
    <n v="8.3083982557823859"/>
  </r>
  <r>
    <x v="3"/>
    <x v="0"/>
    <x v="3"/>
    <x v="3"/>
    <x v="0"/>
    <x v="1"/>
    <x v="0"/>
    <x v="0"/>
    <x v="0"/>
    <x v="0"/>
    <x v="0"/>
    <x v="0"/>
    <x v="4"/>
    <x v="5"/>
    <x v="5"/>
    <x v="14"/>
    <x v="14"/>
    <n v="302.50385999999997"/>
    <x v="0"/>
    <x v="0"/>
    <x v="0"/>
    <x v="0"/>
    <x v="8"/>
    <x v="14"/>
    <n v="329.72920740000001"/>
  </r>
  <r>
    <x v="3"/>
    <x v="0"/>
    <x v="3"/>
    <x v="3"/>
    <x v="0"/>
    <x v="1"/>
    <x v="0"/>
    <x v="0"/>
    <x v="0"/>
    <x v="0"/>
    <x v="0"/>
    <x v="0"/>
    <x v="4"/>
    <x v="5"/>
    <x v="5"/>
    <x v="22"/>
    <x v="22"/>
    <n v="76.186369623351197"/>
    <x v="0"/>
    <x v="0"/>
    <x v="0"/>
    <x v="0"/>
    <x v="0"/>
    <x v="0"/>
    <n v="83.04314288945281"/>
  </r>
  <r>
    <x v="3"/>
    <x v="0"/>
    <x v="3"/>
    <x v="3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3"/>
    <x v="0"/>
    <x v="3"/>
    <x v="3"/>
    <x v="0"/>
    <x v="1"/>
    <x v="0"/>
    <x v="0"/>
    <x v="0"/>
    <x v="0"/>
    <x v="0"/>
    <x v="0"/>
    <x v="4"/>
    <x v="5"/>
    <x v="5"/>
    <x v="36"/>
    <x v="36"/>
    <n v="225.64772477050701"/>
    <x v="0"/>
    <x v="0"/>
    <x v="1"/>
    <x v="3"/>
    <x v="3"/>
    <x v="4"/>
    <n v="245.95601999985266"/>
  </r>
  <r>
    <x v="3"/>
    <x v="0"/>
    <x v="3"/>
    <x v="3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3"/>
    <x v="0"/>
    <x v="3"/>
    <x v="3"/>
    <x v="0"/>
    <x v="1"/>
    <x v="0"/>
    <x v="0"/>
    <x v="0"/>
    <x v="0"/>
    <x v="0"/>
    <x v="0"/>
    <x v="4"/>
    <x v="5"/>
    <x v="5"/>
    <x v="24"/>
    <x v="24"/>
    <n v="270.66262385304901"/>
    <x v="0"/>
    <x v="0"/>
    <x v="1"/>
    <x v="3"/>
    <x v="3"/>
    <x v="4"/>
    <n v="295.02225999982346"/>
  </r>
  <r>
    <x v="3"/>
    <x v="0"/>
    <x v="3"/>
    <x v="3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3"/>
    <x v="0"/>
    <x v="3"/>
    <x v="3"/>
    <x v="0"/>
    <x v="1"/>
    <x v="0"/>
    <x v="0"/>
    <x v="0"/>
    <x v="0"/>
    <x v="0"/>
    <x v="0"/>
    <x v="4"/>
    <x v="5"/>
    <x v="5"/>
    <x v="18"/>
    <x v="18"/>
    <n v="1242.5134"/>
    <x v="0"/>
    <x v="0"/>
    <x v="0"/>
    <x v="0"/>
    <x v="4"/>
    <x v="18"/>
    <n v="1354.3396060000002"/>
  </r>
  <r>
    <x v="3"/>
    <x v="0"/>
    <x v="3"/>
    <x v="3"/>
    <x v="0"/>
    <x v="1"/>
    <x v="0"/>
    <x v="0"/>
    <x v="0"/>
    <x v="0"/>
    <x v="0"/>
    <x v="0"/>
    <x v="4"/>
    <x v="5"/>
    <x v="5"/>
    <x v="34"/>
    <x v="34"/>
    <n v="488.92652924932997"/>
    <x v="0"/>
    <x v="0"/>
    <x v="0"/>
    <x v="0"/>
    <x v="0"/>
    <x v="0"/>
    <n v="532.92991688176971"/>
  </r>
  <r>
    <x v="3"/>
    <x v="0"/>
    <x v="3"/>
    <x v="3"/>
    <x v="0"/>
    <x v="1"/>
    <x v="0"/>
    <x v="0"/>
    <x v="0"/>
    <x v="0"/>
    <x v="0"/>
    <x v="0"/>
    <x v="4"/>
    <x v="5"/>
    <x v="5"/>
    <x v="25"/>
    <x v="25"/>
    <n v="122.88001834855"/>
    <x v="0"/>
    <x v="0"/>
    <x v="1"/>
    <x v="4"/>
    <x v="5"/>
    <x v="9"/>
    <n v="133.93921999991952"/>
  </r>
  <r>
    <x v="3"/>
    <x v="0"/>
    <x v="3"/>
    <x v="3"/>
    <x v="0"/>
    <x v="1"/>
    <x v="0"/>
    <x v="0"/>
    <x v="0"/>
    <x v="0"/>
    <x v="0"/>
    <x v="0"/>
    <x v="4"/>
    <x v="5"/>
    <x v="5"/>
    <x v="37"/>
    <x v="37"/>
    <n v="497.30779816483903"/>
    <x v="0"/>
    <x v="0"/>
    <x v="1"/>
    <x v="3"/>
    <x v="3"/>
    <x v="4"/>
    <n v="542.06549999967456"/>
  </r>
  <r>
    <x v="3"/>
    <x v="0"/>
    <x v="3"/>
    <x v="3"/>
    <x v="0"/>
    <x v="1"/>
    <x v="0"/>
    <x v="0"/>
    <x v="0"/>
    <x v="0"/>
    <x v="0"/>
    <x v="0"/>
    <x v="4"/>
    <x v="5"/>
    <x v="5"/>
    <x v="27"/>
    <x v="27"/>
    <n v="33.628117117830001"/>
    <x v="0"/>
    <x v="0"/>
    <x v="1"/>
    <x v="3"/>
    <x v="3"/>
    <x v="19"/>
    <n v="36.654647658434705"/>
  </r>
  <r>
    <x v="3"/>
    <x v="0"/>
    <x v="3"/>
    <x v="3"/>
    <x v="0"/>
    <x v="1"/>
    <x v="0"/>
    <x v="0"/>
    <x v="0"/>
    <x v="0"/>
    <x v="0"/>
    <x v="0"/>
    <x v="4"/>
    <x v="5"/>
    <x v="5"/>
    <x v="26"/>
    <x v="26"/>
    <n v="12.925972477056501"/>
    <x v="0"/>
    <x v="0"/>
    <x v="1"/>
    <x v="3"/>
    <x v="3"/>
    <x v="15"/>
    <n v="14.089309999991587"/>
  </r>
  <r>
    <x v="3"/>
    <x v="0"/>
    <x v="3"/>
    <x v="3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3"/>
    <x v="0"/>
    <x v="3"/>
    <x v="3"/>
    <x v="0"/>
    <x v="1"/>
    <x v="0"/>
    <x v="0"/>
    <x v="0"/>
    <x v="0"/>
    <x v="0"/>
    <x v="0"/>
    <x v="4"/>
    <x v="5"/>
    <x v="5"/>
    <x v="2"/>
    <x v="2"/>
    <n v="11208.2188532043"/>
    <x v="0"/>
    <x v="1"/>
    <x v="2"/>
    <x v="2"/>
    <x v="13"/>
    <x v="2"/>
    <n v="12216.958549992689"/>
  </r>
  <r>
    <x v="3"/>
    <x v="0"/>
    <x v="3"/>
    <x v="3"/>
    <x v="0"/>
    <x v="1"/>
    <x v="0"/>
    <x v="0"/>
    <x v="0"/>
    <x v="0"/>
    <x v="0"/>
    <x v="0"/>
    <x v="4"/>
    <x v="5"/>
    <x v="5"/>
    <x v="3"/>
    <x v="3"/>
    <n v="398.79847090485401"/>
    <x v="0"/>
    <x v="0"/>
    <x v="1"/>
    <x v="3"/>
    <x v="3"/>
    <x v="3"/>
    <n v="434.69033328629092"/>
  </r>
  <r>
    <x v="3"/>
    <x v="0"/>
    <x v="3"/>
    <x v="3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3"/>
    <x v="0"/>
    <x v="3"/>
    <x v="3"/>
    <x v="0"/>
    <x v="1"/>
    <x v="0"/>
    <x v="0"/>
    <x v="0"/>
    <x v="0"/>
    <x v="3"/>
    <x v="3"/>
    <x v="3"/>
    <x v="3"/>
    <x v="3"/>
    <x v="3"/>
    <x v="3"/>
    <n v="39.171741868865801"/>
    <x v="0"/>
    <x v="0"/>
    <x v="1"/>
    <x v="3"/>
    <x v="3"/>
    <x v="3"/>
    <n v="42.697198637063728"/>
  </r>
  <r>
    <x v="3"/>
    <x v="0"/>
    <x v="3"/>
    <x v="3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3"/>
    <x v="0"/>
    <x v="3"/>
    <x v="3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3"/>
    <x v="0"/>
    <x v="3"/>
    <x v="3"/>
    <x v="0"/>
    <x v="1"/>
    <x v="0"/>
    <x v="0"/>
    <x v="0"/>
    <x v="0"/>
    <x v="3"/>
    <x v="3"/>
    <x v="2"/>
    <x v="2"/>
    <x v="2"/>
    <x v="6"/>
    <x v="6"/>
    <n v="75.614270000000005"/>
    <x v="0"/>
    <x v="0"/>
    <x v="0"/>
    <x v="0"/>
    <x v="4"/>
    <x v="6"/>
    <n v="82.419554300000016"/>
  </r>
  <r>
    <x v="3"/>
    <x v="0"/>
    <x v="3"/>
    <x v="3"/>
    <x v="0"/>
    <x v="1"/>
    <x v="0"/>
    <x v="0"/>
    <x v="0"/>
    <x v="0"/>
    <x v="3"/>
    <x v="3"/>
    <x v="2"/>
    <x v="2"/>
    <x v="2"/>
    <x v="8"/>
    <x v="8"/>
    <n v="661.66629054477505"/>
    <x v="0"/>
    <x v="1"/>
    <x v="2"/>
    <x v="2"/>
    <x v="6"/>
    <x v="8"/>
    <n v="721.21625669380489"/>
  </r>
  <r>
    <x v="3"/>
    <x v="0"/>
    <x v="3"/>
    <x v="3"/>
    <x v="0"/>
    <x v="1"/>
    <x v="0"/>
    <x v="0"/>
    <x v="0"/>
    <x v="0"/>
    <x v="3"/>
    <x v="3"/>
    <x v="2"/>
    <x v="2"/>
    <x v="2"/>
    <x v="9"/>
    <x v="9"/>
    <n v="0.38532110091720001"/>
    <x v="0"/>
    <x v="0"/>
    <x v="1"/>
    <x v="4"/>
    <x v="5"/>
    <x v="9"/>
    <n v="0.41999999999974802"/>
  </r>
  <r>
    <x v="3"/>
    <x v="0"/>
    <x v="3"/>
    <x v="3"/>
    <x v="0"/>
    <x v="1"/>
    <x v="0"/>
    <x v="0"/>
    <x v="0"/>
    <x v="0"/>
    <x v="3"/>
    <x v="3"/>
    <x v="2"/>
    <x v="2"/>
    <x v="2"/>
    <x v="30"/>
    <x v="30"/>
    <n v="45.1425134406797"/>
    <x v="0"/>
    <x v="0"/>
    <x v="0"/>
    <x v="0"/>
    <x v="0"/>
    <x v="0"/>
    <n v="49.205339650340875"/>
  </r>
  <r>
    <x v="3"/>
    <x v="0"/>
    <x v="3"/>
    <x v="3"/>
    <x v="0"/>
    <x v="1"/>
    <x v="0"/>
    <x v="0"/>
    <x v="0"/>
    <x v="0"/>
    <x v="3"/>
    <x v="3"/>
    <x v="2"/>
    <x v="2"/>
    <x v="2"/>
    <x v="16"/>
    <x v="16"/>
    <n v="21.901009999999999"/>
    <x v="0"/>
    <x v="0"/>
    <x v="3"/>
    <x v="5"/>
    <x v="9"/>
    <x v="16"/>
    <n v="23.8721009"/>
  </r>
  <r>
    <x v="3"/>
    <x v="0"/>
    <x v="3"/>
    <x v="3"/>
    <x v="0"/>
    <x v="1"/>
    <x v="0"/>
    <x v="0"/>
    <x v="0"/>
    <x v="0"/>
    <x v="3"/>
    <x v="3"/>
    <x v="2"/>
    <x v="2"/>
    <x v="2"/>
    <x v="2"/>
    <x v="2"/>
    <n v="653.23114678859895"/>
    <x v="0"/>
    <x v="1"/>
    <x v="2"/>
    <x v="2"/>
    <x v="13"/>
    <x v="2"/>
    <n v="712.02194999957294"/>
  </r>
  <r>
    <x v="3"/>
    <x v="0"/>
    <x v="3"/>
    <x v="3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3"/>
    <x v="0"/>
    <x v="3"/>
    <x v="3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3"/>
    <x v="0"/>
    <x v="3"/>
    <x v="3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3"/>
    <x v="0"/>
    <x v="3"/>
    <x v="3"/>
    <x v="0"/>
    <x v="1"/>
    <x v="0"/>
    <x v="0"/>
    <x v="0"/>
    <x v="0"/>
    <x v="3"/>
    <x v="3"/>
    <x v="4"/>
    <x v="5"/>
    <x v="5"/>
    <x v="12"/>
    <x v="12"/>
    <n v="46.175953488196598"/>
    <x v="0"/>
    <x v="0"/>
    <x v="0"/>
    <x v="0"/>
    <x v="8"/>
    <x v="12"/>
    <n v="50.331789302134297"/>
  </r>
  <r>
    <x v="3"/>
    <x v="0"/>
    <x v="3"/>
    <x v="3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3"/>
    <x v="0"/>
    <x v="3"/>
    <x v="3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3"/>
    <x v="0"/>
    <x v="3"/>
    <x v="3"/>
    <x v="0"/>
    <x v="1"/>
    <x v="0"/>
    <x v="0"/>
    <x v="0"/>
    <x v="0"/>
    <x v="3"/>
    <x v="3"/>
    <x v="4"/>
    <x v="5"/>
    <x v="5"/>
    <x v="0"/>
    <x v="0"/>
    <n v="164.62784964366699"/>
    <x v="0"/>
    <x v="0"/>
    <x v="0"/>
    <x v="0"/>
    <x v="0"/>
    <x v="0"/>
    <n v="179.44435611159705"/>
  </r>
  <r>
    <x v="3"/>
    <x v="0"/>
    <x v="3"/>
    <x v="3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3"/>
    <x v="0"/>
    <x v="3"/>
    <x v="3"/>
    <x v="0"/>
    <x v="1"/>
    <x v="0"/>
    <x v="0"/>
    <x v="0"/>
    <x v="0"/>
    <x v="18"/>
    <x v="18"/>
    <x v="0"/>
    <x v="4"/>
    <x v="4"/>
    <x v="16"/>
    <x v="16"/>
    <n v="97.995000000000005"/>
    <x v="0"/>
    <x v="0"/>
    <x v="3"/>
    <x v="5"/>
    <x v="9"/>
    <x v="16"/>
    <n v="106.81455000000001"/>
  </r>
  <r>
    <x v="3"/>
    <x v="0"/>
    <x v="3"/>
    <x v="3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3"/>
    <x v="0"/>
    <x v="3"/>
    <x v="3"/>
    <x v="0"/>
    <x v="1"/>
    <x v="0"/>
    <x v="0"/>
    <x v="0"/>
    <x v="0"/>
    <x v="4"/>
    <x v="4"/>
    <x v="2"/>
    <x v="2"/>
    <x v="2"/>
    <x v="7"/>
    <x v="7"/>
    <n v="0.10917431192653999"/>
    <x v="0"/>
    <x v="0"/>
    <x v="1"/>
    <x v="4"/>
    <x v="5"/>
    <x v="7"/>
    <n v="0.11899999999992861"/>
  </r>
  <r>
    <x v="3"/>
    <x v="0"/>
    <x v="3"/>
    <x v="3"/>
    <x v="0"/>
    <x v="1"/>
    <x v="0"/>
    <x v="0"/>
    <x v="0"/>
    <x v="0"/>
    <x v="4"/>
    <x v="4"/>
    <x v="2"/>
    <x v="2"/>
    <x v="2"/>
    <x v="8"/>
    <x v="8"/>
    <n v="16.8015270271346"/>
    <x v="0"/>
    <x v="1"/>
    <x v="2"/>
    <x v="2"/>
    <x v="6"/>
    <x v="8"/>
    <n v="18.313664459576717"/>
  </r>
  <r>
    <x v="3"/>
    <x v="0"/>
    <x v="3"/>
    <x v="3"/>
    <x v="0"/>
    <x v="1"/>
    <x v="0"/>
    <x v="0"/>
    <x v="0"/>
    <x v="0"/>
    <x v="4"/>
    <x v="4"/>
    <x v="2"/>
    <x v="2"/>
    <x v="2"/>
    <x v="9"/>
    <x v="9"/>
    <n v="0.22155963302739001"/>
    <x v="0"/>
    <x v="0"/>
    <x v="1"/>
    <x v="4"/>
    <x v="5"/>
    <x v="9"/>
    <n v="0.24149999999985514"/>
  </r>
  <r>
    <x v="3"/>
    <x v="0"/>
    <x v="3"/>
    <x v="3"/>
    <x v="0"/>
    <x v="1"/>
    <x v="0"/>
    <x v="0"/>
    <x v="0"/>
    <x v="0"/>
    <x v="4"/>
    <x v="4"/>
    <x v="2"/>
    <x v="2"/>
    <x v="2"/>
    <x v="11"/>
    <x v="11"/>
    <n v="0.1401"/>
    <x v="0"/>
    <x v="0"/>
    <x v="3"/>
    <x v="5"/>
    <x v="7"/>
    <x v="11"/>
    <n v="0.15270900000000001"/>
  </r>
  <r>
    <x v="3"/>
    <x v="0"/>
    <x v="3"/>
    <x v="3"/>
    <x v="0"/>
    <x v="1"/>
    <x v="0"/>
    <x v="0"/>
    <x v="0"/>
    <x v="0"/>
    <x v="4"/>
    <x v="4"/>
    <x v="2"/>
    <x v="2"/>
    <x v="2"/>
    <x v="12"/>
    <x v="12"/>
    <n v="0.57449999999781998"/>
    <x v="0"/>
    <x v="0"/>
    <x v="0"/>
    <x v="0"/>
    <x v="8"/>
    <x v="12"/>
    <n v="0.6262049999976238"/>
  </r>
  <r>
    <x v="3"/>
    <x v="0"/>
    <x v="3"/>
    <x v="3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3"/>
    <x v="0"/>
    <x v="3"/>
    <x v="3"/>
    <x v="0"/>
    <x v="1"/>
    <x v="0"/>
    <x v="0"/>
    <x v="0"/>
    <x v="0"/>
    <x v="4"/>
    <x v="4"/>
    <x v="2"/>
    <x v="2"/>
    <x v="2"/>
    <x v="16"/>
    <x v="16"/>
    <n v="0.53174999999999994"/>
    <x v="0"/>
    <x v="0"/>
    <x v="3"/>
    <x v="5"/>
    <x v="9"/>
    <x v="16"/>
    <n v="0.57960749999999994"/>
  </r>
  <r>
    <x v="3"/>
    <x v="0"/>
    <x v="3"/>
    <x v="3"/>
    <x v="0"/>
    <x v="1"/>
    <x v="0"/>
    <x v="0"/>
    <x v="0"/>
    <x v="0"/>
    <x v="4"/>
    <x v="4"/>
    <x v="2"/>
    <x v="2"/>
    <x v="2"/>
    <x v="27"/>
    <x v="27"/>
    <n v="1.9144144144549999E-2"/>
    <x v="0"/>
    <x v="0"/>
    <x v="1"/>
    <x v="3"/>
    <x v="3"/>
    <x v="19"/>
    <n v="2.0867117117559501E-2"/>
  </r>
  <r>
    <x v="3"/>
    <x v="0"/>
    <x v="3"/>
    <x v="3"/>
    <x v="0"/>
    <x v="1"/>
    <x v="0"/>
    <x v="0"/>
    <x v="0"/>
    <x v="0"/>
    <x v="4"/>
    <x v="4"/>
    <x v="2"/>
    <x v="2"/>
    <x v="2"/>
    <x v="2"/>
    <x v="2"/>
    <n v="1.97782568807221"/>
    <x v="0"/>
    <x v="1"/>
    <x v="2"/>
    <x v="2"/>
    <x v="13"/>
    <x v="2"/>
    <n v="2.1558299999987089"/>
  </r>
  <r>
    <x v="3"/>
    <x v="0"/>
    <x v="3"/>
    <x v="3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3"/>
    <x v="0"/>
    <x v="3"/>
    <x v="3"/>
    <x v="0"/>
    <x v="1"/>
    <x v="0"/>
    <x v="0"/>
    <x v="2"/>
    <x v="2"/>
    <x v="5"/>
    <x v="5"/>
    <x v="2"/>
    <x v="2"/>
    <x v="2"/>
    <x v="42"/>
    <x v="42"/>
    <n v="10.844340000000001"/>
    <x v="1"/>
    <x v="2"/>
    <x v="5"/>
    <x v="7"/>
    <x v="11"/>
    <x v="22"/>
    <n v="11.820330600000002"/>
  </r>
  <r>
    <x v="3"/>
    <x v="0"/>
    <x v="3"/>
    <x v="3"/>
    <x v="0"/>
    <x v="1"/>
    <x v="0"/>
    <x v="0"/>
    <x v="2"/>
    <x v="2"/>
    <x v="5"/>
    <x v="5"/>
    <x v="2"/>
    <x v="2"/>
    <x v="2"/>
    <x v="41"/>
    <x v="41"/>
    <n v="7.6086276595455598"/>
    <x v="1"/>
    <x v="2"/>
    <x v="5"/>
    <x v="7"/>
    <x v="11"/>
    <x v="22"/>
    <n v="8.2934041489046599"/>
  </r>
  <r>
    <x v="3"/>
    <x v="0"/>
    <x v="3"/>
    <x v="3"/>
    <x v="0"/>
    <x v="1"/>
    <x v="0"/>
    <x v="0"/>
    <x v="2"/>
    <x v="2"/>
    <x v="5"/>
    <x v="5"/>
    <x v="2"/>
    <x v="2"/>
    <x v="2"/>
    <x v="40"/>
    <x v="40"/>
    <n v="389.64035999999999"/>
    <x v="1"/>
    <x v="2"/>
    <x v="5"/>
    <x v="7"/>
    <x v="11"/>
    <x v="22"/>
    <n v="424.70799240000002"/>
  </r>
  <r>
    <x v="3"/>
    <x v="0"/>
    <x v="3"/>
    <x v="3"/>
    <x v="0"/>
    <x v="1"/>
    <x v="0"/>
    <x v="0"/>
    <x v="2"/>
    <x v="2"/>
    <x v="5"/>
    <x v="5"/>
    <x v="2"/>
    <x v="2"/>
    <x v="2"/>
    <x v="38"/>
    <x v="38"/>
    <n v="8.8081499999999995"/>
    <x v="1"/>
    <x v="0"/>
    <x v="4"/>
    <x v="6"/>
    <x v="10"/>
    <x v="21"/>
    <n v="9.6008835000000001"/>
  </r>
  <r>
    <x v="3"/>
    <x v="0"/>
    <x v="3"/>
    <x v="3"/>
    <x v="0"/>
    <x v="1"/>
    <x v="0"/>
    <x v="0"/>
    <x v="0"/>
    <x v="0"/>
    <x v="5"/>
    <x v="5"/>
    <x v="2"/>
    <x v="2"/>
    <x v="2"/>
    <x v="17"/>
    <x v="17"/>
    <n v="9.4646100000000004"/>
    <x v="0"/>
    <x v="0"/>
    <x v="0"/>
    <x v="0"/>
    <x v="4"/>
    <x v="17"/>
    <n v="10.316424900000001"/>
  </r>
  <r>
    <x v="3"/>
    <x v="0"/>
    <x v="3"/>
    <x v="3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3"/>
    <x v="0"/>
    <x v="3"/>
    <x v="3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3"/>
    <x v="0"/>
    <x v="3"/>
    <x v="3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3"/>
    <x v="0"/>
    <x v="3"/>
    <x v="3"/>
    <x v="0"/>
    <x v="1"/>
    <x v="0"/>
    <x v="0"/>
    <x v="2"/>
    <x v="2"/>
    <x v="5"/>
    <x v="5"/>
    <x v="3"/>
    <x v="7"/>
    <x v="7"/>
    <x v="40"/>
    <x v="40"/>
    <n v="3.8606400000000001"/>
    <x v="1"/>
    <x v="2"/>
    <x v="5"/>
    <x v="7"/>
    <x v="11"/>
    <x v="22"/>
    <n v="4.2080976000000003"/>
  </r>
  <r>
    <x v="3"/>
    <x v="0"/>
    <x v="3"/>
    <x v="3"/>
    <x v="0"/>
    <x v="1"/>
    <x v="0"/>
    <x v="0"/>
    <x v="2"/>
    <x v="2"/>
    <x v="5"/>
    <x v="5"/>
    <x v="1"/>
    <x v="8"/>
    <x v="8"/>
    <x v="40"/>
    <x v="40"/>
    <n v="2.5977600000000001"/>
    <x v="1"/>
    <x v="2"/>
    <x v="5"/>
    <x v="7"/>
    <x v="11"/>
    <x v="22"/>
    <n v="2.8315584000000005"/>
  </r>
  <r>
    <x v="3"/>
    <x v="0"/>
    <x v="3"/>
    <x v="3"/>
    <x v="0"/>
    <x v="1"/>
    <x v="0"/>
    <x v="0"/>
    <x v="2"/>
    <x v="2"/>
    <x v="5"/>
    <x v="5"/>
    <x v="2"/>
    <x v="10"/>
    <x v="10"/>
    <x v="40"/>
    <x v="40"/>
    <n v="0.62527999999999995"/>
    <x v="1"/>
    <x v="2"/>
    <x v="5"/>
    <x v="7"/>
    <x v="11"/>
    <x v="22"/>
    <n v="0.68155520000000003"/>
  </r>
  <r>
    <x v="3"/>
    <x v="0"/>
    <x v="3"/>
    <x v="3"/>
    <x v="0"/>
    <x v="1"/>
    <x v="0"/>
    <x v="0"/>
    <x v="2"/>
    <x v="2"/>
    <x v="5"/>
    <x v="5"/>
    <x v="4"/>
    <x v="5"/>
    <x v="5"/>
    <x v="40"/>
    <x v="40"/>
    <n v="85.613"/>
    <x v="1"/>
    <x v="2"/>
    <x v="5"/>
    <x v="7"/>
    <x v="11"/>
    <x v="22"/>
    <n v="93.318170000000009"/>
  </r>
  <r>
    <x v="3"/>
    <x v="0"/>
    <x v="3"/>
    <x v="3"/>
    <x v="0"/>
    <x v="1"/>
    <x v="0"/>
    <x v="0"/>
    <x v="2"/>
    <x v="2"/>
    <x v="6"/>
    <x v="6"/>
    <x v="2"/>
    <x v="2"/>
    <x v="2"/>
    <x v="40"/>
    <x v="40"/>
    <n v="9.1577900000000003"/>
    <x v="1"/>
    <x v="2"/>
    <x v="5"/>
    <x v="7"/>
    <x v="11"/>
    <x v="22"/>
    <n v="9.9819911000000019"/>
  </r>
  <r>
    <x v="3"/>
    <x v="0"/>
    <x v="3"/>
    <x v="3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3"/>
    <x v="0"/>
    <x v="3"/>
    <x v="3"/>
    <x v="0"/>
    <x v="1"/>
    <x v="0"/>
    <x v="0"/>
    <x v="2"/>
    <x v="2"/>
    <x v="7"/>
    <x v="7"/>
    <x v="2"/>
    <x v="2"/>
    <x v="2"/>
    <x v="40"/>
    <x v="40"/>
    <n v="113.11597"/>
    <x v="1"/>
    <x v="2"/>
    <x v="5"/>
    <x v="7"/>
    <x v="11"/>
    <x v="22"/>
    <n v="123.29640730000001"/>
  </r>
  <r>
    <x v="3"/>
    <x v="0"/>
    <x v="3"/>
    <x v="3"/>
    <x v="0"/>
    <x v="1"/>
    <x v="0"/>
    <x v="0"/>
    <x v="2"/>
    <x v="2"/>
    <x v="7"/>
    <x v="7"/>
    <x v="2"/>
    <x v="2"/>
    <x v="2"/>
    <x v="38"/>
    <x v="38"/>
    <n v="152.62603999999999"/>
    <x v="1"/>
    <x v="0"/>
    <x v="4"/>
    <x v="6"/>
    <x v="10"/>
    <x v="21"/>
    <n v="166.36238359999999"/>
  </r>
  <r>
    <x v="3"/>
    <x v="0"/>
    <x v="3"/>
    <x v="3"/>
    <x v="0"/>
    <x v="1"/>
    <x v="0"/>
    <x v="0"/>
    <x v="2"/>
    <x v="2"/>
    <x v="7"/>
    <x v="7"/>
    <x v="2"/>
    <x v="2"/>
    <x v="2"/>
    <x v="43"/>
    <x v="43"/>
    <n v="0.31428"/>
    <x v="1"/>
    <x v="0"/>
    <x v="4"/>
    <x v="6"/>
    <x v="10"/>
    <x v="21"/>
    <n v="0.34256520000000001"/>
  </r>
  <r>
    <x v="3"/>
    <x v="0"/>
    <x v="3"/>
    <x v="3"/>
    <x v="0"/>
    <x v="1"/>
    <x v="0"/>
    <x v="0"/>
    <x v="2"/>
    <x v="2"/>
    <x v="7"/>
    <x v="7"/>
    <x v="2"/>
    <x v="2"/>
    <x v="2"/>
    <x v="44"/>
    <x v="44"/>
    <n v="3.2907099999999998"/>
    <x v="1"/>
    <x v="0"/>
    <x v="4"/>
    <x v="6"/>
    <x v="10"/>
    <x v="21"/>
    <n v="3.5868739000000001"/>
  </r>
  <r>
    <x v="3"/>
    <x v="0"/>
    <x v="3"/>
    <x v="3"/>
    <x v="0"/>
    <x v="1"/>
    <x v="0"/>
    <x v="0"/>
    <x v="0"/>
    <x v="0"/>
    <x v="7"/>
    <x v="7"/>
    <x v="2"/>
    <x v="2"/>
    <x v="2"/>
    <x v="17"/>
    <x v="17"/>
    <n v="0.38170999999999999"/>
    <x v="0"/>
    <x v="0"/>
    <x v="0"/>
    <x v="0"/>
    <x v="4"/>
    <x v="17"/>
    <n v="0.41606390000000004"/>
  </r>
  <r>
    <x v="3"/>
    <x v="0"/>
    <x v="3"/>
    <x v="3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3"/>
    <x v="0"/>
    <x v="3"/>
    <x v="3"/>
    <x v="0"/>
    <x v="1"/>
    <x v="0"/>
    <x v="0"/>
    <x v="2"/>
    <x v="2"/>
    <x v="7"/>
    <x v="7"/>
    <x v="2"/>
    <x v="2"/>
    <x v="2"/>
    <x v="46"/>
    <x v="46"/>
    <n v="4.16669"/>
    <x v="1"/>
    <x v="0"/>
    <x v="4"/>
    <x v="6"/>
    <x v="10"/>
    <x v="21"/>
    <n v="4.5416921000000006"/>
  </r>
  <r>
    <x v="3"/>
    <x v="0"/>
    <x v="3"/>
    <x v="3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3"/>
    <x v="0"/>
    <x v="3"/>
    <x v="3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3"/>
    <x v="0"/>
    <x v="3"/>
    <x v="3"/>
    <x v="0"/>
    <x v="1"/>
    <x v="0"/>
    <x v="0"/>
    <x v="2"/>
    <x v="2"/>
    <x v="7"/>
    <x v="7"/>
    <x v="3"/>
    <x v="7"/>
    <x v="7"/>
    <x v="40"/>
    <x v="40"/>
    <n v="91.218320000000006"/>
    <x v="1"/>
    <x v="2"/>
    <x v="5"/>
    <x v="7"/>
    <x v="11"/>
    <x v="22"/>
    <n v="99.427968800000016"/>
  </r>
  <r>
    <x v="3"/>
    <x v="0"/>
    <x v="3"/>
    <x v="3"/>
    <x v="0"/>
    <x v="1"/>
    <x v="0"/>
    <x v="0"/>
    <x v="2"/>
    <x v="2"/>
    <x v="7"/>
    <x v="7"/>
    <x v="1"/>
    <x v="8"/>
    <x v="8"/>
    <x v="40"/>
    <x v="40"/>
    <n v="9.2566000000000006"/>
    <x v="1"/>
    <x v="2"/>
    <x v="5"/>
    <x v="7"/>
    <x v="11"/>
    <x v="22"/>
    <n v="10.089694000000001"/>
  </r>
  <r>
    <x v="3"/>
    <x v="0"/>
    <x v="3"/>
    <x v="3"/>
    <x v="0"/>
    <x v="1"/>
    <x v="0"/>
    <x v="0"/>
    <x v="2"/>
    <x v="2"/>
    <x v="7"/>
    <x v="7"/>
    <x v="2"/>
    <x v="10"/>
    <x v="10"/>
    <x v="40"/>
    <x v="40"/>
    <n v="2.0844"/>
    <x v="1"/>
    <x v="2"/>
    <x v="5"/>
    <x v="7"/>
    <x v="11"/>
    <x v="22"/>
    <n v="2.2719960000000001"/>
  </r>
  <r>
    <x v="3"/>
    <x v="0"/>
    <x v="3"/>
    <x v="3"/>
    <x v="0"/>
    <x v="1"/>
    <x v="0"/>
    <x v="0"/>
    <x v="2"/>
    <x v="2"/>
    <x v="7"/>
    <x v="7"/>
    <x v="4"/>
    <x v="5"/>
    <x v="5"/>
    <x v="40"/>
    <x v="40"/>
    <n v="67.621639999999999"/>
    <x v="1"/>
    <x v="2"/>
    <x v="5"/>
    <x v="7"/>
    <x v="11"/>
    <x v="22"/>
    <n v="73.707587600000011"/>
  </r>
  <r>
    <x v="3"/>
    <x v="0"/>
    <x v="3"/>
    <x v="3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3"/>
    <x v="0"/>
    <x v="3"/>
    <x v="3"/>
    <x v="0"/>
    <x v="1"/>
    <x v="0"/>
    <x v="0"/>
    <x v="2"/>
    <x v="2"/>
    <x v="8"/>
    <x v="8"/>
    <x v="2"/>
    <x v="2"/>
    <x v="2"/>
    <x v="40"/>
    <x v="40"/>
    <n v="79.885369999999995"/>
    <x v="1"/>
    <x v="2"/>
    <x v="5"/>
    <x v="7"/>
    <x v="11"/>
    <x v="22"/>
    <n v="87.075053300000008"/>
  </r>
  <r>
    <x v="3"/>
    <x v="0"/>
    <x v="3"/>
    <x v="3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3"/>
    <x v="0"/>
    <x v="3"/>
    <x v="3"/>
    <x v="0"/>
    <x v="1"/>
    <x v="0"/>
    <x v="0"/>
    <x v="2"/>
    <x v="2"/>
    <x v="9"/>
    <x v="9"/>
    <x v="2"/>
    <x v="2"/>
    <x v="2"/>
    <x v="40"/>
    <x v="40"/>
    <n v="715.68669"/>
    <x v="1"/>
    <x v="2"/>
    <x v="5"/>
    <x v="7"/>
    <x v="11"/>
    <x v="22"/>
    <n v="780.09849210000004"/>
  </r>
  <r>
    <x v="3"/>
    <x v="0"/>
    <x v="3"/>
    <x v="3"/>
    <x v="0"/>
    <x v="1"/>
    <x v="0"/>
    <x v="0"/>
    <x v="2"/>
    <x v="2"/>
    <x v="9"/>
    <x v="9"/>
    <x v="2"/>
    <x v="2"/>
    <x v="2"/>
    <x v="38"/>
    <x v="38"/>
    <n v="224.47116"/>
    <x v="1"/>
    <x v="0"/>
    <x v="4"/>
    <x v="6"/>
    <x v="10"/>
    <x v="21"/>
    <n v="244.6735644"/>
  </r>
  <r>
    <x v="3"/>
    <x v="0"/>
    <x v="3"/>
    <x v="3"/>
    <x v="0"/>
    <x v="1"/>
    <x v="0"/>
    <x v="0"/>
    <x v="2"/>
    <x v="2"/>
    <x v="9"/>
    <x v="9"/>
    <x v="2"/>
    <x v="2"/>
    <x v="2"/>
    <x v="48"/>
    <x v="48"/>
    <n v="33.254130000000004"/>
    <x v="1"/>
    <x v="0"/>
    <x v="4"/>
    <x v="6"/>
    <x v="10"/>
    <x v="21"/>
    <n v="36.247001700000006"/>
  </r>
  <r>
    <x v="3"/>
    <x v="0"/>
    <x v="3"/>
    <x v="3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3"/>
    <x v="0"/>
    <x v="3"/>
    <x v="3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3"/>
    <x v="0"/>
    <x v="3"/>
    <x v="3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3"/>
    <x v="0"/>
    <x v="3"/>
    <x v="3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3"/>
    <x v="0"/>
    <x v="3"/>
    <x v="3"/>
    <x v="0"/>
    <x v="1"/>
    <x v="0"/>
    <x v="0"/>
    <x v="2"/>
    <x v="2"/>
    <x v="9"/>
    <x v="9"/>
    <x v="3"/>
    <x v="7"/>
    <x v="7"/>
    <x v="40"/>
    <x v="40"/>
    <n v="453.83710000000002"/>
    <x v="1"/>
    <x v="2"/>
    <x v="5"/>
    <x v="7"/>
    <x v="11"/>
    <x v="22"/>
    <n v="494.68243900000004"/>
  </r>
  <r>
    <x v="3"/>
    <x v="0"/>
    <x v="3"/>
    <x v="3"/>
    <x v="0"/>
    <x v="1"/>
    <x v="0"/>
    <x v="0"/>
    <x v="2"/>
    <x v="2"/>
    <x v="9"/>
    <x v="9"/>
    <x v="1"/>
    <x v="8"/>
    <x v="8"/>
    <x v="40"/>
    <x v="40"/>
    <n v="125.54564000000001"/>
    <x v="1"/>
    <x v="2"/>
    <x v="5"/>
    <x v="7"/>
    <x v="11"/>
    <x v="22"/>
    <n v="136.84474760000001"/>
  </r>
  <r>
    <x v="3"/>
    <x v="0"/>
    <x v="3"/>
    <x v="3"/>
    <x v="0"/>
    <x v="1"/>
    <x v="0"/>
    <x v="0"/>
    <x v="2"/>
    <x v="2"/>
    <x v="9"/>
    <x v="9"/>
    <x v="2"/>
    <x v="10"/>
    <x v="10"/>
    <x v="40"/>
    <x v="40"/>
    <n v="97.378320000000002"/>
    <x v="1"/>
    <x v="2"/>
    <x v="5"/>
    <x v="7"/>
    <x v="11"/>
    <x v="22"/>
    <n v="106.14236880000001"/>
  </r>
  <r>
    <x v="3"/>
    <x v="0"/>
    <x v="3"/>
    <x v="3"/>
    <x v="0"/>
    <x v="1"/>
    <x v="0"/>
    <x v="0"/>
    <x v="2"/>
    <x v="2"/>
    <x v="9"/>
    <x v="9"/>
    <x v="4"/>
    <x v="5"/>
    <x v="5"/>
    <x v="40"/>
    <x v="40"/>
    <n v="674.82712000000004"/>
    <x v="1"/>
    <x v="2"/>
    <x v="5"/>
    <x v="7"/>
    <x v="11"/>
    <x v="22"/>
    <n v="735.56156080000005"/>
  </r>
  <r>
    <x v="3"/>
    <x v="0"/>
    <x v="3"/>
    <x v="3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3"/>
    <x v="0"/>
    <x v="3"/>
    <x v="3"/>
    <x v="0"/>
    <x v="1"/>
    <x v="0"/>
    <x v="0"/>
    <x v="2"/>
    <x v="2"/>
    <x v="10"/>
    <x v="10"/>
    <x v="2"/>
    <x v="2"/>
    <x v="2"/>
    <x v="41"/>
    <x v="41"/>
    <n v="2.97571276594614"/>
    <x v="1"/>
    <x v="2"/>
    <x v="5"/>
    <x v="7"/>
    <x v="11"/>
    <x v="22"/>
    <n v="3.2435269148812926"/>
  </r>
  <r>
    <x v="3"/>
    <x v="0"/>
    <x v="3"/>
    <x v="3"/>
    <x v="0"/>
    <x v="1"/>
    <x v="0"/>
    <x v="0"/>
    <x v="2"/>
    <x v="2"/>
    <x v="10"/>
    <x v="10"/>
    <x v="2"/>
    <x v="2"/>
    <x v="2"/>
    <x v="40"/>
    <x v="40"/>
    <n v="286.66793999999999"/>
    <x v="1"/>
    <x v="2"/>
    <x v="5"/>
    <x v="7"/>
    <x v="11"/>
    <x v="22"/>
    <n v="312.46805460000002"/>
  </r>
  <r>
    <x v="3"/>
    <x v="0"/>
    <x v="3"/>
    <x v="3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3"/>
    <x v="0"/>
    <x v="3"/>
    <x v="3"/>
    <x v="0"/>
    <x v="1"/>
    <x v="0"/>
    <x v="0"/>
    <x v="0"/>
    <x v="0"/>
    <x v="11"/>
    <x v="11"/>
    <x v="4"/>
    <x v="5"/>
    <x v="5"/>
    <x v="10"/>
    <x v="10"/>
    <n v="81.291166519915507"/>
    <x v="0"/>
    <x v="0"/>
    <x v="1"/>
    <x v="4"/>
    <x v="5"/>
    <x v="10"/>
    <n v="88.607371506707906"/>
  </r>
  <r>
    <x v="3"/>
    <x v="0"/>
    <x v="3"/>
    <x v="3"/>
    <x v="0"/>
    <x v="1"/>
    <x v="0"/>
    <x v="0"/>
    <x v="3"/>
    <x v="3"/>
    <x v="12"/>
    <x v="12"/>
    <x v="2"/>
    <x v="2"/>
    <x v="2"/>
    <x v="40"/>
    <x v="40"/>
    <n v="8.4733400000000003"/>
    <x v="1"/>
    <x v="2"/>
    <x v="5"/>
    <x v="7"/>
    <x v="11"/>
    <x v="22"/>
    <n v="9.2359406000000011"/>
  </r>
  <r>
    <x v="3"/>
    <x v="0"/>
    <x v="3"/>
    <x v="3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3"/>
    <x v="0"/>
    <x v="3"/>
    <x v="3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3"/>
    <x v="0"/>
    <x v="3"/>
    <x v="3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3"/>
    <x v="0"/>
    <x v="3"/>
    <x v="3"/>
    <x v="0"/>
    <x v="1"/>
    <x v="0"/>
    <x v="0"/>
    <x v="3"/>
    <x v="3"/>
    <x v="12"/>
    <x v="12"/>
    <x v="3"/>
    <x v="7"/>
    <x v="7"/>
    <x v="40"/>
    <x v="40"/>
    <n v="5.4628800000000002"/>
    <x v="1"/>
    <x v="2"/>
    <x v="5"/>
    <x v="7"/>
    <x v="11"/>
    <x v="22"/>
    <n v="5.954539200000001"/>
  </r>
  <r>
    <x v="3"/>
    <x v="0"/>
    <x v="3"/>
    <x v="3"/>
    <x v="0"/>
    <x v="1"/>
    <x v="0"/>
    <x v="0"/>
    <x v="3"/>
    <x v="3"/>
    <x v="12"/>
    <x v="12"/>
    <x v="4"/>
    <x v="5"/>
    <x v="5"/>
    <x v="40"/>
    <x v="40"/>
    <n v="10.28736"/>
    <x v="1"/>
    <x v="2"/>
    <x v="5"/>
    <x v="7"/>
    <x v="11"/>
    <x v="22"/>
    <n v="11.213222400000001"/>
  </r>
  <r>
    <x v="3"/>
    <x v="0"/>
    <x v="3"/>
    <x v="3"/>
    <x v="0"/>
    <x v="1"/>
    <x v="0"/>
    <x v="0"/>
    <x v="3"/>
    <x v="3"/>
    <x v="13"/>
    <x v="13"/>
    <x v="2"/>
    <x v="2"/>
    <x v="2"/>
    <x v="41"/>
    <x v="41"/>
    <n v="21.497074468003401"/>
    <x v="1"/>
    <x v="2"/>
    <x v="5"/>
    <x v="7"/>
    <x v="11"/>
    <x v="22"/>
    <n v="23.431811170123709"/>
  </r>
  <r>
    <x v="3"/>
    <x v="0"/>
    <x v="3"/>
    <x v="3"/>
    <x v="0"/>
    <x v="1"/>
    <x v="0"/>
    <x v="0"/>
    <x v="3"/>
    <x v="3"/>
    <x v="13"/>
    <x v="13"/>
    <x v="2"/>
    <x v="2"/>
    <x v="2"/>
    <x v="40"/>
    <x v="40"/>
    <n v="209.07945000000001"/>
    <x v="1"/>
    <x v="2"/>
    <x v="5"/>
    <x v="7"/>
    <x v="11"/>
    <x v="22"/>
    <n v="227.89660050000003"/>
  </r>
  <r>
    <x v="3"/>
    <x v="0"/>
    <x v="3"/>
    <x v="3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3"/>
    <x v="0"/>
    <x v="3"/>
    <x v="3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3"/>
    <x v="0"/>
    <x v="3"/>
    <x v="3"/>
    <x v="0"/>
    <x v="1"/>
    <x v="0"/>
    <x v="0"/>
    <x v="3"/>
    <x v="3"/>
    <x v="13"/>
    <x v="13"/>
    <x v="1"/>
    <x v="8"/>
    <x v="8"/>
    <x v="40"/>
    <x v="40"/>
    <n v="1.16408"/>
    <x v="1"/>
    <x v="2"/>
    <x v="5"/>
    <x v="7"/>
    <x v="11"/>
    <x v="22"/>
    <n v="1.2688472000000002"/>
  </r>
  <r>
    <x v="3"/>
    <x v="0"/>
    <x v="3"/>
    <x v="3"/>
    <x v="0"/>
    <x v="1"/>
    <x v="0"/>
    <x v="0"/>
    <x v="3"/>
    <x v="3"/>
    <x v="13"/>
    <x v="13"/>
    <x v="4"/>
    <x v="5"/>
    <x v="5"/>
    <x v="40"/>
    <x v="40"/>
    <n v="0.54423999999999995"/>
    <x v="1"/>
    <x v="2"/>
    <x v="5"/>
    <x v="7"/>
    <x v="11"/>
    <x v="22"/>
    <n v="0.59322160000000002"/>
  </r>
  <r>
    <x v="3"/>
    <x v="0"/>
    <x v="3"/>
    <x v="3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3"/>
    <x v="0"/>
    <x v="3"/>
    <x v="3"/>
    <x v="0"/>
    <x v="1"/>
    <x v="0"/>
    <x v="0"/>
    <x v="2"/>
    <x v="2"/>
    <x v="14"/>
    <x v="14"/>
    <x v="2"/>
    <x v="2"/>
    <x v="2"/>
    <x v="40"/>
    <x v="40"/>
    <n v="23.53387"/>
    <x v="1"/>
    <x v="2"/>
    <x v="5"/>
    <x v="7"/>
    <x v="11"/>
    <x v="22"/>
    <n v="25.651918300000002"/>
  </r>
  <r>
    <x v="3"/>
    <x v="0"/>
    <x v="3"/>
    <x v="3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3"/>
    <x v="0"/>
    <x v="3"/>
    <x v="3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3"/>
    <x v="0"/>
    <x v="3"/>
    <x v="3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3"/>
    <x v="0"/>
    <x v="3"/>
    <x v="3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3"/>
    <x v="0"/>
    <x v="3"/>
    <x v="3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3"/>
    <x v="0"/>
    <x v="3"/>
    <x v="3"/>
    <x v="0"/>
    <x v="1"/>
    <x v="0"/>
    <x v="0"/>
    <x v="2"/>
    <x v="2"/>
    <x v="17"/>
    <x v="17"/>
    <x v="2"/>
    <x v="2"/>
    <x v="2"/>
    <x v="42"/>
    <x v="42"/>
    <n v="1.8918600000000001"/>
    <x v="1"/>
    <x v="2"/>
    <x v="5"/>
    <x v="7"/>
    <x v="11"/>
    <x v="22"/>
    <n v="2.0621274000000001"/>
  </r>
  <r>
    <x v="3"/>
    <x v="0"/>
    <x v="3"/>
    <x v="3"/>
    <x v="0"/>
    <x v="1"/>
    <x v="0"/>
    <x v="0"/>
    <x v="2"/>
    <x v="2"/>
    <x v="17"/>
    <x v="17"/>
    <x v="2"/>
    <x v="2"/>
    <x v="2"/>
    <x v="40"/>
    <x v="40"/>
    <n v="144.45941999999999"/>
    <x v="1"/>
    <x v="2"/>
    <x v="5"/>
    <x v="7"/>
    <x v="11"/>
    <x v="22"/>
    <n v="157.46076780000001"/>
  </r>
  <r>
    <x v="3"/>
    <x v="0"/>
    <x v="3"/>
    <x v="3"/>
    <x v="0"/>
    <x v="1"/>
    <x v="0"/>
    <x v="0"/>
    <x v="2"/>
    <x v="2"/>
    <x v="17"/>
    <x v="17"/>
    <x v="2"/>
    <x v="2"/>
    <x v="2"/>
    <x v="38"/>
    <x v="38"/>
    <n v="0.27678999999999998"/>
    <x v="1"/>
    <x v="0"/>
    <x v="4"/>
    <x v="6"/>
    <x v="10"/>
    <x v="21"/>
    <n v="0.3017011"/>
  </r>
  <r>
    <x v="3"/>
    <x v="0"/>
    <x v="3"/>
    <x v="3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3"/>
    <x v="0"/>
    <x v="3"/>
    <x v="3"/>
    <x v="0"/>
    <x v="1"/>
    <x v="0"/>
    <x v="0"/>
    <x v="2"/>
    <x v="2"/>
    <x v="17"/>
    <x v="17"/>
    <x v="3"/>
    <x v="7"/>
    <x v="7"/>
    <x v="40"/>
    <x v="40"/>
    <n v="13.604279999999999"/>
    <x v="1"/>
    <x v="2"/>
    <x v="5"/>
    <x v="7"/>
    <x v="11"/>
    <x v="22"/>
    <n v="14.8286652"/>
  </r>
  <r>
    <x v="3"/>
    <x v="0"/>
    <x v="3"/>
    <x v="3"/>
    <x v="0"/>
    <x v="1"/>
    <x v="0"/>
    <x v="0"/>
    <x v="2"/>
    <x v="2"/>
    <x v="17"/>
    <x v="17"/>
    <x v="1"/>
    <x v="8"/>
    <x v="8"/>
    <x v="40"/>
    <x v="40"/>
    <n v="7.2129599999999998"/>
    <x v="1"/>
    <x v="2"/>
    <x v="5"/>
    <x v="7"/>
    <x v="11"/>
    <x v="22"/>
    <n v="7.8621264000000002"/>
  </r>
  <r>
    <x v="3"/>
    <x v="0"/>
    <x v="3"/>
    <x v="3"/>
    <x v="0"/>
    <x v="1"/>
    <x v="0"/>
    <x v="0"/>
    <x v="2"/>
    <x v="2"/>
    <x v="17"/>
    <x v="17"/>
    <x v="2"/>
    <x v="10"/>
    <x v="10"/>
    <x v="40"/>
    <x v="40"/>
    <n v="2.0844"/>
    <x v="1"/>
    <x v="2"/>
    <x v="5"/>
    <x v="7"/>
    <x v="11"/>
    <x v="22"/>
    <n v="2.2719960000000001"/>
  </r>
  <r>
    <x v="3"/>
    <x v="0"/>
    <x v="3"/>
    <x v="3"/>
    <x v="0"/>
    <x v="1"/>
    <x v="0"/>
    <x v="0"/>
    <x v="2"/>
    <x v="2"/>
    <x v="17"/>
    <x v="17"/>
    <x v="4"/>
    <x v="5"/>
    <x v="5"/>
    <x v="40"/>
    <x v="40"/>
    <n v="114.58188"/>
    <x v="1"/>
    <x v="2"/>
    <x v="5"/>
    <x v="7"/>
    <x v="11"/>
    <x v="22"/>
    <n v="124.8942492"/>
  </r>
  <r>
    <x v="3"/>
    <x v="0"/>
    <x v="3"/>
    <x v="3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3"/>
    <x v="0"/>
    <x v="3"/>
    <x v="3"/>
    <x v="0"/>
    <x v="2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3"/>
    <x v="0"/>
    <x v="3"/>
    <x v="3"/>
    <x v="0"/>
    <x v="2"/>
    <x v="0"/>
    <x v="0"/>
    <x v="0"/>
    <x v="0"/>
    <x v="0"/>
    <x v="0"/>
    <x v="3"/>
    <x v="3"/>
    <x v="3"/>
    <x v="8"/>
    <x v="8"/>
    <n v="9.2567567568159995E-2"/>
    <x v="0"/>
    <x v="1"/>
    <x v="2"/>
    <x v="2"/>
    <x v="6"/>
    <x v="8"/>
    <n v="0.1008986486492944"/>
  </r>
  <r>
    <x v="3"/>
    <x v="0"/>
    <x v="3"/>
    <x v="3"/>
    <x v="0"/>
    <x v="2"/>
    <x v="0"/>
    <x v="0"/>
    <x v="0"/>
    <x v="0"/>
    <x v="0"/>
    <x v="0"/>
    <x v="3"/>
    <x v="3"/>
    <x v="3"/>
    <x v="9"/>
    <x v="9"/>
    <n v="173.26470830371699"/>
    <x v="0"/>
    <x v="0"/>
    <x v="1"/>
    <x v="4"/>
    <x v="5"/>
    <x v="9"/>
    <n v="188.85853205105153"/>
  </r>
  <r>
    <x v="3"/>
    <x v="0"/>
    <x v="3"/>
    <x v="3"/>
    <x v="0"/>
    <x v="2"/>
    <x v="0"/>
    <x v="0"/>
    <x v="0"/>
    <x v="0"/>
    <x v="0"/>
    <x v="0"/>
    <x v="3"/>
    <x v="3"/>
    <x v="3"/>
    <x v="11"/>
    <x v="11"/>
    <n v="14.11346"/>
    <x v="0"/>
    <x v="0"/>
    <x v="3"/>
    <x v="5"/>
    <x v="7"/>
    <x v="11"/>
    <n v="15.383671400000001"/>
  </r>
  <r>
    <x v="3"/>
    <x v="0"/>
    <x v="3"/>
    <x v="3"/>
    <x v="0"/>
    <x v="2"/>
    <x v="0"/>
    <x v="0"/>
    <x v="0"/>
    <x v="0"/>
    <x v="0"/>
    <x v="0"/>
    <x v="3"/>
    <x v="3"/>
    <x v="3"/>
    <x v="12"/>
    <x v="12"/>
    <n v="9.1779069767089994E-2"/>
    <x v="0"/>
    <x v="0"/>
    <x v="0"/>
    <x v="0"/>
    <x v="8"/>
    <x v="12"/>
    <n v="0.1000391860461281"/>
  </r>
  <r>
    <x v="3"/>
    <x v="0"/>
    <x v="3"/>
    <x v="3"/>
    <x v="0"/>
    <x v="2"/>
    <x v="0"/>
    <x v="0"/>
    <x v="0"/>
    <x v="0"/>
    <x v="0"/>
    <x v="0"/>
    <x v="3"/>
    <x v="3"/>
    <x v="3"/>
    <x v="16"/>
    <x v="16"/>
    <n v="47.5"/>
    <x v="0"/>
    <x v="0"/>
    <x v="3"/>
    <x v="5"/>
    <x v="9"/>
    <x v="16"/>
    <n v="51.775000000000006"/>
  </r>
  <r>
    <x v="3"/>
    <x v="0"/>
    <x v="3"/>
    <x v="3"/>
    <x v="0"/>
    <x v="2"/>
    <x v="0"/>
    <x v="0"/>
    <x v="0"/>
    <x v="0"/>
    <x v="0"/>
    <x v="0"/>
    <x v="3"/>
    <x v="3"/>
    <x v="3"/>
    <x v="18"/>
    <x v="18"/>
    <n v="10.923999999999999"/>
    <x v="0"/>
    <x v="0"/>
    <x v="0"/>
    <x v="0"/>
    <x v="4"/>
    <x v="18"/>
    <n v="11.907160000000001"/>
  </r>
  <r>
    <x v="3"/>
    <x v="0"/>
    <x v="3"/>
    <x v="3"/>
    <x v="0"/>
    <x v="2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3"/>
    <x v="0"/>
    <x v="3"/>
    <x v="3"/>
    <x v="0"/>
    <x v="2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3"/>
    <x v="0"/>
    <x v="3"/>
    <x v="3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3"/>
    <x v="0"/>
    <x v="3"/>
    <x v="3"/>
    <x v="0"/>
    <x v="2"/>
    <x v="0"/>
    <x v="0"/>
    <x v="0"/>
    <x v="0"/>
    <x v="0"/>
    <x v="0"/>
    <x v="0"/>
    <x v="4"/>
    <x v="4"/>
    <x v="9"/>
    <x v="9"/>
    <n v="19.4184766783989"/>
    <x v="0"/>
    <x v="0"/>
    <x v="1"/>
    <x v="4"/>
    <x v="5"/>
    <x v="9"/>
    <n v="21.166139579454804"/>
  </r>
  <r>
    <x v="3"/>
    <x v="0"/>
    <x v="3"/>
    <x v="3"/>
    <x v="0"/>
    <x v="2"/>
    <x v="0"/>
    <x v="0"/>
    <x v="0"/>
    <x v="0"/>
    <x v="0"/>
    <x v="0"/>
    <x v="0"/>
    <x v="4"/>
    <x v="4"/>
    <x v="31"/>
    <x v="31"/>
    <n v="111.674422018282"/>
    <x v="0"/>
    <x v="0"/>
    <x v="1"/>
    <x v="4"/>
    <x v="5"/>
    <x v="10"/>
    <n v="121.72511999992739"/>
  </r>
  <r>
    <x v="3"/>
    <x v="0"/>
    <x v="3"/>
    <x v="3"/>
    <x v="0"/>
    <x v="2"/>
    <x v="0"/>
    <x v="0"/>
    <x v="0"/>
    <x v="0"/>
    <x v="0"/>
    <x v="0"/>
    <x v="0"/>
    <x v="4"/>
    <x v="4"/>
    <x v="12"/>
    <x v="12"/>
    <n v="244.58217441767499"/>
    <x v="0"/>
    <x v="0"/>
    <x v="0"/>
    <x v="0"/>
    <x v="8"/>
    <x v="12"/>
    <n v="266.59457011526575"/>
  </r>
  <r>
    <x v="3"/>
    <x v="0"/>
    <x v="3"/>
    <x v="3"/>
    <x v="0"/>
    <x v="2"/>
    <x v="0"/>
    <x v="0"/>
    <x v="0"/>
    <x v="0"/>
    <x v="0"/>
    <x v="0"/>
    <x v="0"/>
    <x v="4"/>
    <x v="4"/>
    <x v="16"/>
    <x v="16"/>
    <n v="5.3150000000000004"/>
    <x v="0"/>
    <x v="0"/>
    <x v="3"/>
    <x v="5"/>
    <x v="9"/>
    <x v="16"/>
    <n v="5.7933500000000011"/>
  </r>
  <r>
    <x v="3"/>
    <x v="0"/>
    <x v="3"/>
    <x v="3"/>
    <x v="0"/>
    <x v="2"/>
    <x v="0"/>
    <x v="0"/>
    <x v="0"/>
    <x v="0"/>
    <x v="0"/>
    <x v="0"/>
    <x v="0"/>
    <x v="4"/>
    <x v="4"/>
    <x v="17"/>
    <x v="17"/>
    <n v="4.95"/>
    <x v="0"/>
    <x v="0"/>
    <x v="0"/>
    <x v="0"/>
    <x v="4"/>
    <x v="17"/>
    <n v="5.3955000000000002"/>
  </r>
  <r>
    <x v="3"/>
    <x v="0"/>
    <x v="3"/>
    <x v="3"/>
    <x v="0"/>
    <x v="2"/>
    <x v="0"/>
    <x v="0"/>
    <x v="0"/>
    <x v="0"/>
    <x v="0"/>
    <x v="0"/>
    <x v="0"/>
    <x v="4"/>
    <x v="4"/>
    <x v="21"/>
    <x v="21"/>
    <n v="122.180733944881"/>
    <x v="0"/>
    <x v="0"/>
    <x v="1"/>
    <x v="4"/>
    <x v="5"/>
    <x v="10"/>
    <n v="133.1769999999203"/>
  </r>
  <r>
    <x v="3"/>
    <x v="0"/>
    <x v="3"/>
    <x v="3"/>
    <x v="0"/>
    <x v="2"/>
    <x v="0"/>
    <x v="0"/>
    <x v="0"/>
    <x v="0"/>
    <x v="0"/>
    <x v="0"/>
    <x v="0"/>
    <x v="4"/>
    <x v="4"/>
    <x v="25"/>
    <x v="25"/>
    <n v="506.23424770611803"/>
    <x v="0"/>
    <x v="0"/>
    <x v="1"/>
    <x v="4"/>
    <x v="5"/>
    <x v="9"/>
    <n v="551.79532999966864"/>
  </r>
  <r>
    <x v="3"/>
    <x v="0"/>
    <x v="3"/>
    <x v="3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3"/>
    <x v="0"/>
    <x v="3"/>
    <x v="3"/>
    <x v="0"/>
    <x v="2"/>
    <x v="0"/>
    <x v="0"/>
    <x v="0"/>
    <x v="0"/>
    <x v="0"/>
    <x v="0"/>
    <x v="0"/>
    <x v="4"/>
    <x v="4"/>
    <x v="2"/>
    <x v="2"/>
    <n v="4.5871559629999997E-5"/>
    <x v="0"/>
    <x v="1"/>
    <x v="2"/>
    <x v="2"/>
    <x v="13"/>
    <x v="2"/>
    <n v="4.9999999996700003E-5"/>
  </r>
  <r>
    <x v="3"/>
    <x v="0"/>
    <x v="3"/>
    <x v="3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3"/>
    <x v="0"/>
    <x v="3"/>
    <x v="3"/>
    <x v="0"/>
    <x v="2"/>
    <x v="0"/>
    <x v="0"/>
    <x v="0"/>
    <x v="0"/>
    <x v="0"/>
    <x v="0"/>
    <x v="0"/>
    <x v="0"/>
    <x v="0"/>
    <x v="31"/>
    <x v="31"/>
    <n v="12.880954128432601"/>
    <x v="0"/>
    <x v="0"/>
    <x v="1"/>
    <x v="4"/>
    <x v="5"/>
    <x v="10"/>
    <n v="14.040239999991536"/>
  </r>
  <r>
    <x v="3"/>
    <x v="0"/>
    <x v="3"/>
    <x v="3"/>
    <x v="0"/>
    <x v="2"/>
    <x v="0"/>
    <x v="0"/>
    <x v="0"/>
    <x v="0"/>
    <x v="0"/>
    <x v="0"/>
    <x v="0"/>
    <x v="0"/>
    <x v="0"/>
    <x v="12"/>
    <x v="12"/>
    <n v="128.06288372044401"/>
    <x v="0"/>
    <x v="0"/>
    <x v="0"/>
    <x v="0"/>
    <x v="8"/>
    <x v="12"/>
    <n v="139.58854325528398"/>
  </r>
  <r>
    <x v="3"/>
    <x v="0"/>
    <x v="3"/>
    <x v="3"/>
    <x v="0"/>
    <x v="2"/>
    <x v="0"/>
    <x v="0"/>
    <x v="0"/>
    <x v="0"/>
    <x v="0"/>
    <x v="0"/>
    <x v="0"/>
    <x v="0"/>
    <x v="0"/>
    <x v="25"/>
    <x v="25"/>
    <n v="31.472697247687499"/>
    <x v="0"/>
    <x v="0"/>
    <x v="1"/>
    <x v="4"/>
    <x v="5"/>
    <x v="9"/>
    <n v="34.305239999979378"/>
  </r>
  <r>
    <x v="3"/>
    <x v="0"/>
    <x v="3"/>
    <x v="3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3"/>
    <x v="0"/>
    <x v="3"/>
    <x v="3"/>
    <x v="0"/>
    <x v="2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3"/>
    <x v="0"/>
    <x v="3"/>
    <x v="3"/>
    <x v="0"/>
    <x v="2"/>
    <x v="0"/>
    <x v="0"/>
    <x v="0"/>
    <x v="0"/>
    <x v="0"/>
    <x v="0"/>
    <x v="1"/>
    <x v="1"/>
    <x v="1"/>
    <x v="12"/>
    <x v="12"/>
    <n v="102.06390697635599"/>
    <x v="0"/>
    <x v="0"/>
    <x v="0"/>
    <x v="0"/>
    <x v="8"/>
    <x v="12"/>
    <n v="111.24965860422805"/>
  </r>
  <r>
    <x v="3"/>
    <x v="0"/>
    <x v="3"/>
    <x v="3"/>
    <x v="0"/>
    <x v="2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3"/>
    <x v="0"/>
    <x v="3"/>
    <x v="3"/>
    <x v="0"/>
    <x v="2"/>
    <x v="0"/>
    <x v="0"/>
    <x v="0"/>
    <x v="0"/>
    <x v="0"/>
    <x v="0"/>
    <x v="1"/>
    <x v="1"/>
    <x v="1"/>
    <x v="27"/>
    <x v="27"/>
    <n v="7.7267702704340797"/>
    <x v="0"/>
    <x v="0"/>
    <x v="1"/>
    <x v="3"/>
    <x v="3"/>
    <x v="19"/>
    <n v="8.4221795947731479"/>
  </r>
  <r>
    <x v="3"/>
    <x v="0"/>
    <x v="3"/>
    <x v="3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3"/>
    <x v="0"/>
    <x v="3"/>
    <x v="3"/>
    <x v="0"/>
    <x v="2"/>
    <x v="0"/>
    <x v="0"/>
    <x v="0"/>
    <x v="0"/>
    <x v="0"/>
    <x v="0"/>
    <x v="1"/>
    <x v="1"/>
    <x v="1"/>
    <x v="2"/>
    <x v="2"/>
    <n v="54.018348623820799"/>
    <x v="0"/>
    <x v="1"/>
    <x v="2"/>
    <x v="2"/>
    <x v="13"/>
    <x v="2"/>
    <n v="58.879999999964674"/>
  </r>
  <r>
    <x v="3"/>
    <x v="0"/>
    <x v="3"/>
    <x v="3"/>
    <x v="0"/>
    <x v="2"/>
    <x v="0"/>
    <x v="0"/>
    <x v="0"/>
    <x v="0"/>
    <x v="0"/>
    <x v="0"/>
    <x v="2"/>
    <x v="2"/>
    <x v="2"/>
    <x v="4"/>
    <x v="4"/>
    <n v="104.723981651313"/>
    <x v="0"/>
    <x v="0"/>
    <x v="1"/>
    <x v="3"/>
    <x v="3"/>
    <x v="4"/>
    <n v="114.14913999993118"/>
  </r>
  <r>
    <x v="3"/>
    <x v="0"/>
    <x v="3"/>
    <x v="3"/>
    <x v="0"/>
    <x v="2"/>
    <x v="0"/>
    <x v="0"/>
    <x v="0"/>
    <x v="0"/>
    <x v="0"/>
    <x v="0"/>
    <x v="2"/>
    <x v="2"/>
    <x v="2"/>
    <x v="5"/>
    <x v="5"/>
    <n v="187.25796932657701"/>
    <x v="0"/>
    <x v="0"/>
    <x v="1"/>
    <x v="1"/>
    <x v="1"/>
    <x v="5"/>
    <n v="204.11118656596895"/>
  </r>
  <r>
    <x v="3"/>
    <x v="0"/>
    <x v="3"/>
    <x v="3"/>
    <x v="0"/>
    <x v="2"/>
    <x v="0"/>
    <x v="0"/>
    <x v="0"/>
    <x v="0"/>
    <x v="0"/>
    <x v="0"/>
    <x v="2"/>
    <x v="2"/>
    <x v="2"/>
    <x v="7"/>
    <x v="7"/>
    <n v="13.302697247698401"/>
    <x v="0"/>
    <x v="0"/>
    <x v="1"/>
    <x v="4"/>
    <x v="5"/>
    <x v="7"/>
    <n v="14.499939999991257"/>
  </r>
  <r>
    <x v="3"/>
    <x v="0"/>
    <x v="3"/>
    <x v="3"/>
    <x v="0"/>
    <x v="2"/>
    <x v="0"/>
    <x v="0"/>
    <x v="0"/>
    <x v="0"/>
    <x v="0"/>
    <x v="0"/>
    <x v="2"/>
    <x v="2"/>
    <x v="2"/>
    <x v="8"/>
    <x v="8"/>
    <n v="7.6173783784271301"/>
    <x v="0"/>
    <x v="1"/>
    <x v="2"/>
    <x v="2"/>
    <x v="6"/>
    <x v="8"/>
    <n v="8.3029424324855725"/>
  </r>
  <r>
    <x v="3"/>
    <x v="0"/>
    <x v="3"/>
    <x v="3"/>
    <x v="0"/>
    <x v="2"/>
    <x v="0"/>
    <x v="0"/>
    <x v="0"/>
    <x v="0"/>
    <x v="0"/>
    <x v="0"/>
    <x v="2"/>
    <x v="2"/>
    <x v="2"/>
    <x v="9"/>
    <x v="9"/>
    <n v="56.331460457273103"/>
    <x v="0"/>
    <x v="0"/>
    <x v="1"/>
    <x v="4"/>
    <x v="5"/>
    <x v="9"/>
    <n v="61.401291898427687"/>
  </r>
  <r>
    <x v="3"/>
    <x v="0"/>
    <x v="3"/>
    <x v="3"/>
    <x v="0"/>
    <x v="2"/>
    <x v="0"/>
    <x v="0"/>
    <x v="0"/>
    <x v="0"/>
    <x v="0"/>
    <x v="0"/>
    <x v="2"/>
    <x v="2"/>
    <x v="2"/>
    <x v="10"/>
    <x v="10"/>
    <n v="37.830498057377298"/>
    <x v="0"/>
    <x v="0"/>
    <x v="1"/>
    <x v="4"/>
    <x v="5"/>
    <x v="10"/>
    <n v="41.235242882541257"/>
  </r>
  <r>
    <x v="3"/>
    <x v="0"/>
    <x v="3"/>
    <x v="3"/>
    <x v="0"/>
    <x v="2"/>
    <x v="0"/>
    <x v="0"/>
    <x v="0"/>
    <x v="0"/>
    <x v="0"/>
    <x v="0"/>
    <x v="2"/>
    <x v="2"/>
    <x v="2"/>
    <x v="28"/>
    <x v="28"/>
    <n v="4.5164299999999997"/>
    <x v="0"/>
    <x v="0"/>
    <x v="1"/>
    <x v="3"/>
    <x v="3"/>
    <x v="13"/>
    <n v="4.9229086999999998"/>
  </r>
  <r>
    <x v="3"/>
    <x v="0"/>
    <x v="3"/>
    <x v="3"/>
    <x v="0"/>
    <x v="2"/>
    <x v="0"/>
    <x v="0"/>
    <x v="0"/>
    <x v="0"/>
    <x v="0"/>
    <x v="0"/>
    <x v="2"/>
    <x v="2"/>
    <x v="2"/>
    <x v="30"/>
    <x v="30"/>
    <n v="10.1431451612498"/>
    <x v="0"/>
    <x v="0"/>
    <x v="0"/>
    <x v="0"/>
    <x v="0"/>
    <x v="0"/>
    <n v="11.056028225762283"/>
  </r>
  <r>
    <x v="3"/>
    <x v="0"/>
    <x v="3"/>
    <x v="3"/>
    <x v="0"/>
    <x v="2"/>
    <x v="0"/>
    <x v="0"/>
    <x v="0"/>
    <x v="0"/>
    <x v="0"/>
    <x v="0"/>
    <x v="2"/>
    <x v="2"/>
    <x v="2"/>
    <x v="31"/>
    <x v="31"/>
    <n v="2.1559633027510001"/>
    <x v="0"/>
    <x v="0"/>
    <x v="1"/>
    <x v="4"/>
    <x v="5"/>
    <x v="10"/>
    <n v="2.3499999999985901"/>
  </r>
  <r>
    <x v="3"/>
    <x v="0"/>
    <x v="3"/>
    <x v="3"/>
    <x v="0"/>
    <x v="2"/>
    <x v="0"/>
    <x v="0"/>
    <x v="0"/>
    <x v="0"/>
    <x v="0"/>
    <x v="0"/>
    <x v="2"/>
    <x v="2"/>
    <x v="2"/>
    <x v="11"/>
    <x v="11"/>
    <n v="0.86309999999999998"/>
    <x v="0"/>
    <x v="0"/>
    <x v="3"/>
    <x v="5"/>
    <x v="7"/>
    <x v="11"/>
    <n v="0.94077900000000003"/>
  </r>
  <r>
    <x v="3"/>
    <x v="0"/>
    <x v="3"/>
    <x v="3"/>
    <x v="0"/>
    <x v="2"/>
    <x v="0"/>
    <x v="0"/>
    <x v="0"/>
    <x v="0"/>
    <x v="0"/>
    <x v="0"/>
    <x v="2"/>
    <x v="2"/>
    <x v="2"/>
    <x v="12"/>
    <x v="12"/>
    <n v="163.56212790635499"/>
    <x v="0"/>
    <x v="0"/>
    <x v="0"/>
    <x v="0"/>
    <x v="8"/>
    <x v="12"/>
    <n v="178.28271941792696"/>
  </r>
  <r>
    <x v="3"/>
    <x v="0"/>
    <x v="3"/>
    <x v="3"/>
    <x v="0"/>
    <x v="2"/>
    <x v="0"/>
    <x v="0"/>
    <x v="0"/>
    <x v="0"/>
    <x v="0"/>
    <x v="0"/>
    <x v="2"/>
    <x v="2"/>
    <x v="2"/>
    <x v="14"/>
    <x v="14"/>
    <n v="103.10131"/>
    <x v="0"/>
    <x v="0"/>
    <x v="0"/>
    <x v="0"/>
    <x v="8"/>
    <x v="14"/>
    <n v="112.3804279"/>
  </r>
  <r>
    <x v="3"/>
    <x v="0"/>
    <x v="3"/>
    <x v="3"/>
    <x v="0"/>
    <x v="2"/>
    <x v="0"/>
    <x v="0"/>
    <x v="0"/>
    <x v="0"/>
    <x v="0"/>
    <x v="0"/>
    <x v="2"/>
    <x v="2"/>
    <x v="2"/>
    <x v="16"/>
    <x v="16"/>
    <n v="322.1773"/>
    <x v="0"/>
    <x v="0"/>
    <x v="3"/>
    <x v="5"/>
    <x v="9"/>
    <x v="16"/>
    <n v="351.17325700000004"/>
  </r>
  <r>
    <x v="3"/>
    <x v="0"/>
    <x v="3"/>
    <x v="3"/>
    <x v="0"/>
    <x v="2"/>
    <x v="0"/>
    <x v="0"/>
    <x v="0"/>
    <x v="0"/>
    <x v="0"/>
    <x v="0"/>
    <x v="2"/>
    <x v="2"/>
    <x v="2"/>
    <x v="21"/>
    <x v="21"/>
    <n v="24.860238532095199"/>
    <x v="0"/>
    <x v="0"/>
    <x v="1"/>
    <x v="4"/>
    <x v="5"/>
    <x v="10"/>
    <n v="27.097659999983769"/>
  </r>
  <r>
    <x v="3"/>
    <x v="0"/>
    <x v="3"/>
    <x v="3"/>
    <x v="0"/>
    <x v="2"/>
    <x v="0"/>
    <x v="0"/>
    <x v="0"/>
    <x v="0"/>
    <x v="0"/>
    <x v="0"/>
    <x v="2"/>
    <x v="2"/>
    <x v="2"/>
    <x v="25"/>
    <x v="25"/>
    <n v="166.303192660451"/>
    <x v="0"/>
    <x v="0"/>
    <x v="1"/>
    <x v="4"/>
    <x v="5"/>
    <x v="9"/>
    <n v="181.27047999989162"/>
  </r>
  <r>
    <x v="3"/>
    <x v="0"/>
    <x v="3"/>
    <x v="3"/>
    <x v="0"/>
    <x v="2"/>
    <x v="0"/>
    <x v="0"/>
    <x v="0"/>
    <x v="0"/>
    <x v="0"/>
    <x v="0"/>
    <x v="2"/>
    <x v="2"/>
    <x v="2"/>
    <x v="26"/>
    <x v="26"/>
    <n v="1.70963302752191"/>
    <x v="0"/>
    <x v="0"/>
    <x v="1"/>
    <x v="3"/>
    <x v="3"/>
    <x v="15"/>
    <n v="1.8634999999988822"/>
  </r>
  <r>
    <x v="3"/>
    <x v="0"/>
    <x v="3"/>
    <x v="3"/>
    <x v="0"/>
    <x v="2"/>
    <x v="0"/>
    <x v="0"/>
    <x v="0"/>
    <x v="0"/>
    <x v="0"/>
    <x v="0"/>
    <x v="2"/>
    <x v="2"/>
    <x v="2"/>
    <x v="0"/>
    <x v="0"/>
    <n v="11.8812277579738"/>
    <x v="0"/>
    <x v="0"/>
    <x v="0"/>
    <x v="0"/>
    <x v="0"/>
    <x v="0"/>
    <n v="12.950538256191443"/>
  </r>
  <r>
    <x v="3"/>
    <x v="0"/>
    <x v="3"/>
    <x v="3"/>
    <x v="0"/>
    <x v="2"/>
    <x v="0"/>
    <x v="0"/>
    <x v="0"/>
    <x v="0"/>
    <x v="0"/>
    <x v="0"/>
    <x v="2"/>
    <x v="2"/>
    <x v="2"/>
    <x v="1"/>
    <x v="1"/>
    <n v="12.470682758552099"/>
    <x v="0"/>
    <x v="0"/>
    <x v="1"/>
    <x v="1"/>
    <x v="1"/>
    <x v="1"/>
    <n v="13.593044206821789"/>
  </r>
  <r>
    <x v="3"/>
    <x v="0"/>
    <x v="3"/>
    <x v="3"/>
    <x v="0"/>
    <x v="2"/>
    <x v="0"/>
    <x v="0"/>
    <x v="0"/>
    <x v="0"/>
    <x v="0"/>
    <x v="0"/>
    <x v="2"/>
    <x v="2"/>
    <x v="2"/>
    <x v="2"/>
    <x v="2"/>
    <n v="551.20764220150397"/>
    <x v="0"/>
    <x v="1"/>
    <x v="2"/>
    <x v="2"/>
    <x v="13"/>
    <x v="2"/>
    <n v="600.81632999963938"/>
  </r>
  <r>
    <x v="3"/>
    <x v="0"/>
    <x v="3"/>
    <x v="3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3"/>
    <x v="0"/>
    <x v="3"/>
    <x v="3"/>
    <x v="0"/>
    <x v="2"/>
    <x v="0"/>
    <x v="0"/>
    <x v="0"/>
    <x v="0"/>
    <x v="0"/>
    <x v="0"/>
    <x v="1"/>
    <x v="6"/>
    <x v="6"/>
    <x v="9"/>
    <x v="9"/>
    <n v="138.31516513753201"/>
    <x v="0"/>
    <x v="0"/>
    <x v="1"/>
    <x v="4"/>
    <x v="5"/>
    <x v="9"/>
    <n v="150.76352999990991"/>
  </r>
  <r>
    <x v="3"/>
    <x v="0"/>
    <x v="3"/>
    <x v="3"/>
    <x v="0"/>
    <x v="2"/>
    <x v="0"/>
    <x v="0"/>
    <x v="0"/>
    <x v="0"/>
    <x v="0"/>
    <x v="0"/>
    <x v="4"/>
    <x v="5"/>
    <x v="5"/>
    <x v="21"/>
    <x v="21"/>
    <n v="43.264256880707997"/>
    <x v="0"/>
    <x v="0"/>
    <x v="1"/>
    <x v="4"/>
    <x v="5"/>
    <x v="10"/>
    <n v="47.15803999997172"/>
  </r>
  <r>
    <x v="3"/>
    <x v="0"/>
    <x v="3"/>
    <x v="3"/>
    <x v="0"/>
    <x v="2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3"/>
    <x v="0"/>
    <x v="3"/>
    <x v="3"/>
    <x v="0"/>
    <x v="2"/>
    <x v="0"/>
    <x v="0"/>
    <x v="0"/>
    <x v="0"/>
    <x v="0"/>
    <x v="0"/>
    <x v="4"/>
    <x v="5"/>
    <x v="5"/>
    <x v="25"/>
    <x v="25"/>
    <n v="47.911926605475799"/>
    <x v="0"/>
    <x v="0"/>
    <x v="1"/>
    <x v="4"/>
    <x v="5"/>
    <x v="9"/>
    <n v="52.223999999968626"/>
  </r>
  <r>
    <x v="3"/>
    <x v="0"/>
    <x v="3"/>
    <x v="3"/>
    <x v="0"/>
    <x v="2"/>
    <x v="0"/>
    <x v="0"/>
    <x v="0"/>
    <x v="0"/>
    <x v="0"/>
    <x v="0"/>
    <x v="4"/>
    <x v="5"/>
    <x v="5"/>
    <x v="2"/>
    <x v="2"/>
    <n v="57.0641834862043"/>
    <x v="0"/>
    <x v="1"/>
    <x v="2"/>
    <x v="2"/>
    <x v="13"/>
    <x v="2"/>
    <n v="62.199959999962694"/>
  </r>
  <r>
    <x v="3"/>
    <x v="0"/>
    <x v="3"/>
    <x v="3"/>
    <x v="0"/>
    <x v="2"/>
    <x v="0"/>
    <x v="0"/>
    <x v="0"/>
    <x v="0"/>
    <x v="3"/>
    <x v="3"/>
    <x v="2"/>
    <x v="2"/>
    <x v="2"/>
    <x v="5"/>
    <x v="5"/>
    <n v="1.8450920245539"/>
    <x v="0"/>
    <x v="0"/>
    <x v="1"/>
    <x v="1"/>
    <x v="1"/>
    <x v="5"/>
    <n v="2.0111503067637511"/>
  </r>
  <r>
    <x v="3"/>
    <x v="0"/>
    <x v="3"/>
    <x v="3"/>
    <x v="0"/>
    <x v="2"/>
    <x v="0"/>
    <x v="0"/>
    <x v="0"/>
    <x v="0"/>
    <x v="3"/>
    <x v="3"/>
    <x v="2"/>
    <x v="2"/>
    <x v="2"/>
    <x v="8"/>
    <x v="8"/>
    <n v="10.72635135142"/>
    <x v="0"/>
    <x v="1"/>
    <x v="2"/>
    <x v="2"/>
    <x v="6"/>
    <x v="8"/>
    <n v="11.691722973047801"/>
  </r>
  <r>
    <x v="3"/>
    <x v="0"/>
    <x v="3"/>
    <x v="3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3"/>
    <x v="0"/>
    <x v="3"/>
    <x v="3"/>
    <x v="0"/>
    <x v="2"/>
    <x v="0"/>
    <x v="0"/>
    <x v="0"/>
    <x v="0"/>
    <x v="3"/>
    <x v="3"/>
    <x v="2"/>
    <x v="2"/>
    <x v="2"/>
    <x v="16"/>
    <x v="16"/>
    <n v="40.966859999999997"/>
    <x v="0"/>
    <x v="0"/>
    <x v="3"/>
    <x v="5"/>
    <x v="9"/>
    <x v="16"/>
    <n v="44.653877399999999"/>
  </r>
  <r>
    <x v="3"/>
    <x v="0"/>
    <x v="3"/>
    <x v="3"/>
    <x v="0"/>
    <x v="2"/>
    <x v="0"/>
    <x v="0"/>
    <x v="0"/>
    <x v="0"/>
    <x v="3"/>
    <x v="3"/>
    <x v="2"/>
    <x v="2"/>
    <x v="2"/>
    <x v="17"/>
    <x v="17"/>
    <n v="6.66"/>
    <x v="0"/>
    <x v="0"/>
    <x v="0"/>
    <x v="0"/>
    <x v="4"/>
    <x v="17"/>
    <n v="7.2594000000000003"/>
  </r>
  <r>
    <x v="3"/>
    <x v="0"/>
    <x v="3"/>
    <x v="3"/>
    <x v="0"/>
    <x v="2"/>
    <x v="0"/>
    <x v="0"/>
    <x v="0"/>
    <x v="0"/>
    <x v="3"/>
    <x v="3"/>
    <x v="2"/>
    <x v="2"/>
    <x v="2"/>
    <x v="27"/>
    <x v="27"/>
    <n v="0.45045045045999998"/>
    <x v="0"/>
    <x v="0"/>
    <x v="1"/>
    <x v="3"/>
    <x v="3"/>
    <x v="19"/>
    <n v="0.49099099100140003"/>
  </r>
  <r>
    <x v="3"/>
    <x v="0"/>
    <x v="3"/>
    <x v="3"/>
    <x v="0"/>
    <x v="2"/>
    <x v="0"/>
    <x v="0"/>
    <x v="0"/>
    <x v="0"/>
    <x v="3"/>
    <x v="3"/>
    <x v="2"/>
    <x v="2"/>
    <x v="2"/>
    <x v="2"/>
    <x v="2"/>
    <n v="51.090541284373003"/>
    <x v="0"/>
    <x v="1"/>
    <x v="2"/>
    <x v="2"/>
    <x v="13"/>
    <x v="2"/>
    <n v="55.688689999966577"/>
  </r>
  <r>
    <x v="3"/>
    <x v="0"/>
    <x v="3"/>
    <x v="3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3"/>
    <x v="0"/>
    <x v="3"/>
    <x v="3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3"/>
    <x v="0"/>
    <x v="3"/>
    <x v="3"/>
    <x v="0"/>
    <x v="2"/>
    <x v="0"/>
    <x v="0"/>
    <x v="0"/>
    <x v="0"/>
    <x v="4"/>
    <x v="4"/>
    <x v="2"/>
    <x v="2"/>
    <x v="2"/>
    <x v="10"/>
    <x v="10"/>
    <n v="0.43766305244159998"/>
    <x v="0"/>
    <x v="0"/>
    <x v="1"/>
    <x v="4"/>
    <x v="5"/>
    <x v="10"/>
    <n v="0.477052727161344"/>
  </r>
  <r>
    <x v="3"/>
    <x v="0"/>
    <x v="3"/>
    <x v="3"/>
    <x v="0"/>
    <x v="2"/>
    <x v="0"/>
    <x v="0"/>
    <x v="0"/>
    <x v="0"/>
    <x v="4"/>
    <x v="4"/>
    <x v="2"/>
    <x v="2"/>
    <x v="2"/>
    <x v="12"/>
    <x v="12"/>
    <n v="0.30855813953370997"/>
    <x v="0"/>
    <x v="0"/>
    <x v="0"/>
    <x v="0"/>
    <x v="8"/>
    <x v="12"/>
    <n v="0.33632837209174388"/>
  </r>
  <r>
    <x v="3"/>
    <x v="0"/>
    <x v="3"/>
    <x v="3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3"/>
    <x v="0"/>
    <x v="3"/>
    <x v="3"/>
    <x v="0"/>
    <x v="2"/>
    <x v="0"/>
    <x v="0"/>
    <x v="0"/>
    <x v="0"/>
    <x v="4"/>
    <x v="4"/>
    <x v="2"/>
    <x v="2"/>
    <x v="2"/>
    <x v="25"/>
    <x v="25"/>
    <n v="0.20157798165126001"/>
    <x v="0"/>
    <x v="0"/>
    <x v="1"/>
    <x v="4"/>
    <x v="5"/>
    <x v="9"/>
    <n v="0.21971999999987343"/>
  </r>
  <r>
    <x v="3"/>
    <x v="0"/>
    <x v="3"/>
    <x v="3"/>
    <x v="0"/>
    <x v="2"/>
    <x v="0"/>
    <x v="0"/>
    <x v="0"/>
    <x v="0"/>
    <x v="4"/>
    <x v="4"/>
    <x v="2"/>
    <x v="2"/>
    <x v="2"/>
    <x v="2"/>
    <x v="2"/>
    <n v="0.98414678899024"/>
    <x v="0"/>
    <x v="1"/>
    <x v="2"/>
    <x v="2"/>
    <x v="13"/>
    <x v="2"/>
    <n v="1.0727199999993617"/>
  </r>
  <r>
    <x v="3"/>
    <x v="0"/>
    <x v="3"/>
    <x v="3"/>
    <x v="0"/>
    <x v="2"/>
    <x v="0"/>
    <x v="0"/>
    <x v="2"/>
    <x v="2"/>
    <x v="5"/>
    <x v="5"/>
    <x v="2"/>
    <x v="2"/>
    <x v="2"/>
    <x v="40"/>
    <x v="40"/>
    <n v="36.200000000000003"/>
    <x v="1"/>
    <x v="2"/>
    <x v="5"/>
    <x v="7"/>
    <x v="11"/>
    <x v="22"/>
    <n v="39.458000000000006"/>
  </r>
  <r>
    <x v="3"/>
    <x v="0"/>
    <x v="3"/>
    <x v="3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3"/>
    <x v="0"/>
    <x v="3"/>
    <x v="3"/>
    <x v="0"/>
    <x v="2"/>
    <x v="0"/>
    <x v="0"/>
    <x v="2"/>
    <x v="2"/>
    <x v="5"/>
    <x v="5"/>
    <x v="1"/>
    <x v="6"/>
    <x v="6"/>
    <x v="40"/>
    <x v="40"/>
    <n v="54.174140000000001"/>
    <x v="1"/>
    <x v="2"/>
    <x v="5"/>
    <x v="7"/>
    <x v="11"/>
    <x v="22"/>
    <n v="59.049812600000003"/>
  </r>
  <r>
    <x v="3"/>
    <x v="0"/>
    <x v="3"/>
    <x v="3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3"/>
    <x v="0"/>
    <x v="3"/>
    <x v="3"/>
    <x v="0"/>
    <x v="2"/>
    <x v="0"/>
    <x v="0"/>
    <x v="2"/>
    <x v="2"/>
    <x v="5"/>
    <x v="5"/>
    <x v="1"/>
    <x v="8"/>
    <x v="8"/>
    <x v="40"/>
    <x v="40"/>
    <n v="42.001800000000003"/>
    <x v="1"/>
    <x v="2"/>
    <x v="5"/>
    <x v="7"/>
    <x v="11"/>
    <x v="22"/>
    <n v="45.781962000000007"/>
  </r>
  <r>
    <x v="3"/>
    <x v="0"/>
    <x v="3"/>
    <x v="3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3"/>
    <x v="0"/>
    <x v="3"/>
    <x v="3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3"/>
    <x v="0"/>
    <x v="3"/>
    <x v="3"/>
    <x v="0"/>
    <x v="2"/>
    <x v="0"/>
    <x v="0"/>
    <x v="2"/>
    <x v="2"/>
    <x v="5"/>
    <x v="5"/>
    <x v="4"/>
    <x v="5"/>
    <x v="5"/>
    <x v="40"/>
    <x v="40"/>
    <n v="469.76335"/>
    <x v="1"/>
    <x v="2"/>
    <x v="5"/>
    <x v="7"/>
    <x v="11"/>
    <x v="22"/>
    <n v="512.04205150000007"/>
  </r>
  <r>
    <x v="3"/>
    <x v="0"/>
    <x v="3"/>
    <x v="3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3"/>
    <x v="0"/>
    <x v="3"/>
    <x v="3"/>
    <x v="0"/>
    <x v="2"/>
    <x v="0"/>
    <x v="0"/>
    <x v="2"/>
    <x v="2"/>
    <x v="7"/>
    <x v="7"/>
    <x v="2"/>
    <x v="2"/>
    <x v="2"/>
    <x v="40"/>
    <x v="40"/>
    <n v="60.051479999999998"/>
    <x v="1"/>
    <x v="2"/>
    <x v="5"/>
    <x v="7"/>
    <x v="11"/>
    <x v="22"/>
    <n v="65.456113200000004"/>
  </r>
  <r>
    <x v="3"/>
    <x v="0"/>
    <x v="3"/>
    <x v="3"/>
    <x v="0"/>
    <x v="2"/>
    <x v="0"/>
    <x v="0"/>
    <x v="2"/>
    <x v="2"/>
    <x v="7"/>
    <x v="7"/>
    <x v="2"/>
    <x v="2"/>
    <x v="2"/>
    <x v="38"/>
    <x v="38"/>
    <n v="67.332499999999996"/>
    <x v="1"/>
    <x v="0"/>
    <x v="4"/>
    <x v="6"/>
    <x v="10"/>
    <x v="21"/>
    <n v="73.392425000000003"/>
  </r>
  <r>
    <x v="3"/>
    <x v="0"/>
    <x v="3"/>
    <x v="3"/>
    <x v="0"/>
    <x v="2"/>
    <x v="0"/>
    <x v="0"/>
    <x v="2"/>
    <x v="2"/>
    <x v="7"/>
    <x v="7"/>
    <x v="1"/>
    <x v="6"/>
    <x v="6"/>
    <x v="40"/>
    <x v="40"/>
    <n v="45.850110000000001"/>
    <x v="1"/>
    <x v="2"/>
    <x v="5"/>
    <x v="7"/>
    <x v="11"/>
    <x v="22"/>
    <n v="49.976619900000003"/>
  </r>
  <r>
    <x v="3"/>
    <x v="0"/>
    <x v="3"/>
    <x v="3"/>
    <x v="0"/>
    <x v="2"/>
    <x v="0"/>
    <x v="0"/>
    <x v="2"/>
    <x v="2"/>
    <x v="7"/>
    <x v="7"/>
    <x v="1"/>
    <x v="6"/>
    <x v="6"/>
    <x v="38"/>
    <x v="38"/>
    <n v="24.709099999999999"/>
    <x v="1"/>
    <x v="0"/>
    <x v="4"/>
    <x v="6"/>
    <x v="10"/>
    <x v="21"/>
    <n v="26.932919000000002"/>
  </r>
  <r>
    <x v="3"/>
    <x v="0"/>
    <x v="3"/>
    <x v="3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3"/>
    <x v="0"/>
    <x v="3"/>
    <x v="3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3"/>
    <x v="0"/>
    <x v="3"/>
    <x v="3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3"/>
    <x v="0"/>
    <x v="3"/>
    <x v="3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3"/>
    <x v="0"/>
    <x v="3"/>
    <x v="3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3"/>
    <x v="0"/>
    <x v="3"/>
    <x v="3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3"/>
    <x v="0"/>
    <x v="3"/>
    <x v="3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3"/>
    <x v="0"/>
    <x v="3"/>
    <x v="3"/>
    <x v="0"/>
    <x v="2"/>
    <x v="0"/>
    <x v="0"/>
    <x v="2"/>
    <x v="2"/>
    <x v="9"/>
    <x v="9"/>
    <x v="2"/>
    <x v="2"/>
    <x v="2"/>
    <x v="40"/>
    <x v="40"/>
    <n v="196.62182000000001"/>
    <x v="1"/>
    <x v="2"/>
    <x v="5"/>
    <x v="7"/>
    <x v="11"/>
    <x v="22"/>
    <n v="214.31778380000003"/>
  </r>
  <r>
    <x v="3"/>
    <x v="0"/>
    <x v="3"/>
    <x v="3"/>
    <x v="0"/>
    <x v="2"/>
    <x v="0"/>
    <x v="0"/>
    <x v="2"/>
    <x v="2"/>
    <x v="9"/>
    <x v="9"/>
    <x v="2"/>
    <x v="2"/>
    <x v="2"/>
    <x v="38"/>
    <x v="38"/>
    <n v="186.89500000000001"/>
    <x v="1"/>
    <x v="0"/>
    <x v="4"/>
    <x v="6"/>
    <x v="10"/>
    <x v="21"/>
    <n v="203.71555000000004"/>
  </r>
  <r>
    <x v="3"/>
    <x v="0"/>
    <x v="3"/>
    <x v="3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3"/>
    <x v="0"/>
    <x v="3"/>
    <x v="3"/>
    <x v="0"/>
    <x v="2"/>
    <x v="0"/>
    <x v="0"/>
    <x v="2"/>
    <x v="2"/>
    <x v="9"/>
    <x v="9"/>
    <x v="1"/>
    <x v="6"/>
    <x v="6"/>
    <x v="40"/>
    <x v="40"/>
    <n v="908.44574999999998"/>
    <x v="1"/>
    <x v="2"/>
    <x v="5"/>
    <x v="7"/>
    <x v="11"/>
    <x v="22"/>
    <n v="990.20586750000007"/>
  </r>
  <r>
    <x v="3"/>
    <x v="0"/>
    <x v="3"/>
    <x v="3"/>
    <x v="0"/>
    <x v="2"/>
    <x v="0"/>
    <x v="0"/>
    <x v="2"/>
    <x v="2"/>
    <x v="9"/>
    <x v="9"/>
    <x v="1"/>
    <x v="6"/>
    <x v="6"/>
    <x v="38"/>
    <x v="38"/>
    <n v="30.611339999999998"/>
    <x v="1"/>
    <x v="0"/>
    <x v="4"/>
    <x v="6"/>
    <x v="10"/>
    <x v="21"/>
    <n v="33.3663606"/>
  </r>
  <r>
    <x v="3"/>
    <x v="0"/>
    <x v="3"/>
    <x v="3"/>
    <x v="0"/>
    <x v="2"/>
    <x v="0"/>
    <x v="0"/>
    <x v="2"/>
    <x v="2"/>
    <x v="9"/>
    <x v="9"/>
    <x v="3"/>
    <x v="7"/>
    <x v="7"/>
    <x v="40"/>
    <x v="40"/>
    <n v="452.41399000000001"/>
    <x v="1"/>
    <x v="2"/>
    <x v="5"/>
    <x v="7"/>
    <x v="11"/>
    <x v="22"/>
    <n v="493.13124910000005"/>
  </r>
  <r>
    <x v="3"/>
    <x v="0"/>
    <x v="3"/>
    <x v="3"/>
    <x v="0"/>
    <x v="2"/>
    <x v="0"/>
    <x v="0"/>
    <x v="2"/>
    <x v="2"/>
    <x v="9"/>
    <x v="9"/>
    <x v="1"/>
    <x v="8"/>
    <x v="8"/>
    <x v="40"/>
    <x v="40"/>
    <n v="1110.0270399999999"/>
    <x v="1"/>
    <x v="2"/>
    <x v="5"/>
    <x v="7"/>
    <x v="11"/>
    <x v="22"/>
    <n v="1209.9294735999999"/>
  </r>
  <r>
    <x v="3"/>
    <x v="0"/>
    <x v="3"/>
    <x v="3"/>
    <x v="0"/>
    <x v="2"/>
    <x v="0"/>
    <x v="0"/>
    <x v="2"/>
    <x v="2"/>
    <x v="9"/>
    <x v="9"/>
    <x v="2"/>
    <x v="10"/>
    <x v="10"/>
    <x v="40"/>
    <x v="40"/>
    <n v="115.86912"/>
    <x v="1"/>
    <x v="2"/>
    <x v="5"/>
    <x v="7"/>
    <x v="11"/>
    <x v="22"/>
    <n v="126.2973408"/>
  </r>
  <r>
    <x v="3"/>
    <x v="0"/>
    <x v="3"/>
    <x v="3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3"/>
    <x v="0"/>
    <x v="3"/>
    <x v="3"/>
    <x v="0"/>
    <x v="2"/>
    <x v="0"/>
    <x v="0"/>
    <x v="2"/>
    <x v="2"/>
    <x v="9"/>
    <x v="9"/>
    <x v="4"/>
    <x v="5"/>
    <x v="5"/>
    <x v="40"/>
    <x v="40"/>
    <n v="1328.1855499999999"/>
    <x v="1"/>
    <x v="2"/>
    <x v="5"/>
    <x v="7"/>
    <x v="11"/>
    <x v="22"/>
    <n v="1447.7222495000001"/>
  </r>
  <r>
    <x v="3"/>
    <x v="0"/>
    <x v="3"/>
    <x v="3"/>
    <x v="0"/>
    <x v="2"/>
    <x v="0"/>
    <x v="0"/>
    <x v="2"/>
    <x v="2"/>
    <x v="10"/>
    <x v="10"/>
    <x v="2"/>
    <x v="2"/>
    <x v="2"/>
    <x v="41"/>
    <x v="41"/>
    <n v="7.8049787233746004"/>
    <x v="1"/>
    <x v="2"/>
    <x v="5"/>
    <x v="7"/>
    <x v="11"/>
    <x v="22"/>
    <n v="8.5074268084783142"/>
  </r>
  <r>
    <x v="3"/>
    <x v="0"/>
    <x v="3"/>
    <x v="3"/>
    <x v="0"/>
    <x v="2"/>
    <x v="0"/>
    <x v="0"/>
    <x v="2"/>
    <x v="2"/>
    <x v="10"/>
    <x v="10"/>
    <x v="2"/>
    <x v="2"/>
    <x v="2"/>
    <x v="40"/>
    <x v="40"/>
    <n v="375.99880000000002"/>
    <x v="1"/>
    <x v="2"/>
    <x v="5"/>
    <x v="7"/>
    <x v="11"/>
    <x v="22"/>
    <n v="409.83869200000004"/>
  </r>
  <r>
    <x v="3"/>
    <x v="0"/>
    <x v="3"/>
    <x v="3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3"/>
    <x v="0"/>
    <x v="3"/>
    <x v="3"/>
    <x v="0"/>
    <x v="2"/>
    <x v="0"/>
    <x v="0"/>
    <x v="0"/>
    <x v="0"/>
    <x v="11"/>
    <x v="11"/>
    <x v="4"/>
    <x v="5"/>
    <x v="5"/>
    <x v="7"/>
    <x v="7"/>
    <n v="28.860334494017401"/>
    <x v="0"/>
    <x v="0"/>
    <x v="1"/>
    <x v="4"/>
    <x v="5"/>
    <x v="7"/>
    <n v="31.45776459847897"/>
  </r>
  <r>
    <x v="3"/>
    <x v="0"/>
    <x v="3"/>
    <x v="3"/>
    <x v="0"/>
    <x v="2"/>
    <x v="0"/>
    <x v="0"/>
    <x v="3"/>
    <x v="3"/>
    <x v="12"/>
    <x v="12"/>
    <x v="3"/>
    <x v="7"/>
    <x v="7"/>
    <x v="40"/>
    <x v="40"/>
    <n v="153.02376000000001"/>
    <x v="1"/>
    <x v="2"/>
    <x v="5"/>
    <x v="7"/>
    <x v="11"/>
    <x v="22"/>
    <n v="166.79589840000003"/>
  </r>
  <r>
    <x v="3"/>
    <x v="0"/>
    <x v="3"/>
    <x v="3"/>
    <x v="0"/>
    <x v="2"/>
    <x v="0"/>
    <x v="0"/>
    <x v="3"/>
    <x v="3"/>
    <x v="12"/>
    <x v="12"/>
    <x v="1"/>
    <x v="8"/>
    <x v="8"/>
    <x v="40"/>
    <x v="40"/>
    <n v="64.251919999999998"/>
    <x v="1"/>
    <x v="2"/>
    <x v="5"/>
    <x v="7"/>
    <x v="11"/>
    <x v="22"/>
    <n v="70.034592799999999"/>
  </r>
  <r>
    <x v="3"/>
    <x v="0"/>
    <x v="3"/>
    <x v="3"/>
    <x v="0"/>
    <x v="2"/>
    <x v="0"/>
    <x v="0"/>
    <x v="3"/>
    <x v="3"/>
    <x v="12"/>
    <x v="12"/>
    <x v="2"/>
    <x v="10"/>
    <x v="10"/>
    <x v="40"/>
    <x v="40"/>
    <n v="17.32884"/>
    <x v="1"/>
    <x v="2"/>
    <x v="5"/>
    <x v="7"/>
    <x v="11"/>
    <x v="22"/>
    <n v="18.888435600000001"/>
  </r>
  <r>
    <x v="3"/>
    <x v="0"/>
    <x v="3"/>
    <x v="3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3"/>
    <x v="0"/>
    <x v="3"/>
    <x v="3"/>
    <x v="0"/>
    <x v="2"/>
    <x v="0"/>
    <x v="0"/>
    <x v="3"/>
    <x v="3"/>
    <x v="12"/>
    <x v="12"/>
    <x v="4"/>
    <x v="5"/>
    <x v="5"/>
    <x v="40"/>
    <x v="40"/>
    <n v="199.55771999999999"/>
    <x v="1"/>
    <x v="2"/>
    <x v="5"/>
    <x v="7"/>
    <x v="11"/>
    <x v="22"/>
    <n v="217.5179148"/>
  </r>
  <r>
    <x v="3"/>
    <x v="0"/>
    <x v="3"/>
    <x v="3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3"/>
    <x v="0"/>
    <x v="3"/>
    <x v="3"/>
    <x v="0"/>
    <x v="2"/>
    <x v="0"/>
    <x v="0"/>
    <x v="3"/>
    <x v="3"/>
    <x v="13"/>
    <x v="13"/>
    <x v="2"/>
    <x v="2"/>
    <x v="2"/>
    <x v="40"/>
    <x v="40"/>
    <n v="115.06562"/>
    <x v="1"/>
    <x v="2"/>
    <x v="5"/>
    <x v="7"/>
    <x v="11"/>
    <x v="22"/>
    <n v="125.4215258"/>
  </r>
  <r>
    <x v="3"/>
    <x v="0"/>
    <x v="3"/>
    <x v="3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3"/>
    <x v="0"/>
    <x v="3"/>
    <x v="3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3"/>
    <x v="0"/>
    <x v="3"/>
    <x v="3"/>
    <x v="0"/>
    <x v="2"/>
    <x v="0"/>
    <x v="0"/>
    <x v="3"/>
    <x v="3"/>
    <x v="19"/>
    <x v="19"/>
    <x v="3"/>
    <x v="7"/>
    <x v="7"/>
    <x v="40"/>
    <x v="40"/>
    <n v="1008.6538"/>
    <x v="1"/>
    <x v="2"/>
    <x v="5"/>
    <x v="7"/>
    <x v="11"/>
    <x v="22"/>
    <n v="1099.4326420000002"/>
  </r>
  <r>
    <x v="3"/>
    <x v="0"/>
    <x v="3"/>
    <x v="3"/>
    <x v="0"/>
    <x v="2"/>
    <x v="0"/>
    <x v="0"/>
    <x v="3"/>
    <x v="3"/>
    <x v="19"/>
    <x v="19"/>
    <x v="1"/>
    <x v="8"/>
    <x v="8"/>
    <x v="40"/>
    <x v="40"/>
    <n v="606.04849000000002"/>
    <x v="1"/>
    <x v="2"/>
    <x v="5"/>
    <x v="7"/>
    <x v="11"/>
    <x v="22"/>
    <n v="660.59285410000007"/>
  </r>
  <r>
    <x v="3"/>
    <x v="0"/>
    <x v="3"/>
    <x v="3"/>
    <x v="0"/>
    <x v="2"/>
    <x v="0"/>
    <x v="0"/>
    <x v="3"/>
    <x v="3"/>
    <x v="19"/>
    <x v="19"/>
    <x v="2"/>
    <x v="10"/>
    <x v="10"/>
    <x v="40"/>
    <x v="40"/>
    <n v="110.80092"/>
    <x v="1"/>
    <x v="2"/>
    <x v="5"/>
    <x v="7"/>
    <x v="11"/>
    <x v="22"/>
    <n v="120.77300280000001"/>
  </r>
  <r>
    <x v="3"/>
    <x v="0"/>
    <x v="3"/>
    <x v="3"/>
    <x v="0"/>
    <x v="2"/>
    <x v="0"/>
    <x v="0"/>
    <x v="3"/>
    <x v="3"/>
    <x v="19"/>
    <x v="19"/>
    <x v="4"/>
    <x v="5"/>
    <x v="5"/>
    <x v="40"/>
    <x v="40"/>
    <n v="633.32556999999997"/>
    <x v="1"/>
    <x v="2"/>
    <x v="5"/>
    <x v="7"/>
    <x v="11"/>
    <x v="22"/>
    <n v="690.32487130000004"/>
  </r>
  <r>
    <x v="3"/>
    <x v="0"/>
    <x v="3"/>
    <x v="3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3"/>
    <x v="0"/>
    <x v="3"/>
    <x v="3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3"/>
    <x v="0"/>
    <x v="3"/>
    <x v="3"/>
    <x v="0"/>
    <x v="2"/>
    <x v="0"/>
    <x v="0"/>
    <x v="2"/>
    <x v="2"/>
    <x v="14"/>
    <x v="14"/>
    <x v="4"/>
    <x v="5"/>
    <x v="5"/>
    <x v="40"/>
    <x v="40"/>
    <n v="235.96579"/>
    <x v="1"/>
    <x v="2"/>
    <x v="5"/>
    <x v="7"/>
    <x v="11"/>
    <x v="22"/>
    <n v="257.20271110000004"/>
  </r>
  <r>
    <x v="3"/>
    <x v="0"/>
    <x v="3"/>
    <x v="3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3"/>
    <x v="0"/>
    <x v="3"/>
    <x v="3"/>
    <x v="0"/>
    <x v="2"/>
    <x v="0"/>
    <x v="0"/>
    <x v="2"/>
    <x v="2"/>
    <x v="15"/>
    <x v="15"/>
    <x v="0"/>
    <x v="4"/>
    <x v="4"/>
    <x v="40"/>
    <x v="40"/>
    <n v="42.35"/>
    <x v="1"/>
    <x v="2"/>
    <x v="5"/>
    <x v="7"/>
    <x v="11"/>
    <x v="22"/>
    <n v="46.161500000000004"/>
  </r>
  <r>
    <x v="3"/>
    <x v="0"/>
    <x v="3"/>
    <x v="3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3"/>
    <x v="0"/>
    <x v="3"/>
    <x v="3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3"/>
    <x v="0"/>
    <x v="3"/>
    <x v="3"/>
    <x v="0"/>
    <x v="2"/>
    <x v="0"/>
    <x v="0"/>
    <x v="2"/>
    <x v="2"/>
    <x v="16"/>
    <x v="16"/>
    <x v="2"/>
    <x v="2"/>
    <x v="2"/>
    <x v="40"/>
    <x v="40"/>
    <n v="21"/>
    <x v="1"/>
    <x v="2"/>
    <x v="5"/>
    <x v="7"/>
    <x v="11"/>
    <x v="22"/>
    <n v="22.89"/>
  </r>
  <r>
    <x v="3"/>
    <x v="0"/>
    <x v="3"/>
    <x v="3"/>
    <x v="0"/>
    <x v="2"/>
    <x v="0"/>
    <x v="0"/>
    <x v="2"/>
    <x v="2"/>
    <x v="17"/>
    <x v="17"/>
    <x v="2"/>
    <x v="2"/>
    <x v="2"/>
    <x v="40"/>
    <x v="40"/>
    <n v="93.988590000000002"/>
    <x v="1"/>
    <x v="2"/>
    <x v="5"/>
    <x v="7"/>
    <x v="11"/>
    <x v="22"/>
    <n v="102.44756310000001"/>
  </r>
  <r>
    <x v="3"/>
    <x v="0"/>
    <x v="3"/>
    <x v="3"/>
    <x v="0"/>
    <x v="2"/>
    <x v="0"/>
    <x v="0"/>
    <x v="2"/>
    <x v="2"/>
    <x v="17"/>
    <x v="17"/>
    <x v="2"/>
    <x v="2"/>
    <x v="2"/>
    <x v="38"/>
    <x v="38"/>
    <n v="34.25"/>
    <x v="1"/>
    <x v="0"/>
    <x v="4"/>
    <x v="6"/>
    <x v="10"/>
    <x v="21"/>
    <n v="37.332500000000003"/>
  </r>
  <r>
    <x v="3"/>
    <x v="0"/>
    <x v="3"/>
    <x v="3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3"/>
    <x v="0"/>
    <x v="3"/>
    <x v="3"/>
    <x v="0"/>
    <x v="2"/>
    <x v="0"/>
    <x v="0"/>
    <x v="2"/>
    <x v="2"/>
    <x v="17"/>
    <x v="17"/>
    <x v="3"/>
    <x v="7"/>
    <x v="7"/>
    <x v="7"/>
    <x v="7"/>
    <n v="308.90939372013003"/>
    <x v="0"/>
    <x v="0"/>
    <x v="1"/>
    <x v="4"/>
    <x v="5"/>
    <x v="7"/>
    <n v="336.71123915494178"/>
  </r>
  <r>
    <x v="3"/>
    <x v="0"/>
    <x v="3"/>
    <x v="3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3"/>
    <x v="0"/>
    <x v="3"/>
    <x v="3"/>
    <x v="0"/>
    <x v="2"/>
    <x v="0"/>
    <x v="0"/>
    <x v="2"/>
    <x v="2"/>
    <x v="17"/>
    <x v="17"/>
    <x v="1"/>
    <x v="8"/>
    <x v="8"/>
    <x v="7"/>
    <x v="7"/>
    <n v="9.5551289196102793"/>
    <x v="0"/>
    <x v="0"/>
    <x v="1"/>
    <x v="4"/>
    <x v="5"/>
    <x v="7"/>
    <n v="10.415090522375205"/>
  </r>
  <r>
    <x v="3"/>
    <x v="0"/>
    <x v="3"/>
    <x v="3"/>
    <x v="0"/>
    <x v="2"/>
    <x v="0"/>
    <x v="0"/>
    <x v="2"/>
    <x v="2"/>
    <x v="17"/>
    <x v="17"/>
    <x v="1"/>
    <x v="8"/>
    <x v="8"/>
    <x v="40"/>
    <x v="40"/>
    <n v="111.92008"/>
    <x v="1"/>
    <x v="2"/>
    <x v="5"/>
    <x v="7"/>
    <x v="11"/>
    <x v="22"/>
    <n v="121.99288720000001"/>
  </r>
  <r>
    <x v="3"/>
    <x v="0"/>
    <x v="3"/>
    <x v="3"/>
    <x v="0"/>
    <x v="2"/>
    <x v="0"/>
    <x v="0"/>
    <x v="2"/>
    <x v="2"/>
    <x v="17"/>
    <x v="17"/>
    <x v="0"/>
    <x v="9"/>
    <x v="9"/>
    <x v="7"/>
    <x v="7"/>
    <n v="235.245602781293"/>
    <x v="0"/>
    <x v="0"/>
    <x v="1"/>
    <x v="4"/>
    <x v="5"/>
    <x v="7"/>
    <n v="256.41770703160938"/>
  </r>
  <r>
    <x v="3"/>
    <x v="0"/>
    <x v="3"/>
    <x v="3"/>
    <x v="0"/>
    <x v="2"/>
    <x v="0"/>
    <x v="0"/>
    <x v="2"/>
    <x v="2"/>
    <x v="17"/>
    <x v="17"/>
    <x v="2"/>
    <x v="10"/>
    <x v="10"/>
    <x v="7"/>
    <x v="7"/>
    <n v="79.5205574892058"/>
    <x v="0"/>
    <x v="0"/>
    <x v="1"/>
    <x v="4"/>
    <x v="5"/>
    <x v="7"/>
    <n v="86.677407663234334"/>
  </r>
  <r>
    <x v="3"/>
    <x v="0"/>
    <x v="3"/>
    <x v="3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3"/>
    <x v="0"/>
    <x v="3"/>
    <x v="3"/>
    <x v="0"/>
    <x v="2"/>
    <x v="0"/>
    <x v="0"/>
    <x v="2"/>
    <x v="2"/>
    <x v="17"/>
    <x v="17"/>
    <x v="4"/>
    <x v="5"/>
    <x v="5"/>
    <x v="7"/>
    <x v="7"/>
    <n v="46.034243901232898"/>
    <x v="0"/>
    <x v="0"/>
    <x v="1"/>
    <x v="4"/>
    <x v="5"/>
    <x v="7"/>
    <n v="50.177325852343863"/>
  </r>
  <r>
    <x v="3"/>
    <x v="0"/>
    <x v="3"/>
    <x v="3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3"/>
    <x v="0"/>
    <x v="3"/>
    <x v="3"/>
    <x v="0"/>
    <x v="2"/>
    <x v="0"/>
    <x v="0"/>
    <x v="2"/>
    <x v="2"/>
    <x v="17"/>
    <x v="17"/>
    <x v="4"/>
    <x v="5"/>
    <x v="5"/>
    <x v="40"/>
    <x v="40"/>
    <n v="1038.5894900000001"/>
    <x v="1"/>
    <x v="2"/>
    <x v="5"/>
    <x v="7"/>
    <x v="11"/>
    <x v="22"/>
    <n v="1132.0625441000002"/>
  </r>
  <r>
    <x v="3"/>
    <x v="0"/>
    <x v="3"/>
    <x v="3"/>
    <x v="0"/>
    <x v="3"/>
    <x v="0"/>
    <x v="0"/>
    <x v="0"/>
    <x v="0"/>
    <x v="0"/>
    <x v="0"/>
    <x v="3"/>
    <x v="3"/>
    <x v="3"/>
    <x v="12"/>
    <x v="12"/>
    <n v="4.55"/>
    <x v="0"/>
    <x v="0"/>
    <x v="0"/>
    <x v="0"/>
    <x v="8"/>
    <x v="12"/>
    <n v="4.9595000000000002"/>
  </r>
  <r>
    <x v="3"/>
    <x v="0"/>
    <x v="3"/>
    <x v="3"/>
    <x v="0"/>
    <x v="3"/>
    <x v="0"/>
    <x v="0"/>
    <x v="0"/>
    <x v="0"/>
    <x v="0"/>
    <x v="0"/>
    <x v="3"/>
    <x v="3"/>
    <x v="3"/>
    <x v="27"/>
    <x v="27"/>
    <n v="0.11286936937175999"/>
    <x v="0"/>
    <x v="0"/>
    <x v="1"/>
    <x v="3"/>
    <x v="3"/>
    <x v="19"/>
    <n v="0.1230276126152184"/>
  </r>
  <r>
    <x v="3"/>
    <x v="0"/>
    <x v="3"/>
    <x v="3"/>
    <x v="0"/>
    <x v="3"/>
    <x v="0"/>
    <x v="0"/>
    <x v="0"/>
    <x v="0"/>
    <x v="0"/>
    <x v="0"/>
    <x v="0"/>
    <x v="4"/>
    <x v="4"/>
    <x v="11"/>
    <x v="11"/>
    <n v="22.145350000000001"/>
    <x v="0"/>
    <x v="0"/>
    <x v="3"/>
    <x v="5"/>
    <x v="7"/>
    <x v="11"/>
    <n v="24.138431500000003"/>
  </r>
  <r>
    <x v="3"/>
    <x v="0"/>
    <x v="3"/>
    <x v="3"/>
    <x v="0"/>
    <x v="3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3"/>
    <x v="0"/>
    <x v="3"/>
    <x v="3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3"/>
    <x v="0"/>
    <x v="3"/>
    <x v="3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3"/>
    <x v="0"/>
    <x v="3"/>
    <x v="3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3"/>
    <x v="0"/>
    <x v="3"/>
    <x v="3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3"/>
    <x v="0"/>
    <x v="3"/>
    <x v="3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3"/>
    <x v="0"/>
    <x v="3"/>
    <x v="3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3"/>
    <x v="0"/>
    <x v="3"/>
    <x v="3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3"/>
    <x v="0"/>
    <x v="3"/>
    <x v="3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3"/>
    <x v="0"/>
    <x v="3"/>
    <x v="3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3"/>
    <x v="0"/>
    <x v="3"/>
    <x v="3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3"/>
    <x v="0"/>
    <x v="3"/>
    <x v="3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3"/>
    <x v="0"/>
    <x v="3"/>
    <x v="3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3"/>
    <x v="0"/>
    <x v="3"/>
    <x v="3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3"/>
    <x v="0"/>
    <x v="3"/>
    <x v="3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3"/>
    <x v="0"/>
    <x v="3"/>
    <x v="3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3"/>
    <x v="0"/>
    <x v="3"/>
    <x v="3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3"/>
    <x v="0"/>
    <x v="3"/>
    <x v="3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3"/>
    <x v="0"/>
    <x v="3"/>
    <x v="3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3"/>
    <x v="0"/>
    <x v="3"/>
    <x v="3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3"/>
    <x v="0"/>
    <x v="3"/>
    <x v="3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3"/>
    <x v="0"/>
    <x v="3"/>
    <x v="3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3"/>
    <x v="0"/>
    <x v="3"/>
    <x v="3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3"/>
    <x v="0"/>
    <x v="3"/>
    <x v="3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3"/>
    <x v="0"/>
    <x v="3"/>
    <x v="3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3"/>
    <x v="0"/>
    <x v="3"/>
    <x v="3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3"/>
    <x v="0"/>
    <x v="3"/>
    <x v="3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3"/>
    <x v="0"/>
    <x v="3"/>
    <x v="3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3"/>
    <x v="0"/>
    <x v="3"/>
    <x v="3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3"/>
    <x v="0"/>
    <x v="3"/>
    <x v="3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3"/>
    <x v="0"/>
    <x v="3"/>
    <x v="3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3"/>
    <x v="0"/>
    <x v="3"/>
    <x v="3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3"/>
    <x v="0"/>
    <x v="3"/>
    <x v="3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3"/>
    <x v="0"/>
    <x v="3"/>
    <x v="3"/>
    <x v="0"/>
    <x v="3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3"/>
    <x v="0"/>
    <x v="3"/>
    <x v="3"/>
    <x v="0"/>
    <x v="3"/>
    <x v="0"/>
    <x v="0"/>
    <x v="0"/>
    <x v="0"/>
    <x v="0"/>
    <x v="0"/>
    <x v="0"/>
    <x v="4"/>
    <x v="4"/>
    <x v="27"/>
    <x v="27"/>
    <n v="64.3470810824452"/>
    <x v="0"/>
    <x v="0"/>
    <x v="1"/>
    <x v="3"/>
    <x v="3"/>
    <x v="19"/>
    <n v="70.138318379865268"/>
  </r>
  <r>
    <x v="3"/>
    <x v="0"/>
    <x v="3"/>
    <x v="3"/>
    <x v="0"/>
    <x v="3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3"/>
    <x v="0"/>
    <x v="3"/>
    <x v="3"/>
    <x v="0"/>
    <x v="3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3"/>
    <x v="0"/>
    <x v="3"/>
    <x v="3"/>
    <x v="0"/>
    <x v="3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3"/>
    <x v="0"/>
    <x v="3"/>
    <x v="3"/>
    <x v="0"/>
    <x v="3"/>
    <x v="0"/>
    <x v="0"/>
    <x v="0"/>
    <x v="0"/>
    <x v="0"/>
    <x v="0"/>
    <x v="2"/>
    <x v="2"/>
    <x v="2"/>
    <x v="12"/>
    <x v="12"/>
    <n v="22.888372092941601"/>
    <x v="0"/>
    <x v="0"/>
    <x v="0"/>
    <x v="0"/>
    <x v="8"/>
    <x v="12"/>
    <n v="24.948325581306346"/>
  </r>
  <r>
    <x v="3"/>
    <x v="0"/>
    <x v="3"/>
    <x v="3"/>
    <x v="0"/>
    <x v="3"/>
    <x v="0"/>
    <x v="0"/>
    <x v="0"/>
    <x v="0"/>
    <x v="0"/>
    <x v="0"/>
    <x v="2"/>
    <x v="2"/>
    <x v="2"/>
    <x v="14"/>
    <x v="14"/>
    <n v="16.7"/>
    <x v="0"/>
    <x v="0"/>
    <x v="0"/>
    <x v="0"/>
    <x v="8"/>
    <x v="14"/>
    <n v="18.202999999999999"/>
  </r>
  <r>
    <x v="3"/>
    <x v="0"/>
    <x v="3"/>
    <x v="3"/>
    <x v="0"/>
    <x v="3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3"/>
    <x v="0"/>
    <x v="3"/>
    <x v="3"/>
    <x v="0"/>
    <x v="3"/>
    <x v="0"/>
    <x v="0"/>
    <x v="0"/>
    <x v="0"/>
    <x v="0"/>
    <x v="0"/>
    <x v="2"/>
    <x v="2"/>
    <x v="2"/>
    <x v="27"/>
    <x v="27"/>
    <n v="111.08997522758"/>
    <x v="0"/>
    <x v="0"/>
    <x v="1"/>
    <x v="3"/>
    <x v="3"/>
    <x v="19"/>
    <n v="121.0880729980622"/>
  </r>
  <r>
    <x v="3"/>
    <x v="0"/>
    <x v="3"/>
    <x v="3"/>
    <x v="0"/>
    <x v="3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3"/>
    <x v="0"/>
    <x v="3"/>
    <x v="3"/>
    <x v="0"/>
    <x v="3"/>
    <x v="0"/>
    <x v="0"/>
    <x v="0"/>
    <x v="0"/>
    <x v="0"/>
    <x v="0"/>
    <x v="1"/>
    <x v="6"/>
    <x v="6"/>
    <x v="12"/>
    <x v="12"/>
    <n v="7.4232558139252802"/>
    <x v="0"/>
    <x v="0"/>
    <x v="0"/>
    <x v="0"/>
    <x v="8"/>
    <x v="12"/>
    <n v="8.0913488371785558"/>
  </r>
  <r>
    <x v="3"/>
    <x v="0"/>
    <x v="3"/>
    <x v="3"/>
    <x v="0"/>
    <x v="3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3"/>
    <x v="0"/>
    <x v="3"/>
    <x v="3"/>
    <x v="0"/>
    <x v="3"/>
    <x v="0"/>
    <x v="0"/>
    <x v="0"/>
    <x v="0"/>
    <x v="0"/>
    <x v="0"/>
    <x v="1"/>
    <x v="6"/>
    <x v="6"/>
    <x v="27"/>
    <x v="27"/>
    <n v="14.173457207507701"/>
    <x v="0"/>
    <x v="0"/>
    <x v="1"/>
    <x v="3"/>
    <x v="3"/>
    <x v="19"/>
    <n v="15.449068356183394"/>
  </r>
  <r>
    <x v="3"/>
    <x v="0"/>
    <x v="3"/>
    <x v="3"/>
    <x v="0"/>
    <x v="3"/>
    <x v="0"/>
    <x v="0"/>
    <x v="0"/>
    <x v="0"/>
    <x v="0"/>
    <x v="0"/>
    <x v="1"/>
    <x v="6"/>
    <x v="6"/>
    <x v="3"/>
    <x v="3"/>
    <n v="16.181493594797001"/>
    <x v="0"/>
    <x v="0"/>
    <x v="1"/>
    <x v="3"/>
    <x v="3"/>
    <x v="3"/>
    <n v="17.637828018328733"/>
  </r>
  <r>
    <x v="3"/>
    <x v="0"/>
    <x v="3"/>
    <x v="3"/>
    <x v="0"/>
    <x v="3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3"/>
    <x v="0"/>
    <x v="3"/>
    <x v="3"/>
    <x v="0"/>
    <x v="3"/>
    <x v="0"/>
    <x v="0"/>
    <x v="0"/>
    <x v="0"/>
    <x v="0"/>
    <x v="0"/>
    <x v="4"/>
    <x v="5"/>
    <x v="5"/>
    <x v="27"/>
    <x v="27"/>
    <n v="32.021385135814"/>
    <x v="0"/>
    <x v="0"/>
    <x v="1"/>
    <x v="3"/>
    <x v="3"/>
    <x v="19"/>
    <n v="34.903309798037263"/>
  </r>
  <r>
    <x v="3"/>
    <x v="0"/>
    <x v="3"/>
    <x v="3"/>
    <x v="0"/>
    <x v="3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3"/>
    <x v="0"/>
    <x v="3"/>
    <x v="3"/>
    <x v="0"/>
    <x v="3"/>
    <x v="0"/>
    <x v="0"/>
    <x v="0"/>
    <x v="0"/>
    <x v="4"/>
    <x v="4"/>
    <x v="2"/>
    <x v="2"/>
    <x v="2"/>
    <x v="27"/>
    <x v="27"/>
    <n v="2.2915540541026398"/>
    <x v="0"/>
    <x v="0"/>
    <x v="1"/>
    <x v="3"/>
    <x v="3"/>
    <x v="19"/>
    <n v="2.4977939189718774"/>
  </r>
  <r>
    <x v="3"/>
    <x v="0"/>
    <x v="3"/>
    <x v="3"/>
    <x v="0"/>
    <x v="5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3"/>
    <x v="0"/>
    <x v="3"/>
    <x v="3"/>
    <x v="0"/>
    <x v="5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3"/>
    <x v="0"/>
    <x v="3"/>
    <x v="3"/>
    <x v="0"/>
    <x v="5"/>
    <x v="0"/>
    <x v="0"/>
    <x v="0"/>
    <x v="0"/>
    <x v="0"/>
    <x v="0"/>
    <x v="2"/>
    <x v="2"/>
    <x v="2"/>
    <x v="11"/>
    <x v="11"/>
    <n v="49.115470000000002"/>
    <x v="0"/>
    <x v="0"/>
    <x v="3"/>
    <x v="5"/>
    <x v="7"/>
    <x v="11"/>
    <n v="53.535862300000005"/>
  </r>
  <r>
    <x v="3"/>
    <x v="0"/>
    <x v="3"/>
    <x v="3"/>
    <x v="0"/>
    <x v="5"/>
    <x v="0"/>
    <x v="0"/>
    <x v="0"/>
    <x v="0"/>
    <x v="0"/>
    <x v="0"/>
    <x v="0"/>
    <x v="9"/>
    <x v="9"/>
    <x v="9"/>
    <x v="9"/>
    <n v="29.2110091742944"/>
    <x v="0"/>
    <x v="0"/>
    <x v="1"/>
    <x v="4"/>
    <x v="5"/>
    <x v="9"/>
    <n v="31.839999999980897"/>
  </r>
  <r>
    <x v="3"/>
    <x v="0"/>
    <x v="3"/>
    <x v="3"/>
    <x v="0"/>
    <x v="5"/>
    <x v="0"/>
    <x v="0"/>
    <x v="0"/>
    <x v="0"/>
    <x v="0"/>
    <x v="0"/>
    <x v="2"/>
    <x v="10"/>
    <x v="10"/>
    <x v="9"/>
    <x v="9"/>
    <n v="4.7302752293549597"/>
    <x v="0"/>
    <x v="0"/>
    <x v="1"/>
    <x v="4"/>
    <x v="5"/>
    <x v="9"/>
    <n v="5.1559999999969062"/>
  </r>
  <r>
    <x v="3"/>
    <x v="0"/>
    <x v="3"/>
    <x v="3"/>
    <x v="0"/>
    <x v="5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3"/>
    <x v="0"/>
    <x v="3"/>
    <x v="3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3"/>
    <x v="0"/>
    <x v="3"/>
    <x v="3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3"/>
    <x v="0"/>
    <x v="3"/>
    <x v="3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3"/>
    <x v="0"/>
    <x v="3"/>
    <x v="3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3"/>
    <x v="0"/>
    <x v="3"/>
    <x v="3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3"/>
    <x v="0"/>
    <x v="3"/>
    <x v="3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3"/>
    <x v="0"/>
    <x v="3"/>
    <x v="3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3"/>
    <x v="0"/>
    <x v="3"/>
    <x v="3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3"/>
    <x v="0"/>
    <x v="3"/>
    <x v="3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3"/>
    <x v="0"/>
    <x v="3"/>
    <x v="3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3"/>
    <x v="0"/>
    <x v="3"/>
    <x v="3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3"/>
    <x v="0"/>
    <x v="3"/>
    <x v="3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3"/>
    <x v="0"/>
    <x v="3"/>
    <x v="3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3"/>
    <x v="0"/>
    <x v="3"/>
    <x v="3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3"/>
    <x v="0"/>
    <x v="3"/>
    <x v="3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3"/>
    <x v="0"/>
    <x v="3"/>
    <x v="3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3"/>
    <x v="0"/>
    <x v="3"/>
    <x v="3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3"/>
    <x v="0"/>
    <x v="3"/>
    <x v="3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3"/>
    <x v="0"/>
    <x v="3"/>
    <x v="3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3"/>
    <x v="0"/>
    <x v="3"/>
    <x v="3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3"/>
    <x v="0"/>
    <x v="3"/>
    <x v="3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3"/>
    <x v="0"/>
    <x v="3"/>
    <x v="3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3"/>
    <x v="0"/>
    <x v="3"/>
    <x v="3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3"/>
    <x v="0"/>
    <x v="3"/>
    <x v="3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3"/>
    <x v="0"/>
    <x v="3"/>
    <x v="3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3"/>
    <x v="0"/>
    <x v="3"/>
    <x v="3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3"/>
    <x v="0"/>
    <x v="3"/>
    <x v="3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3"/>
    <x v="0"/>
    <x v="3"/>
    <x v="3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3"/>
    <x v="0"/>
    <x v="3"/>
    <x v="3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3"/>
    <x v="0"/>
    <x v="3"/>
    <x v="3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3"/>
    <x v="0"/>
    <x v="3"/>
    <x v="3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3"/>
    <x v="0"/>
    <x v="3"/>
    <x v="3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3"/>
    <x v="0"/>
    <x v="3"/>
    <x v="3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3"/>
    <x v="0"/>
    <x v="3"/>
    <x v="3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3"/>
    <x v="0"/>
    <x v="3"/>
    <x v="3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3"/>
    <x v="0"/>
    <x v="3"/>
    <x v="3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3"/>
    <x v="0"/>
    <x v="3"/>
    <x v="3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3"/>
    <x v="0"/>
    <x v="3"/>
    <x v="3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3"/>
    <x v="0"/>
    <x v="3"/>
    <x v="3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3"/>
    <x v="0"/>
    <x v="3"/>
    <x v="3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3"/>
    <x v="0"/>
    <x v="3"/>
    <x v="3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3"/>
    <x v="0"/>
    <x v="3"/>
    <x v="3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3"/>
    <x v="0"/>
    <x v="3"/>
    <x v="3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3"/>
    <x v="0"/>
    <x v="3"/>
    <x v="3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3"/>
    <x v="0"/>
    <x v="3"/>
    <x v="3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3"/>
    <x v="0"/>
    <x v="3"/>
    <x v="3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3"/>
    <x v="0"/>
    <x v="3"/>
    <x v="3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3"/>
    <x v="0"/>
    <x v="3"/>
    <x v="3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3"/>
    <x v="0"/>
    <x v="3"/>
    <x v="3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3"/>
    <x v="0"/>
    <x v="3"/>
    <x v="3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3"/>
    <x v="0"/>
    <x v="3"/>
    <x v="3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3"/>
    <x v="0"/>
    <x v="3"/>
    <x v="3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3"/>
    <x v="0"/>
    <x v="3"/>
    <x v="3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3"/>
    <x v="0"/>
    <x v="3"/>
    <x v="3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3"/>
    <x v="0"/>
    <x v="3"/>
    <x v="3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3"/>
    <x v="0"/>
    <x v="3"/>
    <x v="3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3"/>
    <x v="0"/>
    <x v="3"/>
    <x v="3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3"/>
    <x v="0"/>
    <x v="3"/>
    <x v="3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3"/>
    <x v="0"/>
    <x v="3"/>
    <x v="3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3"/>
    <x v="0"/>
    <x v="3"/>
    <x v="3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3"/>
    <x v="0"/>
    <x v="3"/>
    <x v="3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3"/>
    <x v="0"/>
    <x v="3"/>
    <x v="3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3"/>
    <x v="0"/>
    <x v="3"/>
    <x v="3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3"/>
    <x v="0"/>
    <x v="3"/>
    <x v="3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3"/>
    <x v="0"/>
    <x v="3"/>
    <x v="3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3"/>
    <x v="0"/>
    <x v="3"/>
    <x v="3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3"/>
    <x v="0"/>
    <x v="3"/>
    <x v="3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3"/>
    <x v="0"/>
    <x v="3"/>
    <x v="3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3"/>
    <x v="0"/>
    <x v="3"/>
    <x v="3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3"/>
    <x v="0"/>
    <x v="3"/>
    <x v="3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3"/>
    <x v="0"/>
    <x v="3"/>
    <x v="3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3"/>
    <x v="0"/>
    <x v="3"/>
    <x v="3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3"/>
    <x v="0"/>
    <x v="3"/>
    <x v="3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3"/>
    <x v="0"/>
    <x v="3"/>
    <x v="3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3"/>
    <x v="0"/>
    <x v="3"/>
    <x v="3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3"/>
    <x v="0"/>
    <x v="3"/>
    <x v="3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3"/>
    <x v="0"/>
    <x v="3"/>
    <x v="3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3"/>
    <x v="0"/>
    <x v="3"/>
    <x v="3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3"/>
    <x v="0"/>
    <x v="3"/>
    <x v="3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3"/>
    <x v="0"/>
    <x v="3"/>
    <x v="3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3"/>
    <x v="0"/>
    <x v="3"/>
    <x v="3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3"/>
    <x v="0"/>
    <x v="3"/>
    <x v="3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3"/>
    <x v="0"/>
    <x v="3"/>
    <x v="3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3"/>
    <x v="0"/>
    <x v="3"/>
    <x v="3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3"/>
    <x v="0"/>
    <x v="3"/>
    <x v="3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3"/>
    <x v="0"/>
    <x v="3"/>
    <x v="3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3"/>
    <x v="0"/>
    <x v="3"/>
    <x v="3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3"/>
    <x v="0"/>
    <x v="3"/>
    <x v="3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3"/>
    <x v="0"/>
    <x v="3"/>
    <x v="3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3"/>
    <x v="0"/>
    <x v="3"/>
    <x v="3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3"/>
    <x v="0"/>
    <x v="3"/>
    <x v="3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3"/>
    <x v="0"/>
    <x v="3"/>
    <x v="3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3"/>
    <x v="0"/>
    <x v="3"/>
    <x v="3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3"/>
    <x v="0"/>
    <x v="3"/>
    <x v="3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3"/>
    <x v="0"/>
    <x v="3"/>
    <x v="3"/>
    <x v="0"/>
    <x v="4"/>
    <x v="0"/>
    <x v="0"/>
    <x v="0"/>
    <x v="0"/>
    <x v="0"/>
    <x v="0"/>
    <x v="0"/>
    <x v="0"/>
    <x v="0"/>
    <x v="55"/>
    <x v="55"/>
    <n v="2.0282201834850202"/>
    <x v="0"/>
    <x v="0"/>
    <x v="1"/>
    <x v="3"/>
    <x v="3"/>
    <x v="15"/>
    <n v="2.2107599999986722"/>
  </r>
  <r>
    <x v="3"/>
    <x v="0"/>
    <x v="3"/>
    <x v="3"/>
    <x v="0"/>
    <x v="4"/>
    <x v="0"/>
    <x v="0"/>
    <x v="0"/>
    <x v="0"/>
    <x v="0"/>
    <x v="0"/>
    <x v="0"/>
    <x v="0"/>
    <x v="0"/>
    <x v="11"/>
    <x v="11"/>
    <n v="21.397320000000001"/>
    <x v="0"/>
    <x v="0"/>
    <x v="3"/>
    <x v="5"/>
    <x v="7"/>
    <x v="11"/>
    <n v="23.323078800000001"/>
  </r>
  <r>
    <x v="3"/>
    <x v="0"/>
    <x v="3"/>
    <x v="3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3"/>
    <x v="0"/>
    <x v="3"/>
    <x v="3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3"/>
    <x v="0"/>
    <x v="3"/>
    <x v="3"/>
    <x v="0"/>
    <x v="4"/>
    <x v="0"/>
    <x v="0"/>
    <x v="0"/>
    <x v="0"/>
    <x v="0"/>
    <x v="0"/>
    <x v="0"/>
    <x v="0"/>
    <x v="0"/>
    <x v="36"/>
    <x v="36"/>
    <n v="11.0916"/>
    <x v="0"/>
    <x v="0"/>
    <x v="1"/>
    <x v="3"/>
    <x v="3"/>
    <x v="4"/>
    <n v="12.089844000000001"/>
  </r>
  <r>
    <x v="3"/>
    <x v="0"/>
    <x v="3"/>
    <x v="3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3"/>
    <x v="0"/>
    <x v="3"/>
    <x v="3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3"/>
    <x v="0"/>
    <x v="3"/>
    <x v="3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3"/>
    <x v="0"/>
    <x v="3"/>
    <x v="3"/>
    <x v="0"/>
    <x v="4"/>
    <x v="0"/>
    <x v="0"/>
    <x v="0"/>
    <x v="0"/>
    <x v="0"/>
    <x v="0"/>
    <x v="1"/>
    <x v="1"/>
    <x v="1"/>
    <x v="55"/>
    <x v="55"/>
    <n v="3.9642935779792698"/>
    <x v="0"/>
    <x v="0"/>
    <x v="1"/>
    <x v="3"/>
    <x v="3"/>
    <x v="15"/>
    <n v="4.3210799999974041"/>
  </r>
  <r>
    <x v="3"/>
    <x v="0"/>
    <x v="3"/>
    <x v="3"/>
    <x v="0"/>
    <x v="4"/>
    <x v="0"/>
    <x v="0"/>
    <x v="0"/>
    <x v="0"/>
    <x v="0"/>
    <x v="0"/>
    <x v="1"/>
    <x v="1"/>
    <x v="1"/>
    <x v="11"/>
    <x v="11"/>
    <n v="15.771839999999999"/>
    <x v="0"/>
    <x v="0"/>
    <x v="3"/>
    <x v="5"/>
    <x v="7"/>
    <x v="11"/>
    <n v="17.1913056"/>
  </r>
  <r>
    <x v="3"/>
    <x v="0"/>
    <x v="3"/>
    <x v="3"/>
    <x v="0"/>
    <x v="4"/>
    <x v="0"/>
    <x v="0"/>
    <x v="0"/>
    <x v="0"/>
    <x v="0"/>
    <x v="0"/>
    <x v="1"/>
    <x v="1"/>
    <x v="1"/>
    <x v="16"/>
    <x v="16"/>
    <n v="0.51"/>
    <x v="0"/>
    <x v="0"/>
    <x v="3"/>
    <x v="5"/>
    <x v="9"/>
    <x v="16"/>
    <n v="0.55590000000000006"/>
  </r>
  <r>
    <x v="3"/>
    <x v="0"/>
    <x v="3"/>
    <x v="3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3"/>
    <x v="0"/>
    <x v="3"/>
    <x v="3"/>
    <x v="0"/>
    <x v="4"/>
    <x v="0"/>
    <x v="0"/>
    <x v="0"/>
    <x v="0"/>
    <x v="0"/>
    <x v="0"/>
    <x v="1"/>
    <x v="1"/>
    <x v="1"/>
    <x v="36"/>
    <x v="36"/>
    <n v="5.4064800000000002"/>
    <x v="0"/>
    <x v="0"/>
    <x v="1"/>
    <x v="3"/>
    <x v="3"/>
    <x v="4"/>
    <n v="5.8930632000000003"/>
  </r>
  <r>
    <x v="3"/>
    <x v="0"/>
    <x v="3"/>
    <x v="3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3"/>
    <x v="0"/>
    <x v="3"/>
    <x v="3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3"/>
    <x v="0"/>
    <x v="3"/>
    <x v="3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3"/>
    <x v="0"/>
    <x v="3"/>
    <x v="3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3"/>
    <x v="0"/>
    <x v="3"/>
    <x v="3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3"/>
    <x v="0"/>
    <x v="3"/>
    <x v="3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3"/>
    <x v="0"/>
    <x v="3"/>
    <x v="3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3"/>
    <x v="0"/>
    <x v="3"/>
    <x v="3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3"/>
    <x v="0"/>
    <x v="3"/>
    <x v="3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3"/>
    <x v="0"/>
    <x v="3"/>
    <x v="3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3"/>
    <x v="0"/>
    <x v="3"/>
    <x v="3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3"/>
    <x v="0"/>
    <x v="3"/>
    <x v="3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3"/>
    <x v="0"/>
    <x v="3"/>
    <x v="3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3"/>
    <x v="0"/>
    <x v="3"/>
    <x v="3"/>
    <x v="0"/>
    <x v="4"/>
    <x v="0"/>
    <x v="0"/>
    <x v="0"/>
    <x v="0"/>
    <x v="0"/>
    <x v="0"/>
    <x v="4"/>
    <x v="5"/>
    <x v="5"/>
    <x v="55"/>
    <x v="55"/>
    <n v="10.304587155957099"/>
    <x v="0"/>
    <x v="0"/>
    <x v="1"/>
    <x v="3"/>
    <x v="3"/>
    <x v="15"/>
    <n v="11.231999999993239"/>
  </r>
  <r>
    <x v="3"/>
    <x v="0"/>
    <x v="3"/>
    <x v="3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3"/>
    <x v="0"/>
    <x v="3"/>
    <x v="3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3"/>
    <x v="0"/>
    <x v="3"/>
    <x v="3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3"/>
    <x v="0"/>
    <x v="3"/>
    <x v="3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3"/>
    <x v="0"/>
    <x v="3"/>
    <x v="3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3"/>
    <x v="0"/>
    <x v="3"/>
    <x v="3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3"/>
    <x v="0"/>
    <x v="3"/>
    <x v="3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3"/>
    <x v="0"/>
    <x v="3"/>
    <x v="3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3"/>
    <x v="0"/>
    <x v="3"/>
    <x v="3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3"/>
    <x v="0"/>
    <x v="3"/>
    <x v="3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3"/>
    <x v="0"/>
    <x v="3"/>
    <x v="3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3"/>
    <x v="0"/>
    <x v="3"/>
    <x v="3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3"/>
    <x v="0"/>
    <x v="3"/>
    <x v="3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3"/>
    <x v="0"/>
    <x v="3"/>
    <x v="3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3"/>
    <x v="0"/>
    <x v="3"/>
    <x v="3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3"/>
    <x v="0"/>
    <x v="3"/>
    <x v="3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3"/>
    <x v="0"/>
    <x v="3"/>
    <x v="3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3"/>
    <x v="0"/>
    <x v="3"/>
    <x v="3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3"/>
    <x v="0"/>
    <x v="3"/>
    <x v="3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3"/>
    <x v="0"/>
    <x v="3"/>
    <x v="3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3"/>
    <x v="0"/>
    <x v="3"/>
    <x v="3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3"/>
    <x v="0"/>
    <x v="3"/>
    <x v="3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3"/>
    <x v="0"/>
    <x v="3"/>
    <x v="3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3"/>
    <x v="0"/>
    <x v="3"/>
    <x v="3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3"/>
    <x v="0"/>
    <x v="3"/>
    <x v="3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3"/>
    <x v="0"/>
    <x v="3"/>
    <x v="3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3"/>
    <x v="0"/>
    <x v="3"/>
    <x v="3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3"/>
    <x v="0"/>
    <x v="3"/>
    <x v="3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3"/>
    <x v="0"/>
    <x v="3"/>
    <x v="3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3"/>
    <x v="0"/>
    <x v="3"/>
    <x v="3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3"/>
    <x v="0"/>
    <x v="3"/>
    <x v="3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3"/>
    <x v="0"/>
    <x v="3"/>
    <x v="3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3"/>
    <x v="0"/>
    <x v="3"/>
    <x v="3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3"/>
    <x v="0"/>
    <x v="3"/>
    <x v="3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3"/>
    <x v="0"/>
    <x v="3"/>
    <x v="3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3"/>
    <x v="0"/>
    <x v="3"/>
    <x v="3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3"/>
    <x v="0"/>
    <x v="3"/>
    <x v="3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3"/>
    <x v="0"/>
    <x v="3"/>
    <x v="3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3"/>
    <x v="0"/>
    <x v="3"/>
    <x v="3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3"/>
    <x v="0"/>
    <x v="3"/>
    <x v="3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3"/>
    <x v="0"/>
    <x v="3"/>
    <x v="3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3"/>
    <x v="0"/>
    <x v="3"/>
    <x v="3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3"/>
    <x v="0"/>
    <x v="3"/>
    <x v="3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3"/>
    <x v="0"/>
    <x v="3"/>
    <x v="3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3"/>
    <x v="0"/>
    <x v="3"/>
    <x v="3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3"/>
    <x v="0"/>
    <x v="3"/>
    <x v="3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3"/>
    <x v="0"/>
    <x v="3"/>
    <x v="3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3"/>
    <x v="0"/>
    <x v="3"/>
    <x v="3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3"/>
    <x v="0"/>
    <x v="3"/>
    <x v="3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3"/>
    <x v="0"/>
    <x v="3"/>
    <x v="3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3"/>
    <x v="0"/>
    <x v="3"/>
    <x v="3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3"/>
    <x v="0"/>
    <x v="3"/>
    <x v="3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3"/>
    <x v="0"/>
    <x v="3"/>
    <x v="3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3"/>
    <x v="0"/>
    <x v="3"/>
    <x v="3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3"/>
    <x v="0"/>
    <x v="3"/>
    <x v="3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3"/>
    <x v="0"/>
    <x v="3"/>
    <x v="3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3"/>
    <x v="0"/>
    <x v="3"/>
    <x v="3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3"/>
    <x v="0"/>
    <x v="3"/>
    <x v="3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3"/>
    <x v="0"/>
    <x v="3"/>
    <x v="3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3"/>
    <x v="0"/>
    <x v="3"/>
    <x v="3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3"/>
    <x v="0"/>
    <x v="3"/>
    <x v="3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3"/>
    <x v="0"/>
    <x v="3"/>
    <x v="3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3"/>
    <x v="0"/>
    <x v="3"/>
    <x v="3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3"/>
    <x v="0"/>
    <x v="3"/>
    <x v="3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3"/>
    <x v="0"/>
    <x v="3"/>
    <x v="3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3"/>
    <x v="0"/>
    <x v="3"/>
    <x v="3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3"/>
    <x v="0"/>
    <x v="3"/>
    <x v="3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3"/>
    <x v="0"/>
    <x v="3"/>
    <x v="3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3"/>
    <x v="0"/>
    <x v="3"/>
    <x v="3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3"/>
    <x v="0"/>
    <x v="3"/>
    <x v="3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3"/>
    <x v="0"/>
    <x v="3"/>
    <x v="3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3"/>
    <x v="0"/>
    <x v="3"/>
    <x v="3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3"/>
    <x v="0"/>
    <x v="3"/>
    <x v="3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3"/>
    <x v="0"/>
    <x v="3"/>
    <x v="3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3"/>
    <x v="0"/>
    <x v="3"/>
    <x v="3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3"/>
    <x v="0"/>
    <x v="3"/>
    <x v="3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3"/>
    <x v="0"/>
    <x v="3"/>
    <x v="3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3"/>
    <x v="0"/>
    <x v="3"/>
    <x v="3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3"/>
    <x v="0"/>
    <x v="3"/>
    <x v="3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3"/>
    <x v="0"/>
    <x v="3"/>
    <x v="3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3"/>
    <x v="0"/>
    <x v="3"/>
    <x v="3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3"/>
    <x v="0"/>
    <x v="3"/>
    <x v="3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3"/>
    <x v="0"/>
    <x v="3"/>
    <x v="3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3"/>
    <x v="0"/>
    <x v="3"/>
    <x v="3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3"/>
    <x v="0"/>
    <x v="3"/>
    <x v="3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3"/>
    <x v="0"/>
    <x v="3"/>
    <x v="3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3"/>
    <x v="0"/>
    <x v="3"/>
    <x v="3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3"/>
    <x v="0"/>
    <x v="3"/>
    <x v="3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3"/>
    <x v="0"/>
    <x v="3"/>
    <x v="3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3"/>
    <x v="0"/>
    <x v="3"/>
    <x v="3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3"/>
    <x v="0"/>
    <x v="3"/>
    <x v="3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3"/>
    <x v="0"/>
    <x v="3"/>
    <x v="3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3"/>
    <x v="0"/>
    <x v="3"/>
    <x v="3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3"/>
    <x v="0"/>
    <x v="3"/>
    <x v="3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3"/>
    <x v="0"/>
    <x v="3"/>
    <x v="3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3"/>
    <x v="0"/>
    <x v="3"/>
    <x v="3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3"/>
    <x v="0"/>
    <x v="3"/>
    <x v="3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3"/>
    <x v="0"/>
    <x v="3"/>
    <x v="3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3"/>
    <x v="0"/>
    <x v="3"/>
    <x v="3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3"/>
    <x v="0"/>
    <x v="3"/>
    <x v="3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3"/>
    <x v="0"/>
    <x v="3"/>
    <x v="3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3"/>
    <x v="0"/>
    <x v="3"/>
    <x v="3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3"/>
    <x v="0"/>
    <x v="3"/>
    <x v="3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3"/>
    <x v="0"/>
    <x v="3"/>
    <x v="3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3"/>
    <x v="0"/>
    <x v="3"/>
    <x v="3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3"/>
    <x v="0"/>
    <x v="3"/>
    <x v="3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3"/>
    <x v="0"/>
    <x v="3"/>
    <x v="3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3"/>
    <x v="0"/>
    <x v="3"/>
    <x v="3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3"/>
    <x v="0"/>
    <x v="3"/>
    <x v="3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3"/>
    <x v="0"/>
    <x v="3"/>
    <x v="3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3"/>
    <x v="0"/>
    <x v="3"/>
    <x v="3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3"/>
    <x v="0"/>
    <x v="3"/>
    <x v="3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3"/>
    <x v="0"/>
    <x v="3"/>
    <x v="3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3"/>
    <x v="0"/>
    <x v="3"/>
    <x v="3"/>
    <x v="1"/>
    <x v="6"/>
    <x v="0"/>
    <x v="0"/>
    <x v="0"/>
    <x v="0"/>
    <x v="2"/>
    <x v="2"/>
    <x v="2"/>
    <x v="2"/>
    <x v="2"/>
    <x v="10"/>
    <x v="10"/>
    <n v="4.3183610485849604"/>
    <x v="0"/>
    <x v="0"/>
    <x v="1"/>
    <x v="4"/>
    <x v="5"/>
    <x v="10"/>
    <n v="4.7070135429576068"/>
  </r>
  <r>
    <x v="3"/>
    <x v="0"/>
    <x v="3"/>
    <x v="3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3"/>
    <x v="0"/>
    <x v="3"/>
    <x v="3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3"/>
    <x v="0"/>
    <x v="3"/>
    <x v="3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3"/>
    <x v="0"/>
    <x v="3"/>
    <x v="3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3"/>
    <x v="0"/>
    <x v="3"/>
    <x v="3"/>
    <x v="1"/>
    <x v="6"/>
    <x v="0"/>
    <x v="0"/>
    <x v="0"/>
    <x v="0"/>
    <x v="0"/>
    <x v="0"/>
    <x v="0"/>
    <x v="4"/>
    <x v="4"/>
    <x v="9"/>
    <x v="9"/>
    <n v="39.578553462688397"/>
    <x v="0"/>
    <x v="0"/>
    <x v="1"/>
    <x v="4"/>
    <x v="5"/>
    <x v="9"/>
    <n v="43.140623274330359"/>
  </r>
  <r>
    <x v="3"/>
    <x v="0"/>
    <x v="3"/>
    <x v="3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3"/>
    <x v="0"/>
    <x v="3"/>
    <x v="3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3"/>
    <x v="0"/>
    <x v="3"/>
    <x v="3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3"/>
    <x v="0"/>
    <x v="3"/>
    <x v="3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3"/>
    <x v="0"/>
    <x v="3"/>
    <x v="3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3"/>
    <x v="0"/>
    <x v="3"/>
    <x v="3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3"/>
    <x v="0"/>
    <x v="3"/>
    <x v="3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3"/>
    <x v="0"/>
    <x v="3"/>
    <x v="3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3"/>
    <x v="0"/>
    <x v="3"/>
    <x v="3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3"/>
    <x v="0"/>
    <x v="3"/>
    <x v="3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3"/>
    <x v="0"/>
    <x v="3"/>
    <x v="3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3"/>
    <x v="0"/>
    <x v="3"/>
    <x v="3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3"/>
    <x v="0"/>
    <x v="3"/>
    <x v="3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3"/>
    <x v="0"/>
    <x v="3"/>
    <x v="3"/>
    <x v="1"/>
    <x v="6"/>
    <x v="0"/>
    <x v="0"/>
    <x v="0"/>
    <x v="0"/>
    <x v="0"/>
    <x v="0"/>
    <x v="0"/>
    <x v="0"/>
    <x v="0"/>
    <x v="2"/>
    <x v="2"/>
    <n v="797.76594495364998"/>
    <x v="0"/>
    <x v="1"/>
    <x v="2"/>
    <x v="2"/>
    <x v="13"/>
    <x v="2"/>
    <n v="869.56487999947853"/>
  </r>
  <r>
    <x v="3"/>
    <x v="0"/>
    <x v="3"/>
    <x v="3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3"/>
    <x v="0"/>
    <x v="3"/>
    <x v="3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3"/>
    <x v="0"/>
    <x v="3"/>
    <x v="3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3"/>
    <x v="0"/>
    <x v="3"/>
    <x v="3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3"/>
    <x v="0"/>
    <x v="3"/>
    <x v="3"/>
    <x v="1"/>
    <x v="6"/>
    <x v="0"/>
    <x v="0"/>
    <x v="0"/>
    <x v="0"/>
    <x v="0"/>
    <x v="0"/>
    <x v="2"/>
    <x v="2"/>
    <x v="2"/>
    <x v="4"/>
    <x v="4"/>
    <n v="0.30825688073376001"/>
    <x v="0"/>
    <x v="0"/>
    <x v="1"/>
    <x v="3"/>
    <x v="3"/>
    <x v="4"/>
    <n v="0.33599999999979846"/>
  </r>
  <r>
    <x v="3"/>
    <x v="0"/>
    <x v="3"/>
    <x v="3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3"/>
    <x v="0"/>
    <x v="3"/>
    <x v="3"/>
    <x v="1"/>
    <x v="6"/>
    <x v="0"/>
    <x v="0"/>
    <x v="0"/>
    <x v="0"/>
    <x v="0"/>
    <x v="0"/>
    <x v="2"/>
    <x v="2"/>
    <x v="2"/>
    <x v="5"/>
    <x v="5"/>
    <n v="16.423950920370199"/>
    <x v="0"/>
    <x v="0"/>
    <x v="1"/>
    <x v="1"/>
    <x v="1"/>
    <x v="5"/>
    <n v="17.90210650320352"/>
  </r>
  <r>
    <x v="3"/>
    <x v="0"/>
    <x v="3"/>
    <x v="3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3"/>
    <x v="0"/>
    <x v="3"/>
    <x v="3"/>
    <x v="1"/>
    <x v="6"/>
    <x v="0"/>
    <x v="0"/>
    <x v="0"/>
    <x v="0"/>
    <x v="0"/>
    <x v="0"/>
    <x v="2"/>
    <x v="2"/>
    <x v="2"/>
    <x v="8"/>
    <x v="8"/>
    <n v="11.050398648719399"/>
    <x v="0"/>
    <x v="1"/>
    <x v="2"/>
    <x v="2"/>
    <x v="6"/>
    <x v="8"/>
    <n v="12.044934527104147"/>
  </r>
  <r>
    <x v="3"/>
    <x v="0"/>
    <x v="3"/>
    <x v="3"/>
    <x v="1"/>
    <x v="6"/>
    <x v="0"/>
    <x v="0"/>
    <x v="0"/>
    <x v="0"/>
    <x v="0"/>
    <x v="0"/>
    <x v="2"/>
    <x v="2"/>
    <x v="2"/>
    <x v="9"/>
    <x v="9"/>
    <n v="148.492752254132"/>
    <x v="0"/>
    <x v="0"/>
    <x v="1"/>
    <x v="4"/>
    <x v="5"/>
    <x v="9"/>
    <n v="161.8570999570039"/>
  </r>
  <r>
    <x v="3"/>
    <x v="0"/>
    <x v="3"/>
    <x v="3"/>
    <x v="1"/>
    <x v="6"/>
    <x v="0"/>
    <x v="0"/>
    <x v="0"/>
    <x v="0"/>
    <x v="0"/>
    <x v="0"/>
    <x v="2"/>
    <x v="2"/>
    <x v="2"/>
    <x v="10"/>
    <x v="10"/>
    <n v="30.336867695574401"/>
    <x v="0"/>
    <x v="0"/>
    <x v="1"/>
    <x v="4"/>
    <x v="5"/>
    <x v="10"/>
    <n v="33.067185788176097"/>
  </r>
  <r>
    <x v="3"/>
    <x v="0"/>
    <x v="3"/>
    <x v="3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3"/>
    <x v="0"/>
    <x v="3"/>
    <x v="3"/>
    <x v="1"/>
    <x v="6"/>
    <x v="0"/>
    <x v="0"/>
    <x v="0"/>
    <x v="0"/>
    <x v="0"/>
    <x v="0"/>
    <x v="2"/>
    <x v="2"/>
    <x v="2"/>
    <x v="80"/>
    <x v="80"/>
    <n v="31.5062110091554"/>
    <x v="0"/>
    <x v="0"/>
    <x v="1"/>
    <x v="4"/>
    <x v="5"/>
    <x v="10"/>
    <n v="34.341769999979391"/>
  </r>
  <r>
    <x v="3"/>
    <x v="0"/>
    <x v="3"/>
    <x v="3"/>
    <x v="1"/>
    <x v="6"/>
    <x v="0"/>
    <x v="0"/>
    <x v="0"/>
    <x v="0"/>
    <x v="0"/>
    <x v="0"/>
    <x v="2"/>
    <x v="2"/>
    <x v="2"/>
    <x v="31"/>
    <x v="31"/>
    <n v="12.754889908249201"/>
    <x v="0"/>
    <x v="0"/>
    <x v="1"/>
    <x v="4"/>
    <x v="5"/>
    <x v="10"/>
    <n v="13.90282999999163"/>
  </r>
  <r>
    <x v="3"/>
    <x v="0"/>
    <x v="3"/>
    <x v="3"/>
    <x v="1"/>
    <x v="6"/>
    <x v="0"/>
    <x v="0"/>
    <x v="0"/>
    <x v="0"/>
    <x v="0"/>
    <x v="0"/>
    <x v="2"/>
    <x v="2"/>
    <x v="2"/>
    <x v="11"/>
    <x v="11"/>
    <n v="0.63"/>
    <x v="0"/>
    <x v="0"/>
    <x v="3"/>
    <x v="5"/>
    <x v="7"/>
    <x v="11"/>
    <n v="0.68670000000000009"/>
  </r>
  <r>
    <x v="3"/>
    <x v="0"/>
    <x v="3"/>
    <x v="3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3"/>
    <x v="0"/>
    <x v="3"/>
    <x v="3"/>
    <x v="1"/>
    <x v="6"/>
    <x v="0"/>
    <x v="0"/>
    <x v="0"/>
    <x v="0"/>
    <x v="0"/>
    <x v="0"/>
    <x v="2"/>
    <x v="2"/>
    <x v="2"/>
    <x v="12"/>
    <x v="12"/>
    <n v="3.3601511627779299"/>
    <x v="0"/>
    <x v="0"/>
    <x v="0"/>
    <x v="0"/>
    <x v="8"/>
    <x v="12"/>
    <n v="3.662564767427944"/>
  </r>
  <r>
    <x v="3"/>
    <x v="0"/>
    <x v="3"/>
    <x v="3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3"/>
    <x v="0"/>
    <x v="3"/>
    <x v="3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3"/>
    <x v="0"/>
    <x v="3"/>
    <x v="3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3"/>
    <x v="0"/>
    <x v="3"/>
    <x v="3"/>
    <x v="1"/>
    <x v="6"/>
    <x v="0"/>
    <x v="0"/>
    <x v="0"/>
    <x v="0"/>
    <x v="0"/>
    <x v="0"/>
    <x v="2"/>
    <x v="2"/>
    <x v="2"/>
    <x v="27"/>
    <x v="27"/>
    <n v="4.3686351352277502"/>
    <x v="0"/>
    <x v="0"/>
    <x v="1"/>
    <x v="3"/>
    <x v="3"/>
    <x v="19"/>
    <n v="4.7618122973982482"/>
  </r>
  <r>
    <x v="3"/>
    <x v="0"/>
    <x v="3"/>
    <x v="3"/>
    <x v="1"/>
    <x v="6"/>
    <x v="0"/>
    <x v="0"/>
    <x v="0"/>
    <x v="0"/>
    <x v="0"/>
    <x v="0"/>
    <x v="2"/>
    <x v="2"/>
    <x v="2"/>
    <x v="78"/>
    <x v="78"/>
    <n v="4.0425963302727999"/>
    <x v="0"/>
    <x v="0"/>
    <x v="1"/>
    <x v="4"/>
    <x v="5"/>
    <x v="9"/>
    <n v="4.4064299999973517"/>
  </r>
  <r>
    <x v="3"/>
    <x v="0"/>
    <x v="3"/>
    <x v="3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3"/>
    <x v="0"/>
    <x v="3"/>
    <x v="3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3"/>
    <x v="0"/>
    <x v="3"/>
    <x v="3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3"/>
    <x v="0"/>
    <x v="3"/>
    <x v="3"/>
    <x v="1"/>
    <x v="6"/>
    <x v="0"/>
    <x v="0"/>
    <x v="0"/>
    <x v="0"/>
    <x v="0"/>
    <x v="0"/>
    <x v="2"/>
    <x v="2"/>
    <x v="2"/>
    <x v="1"/>
    <x v="1"/>
    <n v="4.88505517238693"/>
    <x v="0"/>
    <x v="0"/>
    <x v="1"/>
    <x v="1"/>
    <x v="1"/>
    <x v="1"/>
    <n v="5.3247101379017545"/>
  </r>
  <r>
    <x v="3"/>
    <x v="0"/>
    <x v="3"/>
    <x v="3"/>
    <x v="1"/>
    <x v="6"/>
    <x v="0"/>
    <x v="0"/>
    <x v="0"/>
    <x v="0"/>
    <x v="0"/>
    <x v="0"/>
    <x v="2"/>
    <x v="2"/>
    <x v="2"/>
    <x v="2"/>
    <x v="2"/>
    <n v="109.180293577916"/>
    <x v="0"/>
    <x v="1"/>
    <x v="2"/>
    <x v="2"/>
    <x v="13"/>
    <x v="2"/>
    <n v="119.00651999992846"/>
  </r>
  <r>
    <x v="3"/>
    <x v="0"/>
    <x v="3"/>
    <x v="3"/>
    <x v="1"/>
    <x v="6"/>
    <x v="0"/>
    <x v="0"/>
    <x v="0"/>
    <x v="0"/>
    <x v="0"/>
    <x v="0"/>
    <x v="1"/>
    <x v="6"/>
    <x v="6"/>
    <x v="9"/>
    <x v="9"/>
    <n v="50.261667792637702"/>
    <x v="0"/>
    <x v="0"/>
    <x v="1"/>
    <x v="4"/>
    <x v="5"/>
    <x v="9"/>
    <n v="54.785217893975101"/>
  </r>
  <r>
    <x v="3"/>
    <x v="0"/>
    <x v="3"/>
    <x v="3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3"/>
    <x v="0"/>
    <x v="3"/>
    <x v="3"/>
    <x v="1"/>
    <x v="6"/>
    <x v="0"/>
    <x v="0"/>
    <x v="0"/>
    <x v="0"/>
    <x v="0"/>
    <x v="0"/>
    <x v="1"/>
    <x v="6"/>
    <x v="6"/>
    <x v="31"/>
    <x v="31"/>
    <n v="0.12286238532103"/>
    <x v="0"/>
    <x v="0"/>
    <x v="1"/>
    <x v="4"/>
    <x v="5"/>
    <x v="10"/>
    <n v="0.13391999999992271"/>
  </r>
  <r>
    <x v="3"/>
    <x v="0"/>
    <x v="3"/>
    <x v="3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3"/>
    <x v="0"/>
    <x v="3"/>
    <x v="3"/>
    <x v="1"/>
    <x v="6"/>
    <x v="0"/>
    <x v="0"/>
    <x v="0"/>
    <x v="0"/>
    <x v="0"/>
    <x v="0"/>
    <x v="1"/>
    <x v="6"/>
    <x v="6"/>
    <x v="21"/>
    <x v="21"/>
    <n v="492.34284403640203"/>
    <x v="0"/>
    <x v="0"/>
    <x v="1"/>
    <x v="4"/>
    <x v="5"/>
    <x v="10"/>
    <n v="536.65369999967822"/>
  </r>
  <r>
    <x v="3"/>
    <x v="0"/>
    <x v="3"/>
    <x v="3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3"/>
    <x v="0"/>
    <x v="3"/>
    <x v="3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3"/>
    <x v="0"/>
    <x v="3"/>
    <x v="3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3"/>
    <x v="0"/>
    <x v="3"/>
    <x v="3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3"/>
    <x v="0"/>
    <x v="3"/>
    <x v="3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3"/>
    <x v="0"/>
    <x v="3"/>
    <x v="3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3"/>
    <x v="0"/>
    <x v="3"/>
    <x v="3"/>
    <x v="1"/>
    <x v="6"/>
    <x v="0"/>
    <x v="0"/>
    <x v="0"/>
    <x v="0"/>
    <x v="0"/>
    <x v="0"/>
    <x v="3"/>
    <x v="7"/>
    <x v="7"/>
    <x v="9"/>
    <x v="9"/>
    <n v="0.22204890174707001"/>
    <x v="0"/>
    <x v="0"/>
    <x v="1"/>
    <x v="4"/>
    <x v="5"/>
    <x v="9"/>
    <n v="0.24203330290430633"/>
  </r>
  <r>
    <x v="3"/>
    <x v="0"/>
    <x v="3"/>
    <x v="3"/>
    <x v="1"/>
    <x v="6"/>
    <x v="0"/>
    <x v="0"/>
    <x v="0"/>
    <x v="0"/>
    <x v="0"/>
    <x v="0"/>
    <x v="3"/>
    <x v="7"/>
    <x v="7"/>
    <x v="10"/>
    <x v="10"/>
    <n v="37.346995782982397"/>
    <x v="0"/>
    <x v="0"/>
    <x v="1"/>
    <x v="4"/>
    <x v="5"/>
    <x v="10"/>
    <n v="40.708225403450818"/>
  </r>
  <r>
    <x v="3"/>
    <x v="0"/>
    <x v="3"/>
    <x v="3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3"/>
    <x v="0"/>
    <x v="3"/>
    <x v="3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3"/>
    <x v="0"/>
    <x v="3"/>
    <x v="3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3"/>
    <x v="0"/>
    <x v="3"/>
    <x v="3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3"/>
    <x v="0"/>
    <x v="3"/>
    <x v="3"/>
    <x v="1"/>
    <x v="6"/>
    <x v="0"/>
    <x v="0"/>
    <x v="0"/>
    <x v="0"/>
    <x v="0"/>
    <x v="0"/>
    <x v="1"/>
    <x v="8"/>
    <x v="8"/>
    <x v="9"/>
    <x v="9"/>
    <n v="36.066186553892798"/>
    <x v="0"/>
    <x v="0"/>
    <x v="1"/>
    <x v="4"/>
    <x v="5"/>
    <x v="9"/>
    <n v="39.312143343743152"/>
  </r>
  <r>
    <x v="3"/>
    <x v="0"/>
    <x v="3"/>
    <x v="3"/>
    <x v="1"/>
    <x v="6"/>
    <x v="0"/>
    <x v="0"/>
    <x v="0"/>
    <x v="0"/>
    <x v="0"/>
    <x v="0"/>
    <x v="1"/>
    <x v="8"/>
    <x v="8"/>
    <x v="10"/>
    <x v="10"/>
    <n v="21.698080607420199"/>
    <x v="0"/>
    <x v="0"/>
    <x v="1"/>
    <x v="4"/>
    <x v="5"/>
    <x v="10"/>
    <n v="23.650907862088019"/>
  </r>
  <r>
    <x v="3"/>
    <x v="0"/>
    <x v="3"/>
    <x v="3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3"/>
    <x v="0"/>
    <x v="3"/>
    <x v="3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3"/>
    <x v="0"/>
    <x v="3"/>
    <x v="3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3"/>
    <x v="0"/>
    <x v="3"/>
    <x v="3"/>
    <x v="1"/>
    <x v="6"/>
    <x v="0"/>
    <x v="0"/>
    <x v="0"/>
    <x v="0"/>
    <x v="0"/>
    <x v="0"/>
    <x v="0"/>
    <x v="9"/>
    <x v="9"/>
    <x v="9"/>
    <x v="9"/>
    <n v="86.782568686974699"/>
    <x v="0"/>
    <x v="0"/>
    <x v="1"/>
    <x v="4"/>
    <x v="5"/>
    <x v="9"/>
    <n v="94.592999868802423"/>
  </r>
  <r>
    <x v="3"/>
    <x v="0"/>
    <x v="3"/>
    <x v="3"/>
    <x v="1"/>
    <x v="6"/>
    <x v="0"/>
    <x v="0"/>
    <x v="0"/>
    <x v="0"/>
    <x v="0"/>
    <x v="0"/>
    <x v="0"/>
    <x v="9"/>
    <x v="9"/>
    <x v="10"/>
    <x v="10"/>
    <n v="329.31309845628903"/>
    <x v="0"/>
    <x v="0"/>
    <x v="1"/>
    <x v="4"/>
    <x v="5"/>
    <x v="10"/>
    <n v="358.95127731735505"/>
  </r>
  <r>
    <x v="3"/>
    <x v="0"/>
    <x v="3"/>
    <x v="3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3"/>
    <x v="0"/>
    <x v="3"/>
    <x v="3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3"/>
    <x v="0"/>
    <x v="3"/>
    <x v="3"/>
    <x v="1"/>
    <x v="6"/>
    <x v="0"/>
    <x v="0"/>
    <x v="0"/>
    <x v="0"/>
    <x v="0"/>
    <x v="0"/>
    <x v="0"/>
    <x v="9"/>
    <x v="9"/>
    <x v="21"/>
    <x v="21"/>
    <n v="56.7799724770301"/>
    <x v="0"/>
    <x v="0"/>
    <x v="1"/>
    <x v="4"/>
    <x v="5"/>
    <x v="10"/>
    <n v="61.890169999962815"/>
  </r>
  <r>
    <x v="3"/>
    <x v="0"/>
    <x v="3"/>
    <x v="3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3"/>
    <x v="0"/>
    <x v="3"/>
    <x v="3"/>
    <x v="1"/>
    <x v="6"/>
    <x v="0"/>
    <x v="0"/>
    <x v="0"/>
    <x v="0"/>
    <x v="0"/>
    <x v="0"/>
    <x v="2"/>
    <x v="10"/>
    <x v="10"/>
    <x v="9"/>
    <x v="9"/>
    <n v="29.219265410039"/>
    <x v="0"/>
    <x v="0"/>
    <x v="1"/>
    <x v="4"/>
    <x v="5"/>
    <x v="9"/>
    <n v="31.848999296942512"/>
  </r>
  <r>
    <x v="3"/>
    <x v="0"/>
    <x v="3"/>
    <x v="3"/>
    <x v="1"/>
    <x v="6"/>
    <x v="0"/>
    <x v="0"/>
    <x v="0"/>
    <x v="0"/>
    <x v="0"/>
    <x v="0"/>
    <x v="2"/>
    <x v="10"/>
    <x v="10"/>
    <x v="10"/>
    <x v="10"/>
    <n v="37.2181300647635"/>
    <x v="0"/>
    <x v="0"/>
    <x v="1"/>
    <x v="4"/>
    <x v="5"/>
    <x v="10"/>
    <n v="40.56776177059222"/>
  </r>
  <r>
    <x v="3"/>
    <x v="0"/>
    <x v="3"/>
    <x v="3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3"/>
    <x v="0"/>
    <x v="3"/>
    <x v="3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3"/>
    <x v="0"/>
    <x v="3"/>
    <x v="3"/>
    <x v="1"/>
    <x v="6"/>
    <x v="0"/>
    <x v="0"/>
    <x v="0"/>
    <x v="0"/>
    <x v="0"/>
    <x v="0"/>
    <x v="2"/>
    <x v="10"/>
    <x v="10"/>
    <x v="21"/>
    <x v="21"/>
    <n v="20.047495412831999"/>
    <x v="0"/>
    <x v="0"/>
    <x v="1"/>
    <x v="4"/>
    <x v="5"/>
    <x v="10"/>
    <n v="21.851769999986882"/>
  </r>
  <r>
    <x v="3"/>
    <x v="0"/>
    <x v="3"/>
    <x v="3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3"/>
    <x v="0"/>
    <x v="3"/>
    <x v="3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3"/>
    <x v="0"/>
    <x v="3"/>
    <x v="3"/>
    <x v="1"/>
    <x v="6"/>
    <x v="0"/>
    <x v="0"/>
    <x v="0"/>
    <x v="0"/>
    <x v="0"/>
    <x v="0"/>
    <x v="4"/>
    <x v="5"/>
    <x v="5"/>
    <x v="9"/>
    <x v="9"/>
    <n v="148.69462644614401"/>
    <x v="0"/>
    <x v="0"/>
    <x v="1"/>
    <x v="4"/>
    <x v="5"/>
    <x v="9"/>
    <n v="162.07714282629698"/>
  </r>
  <r>
    <x v="3"/>
    <x v="0"/>
    <x v="3"/>
    <x v="3"/>
    <x v="1"/>
    <x v="6"/>
    <x v="0"/>
    <x v="0"/>
    <x v="0"/>
    <x v="0"/>
    <x v="0"/>
    <x v="0"/>
    <x v="4"/>
    <x v="5"/>
    <x v="5"/>
    <x v="10"/>
    <x v="10"/>
    <n v="240.962485913172"/>
    <x v="0"/>
    <x v="0"/>
    <x v="1"/>
    <x v="4"/>
    <x v="5"/>
    <x v="10"/>
    <n v="262.6491096453575"/>
  </r>
  <r>
    <x v="3"/>
    <x v="0"/>
    <x v="3"/>
    <x v="3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3"/>
    <x v="0"/>
    <x v="3"/>
    <x v="3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3"/>
    <x v="0"/>
    <x v="3"/>
    <x v="3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3"/>
    <x v="0"/>
    <x v="3"/>
    <x v="3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3"/>
    <x v="0"/>
    <x v="3"/>
    <x v="3"/>
    <x v="1"/>
    <x v="6"/>
    <x v="0"/>
    <x v="0"/>
    <x v="0"/>
    <x v="0"/>
    <x v="0"/>
    <x v="0"/>
    <x v="4"/>
    <x v="5"/>
    <x v="5"/>
    <x v="21"/>
    <x v="21"/>
    <n v="55.760568807306001"/>
    <x v="0"/>
    <x v="0"/>
    <x v="1"/>
    <x v="4"/>
    <x v="5"/>
    <x v="10"/>
    <n v="60.779019999963545"/>
  </r>
  <r>
    <x v="3"/>
    <x v="0"/>
    <x v="3"/>
    <x v="3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3"/>
    <x v="0"/>
    <x v="3"/>
    <x v="3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3"/>
    <x v="0"/>
    <x v="3"/>
    <x v="3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3"/>
    <x v="0"/>
    <x v="3"/>
    <x v="3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3"/>
    <x v="0"/>
    <x v="3"/>
    <x v="3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3"/>
    <x v="0"/>
    <x v="3"/>
    <x v="3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3"/>
    <x v="0"/>
    <x v="3"/>
    <x v="3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3"/>
    <x v="0"/>
    <x v="3"/>
    <x v="3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3"/>
    <x v="0"/>
    <x v="3"/>
    <x v="3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3"/>
    <x v="0"/>
    <x v="3"/>
    <x v="3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3"/>
    <x v="0"/>
    <x v="3"/>
    <x v="3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3"/>
    <x v="0"/>
    <x v="3"/>
    <x v="3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3"/>
    <x v="0"/>
    <x v="3"/>
    <x v="3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3"/>
    <x v="0"/>
    <x v="3"/>
    <x v="3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3"/>
    <x v="0"/>
    <x v="3"/>
    <x v="3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3"/>
    <x v="0"/>
    <x v="3"/>
    <x v="3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3"/>
    <x v="0"/>
    <x v="3"/>
    <x v="3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3"/>
    <x v="0"/>
    <x v="3"/>
    <x v="3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3"/>
    <x v="0"/>
    <x v="3"/>
    <x v="3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3"/>
    <x v="0"/>
    <x v="3"/>
    <x v="3"/>
    <x v="1"/>
    <x v="6"/>
    <x v="0"/>
    <x v="0"/>
    <x v="0"/>
    <x v="0"/>
    <x v="3"/>
    <x v="3"/>
    <x v="2"/>
    <x v="2"/>
    <x v="2"/>
    <x v="5"/>
    <x v="5"/>
    <n v="61.787294478997197"/>
    <x v="0"/>
    <x v="0"/>
    <x v="1"/>
    <x v="1"/>
    <x v="1"/>
    <x v="5"/>
    <n v="67.348150982106944"/>
  </r>
  <r>
    <x v="3"/>
    <x v="0"/>
    <x v="3"/>
    <x v="3"/>
    <x v="1"/>
    <x v="6"/>
    <x v="0"/>
    <x v="0"/>
    <x v="0"/>
    <x v="0"/>
    <x v="3"/>
    <x v="3"/>
    <x v="2"/>
    <x v="2"/>
    <x v="2"/>
    <x v="8"/>
    <x v="8"/>
    <n v="0.74324324324799995"/>
    <x v="0"/>
    <x v="1"/>
    <x v="2"/>
    <x v="2"/>
    <x v="6"/>
    <x v="8"/>
    <n v="0.81013513514031998"/>
  </r>
  <r>
    <x v="3"/>
    <x v="0"/>
    <x v="3"/>
    <x v="3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3"/>
    <x v="0"/>
    <x v="3"/>
    <x v="3"/>
    <x v="1"/>
    <x v="6"/>
    <x v="0"/>
    <x v="0"/>
    <x v="0"/>
    <x v="0"/>
    <x v="3"/>
    <x v="3"/>
    <x v="2"/>
    <x v="2"/>
    <x v="2"/>
    <x v="9"/>
    <x v="9"/>
    <n v="15.5977981651283"/>
    <x v="0"/>
    <x v="0"/>
    <x v="1"/>
    <x v="4"/>
    <x v="5"/>
    <x v="9"/>
    <n v="17.001599999989846"/>
  </r>
  <r>
    <x v="3"/>
    <x v="0"/>
    <x v="3"/>
    <x v="3"/>
    <x v="1"/>
    <x v="6"/>
    <x v="0"/>
    <x v="0"/>
    <x v="0"/>
    <x v="0"/>
    <x v="3"/>
    <x v="3"/>
    <x v="2"/>
    <x v="2"/>
    <x v="2"/>
    <x v="10"/>
    <x v="10"/>
    <n v="26.722167213936601"/>
    <x v="0"/>
    <x v="0"/>
    <x v="1"/>
    <x v="4"/>
    <x v="5"/>
    <x v="10"/>
    <n v="29.127162263190897"/>
  </r>
  <r>
    <x v="3"/>
    <x v="0"/>
    <x v="3"/>
    <x v="3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3"/>
    <x v="0"/>
    <x v="3"/>
    <x v="3"/>
    <x v="1"/>
    <x v="6"/>
    <x v="0"/>
    <x v="0"/>
    <x v="0"/>
    <x v="0"/>
    <x v="3"/>
    <x v="3"/>
    <x v="2"/>
    <x v="2"/>
    <x v="2"/>
    <x v="31"/>
    <x v="31"/>
    <n v="7.3743119266010002E-2"/>
    <x v="0"/>
    <x v="0"/>
    <x v="1"/>
    <x v="4"/>
    <x v="5"/>
    <x v="10"/>
    <n v="8.0379999999950907E-2"/>
  </r>
  <r>
    <x v="3"/>
    <x v="0"/>
    <x v="3"/>
    <x v="3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3"/>
    <x v="0"/>
    <x v="3"/>
    <x v="3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3"/>
    <x v="0"/>
    <x v="3"/>
    <x v="3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3"/>
    <x v="0"/>
    <x v="3"/>
    <x v="3"/>
    <x v="1"/>
    <x v="6"/>
    <x v="0"/>
    <x v="0"/>
    <x v="0"/>
    <x v="0"/>
    <x v="3"/>
    <x v="3"/>
    <x v="2"/>
    <x v="2"/>
    <x v="2"/>
    <x v="16"/>
    <x v="16"/>
    <n v="10.48536"/>
    <x v="0"/>
    <x v="0"/>
    <x v="3"/>
    <x v="5"/>
    <x v="9"/>
    <x v="16"/>
    <n v="11.4290424"/>
  </r>
  <r>
    <x v="3"/>
    <x v="0"/>
    <x v="3"/>
    <x v="3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3"/>
    <x v="0"/>
    <x v="3"/>
    <x v="3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3"/>
    <x v="0"/>
    <x v="3"/>
    <x v="3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3"/>
    <x v="0"/>
    <x v="3"/>
    <x v="3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3"/>
    <x v="0"/>
    <x v="3"/>
    <x v="3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3"/>
    <x v="0"/>
    <x v="3"/>
    <x v="3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13"/>
    <x v="2"/>
    <n v="13.372259999991964"/>
  </r>
  <r>
    <x v="3"/>
    <x v="0"/>
    <x v="3"/>
    <x v="3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3"/>
    <x v="0"/>
    <x v="3"/>
    <x v="3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3"/>
    <x v="0"/>
    <x v="3"/>
    <x v="3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3"/>
    <x v="0"/>
    <x v="3"/>
    <x v="3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3"/>
    <x v="0"/>
    <x v="3"/>
    <x v="3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3"/>
    <x v="0"/>
    <x v="3"/>
    <x v="3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3"/>
    <x v="0"/>
    <x v="3"/>
    <x v="3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3"/>
    <x v="0"/>
    <x v="3"/>
    <x v="3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3"/>
    <x v="0"/>
    <x v="3"/>
    <x v="3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3"/>
    <x v="0"/>
    <x v="3"/>
    <x v="3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3"/>
    <x v="0"/>
    <x v="3"/>
    <x v="3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3"/>
    <x v="0"/>
    <x v="3"/>
    <x v="3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3"/>
    <x v="0"/>
    <x v="3"/>
    <x v="3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3"/>
    <x v="0"/>
    <x v="3"/>
    <x v="3"/>
    <x v="1"/>
    <x v="6"/>
    <x v="0"/>
    <x v="0"/>
    <x v="0"/>
    <x v="0"/>
    <x v="4"/>
    <x v="4"/>
    <x v="2"/>
    <x v="2"/>
    <x v="2"/>
    <x v="9"/>
    <x v="9"/>
    <n v="1.3835071122398399"/>
    <x v="0"/>
    <x v="0"/>
    <x v="1"/>
    <x v="4"/>
    <x v="5"/>
    <x v="9"/>
    <n v="1.5080227523414256"/>
  </r>
  <r>
    <x v="3"/>
    <x v="0"/>
    <x v="3"/>
    <x v="3"/>
    <x v="1"/>
    <x v="6"/>
    <x v="0"/>
    <x v="0"/>
    <x v="0"/>
    <x v="0"/>
    <x v="4"/>
    <x v="4"/>
    <x v="2"/>
    <x v="2"/>
    <x v="2"/>
    <x v="10"/>
    <x v="10"/>
    <n v="4.3786323360511998"/>
    <x v="0"/>
    <x v="0"/>
    <x v="1"/>
    <x v="4"/>
    <x v="5"/>
    <x v="10"/>
    <n v="4.7727092462958085"/>
  </r>
  <r>
    <x v="3"/>
    <x v="0"/>
    <x v="3"/>
    <x v="3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3"/>
    <x v="0"/>
    <x v="3"/>
    <x v="3"/>
    <x v="1"/>
    <x v="6"/>
    <x v="0"/>
    <x v="0"/>
    <x v="0"/>
    <x v="0"/>
    <x v="4"/>
    <x v="4"/>
    <x v="2"/>
    <x v="2"/>
    <x v="2"/>
    <x v="31"/>
    <x v="31"/>
    <n v="0.33555963302732"/>
    <x v="0"/>
    <x v="0"/>
    <x v="1"/>
    <x v="4"/>
    <x v="5"/>
    <x v="10"/>
    <n v="0.36575999999977882"/>
  </r>
  <r>
    <x v="3"/>
    <x v="0"/>
    <x v="3"/>
    <x v="3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3"/>
    <x v="0"/>
    <x v="3"/>
    <x v="3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3"/>
    <x v="0"/>
    <x v="3"/>
    <x v="3"/>
    <x v="1"/>
    <x v="6"/>
    <x v="0"/>
    <x v="0"/>
    <x v="0"/>
    <x v="0"/>
    <x v="4"/>
    <x v="4"/>
    <x v="2"/>
    <x v="2"/>
    <x v="2"/>
    <x v="25"/>
    <x v="25"/>
    <n v="3.3577981651356001"/>
    <x v="0"/>
    <x v="0"/>
    <x v="1"/>
    <x v="4"/>
    <x v="5"/>
    <x v="9"/>
    <n v="3.6599999999978046"/>
  </r>
  <r>
    <x v="3"/>
    <x v="0"/>
    <x v="3"/>
    <x v="3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3"/>
    <x v="0"/>
    <x v="3"/>
    <x v="3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3"/>
    <x v="0"/>
    <x v="3"/>
    <x v="3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3"/>
    <x v="0"/>
    <x v="3"/>
    <x v="3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3"/>
    <x v="0"/>
    <x v="3"/>
    <x v="3"/>
    <x v="1"/>
    <x v="6"/>
    <x v="0"/>
    <x v="0"/>
    <x v="0"/>
    <x v="0"/>
    <x v="4"/>
    <x v="4"/>
    <x v="4"/>
    <x v="5"/>
    <x v="5"/>
    <x v="26"/>
    <x v="26"/>
    <n v="0.29911926605486999"/>
    <x v="0"/>
    <x v="0"/>
    <x v="1"/>
    <x v="3"/>
    <x v="3"/>
    <x v="15"/>
    <n v="0.32603999999980832"/>
  </r>
  <r>
    <x v="3"/>
    <x v="0"/>
    <x v="3"/>
    <x v="3"/>
    <x v="1"/>
    <x v="6"/>
    <x v="0"/>
    <x v="0"/>
    <x v="0"/>
    <x v="0"/>
    <x v="4"/>
    <x v="4"/>
    <x v="4"/>
    <x v="5"/>
    <x v="5"/>
    <x v="20"/>
    <x v="20"/>
    <n v="29.398900000000001"/>
    <x v="0"/>
    <x v="0"/>
    <x v="1"/>
    <x v="3"/>
    <x v="3"/>
    <x v="13"/>
    <n v="32.044801000000007"/>
  </r>
  <r>
    <x v="3"/>
    <x v="0"/>
    <x v="3"/>
    <x v="3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3"/>
    <x v="0"/>
    <x v="3"/>
    <x v="3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3"/>
    <x v="0"/>
    <x v="3"/>
    <x v="3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3"/>
    <x v="0"/>
    <x v="3"/>
    <x v="3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3"/>
    <x v="0"/>
    <x v="3"/>
    <x v="3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3"/>
    <x v="0"/>
    <x v="3"/>
    <x v="3"/>
    <x v="1"/>
    <x v="6"/>
    <x v="0"/>
    <x v="0"/>
    <x v="2"/>
    <x v="2"/>
    <x v="5"/>
    <x v="5"/>
    <x v="2"/>
    <x v="2"/>
    <x v="2"/>
    <x v="40"/>
    <x v="40"/>
    <n v="10097.440130000001"/>
    <x v="1"/>
    <x v="2"/>
    <x v="5"/>
    <x v="7"/>
    <x v="11"/>
    <x v="22"/>
    <n v="11006.209741700002"/>
  </r>
  <r>
    <x v="3"/>
    <x v="0"/>
    <x v="3"/>
    <x v="3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3"/>
    <x v="0"/>
    <x v="3"/>
    <x v="3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3"/>
    <x v="0"/>
    <x v="3"/>
    <x v="3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3"/>
    <x v="0"/>
    <x v="3"/>
    <x v="3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3"/>
    <x v="0"/>
    <x v="3"/>
    <x v="3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3"/>
    <x v="0"/>
    <x v="3"/>
    <x v="3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3"/>
    <x v="0"/>
    <x v="3"/>
    <x v="3"/>
    <x v="1"/>
    <x v="6"/>
    <x v="0"/>
    <x v="0"/>
    <x v="2"/>
    <x v="2"/>
    <x v="5"/>
    <x v="5"/>
    <x v="1"/>
    <x v="6"/>
    <x v="6"/>
    <x v="40"/>
    <x v="40"/>
    <n v="3161.5127200000002"/>
    <x v="1"/>
    <x v="2"/>
    <x v="5"/>
    <x v="7"/>
    <x v="11"/>
    <x v="22"/>
    <n v="3446.0488648000005"/>
  </r>
  <r>
    <x v="3"/>
    <x v="0"/>
    <x v="3"/>
    <x v="3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3"/>
    <x v="0"/>
    <x v="3"/>
    <x v="3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3"/>
    <x v="0"/>
    <x v="3"/>
    <x v="3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3"/>
    <x v="0"/>
    <x v="3"/>
    <x v="3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3"/>
    <x v="0"/>
    <x v="3"/>
    <x v="3"/>
    <x v="1"/>
    <x v="6"/>
    <x v="0"/>
    <x v="0"/>
    <x v="2"/>
    <x v="2"/>
    <x v="5"/>
    <x v="5"/>
    <x v="1"/>
    <x v="8"/>
    <x v="8"/>
    <x v="40"/>
    <x v="40"/>
    <n v="137.76184000000001"/>
    <x v="1"/>
    <x v="2"/>
    <x v="5"/>
    <x v="7"/>
    <x v="11"/>
    <x v="22"/>
    <n v="150.16040560000002"/>
  </r>
  <r>
    <x v="3"/>
    <x v="0"/>
    <x v="3"/>
    <x v="3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3"/>
    <x v="0"/>
    <x v="3"/>
    <x v="3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3"/>
    <x v="0"/>
    <x v="3"/>
    <x v="3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3"/>
    <x v="0"/>
    <x v="3"/>
    <x v="3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3"/>
    <x v="0"/>
    <x v="3"/>
    <x v="3"/>
    <x v="1"/>
    <x v="6"/>
    <x v="0"/>
    <x v="0"/>
    <x v="2"/>
    <x v="2"/>
    <x v="5"/>
    <x v="5"/>
    <x v="4"/>
    <x v="5"/>
    <x v="5"/>
    <x v="40"/>
    <x v="40"/>
    <n v="623.45090000000005"/>
    <x v="1"/>
    <x v="2"/>
    <x v="5"/>
    <x v="7"/>
    <x v="11"/>
    <x v="22"/>
    <n v="679.56148100000007"/>
  </r>
  <r>
    <x v="3"/>
    <x v="0"/>
    <x v="3"/>
    <x v="3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3"/>
    <x v="0"/>
    <x v="3"/>
    <x v="3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3"/>
    <x v="0"/>
    <x v="3"/>
    <x v="3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3"/>
    <x v="0"/>
    <x v="3"/>
    <x v="3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3"/>
    <x v="0"/>
    <x v="3"/>
    <x v="3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3"/>
    <x v="0"/>
    <x v="3"/>
    <x v="3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3"/>
    <x v="0"/>
    <x v="3"/>
    <x v="3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3"/>
    <x v="0"/>
    <x v="3"/>
    <x v="3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3"/>
    <x v="0"/>
    <x v="3"/>
    <x v="3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3"/>
    <x v="0"/>
    <x v="3"/>
    <x v="3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3"/>
    <x v="0"/>
    <x v="3"/>
    <x v="3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3"/>
    <x v="0"/>
    <x v="3"/>
    <x v="3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3"/>
    <x v="0"/>
    <x v="3"/>
    <x v="3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3"/>
    <x v="0"/>
    <x v="3"/>
    <x v="3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3"/>
    <x v="0"/>
    <x v="3"/>
    <x v="3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3"/>
    <x v="0"/>
    <x v="3"/>
    <x v="3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3"/>
    <x v="0"/>
    <x v="3"/>
    <x v="3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3"/>
    <x v="0"/>
    <x v="3"/>
    <x v="3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3"/>
    <x v="0"/>
    <x v="3"/>
    <x v="3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3"/>
    <x v="0"/>
    <x v="3"/>
    <x v="3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3"/>
    <x v="0"/>
    <x v="3"/>
    <x v="3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3"/>
    <x v="0"/>
    <x v="3"/>
    <x v="3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3"/>
    <x v="0"/>
    <x v="3"/>
    <x v="3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3"/>
    <x v="0"/>
    <x v="3"/>
    <x v="3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3"/>
    <x v="0"/>
    <x v="3"/>
    <x v="3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3"/>
    <x v="0"/>
    <x v="3"/>
    <x v="3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3"/>
    <x v="0"/>
    <x v="3"/>
    <x v="3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3"/>
    <x v="0"/>
    <x v="3"/>
    <x v="3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3"/>
    <x v="0"/>
    <x v="3"/>
    <x v="3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3"/>
    <x v="0"/>
    <x v="3"/>
    <x v="3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3"/>
    <x v="0"/>
    <x v="3"/>
    <x v="3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3"/>
    <x v="0"/>
    <x v="3"/>
    <x v="3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3"/>
    <x v="0"/>
    <x v="3"/>
    <x v="3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3"/>
    <x v="0"/>
    <x v="3"/>
    <x v="3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3"/>
    <x v="0"/>
    <x v="3"/>
    <x v="3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3"/>
    <x v="0"/>
    <x v="3"/>
    <x v="3"/>
    <x v="1"/>
    <x v="6"/>
    <x v="0"/>
    <x v="0"/>
    <x v="2"/>
    <x v="2"/>
    <x v="7"/>
    <x v="7"/>
    <x v="2"/>
    <x v="2"/>
    <x v="2"/>
    <x v="38"/>
    <x v="38"/>
    <n v="3899.0551500000001"/>
    <x v="1"/>
    <x v="0"/>
    <x v="4"/>
    <x v="6"/>
    <x v="10"/>
    <x v="21"/>
    <n v="4249.9701135000005"/>
  </r>
  <r>
    <x v="3"/>
    <x v="0"/>
    <x v="3"/>
    <x v="3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3"/>
    <x v="0"/>
    <x v="3"/>
    <x v="3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3"/>
    <x v="0"/>
    <x v="3"/>
    <x v="3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3"/>
    <x v="0"/>
    <x v="3"/>
    <x v="3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3"/>
    <x v="0"/>
    <x v="3"/>
    <x v="3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3"/>
    <x v="0"/>
    <x v="3"/>
    <x v="3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3"/>
    <x v="0"/>
    <x v="3"/>
    <x v="3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3"/>
    <x v="0"/>
    <x v="3"/>
    <x v="3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3"/>
    <x v="0"/>
    <x v="3"/>
    <x v="3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3"/>
    <x v="0"/>
    <x v="3"/>
    <x v="3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3"/>
    <x v="0"/>
    <x v="3"/>
    <x v="3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3"/>
    <x v="0"/>
    <x v="3"/>
    <x v="3"/>
    <x v="1"/>
    <x v="6"/>
    <x v="0"/>
    <x v="0"/>
    <x v="2"/>
    <x v="2"/>
    <x v="7"/>
    <x v="7"/>
    <x v="1"/>
    <x v="6"/>
    <x v="6"/>
    <x v="40"/>
    <x v="40"/>
    <n v="1689.1671200000001"/>
    <x v="1"/>
    <x v="2"/>
    <x v="5"/>
    <x v="7"/>
    <x v="11"/>
    <x v="22"/>
    <n v="1841.1921608000002"/>
  </r>
  <r>
    <x v="3"/>
    <x v="0"/>
    <x v="3"/>
    <x v="3"/>
    <x v="1"/>
    <x v="6"/>
    <x v="0"/>
    <x v="0"/>
    <x v="2"/>
    <x v="2"/>
    <x v="7"/>
    <x v="7"/>
    <x v="1"/>
    <x v="6"/>
    <x v="6"/>
    <x v="38"/>
    <x v="38"/>
    <n v="592.87671999999998"/>
    <x v="1"/>
    <x v="0"/>
    <x v="4"/>
    <x v="6"/>
    <x v="10"/>
    <x v="21"/>
    <n v="646.23562479999998"/>
  </r>
  <r>
    <x v="3"/>
    <x v="0"/>
    <x v="3"/>
    <x v="3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3"/>
    <x v="0"/>
    <x v="3"/>
    <x v="3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3"/>
    <x v="0"/>
    <x v="3"/>
    <x v="3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3"/>
    <x v="0"/>
    <x v="3"/>
    <x v="3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3"/>
    <x v="0"/>
    <x v="3"/>
    <x v="3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3"/>
    <x v="0"/>
    <x v="3"/>
    <x v="3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3"/>
    <x v="0"/>
    <x v="3"/>
    <x v="3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3"/>
    <x v="0"/>
    <x v="3"/>
    <x v="3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3"/>
    <x v="0"/>
    <x v="3"/>
    <x v="3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3"/>
    <x v="0"/>
    <x v="3"/>
    <x v="3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3"/>
    <x v="0"/>
    <x v="3"/>
    <x v="3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3"/>
    <x v="0"/>
    <x v="3"/>
    <x v="3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3"/>
    <x v="0"/>
    <x v="3"/>
    <x v="3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3"/>
    <x v="0"/>
    <x v="3"/>
    <x v="3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3"/>
    <x v="0"/>
    <x v="3"/>
    <x v="3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3"/>
    <x v="0"/>
    <x v="3"/>
    <x v="3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3"/>
    <x v="0"/>
    <x v="3"/>
    <x v="3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3"/>
    <x v="0"/>
    <x v="3"/>
    <x v="3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3"/>
    <x v="0"/>
    <x v="3"/>
    <x v="3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3"/>
    <x v="0"/>
    <x v="3"/>
    <x v="3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3"/>
    <x v="0"/>
    <x v="3"/>
    <x v="3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3"/>
    <x v="0"/>
    <x v="3"/>
    <x v="3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3"/>
    <x v="0"/>
    <x v="3"/>
    <x v="3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3"/>
    <x v="0"/>
    <x v="3"/>
    <x v="3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3"/>
    <x v="0"/>
    <x v="3"/>
    <x v="3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3"/>
    <x v="0"/>
    <x v="3"/>
    <x v="3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3"/>
    <x v="0"/>
    <x v="3"/>
    <x v="3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3"/>
    <x v="0"/>
    <x v="3"/>
    <x v="3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3"/>
    <x v="0"/>
    <x v="3"/>
    <x v="3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3"/>
    <x v="0"/>
    <x v="3"/>
    <x v="3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3"/>
    <x v="0"/>
    <x v="3"/>
    <x v="3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3"/>
    <x v="0"/>
    <x v="3"/>
    <x v="3"/>
    <x v="1"/>
    <x v="6"/>
    <x v="0"/>
    <x v="0"/>
    <x v="2"/>
    <x v="2"/>
    <x v="9"/>
    <x v="9"/>
    <x v="2"/>
    <x v="2"/>
    <x v="2"/>
    <x v="38"/>
    <x v="38"/>
    <n v="4597.5883599999997"/>
    <x v="1"/>
    <x v="0"/>
    <x v="4"/>
    <x v="6"/>
    <x v="10"/>
    <x v="21"/>
    <n v="5011.3713124000005"/>
  </r>
  <r>
    <x v="3"/>
    <x v="0"/>
    <x v="3"/>
    <x v="3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3"/>
    <x v="0"/>
    <x v="3"/>
    <x v="3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3"/>
    <x v="0"/>
    <x v="3"/>
    <x v="3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3"/>
    <x v="0"/>
    <x v="3"/>
    <x v="3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3"/>
    <x v="0"/>
    <x v="3"/>
    <x v="3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3"/>
    <x v="0"/>
    <x v="3"/>
    <x v="3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3"/>
    <x v="0"/>
    <x v="3"/>
    <x v="3"/>
    <x v="1"/>
    <x v="6"/>
    <x v="0"/>
    <x v="0"/>
    <x v="2"/>
    <x v="2"/>
    <x v="9"/>
    <x v="9"/>
    <x v="1"/>
    <x v="6"/>
    <x v="6"/>
    <x v="40"/>
    <x v="40"/>
    <n v="24820.80515"/>
    <x v="1"/>
    <x v="2"/>
    <x v="5"/>
    <x v="7"/>
    <x v="11"/>
    <x v="22"/>
    <n v="27054.677613500004"/>
  </r>
  <r>
    <x v="3"/>
    <x v="0"/>
    <x v="3"/>
    <x v="3"/>
    <x v="1"/>
    <x v="6"/>
    <x v="0"/>
    <x v="0"/>
    <x v="2"/>
    <x v="2"/>
    <x v="9"/>
    <x v="9"/>
    <x v="1"/>
    <x v="6"/>
    <x v="6"/>
    <x v="38"/>
    <x v="38"/>
    <n v="1429.4994300000001"/>
    <x v="1"/>
    <x v="0"/>
    <x v="4"/>
    <x v="6"/>
    <x v="10"/>
    <x v="21"/>
    <n v="1558.1543787000003"/>
  </r>
  <r>
    <x v="3"/>
    <x v="0"/>
    <x v="3"/>
    <x v="3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3"/>
    <x v="0"/>
    <x v="3"/>
    <x v="3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3"/>
    <x v="0"/>
    <x v="3"/>
    <x v="3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3"/>
    <x v="0"/>
    <x v="3"/>
    <x v="3"/>
    <x v="1"/>
    <x v="6"/>
    <x v="0"/>
    <x v="0"/>
    <x v="2"/>
    <x v="2"/>
    <x v="9"/>
    <x v="9"/>
    <x v="3"/>
    <x v="7"/>
    <x v="7"/>
    <x v="40"/>
    <x v="40"/>
    <n v="143.89462"/>
    <x v="1"/>
    <x v="2"/>
    <x v="5"/>
    <x v="7"/>
    <x v="11"/>
    <x v="22"/>
    <n v="156.84513580000001"/>
  </r>
  <r>
    <x v="3"/>
    <x v="0"/>
    <x v="3"/>
    <x v="3"/>
    <x v="1"/>
    <x v="6"/>
    <x v="0"/>
    <x v="0"/>
    <x v="2"/>
    <x v="2"/>
    <x v="9"/>
    <x v="9"/>
    <x v="1"/>
    <x v="8"/>
    <x v="8"/>
    <x v="40"/>
    <x v="40"/>
    <n v="10972.910159999999"/>
    <x v="1"/>
    <x v="2"/>
    <x v="5"/>
    <x v="7"/>
    <x v="11"/>
    <x v="22"/>
    <n v="11960.472074400001"/>
  </r>
  <r>
    <x v="3"/>
    <x v="0"/>
    <x v="3"/>
    <x v="3"/>
    <x v="1"/>
    <x v="6"/>
    <x v="0"/>
    <x v="0"/>
    <x v="2"/>
    <x v="2"/>
    <x v="9"/>
    <x v="9"/>
    <x v="2"/>
    <x v="10"/>
    <x v="10"/>
    <x v="40"/>
    <x v="40"/>
    <n v="28.203250000000001"/>
    <x v="1"/>
    <x v="2"/>
    <x v="5"/>
    <x v="7"/>
    <x v="11"/>
    <x v="22"/>
    <n v="30.741542500000001"/>
  </r>
  <r>
    <x v="3"/>
    <x v="0"/>
    <x v="3"/>
    <x v="3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3"/>
    <x v="0"/>
    <x v="3"/>
    <x v="3"/>
    <x v="1"/>
    <x v="6"/>
    <x v="0"/>
    <x v="0"/>
    <x v="2"/>
    <x v="2"/>
    <x v="9"/>
    <x v="9"/>
    <x v="4"/>
    <x v="5"/>
    <x v="5"/>
    <x v="40"/>
    <x v="40"/>
    <n v="1638.9208699999999"/>
    <x v="1"/>
    <x v="2"/>
    <x v="5"/>
    <x v="7"/>
    <x v="11"/>
    <x v="22"/>
    <n v="1786.4237482999999"/>
  </r>
  <r>
    <x v="3"/>
    <x v="0"/>
    <x v="3"/>
    <x v="3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3"/>
    <x v="0"/>
    <x v="3"/>
    <x v="3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3"/>
    <x v="0"/>
    <x v="3"/>
    <x v="3"/>
    <x v="1"/>
    <x v="6"/>
    <x v="0"/>
    <x v="0"/>
    <x v="2"/>
    <x v="2"/>
    <x v="10"/>
    <x v="10"/>
    <x v="2"/>
    <x v="2"/>
    <x v="2"/>
    <x v="40"/>
    <x v="40"/>
    <n v="3989.2150499999998"/>
    <x v="1"/>
    <x v="2"/>
    <x v="5"/>
    <x v="7"/>
    <x v="11"/>
    <x v="22"/>
    <n v="4348.2444045000002"/>
  </r>
  <r>
    <x v="3"/>
    <x v="0"/>
    <x v="3"/>
    <x v="3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3"/>
    <x v="0"/>
    <x v="3"/>
    <x v="3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3"/>
    <x v="0"/>
    <x v="3"/>
    <x v="3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3"/>
    <x v="0"/>
    <x v="3"/>
    <x v="3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3"/>
    <x v="0"/>
    <x v="3"/>
    <x v="3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3"/>
    <x v="0"/>
    <x v="3"/>
    <x v="3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3"/>
    <x v="0"/>
    <x v="3"/>
    <x v="3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3"/>
    <x v="0"/>
    <x v="3"/>
    <x v="3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3"/>
    <x v="0"/>
    <x v="3"/>
    <x v="3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3"/>
    <x v="0"/>
    <x v="3"/>
    <x v="3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3"/>
    <x v="0"/>
    <x v="3"/>
    <x v="3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3"/>
    <x v="0"/>
    <x v="3"/>
    <x v="3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3"/>
    <x v="0"/>
    <x v="3"/>
    <x v="3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3"/>
    <x v="0"/>
    <x v="3"/>
    <x v="3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3"/>
    <x v="0"/>
    <x v="3"/>
    <x v="3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3"/>
    <x v="0"/>
    <x v="3"/>
    <x v="3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3"/>
    <x v="0"/>
    <x v="3"/>
    <x v="3"/>
    <x v="1"/>
    <x v="6"/>
    <x v="0"/>
    <x v="0"/>
    <x v="0"/>
    <x v="0"/>
    <x v="11"/>
    <x v="11"/>
    <x v="4"/>
    <x v="5"/>
    <x v="5"/>
    <x v="7"/>
    <x v="7"/>
    <n v="95.4809773494148"/>
    <x v="0"/>
    <x v="0"/>
    <x v="1"/>
    <x v="4"/>
    <x v="5"/>
    <x v="7"/>
    <n v="104.07426531086215"/>
  </r>
  <r>
    <x v="3"/>
    <x v="0"/>
    <x v="3"/>
    <x v="3"/>
    <x v="1"/>
    <x v="6"/>
    <x v="0"/>
    <x v="0"/>
    <x v="0"/>
    <x v="0"/>
    <x v="11"/>
    <x v="11"/>
    <x v="4"/>
    <x v="5"/>
    <x v="5"/>
    <x v="10"/>
    <x v="10"/>
    <n v="38.895787254919"/>
    <x v="0"/>
    <x v="0"/>
    <x v="1"/>
    <x v="4"/>
    <x v="5"/>
    <x v="10"/>
    <n v="42.39640810786171"/>
  </r>
  <r>
    <x v="3"/>
    <x v="0"/>
    <x v="3"/>
    <x v="3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3"/>
    <x v="0"/>
    <x v="3"/>
    <x v="3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3"/>
    <x v="0"/>
    <x v="3"/>
    <x v="3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3"/>
    <x v="0"/>
    <x v="3"/>
    <x v="3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3"/>
    <x v="0"/>
    <x v="3"/>
    <x v="3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3"/>
    <x v="0"/>
    <x v="3"/>
    <x v="3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3"/>
    <x v="0"/>
    <x v="3"/>
    <x v="3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3"/>
    <x v="0"/>
    <x v="3"/>
    <x v="3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3"/>
    <x v="0"/>
    <x v="3"/>
    <x v="3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3"/>
    <x v="0"/>
    <x v="3"/>
    <x v="3"/>
    <x v="1"/>
    <x v="6"/>
    <x v="0"/>
    <x v="0"/>
    <x v="3"/>
    <x v="3"/>
    <x v="12"/>
    <x v="12"/>
    <x v="3"/>
    <x v="7"/>
    <x v="7"/>
    <x v="40"/>
    <x v="40"/>
    <n v="28.108329999999999"/>
    <x v="1"/>
    <x v="2"/>
    <x v="5"/>
    <x v="7"/>
    <x v="11"/>
    <x v="22"/>
    <n v="30.638079700000002"/>
  </r>
  <r>
    <x v="3"/>
    <x v="0"/>
    <x v="3"/>
    <x v="3"/>
    <x v="1"/>
    <x v="6"/>
    <x v="0"/>
    <x v="0"/>
    <x v="3"/>
    <x v="3"/>
    <x v="12"/>
    <x v="12"/>
    <x v="1"/>
    <x v="8"/>
    <x v="8"/>
    <x v="40"/>
    <x v="40"/>
    <n v="18.666119999999999"/>
    <x v="1"/>
    <x v="2"/>
    <x v="5"/>
    <x v="7"/>
    <x v="11"/>
    <x v="22"/>
    <n v="20.3460708"/>
  </r>
  <r>
    <x v="3"/>
    <x v="0"/>
    <x v="3"/>
    <x v="3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3"/>
    <x v="0"/>
    <x v="3"/>
    <x v="3"/>
    <x v="1"/>
    <x v="6"/>
    <x v="0"/>
    <x v="0"/>
    <x v="3"/>
    <x v="3"/>
    <x v="12"/>
    <x v="12"/>
    <x v="2"/>
    <x v="10"/>
    <x v="10"/>
    <x v="40"/>
    <x v="40"/>
    <n v="0.64575000000000005"/>
    <x v="1"/>
    <x v="2"/>
    <x v="5"/>
    <x v="7"/>
    <x v="11"/>
    <x v="22"/>
    <n v="0.70386750000000009"/>
  </r>
  <r>
    <x v="3"/>
    <x v="0"/>
    <x v="3"/>
    <x v="3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3"/>
    <x v="0"/>
    <x v="3"/>
    <x v="3"/>
    <x v="1"/>
    <x v="6"/>
    <x v="0"/>
    <x v="0"/>
    <x v="3"/>
    <x v="3"/>
    <x v="12"/>
    <x v="12"/>
    <x v="4"/>
    <x v="5"/>
    <x v="5"/>
    <x v="40"/>
    <x v="40"/>
    <n v="37.964199999999998"/>
    <x v="1"/>
    <x v="2"/>
    <x v="5"/>
    <x v="7"/>
    <x v="11"/>
    <x v="22"/>
    <n v="41.380977999999999"/>
  </r>
  <r>
    <x v="3"/>
    <x v="0"/>
    <x v="3"/>
    <x v="3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3"/>
    <x v="0"/>
    <x v="3"/>
    <x v="3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3"/>
    <x v="0"/>
    <x v="3"/>
    <x v="3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3"/>
    <x v="0"/>
    <x v="3"/>
    <x v="3"/>
    <x v="1"/>
    <x v="6"/>
    <x v="0"/>
    <x v="0"/>
    <x v="3"/>
    <x v="3"/>
    <x v="13"/>
    <x v="13"/>
    <x v="2"/>
    <x v="2"/>
    <x v="2"/>
    <x v="40"/>
    <x v="40"/>
    <n v="1999.69075"/>
    <x v="1"/>
    <x v="2"/>
    <x v="5"/>
    <x v="7"/>
    <x v="11"/>
    <x v="22"/>
    <n v="2179.6629175000003"/>
  </r>
  <r>
    <x v="3"/>
    <x v="0"/>
    <x v="3"/>
    <x v="3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3"/>
    <x v="0"/>
    <x v="3"/>
    <x v="3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3"/>
    <x v="0"/>
    <x v="3"/>
    <x v="3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3"/>
    <x v="0"/>
    <x v="3"/>
    <x v="3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3"/>
    <x v="0"/>
    <x v="3"/>
    <x v="3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3"/>
    <x v="0"/>
    <x v="3"/>
    <x v="3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3"/>
    <x v="0"/>
    <x v="3"/>
    <x v="3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3"/>
    <x v="0"/>
    <x v="3"/>
    <x v="3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3"/>
    <x v="0"/>
    <x v="3"/>
    <x v="3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3"/>
    <x v="0"/>
    <x v="3"/>
    <x v="3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3"/>
    <x v="0"/>
    <x v="3"/>
    <x v="3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3"/>
    <x v="0"/>
    <x v="3"/>
    <x v="3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3"/>
    <x v="0"/>
    <x v="3"/>
    <x v="3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3"/>
    <x v="0"/>
    <x v="3"/>
    <x v="3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3"/>
    <x v="0"/>
    <x v="3"/>
    <x v="3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3"/>
    <x v="0"/>
    <x v="3"/>
    <x v="3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3"/>
    <x v="0"/>
    <x v="3"/>
    <x v="3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3"/>
    <x v="0"/>
    <x v="3"/>
    <x v="3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3"/>
    <x v="0"/>
    <x v="3"/>
    <x v="3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3"/>
    <x v="0"/>
    <x v="3"/>
    <x v="3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3"/>
    <x v="0"/>
    <x v="3"/>
    <x v="3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3"/>
    <x v="0"/>
    <x v="3"/>
    <x v="3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3"/>
    <x v="0"/>
    <x v="3"/>
    <x v="3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3"/>
    <x v="0"/>
    <x v="3"/>
    <x v="3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3"/>
    <x v="0"/>
    <x v="3"/>
    <x v="3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3"/>
    <x v="0"/>
    <x v="3"/>
    <x v="3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3"/>
    <x v="0"/>
    <x v="3"/>
    <x v="3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3"/>
    <x v="0"/>
    <x v="3"/>
    <x v="3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3"/>
    <x v="0"/>
    <x v="3"/>
    <x v="3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3"/>
    <x v="0"/>
    <x v="3"/>
    <x v="3"/>
    <x v="1"/>
    <x v="6"/>
    <x v="0"/>
    <x v="0"/>
    <x v="2"/>
    <x v="2"/>
    <x v="14"/>
    <x v="14"/>
    <x v="4"/>
    <x v="5"/>
    <x v="5"/>
    <x v="40"/>
    <x v="40"/>
    <n v="53.141869999999997"/>
    <x v="1"/>
    <x v="2"/>
    <x v="5"/>
    <x v="7"/>
    <x v="11"/>
    <x v="22"/>
    <n v="57.924638299999998"/>
  </r>
  <r>
    <x v="3"/>
    <x v="0"/>
    <x v="3"/>
    <x v="3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3"/>
    <x v="0"/>
    <x v="3"/>
    <x v="3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3"/>
    <x v="0"/>
    <x v="3"/>
    <x v="3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3"/>
    <x v="0"/>
    <x v="3"/>
    <x v="3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3"/>
    <x v="0"/>
    <x v="3"/>
    <x v="3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3"/>
    <x v="0"/>
    <x v="3"/>
    <x v="3"/>
    <x v="1"/>
    <x v="6"/>
    <x v="0"/>
    <x v="0"/>
    <x v="2"/>
    <x v="2"/>
    <x v="15"/>
    <x v="15"/>
    <x v="0"/>
    <x v="4"/>
    <x v="4"/>
    <x v="40"/>
    <x v="40"/>
    <n v="2115.1422299999999"/>
    <x v="1"/>
    <x v="2"/>
    <x v="5"/>
    <x v="7"/>
    <x v="11"/>
    <x v="22"/>
    <n v="2305.5050307000001"/>
  </r>
  <r>
    <x v="3"/>
    <x v="0"/>
    <x v="3"/>
    <x v="3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3"/>
    <x v="0"/>
    <x v="3"/>
    <x v="3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3"/>
    <x v="0"/>
    <x v="3"/>
    <x v="3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3"/>
    <x v="0"/>
    <x v="3"/>
    <x v="3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3"/>
    <x v="0"/>
    <x v="3"/>
    <x v="3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3"/>
    <x v="0"/>
    <x v="3"/>
    <x v="3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3"/>
    <x v="0"/>
    <x v="3"/>
    <x v="3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3"/>
    <x v="0"/>
    <x v="3"/>
    <x v="3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3"/>
    <x v="0"/>
    <x v="3"/>
    <x v="3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3"/>
    <x v="0"/>
    <x v="3"/>
    <x v="3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3"/>
    <x v="0"/>
    <x v="3"/>
    <x v="3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3"/>
    <x v="0"/>
    <x v="3"/>
    <x v="3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3"/>
    <x v="0"/>
    <x v="3"/>
    <x v="3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3"/>
    <x v="0"/>
    <x v="3"/>
    <x v="3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3"/>
    <x v="0"/>
    <x v="3"/>
    <x v="3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3"/>
    <x v="0"/>
    <x v="3"/>
    <x v="3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3"/>
    <x v="0"/>
    <x v="3"/>
    <x v="3"/>
    <x v="1"/>
    <x v="6"/>
    <x v="0"/>
    <x v="0"/>
    <x v="2"/>
    <x v="2"/>
    <x v="16"/>
    <x v="16"/>
    <x v="2"/>
    <x v="2"/>
    <x v="2"/>
    <x v="40"/>
    <x v="40"/>
    <n v="598.59312"/>
    <x v="1"/>
    <x v="2"/>
    <x v="5"/>
    <x v="7"/>
    <x v="11"/>
    <x v="22"/>
    <n v="652.46650080000006"/>
  </r>
  <r>
    <x v="3"/>
    <x v="0"/>
    <x v="3"/>
    <x v="3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3"/>
    <x v="0"/>
    <x v="3"/>
    <x v="3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3"/>
    <x v="0"/>
    <x v="3"/>
    <x v="3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3"/>
    <x v="0"/>
    <x v="3"/>
    <x v="3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3"/>
    <x v="0"/>
    <x v="3"/>
    <x v="3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3"/>
    <x v="0"/>
    <x v="3"/>
    <x v="3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3"/>
    <x v="0"/>
    <x v="3"/>
    <x v="3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3"/>
    <x v="0"/>
    <x v="3"/>
    <x v="3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3"/>
    <x v="0"/>
    <x v="3"/>
    <x v="3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3"/>
    <x v="0"/>
    <x v="3"/>
    <x v="3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3"/>
    <x v="0"/>
    <x v="3"/>
    <x v="3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3"/>
    <x v="0"/>
    <x v="3"/>
    <x v="3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3"/>
    <x v="0"/>
    <x v="3"/>
    <x v="3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3"/>
    <x v="0"/>
    <x v="3"/>
    <x v="3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3"/>
    <x v="0"/>
    <x v="3"/>
    <x v="3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3"/>
    <x v="0"/>
    <x v="3"/>
    <x v="3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3"/>
    <x v="0"/>
    <x v="3"/>
    <x v="3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3"/>
    <x v="0"/>
    <x v="3"/>
    <x v="3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3"/>
    <x v="0"/>
    <x v="3"/>
    <x v="3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3"/>
    <x v="0"/>
    <x v="3"/>
    <x v="3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3"/>
    <x v="0"/>
    <x v="3"/>
    <x v="3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3"/>
    <x v="0"/>
    <x v="3"/>
    <x v="3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3"/>
    <x v="0"/>
    <x v="3"/>
    <x v="3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3"/>
    <x v="0"/>
    <x v="3"/>
    <x v="3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3"/>
    <x v="0"/>
    <x v="3"/>
    <x v="3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3"/>
    <x v="0"/>
    <x v="3"/>
    <x v="3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3"/>
    <x v="0"/>
    <x v="3"/>
    <x v="3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3"/>
    <x v="0"/>
    <x v="3"/>
    <x v="3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3"/>
    <x v="0"/>
    <x v="3"/>
    <x v="3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3"/>
    <x v="0"/>
    <x v="3"/>
    <x v="3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3"/>
    <x v="0"/>
    <x v="3"/>
    <x v="3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3"/>
    <x v="0"/>
    <x v="3"/>
    <x v="3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3"/>
    <x v="0"/>
    <x v="3"/>
    <x v="3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3"/>
    <x v="0"/>
    <x v="3"/>
    <x v="3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3"/>
    <x v="0"/>
    <x v="3"/>
    <x v="3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3"/>
    <x v="0"/>
    <x v="3"/>
    <x v="3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3"/>
    <x v="0"/>
    <x v="3"/>
    <x v="3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3"/>
    <x v="0"/>
    <x v="3"/>
    <x v="3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3"/>
    <x v="0"/>
    <x v="3"/>
    <x v="3"/>
    <x v="1"/>
    <x v="6"/>
    <x v="0"/>
    <x v="0"/>
    <x v="2"/>
    <x v="2"/>
    <x v="17"/>
    <x v="17"/>
    <x v="3"/>
    <x v="7"/>
    <x v="7"/>
    <x v="7"/>
    <x v="7"/>
    <n v="942.37363760597202"/>
    <x v="0"/>
    <x v="0"/>
    <x v="1"/>
    <x v="4"/>
    <x v="5"/>
    <x v="7"/>
    <n v="1027.1872649905097"/>
  </r>
  <r>
    <x v="3"/>
    <x v="0"/>
    <x v="3"/>
    <x v="3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3"/>
    <x v="0"/>
    <x v="3"/>
    <x v="3"/>
    <x v="1"/>
    <x v="6"/>
    <x v="0"/>
    <x v="0"/>
    <x v="2"/>
    <x v="2"/>
    <x v="17"/>
    <x v="17"/>
    <x v="1"/>
    <x v="8"/>
    <x v="8"/>
    <x v="7"/>
    <x v="7"/>
    <n v="77.356277001457599"/>
    <x v="0"/>
    <x v="0"/>
    <x v="1"/>
    <x v="4"/>
    <x v="5"/>
    <x v="7"/>
    <n v="84.31834193158879"/>
  </r>
  <r>
    <x v="3"/>
    <x v="0"/>
    <x v="3"/>
    <x v="3"/>
    <x v="1"/>
    <x v="6"/>
    <x v="0"/>
    <x v="0"/>
    <x v="2"/>
    <x v="2"/>
    <x v="17"/>
    <x v="17"/>
    <x v="1"/>
    <x v="8"/>
    <x v="8"/>
    <x v="40"/>
    <x v="40"/>
    <n v="244.19217"/>
    <x v="1"/>
    <x v="2"/>
    <x v="5"/>
    <x v="7"/>
    <x v="11"/>
    <x v="22"/>
    <n v="266.16946530000001"/>
  </r>
  <r>
    <x v="3"/>
    <x v="0"/>
    <x v="3"/>
    <x v="3"/>
    <x v="1"/>
    <x v="6"/>
    <x v="0"/>
    <x v="0"/>
    <x v="2"/>
    <x v="2"/>
    <x v="17"/>
    <x v="17"/>
    <x v="0"/>
    <x v="9"/>
    <x v="9"/>
    <x v="7"/>
    <x v="7"/>
    <n v="896.37748429707199"/>
    <x v="0"/>
    <x v="0"/>
    <x v="1"/>
    <x v="4"/>
    <x v="5"/>
    <x v="7"/>
    <n v="977.05145788380855"/>
  </r>
  <r>
    <x v="3"/>
    <x v="0"/>
    <x v="3"/>
    <x v="3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3"/>
    <x v="0"/>
    <x v="3"/>
    <x v="3"/>
    <x v="1"/>
    <x v="6"/>
    <x v="0"/>
    <x v="0"/>
    <x v="2"/>
    <x v="2"/>
    <x v="17"/>
    <x v="17"/>
    <x v="2"/>
    <x v="10"/>
    <x v="10"/>
    <x v="7"/>
    <x v="7"/>
    <n v="246.68059581235201"/>
    <x v="0"/>
    <x v="0"/>
    <x v="1"/>
    <x v="4"/>
    <x v="5"/>
    <x v="7"/>
    <n v="268.88184943546372"/>
  </r>
  <r>
    <x v="3"/>
    <x v="0"/>
    <x v="3"/>
    <x v="3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3"/>
    <x v="0"/>
    <x v="3"/>
    <x v="3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3"/>
    <x v="0"/>
    <x v="3"/>
    <x v="3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3"/>
    <x v="0"/>
    <x v="3"/>
    <x v="3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3"/>
    <x v="0"/>
    <x v="3"/>
    <x v="3"/>
    <x v="1"/>
    <x v="6"/>
    <x v="0"/>
    <x v="0"/>
    <x v="2"/>
    <x v="2"/>
    <x v="17"/>
    <x v="17"/>
    <x v="4"/>
    <x v="5"/>
    <x v="5"/>
    <x v="7"/>
    <x v="7"/>
    <n v="552.72137280781806"/>
    <x v="0"/>
    <x v="0"/>
    <x v="1"/>
    <x v="4"/>
    <x v="5"/>
    <x v="7"/>
    <n v="602.46629636052171"/>
  </r>
  <r>
    <x v="3"/>
    <x v="0"/>
    <x v="3"/>
    <x v="3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3"/>
    <x v="0"/>
    <x v="3"/>
    <x v="3"/>
    <x v="1"/>
    <x v="6"/>
    <x v="0"/>
    <x v="0"/>
    <x v="2"/>
    <x v="2"/>
    <x v="17"/>
    <x v="17"/>
    <x v="4"/>
    <x v="5"/>
    <x v="5"/>
    <x v="40"/>
    <x v="40"/>
    <n v="1872.1048900000001"/>
    <x v="1"/>
    <x v="2"/>
    <x v="5"/>
    <x v="7"/>
    <x v="11"/>
    <x v="22"/>
    <n v="2040.5943301000002"/>
  </r>
  <r>
    <x v="3"/>
    <x v="0"/>
    <x v="3"/>
    <x v="3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3"/>
    <x v="0"/>
    <x v="3"/>
    <x v="3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3"/>
    <x v="0"/>
    <x v="3"/>
    <x v="3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3"/>
    <x v="0"/>
    <x v="3"/>
    <x v="3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3"/>
    <x v="0"/>
    <x v="3"/>
    <x v="3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3"/>
    <x v="0"/>
    <x v="3"/>
    <x v="3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3"/>
    <x v="0"/>
    <x v="3"/>
    <x v="3"/>
    <x v="1"/>
    <x v="7"/>
    <x v="0"/>
    <x v="0"/>
    <x v="0"/>
    <x v="0"/>
    <x v="0"/>
    <x v="0"/>
    <x v="3"/>
    <x v="3"/>
    <x v="3"/>
    <x v="11"/>
    <x v="11"/>
    <n v="261.68714999999997"/>
    <x v="0"/>
    <x v="0"/>
    <x v="3"/>
    <x v="5"/>
    <x v="7"/>
    <x v="11"/>
    <n v="285.23899349999999"/>
  </r>
  <r>
    <x v="3"/>
    <x v="0"/>
    <x v="3"/>
    <x v="3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3"/>
    <x v="0"/>
    <x v="3"/>
    <x v="3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3"/>
    <x v="0"/>
    <x v="3"/>
    <x v="3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3"/>
    <x v="0"/>
    <x v="3"/>
    <x v="3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3"/>
    <x v="0"/>
    <x v="3"/>
    <x v="3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3"/>
    <x v="0"/>
    <x v="3"/>
    <x v="3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3"/>
    <x v="0"/>
    <x v="3"/>
    <x v="3"/>
    <x v="1"/>
    <x v="7"/>
    <x v="0"/>
    <x v="0"/>
    <x v="0"/>
    <x v="0"/>
    <x v="0"/>
    <x v="0"/>
    <x v="2"/>
    <x v="2"/>
    <x v="2"/>
    <x v="9"/>
    <x v="9"/>
    <n v="4.7614678899053997"/>
    <x v="0"/>
    <x v="0"/>
    <x v="1"/>
    <x v="4"/>
    <x v="5"/>
    <x v="9"/>
    <n v="5.1899999999968864"/>
  </r>
  <r>
    <x v="3"/>
    <x v="0"/>
    <x v="3"/>
    <x v="3"/>
    <x v="1"/>
    <x v="7"/>
    <x v="0"/>
    <x v="0"/>
    <x v="0"/>
    <x v="0"/>
    <x v="0"/>
    <x v="0"/>
    <x v="2"/>
    <x v="2"/>
    <x v="2"/>
    <x v="10"/>
    <x v="10"/>
    <n v="2.3495412844022598"/>
    <x v="0"/>
    <x v="0"/>
    <x v="1"/>
    <x v="4"/>
    <x v="5"/>
    <x v="10"/>
    <n v="2.5609999999984634"/>
  </r>
  <r>
    <x v="3"/>
    <x v="0"/>
    <x v="3"/>
    <x v="3"/>
    <x v="1"/>
    <x v="7"/>
    <x v="0"/>
    <x v="0"/>
    <x v="0"/>
    <x v="0"/>
    <x v="0"/>
    <x v="0"/>
    <x v="2"/>
    <x v="2"/>
    <x v="2"/>
    <x v="11"/>
    <x v="11"/>
    <n v="535.33082000000002"/>
    <x v="0"/>
    <x v="0"/>
    <x v="3"/>
    <x v="5"/>
    <x v="7"/>
    <x v="11"/>
    <n v="583.51059380000004"/>
  </r>
  <r>
    <x v="3"/>
    <x v="0"/>
    <x v="3"/>
    <x v="3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3"/>
    <x v="0"/>
    <x v="3"/>
    <x v="3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3"/>
    <x v="0"/>
    <x v="3"/>
    <x v="3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3"/>
    <x v="0"/>
    <x v="3"/>
    <x v="3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3"/>
    <x v="0"/>
    <x v="3"/>
    <x v="3"/>
    <x v="1"/>
    <x v="7"/>
    <x v="0"/>
    <x v="0"/>
    <x v="0"/>
    <x v="0"/>
    <x v="0"/>
    <x v="0"/>
    <x v="2"/>
    <x v="2"/>
    <x v="2"/>
    <x v="18"/>
    <x v="18"/>
    <n v="38.469000000000001"/>
    <x v="0"/>
    <x v="0"/>
    <x v="0"/>
    <x v="0"/>
    <x v="4"/>
    <x v="18"/>
    <n v="41.931210000000007"/>
  </r>
  <r>
    <x v="3"/>
    <x v="0"/>
    <x v="3"/>
    <x v="3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3"/>
    <x v="0"/>
    <x v="3"/>
    <x v="3"/>
    <x v="1"/>
    <x v="7"/>
    <x v="0"/>
    <x v="0"/>
    <x v="0"/>
    <x v="0"/>
    <x v="0"/>
    <x v="0"/>
    <x v="2"/>
    <x v="2"/>
    <x v="2"/>
    <x v="1"/>
    <x v="1"/>
    <n v="74.009187941297199"/>
    <x v="0"/>
    <x v="0"/>
    <x v="1"/>
    <x v="1"/>
    <x v="1"/>
    <x v="1"/>
    <n v="80.67001485601395"/>
  </r>
  <r>
    <x v="3"/>
    <x v="0"/>
    <x v="3"/>
    <x v="3"/>
    <x v="1"/>
    <x v="7"/>
    <x v="0"/>
    <x v="0"/>
    <x v="0"/>
    <x v="0"/>
    <x v="0"/>
    <x v="0"/>
    <x v="1"/>
    <x v="6"/>
    <x v="6"/>
    <x v="11"/>
    <x v="11"/>
    <n v="51.19014"/>
    <x v="0"/>
    <x v="0"/>
    <x v="3"/>
    <x v="5"/>
    <x v="7"/>
    <x v="11"/>
    <n v="55.7972526"/>
  </r>
  <r>
    <x v="3"/>
    <x v="0"/>
    <x v="3"/>
    <x v="3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3"/>
    <x v="0"/>
    <x v="3"/>
    <x v="3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3"/>
    <x v="0"/>
    <x v="3"/>
    <x v="3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3"/>
    <x v="0"/>
    <x v="3"/>
    <x v="3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3"/>
    <x v="0"/>
    <x v="3"/>
    <x v="3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3"/>
    <x v="0"/>
    <x v="3"/>
    <x v="3"/>
    <x v="1"/>
    <x v="7"/>
    <x v="0"/>
    <x v="0"/>
    <x v="0"/>
    <x v="0"/>
    <x v="3"/>
    <x v="3"/>
    <x v="2"/>
    <x v="2"/>
    <x v="2"/>
    <x v="5"/>
    <x v="5"/>
    <n v="3.53371165646857"/>
    <x v="0"/>
    <x v="0"/>
    <x v="1"/>
    <x v="1"/>
    <x v="1"/>
    <x v="5"/>
    <n v="3.8517457055507416"/>
  </r>
  <r>
    <x v="3"/>
    <x v="0"/>
    <x v="3"/>
    <x v="3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3"/>
    <x v="0"/>
    <x v="3"/>
    <x v="3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4"/>
    <x v="0"/>
    <x v="4"/>
    <x v="4"/>
    <x v="0"/>
    <x v="0"/>
    <x v="0"/>
    <x v="0"/>
    <x v="0"/>
    <x v="0"/>
    <x v="2"/>
    <x v="2"/>
    <x v="2"/>
    <x v="2"/>
    <x v="2"/>
    <x v="2"/>
    <x v="2"/>
    <n v="0.15058715596321001"/>
    <x v="0"/>
    <x v="1"/>
    <x v="2"/>
    <x v="2"/>
    <x v="13"/>
    <x v="2"/>
    <n v="0.16413999999989892"/>
  </r>
  <r>
    <x v="4"/>
    <x v="0"/>
    <x v="4"/>
    <x v="4"/>
    <x v="0"/>
    <x v="0"/>
    <x v="0"/>
    <x v="0"/>
    <x v="0"/>
    <x v="0"/>
    <x v="2"/>
    <x v="2"/>
    <x v="4"/>
    <x v="5"/>
    <x v="5"/>
    <x v="6"/>
    <x v="6"/>
    <n v="4.6325200000000004"/>
    <x v="0"/>
    <x v="0"/>
    <x v="0"/>
    <x v="0"/>
    <x v="4"/>
    <x v="6"/>
    <n v="5.049446800000001"/>
  </r>
  <r>
    <x v="4"/>
    <x v="0"/>
    <x v="4"/>
    <x v="4"/>
    <x v="0"/>
    <x v="0"/>
    <x v="0"/>
    <x v="0"/>
    <x v="0"/>
    <x v="0"/>
    <x v="2"/>
    <x v="2"/>
    <x v="4"/>
    <x v="5"/>
    <x v="5"/>
    <x v="18"/>
    <x v="18"/>
    <n v="2.6675599999999999"/>
    <x v="0"/>
    <x v="0"/>
    <x v="0"/>
    <x v="0"/>
    <x v="4"/>
    <x v="18"/>
    <n v="2.9076404"/>
  </r>
  <r>
    <x v="4"/>
    <x v="0"/>
    <x v="4"/>
    <x v="4"/>
    <x v="0"/>
    <x v="0"/>
    <x v="0"/>
    <x v="0"/>
    <x v="0"/>
    <x v="0"/>
    <x v="0"/>
    <x v="0"/>
    <x v="3"/>
    <x v="3"/>
    <x v="3"/>
    <x v="5"/>
    <x v="5"/>
    <n v="334.868141106839"/>
    <x v="0"/>
    <x v="0"/>
    <x v="1"/>
    <x v="1"/>
    <x v="1"/>
    <x v="5"/>
    <n v="365.00627380645454"/>
  </r>
  <r>
    <x v="4"/>
    <x v="0"/>
    <x v="4"/>
    <x v="4"/>
    <x v="0"/>
    <x v="0"/>
    <x v="0"/>
    <x v="0"/>
    <x v="0"/>
    <x v="0"/>
    <x v="0"/>
    <x v="0"/>
    <x v="3"/>
    <x v="3"/>
    <x v="3"/>
    <x v="6"/>
    <x v="6"/>
    <n v="63.188000000000002"/>
    <x v="0"/>
    <x v="0"/>
    <x v="0"/>
    <x v="0"/>
    <x v="4"/>
    <x v="6"/>
    <n v="68.874920000000003"/>
  </r>
  <r>
    <x v="4"/>
    <x v="0"/>
    <x v="4"/>
    <x v="4"/>
    <x v="0"/>
    <x v="0"/>
    <x v="0"/>
    <x v="0"/>
    <x v="0"/>
    <x v="0"/>
    <x v="0"/>
    <x v="0"/>
    <x v="3"/>
    <x v="3"/>
    <x v="3"/>
    <x v="8"/>
    <x v="8"/>
    <n v="10.846189189258601"/>
    <x v="0"/>
    <x v="1"/>
    <x v="2"/>
    <x v="2"/>
    <x v="6"/>
    <x v="8"/>
    <n v="11.822346216291876"/>
  </r>
  <r>
    <x v="4"/>
    <x v="0"/>
    <x v="4"/>
    <x v="4"/>
    <x v="0"/>
    <x v="0"/>
    <x v="0"/>
    <x v="0"/>
    <x v="0"/>
    <x v="0"/>
    <x v="0"/>
    <x v="0"/>
    <x v="3"/>
    <x v="3"/>
    <x v="3"/>
    <x v="11"/>
    <x v="11"/>
    <n v="0.85377999999999998"/>
    <x v="0"/>
    <x v="0"/>
    <x v="3"/>
    <x v="5"/>
    <x v="7"/>
    <x v="11"/>
    <n v="0.93062020000000001"/>
  </r>
  <r>
    <x v="4"/>
    <x v="0"/>
    <x v="4"/>
    <x v="4"/>
    <x v="0"/>
    <x v="0"/>
    <x v="0"/>
    <x v="0"/>
    <x v="0"/>
    <x v="0"/>
    <x v="0"/>
    <x v="0"/>
    <x v="3"/>
    <x v="3"/>
    <x v="3"/>
    <x v="12"/>
    <x v="12"/>
    <n v="316.03639534763602"/>
    <x v="0"/>
    <x v="0"/>
    <x v="0"/>
    <x v="0"/>
    <x v="8"/>
    <x v="12"/>
    <n v="344.47967092892327"/>
  </r>
  <r>
    <x v="4"/>
    <x v="0"/>
    <x v="4"/>
    <x v="4"/>
    <x v="0"/>
    <x v="0"/>
    <x v="0"/>
    <x v="0"/>
    <x v="0"/>
    <x v="0"/>
    <x v="0"/>
    <x v="0"/>
    <x v="3"/>
    <x v="3"/>
    <x v="3"/>
    <x v="32"/>
    <x v="32"/>
    <n v="6.7277777776257297"/>
    <x v="0"/>
    <x v="0"/>
    <x v="1"/>
    <x v="1"/>
    <x v="1"/>
    <x v="20"/>
    <n v="7.3332777776120457"/>
  </r>
  <r>
    <x v="4"/>
    <x v="0"/>
    <x v="4"/>
    <x v="4"/>
    <x v="0"/>
    <x v="0"/>
    <x v="0"/>
    <x v="0"/>
    <x v="0"/>
    <x v="0"/>
    <x v="0"/>
    <x v="0"/>
    <x v="3"/>
    <x v="3"/>
    <x v="3"/>
    <x v="14"/>
    <x v="14"/>
    <n v="190.87411"/>
    <x v="0"/>
    <x v="0"/>
    <x v="0"/>
    <x v="0"/>
    <x v="8"/>
    <x v="14"/>
    <n v="208.05277990000002"/>
  </r>
  <r>
    <x v="4"/>
    <x v="0"/>
    <x v="4"/>
    <x v="4"/>
    <x v="0"/>
    <x v="0"/>
    <x v="0"/>
    <x v="0"/>
    <x v="0"/>
    <x v="0"/>
    <x v="0"/>
    <x v="0"/>
    <x v="3"/>
    <x v="3"/>
    <x v="3"/>
    <x v="16"/>
    <x v="16"/>
    <n v="336.20947999999999"/>
    <x v="0"/>
    <x v="0"/>
    <x v="3"/>
    <x v="5"/>
    <x v="9"/>
    <x v="16"/>
    <n v="366.46833320000002"/>
  </r>
  <r>
    <x v="4"/>
    <x v="0"/>
    <x v="4"/>
    <x v="4"/>
    <x v="0"/>
    <x v="0"/>
    <x v="0"/>
    <x v="0"/>
    <x v="0"/>
    <x v="0"/>
    <x v="0"/>
    <x v="0"/>
    <x v="3"/>
    <x v="3"/>
    <x v="3"/>
    <x v="18"/>
    <x v="18"/>
    <n v="8.8640000000000008"/>
    <x v="0"/>
    <x v="0"/>
    <x v="0"/>
    <x v="0"/>
    <x v="4"/>
    <x v="18"/>
    <n v="9.661760000000001"/>
  </r>
  <r>
    <x v="4"/>
    <x v="0"/>
    <x v="4"/>
    <x v="4"/>
    <x v="0"/>
    <x v="0"/>
    <x v="0"/>
    <x v="0"/>
    <x v="0"/>
    <x v="0"/>
    <x v="0"/>
    <x v="0"/>
    <x v="3"/>
    <x v="3"/>
    <x v="3"/>
    <x v="2"/>
    <x v="2"/>
    <n v="656.60472477024803"/>
    <x v="0"/>
    <x v="1"/>
    <x v="2"/>
    <x v="2"/>
    <x v="13"/>
    <x v="2"/>
    <n v="715.69914999957041"/>
  </r>
  <r>
    <x v="4"/>
    <x v="0"/>
    <x v="4"/>
    <x v="4"/>
    <x v="0"/>
    <x v="0"/>
    <x v="0"/>
    <x v="0"/>
    <x v="0"/>
    <x v="0"/>
    <x v="0"/>
    <x v="0"/>
    <x v="0"/>
    <x v="4"/>
    <x v="4"/>
    <x v="5"/>
    <x v="5"/>
    <n v="725.67424540428794"/>
    <x v="0"/>
    <x v="0"/>
    <x v="1"/>
    <x v="1"/>
    <x v="1"/>
    <x v="5"/>
    <n v="790.98492749067395"/>
  </r>
  <r>
    <x v="4"/>
    <x v="0"/>
    <x v="4"/>
    <x v="4"/>
    <x v="0"/>
    <x v="0"/>
    <x v="0"/>
    <x v="0"/>
    <x v="0"/>
    <x v="0"/>
    <x v="0"/>
    <x v="0"/>
    <x v="0"/>
    <x v="4"/>
    <x v="4"/>
    <x v="6"/>
    <x v="6"/>
    <n v="73.225920000000002"/>
    <x v="0"/>
    <x v="0"/>
    <x v="0"/>
    <x v="0"/>
    <x v="4"/>
    <x v="6"/>
    <n v="79.816252800000015"/>
  </r>
  <r>
    <x v="4"/>
    <x v="0"/>
    <x v="4"/>
    <x v="4"/>
    <x v="0"/>
    <x v="0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4"/>
    <x v="0"/>
    <x v="4"/>
    <x v="4"/>
    <x v="0"/>
    <x v="0"/>
    <x v="0"/>
    <x v="0"/>
    <x v="0"/>
    <x v="0"/>
    <x v="0"/>
    <x v="0"/>
    <x v="0"/>
    <x v="4"/>
    <x v="4"/>
    <x v="8"/>
    <x v="8"/>
    <n v="1068.7653986554899"/>
    <x v="0"/>
    <x v="1"/>
    <x v="2"/>
    <x v="2"/>
    <x v="6"/>
    <x v="8"/>
    <n v="1164.954284534484"/>
  </r>
  <r>
    <x v="4"/>
    <x v="0"/>
    <x v="4"/>
    <x v="4"/>
    <x v="0"/>
    <x v="0"/>
    <x v="0"/>
    <x v="0"/>
    <x v="0"/>
    <x v="0"/>
    <x v="0"/>
    <x v="0"/>
    <x v="0"/>
    <x v="4"/>
    <x v="4"/>
    <x v="10"/>
    <x v="10"/>
    <n v="14.4963302752207"/>
    <x v="0"/>
    <x v="0"/>
    <x v="1"/>
    <x v="4"/>
    <x v="5"/>
    <x v="10"/>
    <n v="15.800999999990564"/>
  </r>
  <r>
    <x v="4"/>
    <x v="0"/>
    <x v="4"/>
    <x v="4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4"/>
    <x v="0"/>
    <x v="4"/>
    <x v="4"/>
    <x v="0"/>
    <x v="0"/>
    <x v="0"/>
    <x v="0"/>
    <x v="0"/>
    <x v="0"/>
    <x v="0"/>
    <x v="0"/>
    <x v="0"/>
    <x v="4"/>
    <x v="4"/>
    <x v="12"/>
    <x v="12"/>
    <n v="529.49477906775496"/>
    <x v="0"/>
    <x v="0"/>
    <x v="0"/>
    <x v="0"/>
    <x v="8"/>
    <x v="12"/>
    <n v="577.14930918385301"/>
  </r>
  <r>
    <x v="4"/>
    <x v="0"/>
    <x v="4"/>
    <x v="4"/>
    <x v="0"/>
    <x v="0"/>
    <x v="0"/>
    <x v="0"/>
    <x v="0"/>
    <x v="0"/>
    <x v="0"/>
    <x v="0"/>
    <x v="0"/>
    <x v="4"/>
    <x v="4"/>
    <x v="14"/>
    <x v="14"/>
    <n v="169.28462999999999"/>
    <x v="0"/>
    <x v="0"/>
    <x v="0"/>
    <x v="0"/>
    <x v="8"/>
    <x v="14"/>
    <n v="184.5202467"/>
  </r>
  <r>
    <x v="4"/>
    <x v="0"/>
    <x v="4"/>
    <x v="4"/>
    <x v="0"/>
    <x v="0"/>
    <x v="0"/>
    <x v="0"/>
    <x v="0"/>
    <x v="0"/>
    <x v="0"/>
    <x v="0"/>
    <x v="0"/>
    <x v="4"/>
    <x v="4"/>
    <x v="22"/>
    <x v="22"/>
    <n v="21.505376343999998"/>
    <x v="0"/>
    <x v="0"/>
    <x v="0"/>
    <x v="0"/>
    <x v="0"/>
    <x v="0"/>
    <n v="23.440860214960001"/>
  </r>
  <r>
    <x v="4"/>
    <x v="0"/>
    <x v="4"/>
    <x v="4"/>
    <x v="0"/>
    <x v="0"/>
    <x v="0"/>
    <x v="0"/>
    <x v="0"/>
    <x v="0"/>
    <x v="0"/>
    <x v="0"/>
    <x v="0"/>
    <x v="4"/>
    <x v="4"/>
    <x v="16"/>
    <x v="16"/>
    <n v="785.06048999999996"/>
    <x v="0"/>
    <x v="0"/>
    <x v="3"/>
    <x v="5"/>
    <x v="9"/>
    <x v="16"/>
    <n v="855.71593410000003"/>
  </r>
  <r>
    <x v="4"/>
    <x v="0"/>
    <x v="4"/>
    <x v="4"/>
    <x v="0"/>
    <x v="0"/>
    <x v="0"/>
    <x v="0"/>
    <x v="0"/>
    <x v="0"/>
    <x v="0"/>
    <x v="0"/>
    <x v="0"/>
    <x v="4"/>
    <x v="4"/>
    <x v="17"/>
    <x v="17"/>
    <n v="30.84196"/>
    <x v="0"/>
    <x v="0"/>
    <x v="0"/>
    <x v="0"/>
    <x v="4"/>
    <x v="17"/>
    <n v="33.617736400000005"/>
  </r>
  <r>
    <x v="4"/>
    <x v="0"/>
    <x v="4"/>
    <x v="4"/>
    <x v="0"/>
    <x v="0"/>
    <x v="0"/>
    <x v="0"/>
    <x v="0"/>
    <x v="0"/>
    <x v="0"/>
    <x v="0"/>
    <x v="0"/>
    <x v="4"/>
    <x v="4"/>
    <x v="18"/>
    <x v="18"/>
    <n v="142.42672999999999"/>
    <x v="0"/>
    <x v="0"/>
    <x v="0"/>
    <x v="0"/>
    <x v="4"/>
    <x v="18"/>
    <n v="155.24513569999999"/>
  </r>
  <r>
    <x v="4"/>
    <x v="0"/>
    <x v="4"/>
    <x v="4"/>
    <x v="0"/>
    <x v="0"/>
    <x v="0"/>
    <x v="0"/>
    <x v="0"/>
    <x v="0"/>
    <x v="0"/>
    <x v="0"/>
    <x v="0"/>
    <x v="4"/>
    <x v="4"/>
    <x v="0"/>
    <x v="0"/>
    <n v="8.7146325622531808"/>
    <x v="0"/>
    <x v="0"/>
    <x v="0"/>
    <x v="0"/>
    <x v="0"/>
    <x v="0"/>
    <n v="9.4989494928559672"/>
  </r>
  <r>
    <x v="4"/>
    <x v="0"/>
    <x v="4"/>
    <x v="4"/>
    <x v="0"/>
    <x v="0"/>
    <x v="0"/>
    <x v="0"/>
    <x v="0"/>
    <x v="0"/>
    <x v="0"/>
    <x v="0"/>
    <x v="0"/>
    <x v="4"/>
    <x v="4"/>
    <x v="2"/>
    <x v="2"/>
    <n v="2775.6605779799902"/>
    <x v="0"/>
    <x v="1"/>
    <x v="2"/>
    <x v="2"/>
    <x v="13"/>
    <x v="2"/>
    <n v="3025.4700299981896"/>
  </r>
  <r>
    <x v="4"/>
    <x v="0"/>
    <x v="4"/>
    <x v="4"/>
    <x v="0"/>
    <x v="0"/>
    <x v="0"/>
    <x v="0"/>
    <x v="0"/>
    <x v="0"/>
    <x v="0"/>
    <x v="0"/>
    <x v="0"/>
    <x v="0"/>
    <x v="0"/>
    <x v="5"/>
    <x v="5"/>
    <n v="28.915576687336301"/>
    <x v="0"/>
    <x v="0"/>
    <x v="1"/>
    <x v="1"/>
    <x v="1"/>
    <x v="5"/>
    <n v="31.51797858919657"/>
  </r>
  <r>
    <x v="4"/>
    <x v="0"/>
    <x v="4"/>
    <x v="4"/>
    <x v="0"/>
    <x v="0"/>
    <x v="0"/>
    <x v="0"/>
    <x v="0"/>
    <x v="0"/>
    <x v="0"/>
    <x v="0"/>
    <x v="0"/>
    <x v="0"/>
    <x v="0"/>
    <x v="6"/>
    <x v="6"/>
    <n v="128.57319000000001"/>
    <x v="0"/>
    <x v="0"/>
    <x v="0"/>
    <x v="0"/>
    <x v="4"/>
    <x v="6"/>
    <n v="140.14477710000003"/>
  </r>
  <r>
    <x v="4"/>
    <x v="0"/>
    <x v="4"/>
    <x v="4"/>
    <x v="0"/>
    <x v="0"/>
    <x v="0"/>
    <x v="0"/>
    <x v="0"/>
    <x v="0"/>
    <x v="0"/>
    <x v="0"/>
    <x v="0"/>
    <x v="0"/>
    <x v="0"/>
    <x v="7"/>
    <x v="7"/>
    <n v="27.900183486221799"/>
    <x v="0"/>
    <x v="0"/>
    <x v="1"/>
    <x v="4"/>
    <x v="5"/>
    <x v="7"/>
    <n v="30.411199999981765"/>
  </r>
  <r>
    <x v="4"/>
    <x v="0"/>
    <x v="4"/>
    <x v="4"/>
    <x v="0"/>
    <x v="0"/>
    <x v="0"/>
    <x v="0"/>
    <x v="0"/>
    <x v="0"/>
    <x v="0"/>
    <x v="0"/>
    <x v="0"/>
    <x v="0"/>
    <x v="0"/>
    <x v="8"/>
    <x v="8"/>
    <n v="2448.2512094751301"/>
    <x v="0"/>
    <x v="1"/>
    <x v="2"/>
    <x v="2"/>
    <x v="6"/>
    <x v="8"/>
    <n v="2668.5938183278918"/>
  </r>
  <r>
    <x v="4"/>
    <x v="0"/>
    <x v="4"/>
    <x v="4"/>
    <x v="0"/>
    <x v="0"/>
    <x v="0"/>
    <x v="0"/>
    <x v="0"/>
    <x v="0"/>
    <x v="0"/>
    <x v="0"/>
    <x v="0"/>
    <x v="0"/>
    <x v="0"/>
    <x v="9"/>
    <x v="9"/>
    <n v="10.990710118308799"/>
    <x v="0"/>
    <x v="0"/>
    <x v="1"/>
    <x v="4"/>
    <x v="5"/>
    <x v="9"/>
    <n v="11.979874028956592"/>
  </r>
  <r>
    <x v="4"/>
    <x v="0"/>
    <x v="4"/>
    <x v="4"/>
    <x v="0"/>
    <x v="0"/>
    <x v="0"/>
    <x v="0"/>
    <x v="0"/>
    <x v="0"/>
    <x v="0"/>
    <x v="0"/>
    <x v="0"/>
    <x v="0"/>
    <x v="0"/>
    <x v="10"/>
    <x v="10"/>
    <n v="27.338729047215999"/>
    <x v="0"/>
    <x v="0"/>
    <x v="1"/>
    <x v="4"/>
    <x v="5"/>
    <x v="10"/>
    <n v="29.799214661465442"/>
  </r>
  <r>
    <x v="4"/>
    <x v="0"/>
    <x v="4"/>
    <x v="4"/>
    <x v="0"/>
    <x v="0"/>
    <x v="0"/>
    <x v="0"/>
    <x v="0"/>
    <x v="0"/>
    <x v="0"/>
    <x v="0"/>
    <x v="0"/>
    <x v="0"/>
    <x v="0"/>
    <x v="55"/>
    <x v="55"/>
    <n v="0.39437614678874999"/>
    <x v="0"/>
    <x v="0"/>
    <x v="1"/>
    <x v="3"/>
    <x v="3"/>
    <x v="15"/>
    <n v="0.42986999999973752"/>
  </r>
  <r>
    <x v="4"/>
    <x v="0"/>
    <x v="4"/>
    <x v="4"/>
    <x v="0"/>
    <x v="0"/>
    <x v="0"/>
    <x v="0"/>
    <x v="0"/>
    <x v="0"/>
    <x v="0"/>
    <x v="0"/>
    <x v="0"/>
    <x v="0"/>
    <x v="0"/>
    <x v="11"/>
    <x v="11"/>
    <n v="10.025499999999999"/>
    <x v="0"/>
    <x v="0"/>
    <x v="3"/>
    <x v="5"/>
    <x v="7"/>
    <x v="11"/>
    <n v="10.927795"/>
  </r>
  <r>
    <x v="4"/>
    <x v="0"/>
    <x v="4"/>
    <x v="4"/>
    <x v="0"/>
    <x v="0"/>
    <x v="0"/>
    <x v="0"/>
    <x v="0"/>
    <x v="0"/>
    <x v="0"/>
    <x v="0"/>
    <x v="0"/>
    <x v="0"/>
    <x v="0"/>
    <x v="12"/>
    <x v="12"/>
    <n v="640.03301162547496"/>
    <x v="0"/>
    <x v="0"/>
    <x v="0"/>
    <x v="0"/>
    <x v="8"/>
    <x v="12"/>
    <n v="697.63598267176781"/>
  </r>
  <r>
    <x v="4"/>
    <x v="0"/>
    <x v="4"/>
    <x v="4"/>
    <x v="0"/>
    <x v="0"/>
    <x v="0"/>
    <x v="0"/>
    <x v="0"/>
    <x v="0"/>
    <x v="0"/>
    <x v="0"/>
    <x v="0"/>
    <x v="0"/>
    <x v="0"/>
    <x v="14"/>
    <x v="14"/>
    <n v="31.229880000000001"/>
    <x v="0"/>
    <x v="0"/>
    <x v="0"/>
    <x v="0"/>
    <x v="8"/>
    <x v="14"/>
    <n v="34.040569200000007"/>
  </r>
  <r>
    <x v="4"/>
    <x v="0"/>
    <x v="4"/>
    <x v="4"/>
    <x v="0"/>
    <x v="0"/>
    <x v="0"/>
    <x v="0"/>
    <x v="0"/>
    <x v="0"/>
    <x v="0"/>
    <x v="0"/>
    <x v="0"/>
    <x v="0"/>
    <x v="0"/>
    <x v="22"/>
    <x v="22"/>
    <n v="2.91925403224639"/>
    <x v="0"/>
    <x v="0"/>
    <x v="0"/>
    <x v="0"/>
    <x v="0"/>
    <x v="0"/>
    <n v="3.1819868951485653"/>
  </r>
  <r>
    <x v="4"/>
    <x v="0"/>
    <x v="4"/>
    <x v="4"/>
    <x v="0"/>
    <x v="0"/>
    <x v="0"/>
    <x v="0"/>
    <x v="0"/>
    <x v="0"/>
    <x v="0"/>
    <x v="0"/>
    <x v="0"/>
    <x v="0"/>
    <x v="0"/>
    <x v="23"/>
    <x v="23"/>
    <n v="2.4877155963287798"/>
    <x v="0"/>
    <x v="0"/>
    <x v="1"/>
    <x v="3"/>
    <x v="3"/>
    <x v="15"/>
    <n v="2.71160999999837"/>
  </r>
  <r>
    <x v="4"/>
    <x v="0"/>
    <x v="4"/>
    <x v="4"/>
    <x v="0"/>
    <x v="0"/>
    <x v="0"/>
    <x v="0"/>
    <x v="0"/>
    <x v="0"/>
    <x v="0"/>
    <x v="0"/>
    <x v="0"/>
    <x v="0"/>
    <x v="0"/>
    <x v="24"/>
    <x v="24"/>
    <n v="2.0321100917419002"/>
    <x v="0"/>
    <x v="0"/>
    <x v="1"/>
    <x v="3"/>
    <x v="3"/>
    <x v="4"/>
    <n v="2.2149999999986711"/>
  </r>
  <r>
    <x v="4"/>
    <x v="0"/>
    <x v="4"/>
    <x v="4"/>
    <x v="0"/>
    <x v="0"/>
    <x v="0"/>
    <x v="0"/>
    <x v="0"/>
    <x v="0"/>
    <x v="0"/>
    <x v="0"/>
    <x v="0"/>
    <x v="0"/>
    <x v="0"/>
    <x v="17"/>
    <x v="17"/>
    <n v="1.61896"/>
    <x v="0"/>
    <x v="0"/>
    <x v="0"/>
    <x v="0"/>
    <x v="4"/>
    <x v="17"/>
    <n v="1.7646664000000001"/>
  </r>
  <r>
    <x v="4"/>
    <x v="0"/>
    <x v="4"/>
    <x v="4"/>
    <x v="0"/>
    <x v="0"/>
    <x v="0"/>
    <x v="0"/>
    <x v="0"/>
    <x v="0"/>
    <x v="0"/>
    <x v="0"/>
    <x v="0"/>
    <x v="0"/>
    <x v="0"/>
    <x v="21"/>
    <x v="21"/>
    <n v="6.2578807339412004"/>
    <x v="0"/>
    <x v="0"/>
    <x v="1"/>
    <x v="4"/>
    <x v="5"/>
    <x v="10"/>
    <n v="6.8210899999959089"/>
  </r>
  <r>
    <x v="4"/>
    <x v="0"/>
    <x v="4"/>
    <x v="4"/>
    <x v="0"/>
    <x v="0"/>
    <x v="0"/>
    <x v="0"/>
    <x v="0"/>
    <x v="0"/>
    <x v="0"/>
    <x v="0"/>
    <x v="0"/>
    <x v="0"/>
    <x v="0"/>
    <x v="18"/>
    <x v="18"/>
    <n v="14.23786"/>
    <x v="0"/>
    <x v="0"/>
    <x v="0"/>
    <x v="0"/>
    <x v="4"/>
    <x v="18"/>
    <n v="15.5192674"/>
  </r>
  <r>
    <x v="4"/>
    <x v="0"/>
    <x v="4"/>
    <x v="4"/>
    <x v="0"/>
    <x v="0"/>
    <x v="0"/>
    <x v="0"/>
    <x v="0"/>
    <x v="0"/>
    <x v="0"/>
    <x v="0"/>
    <x v="0"/>
    <x v="0"/>
    <x v="0"/>
    <x v="25"/>
    <x v="25"/>
    <n v="19.963440366960501"/>
    <x v="0"/>
    <x v="0"/>
    <x v="1"/>
    <x v="4"/>
    <x v="5"/>
    <x v="9"/>
    <n v="21.760149999986947"/>
  </r>
  <r>
    <x v="4"/>
    <x v="0"/>
    <x v="4"/>
    <x v="4"/>
    <x v="0"/>
    <x v="0"/>
    <x v="0"/>
    <x v="0"/>
    <x v="0"/>
    <x v="0"/>
    <x v="0"/>
    <x v="0"/>
    <x v="0"/>
    <x v="0"/>
    <x v="0"/>
    <x v="26"/>
    <x v="26"/>
    <n v="0.24886238532095001"/>
    <x v="0"/>
    <x v="0"/>
    <x v="1"/>
    <x v="3"/>
    <x v="3"/>
    <x v="15"/>
    <n v="0.27125999999983552"/>
  </r>
  <r>
    <x v="4"/>
    <x v="0"/>
    <x v="4"/>
    <x v="4"/>
    <x v="0"/>
    <x v="0"/>
    <x v="0"/>
    <x v="0"/>
    <x v="0"/>
    <x v="0"/>
    <x v="0"/>
    <x v="0"/>
    <x v="0"/>
    <x v="0"/>
    <x v="0"/>
    <x v="0"/>
    <x v="0"/>
    <n v="88.532989323595501"/>
    <x v="0"/>
    <x v="0"/>
    <x v="0"/>
    <x v="0"/>
    <x v="0"/>
    <x v="0"/>
    <n v="96.500958362719103"/>
  </r>
  <r>
    <x v="4"/>
    <x v="0"/>
    <x v="4"/>
    <x v="4"/>
    <x v="0"/>
    <x v="0"/>
    <x v="0"/>
    <x v="0"/>
    <x v="0"/>
    <x v="0"/>
    <x v="0"/>
    <x v="0"/>
    <x v="0"/>
    <x v="0"/>
    <x v="0"/>
    <x v="2"/>
    <x v="2"/>
    <n v="1940.4807798153499"/>
    <x v="0"/>
    <x v="1"/>
    <x v="2"/>
    <x v="2"/>
    <x v="13"/>
    <x v="2"/>
    <n v="2115.1240499987316"/>
  </r>
  <r>
    <x v="4"/>
    <x v="0"/>
    <x v="4"/>
    <x v="4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4"/>
    <x v="0"/>
    <x v="4"/>
    <x v="4"/>
    <x v="0"/>
    <x v="0"/>
    <x v="0"/>
    <x v="0"/>
    <x v="0"/>
    <x v="0"/>
    <x v="0"/>
    <x v="0"/>
    <x v="1"/>
    <x v="1"/>
    <x v="1"/>
    <x v="5"/>
    <x v="5"/>
    <n v="69.602245399302006"/>
    <x v="0"/>
    <x v="0"/>
    <x v="1"/>
    <x v="1"/>
    <x v="1"/>
    <x v="5"/>
    <n v="75.866447485239192"/>
  </r>
  <r>
    <x v="4"/>
    <x v="0"/>
    <x v="4"/>
    <x v="4"/>
    <x v="0"/>
    <x v="0"/>
    <x v="0"/>
    <x v="0"/>
    <x v="0"/>
    <x v="0"/>
    <x v="0"/>
    <x v="0"/>
    <x v="1"/>
    <x v="1"/>
    <x v="1"/>
    <x v="6"/>
    <x v="6"/>
    <n v="128.64913999999999"/>
    <x v="0"/>
    <x v="0"/>
    <x v="0"/>
    <x v="0"/>
    <x v="4"/>
    <x v="6"/>
    <n v="140.2275626"/>
  </r>
  <r>
    <x v="4"/>
    <x v="0"/>
    <x v="4"/>
    <x v="4"/>
    <x v="0"/>
    <x v="0"/>
    <x v="0"/>
    <x v="0"/>
    <x v="0"/>
    <x v="0"/>
    <x v="0"/>
    <x v="0"/>
    <x v="1"/>
    <x v="1"/>
    <x v="1"/>
    <x v="7"/>
    <x v="7"/>
    <n v="37.735999999977402"/>
    <x v="0"/>
    <x v="0"/>
    <x v="1"/>
    <x v="4"/>
    <x v="5"/>
    <x v="7"/>
    <n v="41.132239999975369"/>
  </r>
  <r>
    <x v="4"/>
    <x v="0"/>
    <x v="4"/>
    <x v="4"/>
    <x v="0"/>
    <x v="0"/>
    <x v="0"/>
    <x v="0"/>
    <x v="0"/>
    <x v="0"/>
    <x v="0"/>
    <x v="0"/>
    <x v="1"/>
    <x v="1"/>
    <x v="1"/>
    <x v="8"/>
    <x v="8"/>
    <n v="3518.0899392116999"/>
    <x v="0"/>
    <x v="1"/>
    <x v="2"/>
    <x v="2"/>
    <x v="6"/>
    <x v="8"/>
    <n v="3834.7180337407531"/>
  </r>
  <r>
    <x v="4"/>
    <x v="0"/>
    <x v="4"/>
    <x v="4"/>
    <x v="0"/>
    <x v="0"/>
    <x v="0"/>
    <x v="0"/>
    <x v="0"/>
    <x v="0"/>
    <x v="0"/>
    <x v="0"/>
    <x v="1"/>
    <x v="1"/>
    <x v="1"/>
    <x v="9"/>
    <x v="9"/>
    <n v="5.6827825229294398"/>
    <x v="0"/>
    <x v="0"/>
    <x v="1"/>
    <x v="4"/>
    <x v="5"/>
    <x v="9"/>
    <n v="6.1942329499930899"/>
  </r>
  <r>
    <x v="4"/>
    <x v="0"/>
    <x v="4"/>
    <x v="4"/>
    <x v="0"/>
    <x v="0"/>
    <x v="0"/>
    <x v="0"/>
    <x v="0"/>
    <x v="0"/>
    <x v="0"/>
    <x v="0"/>
    <x v="1"/>
    <x v="1"/>
    <x v="1"/>
    <x v="10"/>
    <x v="10"/>
    <n v="6.7336482357312004"/>
    <x v="0"/>
    <x v="0"/>
    <x v="1"/>
    <x v="4"/>
    <x v="5"/>
    <x v="10"/>
    <n v="7.3396765769470091"/>
  </r>
  <r>
    <x v="4"/>
    <x v="0"/>
    <x v="4"/>
    <x v="4"/>
    <x v="0"/>
    <x v="0"/>
    <x v="0"/>
    <x v="0"/>
    <x v="0"/>
    <x v="0"/>
    <x v="0"/>
    <x v="0"/>
    <x v="1"/>
    <x v="1"/>
    <x v="1"/>
    <x v="55"/>
    <x v="55"/>
    <n v="0.77083486238485999"/>
    <x v="0"/>
    <x v="0"/>
    <x v="1"/>
    <x v="3"/>
    <x v="3"/>
    <x v="15"/>
    <n v="0.84020999999949741"/>
  </r>
  <r>
    <x v="4"/>
    <x v="0"/>
    <x v="4"/>
    <x v="4"/>
    <x v="0"/>
    <x v="0"/>
    <x v="0"/>
    <x v="0"/>
    <x v="0"/>
    <x v="0"/>
    <x v="0"/>
    <x v="0"/>
    <x v="1"/>
    <x v="1"/>
    <x v="1"/>
    <x v="11"/>
    <x v="11"/>
    <n v="26.709589999999999"/>
    <x v="0"/>
    <x v="0"/>
    <x v="3"/>
    <x v="5"/>
    <x v="7"/>
    <x v="11"/>
    <n v="29.113453100000001"/>
  </r>
  <r>
    <x v="4"/>
    <x v="0"/>
    <x v="4"/>
    <x v="4"/>
    <x v="0"/>
    <x v="0"/>
    <x v="0"/>
    <x v="0"/>
    <x v="0"/>
    <x v="0"/>
    <x v="0"/>
    <x v="0"/>
    <x v="1"/>
    <x v="1"/>
    <x v="1"/>
    <x v="12"/>
    <x v="12"/>
    <n v="391.368069765955"/>
    <x v="0"/>
    <x v="0"/>
    <x v="0"/>
    <x v="0"/>
    <x v="8"/>
    <x v="12"/>
    <n v="426.59119604489098"/>
  </r>
  <r>
    <x v="4"/>
    <x v="0"/>
    <x v="4"/>
    <x v="4"/>
    <x v="0"/>
    <x v="0"/>
    <x v="0"/>
    <x v="0"/>
    <x v="0"/>
    <x v="0"/>
    <x v="0"/>
    <x v="0"/>
    <x v="1"/>
    <x v="1"/>
    <x v="1"/>
    <x v="14"/>
    <x v="14"/>
    <n v="188.32141999999999"/>
    <x v="0"/>
    <x v="0"/>
    <x v="0"/>
    <x v="0"/>
    <x v="8"/>
    <x v="14"/>
    <n v="205.2703478"/>
  </r>
  <r>
    <x v="4"/>
    <x v="0"/>
    <x v="4"/>
    <x v="4"/>
    <x v="0"/>
    <x v="0"/>
    <x v="0"/>
    <x v="0"/>
    <x v="0"/>
    <x v="0"/>
    <x v="0"/>
    <x v="0"/>
    <x v="1"/>
    <x v="1"/>
    <x v="1"/>
    <x v="15"/>
    <x v="15"/>
    <n v="0.12022018348617"/>
    <x v="0"/>
    <x v="0"/>
    <x v="1"/>
    <x v="3"/>
    <x v="3"/>
    <x v="15"/>
    <n v="0.1310399999999253"/>
  </r>
  <r>
    <x v="4"/>
    <x v="0"/>
    <x v="4"/>
    <x v="4"/>
    <x v="0"/>
    <x v="0"/>
    <x v="0"/>
    <x v="0"/>
    <x v="0"/>
    <x v="0"/>
    <x v="0"/>
    <x v="0"/>
    <x v="1"/>
    <x v="1"/>
    <x v="1"/>
    <x v="22"/>
    <x v="22"/>
    <n v="0.97308467741546001"/>
    <x v="0"/>
    <x v="0"/>
    <x v="0"/>
    <x v="0"/>
    <x v="0"/>
    <x v="0"/>
    <n v="1.0606622983828515"/>
  </r>
  <r>
    <x v="4"/>
    <x v="0"/>
    <x v="4"/>
    <x v="4"/>
    <x v="0"/>
    <x v="0"/>
    <x v="0"/>
    <x v="0"/>
    <x v="0"/>
    <x v="0"/>
    <x v="0"/>
    <x v="0"/>
    <x v="1"/>
    <x v="1"/>
    <x v="1"/>
    <x v="23"/>
    <x v="23"/>
    <n v="27.289293577965299"/>
    <x v="0"/>
    <x v="0"/>
    <x v="1"/>
    <x v="3"/>
    <x v="3"/>
    <x v="15"/>
    <n v="29.745329999982179"/>
  </r>
  <r>
    <x v="4"/>
    <x v="0"/>
    <x v="4"/>
    <x v="4"/>
    <x v="0"/>
    <x v="0"/>
    <x v="0"/>
    <x v="0"/>
    <x v="0"/>
    <x v="0"/>
    <x v="0"/>
    <x v="0"/>
    <x v="1"/>
    <x v="1"/>
    <x v="1"/>
    <x v="24"/>
    <x v="24"/>
    <n v="6.2628807339412003"/>
    <x v="0"/>
    <x v="0"/>
    <x v="1"/>
    <x v="3"/>
    <x v="3"/>
    <x v="4"/>
    <n v="6.8265399999959087"/>
  </r>
  <r>
    <x v="4"/>
    <x v="0"/>
    <x v="4"/>
    <x v="4"/>
    <x v="0"/>
    <x v="0"/>
    <x v="0"/>
    <x v="0"/>
    <x v="0"/>
    <x v="0"/>
    <x v="0"/>
    <x v="0"/>
    <x v="1"/>
    <x v="1"/>
    <x v="1"/>
    <x v="17"/>
    <x v="17"/>
    <n v="1.95916"/>
    <x v="0"/>
    <x v="0"/>
    <x v="0"/>
    <x v="0"/>
    <x v="4"/>
    <x v="17"/>
    <n v="2.1354844000000002"/>
  </r>
  <r>
    <x v="4"/>
    <x v="0"/>
    <x v="4"/>
    <x v="4"/>
    <x v="0"/>
    <x v="0"/>
    <x v="0"/>
    <x v="0"/>
    <x v="0"/>
    <x v="0"/>
    <x v="0"/>
    <x v="0"/>
    <x v="1"/>
    <x v="1"/>
    <x v="1"/>
    <x v="18"/>
    <x v="18"/>
    <n v="17.75816"/>
    <x v="0"/>
    <x v="0"/>
    <x v="0"/>
    <x v="0"/>
    <x v="4"/>
    <x v="18"/>
    <n v="19.356394400000003"/>
  </r>
  <r>
    <x v="4"/>
    <x v="0"/>
    <x v="4"/>
    <x v="4"/>
    <x v="0"/>
    <x v="0"/>
    <x v="0"/>
    <x v="0"/>
    <x v="0"/>
    <x v="0"/>
    <x v="0"/>
    <x v="0"/>
    <x v="1"/>
    <x v="1"/>
    <x v="1"/>
    <x v="27"/>
    <x v="27"/>
    <n v="45.579770271236598"/>
    <x v="0"/>
    <x v="0"/>
    <x v="1"/>
    <x v="3"/>
    <x v="3"/>
    <x v="19"/>
    <n v="49.681949595647893"/>
  </r>
  <r>
    <x v="4"/>
    <x v="0"/>
    <x v="4"/>
    <x v="4"/>
    <x v="0"/>
    <x v="0"/>
    <x v="0"/>
    <x v="0"/>
    <x v="0"/>
    <x v="0"/>
    <x v="0"/>
    <x v="0"/>
    <x v="1"/>
    <x v="1"/>
    <x v="1"/>
    <x v="26"/>
    <x v="26"/>
    <n v="1.0916513761461299"/>
    <x v="0"/>
    <x v="0"/>
    <x v="1"/>
    <x v="3"/>
    <x v="3"/>
    <x v="15"/>
    <n v="1.1898999999992816"/>
  </r>
  <r>
    <x v="4"/>
    <x v="0"/>
    <x v="4"/>
    <x v="4"/>
    <x v="0"/>
    <x v="0"/>
    <x v="0"/>
    <x v="0"/>
    <x v="0"/>
    <x v="0"/>
    <x v="0"/>
    <x v="0"/>
    <x v="1"/>
    <x v="1"/>
    <x v="1"/>
    <x v="0"/>
    <x v="0"/>
    <n v="5.7563754448237399"/>
    <x v="0"/>
    <x v="0"/>
    <x v="0"/>
    <x v="0"/>
    <x v="0"/>
    <x v="0"/>
    <n v="6.2744492348578769"/>
  </r>
  <r>
    <x v="4"/>
    <x v="0"/>
    <x v="4"/>
    <x v="4"/>
    <x v="0"/>
    <x v="0"/>
    <x v="0"/>
    <x v="0"/>
    <x v="0"/>
    <x v="0"/>
    <x v="0"/>
    <x v="0"/>
    <x v="1"/>
    <x v="1"/>
    <x v="1"/>
    <x v="2"/>
    <x v="2"/>
    <n v="1600.3171009164701"/>
    <x v="0"/>
    <x v="1"/>
    <x v="2"/>
    <x v="2"/>
    <x v="13"/>
    <x v="2"/>
    <n v="1744.3456399989525"/>
  </r>
  <r>
    <x v="4"/>
    <x v="0"/>
    <x v="4"/>
    <x v="4"/>
    <x v="0"/>
    <x v="0"/>
    <x v="0"/>
    <x v="0"/>
    <x v="0"/>
    <x v="0"/>
    <x v="0"/>
    <x v="0"/>
    <x v="2"/>
    <x v="2"/>
    <x v="2"/>
    <x v="4"/>
    <x v="4"/>
    <n v="90.927247706367496"/>
    <x v="0"/>
    <x v="0"/>
    <x v="1"/>
    <x v="3"/>
    <x v="3"/>
    <x v="4"/>
    <n v="99.110699999940579"/>
  </r>
  <r>
    <x v="4"/>
    <x v="0"/>
    <x v="4"/>
    <x v="4"/>
    <x v="0"/>
    <x v="0"/>
    <x v="0"/>
    <x v="0"/>
    <x v="0"/>
    <x v="0"/>
    <x v="0"/>
    <x v="0"/>
    <x v="2"/>
    <x v="2"/>
    <x v="2"/>
    <x v="39"/>
    <x v="39"/>
    <n v="7.7768440366925802"/>
    <x v="0"/>
    <x v="0"/>
    <x v="1"/>
    <x v="4"/>
    <x v="5"/>
    <x v="9"/>
    <n v="8.476759999994913"/>
  </r>
  <r>
    <x v="4"/>
    <x v="0"/>
    <x v="4"/>
    <x v="4"/>
    <x v="0"/>
    <x v="0"/>
    <x v="0"/>
    <x v="0"/>
    <x v="0"/>
    <x v="0"/>
    <x v="0"/>
    <x v="0"/>
    <x v="2"/>
    <x v="2"/>
    <x v="2"/>
    <x v="5"/>
    <x v="5"/>
    <n v="586.37990184494697"/>
    <x v="0"/>
    <x v="0"/>
    <x v="1"/>
    <x v="1"/>
    <x v="1"/>
    <x v="5"/>
    <n v="639.15409301099226"/>
  </r>
  <r>
    <x v="4"/>
    <x v="0"/>
    <x v="4"/>
    <x v="4"/>
    <x v="0"/>
    <x v="0"/>
    <x v="0"/>
    <x v="0"/>
    <x v="0"/>
    <x v="0"/>
    <x v="0"/>
    <x v="0"/>
    <x v="2"/>
    <x v="2"/>
    <x v="2"/>
    <x v="6"/>
    <x v="6"/>
    <n v="647.33189000000004"/>
    <x v="0"/>
    <x v="0"/>
    <x v="0"/>
    <x v="0"/>
    <x v="4"/>
    <x v="6"/>
    <n v="705.5917601000001"/>
  </r>
  <r>
    <x v="4"/>
    <x v="0"/>
    <x v="4"/>
    <x v="4"/>
    <x v="0"/>
    <x v="0"/>
    <x v="0"/>
    <x v="0"/>
    <x v="0"/>
    <x v="0"/>
    <x v="0"/>
    <x v="0"/>
    <x v="2"/>
    <x v="2"/>
    <x v="2"/>
    <x v="7"/>
    <x v="7"/>
    <n v="11.516706422011399"/>
    <x v="0"/>
    <x v="0"/>
    <x v="1"/>
    <x v="4"/>
    <x v="5"/>
    <x v="7"/>
    <n v="12.553209999992426"/>
  </r>
  <r>
    <x v="4"/>
    <x v="0"/>
    <x v="4"/>
    <x v="4"/>
    <x v="0"/>
    <x v="0"/>
    <x v="0"/>
    <x v="0"/>
    <x v="0"/>
    <x v="0"/>
    <x v="0"/>
    <x v="0"/>
    <x v="2"/>
    <x v="2"/>
    <x v="2"/>
    <x v="8"/>
    <x v="8"/>
    <n v="450.52101351639698"/>
    <x v="0"/>
    <x v="1"/>
    <x v="2"/>
    <x v="2"/>
    <x v="6"/>
    <x v="8"/>
    <n v="491.06790473287276"/>
  </r>
  <r>
    <x v="4"/>
    <x v="0"/>
    <x v="4"/>
    <x v="4"/>
    <x v="0"/>
    <x v="0"/>
    <x v="0"/>
    <x v="0"/>
    <x v="0"/>
    <x v="0"/>
    <x v="0"/>
    <x v="0"/>
    <x v="2"/>
    <x v="2"/>
    <x v="2"/>
    <x v="9"/>
    <x v="9"/>
    <n v="30.069225154452202"/>
    <x v="0"/>
    <x v="0"/>
    <x v="1"/>
    <x v="4"/>
    <x v="5"/>
    <x v="9"/>
    <n v="32.775455418352905"/>
  </r>
  <r>
    <x v="4"/>
    <x v="0"/>
    <x v="4"/>
    <x v="4"/>
    <x v="0"/>
    <x v="0"/>
    <x v="0"/>
    <x v="0"/>
    <x v="0"/>
    <x v="0"/>
    <x v="0"/>
    <x v="0"/>
    <x v="2"/>
    <x v="2"/>
    <x v="2"/>
    <x v="10"/>
    <x v="10"/>
    <n v="16.857157201507899"/>
    <x v="0"/>
    <x v="0"/>
    <x v="1"/>
    <x v="4"/>
    <x v="5"/>
    <x v="10"/>
    <n v="18.374301349643613"/>
  </r>
  <r>
    <x v="4"/>
    <x v="0"/>
    <x v="4"/>
    <x v="4"/>
    <x v="0"/>
    <x v="0"/>
    <x v="0"/>
    <x v="0"/>
    <x v="0"/>
    <x v="0"/>
    <x v="0"/>
    <x v="0"/>
    <x v="2"/>
    <x v="2"/>
    <x v="2"/>
    <x v="28"/>
    <x v="28"/>
    <n v="4.7999700000000001"/>
    <x v="0"/>
    <x v="0"/>
    <x v="1"/>
    <x v="3"/>
    <x v="3"/>
    <x v="13"/>
    <n v="5.2319673000000009"/>
  </r>
  <r>
    <x v="4"/>
    <x v="0"/>
    <x v="4"/>
    <x v="4"/>
    <x v="0"/>
    <x v="0"/>
    <x v="0"/>
    <x v="0"/>
    <x v="0"/>
    <x v="0"/>
    <x v="0"/>
    <x v="0"/>
    <x v="2"/>
    <x v="2"/>
    <x v="2"/>
    <x v="30"/>
    <x v="30"/>
    <n v="115.21574462319499"/>
    <x v="0"/>
    <x v="0"/>
    <x v="0"/>
    <x v="0"/>
    <x v="0"/>
    <x v="0"/>
    <n v="125.58516163928255"/>
  </r>
  <r>
    <x v="4"/>
    <x v="0"/>
    <x v="4"/>
    <x v="4"/>
    <x v="0"/>
    <x v="0"/>
    <x v="0"/>
    <x v="0"/>
    <x v="0"/>
    <x v="0"/>
    <x v="0"/>
    <x v="0"/>
    <x v="2"/>
    <x v="2"/>
    <x v="2"/>
    <x v="31"/>
    <x v="31"/>
    <n v="3.9854220183462301"/>
    <x v="0"/>
    <x v="0"/>
    <x v="1"/>
    <x v="4"/>
    <x v="5"/>
    <x v="10"/>
    <n v="4.3441099999973911"/>
  </r>
  <r>
    <x v="4"/>
    <x v="0"/>
    <x v="4"/>
    <x v="4"/>
    <x v="0"/>
    <x v="0"/>
    <x v="0"/>
    <x v="0"/>
    <x v="0"/>
    <x v="0"/>
    <x v="0"/>
    <x v="0"/>
    <x v="2"/>
    <x v="2"/>
    <x v="2"/>
    <x v="11"/>
    <x v="11"/>
    <n v="210.62889999999999"/>
    <x v="0"/>
    <x v="0"/>
    <x v="3"/>
    <x v="5"/>
    <x v="7"/>
    <x v="11"/>
    <n v="229.58550099999999"/>
  </r>
  <r>
    <x v="4"/>
    <x v="0"/>
    <x v="4"/>
    <x v="4"/>
    <x v="0"/>
    <x v="0"/>
    <x v="0"/>
    <x v="0"/>
    <x v="0"/>
    <x v="0"/>
    <x v="0"/>
    <x v="0"/>
    <x v="2"/>
    <x v="2"/>
    <x v="2"/>
    <x v="12"/>
    <x v="12"/>
    <n v="1328.932244181"/>
    <x v="0"/>
    <x v="0"/>
    <x v="0"/>
    <x v="0"/>
    <x v="8"/>
    <x v="12"/>
    <n v="1448.5361461572902"/>
  </r>
  <r>
    <x v="4"/>
    <x v="0"/>
    <x v="4"/>
    <x v="4"/>
    <x v="0"/>
    <x v="0"/>
    <x v="0"/>
    <x v="0"/>
    <x v="0"/>
    <x v="0"/>
    <x v="0"/>
    <x v="0"/>
    <x v="2"/>
    <x v="2"/>
    <x v="2"/>
    <x v="32"/>
    <x v="32"/>
    <n v="3.7825106382123899"/>
    <x v="0"/>
    <x v="0"/>
    <x v="1"/>
    <x v="1"/>
    <x v="1"/>
    <x v="20"/>
    <n v="4.1229365956515052"/>
  </r>
  <r>
    <x v="4"/>
    <x v="0"/>
    <x v="4"/>
    <x v="4"/>
    <x v="0"/>
    <x v="0"/>
    <x v="0"/>
    <x v="0"/>
    <x v="0"/>
    <x v="0"/>
    <x v="0"/>
    <x v="0"/>
    <x v="2"/>
    <x v="2"/>
    <x v="2"/>
    <x v="14"/>
    <x v="14"/>
    <n v="626.50957000000005"/>
    <x v="0"/>
    <x v="0"/>
    <x v="0"/>
    <x v="0"/>
    <x v="8"/>
    <x v="14"/>
    <n v="682.89543130000015"/>
  </r>
  <r>
    <x v="4"/>
    <x v="0"/>
    <x v="4"/>
    <x v="4"/>
    <x v="0"/>
    <x v="0"/>
    <x v="0"/>
    <x v="0"/>
    <x v="0"/>
    <x v="0"/>
    <x v="0"/>
    <x v="0"/>
    <x v="2"/>
    <x v="2"/>
    <x v="2"/>
    <x v="22"/>
    <x v="22"/>
    <n v="29.643697580526599"/>
    <x v="0"/>
    <x v="0"/>
    <x v="0"/>
    <x v="0"/>
    <x v="0"/>
    <x v="0"/>
    <n v="32.311630362773997"/>
  </r>
  <r>
    <x v="4"/>
    <x v="0"/>
    <x v="4"/>
    <x v="4"/>
    <x v="0"/>
    <x v="0"/>
    <x v="0"/>
    <x v="0"/>
    <x v="0"/>
    <x v="0"/>
    <x v="0"/>
    <x v="0"/>
    <x v="2"/>
    <x v="2"/>
    <x v="2"/>
    <x v="16"/>
    <x v="16"/>
    <n v="802.30841999999996"/>
    <x v="0"/>
    <x v="0"/>
    <x v="3"/>
    <x v="5"/>
    <x v="9"/>
    <x v="16"/>
    <n v="874.51617780000004"/>
  </r>
  <r>
    <x v="4"/>
    <x v="0"/>
    <x v="4"/>
    <x v="4"/>
    <x v="0"/>
    <x v="0"/>
    <x v="0"/>
    <x v="0"/>
    <x v="0"/>
    <x v="0"/>
    <x v="0"/>
    <x v="0"/>
    <x v="2"/>
    <x v="2"/>
    <x v="2"/>
    <x v="17"/>
    <x v="17"/>
    <n v="208.22485"/>
    <x v="0"/>
    <x v="0"/>
    <x v="0"/>
    <x v="0"/>
    <x v="4"/>
    <x v="17"/>
    <n v="226.96508650000001"/>
  </r>
  <r>
    <x v="4"/>
    <x v="0"/>
    <x v="4"/>
    <x v="4"/>
    <x v="0"/>
    <x v="0"/>
    <x v="0"/>
    <x v="0"/>
    <x v="0"/>
    <x v="0"/>
    <x v="0"/>
    <x v="0"/>
    <x v="2"/>
    <x v="2"/>
    <x v="2"/>
    <x v="21"/>
    <x v="21"/>
    <n v="98.270137614619898"/>
    <x v="0"/>
    <x v="0"/>
    <x v="1"/>
    <x v="4"/>
    <x v="5"/>
    <x v="10"/>
    <n v="107.1144499999357"/>
  </r>
  <r>
    <x v="4"/>
    <x v="0"/>
    <x v="4"/>
    <x v="4"/>
    <x v="0"/>
    <x v="0"/>
    <x v="0"/>
    <x v="0"/>
    <x v="0"/>
    <x v="0"/>
    <x v="0"/>
    <x v="0"/>
    <x v="2"/>
    <x v="2"/>
    <x v="2"/>
    <x v="18"/>
    <x v="18"/>
    <n v="431.39177000000001"/>
    <x v="0"/>
    <x v="0"/>
    <x v="0"/>
    <x v="0"/>
    <x v="4"/>
    <x v="18"/>
    <n v="470.21702930000004"/>
  </r>
  <r>
    <x v="4"/>
    <x v="0"/>
    <x v="4"/>
    <x v="4"/>
    <x v="0"/>
    <x v="0"/>
    <x v="0"/>
    <x v="0"/>
    <x v="0"/>
    <x v="0"/>
    <x v="0"/>
    <x v="0"/>
    <x v="2"/>
    <x v="2"/>
    <x v="2"/>
    <x v="34"/>
    <x v="34"/>
    <n v="89.473819212452696"/>
    <x v="0"/>
    <x v="0"/>
    <x v="0"/>
    <x v="0"/>
    <x v="0"/>
    <x v="0"/>
    <n v="97.526462941573442"/>
  </r>
  <r>
    <x v="4"/>
    <x v="0"/>
    <x v="4"/>
    <x v="4"/>
    <x v="0"/>
    <x v="0"/>
    <x v="0"/>
    <x v="0"/>
    <x v="0"/>
    <x v="0"/>
    <x v="0"/>
    <x v="0"/>
    <x v="2"/>
    <x v="2"/>
    <x v="2"/>
    <x v="25"/>
    <x v="25"/>
    <n v="86.672779816461798"/>
    <x v="0"/>
    <x v="0"/>
    <x v="1"/>
    <x v="4"/>
    <x v="5"/>
    <x v="9"/>
    <n v="94.47332999994336"/>
  </r>
  <r>
    <x v="4"/>
    <x v="0"/>
    <x v="4"/>
    <x v="4"/>
    <x v="0"/>
    <x v="0"/>
    <x v="0"/>
    <x v="0"/>
    <x v="0"/>
    <x v="0"/>
    <x v="0"/>
    <x v="0"/>
    <x v="2"/>
    <x v="2"/>
    <x v="2"/>
    <x v="27"/>
    <x v="27"/>
    <n v="106.016319822067"/>
    <x v="0"/>
    <x v="0"/>
    <x v="1"/>
    <x v="3"/>
    <x v="3"/>
    <x v="19"/>
    <n v="115.55778860605304"/>
  </r>
  <r>
    <x v="4"/>
    <x v="0"/>
    <x v="4"/>
    <x v="4"/>
    <x v="0"/>
    <x v="0"/>
    <x v="0"/>
    <x v="0"/>
    <x v="0"/>
    <x v="0"/>
    <x v="0"/>
    <x v="0"/>
    <x v="2"/>
    <x v="2"/>
    <x v="2"/>
    <x v="26"/>
    <x v="26"/>
    <n v="135.102376146708"/>
    <x v="0"/>
    <x v="0"/>
    <x v="1"/>
    <x v="3"/>
    <x v="3"/>
    <x v="15"/>
    <n v="147.26158999991173"/>
  </r>
  <r>
    <x v="4"/>
    <x v="0"/>
    <x v="4"/>
    <x v="4"/>
    <x v="0"/>
    <x v="0"/>
    <x v="0"/>
    <x v="0"/>
    <x v="0"/>
    <x v="0"/>
    <x v="0"/>
    <x v="0"/>
    <x v="2"/>
    <x v="2"/>
    <x v="2"/>
    <x v="0"/>
    <x v="0"/>
    <n v="109.64631672567199"/>
    <x v="0"/>
    <x v="0"/>
    <x v="0"/>
    <x v="0"/>
    <x v="0"/>
    <x v="0"/>
    <n v="119.51448523098249"/>
  </r>
  <r>
    <x v="4"/>
    <x v="0"/>
    <x v="4"/>
    <x v="4"/>
    <x v="0"/>
    <x v="0"/>
    <x v="0"/>
    <x v="0"/>
    <x v="0"/>
    <x v="0"/>
    <x v="0"/>
    <x v="0"/>
    <x v="2"/>
    <x v="2"/>
    <x v="2"/>
    <x v="1"/>
    <x v="1"/>
    <n v="359.34611034285098"/>
    <x v="0"/>
    <x v="0"/>
    <x v="1"/>
    <x v="1"/>
    <x v="1"/>
    <x v="1"/>
    <n v="391.68726027370758"/>
  </r>
  <r>
    <x v="4"/>
    <x v="0"/>
    <x v="4"/>
    <x v="4"/>
    <x v="0"/>
    <x v="0"/>
    <x v="0"/>
    <x v="0"/>
    <x v="0"/>
    <x v="0"/>
    <x v="0"/>
    <x v="0"/>
    <x v="2"/>
    <x v="2"/>
    <x v="2"/>
    <x v="20"/>
    <x v="20"/>
    <n v="293.09455000000003"/>
    <x v="0"/>
    <x v="0"/>
    <x v="1"/>
    <x v="3"/>
    <x v="3"/>
    <x v="13"/>
    <n v="319.47305950000003"/>
  </r>
  <r>
    <x v="4"/>
    <x v="0"/>
    <x v="4"/>
    <x v="4"/>
    <x v="0"/>
    <x v="0"/>
    <x v="0"/>
    <x v="0"/>
    <x v="0"/>
    <x v="0"/>
    <x v="0"/>
    <x v="0"/>
    <x v="2"/>
    <x v="2"/>
    <x v="2"/>
    <x v="2"/>
    <x v="2"/>
    <n v="2755.4516697231202"/>
    <x v="0"/>
    <x v="1"/>
    <x v="2"/>
    <x v="2"/>
    <x v="13"/>
    <x v="2"/>
    <n v="3003.4423199982011"/>
  </r>
  <r>
    <x v="4"/>
    <x v="0"/>
    <x v="4"/>
    <x v="4"/>
    <x v="0"/>
    <x v="0"/>
    <x v="0"/>
    <x v="0"/>
    <x v="0"/>
    <x v="0"/>
    <x v="0"/>
    <x v="0"/>
    <x v="2"/>
    <x v="2"/>
    <x v="2"/>
    <x v="3"/>
    <x v="3"/>
    <n v="45.300046158527998"/>
    <x v="0"/>
    <x v="0"/>
    <x v="1"/>
    <x v="3"/>
    <x v="3"/>
    <x v="3"/>
    <n v="49.377050312795518"/>
  </r>
  <r>
    <x v="4"/>
    <x v="0"/>
    <x v="4"/>
    <x v="4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4"/>
    <x v="0"/>
    <x v="4"/>
    <x v="4"/>
    <x v="0"/>
    <x v="0"/>
    <x v="0"/>
    <x v="0"/>
    <x v="0"/>
    <x v="0"/>
    <x v="0"/>
    <x v="0"/>
    <x v="1"/>
    <x v="6"/>
    <x v="6"/>
    <x v="5"/>
    <x v="5"/>
    <n v="75.587895706095907"/>
    <x v="0"/>
    <x v="0"/>
    <x v="1"/>
    <x v="1"/>
    <x v="1"/>
    <x v="5"/>
    <n v="82.39080631964454"/>
  </r>
  <r>
    <x v="4"/>
    <x v="0"/>
    <x v="4"/>
    <x v="4"/>
    <x v="0"/>
    <x v="0"/>
    <x v="0"/>
    <x v="0"/>
    <x v="0"/>
    <x v="0"/>
    <x v="0"/>
    <x v="0"/>
    <x v="1"/>
    <x v="6"/>
    <x v="6"/>
    <x v="6"/>
    <x v="6"/>
    <n v="0.18654000000000001"/>
    <x v="0"/>
    <x v="0"/>
    <x v="0"/>
    <x v="0"/>
    <x v="4"/>
    <x v="6"/>
    <n v="0.20332860000000003"/>
  </r>
  <r>
    <x v="4"/>
    <x v="0"/>
    <x v="4"/>
    <x v="4"/>
    <x v="0"/>
    <x v="0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4"/>
    <x v="0"/>
    <x v="4"/>
    <x v="4"/>
    <x v="0"/>
    <x v="0"/>
    <x v="0"/>
    <x v="0"/>
    <x v="0"/>
    <x v="0"/>
    <x v="0"/>
    <x v="0"/>
    <x v="1"/>
    <x v="6"/>
    <x v="6"/>
    <x v="8"/>
    <x v="8"/>
    <n v="183.39513513630899"/>
    <x v="0"/>
    <x v="1"/>
    <x v="2"/>
    <x v="2"/>
    <x v="6"/>
    <x v="8"/>
    <n v="199.90069729857683"/>
  </r>
  <r>
    <x v="4"/>
    <x v="0"/>
    <x v="4"/>
    <x v="4"/>
    <x v="0"/>
    <x v="0"/>
    <x v="0"/>
    <x v="0"/>
    <x v="0"/>
    <x v="0"/>
    <x v="0"/>
    <x v="0"/>
    <x v="1"/>
    <x v="6"/>
    <x v="6"/>
    <x v="9"/>
    <x v="9"/>
    <n v="2.8246972477047301"/>
    <x v="0"/>
    <x v="0"/>
    <x v="1"/>
    <x v="4"/>
    <x v="5"/>
    <x v="9"/>
    <n v="3.0789199999981558"/>
  </r>
  <r>
    <x v="4"/>
    <x v="0"/>
    <x v="4"/>
    <x v="4"/>
    <x v="0"/>
    <x v="0"/>
    <x v="0"/>
    <x v="0"/>
    <x v="0"/>
    <x v="0"/>
    <x v="0"/>
    <x v="0"/>
    <x v="1"/>
    <x v="6"/>
    <x v="6"/>
    <x v="10"/>
    <x v="10"/>
    <n v="80.359266054997704"/>
    <x v="0"/>
    <x v="0"/>
    <x v="1"/>
    <x v="4"/>
    <x v="5"/>
    <x v="10"/>
    <n v="87.591599999947505"/>
  </r>
  <r>
    <x v="4"/>
    <x v="0"/>
    <x v="4"/>
    <x v="4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4"/>
    <x v="0"/>
    <x v="4"/>
    <x v="4"/>
    <x v="0"/>
    <x v="0"/>
    <x v="0"/>
    <x v="0"/>
    <x v="0"/>
    <x v="0"/>
    <x v="0"/>
    <x v="0"/>
    <x v="1"/>
    <x v="6"/>
    <x v="6"/>
    <x v="12"/>
    <x v="12"/>
    <n v="403.66763953334998"/>
    <x v="0"/>
    <x v="0"/>
    <x v="0"/>
    <x v="0"/>
    <x v="8"/>
    <x v="12"/>
    <n v="439.99772709135152"/>
  </r>
  <r>
    <x v="4"/>
    <x v="0"/>
    <x v="4"/>
    <x v="4"/>
    <x v="0"/>
    <x v="0"/>
    <x v="0"/>
    <x v="0"/>
    <x v="0"/>
    <x v="0"/>
    <x v="0"/>
    <x v="0"/>
    <x v="1"/>
    <x v="6"/>
    <x v="6"/>
    <x v="14"/>
    <x v="14"/>
    <n v="158.87567999999999"/>
    <x v="0"/>
    <x v="0"/>
    <x v="0"/>
    <x v="0"/>
    <x v="8"/>
    <x v="14"/>
    <n v="173.17449120000001"/>
  </r>
  <r>
    <x v="4"/>
    <x v="0"/>
    <x v="4"/>
    <x v="4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4"/>
    <x v="0"/>
    <x v="4"/>
    <x v="4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4"/>
    <x v="0"/>
    <x v="4"/>
    <x v="4"/>
    <x v="0"/>
    <x v="0"/>
    <x v="0"/>
    <x v="0"/>
    <x v="0"/>
    <x v="0"/>
    <x v="0"/>
    <x v="0"/>
    <x v="1"/>
    <x v="6"/>
    <x v="6"/>
    <x v="18"/>
    <x v="18"/>
    <n v="30.254860000000001"/>
    <x v="0"/>
    <x v="0"/>
    <x v="0"/>
    <x v="0"/>
    <x v="4"/>
    <x v="18"/>
    <n v="32.9777974"/>
  </r>
  <r>
    <x v="4"/>
    <x v="0"/>
    <x v="4"/>
    <x v="4"/>
    <x v="0"/>
    <x v="0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4"/>
    <x v="0"/>
    <x v="4"/>
    <x v="4"/>
    <x v="0"/>
    <x v="0"/>
    <x v="0"/>
    <x v="0"/>
    <x v="0"/>
    <x v="0"/>
    <x v="0"/>
    <x v="0"/>
    <x v="1"/>
    <x v="6"/>
    <x v="6"/>
    <x v="0"/>
    <x v="0"/>
    <n v="184.440299821548"/>
    <x v="0"/>
    <x v="0"/>
    <x v="0"/>
    <x v="0"/>
    <x v="0"/>
    <x v="0"/>
    <n v="201.03992680548734"/>
  </r>
  <r>
    <x v="4"/>
    <x v="0"/>
    <x v="4"/>
    <x v="4"/>
    <x v="0"/>
    <x v="0"/>
    <x v="0"/>
    <x v="0"/>
    <x v="0"/>
    <x v="0"/>
    <x v="0"/>
    <x v="0"/>
    <x v="1"/>
    <x v="6"/>
    <x v="6"/>
    <x v="2"/>
    <x v="2"/>
    <n v="402.30898165113501"/>
    <x v="0"/>
    <x v="1"/>
    <x v="2"/>
    <x v="2"/>
    <x v="13"/>
    <x v="2"/>
    <n v="438.51678999973717"/>
  </r>
  <r>
    <x v="4"/>
    <x v="0"/>
    <x v="4"/>
    <x v="4"/>
    <x v="0"/>
    <x v="0"/>
    <x v="0"/>
    <x v="0"/>
    <x v="0"/>
    <x v="0"/>
    <x v="0"/>
    <x v="0"/>
    <x v="3"/>
    <x v="7"/>
    <x v="7"/>
    <x v="6"/>
    <x v="6"/>
    <n v="42.282510000000002"/>
    <x v="0"/>
    <x v="0"/>
    <x v="0"/>
    <x v="0"/>
    <x v="4"/>
    <x v="6"/>
    <n v="46.087935900000005"/>
  </r>
  <r>
    <x v="4"/>
    <x v="0"/>
    <x v="4"/>
    <x v="4"/>
    <x v="0"/>
    <x v="0"/>
    <x v="0"/>
    <x v="0"/>
    <x v="0"/>
    <x v="0"/>
    <x v="0"/>
    <x v="0"/>
    <x v="3"/>
    <x v="7"/>
    <x v="7"/>
    <x v="9"/>
    <x v="9"/>
    <n v="110.395777024232"/>
    <x v="0"/>
    <x v="0"/>
    <x v="1"/>
    <x v="4"/>
    <x v="5"/>
    <x v="9"/>
    <n v="120.33139695641289"/>
  </r>
  <r>
    <x v="4"/>
    <x v="0"/>
    <x v="4"/>
    <x v="4"/>
    <x v="0"/>
    <x v="0"/>
    <x v="0"/>
    <x v="0"/>
    <x v="0"/>
    <x v="0"/>
    <x v="0"/>
    <x v="0"/>
    <x v="3"/>
    <x v="7"/>
    <x v="7"/>
    <x v="10"/>
    <x v="10"/>
    <n v="28.077817830468501"/>
    <x v="0"/>
    <x v="0"/>
    <x v="1"/>
    <x v="4"/>
    <x v="5"/>
    <x v="10"/>
    <n v="30.604821435210667"/>
  </r>
  <r>
    <x v="4"/>
    <x v="0"/>
    <x v="4"/>
    <x v="4"/>
    <x v="0"/>
    <x v="0"/>
    <x v="0"/>
    <x v="0"/>
    <x v="0"/>
    <x v="0"/>
    <x v="0"/>
    <x v="0"/>
    <x v="3"/>
    <x v="7"/>
    <x v="7"/>
    <x v="11"/>
    <x v="11"/>
    <n v="61.882660000000001"/>
    <x v="0"/>
    <x v="0"/>
    <x v="3"/>
    <x v="5"/>
    <x v="7"/>
    <x v="11"/>
    <n v="67.452099400000009"/>
  </r>
  <r>
    <x v="4"/>
    <x v="0"/>
    <x v="4"/>
    <x v="4"/>
    <x v="0"/>
    <x v="0"/>
    <x v="0"/>
    <x v="0"/>
    <x v="0"/>
    <x v="0"/>
    <x v="0"/>
    <x v="0"/>
    <x v="3"/>
    <x v="7"/>
    <x v="7"/>
    <x v="36"/>
    <x v="36"/>
    <n v="28.3740825687903"/>
    <x v="0"/>
    <x v="0"/>
    <x v="1"/>
    <x v="3"/>
    <x v="3"/>
    <x v="4"/>
    <n v="30.92774999998143"/>
  </r>
  <r>
    <x v="4"/>
    <x v="0"/>
    <x v="4"/>
    <x v="4"/>
    <x v="0"/>
    <x v="0"/>
    <x v="0"/>
    <x v="0"/>
    <x v="0"/>
    <x v="0"/>
    <x v="0"/>
    <x v="0"/>
    <x v="3"/>
    <x v="7"/>
    <x v="7"/>
    <x v="24"/>
    <x v="24"/>
    <n v="53.126559632995701"/>
    <x v="0"/>
    <x v="0"/>
    <x v="1"/>
    <x v="3"/>
    <x v="3"/>
    <x v="4"/>
    <n v="57.907949999965318"/>
  </r>
  <r>
    <x v="4"/>
    <x v="0"/>
    <x v="4"/>
    <x v="4"/>
    <x v="0"/>
    <x v="0"/>
    <x v="0"/>
    <x v="0"/>
    <x v="0"/>
    <x v="0"/>
    <x v="0"/>
    <x v="0"/>
    <x v="3"/>
    <x v="7"/>
    <x v="7"/>
    <x v="17"/>
    <x v="17"/>
    <n v="262.15778999999998"/>
    <x v="0"/>
    <x v="0"/>
    <x v="0"/>
    <x v="0"/>
    <x v="4"/>
    <x v="17"/>
    <n v="285.7519911"/>
  </r>
  <r>
    <x v="4"/>
    <x v="0"/>
    <x v="4"/>
    <x v="4"/>
    <x v="0"/>
    <x v="0"/>
    <x v="0"/>
    <x v="0"/>
    <x v="0"/>
    <x v="0"/>
    <x v="0"/>
    <x v="0"/>
    <x v="3"/>
    <x v="7"/>
    <x v="7"/>
    <x v="18"/>
    <x v="18"/>
    <n v="24.859670000000001"/>
    <x v="0"/>
    <x v="0"/>
    <x v="0"/>
    <x v="0"/>
    <x v="4"/>
    <x v="18"/>
    <n v="27.097040300000003"/>
  </r>
  <r>
    <x v="4"/>
    <x v="0"/>
    <x v="4"/>
    <x v="4"/>
    <x v="0"/>
    <x v="0"/>
    <x v="0"/>
    <x v="0"/>
    <x v="0"/>
    <x v="0"/>
    <x v="0"/>
    <x v="0"/>
    <x v="3"/>
    <x v="7"/>
    <x v="7"/>
    <x v="34"/>
    <x v="34"/>
    <n v="16.416485589240601"/>
    <x v="0"/>
    <x v="0"/>
    <x v="0"/>
    <x v="0"/>
    <x v="0"/>
    <x v="0"/>
    <n v="17.893969292272256"/>
  </r>
  <r>
    <x v="4"/>
    <x v="0"/>
    <x v="4"/>
    <x v="4"/>
    <x v="0"/>
    <x v="0"/>
    <x v="0"/>
    <x v="0"/>
    <x v="0"/>
    <x v="0"/>
    <x v="0"/>
    <x v="0"/>
    <x v="3"/>
    <x v="7"/>
    <x v="7"/>
    <x v="26"/>
    <x v="26"/>
    <n v="30.7059174311742"/>
    <x v="0"/>
    <x v="0"/>
    <x v="1"/>
    <x v="3"/>
    <x v="3"/>
    <x v="15"/>
    <n v="33.469449999979879"/>
  </r>
  <r>
    <x v="4"/>
    <x v="0"/>
    <x v="4"/>
    <x v="4"/>
    <x v="0"/>
    <x v="0"/>
    <x v="0"/>
    <x v="0"/>
    <x v="0"/>
    <x v="0"/>
    <x v="0"/>
    <x v="0"/>
    <x v="1"/>
    <x v="8"/>
    <x v="8"/>
    <x v="6"/>
    <x v="6"/>
    <n v="41.017850000000003"/>
    <x v="0"/>
    <x v="0"/>
    <x v="0"/>
    <x v="0"/>
    <x v="4"/>
    <x v="6"/>
    <n v="44.709456500000009"/>
  </r>
  <r>
    <x v="4"/>
    <x v="0"/>
    <x v="4"/>
    <x v="4"/>
    <x v="0"/>
    <x v="0"/>
    <x v="0"/>
    <x v="0"/>
    <x v="0"/>
    <x v="0"/>
    <x v="0"/>
    <x v="0"/>
    <x v="1"/>
    <x v="8"/>
    <x v="8"/>
    <x v="8"/>
    <x v="8"/>
    <n v="115.95982432506599"/>
    <x v="0"/>
    <x v="1"/>
    <x v="2"/>
    <x v="2"/>
    <x v="6"/>
    <x v="8"/>
    <n v="126.39620851432194"/>
  </r>
  <r>
    <x v="4"/>
    <x v="0"/>
    <x v="4"/>
    <x v="4"/>
    <x v="0"/>
    <x v="0"/>
    <x v="0"/>
    <x v="0"/>
    <x v="0"/>
    <x v="0"/>
    <x v="0"/>
    <x v="0"/>
    <x v="1"/>
    <x v="8"/>
    <x v="8"/>
    <x v="9"/>
    <x v="9"/>
    <n v="83.040250514180201"/>
    <x v="0"/>
    <x v="0"/>
    <x v="1"/>
    <x v="4"/>
    <x v="5"/>
    <x v="9"/>
    <n v="90.513873060456419"/>
  </r>
  <r>
    <x v="4"/>
    <x v="0"/>
    <x v="4"/>
    <x v="4"/>
    <x v="0"/>
    <x v="0"/>
    <x v="0"/>
    <x v="0"/>
    <x v="0"/>
    <x v="0"/>
    <x v="0"/>
    <x v="0"/>
    <x v="1"/>
    <x v="8"/>
    <x v="8"/>
    <x v="10"/>
    <x v="10"/>
    <n v="38.4634203982381"/>
    <x v="0"/>
    <x v="0"/>
    <x v="1"/>
    <x v="4"/>
    <x v="5"/>
    <x v="10"/>
    <n v="41.92512823407953"/>
  </r>
  <r>
    <x v="4"/>
    <x v="0"/>
    <x v="4"/>
    <x v="4"/>
    <x v="0"/>
    <x v="0"/>
    <x v="0"/>
    <x v="0"/>
    <x v="0"/>
    <x v="0"/>
    <x v="0"/>
    <x v="0"/>
    <x v="1"/>
    <x v="8"/>
    <x v="8"/>
    <x v="11"/>
    <x v="11"/>
    <n v="4.3944599999999996"/>
    <x v="0"/>
    <x v="0"/>
    <x v="3"/>
    <x v="5"/>
    <x v="7"/>
    <x v="11"/>
    <n v="4.7899614000000001"/>
  </r>
  <r>
    <x v="4"/>
    <x v="0"/>
    <x v="4"/>
    <x v="4"/>
    <x v="0"/>
    <x v="0"/>
    <x v="0"/>
    <x v="0"/>
    <x v="0"/>
    <x v="0"/>
    <x v="0"/>
    <x v="0"/>
    <x v="1"/>
    <x v="8"/>
    <x v="8"/>
    <x v="36"/>
    <x v="36"/>
    <n v="1.27958715596254"/>
    <x v="0"/>
    <x v="0"/>
    <x v="1"/>
    <x v="3"/>
    <x v="3"/>
    <x v="4"/>
    <n v="1.3947499999991688"/>
  </r>
  <r>
    <x v="4"/>
    <x v="0"/>
    <x v="4"/>
    <x v="4"/>
    <x v="0"/>
    <x v="0"/>
    <x v="0"/>
    <x v="0"/>
    <x v="0"/>
    <x v="0"/>
    <x v="0"/>
    <x v="0"/>
    <x v="1"/>
    <x v="8"/>
    <x v="8"/>
    <x v="24"/>
    <x v="24"/>
    <n v="64.361899082530201"/>
    <x v="0"/>
    <x v="0"/>
    <x v="1"/>
    <x v="3"/>
    <x v="3"/>
    <x v="4"/>
    <n v="70.154469999957925"/>
  </r>
  <r>
    <x v="4"/>
    <x v="0"/>
    <x v="4"/>
    <x v="4"/>
    <x v="0"/>
    <x v="0"/>
    <x v="0"/>
    <x v="0"/>
    <x v="0"/>
    <x v="0"/>
    <x v="0"/>
    <x v="0"/>
    <x v="1"/>
    <x v="8"/>
    <x v="8"/>
    <x v="17"/>
    <x v="17"/>
    <n v="20.290089999999999"/>
    <x v="0"/>
    <x v="0"/>
    <x v="0"/>
    <x v="0"/>
    <x v="4"/>
    <x v="17"/>
    <n v="22.116198100000002"/>
  </r>
  <r>
    <x v="4"/>
    <x v="0"/>
    <x v="4"/>
    <x v="4"/>
    <x v="0"/>
    <x v="0"/>
    <x v="0"/>
    <x v="0"/>
    <x v="0"/>
    <x v="0"/>
    <x v="0"/>
    <x v="0"/>
    <x v="1"/>
    <x v="8"/>
    <x v="8"/>
    <x v="21"/>
    <x v="21"/>
    <n v="4.83680733944664"/>
    <x v="0"/>
    <x v="0"/>
    <x v="1"/>
    <x v="4"/>
    <x v="5"/>
    <x v="10"/>
    <n v="5.2721199999968382"/>
  </r>
  <r>
    <x v="4"/>
    <x v="0"/>
    <x v="4"/>
    <x v="4"/>
    <x v="0"/>
    <x v="0"/>
    <x v="0"/>
    <x v="0"/>
    <x v="0"/>
    <x v="0"/>
    <x v="0"/>
    <x v="0"/>
    <x v="1"/>
    <x v="8"/>
    <x v="8"/>
    <x v="18"/>
    <x v="18"/>
    <n v="19.899360000000001"/>
    <x v="0"/>
    <x v="0"/>
    <x v="0"/>
    <x v="0"/>
    <x v="4"/>
    <x v="18"/>
    <n v="21.690302400000004"/>
  </r>
  <r>
    <x v="4"/>
    <x v="0"/>
    <x v="4"/>
    <x v="4"/>
    <x v="0"/>
    <x v="0"/>
    <x v="0"/>
    <x v="0"/>
    <x v="0"/>
    <x v="0"/>
    <x v="0"/>
    <x v="0"/>
    <x v="1"/>
    <x v="8"/>
    <x v="8"/>
    <x v="34"/>
    <x v="34"/>
    <n v="2.30453449777742"/>
    <x v="0"/>
    <x v="0"/>
    <x v="0"/>
    <x v="0"/>
    <x v="0"/>
    <x v="0"/>
    <n v="2.5119426025773879"/>
  </r>
  <r>
    <x v="4"/>
    <x v="0"/>
    <x v="4"/>
    <x v="4"/>
    <x v="0"/>
    <x v="0"/>
    <x v="0"/>
    <x v="0"/>
    <x v="0"/>
    <x v="0"/>
    <x v="0"/>
    <x v="0"/>
    <x v="1"/>
    <x v="8"/>
    <x v="8"/>
    <x v="37"/>
    <x v="37"/>
    <n v="35.908266055024299"/>
    <x v="0"/>
    <x v="0"/>
    <x v="1"/>
    <x v="3"/>
    <x v="3"/>
    <x v="4"/>
    <n v="39.140009999976492"/>
  </r>
  <r>
    <x v="4"/>
    <x v="0"/>
    <x v="4"/>
    <x v="4"/>
    <x v="0"/>
    <x v="0"/>
    <x v="0"/>
    <x v="0"/>
    <x v="0"/>
    <x v="0"/>
    <x v="0"/>
    <x v="0"/>
    <x v="1"/>
    <x v="8"/>
    <x v="8"/>
    <x v="0"/>
    <x v="0"/>
    <n v="8.7576992882317093"/>
    <x v="0"/>
    <x v="0"/>
    <x v="0"/>
    <x v="0"/>
    <x v="0"/>
    <x v="0"/>
    <n v="9.5458922241725634"/>
  </r>
  <r>
    <x v="4"/>
    <x v="0"/>
    <x v="4"/>
    <x v="4"/>
    <x v="0"/>
    <x v="0"/>
    <x v="0"/>
    <x v="0"/>
    <x v="0"/>
    <x v="0"/>
    <x v="0"/>
    <x v="0"/>
    <x v="0"/>
    <x v="9"/>
    <x v="9"/>
    <x v="6"/>
    <x v="6"/>
    <n v="94.367159999999998"/>
    <x v="0"/>
    <x v="0"/>
    <x v="0"/>
    <x v="0"/>
    <x v="4"/>
    <x v="6"/>
    <n v="102.8602044"/>
  </r>
  <r>
    <x v="4"/>
    <x v="0"/>
    <x v="4"/>
    <x v="4"/>
    <x v="0"/>
    <x v="0"/>
    <x v="0"/>
    <x v="0"/>
    <x v="0"/>
    <x v="0"/>
    <x v="0"/>
    <x v="0"/>
    <x v="0"/>
    <x v="9"/>
    <x v="9"/>
    <x v="7"/>
    <x v="7"/>
    <n v="84.422091743068606"/>
    <x v="0"/>
    <x v="0"/>
    <x v="1"/>
    <x v="4"/>
    <x v="5"/>
    <x v="7"/>
    <n v="92.020079999944784"/>
  </r>
  <r>
    <x v="4"/>
    <x v="0"/>
    <x v="4"/>
    <x v="4"/>
    <x v="0"/>
    <x v="0"/>
    <x v="0"/>
    <x v="0"/>
    <x v="0"/>
    <x v="0"/>
    <x v="0"/>
    <x v="0"/>
    <x v="0"/>
    <x v="9"/>
    <x v="9"/>
    <x v="9"/>
    <x v="9"/>
    <n v="288.45730739289297"/>
    <x v="0"/>
    <x v="0"/>
    <x v="1"/>
    <x v="4"/>
    <x v="5"/>
    <x v="9"/>
    <n v="314.41846505825339"/>
  </r>
  <r>
    <x v="4"/>
    <x v="0"/>
    <x v="4"/>
    <x v="4"/>
    <x v="0"/>
    <x v="0"/>
    <x v="0"/>
    <x v="0"/>
    <x v="0"/>
    <x v="0"/>
    <x v="0"/>
    <x v="0"/>
    <x v="0"/>
    <x v="9"/>
    <x v="9"/>
    <x v="10"/>
    <x v="10"/>
    <n v="44.961561835667801"/>
    <x v="0"/>
    <x v="0"/>
    <x v="1"/>
    <x v="4"/>
    <x v="5"/>
    <x v="10"/>
    <n v="49.00810240087791"/>
  </r>
  <r>
    <x v="4"/>
    <x v="0"/>
    <x v="4"/>
    <x v="4"/>
    <x v="0"/>
    <x v="0"/>
    <x v="0"/>
    <x v="0"/>
    <x v="0"/>
    <x v="0"/>
    <x v="0"/>
    <x v="0"/>
    <x v="0"/>
    <x v="9"/>
    <x v="9"/>
    <x v="11"/>
    <x v="11"/>
    <n v="36.438429999999997"/>
    <x v="0"/>
    <x v="0"/>
    <x v="3"/>
    <x v="5"/>
    <x v="7"/>
    <x v="11"/>
    <n v="39.717888699999996"/>
  </r>
  <r>
    <x v="4"/>
    <x v="0"/>
    <x v="4"/>
    <x v="4"/>
    <x v="0"/>
    <x v="0"/>
    <x v="0"/>
    <x v="0"/>
    <x v="0"/>
    <x v="0"/>
    <x v="0"/>
    <x v="0"/>
    <x v="0"/>
    <x v="9"/>
    <x v="9"/>
    <x v="12"/>
    <x v="12"/>
    <n v="7.8003604650866398"/>
    <x v="0"/>
    <x v="0"/>
    <x v="0"/>
    <x v="0"/>
    <x v="8"/>
    <x v="12"/>
    <n v="8.5023929069444382"/>
  </r>
  <r>
    <x v="4"/>
    <x v="0"/>
    <x v="4"/>
    <x v="4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4"/>
    <x v="0"/>
    <x v="4"/>
    <x v="4"/>
    <x v="0"/>
    <x v="0"/>
    <x v="0"/>
    <x v="0"/>
    <x v="0"/>
    <x v="0"/>
    <x v="0"/>
    <x v="0"/>
    <x v="0"/>
    <x v="9"/>
    <x v="9"/>
    <x v="36"/>
    <x v="36"/>
    <n v="4.6837706421990202"/>
    <x v="0"/>
    <x v="0"/>
    <x v="1"/>
    <x v="3"/>
    <x v="3"/>
    <x v="4"/>
    <n v="5.1053099999969325"/>
  </r>
  <r>
    <x v="4"/>
    <x v="0"/>
    <x v="4"/>
    <x v="4"/>
    <x v="0"/>
    <x v="0"/>
    <x v="0"/>
    <x v="0"/>
    <x v="0"/>
    <x v="0"/>
    <x v="0"/>
    <x v="0"/>
    <x v="0"/>
    <x v="9"/>
    <x v="9"/>
    <x v="24"/>
    <x v="24"/>
    <n v="55.250853210975997"/>
    <x v="0"/>
    <x v="0"/>
    <x v="1"/>
    <x v="3"/>
    <x v="3"/>
    <x v="4"/>
    <n v="60.223429999963841"/>
  </r>
  <r>
    <x v="4"/>
    <x v="0"/>
    <x v="4"/>
    <x v="4"/>
    <x v="0"/>
    <x v="0"/>
    <x v="0"/>
    <x v="0"/>
    <x v="0"/>
    <x v="0"/>
    <x v="0"/>
    <x v="0"/>
    <x v="0"/>
    <x v="9"/>
    <x v="9"/>
    <x v="17"/>
    <x v="17"/>
    <n v="54.880020000000002"/>
    <x v="0"/>
    <x v="0"/>
    <x v="0"/>
    <x v="0"/>
    <x v="4"/>
    <x v="17"/>
    <n v="59.819221800000008"/>
  </r>
  <r>
    <x v="4"/>
    <x v="0"/>
    <x v="4"/>
    <x v="4"/>
    <x v="0"/>
    <x v="0"/>
    <x v="0"/>
    <x v="0"/>
    <x v="0"/>
    <x v="0"/>
    <x v="0"/>
    <x v="0"/>
    <x v="0"/>
    <x v="9"/>
    <x v="9"/>
    <x v="21"/>
    <x v="21"/>
    <n v="771.46728440320703"/>
    <x v="0"/>
    <x v="0"/>
    <x v="1"/>
    <x v="4"/>
    <x v="5"/>
    <x v="10"/>
    <n v="840.89933999949574"/>
  </r>
  <r>
    <x v="4"/>
    <x v="0"/>
    <x v="4"/>
    <x v="4"/>
    <x v="0"/>
    <x v="0"/>
    <x v="0"/>
    <x v="0"/>
    <x v="0"/>
    <x v="0"/>
    <x v="0"/>
    <x v="0"/>
    <x v="0"/>
    <x v="9"/>
    <x v="9"/>
    <x v="18"/>
    <x v="18"/>
    <n v="101.65142"/>
    <x v="0"/>
    <x v="0"/>
    <x v="0"/>
    <x v="0"/>
    <x v="4"/>
    <x v="18"/>
    <n v="110.80004780000002"/>
  </r>
  <r>
    <x v="4"/>
    <x v="0"/>
    <x v="4"/>
    <x v="4"/>
    <x v="0"/>
    <x v="0"/>
    <x v="0"/>
    <x v="0"/>
    <x v="0"/>
    <x v="0"/>
    <x v="0"/>
    <x v="0"/>
    <x v="0"/>
    <x v="9"/>
    <x v="9"/>
    <x v="34"/>
    <x v="34"/>
    <n v="9.3192069867411398"/>
    <x v="0"/>
    <x v="0"/>
    <x v="0"/>
    <x v="0"/>
    <x v="0"/>
    <x v="0"/>
    <n v="10.157935615547844"/>
  </r>
  <r>
    <x v="4"/>
    <x v="0"/>
    <x v="4"/>
    <x v="4"/>
    <x v="0"/>
    <x v="0"/>
    <x v="0"/>
    <x v="0"/>
    <x v="0"/>
    <x v="0"/>
    <x v="0"/>
    <x v="0"/>
    <x v="0"/>
    <x v="9"/>
    <x v="9"/>
    <x v="37"/>
    <x v="37"/>
    <n v="16.604128440357002"/>
    <x v="0"/>
    <x v="0"/>
    <x v="1"/>
    <x v="3"/>
    <x v="3"/>
    <x v="4"/>
    <n v="18.098499999989134"/>
  </r>
  <r>
    <x v="4"/>
    <x v="0"/>
    <x v="4"/>
    <x v="4"/>
    <x v="0"/>
    <x v="0"/>
    <x v="0"/>
    <x v="0"/>
    <x v="0"/>
    <x v="0"/>
    <x v="0"/>
    <x v="0"/>
    <x v="0"/>
    <x v="9"/>
    <x v="9"/>
    <x v="26"/>
    <x v="26"/>
    <n v="11.8152293577911"/>
    <x v="0"/>
    <x v="0"/>
    <x v="1"/>
    <x v="3"/>
    <x v="3"/>
    <x v="15"/>
    <n v="12.8785999999923"/>
  </r>
  <r>
    <x v="4"/>
    <x v="0"/>
    <x v="4"/>
    <x v="4"/>
    <x v="0"/>
    <x v="0"/>
    <x v="0"/>
    <x v="0"/>
    <x v="0"/>
    <x v="0"/>
    <x v="0"/>
    <x v="0"/>
    <x v="0"/>
    <x v="9"/>
    <x v="9"/>
    <x v="0"/>
    <x v="0"/>
    <n v="1.10760765124245"/>
    <x v="0"/>
    <x v="0"/>
    <x v="0"/>
    <x v="0"/>
    <x v="0"/>
    <x v="0"/>
    <n v="1.2072923398542705"/>
  </r>
  <r>
    <x v="4"/>
    <x v="0"/>
    <x v="4"/>
    <x v="4"/>
    <x v="0"/>
    <x v="0"/>
    <x v="0"/>
    <x v="0"/>
    <x v="0"/>
    <x v="0"/>
    <x v="0"/>
    <x v="0"/>
    <x v="0"/>
    <x v="9"/>
    <x v="9"/>
    <x v="2"/>
    <x v="2"/>
    <n v="15.9355321100822"/>
    <x v="0"/>
    <x v="1"/>
    <x v="2"/>
    <x v="2"/>
    <x v="13"/>
    <x v="2"/>
    <n v="17.369729999989598"/>
  </r>
  <r>
    <x v="4"/>
    <x v="0"/>
    <x v="4"/>
    <x v="4"/>
    <x v="0"/>
    <x v="0"/>
    <x v="0"/>
    <x v="0"/>
    <x v="0"/>
    <x v="0"/>
    <x v="0"/>
    <x v="0"/>
    <x v="2"/>
    <x v="10"/>
    <x v="10"/>
    <x v="6"/>
    <x v="6"/>
    <n v="173.62012999999999"/>
    <x v="0"/>
    <x v="0"/>
    <x v="0"/>
    <x v="0"/>
    <x v="4"/>
    <x v="6"/>
    <n v="189.2459417"/>
  </r>
  <r>
    <x v="4"/>
    <x v="0"/>
    <x v="4"/>
    <x v="4"/>
    <x v="0"/>
    <x v="0"/>
    <x v="0"/>
    <x v="0"/>
    <x v="0"/>
    <x v="0"/>
    <x v="0"/>
    <x v="0"/>
    <x v="2"/>
    <x v="10"/>
    <x v="10"/>
    <x v="7"/>
    <x v="7"/>
    <n v="10.880293577975101"/>
    <x v="0"/>
    <x v="0"/>
    <x v="1"/>
    <x v="4"/>
    <x v="5"/>
    <x v="7"/>
    <n v="11.859519999992861"/>
  </r>
  <r>
    <x v="4"/>
    <x v="0"/>
    <x v="4"/>
    <x v="4"/>
    <x v="0"/>
    <x v="0"/>
    <x v="0"/>
    <x v="0"/>
    <x v="0"/>
    <x v="0"/>
    <x v="0"/>
    <x v="0"/>
    <x v="2"/>
    <x v="10"/>
    <x v="10"/>
    <x v="9"/>
    <x v="9"/>
    <n v="135.87380417610001"/>
    <x v="0"/>
    <x v="0"/>
    <x v="1"/>
    <x v="4"/>
    <x v="5"/>
    <x v="9"/>
    <n v="148.10244655194901"/>
  </r>
  <r>
    <x v="4"/>
    <x v="0"/>
    <x v="4"/>
    <x v="4"/>
    <x v="0"/>
    <x v="0"/>
    <x v="0"/>
    <x v="0"/>
    <x v="0"/>
    <x v="0"/>
    <x v="0"/>
    <x v="0"/>
    <x v="2"/>
    <x v="10"/>
    <x v="10"/>
    <x v="10"/>
    <x v="10"/>
    <n v="36.320370082609301"/>
    <x v="0"/>
    <x v="0"/>
    <x v="1"/>
    <x v="4"/>
    <x v="5"/>
    <x v="10"/>
    <n v="39.58920339004414"/>
  </r>
  <r>
    <x v="4"/>
    <x v="0"/>
    <x v="4"/>
    <x v="4"/>
    <x v="0"/>
    <x v="0"/>
    <x v="0"/>
    <x v="0"/>
    <x v="0"/>
    <x v="0"/>
    <x v="0"/>
    <x v="0"/>
    <x v="2"/>
    <x v="10"/>
    <x v="10"/>
    <x v="11"/>
    <x v="11"/>
    <n v="23.1189"/>
    <x v="0"/>
    <x v="0"/>
    <x v="3"/>
    <x v="5"/>
    <x v="7"/>
    <x v="11"/>
    <n v="25.199601000000001"/>
  </r>
  <r>
    <x v="4"/>
    <x v="0"/>
    <x v="4"/>
    <x v="4"/>
    <x v="0"/>
    <x v="0"/>
    <x v="0"/>
    <x v="0"/>
    <x v="0"/>
    <x v="0"/>
    <x v="0"/>
    <x v="0"/>
    <x v="2"/>
    <x v="10"/>
    <x v="10"/>
    <x v="22"/>
    <x v="22"/>
    <n v="2.1002352150453598"/>
    <x v="0"/>
    <x v="0"/>
    <x v="0"/>
    <x v="0"/>
    <x v="0"/>
    <x v="0"/>
    <n v="2.2892563843994425"/>
  </r>
  <r>
    <x v="4"/>
    <x v="0"/>
    <x v="4"/>
    <x v="4"/>
    <x v="0"/>
    <x v="0"/>
    <x v="0"/>
    <x v="0"/>
    <x v="0"/>
    <x v="0"/>
    <x v="0"/>
    <x v="0"/>
    <x v="2"/>
    <x v="10"/>
    <x v="10"/>
    <x v="36"/>
    <x v="36"/>
    <n v="9.9091100917371708"/>
    <x v="0"/>
    <x v="0"/>
    <x v="1"/>
    <x v="3"/>
    <x v="3"/>
    <x v="4"/>
    <n v="10.800929999993517"/>
  </r>
  <r>
    <x v="4"/>
    <x v="0"/>
    <x v="4"/>
    <x v="4"/>
    <x v="0"/>
    <x v="0"/>
    <x v="0"/>
    <x v="0"/>
    <x v="0"/>
    <x v="0"/>
    <x v="0"/>
    <x v="0"/>
    <x v="2"/>
    <x v="10"/>
    <x v="10"/>
    <x v="24"/>
    <x v="24"/>
    <n v="34.656403669703998"/>
    <x v="0"/>
    <x v="0"/>
    <x v="1"/>
    <x v="3"/>
    <x v="3"/>
    <x v="4"/>
    <n v="37.775479999977364"/>
  </r>
  <r>
    <x v="4"/>
    <x v="0"/>
    <x v="4"/>
    <x v="4"/>
    <x v="0"/>
    <x v="0"/>
    <x v="0"/>
    <x v="0"/>
    <x v="0"/>
    <x v="0"/>
    <x v="0"/>
    <x v="0"/>
    <x v="2"/>
    <x v="10"/>
    <x v="10"/>
    <x v="17"/>
    <x v="17"/>
    <n v="21.97476"/>
    <x v="0"/>
    <x v="0"/>
    <x v="0"/>
    <x v="0"/>
    <x v="4"/>
    <x v="17"/>
    <n v="23.9524884"/>
  </r>
  <r>
    <x v="4"/>
    <x v="0"/>
    <x v="4"/>
    <x v="4"/>
    <x v="0"/>
    <x v="0"/>
    <x v="0"/>
    <x v="0"/>
    <x v="0"/>
    <x v="0"/>
    <x v="0"/>
    <x v="0"/>
    <x v="2"/>
    <x v="10"/>
    <x v="10"/>
    <x v="21"/>
    <x v="21"/>
    <n v="139.52211926597101"/>
    <x v="0"/>
    <x v="0"/>
    <x v="1"/>
    <x v="4"/>
    <x v="5"/>
    <x v="10"/>
    <n v="152.07910999990841"/>
  </r>
  <r>
    <x v="4"/>
    <x v="0"/>
    <x v="4"/>
    <x v="4"/>
    <x v="0"/>
    <x v="0"/>
    <x v="0"/>
    <x v="0"/>
    <x v="0"/>
    <x v="0"/>
    <x v="0"/>
    <x v="0"/>
    <x v="2"/>
    <x v="10"/>
    <x v="10"/>
    <x v="18"/>
    <x v="18"/>
    <n v="37.380000000000003"/>
    <x v="0"/>
    <x v="0"/>
    <x v="0"/>
    <x v="0"/>
    <x v="4"/>
    <x v="18"/>
    <n v="40.744200000000006"/>
  </r>
  <r>
    <x v="4"/>
    <x v="0"/>
    <x v="4"/>
    <x v="4"/>
    <x v="0"/>
    <x v="0"/>
    <x v="0"/>
    <x v="0"/>
    <x v="0"/>
    <x v="0"/>
    <x v="0"/>
    <x v="0"/>
    <x v="2"/>
    <x v="10"/>
    <x v="10"/>
    <x v="34"/>
    <x v="34"/>
    <n v="19.419613973469001"/>
    <x v="0"/>
    <x v="0"/>
    <x v="0"/>
    <x v="0"/>
    <x v="0"/>
    <x v="0"/>
    <n v="21.167379231081213"/>
  </r>
  <r>
    <x v="4"/>
    <x v="0"/>
    <x v="4"/>
    <x v="4"/>
    <x v="0"/>
    <x v="0"/>
    <x v="0"/>
    <x v="0"/>
    <x v="0"/>
    <x v="0"/>
    <x v="0"/>
    <x v="0"/>
    <x v="2"/>
    <x v="10"/>
    <x v="10"/>
    <x v="37"/>
    <x v="37"/>
    <n v="21.559743119253099"/>
    <x v="0"/>
    <x v="0"/>
    <x v="1"/>
    <x v="3"/>
    <x v="3"/>
    <x v="4"/>
    <n v="23.500119999985881"/>
  </r>
  <r>
    <x v="4"/>
    <x v="0"/>
    <x v="4"/>
    <x v="4"/>
    <x v="0"/>
    <x v="0"/>
    <x v="0"/>
    <x v="0"/>
    <x v="0"/>
    <x v="0"/>
    <x v="0"/>
    <x v="0"/>
    <x v="2"/>
    <x v="10"/>
    <x v="10"/>
    <x v="26"/>
    <x v="26"/>
    <n v="40.162660550434602"/>
    <x v="0"/>
    <x v="0"/>
    <x v="1"/>
    <x v="3"/>
    <x v="3"/>
    <x v="15"/>
    <n v="43.777299999973721"/>
  </r>
  <r>
    <x v="4"/>
    <x v="0"/>
    <x v="4"/>
    <x v="4"/>
    <x v="0"/>
    <x v="0"/>
    <x v="0"/>
    <x v="0"/>
    <x v="0"/>
    <x v="0"/>
    <x v="0"/>
    <x v="0"/>
    <x v="2"/>
    <x v="10"/>
    <x v="10"/>
    <x v="0"/>
    <x v="0"/>
    <n v="69.818570284502002"/>
    <x v="0"/>
    <x v="0"/>
    <x v="0"/>
    <x v="0"/>
    <x v="0"/>
    <x v="0"/>
    <n v="76.102241610107185"/>
  </r>
  <r>
    <x v="4"/>
    <x v="0"/>
    <x v="4"/>
    <x v="4"/>
    <x v="0"/>
    <x v="0"/>
    <x v="0"/>
    <x v="0"/>
    <x v="0"/>
    <x v="0"/>
    <x v="0"/>
    <x v="0"/>
    <x v="2"/>
    <x v="10"/>
    <x v="10"/>
    <x v="2"/>
    <x v="2"/>
    <n v="485.856605504296"/>
    <x v="0"/>
    <x v="1"/>
    <x v="2"/>
    <x v="2"/>
    <x v="13"/>
    <x v="2"/>
    <n v="529.58369999968272"/>
  </r>
  <r>
    <x v="4"/>
    <x v="0"/>
    <x v="4"/>
    <x v="4"/>
    <x v="0"/>
    <x v="0"/>
    <x v="0"/>
    <x v="0"/>
    <x v="0"/>
    <x v="0"/>
    <x v="0"/>
    <x v="0"/>
    <x v="4"/>
    <x v="5"/>
    <x v="5"/>
    <x v="4"/>
    <x v="4"/>
    <n v="2.07161467889784"/>
    <x v="0"/>
    <x v="0"/>
    <x v="1"/>
    <x v="3"/>
    <x v="3"/>
    <x v="4"/>
    <n v="2.2580599999986459"/>
  </r>
  <r>
    <x v="4"/>
    <x v="0"/>
    <x v="4"/>
    <x v="4"/>
    <x v="0"/>
    <x v="0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4"/>
    <x v="0"/>
    <x v="4"/>
    <x v="4"/>
    <x v="0"/>
    <x v="0"/>
    <x v="0"/>
    <x v="0"/>
    <x v="0"/>
    <x v="0"/>
    <x v="0"/>
    <x v="0"/>
    <x v="4"/>
    <x v="5"/>
    <x v="5"/>
    <x v="6"/>
    <x v="6"/>
    <n v="924.02802999999994"/>
    <x v="0"/>
    <x v="0"/>
    <x v="0"/>
    <x v="0"/>
    <x v="4"/>
    <x v="6"/>
    <n v="1007.1905527"/>
  </r>
  <r>
    <x v="4"/>
    <x v="0"/>
    <x v="4"/>
    <x v="4"/>
    <x v="0"/>
    <x v="0"/>
    <x v="0"/>
    <x v="0"/>
    <x v="0"/>
    <x v="0"/>
    <x v="0"/>
    <x v="0"/>
    <x v="4"/>
    <x v="5"/>
    <x v="5"/>
    <x v="7"/>
    <x v="7"/>
    <n v="7.1852110091699997"/>
    <x v="0"/>
    <x v="0"/>
    <x v="1"/>
    <x v="4"/>
    <x v="5"/>
    <x v="7"/>
    <n v="7.8318799999953006"/>
  </r>
  <r>
    <x v="4"/>
    <x v="0"/>
    <x v="4"/>
    <x v="4"/>
    <x v="0"/>
    <x v="0"/>
    <x v="0"/>
    <x v="0"/>
    <x v="0"/>
    <x v="0"/>
    <x v="0"/>
    <x v="0"/>
    <x v="4"/>
    <x v="5"/>
    <x v="5"/>
    <x v="8"/>
    <x v="8"/>
    <n v="1203.7805878455399"/>
    <x v="0"/>
    <x v="1"/>
    <x v="2"/>
    <x v="2"/>
    <x v="6"/>
    <x v="8"/>
    <n v="1312.1208407516385"/>
  </r>
  <r>
    <x v="4"/>
    <x v="0"/>
    <x v="4"/>
    <x v="4"/>
    <x v="0"/>
    <x v="0"/>
    <x v="0"/>
    <x v="0"/>
    <x v="0"/>
    <x v="0"/>
    <x v="0"/>
    <x v="0"/>
    <x v="4"/>
    <x v="5"/>
    <x v="5"/>
    <x v="9"/>
    <x v="9"/>
    <n v="683.45670098386699"/>
    <x v="0"/>
    <x v="0"/>
    <x v="1"/>
    <x v="4"/>
    <x v="5"/>
    <x v="9"/>
    <n v="744.96780407241511"/>
  </r>
  <r>
    <x v="4"/>
    <x v="0"/>
    <x v="4"/>
    <x v="4"/>
    <x v="0"/>
    <x v="0"/>
    <x v="0"/>
    <x v="0"/>
    <x v="0"/>
    <x v="0"/>
    <x v="0"/>
    <x v="0"/>
    <x v="4"/>
    <x v="5"/>
    <x v="5"/>
    <x v="10"/>
    <x v="10"/>
    <n v="147.56631914534699"/>
    <x v="0"/>
    <x v="0"/>
    <x v="1"/>
    <x v="4"/>
    <x v="5"/>
    <x v="10"/>
    <n v="160.84728786842823"/>
  </r>
  <r>
    <x v="4"/>
    <x v="0"/>
    <x v="4"/>
    <x v="4"/>
    <x v="0"/>
    <x v="0"/>
    <x v="0"/>
    <x v="0"/>
    <x v="0"/>
    <x v="0"/>
    <x v="0"/>
    <x v="0"/>
    <x v="4"/>
    <x v="5"/>
    <x v="5"/>
    <x v="29"/>
    <x v="29"/>
    <n v="1.0482499999999999"/>
    <x v="0"/>
    <x v="0"/>
    <x v="1"/>
    <x v="3"/>
    <x v="3"/>
    <x v="13"/>
    <n v="1.1425924999999999"/>
  </r>
  <r>
    <x v="4"/>
    <x v="0"/>
    <x v="4"/>
    <x v="4"/>
    <x v="0"/>
    <x v="0"/>
    <x v="0"/>
    <x v="0"/>
    <x v="0"/>
    <x v="0"/>
    <x v="0"/>
    <x v="0"/>
    <x v="4"/>
    <x v="5"/>
    <x v="5"/>
    <x v="35"/>
    <x v="35"/>
    <n v="272.23101000000003"/>
    <x v="0"/>
    <x v="0"/>
    <x v="0"/>
    <x v="0"/>
    <x v="0"/>
    <x v="0"/>
    <n v="296.73180090000005"/>
  </r>
  <r>
    <x v="4"/>
    <x v="0"/>
    <x v="4"/>
    <x v="4"/>
    <x v="0"/>
    <x v="0"/>
    <x v="0"/>
    <x v="0"/>
    <x v="0"/>
    <x v="0"/>
    <x v="0"/>
    <x v="0"/>
    <x v="4"/>
    <x v="5"/>
    <x v="5"/>
    <x v="55"/>
    <x v="55"/>
    <n v="2.0036697247694399"/>
    <x v="0"/>
    <x v="0"/>
    <x v="1"/>
    <x v="3"/>
    <x v="3"/>
    <x v="15"/>
    <n v="2.1839999999986897"/>
  </r>
  <r>
    <x v="4"/>
    <x v="0"/>
    <x v="4"/>
    <x v="4"/>
    <x v="0"/>
    <x v="0"/>
    <x v="0"/>
    <x v="0"/>
    <x v="0"/>
    <x v="0"/>
    <x v="0"/>
    <x v="0"/>
    <x v="4"/>
    <x v="5"/>
    <x v="5"/>
    <x v="12"/>
    <x v="12"/>
    <n v="268.46262790595699"/>
    <x v="0"/>
    <x v="0"/>
    <x v="0"/>
    <x v="0"/>
    <x v="8"/>
    <x v="12"/>
    <n v="292.62426441749312"/>
  </r>
  <r>
    <x v="4"/>
    <x v="0"/>
    <x v="4"/>
    <x v="4"/>
    <x v="0"/>
    <x v="0"/>
    <x v="0"/>
    <x v="0"/>
    <x v="0"/>
    <x v="0"/>
    <x v="0"/>
    <x v="0"/>
    <x v="4"/>
    <x v="5"/>
    <x v="5"/>
    <x v="14"/>
    <x v="14"/>
    <n v="290.74896000000001"/>
    <x v="0"/>
    <x v="0"/>
    <x v="0"/>
    <x v="0"/>
    <x v="8"/>
    <x v="14"/>
    <n v="316.91636640000002"/>
  </r>
  <r>
    <x v="4"/>
    <x v="0"/>
    <x v="4"/>
    <x v="4"/>
    <x v="0"/>
    <x v="0"/>
    <x v="0"/>
    <x v="0"/>
    <x v="0"/>
    <x v="0"/>
    <x v="0"/>
    <x v="0"/>
    <x v="4"/>
    <x v="5"/>
    <x v="5"/>
    <x v="22"/>
    <x v="22"/>
    <n v="28.207629032145199"/>
    <x v="0"/>
    <x v="0"/>
    <x v="0"/>
    <x v="0"/>
    <x v="0"/>
    <x v="0"/>
    <n v="30.746315645038269"/>
  </r>
  <r>
    <x v="4"/>
    <x v="0"/>
    <x v="4"/>
    <x v="4"/>
    <x v="0"/>
    <x v="0"/>
    <x v="0"/>
    <x v="0"/>
    <x v="0"/>
    <x v="0"/>
    <x v="0"/>
    <x v="0"/>
    <x v="4"/>
    <x v="5"/>
    <x v="5"/>
    <x v="33"/>
    <x v="33"/>
    <n v="3.6337706421996501"/>
    <x v="0"/>
    <x v="0"/>
    <x v="1"/>
    <x v="3"/>
    <x v="3"/>
    <x v="4"/>
    <n v="3.9608099999976187"/>
  </r>
  <r>
    <x v="4"/>
    <x v="0"/>
    <x v="4"/>
    <x v="4"/>
    <x v="0"/>
    <x v="0"/>
    <x v="0"/>
    <x v="0"/>
    <x v="0"/>
    <x v="0"/>
    <x v="0"/>
    <x v="0"/>
    <x v="4"/>
    <x v="5"/>
    <x v="5"/>
    <x v="36"/>
    <x v="36"/>
    <n v="38.525238532087002"/>
    <x v="0"/>
    <x v="0"/>
    <x v="1"/>
    <x v="3"/>
    <x v="3"/>
    <x v="4"/>
    <n v="41.992509999974835"/>
  </r>
  <r>
    <x v="4"/>
    <x v="0"/>
    <x v="4"/>
    <x v="4"/>
    <x v="0"/>
    <x v="0"/>
    <x v="0"/>
    <x v="0"/>
    <x v="0"/>
    <x v="0"/>
    <x v="0"/>
    <x v="0"/>
    <x v="4"/>
    <x v="5"/>
    <x v="5"/>
    <x v="23"/>
    <x v="23"/>
    <n v="4.3435321100891402"/>
    <x v="0"/>
    <x v="0"/>
    <x v="1"/>
    <x v="3"/>
    <x v="3"/>
    <x v="15"/>
    <n v="4.734449999997163"/>
  </r>
  <r>
    <x v="4"/>
    <x v="0"/>
    <x v="4"/>
    <x v="4"/>
    <x v="0"/>
    <x v="0"/>
    <x v="0"/>
    <x v="0"/>
    <x v="0"/>
    <x v="0"/>
    <x v="0"/>
    <x v="0"/>
    <x v="4"/>
    <x v="5"/>
    <x v="5"/>
    <x v="24"/>
    <x v="24"/>
    <n v="57.007880733910802"/>
    <x v="0"/>
    <x v="0"/>
    <x v="1"/>
    <x v="3"/>
    <x v="3"/>
    <x v="4"/>
    <n v="62.138589999962782"/>
  </r>
  <r>
    <x v="4"/>
    <x v="0"/>
    <x v="4"/>
    <x v="4"/>
    <x v="0"/>
    <x v="0"/>
    <x v="0"/>
    <x v="0"/>
    <x v="0"/>
    <x v="0"/>
    <x v="0"/>
    <x v="0"/>
    <x v="4"/>
    <x v="5"/>
    <x v="5"/>
    <x v="17"/>
    <x v="17"/>
    <n v="182.71332000000001"/>
    <x v="0"/>
    <x v="0"/>
    <x v="0"/>
    <x v="0"/>
    <x v="4"/>
    <x v="17"/>
    <n v="199.15751880000002"/>
  </r>
  <r>
    <x v="4"/>
    <x v="0"/>
    <x v="4"/>
    <x v="4"/>
    <x v="0"/>
    <x v="0"/>
    <x v="0"/>
    <x v="0"/>
    <x v="0"/>
    <x v="0"/>
    <x v="0"/>
    <x v="0"/>
    <x v="4"/>
    <x v="5"/>
    <x v="5"/>
    <x v="21"/>
    <x v="21"/>
    <n v="124.638816513687"/>
    <x v="0"/>
    <x v="0"/>
    <x v="1"/>
    <x v="4"/>
    <x v="5"/>
    <x v="10"/>
    <n v="135.85630999991884"/>
  </r>
  <r>
    <x v="4"/>
    <x v="0"/>
    <x v="4"/>
    <x v="4"/>
    <x v="0"/>
    <x v="0"/>
    <x v="0"/>
    <x v="0"/>
    <x v="0"/>
    <x v="0"/>
    <x v="0"/>
    <x v="0"/>
    <x v="4"/>
    <x v="5"/>
    <x v="5"/>
    <x v="18"/>
    <x v="18"/>
    <n v="438.35764"/>
    <x v="0"/>
    <x v="0"/>
    <x v="0"/>
    <x v="0"/>
    <x v="4"/>
    <x v="18"/>
    <n v="477.80982760000006"/>
  </r>
  <r>
    <x v="4"/>
    <x v="0"/>
    <x v="4"/>
    <x v="4"/>
    <x v="0"/>
    <x v="0"/>
    <x v="0"/>
    <x v="0"/>
    <x v="0"/>
    <x v="0"/>
    <x v="0"/>
    <x v="0"/>
    <x v="4"/>
    <x v="5"/>
    <x v="5"/>
    <x v="34"/>
    <x v="34"/>
    <n v="78.673658513946407"/>
    <x v="0"/>
    <x v="0"/>
    <x v="0"/>
    <x v="0"/>
    <x v="0"/>
    <x v="0"/>
    <n v="85.754287780201594"/>
  </r>
  <r>
    <x v="4"/>
    <x v="0"/>
    <x v="4"/>
    <x v="4"/>
    <x v="0"/>
    <x v="0"/>
    <x v="0"/>
    <x v="0"/>
    <x v="0"/>
    <x v="0"/>
    <x v="0"/>
    <x v="0"/>
    <x v="4"/>
    <x v="5"/>
    <x v="5"/>
    <x v="25"/>
    <x v="25"/>
    <n v="18.375788990814701"/>
    <x v="0"/>
    <x v="0"/>
    <x v="1"/>
    <x v="4"/>
    <x v="5"/>
    <x v="9"/>
    <n v="20.029609999988025"/>
  </r>
  <r>
    <x v="4"/>
    <x v="0"/>
    <x v="4"/>
    <x v="4"/>
    <x v="0"/>
    <x v="0"/>
    <x v="0"/>
    <x v="0"/>
    <x v="0"/>
    <x v="0"/>
    <x v="0"/>
    <x v="0"/>
    <x v="4"/>
    <x v="5"/>
    <x v="5"/>
    <x v="37"/>
    <x v="37"/>
    <n v="79.110146788943396"/>
    <x v="0"/>
    <x v="0"/>
    <x v="1"/>
    <x v="3"/>
    <x v="3"/>
    <x v="4"/>
    <n v="86.23005999994831"/>
  </r>
  <r>
    <x v="4"/>
    <x v="0"/>
    <x v="4"/>
    <x v="4"/>
    <x v="0"/>
    <x v="0"/>
    <x v="0"/>
    <x v="0"/>
    <x v="0"/>
    <x v="0"/>
    <x v="0"/>
    <x v="0"/>
    <x v="4"/>
    <x v="5"/>
    <x v="5"/>
    <x v="27"/>
    <x v="27"/>
    <n v="73.482567569125393"/>
    <x v="0"/>
    <x v="0"/>
    <x v="1"/>
    <x v="3"/>
    <x v="3"/>
    <x v="19"/>
    <n v="80.095998650346687"/>
  </r>
  <r>
    <x v="4"/>
    <x v="0"/>
    <x v="4"/>
    <x v="4"/>
    <x v="0"/>
    <x v="0"/>
    <x v="0"/>
    <x v="0"/>
    <x v="0"/>
    <x v="0"/>
    <x v="0"/>
    <x v="0"/>
    <x v="4"/>
    <x v="5"/>
    <x v="5"/>
    <x v="26"/>
    <x v="26"/>
    <n v="32.348284403650297"/>
    <x v="0"/>
    <x v="0"/>
    <x v="1"/>
    <x v="3"/>
    <x v="3"/>
    <x v="15"/>
    <n v="35.259629999978827"/>
  </r>
  <r>
    <x v="4"/>
    <x v="0"/>
    <x v="4"/>
    <x v="4"/>
    <x v="0"/>
    <x v="0"/>
    <x v="0"/>
    <x v="0"/>
    <x v="0"/>
    <x v="0"/>
    <x v="0"/>
    <x v="0"/>
    <x v="4"/>
    <x v="5"/>
    <x v="5"/>
    <x v="0"/>
    <x v="0"/>
    <n v="84.957229537128697"/>
    <x v="0"/>
    <x v="0"/>
    <x v="0"/>
    <x v="0"/>
    <x v="0"/>
    <x v="0"/>
    <n v="92.60338019547028"/>
  </r>
  <r>
    <x v="4"/>
    <x v="0"/>
    <x v="4"/>
    <x v="4"/>
    <x v="0"/>
    <x v="0"/>
    <x v="0"/>
    <x v="0"/>
    <x v="0"/>
    <x v="0"/>
    <x v="0"/>
    <x v="0"/>
    <x v="4"/>
    <x v="5"/>
    <x v="5"/>
    <x v="2"/>
    <x v="2"/>
    <n v="5858.8562385286004"/>
    <x v="0"/>
    <x v="1"/>
    <x v="2"/>
    <x v="2"/>
    <x v="13"/>
    <x v="2"/>
    <n v="6386.1532999961746"/>
  </r>
  <r>
    <x v="4"/>
    <x v="0"/>
    <x v="4"/>
    <x v="4"/>
    <x v="0"/>
    <x v="0"/>
    <x v="0"/>
    <x v="0"/>
    <x v="0"/>
    <x v="0"/>
    <x v="0"/>
    <x v="0"/>
    <x v="4"/>
    <x v="5"/>
    <x v="5"/>
    <x v="3"/>
    <x v="3"/>
    <n v="1.72413891612167"/>
    <x v="0"/>
    <x v="0"/>
    <x v="1"/>
    <x v="3"/>
    <x v="3"/>
    <x v="3"/>
    <n v="1.8793114185726205"/>
  </r>
  <r>
    <x v="4"/>
    <x v="0"/>
    <x v="4"/>
    <x v="4"/>
    <x v="0"/>
    <x v="0"/>
    <x v="0"/>
    <x v="0"/>
    <x v="0"/>
    <x v="0"/>
    <x v="3"/>
    <x v="3"/>
    <x v="3"/>
    <x v="3"/>
    <x v="3"/>
    <x v="8"/>
    <x v="8"/>
    <n v="6.0168918919299999E-2"/>
    <x v="0"/>
    <x v="1"/>
    <x v="2"/>
    <x v="2"/>
    <x v="6"/>
    <x v="8"/>
    <n v="6.5584121622037E-2"/>
  </r>
  <r>
    <x v="4"/>
    <x v="0"/>
    <x v="4"/>
    <x v="4"/>
    <x v="0"/>
    <x v="0"/>
    <x v="0"/>
    <x v="0"/>
    <x v="0"/>
    <x v="0"/>
    <x v="3"/>
    <x v="3"/>
    <x v="3"/>
    <x v="3"/>
    <x v="3"/>
    <x v="3"/>
    <x v="3"/>
    <n v="2.5415310342845201"/>
    <x v="0"/>
    <x v="0"/>
    <x v="1"/>
    <x v="3"/>
    <x v="3"/>
    <x v="3"/>
    <n v="2.7702688273701273"/>
  </r>
  <r>
    <x v="4"/>
    <x v="0"/>
    <x v="4"/>
    <x v="4"/>
    <x v="0"/>
    <x v="0"/>
    <x v="0"/>
    <x v="0"/>
    <x v="0"/>
    <x v="0"/>
    <x v="3"/>
    <x v="3"/>
    <x v="0"/>
    <x v="4"/>
    <x v="4"/>
    <x v="16"/>
    <x v="16"/>
    <n v="20.11176"/>
    <x v="0"/>
    <x v="0"/>
    <x v="3"/>
    <x v="5"/>
    <x v="9"/>
    <x v="16"/>
    <n v="21.921818400000003"/>
  </r>
  <r>
    <x v="4"/>
    <x v="0"/>
    <x v="4"/>
    <x v="4"/>
    <x v="0"/>
    <x v="0"/>
    <x v="0"/>
    <x v="0"/>
    <x v="0"/>
    <x v="0"/>
    <x v="3"/>
    <x v="3"/>
    <x v="2"/>
    <x v="2"/>
    <x v="2"/>
    <x v="5"/>
    <x v="5"/>
    <n v="12.2840000000934"/>
    <x v="0"/>
    <x v="0"/>
    <x v="1"/>
    <x v="1"/>
    <x v="1"/>
    <x v="5"/>
    <n v="13.389560000101806"/>
  </r>
  <r>
    <x v="4"/>
    <x v="0"/>
    <x v="4"/>
    <x v="4"/>
    <x v="0"/>
    <x v="0"/>
    <x v="0"/>
    <x v="0"/>
    <x v="0"/>
    <x v="0"/>
    <x v="3"/>
    <x v="3"/>
    <x v="2"/>
    <x v="2"/>
    <x v="2"/>
    <x v="6"/>
    <x v="6"/>
    <n v="28.805389999999999"/>
    <x v="0"/>
    <x v="0"/>
    <x v="0"/>
    <x v="0"/>
    <x v="4"/>
    <x v="6"/>
    <n v="31.3978751"/>
  </r>
  <r>
    <x v="4"/>
    <x v="0"/>
    <x v="4"/>
    <x v="4"/>
    <x v="0"/>
    <x v="0"/>
    <x v="0"/>
    <x v="0"/>
    <x v="0"/>
    <x v="0"/>
    <x v="3"/>
    <x v="3"/>
    <x v="2"/>
    <x v="2"/>
    <x v="2"/>
    <x v="8"/>
    <x v="8"/>
    <n v="127.993601352171"/>
    <x v="0"/>
    <x v="1"/>
    <x v="2"/>
    <x v="2"/>
    <x v="6"/>
    <x v="8"/>
    <n v="139.51302547386641"/>
  </r>
  <r>
    <x v="4"/>
    <x v="0"/>
    <x v="4"/>
    <x v="4"/>
    <x v="0"/>
    <x v="0"/>
    <x v="0"/>
    <x v="0"/>
    <x v="0"/>
    <x v="0"/>
    <x v="3"/>
    <x v="3"/>
    <x v="2"/>
    <x v="2"/>
    <x v="2"/>
    <x v="9"/>
    <x v="9"/>
    <n v="2.2183486238520001E-2"/>
    <x v="0"/>
    <x v="0"/>
    <x v="1"/>
    <x v="4"/>
    <x v="5"/>
    <x v="9"/>
    <n v="2.4179999999986802E-2"/>
  </r>
  <r>
    <x v="4"/>
    <x v="0"/>
    <x v="4"/>
    <x v="4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4"/>
    <x v="0"/>
    <x v="4"/>
    <x v="4"/>
    <x v="0"/>
    <x v="0"/>
    <x v="0"/>
    <x v="0"/>
    <x v="0"/>
    <x v="0"/>
    <x v="3"/>
    <x v="3"/>
    <x v="2"/>
    <x v="2"/>
    <x v="2"/>
    <x v="11"/>
    <x v="11"/>
    <n v="0.82382"/>
    <x v="0"/>
    <x v="0"/>
    <x v="3"/>
    <x v="5"/>
    <x v="7"/>
    <x v="11"/>
    <n v="0.89796380000000009"/>
  </r>
  <r>
    <x v="4"/>
    <x v="0"/>
    <x v="4"/>
    <x v="4"/>
    <x v="0"/>
    <x v="0"/>
    <x v="0"/>
    <x v="0"/>
    <x v="0"/>
    <x v="0"/>
    <x v="3"/>
    <x v="3"/>
    <x v="2"/>
    <x v="2"/>
    <x v="2"/>
    <x v="16"/>
    <x v="16"/>
    <n v="44.927599999999998"/>
    <x v="0"/>
    <x v="0"/>
    <x v="3"/>
    <x v="5"/>
    <x v="9"/>
    <x v="16"/>
    <n v="48.971084000000005"/>
  </r>
  <r>
    <x v="4"/>
    <x v="0"/>
    <x v="4"/>
    <x v="4"/>
    <x v="0"/>
    <x v="0"/>
    <x v="0"/>
    <x v="0"/>
    <x v="0"/>
    <x v="0"/>
    <x v="3"/>
    <x v="3"/>
    <x v="2"/>
    <x v="2"/>
    <x v="2"/>
    <x v="2"/>
    <x v="2"/>
    <n v="60.481522935743499"/>
    <x v="0"/>
    <x v="1"/>
    <x v="2"/>
    <x v="2"/>
    <x v="13"/>
    <x v="2"/>
    <n v="65.924859999960418"/>
  </r>
  <r>
    <x v="4"/>
    <x v="0"/>
    <x v="4"/>
    <x v="4"/>
    <x v="0"/>
    <x v="0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4"/>
    <x v="0"/>
    <x v="4"/>
    <x v="4"/>
    <x v="0"/>
    <x v="0"/>
    <x v="0"/>
    <x v="0"/>
    <x v="0"/>
    <x v="0"/>
    <x v="3"/>
    <x v="3"/>
    <x v="4"/>
    <x v="5"/>
    <x v="5"/>
    <x v="8"/>
    <x v="8"/>
    <n v="53.327797297638597"/>
    <x v="0"/>
    <x v="1"/>
    <x v="2"/>
    <x v="2"/>
    <x v="6"/>
    <x v="8"/>
    <n v="58.127299054426075"/>
  </r>
  <r>
    <x v="4"/>
    <x v="0"/>
    <x v="4"/>
    <x v="4"/>
    <x v="0"/>
    <x v="0"/>
    <x v="0"/>
    <x v="0"/>
    <x v="0"/>
    <x v="0"/>
    <x v="3"/>
    <x v="3"/>
    <x v="4"/>
    <x v="5"/>
    <x v="5"/>
    <x v="12"/>
    <x v="12"/>
    <n v="35.227790697540499"/>
    <x v="0"/>
    <x v="0"/>
    <x v="0"/>
    <x v="0"/>
    <x v="8"/>
    <x v="12"/>
    <n v="38.398291860319148"/>
  </r>
  <r>
    <x v="4"/>
    <x v="0"/>
    <x v="4"/>
    <x v="4"/>
    <x v="0"/>
    <x v="0"/>
    <x v="0"/>
    <x v="0"/>
    <x v="0"/>
    <x v="0"/>
    <x v="3"/>
    <x v="3"/>
    <x v="4"/>
    <x v="5"/>
    <x v="5"/>
    <x v="18"/>
    <x v="18"/>
    <n v="16.240349999999999"/>
    <x v="0"/>
    <x v="0"/>
    <x v="0"/>
    <x v="0"/>
    <x v="4"/>
    <x v="18"/>
    <n v="17.701981500000002"/>
  </r>
  <r>
    <x v="4"/>
    <x v="0"/>
    <x v="4"/>
    <x v="4"/>
    <x v="0"/>
    <x v="0"/>
    <x v="0"/>
    <x v="0"/>
    <x v="0"/>
    <x v="0"/>
    <x v="3"/>
    <x v="3"/>
    <x v="4"/>
    <x v="5"/>
    <x v="5"/>
    <x v="27"/>
    <x v="27"/>
    <n v="4.7297297298299998"/>
    <x v="0"/>
    <x v="0"/>
    <x v="1"/>
    <x v="3"/>
    <x v="3"/>
    <x v="19"/>
    <n v="5.1554054055147001"/>
  </r>
  <r>
    <x v="4"/>
    <x v="0"/>
    <x v="4"/>
    <x v="4"/>
    <x v="0"/>
    <x v="0"/>
    <x v="0"/>
    <x v="0"/>
    <x v="0"/>
    <x v="0"/>
    <x v="3"/>
    <x v="3"/>
    <x v="4"/>
    <x v="5"/>
    <x v="5"/>
    <x v="0"/>
    <x v="0"/>
    <n v="288.096826511649"/>
    <x v="0"/>
    <x v="0"/>
    <x v="0"/>
    <x v="0"/>
    <x v="0"/>
    <x v="0"/>
    <n v="314.02554089769745"/>
  </r>
  <r>
    <x v="4"/>
    <x v="0"/>
    <x v="4"/>
    <x v="4"/>
    <x v="0"/>
    <x v="0"/>
    <x v="0"/>
    <x v="0"/>
    <x v="0"/>
    <x v="0"/>
    <x v="3"/>
    <x v="3"/>
    <x v="4"/>
    <x v="5"/>
    <x v="5"/>
    <x v="2"/>
    <x v="2"/>
    <n v="5.7854862385286401"/>
    <x v="0"/>
    <x v="1"/>
    <x v="2"/>
    <x v="2"/>
    <x v="13"/>
    <x v="2"/>
    <n v="6.3061799999962185"/>
  </r>
  <r>
    <x v="4"/>
    <x v="0"/>
    <x v="4"/>
    <x v="4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4"/>
    <x v="0"/>
    <x v="4"/>
    <x v="4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4"/>
    <x v="0"/>
    <x v="4"/>
    <x v="4"/>
    <x v="0"/>
    <x v="0"/>
    <x v="0"/>
    <x v="0"/>
    <x v="0"/>
    <x v="0"/>
    <x v="4"/>
    <x v="4"/>
    <x v="2"/>
    <x v="2"/>
    <x v="2"/>
    <x v="5"/>
    <x v="5"/>
    <n v="0.46536196319371997"/>
    <x v="0"/>
    <x v="0"/>
    <x v="1"/>
    <x v="1"/>
    <x v="1"/>
    <x v="5"/>
    <n v="0.50724453988115481"/>
  </r>
  <r>
    <x v="4"/>
    <x v="0"/>
    <x v="4"/>
    <x v="4"/>
    <x v="0"/>
    <x v="0"/>
    <x v="0"/>
    <x v="0"/>
    <x v="0"/>
    <x v="0"/>
    <x v="4"/>
    <x v="4"/>
    <x v="2"/>
    <x v="2"/>
    <x v="2"/>
    <x v="6"/>
    <x v="6"/>
    <n v="1.3287599999999999"/>
    <x v="0"/>
    <x v="0"/>
    <x v="0"/>
    <x v="0"/>
    <x v="4"/>
    <x v="6"/>
    <n v="1.4483484"/>
  </r>
  <r>
    <x v="4"/>
    <x v="0"/>
    <x v="4"/>
    <x v="4"/>
    <x v="0"/>
    <x v="0"/>
    <x v="0"/>
    <x v="0"/>
    <x v="0"/>
    <x v="0"/>
    <x v="4"/>
    <x v="4"/>
    <x v="2"/>
    <x v="2"/>
    <x v="2"/>
    <x v="7"/>
    <x v="7"/>
    <n v="0.82651376146738997"/>
    <x v="0"/>
    <x v="0"/>
    <x v="1"/>
    <x v="4"/>
    <x v="5"/>
    <x v="7"/>
    <n v="0.90089999999945514"/>
  </r>
  <r>
    <x v="4"/>
    <x v="0"/>
    <x v="4"/>
    <x v="4"/>
    <x v="0"/>
    <x v="0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4"/>
    <x v="0"/>
    <x v="4"/>
    <x v="4"/>
    <x v="0"/>
    <x v="0"/>
    <x v="0"/>
    <x v="0"/>
    <x v="0"/>
    <x v="0"/>
    <x v="4"/>
    <x v="4"/>
    <x v="2"/>
    <x v="2"/>
    <x v="2"/>
    <x v="9"/>
    <x v="9"/>
    <n v="6.3055045871519999E-2"/>
    <x v="0"/>
    <x v="0"/>
    <x v="1"/>
    <x v="4"/>
    <x v="5"/>
    <x v="9"/>
    <n v="6.8729999999956798E-2"/>
  </r>
  <r>
    <x v="4"/>
    <x v="0"/>
    <x v="4"/>
    <x v="4"/>
    <x v="0"/>
    <x v="0"/>
    <x v="0"/>
    <x v="0"/>
    <x v="0"/>
    <x v="0"/>
    <x v="4"/>
    <x v="4"/>
    <x v="2"/>
    <x v="2"/>
    <x v="2"/>
    <x v="10"/>
    <x v="10"/>
    <n v="0.53494566312960001"/>
    <x v="0"/>
    <x v="0"/>
    <x v="1"/>
    <x v="4"/>
    <x v="5"/>
    <x v="10"/>
    <n v="0.58309077281126409"/>
  </r>
  <r>
    <x v="4"/>
    <x v="0"/>
    <x v="4"/>
    <x v="4"/>
    <x v="0"/>
    <x v="0"/>
    <x v="0"/>
    <x v="0"/>
    <x v="0"/>
    <x v="0"/>
    <x v="4"/>
    <x v="4"/>
    <x v="2"/>
    <x v="2"/>
    <x v="2"/>
    <x v="11"/>
    <x v="11"/>
    <n v="0.41672999999999999"/>
    <x v="0"/>
    <x v="0"/>
    <x v="3"/>
    <x v="5"/>
    <x v="7"/>
    <x v="11"/>
    <n v="0.45423570000000002"/>
  </r>
  <r>
    <x v="4"/>
    <x v="0"/>
    <x v="4"/>
    <x v="4"/>
    <x v="0"/>
    <x v="0"/>
    <x v="0"/>
    <x v="0"/>
    <x v="0"/>
    <x v="0"/>
    <x v="4"/>
    <x v="4"/>
    <x v="2"/>
    <x v="2"/>
    <x v="2"/>
    <x v="12"/>
    <x v="12"/>
    <n v="35.7452906975386"/>
    <x v="0"/>
    <x v="0"/>
    <x v="0"/>
    <x v="0"/>
    <x v="8"/>
    <x v="12"/>
    <n v="38.962366860317076"/>
  </r>
  <r>
    <x v="4"/>
    <x v="0"/>
    <x v="4"/>
    <x v="4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4"/>
    <x v="0"/>
    <x v="4"/>
    <x v="4"/>
    <x v="0"/>
    <x v="0"/>
    <x v="0"/>
    <x v="0"/>
    <x v="0"/>
    <x v="0"/>
    <x v="4"/>
    <x v="4"/>
    <x v="2"/>
    <x v="2"/>
    <x v="2"/>
    <x v="16"/>
    <x v="16"/>
    <n v="2.8457699999999999"/>
    <x v="0"/>
    <x v="0"/>
    <x v="3"/>
    <x v="5"/>
    <x v="9"/>
    <x v="16"/>
    <n v="3.1018893000000003"/>
  </r>
  <r>
    <x v="4"/>
    <x v="0"/>
    <x v="4"/>
    <x v="4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4"/>
    <x v="0"/>
    <x v="4"/>
    <x v="4"/>
    <x v="0"/>
    <x v="0"/>
    <x v="0"/>
    <x v="0"/>
    <x v="0"/>
    <x v="0"/>
    <x v="4"/>
    <x v="4"/>
    <x v="2"/>
    <x v="2"/>
    <x v="2"/>
    <x v="25"/>
    <x v="25"/>
    <n v="0.10577064220177"/>
    <x v="0"/>
    <x v="0"/>
    <x v="1"/>
    <x v="4"/>
    <x v="5"/>
    <x v="9"/>
    <n v="0.11528999999992931"/>
  </r>
  <r>
    <x v="4"/>
    <x v="0"/>
    <x v="4"/>
    <x v="4"/>
    <x v="0"/>
    <x v="0"/>
    <x v="0"/>
    <x v="0"/>
    <x v="0"/>
    <x v="0"/>
    <x v="4"/>
    <x v="4"/>
    <x v="2"/>
    <x v="2"/>
    <x v="2"/>
    <x v="27"/>
    <x v="27"/>
    <n v="0.62683108109437002"/>
    <x v="0"/>
    <x v="0"/>
    <x v="1"/>
    <x v="3"/>
    <x v="3"/>
    <x v="19"/>
    <n v="0.68324587839286333"/>
  </r>
  <r>
    <x v="4"/>
    <x v="0"/>
    <x v="4"/>
    <x v="4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4"/>
    <x v="0"/>
    <x v="4"/>
    <x v="4"/>
    <x v="0"/>
    <x v="0"/>
    <x v="0"/>
    <x v="0"/>
    <x v="0"/>
    <x v="0"/>
    <x v="4"/>
    <x v="4"/>
    <x v="2"/>
    <x v="2"/>
    <x v="2"/>
    <x v="2"/>
    <x v="2"/>
    <n v="1.59126605504492"/>
    <x v="0"/>
    <x v="1"/>
    <x v="2"/>
    <x v="2"/>
    <x v="13"/>
    <x v="2"/>
    <n v="1.7344799999989629"/>
  </r>
  <r>
    <x v="4"/>
    <x v="0"/>
    <x v="4"/>
    <x v="4"/>
    <x v="0"/>
    <x v="0"/>
    <x v="0"/>
    <x v="0"/>
    <x v="2"/>
    <x v="2"/>
    <x v="5"/>
    <x v="5"/>
    <x v="2"/>
    <x v="2"/>
    <x v="2"/>
    <x v="42"/>
    <x v="42"/>
    <n v="1.5225"/>
    <x v="1"/>
    <x v="2"/>
    <x v="5"/>
    <x v="7"/>
    <x v="11"/>
    <x v="22"/>
    <n v="1.6595250000000001"/>
  </r>
  <r>
    <x v="4"/>
    <x v="0"/>
    <x v="4"/>
    <x v="4"/>
    <x v="0"/>
    <x v="0"/>
    <x v="0"/>
    <x v="0"/>
    <x v="2"/>
    <x v="2"/>
    <x v="5"/>
    <x v="5"/>
    <x v="2"/>
    <x v="2"/>
    <x v="2"/>
    <x v="41"/>
    <x v="41"/>
    <n v="0.32115957446686"/>
    <x v="1"/>
    <x v="2"/>
    <x v="5"/>
    <x v="7"/>
    <x v="11"/>
    <x v="22"/>
    <n v="0.35006393616887743"/>
  </r>
  <r>
    <x v="4"/>
    <x v="0"/>
    <x v="4"/>
    <x v="4"/>
    <x v="0"/>
    <x v="0"/>
    <x v="0"/>
    <x v="0"/>
    <x v="2"/>
    <x v="2"/>
    <x v="5"/>
    <x v="5"/>
    <x v="2"/>
    <x v="2"/>
    <x v="2"/>
    <x v="40"/>
    <x v="40"/>
    <n v="24.250029999999999"/>
    <x v="1"/>
    <x v="2"/>
    <x v="5"/>
    <x v="7"/>
    <x v="11"/>
    <x v="22"/>
    <n v="26.432532699999999"/>
  </r>
  <r>
    <x v="4"/>
    <x v="0"/>
    <x v="4"/>
    <x v="4"/>
    <x v="0"/>
    <x v="0"/>
    <x v="0"/>
    <x v="0"/>
    <x v="2"/>
    <x v="2"/>
    <x v="5"/>
    <x v="5"/>
    <x v="2"/>
    <x v="2"/>
    <x v="2"/>
    <x v="38"/>
    <x v="38"/>
    <n v="106.33083000000001"/>
    <x v="1"/>
    <x v="0"/>
    <x v="4"/>
    <x v="6"/>
    <x v="10"/>
    <x v="21"/>
    <n v="115.90060470000002"/>
  </r>
  <r>
    <x v="4"/>
    <x v="0"/>
    <x v="4"/>
    <x v="4"/>
    <x v="0"/>
    <x v="0"/>
    <x v="0"/>
    <x v="0"/>
    <x v="0"/>
    <x v="0"/>
    <x v="5"/>
    <x v="5"/>
    <x v="2"/>
    <x v="2"/>
    <x v="2"/>
    <x v="17"/>
    <x v="17"/>
    <n v="1.3287800000000001"/>
    <x v="0"/>
    <x v="0"/>
    <x v="0"/>
    <x v="0"/>
    <x v="4"/>
    <x v="17"/>
    <n v="1.4483702000000003"/>
  </r>
  <r>
    <x v="4"/>
    <x v="0"/>
    <x v="4"/>
    <x v="4"/>
    <x v="0"/>
    <x v="0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4"/>
    <x v="0"/>
    <x v="4"/>
    <x v="4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4"/>
    <x v="0"/>
    <x v="4"/>
    <x v="4"/>
    <x v="0"/>
    <x v="0"/>
    <x v="0"/>
    <x v="0"/>
    <x v="2"/>
    <x v="2"/>
    <x v="5"/>
    <x v="5"/>
    <x v="3"/>
    <x v="7"/>
    <x v="7"/>
    <x v="40"/>
    <x v="40"/>
    <n v="5.8552200000000001"/>
    <x v="1"/>
    <x v="2"/>
    <x v="5"/>
    <x v="7"/>
    <x v="11"/>
    <x v="22"/>
    <n v="6.3821898000000008"/>
  </r>
  <r>
    <x v="4"/>
    <x v="0"/>
    <x v="4"/>
    <x v="4"/>
    <x v="0"/>
    <x v="0"/>
    <x v="0"/>
    <x v="0"/>
    <x v="2"/>
    <x v="2"/>
    <x v="5"/>
    <x v="5"/>
    <x v="1"/>
    <x v="8"/>
    <x v="8"/>
    <x v="40"/>
    <x v="40"/>
    <n v="4.3952999999999998"/>
    <x v="1"/>
    <x v="2"/>
    <x v="5"/>
    <x v="7"/>
    <x v="11"/>
    <x v="22"/>
    <n v="4.7908770000000001"/>
  </r>
  <r>
    <x v="4"/>
    <x v="0"/>
    <x v="4"/>
    <x v="4"/>
    <x v="0"/>
    <x v="0"/>
    <x v="0"/>
    <x v="0"/>
    <x v="2"/>
    <x v="2"/>
    <x v="5"/>
    <x v="5"/>
    <x v="2"/>
    <x v="10"/>
    <x v="10"/>
    <x v="40"/>
    <x v="40"/>
    <n v="0.94835999999999998"/>
    <x v="1"/>
    <x v="2"/>
    <x v="5"/>
    <x v="7"/>
    <x v="11"/>
    <x v="22"/>
    <n v="1.0337124"/>
  </r>
  <r>
    <x v="4"/>
    <x v="0"/>
    <x v="4"/>
    <x v="4"/>
    <x v="0"/>
    <x v="0"/>
    <x v="0"/>
    <x v="0"/>
    <x v="2"/>
    <x v="2"/>
    <x v="5"/>
    <x v="5"/>
    <x v="4"/>
    <x v="5"/>
    <x v="5"/>
    <x v="40"/>
    <x v="40"/>
    <n v="169.98396"/>
    <x v="1"/>
    <x v="2"/>
    <x v="5"/>
    <x v="7"/>
    <x v="11"/>
    <x v="22"/>
    <n v="185.28251640000002"/>
  </r>
  <r>
    <x v="4"/>
    <x v="0"/>
    <x v="4"/>
    <x v="4"/>
    <x v="0"/>
    <x v="0"/>
    <x v="0"/>
    <x v="0"/>
    <x v="2"/>
    <x v="2"/>
    <x v="6"/>
    <x v="6"/>
    <x v="2"/>
    <x v="2"/>
    <x v="2"/>
    <x v="40"/>
    <x v="40"/>
    <n v="0.58289999999999997"/>
    <x v="1"/>
    <x v="2"/>
    <x v="5"/>
    <x v="7"/>
    <x v="11"/>
    <x v="22"/>
    <n v="0.63536100000000006"/>
  </r>
  <r>
    <x v="4"/>
    <x v="0"/>
    <x v="4"/>
    <x v="4"/>
    <x v="0"/>
    <x v="0"/>
    <x v="0"/>
    <x v="0"/>
    <x v="2"/>
    <x v="2"/>
    <x v="7"/>
    <x v="7"/>
    <x v="2"/>
    <x v="2"/>
    <x v="2"/>
    <x v="40"/>
    <x v="40"/>
    <n v="24.451889999999999"/>
    <x v="1"/>
    <x v="2"/>
    <x v="5"/>
    <x v="7"/>
    <x v="11"/>
    <x v="22"/>
    <n v="26.652560100000002"/>
  </r>
  <r>
    <x v="4"/>
    <x v="0"/>
    <x v="4"/>
    <x v="4"/>
    <x v="0"/>
    <x v="0"/>
    <x v="0"/>
    <x v="0"/>
    <x v="2"/>
    <x v="2"/>
    <x v="7"/>
    <x v="7"/>
    <x v="2"/>
    <x v="2"/>
    <x v="2"/>
    <x v="38"/>
    <x v="38"/>
    <n v="225.16368"/>
    <x v="1"/>
    <x v="0"/>
    <x v="4"/>
    <x v="6"/>
    <x v="10"/>
    <x v="21"/>
    <n v="245.42841120000003"/>
  </r>
  <r>
    <x v="4"/>
    <x v="0"/>
    <x v="4"/>
    <x v="4"/>
    <x v="0"/>
    <x v="0"/>
    <x v="0"/>
    <x v="0"/>
    <x v="2"/>
    <x v="2"/>
    <x v="7"/>
    <x v="7"/>
    <x v="2"/>
    <x v="2"/>
    <x v="2"/>
    <x v="43"/>
    <x v="43"/>
    <n v="10.86565"/>
    <x v="1"/>
    <x v="0"/>
    <x v="4"/>
    <x v="6"/>
    <x v="10"/>
    <x v="21"/>
    <n v="11.843558500000002"/>
  </r>
  <r>
    <x v="4"/>
    <x v="0"/>
    <x v="4"/>
    <x v="4"/>
    <x v="0"/>
    <x v="0"/>
    <x v="0"/>
    <x v="0"/>
    <x v="2"/>
    <x v="2"/>
    <x v="7"/>
    <x v="7"/>
    <x v="2"/>
    <x v="2"/>
    <x v="2"/>
    <x v="44"/>
    <x v="44"/>
    <n v="8.0159699999999994"/>
    <x v="1"/>
    <x v="0"/>
    <x v="4"/>
    <x v="6"/>
    <x v="10"/>
    <x v="21"/>
    <n v="8.7374072999999992"/>
  </r>
  <r>
    <x v="4"/>
    <x v="0"/>
    <x v="4"/>
    <x v="4"/>
    <x v="0"/>
    <x v="0"/>
    <x v="0"/>
    <x v="0"/>
    <x v="0"/>
    <x v="0"/>
    <x v="7"/>
    <x v="7"/>
    <x v="2"/>
    <x v="2"/>
    <x v="2"/>
    <x v="17"/>
    <x v="17"/>
    <n v="12.49784"/>
    <x v="0"/>
    <x v="0"/>
    <x v="0"/>
    <x v="0"/>
    <x v="4"/>
    <x v="17"/>
    <n v="13.6226456"/>
  </r>
  <r>
    <x v="4"/>
    <x v="0"/>
    <x v="4"/>
    <x v="4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4"/>
    <x v="0"/>
    <x v="4"/>
    <x v="4"/>
    <x v="0"/>
    <x v="0"/>
    <x v="0"/>
    <x v="0"/>
    <x v="2"/>
    <x v="2"/>
    <x v="7"/>
    <x v="7"/>
    <x v="2"/>
    <x v="2"/>
    <x v="2"/>
    <x v="46"/>
    <x v="46"/>
    <n v="0.72499999999999998"/>
    <x v="1"/>
    <x v="0"/>
    <x v="4"/>
    <x v="6"/>
    <x v="10"/>
    <x v="21"/>
    <n v="0.79025000000000001"/>
  </r>
  <r>
    <x v="4"/>
    <x v="0"/>
    <x v="4"/>
    <x v="4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4"/>
    <x v="0"/>
    <x v="4"/>
    <x v="4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4"/>
    <x v="0"/>
    <x v="4"/>
    <x v="4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4"/>
    <x v="0"/>
    <x v="4"/>
    <x v="4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4"/>
    <x v="0"/>
    <x v="4"/>
    <x v="4"/>
    <x v="0"/>
    <x v="0"/>
    <x v="0"/>
    <x v="0"/>
    <x v="2"/>
    <x v="2"/>
    <x v="7"/>
    <x v="7"/>
    <x v="3"/>
    <x v="7"/>
    <x v="7"/>
    <x v="40"/>
    <x v="40"/>
    <n v="165.35168999999999"/>
    <x v="1"/>
    <x v="2"/>
    <x v="5"/>
    <x v="7"/>
    <x v="11"/>
    <x v="22"/>
    <n v="180.23334210000002"/>
  </r>
  <r>
    <x v="4"/>
    <x v="0"/>
    <x v="4"/>
    <x v="4"/>
    <x v="0"/>
    <x v="0"/>
    <x v="0"/>
    <x v="0"/>
    <x v="2"/>
    <x v="2"/>
    <x v="7"/>
    <x v="7"/>
    <x v="1"/>
    <x v="8"/>
    <x v="8"/>
    <x v="40"/>
    <x v="40"/>
    <n v="16.184280000000001"/>
    <x v="1"/>
    <x v="2"/>
    <x v="5"/>
    <x v="7"/>
    <x v="11"/>
    <x v="22"/>
    <n v="17.640865200000004"/>
  </r>
  <r>
    <x v="4"/>
    <x v="0"/>
    <x v="4"/>
    <x v="4"/>
    <x v="0"/>
    <x v="0"/>
    <x v="0"/>
    <x v="0"/>
    <x v="2"/>
    <x v="2"/>
    <x v="7"/>
    <x v="7"/>
    <x v="2"/>
    <x v="10"/>
    <x v="10"/>
    <x v="40"/>
    <x v="40"/>
    <n v="3.16134"/>
    <x v="1"/>
    <x v="2"/>
    <x v="5"/>
    <x v="7"/>
    <x v="11"/>
    <x v="22"/>
    <n v="3.4458606000000005"/>
  </r>
  <r>
    <x v="4"/>
    <x v="0"/>
    <x v="4"/>
    <x v="4"/>
    <x v="0"/>
    <x v="0"/>
    <x v="0"/>
    <x v="0"/>
    <x v="2"/>
    <x v="2"/>
    <x v="7"/>
    <x v="7"/>
    <x v="4"/>
    <x v="5"/>
    <x v="5"/>
    <x v="40"/>
    <x v="40"/>
    <n v="129.72393"/>
    <x v="1"/>
    <x v="2"/>
    <x v="5"/>
    <x v="7"/>
    <x v="11"/>
    <x v="22"/>
    <n v="141.39908370000001"/>
  </r>
  <r>
    <x v="4"/>
    <x v="0"/>
    <x v="4"/>
    <x v="4"/>
    <x v="0"/>
    <x v="0"/>
    <x v="0"/>
    <x v="0"/>
    <x v="2"/>
    <x v="2"/>
    <x v="8"/>
    <x v="8"/>
    <x v="2"/>
    <x v="2"/>
    <x v="2"/>
    <x v="40"/>
    <x v="40"/>
    <n v="7.2430399999999997"/>
    <x v="1"/>
    <x v="2"/>
    <x v="5"/>
    <x v="7"/>
    <x v="11"/>
    <x v="22"/>
    <n v="7.8949136000000006"/>
  </r>
  <r>
    <x v="4"/>
    <x v="0"/>
    <x v="4"/>
    <x v="4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4"/>
    <x v="0"/>
    <x v="4"/>
    <x v="4"/>
    <x v="0"/>
    <x v="0"/>
    <x v="0"/>
    <x v="0"/>
    <x v="2"/>
    <x v="2"/>
    <x v="9"/>
    <x v="9"/>
    <x v="2"/>
    <x v="2"/>
    <x v="2"/>
    <x v="40"/>
    <x v="40"/>
    <n v="234.8742"/>
    <x v="1"/>
    <x v="2"/>
    <x v="5"/>
    <x v="7"/>
    <x v="11"/>
    <x v="22"/>
    <n v="256.012878"/>
  </r>
  <r>
    <x v="4"/>
    <x v="0"/>
    <x v="4"/>
    <x v="4"/>
    <x v="0"/>
    <x v="0"/>
    <x v="0"/>
    <x v="0"/>
    <x v="2"/>
    <x v="2"/>
    <x v="9"/>
    <x v="9"/>
    <x v="2"/>
    <x v="2"/>
    <x v="2"/>
    <x v="38"/>
    <x v="38"/>
    <n v="723.66120000000001"/>
    <x v="1"/>
    <x v="0"/>
    <x v="4"/>
    <x v="6"/>
    <x v="10"/>
    <x v="21"/>
    <n v="788.79070800000011"/>
  </r>
  <r>
    <x v="4"/>
    <x v="0"/>
    <x v="4"/>
    <x v="4"/>
    <x v="0"/>
    <x v="0"/>
    <x v="0"/>
    <x v="0"/>
    <x v="2"/>
    <x v="2"/>
    <x v="9"/>
    <x v="9"/>
    <x v="2"/>
    <x v="2"/>
    <x v="2"/>
    <x v="48"/>
    <x v="48"/>
    <n v="0.84099999999999997"/>
    <x v="1"/>
    <x v="0"/>
    <x v="4"/>
    <x v="6"/>
    <x v="10"/>
    <x v="21"/>
    <n v="0.91669"/>
  </r>
  <r>
    <x v="4"/>
    <x v="0"/>
    <x v="4"/>
    <x v="4"/>
    <x v="0"/>
    <x v="0"/>
    <x v="0"/>
    <x v="0"/>
    <x v="2"/>
    <x v="2"/>
    <x v="9"/>
    <x v="9"/>
    <x v="1"/>
    <x v="6"/>
    <x v="6"/>
    <x v="40"/>
    <x v="40"/>
    <n v="103.655"/>
    <x v="1"/>
    <x v="2"/>
    <x v="5"/>
    <x v="7"/>
    <x v="11"/>
    <x v="22"/>
    <n v="112.98395000000001"/>
  </r>
  <r>
    <x v="4"/>
    <x v="0"/>
    <x v="4"/>
    <x v="4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4"/>
    <x v="0"/>
    <x v="4"/>
    <x v="4"/>
    <x v="0"/>
    <x v="0"/>
    <x v="0"/>
    <x v="0"/>
    <x v="2"/>
    <x v="2"/>
    <x v="9"/>
    <x v="9"/>
    <x v="3"/>
    <x v="7"/>
    <x v="7"/>
    <x v="40"/>
    <x v="40"/>
    <n v="834.94039999999995"/>
    <x v="1"/>
    <x v="2"/>
    <x v="5"/>
    <x v="7"/>
    <x v="11"/>
    <x v="22"/>
    <n v="910.08503600000006"/>
  </r>
  <r>
    <x v="4"/>
    <x v="0"/>
    <x v="4"/>
    <x v="4"/>
    <x v="0"/>
    <x v="0"/>
    <x v="0"/>
    <x v="0"/>
    <x v="2"/>
    <x v="2"/>
    <x v="9"/>
    <x v="9"/>
    <x v="1"/>
    <x v="8"/>
    <x v="8"/>
    <x v="40"/>
    <x v="40"/>
    <n v="228.61671000000001"/>
    <x v="1"/>
    <x v="2"/>
    <x v="5"/>
    <x v="7"/>
    <x v="11"/>
    <x v="22"/>
    <n v="249.19221390000004"/>
  </r>
  <r>
    <x v="4"/>
    <x v="0"/>
    <x v="4"/>
    <x v="4"/>
    <x v="0"/>
    <x v="0"/>
    <x v="0"/>
    <x v="0"/>
    <x v="2"/>
    <x v="2"/>
    <x v="9"/>
    <x v="9"/>
    <x v="2"/>
    <x v="10"/>
    <x v="10"/>
    <x v="40"/>
    <x v="40"/>
    <n v="185.32751999999999"/>
    <x v="1"/>
    <x v="2"/>
    <x v="5"/>
    <x v="7"/>
    <x v="11"/>
    <x v="22"/>
    <n v="202.0069968"/>
  </r>
  <r>
    <x v="4"/>
    <x v="0"/>
    <x v="4"/>
    <x v="4"/>
    <x v="0"/>
    <x v="0"/>
    <x v="0"/>
    <x v="0"/>
    <x v="2"/>
    <x v="2"/>
    <x v="9"/>
    <x v="9"/>
    <x v="4"/>
    <x v="5"/>
    <x v="5"/>
    <x v="40"/>
    <x v="40"/>
    <n v="1635.7178899999999"/>
    <x v="1"/>
    <x v="2"/>
    <x v="5"/>
    <x v="7"/>
    <x v="11"/>
    <x v="22"/>
    <n v="1782.9325001"/>
  </r>
  <r>
    <x v="4"/>
    <x v="0"/>
    <x v="4"/>
    <x v="4"/>
    <x v="0"/>
    <x v="0"/>
    <x v="0"/>
    <x v="0"/>
    <x v="2"/>
    <x v="2"/>
    <x v="10"/>
    <x v="10"/>
    <x v="2"/>
    <x v="2"/>
    <x v="2"/>
    <x v="41"/>
    <x v="41"/>
    <n v="0.41772340425373"/>
    <x v="1"/>
    <x v="2"/>
    <x v="5"/>
    <x v="7"/>
    <x v="11"/>
    <x v="22"/>
    <n v="0.45531851063656575"/>
  </r>
  <r>
    <x v="4"/>
    <x v="0"/>
    <x v="4"/>
    <x v="4"/>
    <x v="0"/>
    <x v="0"/>
    <x v="0"/>
    <x v="0"/>
    <x v="2"/>
    <x v="2"/>
    <x v="10"/>
    <x v="10"/>
    <x v="2"/>
    <x v="2"/>
    <x v="2"/>
    <x v="40"/>
    <x v="40"/>
    <n v="246.02162000000001"/>
    <x v="1"/>
    <x v="2"/>
    <x v="5"/>
    <x v="7"/>
    <x v="11"/>
    <x v="22"/>
    <n v="268.16356580000001"/>
  </r>
  <r>
    <x v="4"/>
    <x v="0"/>
    <x v="4"/>
    <x v="4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4"/>
    <x v="0"/>
    <x v="4"/>
    <x v="4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4"/>
    <x v="0"/>
    <x v="4"/>
    <x v="4"/>
    <x v="0"/>
    <x v="0"/>
    <x v="0"/>
    <x v="0"/>
    <x v="3"/>
    <x v="3"/>
    <x v="12"/>
    <x v="12"/>
    <x v="2"/>
    <x v="2"/>
    <x v="2"/>
    <x v="40"/>
    <x v="40"/>
    <n v="1.18987"/>
    <x v="1"/>
    <x v="2"/>
    <x v="5"/>
    <x v="7"/>
    <x v="11"/>
    <x v="22"/>
    <n v="1.2969583"/>
  </r>
  <r>
    <x v="4"/>
    <x v="0"/>
    <x v="4"/>
    <x v="4"/>
    <x v="0"/>
    <x v="0"/>
    <x v="0"/>
    <x v="0"/>
    <x v="3"/>
    <x v="3"/>
    <x v="12"/>
    <x v="12"/>
    <x v="3"/>
    <x v="7"/>
    <x v="7"/>
    <x v="40"/>
    <x v="40"/>
    <n v="8.2853399999999997"/>
    <x v="1"/>
    <x v="2"/>
    <x v="5"/>
    <x v="7"/>
    <x v="11"/>
    <x v="22"/>
    <n v="9.0310205999999997"/>
  </r>
  <r>
    <x v="4"/>
    <x v="0"/>
    <x v="4"/>
    <x v="4"/>
    <x v="0"/>
    <x v="0"/>
    <x v="0"/>
    <x v="0"/>
    <x v="3"/>
    <x v="3"/>
    <x v="12"/>
    <x v="12"/>
    <x v="4"/>
    <x v="5"/>
    <x v="5"/>
    <x v="40"/>
    <x v="40"/>
    <n v="19.639479999999999"/>
    <x v="1"/>
    <x v="2"/>
    <x v="5"/>
    <x v="7"/>
    <x v="11"/>
    <x v="22"/>
    <n v="21.407033200000001"/>
  </r>
  <r>
    <x v="4"/>
    <x v="0"/>
    <x v="4"/>
    <x v="4"/>
    <x v="0"/>
    <x v="0"/>
    <x v="0"/>
    <x v="0"/>
    <x v="3"/>
    <x v="3"/>
    <x v="13"/>
    <x v="13"/>
    <x v="2"/>
    <x v="2"/>
    <x v="2"/>
    <x v="41"/>
    <x v="41"/>
    <n v="0.38563829787088"/>
    <x v="1"/>
    <x v="2"/>
    <x v="5"/>
    <x v="7"/>
    <x v="11"/>
    <x v="22"/>
    <n v="0.42034574467925923"/>
  </r>
  <r>
    <x v="4"/>
    <x v="0"/>
    <x v="4"/>
    <x v="4"/>
    <x v="0"/>
    <x v="0"/>
    <x v="0"/>
    <x v="0"/>
    <x v="3"/>
    <x v="3"/>
    <x v="13"/>
    <x v="13"/>
    <x v="2"/>
    <x v="2"/>
    <x v="2"/>
    <x v="40"/>
    <x v="40"/>
    <n v="64.45505"/>
    <x v="1"/>
    <x v="2"/>
    <x v="5"/>
    <x v="7"/>
    <x v="11"/>
    <x v="22"/>
    <n v="70.256004500000003"/>
  </r>
  <r>
    <x v="4"/>
    <x v="0"/>
    <x v="4"/>
    <x v="4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4"/>
    <x v="0"/>
    <x v="4"/>
    <x v="4"/>
    <x v="0"/>
    <x v="0"/>
    <x v="0"/>
    <x v="0"/>
    <x v="3"/>
    <x v="3"/>
    <x v="13"/>
    <x v="13"/>
    <x v="1"/>
    <x v="8"/>
    <x v="8"/>
    <x v="40"/>
    <x v="40"/>
    <n v="2.9878800000000001"/>
    <x v="1"/>
    <x v="2"/>
    <x v="5"/>
    <x v="7"/>
    <x v="11"/>
    <x v="22"/>
    <n v="3.2567892000000005"/>
  </r>
  <r>
    <x v="4"/>
    <x v="0"/>
    <x v="4"/>
    <x v="4"/>
    <x v="0"/>
    <x v="0"/>
    <x v="0"/>
    <x v="0"/>
    <x v="3"/>
    <x v="3"/>
    <x v="13"/>
    <x v="13"/>
    <x v="4"/>
    <x v="5"/>
    <x v="5"/>
    <x v="40"/>
    <x v="40"/>
    <n v="1.3969199999999999"/>
    <x v="1"/>
    <x v="2"/>
    <x v="5"/>
    <x v="7"/>
    <x v="11"/>
    <x v="22"/>
    <n v="1.5226428000000001"/>
  </r>
  <r>
    <x v="4"/>
    <x v="0"/>
    <x v="4"/>
    <x v="4"/>
    <x v="0"/>
    <x v="0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4"/>
    <x v="0"/>
    <x v="4"/>
    <x v="4"/>
    <x v="0"/>
    <x v="0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4"/>
    <x v="0"/>
    <x v="4"/>
    <x v="4"/>
    <x v="0"/>
    <x v="0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4"/>
    <x v="0"/>
    <x v="4"/>
    <x v="4"/>
    <x v="0"/>
    <x v="0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4"/>
    <x v="0"/>
    <x v="4"/>
    <x v="4"/>
    <x v="0"/>
    <x v="0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4"/>
    <x v="0"/>
    <x v="4"/>
    <x v="4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4"/>
    <x v="0"/>
    <x v="4"/>
    <x v="4"/>
    <x v="0"/>
    <x v="0"/>
    <x v="0"/>
    <x v="0"/>
    <x v="2"/>
    <x v="2"/>
    <x v="14"/>
    <x v="14"/>
    <x v="2"/>
    <x v="2"/>
    <x v="2"/>
    <x v="40"/>
    <x v="40"/>
    <n v="5.00685"/>
    <x v="1"/>
    <x v="2"/>
    <x v="5"/>
    <x v="7"/>
    <x v="11"/>
    <x v="22"/>
    <n v="5.4574665000000007"/>
  </r>
  <r>
    <x v="4"/>
    <x v="0"/>
    <x v="4"/>
    <x v="4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4"/>
    <x v="0"/>
    <x v="4"/>
    <x v="4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4"/>
    <x v="0"/>
    <x v="4"/>
    <x v="4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4"/>
    <x v="0"/>
    <x v="4"/>
    <x v="4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4"/>
    <x v="0"/>
    <x v="4"/>
    <x v="4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4"/>
    <x v="0"/>
    <x v="4"/>
    <x v="4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4"/>
    <x v="0"/>
    <x v="4"/>
    <x v="4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4"/>
    <x v="0"/>
    <x v="4"/>
    <x v="4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4"/>
    <x v="0"/>
    <x v="4"/>
    <x v="4"/>
    <x v="0"/>
    <x v="0"/>
    <x v="0"/>
    <x v="0"/>
    <x v="2"/>
    <x v="2"/>
    <x v="17"/>
    <x v="17"/>
    <x v="2"/>
    <x v="2"/>
    <x v="2"/>
    <x v="42"/>
    <x v="42"/>
    <n v="8.0631599999999999"/>
    <x v="1"/>
    <x v="2"/>
    <x v="5"/>
    <x v="7"/>
    <x v="11"/>
    <x v="22"/>
    <n v="8.7888444000000003"/>
  </r>
  <r>
    <x v="4"/>
    <x v="0"/>
    <x v="4"/>
    <x v="4"/>
    <x v="0"/>
    <x v="0"/>
    <x v="0"/>
    <x v="0"/>
    <x v="2"/>
    <x v="2"/>
    <x v="17"/>
    <x v="17"/>
    <x v="2"/>
    <x v="2"/>
    <x v="2"/>
    <x v="40"/>
    <x v="40"/>
    <n v="15.161009999999999"/>
    <x v="1"/>
    <x v="2"/>
    <x v="5"/>
    <x v="7"/>
    <x v="11"/>
    <x v="22"/>
    <n v="16.525500900000001"/>
  </r>
  <r>
    <x v="4"/>
    <x v="0"/>
    <x v="4"/>
    <x v="4"/>
    <x v="0"/>
    <x v="0"/>
    <x v="0"/>
    <x v="0"/>
    <x v="2"/>
    <x v="2"/>
    <x v="17"/>
    <x v="17"/>
    <x v="2"/>
    <x v="2"/>
    <x v="2"/>
    <x v="38"/>
    <x v="38"/>
    <n v="33.8125"/>
    <x v="1"/>
    <x v="0"/>
    <x v="4"/>
    <x v="6"/>
    <x v="10"/>
    <x v="21"/>
    <n v="36.855625000000003"/>
  </r>
  <r>
    <x v="4"/>
    <x v="0"/>
    <x v="4"/>
    <x v="4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4"/>
    <x v="0"/>
    <x v="4"/>
    <x v="4"/>
    <x v="0"/>
    <x v="0"/>
    <x v="0"/>
    <x v="0"/>
    <x v="2"/>
    <x v="2"/>
    <x v="17"/>
    <x v="17"/>
    <x v="3"/>
    <x v="7"/>
    <x v="7"/>
    <x v="40"/>
    <x v="40"/>
    <n v="25.3064"/>
    <x v="1"/>
    <x v="2"/>
    <x v="5"/>
    <x v="7"/>
    <x v="11"/>
    <x v="22"/>
    <n v="27.583976000000003"/>
  </r>
  <r>
    <x v="4"/>
    <x v="0"/>
    <x v="4"/>
    <x v="4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4"/>
    <x v="0"/>
    <x v="4"/>
    <x v="4"/>
    <x v="0"/>
    <x v="0"/>
    <x v="0"/>
    <x v="0"/>
    <x v="2"/>
    <x v="2"/>
    <x v="17"/>
    <x v="17"/>
    <x v="1"/>
    <x v="8"/>
    <x v="8"/>
    <x v="40"/>
    <x v="40"/>
    <n v="10.93974"/>
    <x v="1"/>
    <x v="2"/>
    <x v="5"/>
    <x v="7"/>
    <x v="11"/>
    <x v="22"/>
    <n v="11.924316600000001"/>
  </r>
  <r>
    <x v="4"/>
    <x v="0"/>
    <x v="4"/>
    <x v="4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4"/>
    <x v="0"/>
    <x v="4"/>
    <x v="4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4"/>
    <x v="0"/>
    <x v="4"/>
    <x v="4"/>
    <x v="0"/>
    <x v="0"/>
    <x v="0"/>
    <x v="0"/>
    <x v="2"/>
    <x v="2"/>
    <x v="17"/>
    <x v="17"/>
    <x v="2"/>
    <x v="10"/>
    <x v="10"/>
    <x v="40"/>
    <x v="40"/>
    <n v="3.16134"/>
    <x v="1"/>
    <x v="2"/>
    <x v="5"/>
    <x v="7"/>
    <x v="11"/>
    <x v="22"/>
    <n v="3.4458606000000005"/>
  </r>
  <r>
    <x v="4"/>
    <x v="0"/>
    <x v="4"/>
    <x v="4"/>
    <x v="0"/>
    <x v="0"/>
    <x v="0"/>
    <x v="0"/>
    <x v="2"/>
    <x v="2"/>
    <x v="17"/>
    <x v="17"/>
    <x v="4"/>
    <x v="5"/>
    <x v="5"/>
    <x v="40"/>
    <x v="40"/>
    <n v="471.935"/>
    <x v="1"/>
    <x v="2"/>
    <x v="5"/>
    <x v="7"/>
    <x v="11"/>
    <x v="22"/>
    <n v="514.40915000000007"/>
  </r>
  <r>
    <x v="4"/>
    <x v="0"/>
    <x v="4"/>
    <x v="4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4"/>
    <x v="0"/>
    <x v="4"/>
    <x v="4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4"/>
    <x v="0"/>
    <x v="4"/>
    <x v="4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4"/>
    <x v="0"/>
    <x v="4"/>
    <x v="4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4"/>
    <x v="0"/>
    <x v="4"/>
    <x v="4"/>
    <x v="0"/>
    <x v="1"/>
    <x v="0"/>
    <x v="0"/>
    <x v="0"/>
    <x v="0"/>
    <x v="2"/>
    <x v="2"/>
    <x v="2"/>
    <x v="2"/>
    <x v="2"/>
    <x v="2"/>
    <x v="2"/>
    <n v="215.31889908244"/>
    <x v="0"/>
    <x v="1"/>
    <x v="2"/>
    <x v="2"/>
    <x v="13"/>
    <x v="2"/>
    <n v="234.69759999985962"/>
  </r>
  <r>
    <x v="4"/>
    <x v="0"/>
    <x v="4"/>
    <x v="4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4"/>
    <x v="0"/>
    <x v="4"/>
    <x v="4"/>
    <x v="0"/>
    <x v="1"/>
    <x v="0"/>
    <x v="0"/>
    <x v="0"/>
    <x v="0"/>
    <x v="0"/>
    <x v="0"/>
    <x v="3"/>
    <x v="3"/>
    <x v="3"/>
    <x v="8"/>
    <x v="8"/>
    <n v="119.06085810886999"/>
    <x v="0"/>
    <x v="1"/>
    <x v="2"/>
    <x v="2"/>
    <x v="6"/>
    <x v="8"/>
    <n v="129.7763353386683"/>
  </r>
  <r>
    <x v="4"/>
    <x v="0"/>
    <x v="4"/>
    <x v="4"/>
    <x v="0"/>
    <x v="1"/>
    <x v="0"/>
    <x v="0"/>
    <x v="0"/>
    <x v="0"/>
    <x v="0"/>
    <x v="0"/>
    <x v="3"/>
    <x v="3"/>
    <x v="3"/>
    <x v="12"/>
    <x v="12"/>
    <n v="0.11105813953446"/>
    <x v="0"/>
    <x v="0"/>
    <x v="0"/>
    <x v="0"/>
    <x v="8"/>
    <x v="12"/>
    <n v="0.12105337209256141"/>
  </r>
  <r>
    <x v="4"/>
    <x v="0"/>
    <x v="4"/>
    <x v="4"/>
    <x v="0"/>
    <x v="1"/>
    <x v="0"/>
    <x v="0"/>
    <x v="0"/>
    <x v="0"/>
    <x v="0"/>
    <x v="0"/>
    <x v="3"/>
    <x v="3"/>
    <x v="3"/>
    <x v="2"/>
    <x v="2"/>
    <n v="787.89044954081203"/>
    <x v="0"/>
    <x v="1"/>
    <x v="2"/>
    <x v="2"/>
    <x v="13"/>
    <x v="2"/>
    <n v="858.80058999948517"/>
  </r>
  <r>
    <x v="4"/>
    <x v="0"/>
    <x v="4"/>
    <x v="4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4"/>
    <x v="0"/>
    <x v="4"/>
    <x v="4"/>
    <x v="0"/>
    <x v="1"/>
    <x v="0"/>
    <x v="0"/>
    <x v="0"/>
    <x v="0"/>
    <x v="0"/>
    <x v="0"/>
    <x v="0"/>
    <x v="4"/>
    <x v="4"/>
    <x v="8"/>
    <x v="8"/>
    <n v="50.322844594916702"/>
    <x v="0"/>
    <x v="1"/>
    <x v="2"/>
    <x v="2"/>
    <x v="6"/>
    <x v="8"/>
    <n v="54.851900608459211"/>
  </r>
  <r>
    <x v="4"/>
    <x v="0"/>
    <x v="4"/>
    <x v="4"/>
    <x v="0"/>
    <x v="1"/>
    <x v="0"/>
    <x v="0"/>
    <x v="0"/>
    <x v="0"/>
    <x v="0"/>
    <x v="0"/>
    <x v="0"/>
    <x v="4"/>
    <x v="4"/>
    <x v="11"/>
    <x v="11"/>
    <n v="57.707079999999998"/>
    <x v="0"/>
    <x v="0"/>
    <x v="3"/>
    <x v="5"/>
    <x v="7"/>
    <x v="11"/>
    <n v="62.900717200000003"/>
  </r>
  <r>
    <x v="4"/>
    <x v="0"/>
    <x v="4"/>
    <x v="4"/>
    <x v="0"/>
    <x v="1"/>
    <x v="0"/>
    <x v="0"/>
    <x v="0"/>
    <x v="0"/>
    <x v="0"/>
    <x v="0"/>
    <x v="0"/>
    <x v="4"/>
    <x v="4"/>
    <x v="12"/>
    <x v="12"/>
    <n v="705.87288371824798"/>
    <x v="0"/>
    <x v="0"/>
    <x v="0"/>
    <x v="0"/>
    <x v="8"/>
    <x v="12"/>
    <n v="769.40144325289032"/>
  </r>
  <r>
    <x v="4"/>
    <x v="0"/>
    <x v="4"/>
    <x v="4"/>
    <x v="0"/>
    <x v="1"/>
    <x v="0"/>
    <x v="0"/>
    <x v="0"/>
    <x v="0"/>
    <x v="0"/>
    <x v="0"/>
    <x v="0"/>
    <x v="4"/>
    <x v="4"/>
    <x v="14"/>
    <x v="14"/>
    <n v="56.101799999999997"/>
    <x v="0"/>
    <x v="0"/>
    <x v="0"/>
    <x v="0"/>
    <x v="8"/>
    <x v="14"/>
    <n v="61.150962"/>
  </r>
  <r>
    <x v="4"/>
    <x v="0"/>
    <x v="4"/>
    <x v="4"/>
    <x v="0"/>
    <x v="1"/>
    <x v="0"/>
    <x v="0"/>
    <x v="0"/>
    <x v="0"/>
    <x v="0"/>
    <x v="0"/>
    <x v="0"/>
    <x v="4"/>
    <x v="4"/>
    <x v="16"/>
    <x v="16"/>
    <n v="1094.0025599999999"/>
    <x v="0"/>
    <x v="0"/>
    <x v="3"/>
    <x v="5"/>
    <x v="9"/>
    <x v="16"/>
    <n v="1192.4627903999999"/>
  </r>
  <r>
    <x v="4"/>
    <x v="0"/>
    <x v="4"/>
    <x v="4"/>
    <x v="0"/>
    <x v="1"/>
    <x v="0"/>
    <x v="0"/>
    <x v="0"/>
    <x v="0"/>
    <x v="0"/>
    <x v="0"/>
    <x v="0"/>
    <x v="4"/>
    <x v="4"/>
    <x v="18"/>
    <x v="18"/>
    <n v="9.18"/>
    <x v="0"/>
    <x v="0"/>
    <x v="0"/>
    <x v="0"/>
    <x v="4"/>
    <x v="18"/>
    <n v="10.0062"/>
  </r>
  <r>
    <x v="4"/>
    <x v="0"/>
    <x v="4"/>
    <x v="4"/>
    <x v="0"/>
    <x v="1"/>
    <x v="0"/>
    <x v="0"/>
    <x v="0"/>
    <x v="0"/>
    <x v="0"/>
    <x v="0"/>
    <x v="0"/>
    <x v="4"/>
    <x v="4"/>
    <x v="25"/>
    <x v="25"/>
    <n v="496.763899082271"/>
    <x v="0"/>
    <x v="0"/>
    <x v="1"/>
    <x v="4"/>
    <x v="5"/>
    <x v="9"/>
    <n v="541.47264999967547"/>
  </r>
  <r>
    <x v="4"/>
    <x v="0"/>
    <x v="4"/>
    <x v="4"/>
    <x v="0"/>
    <x v="1"/>
    <x v="0"/>
    <x v="0"/>
    <x v="0"/>
    <x v="0"/>
    <x v="0"/>
    <x v="0"/>
    <x v="0"/>
    <x v="4"/>
    <x v="4"/>
    <x v="20"/>
    <x v="20"/>
    <n v="726.16792999999996"/>
    <x v="0"/>
    <x v="0"/>
    <x v="1"/>
    <x v="3"/>
    <x v="3"/>
    <x v="13"/>
    <n v="791.52304370000002"/>
  </r>
  <r>
    <x v="4"/>
    <x v="0"/>
    <x v="4"/>
    <x v="4"/>
    <x v="0"/>
    <x v="1"/>
    <x v="0"/>
    <x v="0"/>
    <x v="0"/>
    <x v="0"/>
    <x v="0"/>
    <x v="0"/>
    <x v="0"/>
    <x v="4"/>
    <x v="4"/>
    <x v="2"/>
    <x v="2"/>
    <n v="3393.3920458695202"/>
    <x v="0"/>
    <x v="1"/>
    <x v="2"/>
    <x v="2"/>
    <x v="13"/>
    <x v="2"/>
    <n v="3698.7973299977771"/>
  </r>
  <r>
    <x v="4"/>
    <x v="0"/>
    <x v="4"/>
    <x v="4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4"/>
    <x v="0"/>
    <x v="4"/>
    <x v="4"/>
    <x v="0"/>
    <x v="1"/>
    <x v="0"/>
    <x v="0"/>
    <x v="0"/>
    <x v="0"/>
    <x v="0"/>
    <x v="0"/>
    <x v="0"/>
    <x v="0"/>
    <x v="0"/>
    <x v="6"/>
    <x v="6"/>
    <n v="53.473649999999999"/>
    <x v="0"/>
    <x v="0"/>
    <x v="0"/>
    <x v="0"/>
    <x v="4"/>
    <x v="6"/>
    <n v="58.286278500000002"/>
  </r>
  <r>
    <x v="4"/>
    <x v="0"/>
    <x v="4"/>
    <x v="4"/>
    <x v="0"/>
    <x v="1"/>
    <x v="0"/>
    <x v="0"/>
    <x v="0"/>
    <x v="0"/>
    <x v="0"/>
    <x v="0"/>
    <x v="0"/>
    <x v="0"/>
    <x v="0"/>
    <x v="7"/>
    <x v="7"/>
    <n v="10.5393027522873"/>
    <x v="0"/>
    <x v="0"/>
    <x v="1"/>
    <x v="4"/>
    <x v="5"/>
    <x v="7"/>
    <n v="11.487839999993158"/>
  </r>
  <r>
    <x v="4"/>
    <x v="0"/>
    <x v="4"/>
    <x v="4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4"/>
    <x v="0"/>
    <x v="4"/>
    <x v="4"/>
    <x v="0"/>
    <x v="1"/>
    <x v="0"/>
    <x v="0"/>
    <x v="0"/>
    <x v="0"/>
    <x v="0"/>
    <x v="0"/>
    <x v="0"/>
    <x v="0"/>
    <x v="0"/>
    <x v="9"/>
    <x v="9"/>
    <n v="64.767350328852103"/>
    <x v="0"/>
    <x v="0"/>
    <x v="1"/>
    <x v="4"/>
    <x v="5"/>
    <x v="9"/>
    <n v="70.596411858448803"/>
  </r>
  <r>
    <x v="4"/>
    <x v="0"/>
    <x v="4"/>
    <x v="4"/>
    <x v="0"/>
    <x v="1"/>
    <x v="0"/>
    <x v="0"/>
    <x v="0"/>
    <x v="0"/>
    <x v="0"/>
    <x v="0"/>
    <x v="0"/>
    <x v="0"/>
    <x v="0"/>
    <x v="10"/>
    <x v="10"/>
    <n v="106.267277538673"/>
    <x v="0"/>
    <x v="0"/>
    <x v="1"/>
    <x v="4"/>
    <x v="5"/>
    <x v="10"/>
    <n v="115.83133251715358"/>
  </r>
  <r>
    <x v="4"/>
    <x v="0"/>
    <x v="4"/>
    <x v="4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4"/>
    <x v="0"/>
    <x v="4"/>
    <x v="4"/>
    <x v="0"/>
    <x v="1"/>
    <x v="0"/>
    <x v="0"/>
    <x v="0"/>
    <x v="0"/>
    <x v="0"/>
    <x v="0"/>
    <x v="0"/>
    <x v="0"/>
    <x v="0"/>
    <x v="11"/>
    <x v="11"/>
    <n v="37.82967"/>
    <x v="0"/>
    <x v="0"/>
    <x v="3"/>
    <x v="5"/>
    <x v="7"/>
    <x v="11"/>
    <n v="41.234340300000007"/>
  </r>
  <r>
    <x v="4"/>
    <x v="0"/>
    <x v="4"/>
    <x v="4"/>
    <x v="0"/>
    <x v="1"/>
    <x v="0"/>
    <x v="0"/>
    <x v="0"/>
    <x v="0"/>
    <x v="0"/>
    <x v="0"/>
    <x v="0"/>
    <x v="0"/>
    <x v="0"/>
    <x v="12"/>
    <x v="12"/>
    <n v="724.26559302050396"/>
    <x v="0"/>
    <x v="0"/>
    <x v="0"/>
    <x v="0"/>
    <x v="8"/>
    <x v="12"/>
    <n v="789.44949639234937"/>
  </r>
  <r>
    <x v="4"/>
    <x v="0"/>
    <x v="4"/>
    <x v="4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4"/>
    <x v="0"/>
    <x v="4"/>
    <x v="4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4"/>
    <x v="0"/>
    <x v="4"/>
    <x v="4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4"/>
    <x v="0"/>
    <x v="4"/>
    <x v="4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4"/>
    <x v="0"/>
    <x v="4"/>
    <x v="4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4"/>
    <x v="0"/>
    <x v="4"/>
    <x v="4"/>
    <x v="0"/>
    <x v="1"/>
    <x v="0"/>
    <x v="0"/>
    <x v="0"/>
    <x v="0"/>
    <x v="0"/>
    <x v="0"/>
    <x v="0"/>
    <x v="0"/>
    <x v="0"/>
    <x v="21"/>
    <x v="21"/>
    <n v="12.515761467882401"/>
    <x v="0"/>
    <x v="0"/>
    <x v="1"/>
    <x v="4"/>
    <x v="5"/>
    <x v="10"/>
    <n v="13.642179999991818"/>
  </r>
  <r>
    <x v="4"/>
    <x v="0"/>
    <x v="4"/>
    <x v="4"/>
    <x v="0"/>
    <x v="1"/>
    <x v="0"/>
    <x v="0"/>
    <x v="0"/>
    <x v="0"/>
    <x v="0"/>
    <x v="0"/>
    <x v="0"/>
    <x v="0"/>
    <x v="0"/>
    <x v="18"/>
    <x v="18"/>
    <n v="44.390169999999998"/>
    <x v="0"/>
    <x v="0"/>
    <x v="0"/>
    <x v="0"/>
    <x v="4"/>
    <x v="18"/>
    <n v="48.3852853"/>
  </r>
  <r>
    <x v="4"/>
    <x v="0"/>
    <x v="4"/>
    <x v="4"/>
    <x v="0"/>
    <x v="1"/>
    <x v="0"/>
    <x v="0"/>
    <x v="0"/>
    <x v="0"/>
    <x v="0"/>
    <x v="0"/>
    <x v="0"/>
    <x v="0"/>
    <x v="0"/>
    <x v="25"/>
    <x v="25"/>
    <n v="95.493385321043604"/>
    <x v="0"/>
    <x v="0"/>
    <x v="1"/>
    <x v="4"/>
    <x v="5"/>
    <x v="9"/>
    <n v="104.08778999993754"/>
  </r>
  <r>
    <x v="4"/>
    <x v="0"/>
    <x v="4"/>
    <x v="4"/>
    <x v="0"/>
    <x v="1"/>
    <x v="0"/>
    <x v="0"/>
    <x v="0"/>
    <x v="0"/>
    <x v="0"/>
    <x v="0"/>
    <x v="0"/>
    <x v="0"/>
    <x v="0"/>
    <x v="26"/>
    <x v="26"/>
    <n v="1.3686880733936699"/>
    <x v="0"/>
    <x v="0"/>
    <x v="1"/>
    <x v="3"/>
    <x v="3"/>
    <x v="15"/>
    <n v="1.4918699999991003"/>
  </r>
  <r>
    <x v="4"/>
    <x v="0"/>
    <x v="4"/>
    <x v="4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4"/>
    <x v="0"/>
    <x v="4"/>
    <x v="4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4"/>
    <x v="0"/>
    <x v="4"/>
    <x v="4"/>
    <x v="0"/>
    <x v="1"/>
    <x v="0"/>
    <x v="0"/>
    <x v="0"/>
    <x v="0"/>
    <x v="0"/>
    <x v="0"/>
    <x v="0"/>
    <x v="0"/>
    <x v="0"/>
    <x v="2"/>
    <x v="2"/>
    <n v="7368.6951651331901"/>
    <x v="0"/>
    <x v="1"/>
    <x v="2"/>
    <x v="2"/>
    <x v="13"/>
    <x v="2"/>
    <n v="8031.877729995178"/>
  </r>
  <r>
    <x v="4"/>
    <x v="0"/>
    <x v="4"/>
    <x v="4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4"/>
    <x v="0"/>
    <x v="4"/>
    <x v="4"/>
    <x v="0"/>
    <x v="1"/>
    <x v="0"/>
    <x v="0"/>
    <x v="0"/>
    <x v="0"/>
    <x v="0"/>
    <x v="0"/>
    <x v="1"/>
    <x v="1"/>
    <x v="1"/>
    <x v="5"/>
    <x v="5"/>
    <n v="85.8305705527996"/>
    <x v="0"/>
    <x v="0"/>
    <x v="1"/>
    <x v="1"/>
    <x v="1"/>
    <x v="5"/>
    <n v="93.555321902551569"/>
  </r>
  <r>
    <x v="4"/>
    <x v="0"/>
    <x v="4"/>
    <x v="4"/>
    <x v="0"/>
    <x v="1"/>
    <x v="0"/>
    <x v="0"/>
    <x v="0"/>
    <x v="0"/>
    <x v="0"/>
    <x v="0"/>
    <x v="1"/>
    <x v="1"/>
    <x v="1"/>
    <x v="6"/>
    <x v="6"/>
    <n v="187.67411999999999"/>
    <x v="0"/>
    <x v="0"/>
    <x v="0"/>
    <x v="0"/>
    <x v="4"/>
    <x v="6"/>
    <n v="204.5647908"/>
  </r>
  <r>
    <x v="4"/>
    <x v="0"/>
    <x v="4"/>
    <x v="4"/>
    <x v="0"/>
    <x v="1"/>
    <x v="0"/>
    <x v="0"/>
    <x v="0"/>
    <x v="0"/>
    <x v="0"/>
    <x v="0"/>
    <x v="1"/>
    <x v="1"/>
    <x v="1"/>
    <x v="7"/>
    <x v="7"/>
    <n v="10.5393027522873"/>
    <x v="0"/>
    <x v="0"/>
    <x v="1"/>
    <x v="4"/>
    <x v="5"/>
    <x v="7"/>
    <n v="11.487839999993158"/>
  </r>
  <r>
    <x v="4"/>
    <x v="0"/>
    <x v="4"/>
    <x v="4"/>
    <x v="0"/>
    <x v="1"/>
    <x v="0"/>
    <x v="0"/>
    <x v="0"/>
    <x v="0"/>
    <x v="0"/>
    <x v="0"/>
    <x v="1"/>
    <x v="1"/>
    <x v="1"/>
    <x v="8"/>
    <x v="8"/>
    <n v="5389.8792027372001"/>
    <x v="0"/>
    <x v="1"/>
    <x v="2"/>
    <x v="2"/>
    <x v="6"/>
    <x v="8"/>
    <n v="5874.9683309835482"/>
  </r>
  <r>
    <x v="4"/>
    <x v="0"/>
    <x v="4"/>
    <x v="4"/>
    <x v="0"/>
    <x v="1"/>
    <x v="0"/>
    <x v="0"/>
    <x v="0"/>
    <x v="0"/>
    <x v="0"/>
    <x v="0"/>
    <x v="1"/>
    <x v="1"/>
    <x v="1"/>
    <x v="9"/>
    <x v="9"/>
    <n v="28.539511651374699"/>
    <x v="0"/>
    <x v="0"/>
    <x v="1"/>
    <x v="4"/>
    <x v="5"/>
    <x v="9"/>
    <n v="31.108067699998426"/>
  </r>
  <r>
    <x v="4"/>
    <x v="0"/>
    <x v="4"/>
    <x v="4"/>
    <x v="0"/>
    <x v="1"/>
    <x v="0"/>
    <x v="0"/>
    <x v="0"/>
    <x v="0"/>
    <x v="0"/>
    <x v="0"/>
    <x v="1"/>
    <x v="1"/>
    <x v="1"/>
    <x v="10"/>
    <x v="10"/>
    <n v="53.100975915478799"/>
    <x v="0"/>
    <x v="0"/>
    <x v="1"/>
    <x v="4"/>
    <x v="5"/>
    <x v="10"/>
    <n v="57.880063747871894"/>
  </r>
  <r>
    <x v="4"/>
    <x v="0"/>
    <x v="4"/>
    <x v="4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4"/>
    <x v="0"/>
    <x v="4"/>
    <x v="4"/>
    <x v="0"/>
    <x v="1"/>
    <x v="0"/>
    <x v="0"/>
    <x v="0"/>
    <x v="0"/>
    <x v="0"/>
    <x v="0"/>
    <x v="1"/>
    <x v="1"/>
    <x v="1"/>
    <x v="11"/>
    <x v="11"/>
    <n v="40.7333"/>
    <x v="0"/>
    <x v="0"/>
    <x v="3"/>
    <x v="5"/>
    <x v="7"/>
    <x v="11"/>
    <n v="44.399297000000004"/>
  </r>
  <r>
    <x v="4"/>
    <x v="0"/>
    <x v="4"/>
    <x v="4"/>
    <x v="0"/>
    <x v="1"/>
    <x v="0"/>
    <x v="0"/>
    <x v="0"/>
    <x v="0"/>
    <x v="0"/>
    <x v="0"/>
    <x v="1"/>
    <x v="1"/>
    <x v="1"/>
    <x v="12"/>
    <x v="12"/>
    <n v="1208.7677906930801"/>
    <x v="0"/>
    <x v="0"/>
    <x v="0"/>
    <x v="0"/>
    <x v="8"/>
    <x v="12"/>
    <n v="1317.5568918554575"/>
  </r>
  <r>
    <x v="4"/>
    <x v="0"/>
    <x v="4"/>
    <x v="4"/>
    <x v="0"/>
    <x v="1"/>
    <x v="0"/>
    <x v="0"/>
    <x v="0"/>
    <x v="0"/>
    <x v="0"/>
    <x v="0"/>
    <x v="1"/>
    <x v="1"/>
    <x v="1"/>
    <x v="14"/>
    <x v="14"/>
    <n v="272.22802000000001"/>
    <x v="0"/>
    <x v="0"/>
    <x v="0"/>
    <x v="0"/>
    <x v="8"/>
    <x v="14"/>
    <n v="296.72854180000002"/>
  </r>
  <r>
    <x v="4"/>
    <x v="0"/>
    <x v="4"/>
    <x v="4"/>
    <x v="0"/>
    <x v="1"/>
    <x v="0"/>
    <x v="0"/>
    <x v="0"/>
    <x v="0"/>
    <x v="0"/>
    <x v="0"/>
    <x v="1"/>
    <x v="1"/>
    <x v="1"/>
    <x v="15"/>
    <x v="15"/>
    <n v="0.62111009174275"/>
    <x v="0"/>
    <x v="0"/>
    <x v="1"/>
    <x v="3"/>
    <x v="3"/>
    <x v="15"/>
    <n v="0.67700999999959754"/>
  </r>
  <r>
    <x v="4"/>
    <x v="0"/>
    <x v="4"/>
    <x v="4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4"/>
    <x v="0"/>
    <x v="4"/>
    <x v="4"/>
    <x v="0"/>
    <x v="1"/>
    <x v="0"/>
    <x v="0"/>
    <x v="0"/>
    <x v="0"/>
    <x v="0"/>
    <x v="0"/>
    <x v="1"/>
    <x v="1"/>
    <x v="1"/>
    <x v="16"/>
    <x v="16"/>
    <n v="24.8"/>
    <x v="0"/>
    <x v="0"/>
    <x v="3"/>
    <x v="5"/>
    <x v="9"/>
    <x v="16"/>
    <n v="27.032000000000004"/>
  </r>
  <r>
    <x v="4"/>
    <x v="0"/>
    <x v="4"/>
    <x v="4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4"/>
    <x v="0"/>
    <x v="4"/>
    <x v="4"/>
    <x v="0"/>
    <x v="1"/>
    <x v="0"/>
    <x v="0"/>
    <x v="0"/>
    <x v="0"/>
    <x v="0"/>
    <x v="0"/>
    <x v="1"/>
    <x v="1"/>
    <x v="1"/>
    <x v="24"/>
    <x v="24"/>
    <n v="32.593440366952898"/>
    <x v="0"/>
    <x v="0"/>
    <x v="1"/>
    <x v="3"/>
    <x v="3"/>
    <x v="4"/>
    <n v="35.526849999978658"/>
  </r>
  <r>
    <x v="4"/>
    <x v="0"/>
    <x v="4"/>
    <x v="4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4"/>
    <x v="0"/>
    <x v="4"/>
    <x v="4"/>
    <x v="0"/>
    <x v="1"/>
    <x v="0"/>
    <x v="0"/>
    <x v="0"/>
    <x v="0"/>
    <x v="0"/>
    <x v="0"/>
    <x v="1"/>
    <x v="1"/>
    <x v="1"/>
    <x v="18"/>
    <x v="18"/>
    <n v="55.374369999999999"/>
    <x v="0"/>
    <x v="0"/>
    <x v="0"/>
    <x v="0"/>
    <x v="4"/>
    <x v="18"/>
    <n v="60.358063300000005"/>
  </r>
  <r>
    <x v="4"/>
    <x v="0"/>
    <x v="4"/>
    <x v="4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4"/>
    <x v="0"/>
    <x v="4"/>
    <x v="4"/>
    <x v="0"/>
    <x v="1"/>
    <x v="0"/>
    <x v="0"/>
    <x v="0"/>
    <x v="0"/>
    <x v="0"/>
    <x v="0"/>
    <x v="1"/>
    <x v="1"/>
    <x v="1"/>
    <x v="26"/>
    <x v="26"/>
    <n v="6.0041100917395198"/>
    <x v="0"/>
    <x v="0"/>
    <x v="1"/>
    <x v="3"/>
    <x v="3"/>
    <x v="15"/>
    <n v="6.544479999996077"/>
  </r>
  <r>
    <x v="4"/>
    <x v="0"/>
    <x v="4"/>
    <x v="4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4"/>
    <x v="0"/>
    <x v="4"/>
    <x v="4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4"/>
    <x v="0"/>
    <x v="4"/>
    <x v="4"/>
    <x v="0"/>
    <x v="1"/>
    <x v="0"/>
    <x v="0"/>
    <x v="0"/>
    <x v="0"/>
    <x v="0"/>
    <x v="0"/>
    <x v="1"/>
    <x v="1"/>
    <x v="1"/>
    <x v="2"/>
    <x v="2"/>
    <n v="5583.1449816480299"/>
    <x v="0"/>
    <x v="1"/>
    <x v="2"/>
    <x v="2"/>
    <x v="13"/>
    <x v="2"/>
    <n v="6085.6280299963528"/>
  </r>
  <r>
    <x v="4"/>
    <x v="0"/>
    <x v="4"/>
    <x v="4"/>
    <x v="0"/>
    <x v="1"/>
    <x v="0"/>
    <x v="0"/>
    <x v="0"/>
    <x v="0"/>
    <x v="0"/>
    <x v="0"/>
    <x v="2"/>
    <x v="2"/>
    <x v="2"/>
    <x v="4"/>
    <x v="4"/>
    <n v="19.9045871559514"/>
    <x v="0"/>
    <x v="0"/>
    <x v="1"/>
    <x v="3"/>
    <x v="3"/>
    <x v="4"/>
    <n v="21.695999999987027"/>
  </r>
  <r>
    <x v="4"/>
    <x v="0"/>
    <x v="4"/>
    <x v="4"/>
    <x v="0"/>
    <x v="1"/>
    <x v="0"/>
    <x v="0"/>
    <x v="0"/>
    <x v="0"/>
    <x v="0"/>
    <x v="0"/>
    <x v="2"/>
    <x v="2"/>
    <x v="2"/>
    <x v="5"/>
    <x v="5"/>
    <n v="102.326883436361"/>
    <x v="0"/>
    <x v="0"/>
    <x v="1"/>
    <x v="1"/>
    <x v="1"/>
    <x v="5"/>
    <n v="111.53630294563349"/>
  </r>
  <r>
    <x v="4"/>
    <x v="0"/>
    <x v="4"/>
    <x v="4"/>
    <x v="0"/>
    <x v="1"/>
    <x v="0"/>
    <x v="0"/>
    <x v="0"/>
    <x v="0"/>
    <x v="0"/>
    <x v="0"/>
    <x v="2"/>
    <x v="2"/>
    <x v="2"/>
    <x v="6"/>
    <x v="6"/>
    <n v="311.37133"/>
    <x v="0"/>
    <x v="0"/>
    <x v="0"/>
    <x v="0"/>
    <x v="4"/>
    <x v="6"/>
    <n v="339.39474970000003"/>
  </r>
  <r>
    <x v="4"/>
    <x v="0"/>
    <x v="4"/>
    <x v="4"/>
    <x v="0"/>
    <x v="1"/>
    <x v="0"/>
    <x v="0"/>
    <x v="0"/>
    <x v="0"/>
    <x v="0"/>
    <x v="0"/>
    <x v="2"/>
    <x v="2"/>
    <x v="2"/>
    <x v="7"/>
    <x v="7"/>
    <n v="6.9195688073352999"/>
    <x v="0"/>
    <x v="0"/>
    <x v="1"/>
    <x v="4"/>
    <x v="5"/>
    <x v="7"/>
    <n v="7.5423299999954772"/>
  </r>
  <r>
    <x v="4"/>
    <x v="0"/>
    <x v="4"/>
    <x v="4"/>
    <x v="0"/>
    <x v="1"/>
    <x v="0"/>
    <x v="0"/>
    <x v="0"/>
    <x v="0"/>
    <x v="0"/>
    <x v="0"/>
    <x v="2"/>
    <x v="2"/>
    <x v="2"/>
    <x v="8"/>
    <x v="8"/>
    <n v="5555.8044392247502"/>
    <x v="0"/>
    <x v="1"/>
    <x v="2"/>
    <x v="2"/>
    <x v="6"/>
    <x v="8"/>
    <n v="6055.8268387549779"/>
  </r>
  <r>
    <x v="4"/>
    <x v="0"/>
    <x v="4"/>
    <x v="4"/>
    <x v="0"/>
    <x v="1"/>
    <x v="0"/>
    <x v="0"/>
    <x v="0"/>
    <x v="0"/>
    <x v="0"/>
    <x v="0"/>
    <x v="2"/>
    <x v="2"/>
    <x v="2"/>
    <x v="9"/>
    <x v="9"/>
    <n v="32.936330275209599"/>
    <x v="0"/>
    <x v="0"/>
    <x v="1"/>
    <x v="4"/>
    <x v="5"/>
    <x v="9"/>
    <n v="35.900599999978468"/>
  </r>
  <r>
    <x v="4"/>
    <x v="0"/>
    <x v="4"/>
    <x v="4"/>
    <x v="0"/>
    <x v="1"/>
    <x v="0"/>
    <x v="0"/>
    <x v="0"/>
    <x v="0"/>
    <x v="0"/>
    <x v="0"/>
    <x v="2"/>
    <x v="2"/>
    <x v="2"/>
    <x v="10"/>
    <x v="10"/>
    <n v="0.43397419367040002"/>
    <x v="0"/>
    <x v="0"/>
    <x v="1"/>
    <x v="4"/>
    <x v="5"/>
    <x v="10"/>
    <n v="0.47303187110073608"/>
  </r>
  <r>
    <x v="4"/>
    <x v="0"/>
    <x v="4"/>
    <x v="4"/>
    <x v="0"/>
    <x v="1"/>
    <x v="0"/>
    <x v="0"/>
    <x v="0"/>
    <x v="0"/>
    <x v="0"/>
    <x v="0"/>
    <x v="2"/>
    <x v="2"/>
    <x v="2"/>
    <x v="31"/>
    <x v="31"/>
    <n v="1.28037614678822"/>
    <x v="0"/>
    <x v="0"/>
    <x v="1"/>
    <x v="4"/>
    <x v="5"/>
    <x v="10"/>
    <n v="1.3956099999991598"/>
  </r>
  <r>
    <x v="4"/>
    <x v="0"/>
    <x v="4"/>
    <x v="4"/>
    <x v="0"/>
    <x v="1"/>
    <x v="0"/>
    <x v="0"/>
    <x v="0"/>
    <x v="0"/>
    <x v="0"/>
    <x v="0"/>
    <x v="2"/>
    <x v="2"/>
    <x v="2"/>
    <x v="11"/>
    <x v="11"/>
    <n v="82.119389999999996"/>
    <x v="0"/>
    <x v="0"/>
    <x v="3"/>
    <x v="5"/>
    <x v="7"/>
    <x v="11"/>
    <n v="89.510135099999999"/>
  </r>
  <r>
    <x v="4"/>
    <x v="0"/>
    <x v="4"/>
    <x v="4"/>
    <x v="0"/>
    <x v="1"/>
    <x v="0"/>
    <x v="0"/>
    <x v="0"/>
    <x v="0"/>
    <x v="0"/>
    <x v="0"/>
    <x v="2"/>
    <x v="2"/>
    <x v="2"/>
    <x v="12"/>
    <x v="12"/>
    <n v="717.95158139262105"/>
    <x v="0"/>
    <x v="0"/>
    <x v="0"/>
    <x v="0"/>
    <x v="8"/>
    <x v="12"/>
    <n v="782.56722371795695"/>
  </r>
  <r>
    <x v="4"/>
    <x v="0"/>
    <x v="4"/>
    <x v="4"/>
    <x v="0"/>
    <x v="1"/>
    <x v="0"/>
    <x v="0"/>
    <x v="0"/>
    <x v="0"/>
    <x v="0"/>
    <x v="0"/>
    <x v="2"/>
    <x v="2"/>
    <x v="2"/>
    <x v="14"/>
    <x v="14"/>
    <n v="43.896619999999999"/>
    <x v="0"/>
    <x v="0"/>
    <x v="0"/>
    <x v="0"/>
    <x v="8"/>
    <x v="14"/>
    <n v="47.847315800000004"/>
  </r>
  <r>
    <x v="4"/>
    <x v="0"/>
    <x v="4"/>
    <x v="4"/>
    <x v="0"/>
    <x v="1"/>
    <x v="0"/>
    <x v="0"/>
    <x v="0"/>
    <x v="0"/>
    <x v="0"/>
    <x v="0"/>
    <x v="2"/>
    <x v="2"/>
    <x v="2"/>
    <x v="22"/>
    <x v="22"/>
    <n v="1.22006989246824"/>
    <x v="0"/>
    <x v="0"/>
    <x v="0"/>
    <x v="0"/>
    <x v="0"/>
    <x v="0"/>
    <n v="1.3298761827903818"/>
  </r>
  <r>
    <x v="4"/>
    <x v="0"/>
    <x v="4"/>
    <x v="4"/>
    <x v="0"/>
    <x v="1"/>
    <x v="0"/>
    <x v="0"/>
    <x v="0"/>
    <x v="0"/>
    <x v="0"/>
    <x v="0"/>
    <x v="2"/>
    <x v="2"/>
    <x v="2"/>
    <x v="16"/>
    <x v="16"/>
    <n v="161.75710000000001"/>
    <x v="0"/>
    <x v="0"/>
    <x v="3"/>
    <x v="5"/>
    <x v="9"/>
    <x v="16"/>
    <n v="176.31523900000002"/>
  </r>
  <r>
    <x v="4"/>
    <x v="0"/>
    <x v="4"/>
    <x v="4"/>
    <x v="0"/>
    <x v="1"/>
    <x v="0"/>
    <x v="0"/>
    <x v="0"/>
    <x v="0"/>
    <x v="0"/>
    <x v="0"/>
    <x v="2"/>
    <x v="2"/>
    <x v="2"/>
    <x v="17"/>
    <x v="17"/>
    <n v="65.35848"/>
    <x v="0"/>
    <x v="0"/>
    <x v="0"/>
    <x v="0"/>
    <x v="4"/>
    <x v="17"/>
    <n v="71.240743200000011"/>
  </r>
  <r>
    <x v="4"/>
    <x v="0"/>
    <x v="4"/>
    <x v="4"/>
    <x v="0"/>
    <x v="1"/>
    <x v="0"/>
    <x v="0"/>
    <x v="0"/>
    <x v="0"/>
    <x v="0"/>
    <x v="0"/>
    <x v="2"/>
    <x v="2"/>
    <x v="2"/>
    <x v="18"/>
    <x v="18"/>
    <n v="180.00407999999999"/>
    <x v="0"/>
    <x v="0"/>
    <x v="0"/>
    <x v="0"/>
    <x v="4"/>
    <x v="18"/>
    <n v="196.2044472"/>
  </r>
  <r>
    <x v="4"/>
    <x v="0"/>
    <x v="4"/>
    <x v="4"/>
    <x v="0"/>
    <x v="1"/>
    <x v="0"/>
    <x v="0"/>
    <x v="0"/>
    <x v="0"/>
    <x v="0"/>
    <x v="0"/>
    <x v="2"/>
    <x v="2"/>
    <x v="2"/>
    <x v="34"/>
    <x v="34"/>
    <n v="5.51090130994998"/>
    <x v="0"/>
    <x v="0"/>
    <x v="0"/>
    <x v="0"/>
    <x v="0"/>
    <x v="0"/>
    <n v="6.0068824278454782"/>
  </r>
  <r>
    <x v="4"/>
    <x v="0"/>
    <x v="4"/>
    <x v="4"/>
    <x v="0"/>
    <x v="1"/>
    <x v="0"/>
    <x v="0"/>
    <x v="0"/>
    <x v="0"/>
    <x v="0"/>
    <x v="0"/>
    <x v="2"/>
    <x v="2"/>
    <x v="2"/>
    <x v="25"/>
    <x v="25"/>
    <n v="78.418229357751102"/>
    <x v="0"/>
    <x v="0"/>
    <x v="1"/>
    <x v="4"/>
    <x v="5"/>
    <x v="9"/>
    <n v="85.475869999948713"/>
  </r>
  <r>
    <x v="4"/>
    <x v="0"/>
    <x v="4"/>
    <x v="4"/>
    <x v="0"/>
    <x v="1"/>
    <x v="0"/>
    <x v="0"/>
    <x v="0"/>
    <x v="0"/>
    <x v="0"/>
    <x v="0"/>
    <x v="2"/>
    <x v="2"/>
    <x v="2"/>
    <x v="27"/>
    <x v="27"/>
    <n v="4.1638468469351197"/>
    <x v="0"/>
    <x v="0"/>
    <x v="1"/>
    <x v="3"/>
    <x v="3"/>
    <x v="19"/>
    <n v="4.538593063159281"/>
  </r>
  <r>
    <x v="4"/>
    <x v="0"/>
    <x v="4"/>
    <x v="4"/>
    <x v="0"/>
    <x v="1"/>
    <x v="0"/>
    <x v="0"/>
    <x v="0"/>
    <x v="0"/>
    <x v="0"/>
    <x v="0"/>
    <x v="2"/>
    <x v="2"/>
    <x v="2"/>
    <x v="0"/>
    <x v="0"/>
    <n v="4.2858914590627304"/>
    <x v="0"/>
    <x v="0"/>
    <x v="0"/>
    <x v="0"/>
    <x v="0"/>
    <x v="0"/>
    <n v="4.6716216903783767"/>
  </r>
  <r>
    <x v="4"/>
    <x v="0"/>
    <x v="4"/>
    <x v="4"/>
    <x v="0"/>
    <x v="1"/>
    <x v="0"/>
    <x v="0"/>
    <x v="0"/>
    <x v="0"/>
    <x v="0"/>
    <x v="0"/>
    <x v="2"/>
    <x v="2"/>
    <x v="2"/>
    <x v="20"/>
    <x v="20"/>
    <n v="102.17711"/>
    <x v="0"/>
    <x v="0"/>
    <x v="1"/>
    <x v="3"/>
    <x v="3"/>
    <x v="13"/>
    <n v="111.37304990000001"/>
  </r>
  <r>
    <x v="4"/>
    <x v="0"/>
    <x v="4"/>
    <x v="4"/>
    <x v="0"/>
    <x v="1"/>
    <x v="0"/>
    <x v="0"/>
    <x v="0"/>
    <x v="0"/>
    <x v="0"/>
    <x v="0"/>
    <x v="2"/>
    <x v="2"/>
    <x v="2"/>
    <x v="2"/>
    <x v="2"/>
    <n v="11173.577935773101"/>
    <x v="0"/>
    <x v="1"/>
    <x v="2"/>
    <x v="2"/>
    <x v="13"/>
    <x v="2"/>
    <n v="12179.199949992681"/>
  </r>
  <r>
    <x v="4"/>
    <x v="0"/>
    <x v="4"/>
    <x v="4"/>
    <x v="0"/>
    <x v="1"/>
    <x v="0"/>
    <x v="0"/>
    <x v="0"/>
    <x v="0"/>
    <x v="0"/>
    <x v="0"/>
    <x v="2"/>
    <x v="2"/>
    <x v="2"/>
    <x v="3"/>
    <x v="3"/>
    <n v="25.924148265214999"/>
    <x v="0"/>
    <x v="0"/>
    <x v="1"/>
    <x v="3"/>
    <x v="3"/>
    <x v="3"/>
    <n v="28.25732160908435"/>
  </r>
  <r>
    <x v="4"/>
    <x v="0"/>
    <x v="4"/>
    <x v="4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4"/>
    <x v="0"/>
    <x v="4"/>
    <x v="4"/>
    <x v="0"/>
    <x v="1"/>
    <x v="0"/>
    <x v="0"/>
    <x v="0"/>
    <x v="0"/>
    <x v="0"/>
    <x v="0"/>
    <x v="1"/>
    <x v="6"/>
    <x v="6"/>
    <x v="8"/>
    <x v="8"/>
    <n v="35.416601351578002"/>
    <x v="0"/>
    <x v="1"/>
    <x v="2"/>
    <x v="2"/>
    <x v="6"/>
    <x v="8"/>
    <n v="38.604095473220028"/>
  </r>
  <r>
    <x v="4"/>
    <x v="0"/>
    <x v="4"/>
    <x v="4"/>
    <x v="0"/>
    <x v="1"/>
    <x v="0"/>
    <x v="0"/>
    <x v="0"/>
    <x v="0"/>
    <x v="0"/>
    <x v="0"/>
    <x v="1"/>
    <x v="6"/>
    <x v="6"/>
    <x v="9"/>
    <x v="9"/>
    <n v="25.554422018333302"/>
    <x v="0"/>
    <x v="0"/>
    <x v="1"/>
    <x v="4"/>
    <x v="5"/>
    <x v="9"/>
    <n v="27.8543199999833"/>
  </r>
  <r>
    <x v="4"/>
    <x v="0"/>
    <x v="4"/>
    <x v="4"/>
    <x v="0"/>
    <x v="1"/>
    <x v="0"/>
    <x v="0"/>
    <x v="0"/>
    <x v="0"/>
    <x v="0"/>
    <x v="0"/>
    <x v="1"/>
    <x v="6"/>
    <x v="6"/>
    <x v="12"/>
    <x v="12"/>
    <n v="146.65825581339601"/>
    <x v="0"/>
    <x v="0"/>
    <x v="0"/>
    <x v="0"/>
    <x v="8"/>
    <x v="12"/>
    <n v="159.85749883660165"/>
  </r>
  <r>
    <x v="4"/>
    <x v="0"/>
    <x v="4"/>
    <x v="4"/>
    <x v="0"/>
    <x v="1"/>
    <x v="0"/>
    <x v="0"/>
    <x v="0"/>
    <x v="0"/>
    <x v="0"/>
    <x v="0"/>
    <x v="1"/>
    <x v="6"/>
    <x v="6"/>
    <x v="14"/>
    <x v="14"/>
    <n v="7.1303999999999998"/>
    <x v="0"/>
    <x v="0"/>
    <x v="0"/>
    <x v="0"/>
    <x v="8"/>
    <x v="14"/>
    <n v="7.7721360000000006"/>
  </r>
  <r>
    <x v="4"/>
    <x v="0"/>
    <x v="4"/>
    <x v="4"/>
    <x v="0"/>
    <x v="1"/>
    <x v="0"/>
    <x v="0"/>
    <x v="0"/>
    <x v="0"/>
    <x v="0"/>
    <x v="0"/>
    <x v="1"/>
    <x v="6"/>
    <x v="6"/>
    <x v="16"/>
    <x v="16"/>
    <n v="458.11297000000002"/>
    <x v="0"/>
    <x v="0"/>
    <x v="3"/>
    <x v="5"/>
    <x v="9"/>
    <x v="16"/>
    <n v="499.34313730000008"/>
  </r>
  <r>
    <x v="4"/>
    <x v="0"/>
    <x v="4"/>
    <x v="4"/>
    <x v="0"/>
    <x v="1"/>
    <x v="0"/>
    <x v="0"/>
    <x v="0"/>
    <x v="0"/>
    <x v="0"/>
    <x v="0"/>
    <x v="1"/>
    <x v="6"/>
    <x v="6"/>
    <x v="25"/>
    <x v="25"/>
    <n v="192.54097247694901"/>
    <x v="0"/>
    <x v="0"/>
    <x v="1"/>
    <x v="4"/>
    <x v="5"/>
    <x v="9"/>
    <n v="209.86965999987444"/>
  </r>
  <r>
    <x v="4"/>
    <x v="0"/>
    <x v="4"/>
    <x v="4"/>
    <x v="0"/>
    <x v="1"/>
    <x v="0"/>
    <x v="0"/>
    <x v="0"/>
    <x v="0"/>
    <x v="0"/>
    <x v="0"/>
    <x v="1"/>
    <x v="6"/>
    <x v="6"/>
    <x v="20"/>
    <x v="20"/>
    <n v="893.89286000000004"/>
    <x v="0"/>
    <x v="0"/>
    <x v="1"/>
    <x v="3"/>
    <x v="3"/>
    <x v="13"/>
    <n v="974.34321740000007"/>
  </r>
  <r>
    <x v="4"/>
    <x v="0"/>
    <x v="4"/>
    <x v="4"/>
    <x v="0"/>
    <x v="1"/>
    <x v="0"/>
    <x v="0"/>
    <x v="0"/>
    <x v="0"/>
    <x v="0"/>
    <x v="0"/>
    <x v="1"/>
    <x v="6"/>
    <x v="6"/>
    <x v="2"/>
    <x v="2"/>
    <n v="623.71901834824996"/>
    <x v="0"/>
    <x v="1"/>
    <x v="2"/>
    <x v="2"/>
    <x v="13"/>
    <x v="2"/>
    <n v="679.85372999959247"/>
  </r>
  <r>
    <x v="4"/>
    <x v="0"/>
    <x v="4"/>
    <x v="4"/>
    <x v="0"/>
    <x v="1"/>
    <x v="0"/>
    <x v="0"/>
    <x v="0"/>
    <x v="0"/>
    <x v="0"/>
    <x v="0"/>
    <x v="1"/>
    <x v="6"/>
    <x v="6"/>
    <x v="3"/>
    <x v="3"/>
    <n v="16.3240551711405"/>
    <x v="0"/>
    <x v="0"/>
    <x v="1"/>
    <x v="3"/>
    <x v="3"/>
    <x v="3"/>
    <n v="17.793220136543148"/>
  </r>
  <r>
    <x v="4"/>
    <x v="0"/>
    <x v="4"/>
    <x v="4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4"/>
    <x v="0"/>
    <x v="4"/>
    <x v="4"/>
    <x v="0"/>
    <x v="1"/>
    <x v="0"/>
    <x v="0"/>
    <x v="0"/>
    <x v="0"/>
    <x v="0"/>
    <x v="0"/>
    <x v="3"/>
    <x v="7"/>
    <x v="7"/>
    <x v="9"/>
    <x v="9"/>
    <n v="381.52749331327698"/>
    <x v="0"/>
    <x v="0"/>
    <x v="1"/>
    <x v="4"/>
    <x v="5"/>
    <x v="9"/>
    <n v="415.86496771147193"/>
  </r>
  <r>
    <x v="4"/>
    <x v="0"/>
    <x v="4"/>
    <x v="4"/>
    <x v="0"/>
    <x v="1"/>
    <x v="0"/>
    <x v="0"/>
    <x v="0"/>
    <x v="0"/>
    <x v="0"/>
    <x v="0"/>
    <x v="3"/>
    <x v="7"/>
    <x v="7"/>
    <x v="10"/>
    <x v="10"/>
    <n v="157.22951137223399"/>
    <x v="0"/>
    <x v="0"/>
    <x v="1"/>
    <x v="4"/>
    <x v="5"/>
    <x v="10"/>
    <n v="171.38016739573507"/>
  </r>
  <r>
    <x v="4"/>
    <x v="0"/>
    <x v="4"/>
    <x v="4"/>
    <x v="0"/>
    <x v="1"/>
    <x v="0"/>
    <x v="0"/>
    <x v="0"/>
    <x v="0"/>
    <x v="0"/>
    <x v="0"/>
    <x v="3"/>
    <x v="7"/>
    <x v="7"/>
    <x v="11"/>
    <x v="11"/>
    <n v="344.77478000000002"/>
    <x v="0"/>
    <x v="0"/>
    <x v="3"/>
    <x v="5"/>
    <x v="7"/>
    <x v="11"/>
    <n v="375.80451020000004"/>
  </r>
  <r>
    <x v="4"/>
    <x v="0"/>
    <x v="4"/>
    <x v="4"/>
    <x v="0"/>
    <x v="1"/>
    <x v="0"/>
    <x v="0"/>
    <x v="0"/>
    <x v="0"/>
    <x v="0"/>
    <x v="0"/>
    <x v="3"/>
    <x v="7"/>
    <x v="7"/>
    <x v="36"/>
    <x v="36"/>
    <n v="166.19097247696499"/>
    <x v="0"/>
    <x v="0"/>
    <x v="1"/>
    <x v="3"/>
    <x v="3"/>
    <x v="4"/>
    <n v="181.14815999989185"/>
  </r>
  <r>
    <x v="4"/>
    <x v="0"/>
    <x v="4"/>
    <x v="4"/>
    <x v="0"/>
    <x v="1"/>
    <x v="0"/>
    <x v="0"/>
    <x v="0"/>
    <x v="0"/>
    <x v="0"/>
    <x v="0"/>
    <x v="3"/>
    <x v="7"/>
    <x v="7"/>
    <x v="24"/>
    <x v="24"/>
    <n v="270.52335779800302"/>
    <x v="0"/>
    <x v="0"/>
    <x v="1"/>
    <x v="3"/>
    <x v="3"/>
    <x v="4"/>
    <n v="294.87045999982331"/>
  </r>
  <r>
    <x v="4"/>
    <x v="0"/>
    <x v="4"/>
    <x v="4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4"/>
    <x v="0"/>
    <x v="4"/>
    <x v="4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4"/>
    <x v="0"/>
    <x v="4"/>
    <x v="4"/>
    <x v="0"/>
    <x v="1"/>
    <x v="0"/>
    <x v="0"/>
    <x v="0"/>
    <x v="0"/>
    <x v="0"/>
    <x v="0"/>
    <x v="3"/>
    <x v="7"/>
    <x v="7"/>
    <x v="34"/>
    <x v="34"/>
    <n v="112.57020611162299"/>
    <x v="0"/>
    <x v="0"/>
    <x v="0"/>
    <x v="0"/>
    <x v="0"/>
    <x v="0"/>
    <n v="122.70152466166907"/>
  </r>
  <r>
    <x v="4"/>
    <x v="0"/>
    <x v="4"/>
    <x v="4"/>
    <x v="0"/>
    <x v="1"/>
    <x v="0"/>
    <x v="0"/>
    <x v="0"/>
    <x v="0"/>
    <x v="0"/>
    <x v="0"/>
    <x v="3"/>
    <x v="7"/>
    <x v="7"/>
    <x v="26"/>
    <x v="26"/>
    <n v="4.3865688073368201"/>
    <x v="0"/>
    <x v="0"/>
    <x v="1"/>
    <x v="3"/>
    <x v="3"/>
    <x v="15"/>
    <n v="4.7813599999971341"/>
  </r>
  <r>
    <x v="4"/>
    <x v="0"/>
    <x v="4"/>
    <x v="4"/>
    <x v="0"/>
    <x v="1"/>
    <x v="0"/>
    <x v="0"/>
    <x v="0"/>
    <x v="0"/>
    <x v="0"/>
    <x v="0"/>
    <x v="1"/>
    <x v="8"/>
    <x v="8"/>
    <x v="6"/>
    <x v="6"/>
    <n v="142.75343000000001"/>
    <x v="0"/>
    <x v="0"/>
    <x v="0"/>
    <x v="0"/>
    <x v="4"/>
    <x v="6"/>
    <n v="155.60123870000001"/>
  </r>
  <r>
    <x v="4"/>
    <x v="0"/>
    <x v="4"/>
    <x v="4"/>
    <x v="0"/>
    <x v="1"/>
    <x v="0"/>
    <x v="0"/>
    <x v="0"/>
    <x v="0"/>
    <x v="0"/>
    <x v="0"/>
    <x v="1"/>
    <x v="8"/>
    <x v="8"/>
    <x v="8"/>
    <x v="8"/>
    <n v="447.27362162448401"/>
    <x v="0"/>
    <x v="1"/>
    <x v="2"/>
    <x v="2"/>
    <x v="6"/>
    <x v="8"/>
    <n v="487.5282475706876"/>
  </r>
  <r>
    <x v="4"/>
    <x v="0"/>
    <x v="4"/>
    <x v="4"/>
    <x v="0"/>
    <x v="1"/>
    <x v="0"/>
    <x v="0"/>
    <x v="0"/>
    <x v="0"/>
    <x v="0"/>
    <x v="0"/>
    <x v="1"/>
    <x v="8"/>
    <x v="8"/>
    <x v="9"/>
    <x v="9"/>
    <n v="303.889012479992"/>
    <x v="0"/>
    <x v="0"/>
    <x v="1"/>
    <x v="4"/>
    <x v="5"/>
    <x v="9"/>
    <n v="331.2390236031913"/>
  </r>
  <r>
    <x v="4"/>
    <x v="0"/>
    <x v="4"/>
    <x v="4"/>
    <x v="0"/>
    <x v="1"/>
    <x v="0"/>
    <x v="0"/>
    <x v="0"/>
    <x v="0"/>
    <x v="0"/>
    <x v="0"/>
    <x v="1"/>
    <x v="8"/>
    <x v="8"/>
    <x v="10"/>
    <x v="10"/>
    <n v="152.79475743177301"/>
    <x v="0"/>
    <x v="0"/>
    <x v="1"/>
    <x v="4"/>
    <x v="5"/>
    <x v="10"/>
    <n v="166.54628560063259"/>
  </r>
  <r>
    <x v="4"/>
    <x v="0"/>
    <x v="4"/>
    <x v="4"/>
    <x v="0"/>
    <x v="1"/>
    <x v="0"/>
    <x v="0"/>
    <x v="0"/>
    <x v="0"/>
    <x v="0"/>
    <x v="0"/>
    <x v="1"/>
    <x v="8"/>
    <x v="8"/>
    <x v="11"/>
    <x v="11"/>
    <n v="24.4833"/>
    <x v="0"/>
    <x v="0"/>
    <x v="3"/>
    <x v="5"/>
    <x v="7"/>
    <x v="11"/>
    <n v="26.686797000000002"/>
  </r>
  <r>
    <x v="4"/>
    <x v="0"/>
    <x v="4"/>
    <x v="4"/>
    <x v="0"/>
    <x v="1"/>
    <x v="0"/>
    <x v="0"/>
    <x v="0"/>
    <x v="0"/>
    <x v="0"/>
    <x v="0"/>
    <x v="1"/>
    <x v="8"/>
    <x v="8"/>
    <x v="36"/>
    <x v="36"/>
    <n v="7.4947247706377098"/>
    <x v="0"/>
    <x v="0"/>
    <x v="1"/>
    <x v="3"/>
    <x v="3"/>
    <x v="4"/>
    <n v="8.1692499999951043"/>
  </r>
  <r>
    <x v="4"/>
    <x v="0"/>
    <x v="4"/>
    <x v="4"/>
    <x v="0"/>
    <x v="1"/>
    <x v="0"/>
    <x v="0"/>
    <x v="0"/>
    <x v="0"/>
    <x v="0"/>
    <x v="0"/>
    <x v="1"/>
    <x v="8"/>
    <x v="8"/>
    <x v="24"/>
    <x v="24"/>
    <n v="321.246486238339"/>
    <x v="0"/>
    <x v="0"/>
    <x v="1"/>
    <x v="3"/>
    <x v="3"/>
    <x v="4"/>
    <n v="350.15866999978954"/>
  </r>
  <r>
    <x v="4"/>
    <x v="0"/>
    <x v="4"/>
    <x v="4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4"/>
    <x v="0"/>
    <x v="4"/>
    <x v="4"/>
    <x v="0"/>
    <x v="1"/>
    <x v="0"/>
    <x v="0"/>
    <x v="0"/>
    <x v="0"/>
    <x v="0"/>
    <x v="0"/>
    <x v="1"/>
    <x v="8"/>
    <x v="8"/>
    <x v="21"/>
    <x v="21"/>
    <n v="22.111009174298701"/>
    <x v="0"/>
    <x v="0"/>
    <x v="1"/>
    <x v="4"/>
    <x v="5"/>
    <x v="10"/>
    <n v="24.100999999985586"/>
  </r>
  <r>
    <x v="4"/>
    <x v="0"/>
    <x v="4"/>
    <x v="4"/>
    <x v="0"/>
    <x v="1"/>
    <x v="0"/>
    <x v="0"/>
    <x v="0"/>
    <x v="0"/>
    <x v="0"/>
    <x v="0"/>
    <x v="1"/>
    <x v="8"/>
    <x v="8"/>
    <x v="18"/>
    <x v="18"/>
    <n v="51.484160000000003"/>
    <x v="0"/>
    <x v="0"/>
    <x v="0"/>
    <x v="0"/>
    <x v="4"/>
    <x v="18"/>
    <n v="56.11773440000001"/>
  </r>
  <r>
    <x v="4"/>
    <x v="0"/>
    <x v="4"/>
    <x v="4"/>
    <x v="0"/>
    <x v="1"/>
    <x v="0"/>
    <x v="0"/>
    <x v="0"/>
    <x v="0"/>
    <x v="0"/>
    <x v="0"/>
    <x v="1"/>
    <x v="8"/>
    <x v="8"/>
    <x v="34"/>
    <x v="34"/>
    <n v="15.802508296674601"/>
    <x v="0"/>
    <x v="0"/>
    <x v="0"/>
    <x v="0"/>
    <x v="0"/>
    <x v="0"/>
    <n v="17.224734043375317"/>
  </r>
  <r>
    <x v="4"/>
    <x v="0"/>
    <x v="4"/>
    <x v="4"/>
    <x v="0"/>
    <x v="1"/>
    <x v="0"/>
    <x v="0"/>
    <x v="0"/>
    <x v="0"/>
    <x v="0"/>
    <x v="0"/>
    <x v="1"/>
    <x v="8"/>
    <x v="8"/>
    <x v="37"/>
    <x v="37"/>
    <n v="225.70897247692901"/>
    <x v="0"/>
    <x v="0"/>
    <x v="1"/>
    <x v="3"/>
    <x v="3"/>
    <x v="4"/>
    <n v="246.02277999985265"/>
  </r>
  <r>
    <x v="4"/>
    <x v="0"/>
    <x v="4"/>
    <x v="4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4"/>
    <x v="0"/>
    <x v="4"/>
    <x v="4"/>
    <x v="0"/>
    <x v="1"/>
    <x v="0"/>
    <x v="0"/>
    <x v="0"/>
    <x v="0"/>
    <x v="0"/>
    <x v="0"/>
    <x v="0"/>
    <x v="9"/>
    <x v="9"/>
    <x v="6"/>
    <x v="6"/>
    <n v="357.15627999999998"/>
    <x v="0"/>
    <x v="0"/>
    <x v="0"/>
    <x v="0"/>
    <x v="4"/>
    <x v="6"/>
    <n v="389.30034519999998"/>
  </r>
  <r>
    <x v="4"/>
    <x v="0"/>
    <x v="4"/>
    <x v="4"/>
    <x v="0"/>
    <x v="1"/>
    <x v="0"/>
    <x v="0"/>
    <x v="0"/>
    <x v="0"/>
    <x v="0"/>
    <x v="0"/>
    <x v="0"/>
    <x v="9"/>
    <x v="9"/>
    <x v="7"/>
    <x v="7"/>
    <n v="466.73463302724298"/>
    <x v="0"/>
    <x v="0"/>
    <x v="1"/>
    <x v="4"/>
    <x v="5"/>
    <x v="7"/>
    <n v="508.74074999969486"/>
  </r>
  <r>
    <x v="4"/>
    <x v="0"/>
    <x v="4"/>
    <x v="4"/>
    <x v="0"/>
    <x v="1"/>
    <x v="0"/>
    <x v="0"/>
    <x v="0"/>
    <x v="0"/>
    <x v="0"/>
    <x v="0"/>
    <x v="0"/>
    <x v="9"/>
    <x v="9"/>
    <x v="9"/>
    <x v="9"/>
    <n v="1171.1199667774699"/>
    <x v="0"/>
    <x v="0"/>
    <x v="1"/>
    <x v="4"/>
    <x v="5"/>
    <x v="9"/>
    <n v="1276.5207637874423"/>
  </r>
  <r>
    <x v="4"/>
    <x v="0"/>
    <x v="4"/>
    <x v="4"/>
    <x v="0"/>
    <x v="1"/>
    <x v="0"/>
    <x v="0"/>
    <x v="0"/>
    <x v="0"/>
    <x v="0"/>
    <x v="0"/>
    <x v="0"/>
    <x v="9"/>
    <x v="9"/>
    <x v="10"/>
    <x v="10"/>
    <n v="179.21569026454"/>
    <x v="0"/>
    <x v="0"/>
    <x v="1"/>
    <x v="4"/>
    <x v="5"/>
    <x v="10"/>
    <n v="195.34510238834861"/>
  </r>
  <r>
    <x v="4"/>
    <x v="0"/>
    <x v="4"/>
    <x v="4"/>
    <x v="0"/>
    <x v="1"/>
    <x v="0"/>
    <x v="0"/>
    <x v="0"/>
    <x v="0"/>
    <x v="0"/>
    <x v="0"/>
    <x v="0"/>
    <x v="9"/>
    <x v="9"/>
    <x v="11"/>
    <x v="11"/>
    <n v="203.01389"/>
    <x v="0"/>
    <x v="0"/>
    <x v="3"/>
    <x v="5"/>
    <x v="7"/>
    <x v="11"/>
    <n v="221.28514010000001"/>
  </r>
  <r>
    <x v="4"/>
    <x v="0"/>
    <x v="4"/>
    <x v="4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4"/>
    <x v="0"/>
    <x v="4"/>
    <x v="4"/>
    <x v="0"/>
    <x v="1"/>
    <x v="0"/>
    <x v="0"/>
    <x v="0"/>
    <x v="0"/>
    <x v="0"/>
    <x v="0"/>
    <x v="0"/>
    <x v="9"/>
    <x v="9"/>
    <x v="36"/>
    <x v="36"/>
    <n v="27.4336513761303"/>
    <x v="0"/>
    <x v="0"/>
    <x v="1"/>
    <x v="3"/>
    <x v="3"/>
    <x v="4"/>
    <n v="29.902679999982027"/>
  </r>
  <r>
    <x v="4"/>
    <x v="0"/>
    <x v="4"/>
    <x v="4"/>
    <x v="0"/>
    <x v="1"/>
    <x v="0"/>
    <x v="0"/>
    <x v="0"/>
    <x v="0"/>
    <x v="0"/>
    <x v="0"/>
    <x v="0"/>
    <x v="9"/>
    <x v="9"/>
    <x v="24"/>
    <x v="24"/>
    <n v="283.127779816344"/>
    <x v="0"/>
    <x v="0"/>
    <x v="1"/>
    <x v="3"/>
    <x v="3"/>
    <x v="4"/>
    <n v="308.60927999981499"/>
  </r>
  <r>
    <x v="4"/>
    <x v="0"/>
    <x v="4"/>
    <x v="4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4"/>
    <x v="0"/>
    <x v="4"/>
    <x v="4"/>
    <x v="0"/>
    <x v="1"/>
    <x v="0"/>
    <x v="0"/>
    <x v="0"/>
    <x v="0"/>
    <x v="0"/>
    <x v="0"/>
    <x v="0"/>
    <x v="9"/>
    <x v="9"/>
    <x v="21"/>
    <x v="21"/>
    <n v="179.49426605493801"/>
    <x v="0"/>
    <x v="0"/>
    <x v="1"/>
    <x v="4"/>
    <x v="5"/>
    <x v="10"/>
    <n v="195.64874999988245"/>
  </r>
  <r>
    <x v="4"/>
    <x v="0"/>
    <x v="4"/>
    <x v="4"/>
    <x v="0"/>
    <x v="1"/>
    <x v="0"/>
    <x v="0"/>
    <x v="0"/>
    <x v="0"/>
    <x v="0"/>
    <x v="0"/>
    <x v="0"/>
    <x v="9"/>
    <x v="9"/>
    <x v="18"/>
    <x v="18"/>
    <n v="262.08425"/>
    <x v="0"/>
    <x v="0"/>
    <x v="0"/>
    <x v="0"/>
    <x v="4"/>
    <x v="18"/>
    <n v="285.67183249999999"/>
  </r>
  <r>
    <x v="4"/>
    <x v="0"/>
    <x v="4"/>
    <x v="4"/>
    <x v="0"/>
    <x v="1"/>
    <x v="0"/>
    <x v="0"/>
    <x v="0"/>
    <x v="0"/>
    <x v="0"/>
    <x v="0"/>
    <x v="0"/>
    <x v="9"/>
    <x v="9"/>
    <x v="34"/>
    <x v="34"/>
    <n v="63.903128383193099"/>
    <x v="0"/>
    <x v="0"/>
    <x v="0"/>
    <x v="0"/>
    <x v="0"/>
    <x v="0"/>
    <n v="69.654409937680484"/>
  </r>
  <r>
    <x v="4"/>
    <x v="0"/>
    <x v="4"/>
    <x v="4"/>
    <x v="0"/>
    <x v="1"/>
    <x v="0"/>
    <x v="0"/>
    <x v="0"/>
    <x v="0"/>
    <x v="0"/>
    <x v="0"/>
    <x v="0"/>
    <x v="9"/>
    <x v="9"/>
    <x v="37"/>
    <x v="37"/>
    <n v="104.36867889902"/>
    <x v="0"/>
    <x v="0"/>
    <x v="1"/>
    <x v="3"/>
    <x v="3"/>
    <x v="4"/>
    <n v="113.7618599999318"/>
  </r>
  <r>
    <x v="4"/>
    <x v="0"/>
    <x v="4"/>
    <x v="4"/>
    <x v="0"/>
    <x v="1"/>
    <x v="0"/>
    <x v="0"/>
    <x v="0"/>
    <x v="0"/>
    <x v="0"/>
    <x v="0"/>
    <x v="0"/>
    <x v="9"/>
    <x v="9"/>
    <x v="26"/>
    <x v="26"/>
    <n v="1.68786238532009"/>
    <x v="0"/>
    <x v="0"/>
    <x v="1"/>
    <x v="3"/>
    <x v="3"/>
    <x v="15"/>
    <n v="1.8397699999988983"/>
  </r>
  <r>
    <x v="4"/>
    <x v="0"/>
    <x v="4"/>
    <x v="4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4"/>
    <x v="0"/>
    <x v="4"/>
    <x v="4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4"/>
    <x v="0"/>
    <x v="4"/>
    <x v="4"/>
    <x v="0"/>
    <x v="1"/>
    <x v="0"/>
    <x v="0"/>
    <x v="0"/>
    <x v="0"/>
    <x v="0"/>
    <x v="0"/>
    <x v="2"/>
    <x v="10"/>
    <x v="10"/>
    <x v="6"/>
    <x v="6"/>
    <n v="437.81900999999999"/>
    <x v="0"/>
    <x v="0"/>
    <x v="0"/>
    <x v="0"/>
    <x v="4"/>
    <x v="6"/>
    <n v="477.22272090000001"/>
  </r>
  <r>
    <x v="4"/>
    <x v="0"/>
    <x v="4"/>
    <x v="4"/>
    <x v="0"/>
    <x v="1"/>
    <x v="0"/>
    <x v="0"/>
    <x v="0"/>
    <x v="0"/>
    <x v="0"/>
    <x v="0"/>
    <x v="2"/>
    <x v="10"/>
    <x v="10"/>
    <x v="7"/>
    <x v="7"/>
    <n v="56.8035045871219"/>
    <x v="0"/>
    <x v="0"/>
    <x v="1"/>
    <x v="4"/>
    <x v="5"/>
    <x v="7"/>
    <n v="61.915819999962878"/>
  </r>
  <r>
    <x v="4"/>
    <x v="0"/>
    <x v="4"/>
    <x v="4"/>
    <x v="0"/>
    <x v="1"/>
    <x v="0"/>
    <x v="0"/>
    <x v="0"/>
    <x v="0"/>
    <x v="0"/>
    <x v="0"/>
    <x v="2"/>
    <x v="10"/>
    <x v="10"/>
    <x v="9"/>
    <x v="9"/>
    <n v="516.09953626742094"/>
    <x v="0"/>
    <x v="0"/>
    <x v="1"/>
    <x v="4"/>
    <x v="5"/>
    <x v="9"/>
    <n v="562.54849453148893"/>
  </r>
  <r>
    <x v="4"/>
    <x v="0"/>
    <x v="4"/>
    <x v="4"/>
    <x v="0"/>
    <x v="1"/>
    <x v="0"/>
    <x v="0"/>
    <x v="0"/>
    <x v="0"/>
    <x v="0"/>
    <x v="0"/>
    <x v="2"/>
    <x v="10"/>
    <x v="10"/>
    <x v="10"/>
    <x v="10"/>
    <n v="310.36069113879603"/>
    <x v="0"/>
    <x v="0"/>
    <x v="1"/>
    <x v="4"/>
    <x v="5"/>
    <x v="10"/>
    <n v="338.29315334128768"/>
  </r>
  <r>
    <x v="4"/>
    <x v="0"/>
    <x v="4"/>
    <x v="4"/>
    <x v="0"/>
    <x v="1"/>
    <x v="0"/>
    <x v="0"/>
    <x v="0"/>
    <x v="0"/>
    <x v="0"/>
    <x v="0"/>
    <x v="2"/>
    <x v="10"/>
    <x v="10"/>
    <x v="11"/>
    <x v="11"/>
    <n v="128.80542"/>
    <x v="0"/>
    <x v="0"/>
    <x v="3"/>
    <x v="5"/>
    <x v="7"/>
    <x v="11"/>
    <n v="140.39790780000001"/>
  </r>
  <r>
    <x v="4"/>
    <x v="0"/>
    <x v="4"/>
    <x v="4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4"/>
    <x v="0"/>
    <x v="4"/>
    <x v="4"/>
    <x v="0"/>
    <x v="1"/>
    <x v="0"/>
    <x v="0"/>
    <x v="0"/>
    <x v="0"/>
    <x v="0"/>
    <x v="0"/>
    <x v="2"/>
    <x v="10"/>
    <x v="10"/>
    <x v="36"/>
    <x v="36"/>
    <n v="58.038899082534002"/>
    <x v="0"/>
    <x v="0"/>
    <x v="1"/>
    <x v="3"/>
    <x v="3"/>
    <x v="4"/>
    <n v="63.262399999962064"/>
  </r>
  <r>
    <x v="4"/>
    <x v="0"/>
    <x v="4"/>
    <x v="4"/>
    <x v="0"/>
    <x v="1"/>
    <x v="0"/>
    <x v="0"/>
    <x v="0"/>
    <x v="0"/>
    <x v="0"/>
    <x v="0"/>
    <x v="2"/>
    <x v="10"/>
    <x v="10"/>
    <x v="24"/>
    <x v="24"/>
    <n v="181.48933027512001"/>
    <x v="0"/>
    <x v="0"/>
    <x v="1"/>
    <x v="3"/>
    <x v="3"/>
    <x v="4"/>
    <n v="197.82336999988084"/>
  </r>
  <r>
    <x v="4"/>
    <x v="0"/>
    <x v="4"/>
    <x v="4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4"/>
    <x v="0"/>
    <x v="4"/>
    <x v="4"/>
    <x v="0"/>
    <x v="1"/>
    <x v="0"/>
    <x v="0"/>
    <x v="0"/>
    <x v="0"/>
    <x v="0"/>
    <x v="0"/>
    <x v="2"/>
    <x v="10"/>
    <x v="10"/>
    <x v="21"/>
    <x v="21"/>
    <n v="71.374697247663605"/>
    <x v="0"/>
    <x v="0"/>
    <x v="1"/>
    <x v="4"/>
    <x v="5"/>
    <x v="10"/>
    <n v="77.798419999953339"/>
  </r>
  <r>
    <x v="4"/>
    <x v="0"/>
    <x v="4"/>
    <x v="4"/>
    <x v="0"/>
    <x v="1"/>
    <x v="0"/>
    <x v="0"/>
    <x v="0"/>
    <x v="0"/>
    <x v="0"/>
    <x v="0"/>
    <x v="2"/>
    <x v="10"/>
    <x v="10"/>
    <x v="18"/>
    <x v="18"/>
    <n v="170.9101"/>
    <x v="0"/>
    <x v="0"/>
    <x v="0"/>
    <x v="0"/>
    <x v="4"/>
    <x v="18"/>
    <n v="186.29200900000001"/>
  </r>
  <r>
    <x v="4"/>
    <x v="0"/>
    <x v="4"/>
    <x v="4"/>
    <x v="0"/>
    <x v="1"/>
    <x v="0"/>
    <x v="0"/>
    <x v="0"/>
    <x v="0"/>
    <x v="0"/>
    <x v="0"/>
    <x v="2"/>
    <x v="10"/>
    <x v="10"/>
    <x v="34"/>
    <x v="34"/>
    <n v="133.16306113310699"/>
    <x v="0"/>
    <x v="0"/>
    <x v="0"/>
    <x v="0"/>
    <x v="0"/>
    <x v="0"/>
    <n v="145.14773663508663"/>
  </r>
  <r>
    <x v="4"/>
    <x v="0"/>
    <x v="4"/>
    <x v="4"/>
    <x v="0"/>
    <x v="1"/>
    <x v="0"/>
    <x v="0"/>
    <x v="0"/>
    <x v="0"/>
    <x v="0"/>
    <x v="0"/>
    <x v="2"/>
    <x v="10"/>
    <x v="10"/>
    <x v="37"/>
    <x v="37"/>
    <n v="135.51824770634099"/>
    <x v="0"/>
    <x v="0"/>
    <x v="1"/>
    <x v="3"/>
    <x v="3"/>
    <x v="4"/>
    <n v="147.71488999991169"/>
  </r>
  <r>
    <x v="4"/>
    <x v="0"/>
    <x v="4"/>
    <x v="4"/>
    <x v="0"/>
    <x v="1"/>
    <x v="0"/>
    <x v="0"/>
    <x v="0"/>
    <x v="0"/>
    <x v="0"/>
    <x v="0"/>
    <x v="2"/>
    <x v="10"/>
    <x v="10"/>
    <x v="26"/>
    <x v="26"/>
    <n v="5.7374770642167396"/>
    <x v="0"/>
    <x v="0"/>
    <x v="1"/>
    <x v="3"/>
    <x v="3"/>
    <x v="15"/>
    <n v="6.2538499999962465"/>
  </r>
  <r>
    <x v="4"/>
    <x v="0"/>
    <x v="4"/>
    <x v="4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4"/>
    <x v="0"/>
    <x v="4"/>
    <x v="4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4"/>
    <x v="0"/>
    <x v="4"/>
    <x v="4"/>
    <x v="0"/>
    <x v="1"/>
    <x v="0"/>
    <x v="0"/>
    <x v="0"/>
    <x v="0"/>
    <x v="0"/>
    <x v="0"/>
    <x v="4"/>
    <x v="5"/>
    <x v="5"/>
    <x v="6"/>
    <x v="6"/>
    <n v="951.56062999999995"/>
    <x v="0"/>
    <x v="0"/>
    <x v="0"/>
    <x v="0"/>
    <x v="4"/>
    <x v="6"/>
    <n v="1037.2010866999999"/>
  </r>
  <r>
    <x v="4"/>
    <x v="0"/>
    <x v="4"/>
    <x v="4"/>
    <x v="0"/>
    <x v="1"/>
    <x v="0"/>
    <x v="0"/>
    <x v="0"/>
    <x v="0"/>
    <x v="0"/>
    <x v="0"/>
    <x v="4"/>
    <x v="5"/>
    <x v="5"/>
    <x v="7"/>
    <x v="7"/>
    <n v="44.137568807313002"/>
    <x v="0"/>
    <x v="0"/>
    <x v="1"/>
    <x v="4"/>
    <x v="5"/>
    <x v="7"/>
    <n v="48.109949999971178"/>
  </r>
  <r>
    <x v="4"/>
    <x v="0"/>
    <x v="4"/>
    <x v="4"/>
    <x v="0"/>
    <x v="1"/>
    <x v="0"/>
    <x v="0"/>
    <x v="0"/>
    <x v="0"/>
    <x v="0"/>
    <x v="0"/>
    <x v="4"/>
    <x v="5"/>
    <x v="5"/>
    <x v="8"/>
    <x v="8"/>
    <n v="6098.9354594984898"/>
    <x v="0"/>
    <x v="1"/>
    <x v="2"/>
    <x v="2"/>
    <x v="6"/>
    <x v="8"/>
    <n v="6647.8396508533542"/>
  </r>
  <r>
    <x v="4"/>
    <x v="0"/>
    <x v="4"/>
    <x v="4"/>
    <x v="0"/>
    <x v="1"/>
    <x v="0"/>
    <x v="0"/>
    <x v="0"/>
    <x v="0"/>
    <x v="0"/>
    <x v="0"/>
    <x v="4"/>
    <x v="5"/>
    <x v="5"/>
    <x v="9"/>
    <x v="9"/>
    <n v="2504.3145389184901"/>
    <x v="0"/>
    <x v="0"/>
    <x v="1"/>
    <x v="4"/>
    <x v="5"/>
    <x v="9"/>
    <n v="2729.7028474211543"/>
  </r>
  <r>
    <x v="4"/>
    <x v="0"/>
    <x v="4"/>
    <x v="4"/>
    <x v="0"/>
    <x v="1"/>
    <x v="0"/>
    <x v="0"/>
    <x v="0"/>
    <x v="0"/>
    <x v="0"/>
    <x v="0"/>
    <x v="4"/>
    <x v="5"/>
    <x v="5"/>
    <x v="10"/>
    <x v="10"/>
    <n v="450.836876307414"/>
    <x v="0"/>
    <x v="0"/>
    <x v="1"/>
    <x v="4"/>
    <x v="5"/>
    <x v="10"/>
    <n v="491.41219517508131"/>
  </r>
  <r>
    <x v="4"/>
    <x v="0"/>
    <x v="4"/>
    <x v="4"/>
    <x v="0"/>
    <x v="1"/>
    <x v="0"/>
    <x v="0"/>
    <x v="0"/>
    <x v="0"/>
    <x v="0"/>
    <x v="0"/>
    <x v="4"/>
    <x v="5"/>
    <x v="5"/>
    <x v="29"/>
    <x v="29"/>
    <n v="0.59894999999999998"/>
    <x v="0"/>
    <x v="0"/>
    <x v="1"/>
    <x v="3"/>
    <x v="3"/>
    <x v="13"/>
    <n v="0.65285550000000003"/>
  </r>
  <r>
    <x v="4"/>
    <x v="0"/>
    <x v="4"/>
    <x v="4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4"/>
    <x v="0"/>
    <x v="4"/>
    <x v="4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4"/>
    <x v="0"/>
    <x v="4"/>
    <x v="4"/>
    <x v="0"/>
    <x v="1"/>
    <x v="0"/>
    <x v="0"/>
    <x v="0"/>
    <x v="0"/>
    <x v="0"/>
    <x v="0"/>
    <x v="4"/>
    <x v="5"/>
    <x v="5"/>
    <x v="12"/>
    <x v="12"/>
    <n v="7.8083604650866096"/>
    <x v="0"/>
    <x v="0"/>
    <x v="0"/>
    <x v="0"/>
    <x v="8"/>
    <x v="12"/>
    <n v="8.5111129069444047"/>
  </r>
  <r>
    <x v="4"/>
    <x v="0"/>
    <x v="4"/>
    <x v="4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4"/>
    <x v="0"/>
    <x v="4"/>
    <x v="4"/>
    <x v="0"/>
    <x v="1"/>
    <x v="0"/>
    <x v="0"/>
    <x v="0"/>
    <x v="0"/>
    <x v="0"/>
    <x v="0"/>
    <x v="4"/>
    <x v="5"/>
    <x v="5"/>
    <x v="22"/>
    <x v="22"/>
    <n v="76.186370967437199"/>
    <x v="0"/>
    <x v="0"/>
    <x v="0"/>
    <x v="0"/>
    <x v="0"/>
    <x v="0"/>
    <n v="83.043144354506552"/>
  </r>
  <r>
    <x v="4"/>
    <x v="0"/>
    <x v="4"/>
    <x v="4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4"/>
    <x v="0"/>
    <x v="4"/>
    <x v="4"/>
    <x v="0"/>
    <x v="1"/>
    <x v="0"/>
    <x v="0"/>
    <x v="0"/>
    <x v="0"/>
    <x v="0"/>
    <x v="0"/>
    <x v="4"/>
    <x v="5"/>
    <x v="5"/>
    <x v="36"/>
    <x v="36"/>
    <n v="225.64771559619501"/>
    <x v="0"/>
    <x v="0"/>
    <x v="1"/>
    <x v="3"/>
    <x v="3"/>
    <x v="4"/>
    <n v="245.95600999985257"/>
  </r>
  <r>
    <x v="4"/>
    <x v="0"/>
    <x v="4"/>
    <x v="4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4"/>
    <x v="0"/>
    <x v="4"/>
    <x v="4"/>
    <x v="0"/>
    <x v="1"/>
    <x v="0"/>
    <x v="0"/>
    <x v="0"/>
    <x v="0"/>
    <x v="0"/>
    <x v="0"/>
    <x v="4"/>
    <x v="5"/>
    <x v="5"/>
    <x v="24"/>
    <x v="24"/>
    <n v="270.66262385304901"/>
    <x v="0"/>
    <x v="0"/>
    <x v="1"/>
    <x v="3"/>
    <x v="3"/>
    <x v="4"/>
    <n v="295.02225999982346"/>
  </r>
  <r>
    <x v="4"/>
    <x v="0"/>
    <x v="4"/>
    <x v="4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4"/>
    <x v="0"/>
    <x v="4"/>
    <x v="4"/>
    <x v="0"/>
    <x v="1"/>
    <x v="0"/>
    <x v="0"/>
    <x v="0"/>
    <x v="0"/>
    <x v="0"/>
    <x v="0"/>
    <x v="4"/>
    <x v="5"/>
    <x v="5"/>
    <x v="18"/>
    <x v="18"/>
    <n v="1255.21838"/>
    <x v="0"/>
    <x v="0"/>
    <x v="0"/>
    <x v="0"/>
    <x v="4"/>
    <x v="18"/>
    <n v="1368.1880342000002"/>
  </r>
  <r>
    <x v="4"/>
    <x v="0"/>
    <x v="4"/>
    <x v="4"/>
    <x v="0"/>
    <x v="1"/>
    <x v="0"/>
    <x v="0"/>
    <x v="0"/>
    <x v="0"/>
    <x v="0"/>
    <x v="0"/>
    <x v="4"/>
    <x v="5"/>
    <x v="5"/>
    <x v="34"/>
    <x v="34"/>
    <n v="488.96268208775803"/>
    <x v="0"/>
    <x v="0"/>
    <x v="0"/>
    <x v="0"/>
    <x v="0"/>
    <x v="0"/>
    <n v="532.96932347565632"/>
  </r>
  <r>
    <x v="4"/>
    <x v="0"/>
    <x v="4"/>
    <x v="4"/>
    <x v="0"/>
    <x v="1"/>
    <x v="0"/>
    <x v="0"/>
    <x v="0"/>
    <x v="0"/>
    <x v="0"/>
    <x v="0"/>
    <x v="4"/>
    <x v="5"/>
    <x v="5"/>
    <x v="25"/>
    <x v="25"/>
    <n v="170.79194495402601"/>
    <x v="0"/>
    <x v="0"/>
    <x v="1"/>
    <x v="4"/>
    <x v="5"/>
    <x v="9"/>
    <n v="186.16321999988836"/>
  </r>
  <r>
    <x v="4"/>
    <x v="0"/>
    <x v="4"/>
    <x v="4"/>
    <x v="0"/>
    <x v="1"/>
    <x v="0"/>
    <x v="0"/>
    <x v="0"/>
    <x v="0"/>
    <x v="0"/>
    <x v="0"/>
    <x v="4"/>
    <x v="5"/>
    <x v="5"/>
    <x v="37"/>
    <x v="37"/>
    <n v="497.26388990795903"/>
    <x v="0"/>
    <x v="0"/>
    <x v="1"/>
    <x v="3"/>
    <x v="3"/>
    <x v="4"/>
    <n v="542.01763999967534"/>
  </r>
  <r>
    <x v="4"/>
    <x v="0"/>
    <x v="4"/>
    <x v="4"/>
    <x v="0"/>
    <x v="1"/>
    <x v="0"/>
    <x v="0"/>
    <x v="0"/>
    <x v="0"/>
    <x v="0"/>
    <x v="0"/>
    <x v="4"/>
    <x v="5"/>
    <x v="5"/>
    <x v="27"/>
    <x v="27"/>
    <n v="58.636542794035897"/>
    <x v="0"/>
    <x v="0"/>
    <x v="1"/>
    <x v="3"/>
    <x v="3"/>
    <x v="19"/>
    <n v="63.91383164549913"/>
  </r>
  <r>
    <x v="4"/>
    <x v="0"/>
    <x v="4"/>
    <x v="4"/>
    <x v="0"/>
    <x v="1"/>
    <x v="0"/>
    <x v="0"/>
    <x v="0"/>
    <x v="0"/>
    <x v="0"/>
    <x v="0"/>
    <x v="4"/>
    <x v="5"/>
    <x v="5"/>
    <x v="26"/>
    <x v="26"/>
    <n v="13.1888348623774"/>
    <x v="0"/>
    <x v="0"/>
    <x v="1"/>
    <x v="3"/>
    <x v="3"/>
    <x v="15"/>
    <n v="14.375829999991367"/>
  </r>
  <r>
    <x v="4"/>
    <x v="0"/>
    <x v="4"/>
    <x v="4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4"/>
    <x v="0"/>
    <x v="4"/>
    <x v="4"/>
    <x v="0"/>
    <x v="1"/>
    <x v="0"/>
    <x v="0"/>
    <x v="0"/>
    <x v="0"/>
    <x v="0"/>
    <x v="0"/>
    <x v="4"/>
    <x v="5"/>
    <x v="5"/>
    <x v="2"/>
    <x v="2"/>
    <n v="11248.7650366905"/>
    <x v="0"/>
    <x v="1"/>
    <x v="2"/>
    <x v="2"/>
    <x v="13"/>
    <x v="2"/>
    <n v="12261.153889992645"/>
  </r>
  <r>
    <x v="4"/>
    <x v="0"/>
    <x v="4"/>
    <x v="4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4"/>
    <x v="0"/>
    <x v="4"/>
    <x v="4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4"/>
    <x v="0"/>
    <x v="4"/>
    <x v="4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4"/>
    <x v="0"/>
    <x v="4"/>
    <x v="4"/>
    <x v="0"/>
    <x v="1"/>
    <x v="0"/>
    <x v="0"/>
    <x v="0"/>
    <x v="0"/>
    <x v="3"/>
    <x v="3"/>
    <x v="2"/>
    <x v="2"/>
    <x v="2"/>
    <x v="6"/>
    <x v="6"/>
    <n v="78.693820000000002"/>
    <x v="0"/>
    <x v="0"/>
    <x v="0"/>
    <x v="0"/>
    <x v="4"/>
    <x v="6"/>
    <n v="85.776263800000009"/>
  </r>
  <r>
    <x v="4"/>
    <x v="0"/>
    <x v="4"/>
    <x v="4"/>
    <x v="0"/>
    <x v="1"/>
    <x v="0"/>
    <x v="0"/>
    <x v="0"/>
    <x v="0"/>
    <x v="3"/>
    <x v="3"/>
    <x v="2"/>
    <x v="2"/>
    <x v="2"/>
    <x v="8"/>
    <x v="8"/>
    <n v="702.44156757206304"/>
    <x v="0"/>
    <x v="1"/>
    <x v="2"/>
    <x v="2"/>
    <x v="6"/>
    <x v="8"/>
    <n v="765.66130865354876"/>
  </r>
  <r>
    <x v="4"/>
    <x v="0"/>
    <x v="4"/>
    <x v="4"/>
    <x v="0"/>
    <x v="1"/>
    <x v="0"/>
    <x v="0"/>
    <x v="0"/>
    <x v="0"/>
    <x v="3"/>
    <x v="3"/>
    <x v="2"/>
    <x v="2"/>
    <x v="2"/>
    <x v="9"/>
    <x v="9"/>
    <n v="1.194495412843E-2"/>
    <x v="0"/>
    <x v="0"/>
    <x v="1"/>
    <x v="4"/>
    <x v="5"/>
    <x v="9"/>
    <n v="1.30199999999887E-2"/>
  </r>
  <r>
    <x v="4"/>
    <x v="0"/>
    <x v="4"/>
    <x v="4"/>
    <x v="0"/>
    <x v="1"/>
    <x v="0"/>
    <x v="0"/>
    <x v="0"/>
    <x v="0"/>
    <x v="3"/>
    <x v="3"/>
    <x v="2"/>
    <x v="2"/>
    <x v="2"/>
    <x v="30"/>
    <x v="30"/>
    <n v="37.561865591247603"/>
    <x v="0"/>
    <x v="0"/>
    <x v="0"/>
    <x v="0"/>
    <x v="0"/>
    <x v="0"/>
    <n v="40.942433494459891"/>
  </r>
  <r>
    <x v="4"/>
    <x v="0"/>
    <x v="4"/>
    <x v="4"/>
    <x v="0"/>
    <x v="1"/>
    <x v="0"/>
    <x v="0"/>
    <x v="0"/>
    <x v="0"/>
    <x v="3"/>
    <x v="3"/>
    <x v="2"/>
    <x v="2"/>
    <x v="2"/>
    <x v="11"/>
    <x v="11"/>
    <n v="1.1145799999999999"/>
    <x v="0"/>
    <x v="0"/>
    <x v="3"/>
    <x v="5"/>
    <x v="7"/>
    <x v="11"/>
    <n v="1.2148922"/>
  </r>
  <r>
    <x v="4"/>
    <x v="0"/>
    <x v="4"/>
    <x v="4"/>
    <x v="0"/>
    <x v="1"/>
    <x v="0"/>
    <x v="0"/>
    <x v="0"/>
    <x v="0"/>
    <x v="3"/>
    <x v="3"/>
    <x v="2"/>
    <x v="2"/>
    <x v="2"/>
    <x v="16"/>
    <x v="16"/>
    <n v="19.746120000000001"/>
    <x v="0"/>
    <x v="0"/>
    <x v="3"/>
    <x v="5"/>
    <x v="9"/>
    <x v="16"/>
    <n v="21.523270800000002"/>
  </r>
  <r>
    <x v="4"/>
    <x v="0"/>
    <x v="4"/>
    <x v="4"/>
    <x v="0"/>
    <x v="1"/>
    <x v="0"/>
    <x v="0"/>
    <x v="0"/>
    <x v="0"/>
    <x v="3"/>
    <x v="3"/>
    <x v="2"/>
    <x v="2"/>
    <x v="2"/>
    <x v="2"/>
    <x v="2"/>
    <n v="514.45772477033404"/>
    <x v="0"/>
    <x v="1"/>
    <x v="2"/>
    <x v="2"/>
    <x v="13"/>
    <x v="2"/>
    <n v="560.75891999966416"/>
  </r>
  <r>
    <x v="4"/>
    <x v="0"/>
    <x v="4"/>
    <x v="4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4"/>
    <x v="0"/>
    <x v="4"/>
    <x v="4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4"/>
    <x v="0"/>
    <x v="4"/>
    <x v="4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4"/>
    <x v="0"/>
    <x v="4"/>
    <x v="4"/>
    <x v="0"/>
    <x v="1"/>
    <x v="0"/>
    <x v="0"/>
    <x v="0"/>
    <x v="0"/>
    <x v="3"/>
    <x v="3"/>
    <x v="4"/>
    <x v="5"/>
    <x v="5"/>
    <x v="12"/>
    <x v="12"/>
    <n v="47.099848837030301"/>
    <x v="0"/>
    <x v="0"/>
    <x v="0"/>
    <x v="0"/>
    <x v="8"/>
    <x v="12"/>
    <n v="51.338835232363031"/>
  </r>
  <r>
    <x v="4"/>
    <x v="0"/>
    <x v="4"/>
    <x v="4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4"/>
    <x v="0"/>
    <x v="4"/>
    <x v="4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4"/>
    <x v="0"/>
    <x v="4"/>
    <x v="4"/>
    <x v="0"/>
    <x v="1"/>
    <x v="0"/>
    <x v="0"/>
    <x v="0"/>
    <x v="0"/>
    <x v="3"/>
    <x v="3"/>
    <x v="4"/>
    <x v="5"/>
    <x v="5"/>
    <x v="0"/>
    <x v="0"/>
    <n v="164.62784964366699"/>
    <x v="0"/>
    <x v="0"/>
    <x v="0"/>
    <x v="0"/>
    <x v="0"/>
    <x v="0"/>
    <n v="179.44435611159705"/>
  </r>
  <r>
    <x v="4"/>
    <x v="0"/>
    <x v="4"/>
    <x v="4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4"/>
    <x v="0"/>
    <x v="4"/>
    <x v="4"/>
    <x v="0"/>
    <x v="1"/>
    <x v="0"/>
    <x v="0"/>
    <x v="0"/>
    <x v="0"/>
    <x v="18"/>
    <x v="18"/>
    <x v="0"/>
    <x v="4"/>
    <x v="4"/>
    <x v="16"/>
    <x v="16"/>
    <n v="97.995000000000005"/>
    <x v="0"/>
    <x v="0"/>
    <x v="3"/>
    <x v="5"/>
    <x v="9"/>
    <x v="16"/>
    <n v="106.81455000000001"/>
  </r>
  <r>
    <x v="4"/>
    <x v="0"/>
    <x v="4"/>
    <x v="4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4"/>
    <x v="0"/>
    <x v="4"/>
    <x v="4"/>
    <x v="0"/>
    <x v="1"/>
    <x v="0"/>
    <x v="0"/>
    <x v="0"/>
    <x v="0"/>
    <x v="4"/>
    <x v="4"/>
    <x v="2"/>
    <x v="2"/>
    <x v="2"/>
    <x v="7"/>
    <x v="7"/>
    <n v="0.10917431192653999"/>
    <x v="0"/>
    <x v="0"/>
    <x v="1"/>
    <x v="4"/>
    <x v="5"/>
    <x v="7"/>
    <n v="0.11899999999992861"/>
  </r>
  <r>
    <x v="4"/>
    <x v="0"/>
    <x v="4"/>
    <x v="4"/>
    <x v="0"/>
    <x v="1"/>
    <x v="0"/>
    <x v="0"/>
    <x v="0"/>
    <x v="0"/>
    <x v="4"/>
    <x v="4"/>
    <x v="2"/>
    <x v="2"/>
    <x v="2"/>
    <x v="8"/>
    <x v="8"/>
    <n v="16.8015270271346"/>
    <x v="0"/>
    <x v="1"/>
    <x v="2"/>
    <x v="2"/>
    <x v="6"/>
    <x v="8"/>
    <n v="18.313664459576717"/>
  </r>
  <r>
    <x v="4"/>
    <x v="0"/>
    <x v="4"/>
    <x v="4"/>
    <x v="0"/>
    <x v="1"/>
    <x v="0"/>
    <x v="0"/>
    <x v="0"/>
    <x v="0"/>
    <x v="4"/>
    <x v="4"/>
    <x v="2"/>
    <x v="2"/>
    <x v="2"/>
    <x v="9"/>
    <x v="9"/>
    <n v="0.23047706422004999"/>
    <x v="0"/>
    <x v="0"/>
    <x v="1"/>
    <x v="4"/>
    <x v="5"/>
    <x v="9"/>
    <n v="0.2512199999998545"/>
  </r>
  <r>
    <x v="4"/>
    <x v="0"/>
    <x v="4"/>
    <x v="4"/>
    <x v="0"/>
    <x v="1"/>
    <x v="0"/>
    <x v="0"/>
    <x v="0"/>
    <x v="0"/>
    <x v="4"/>
    <x v="4"/>
    <x v="2"/>
    <x v="2"/>
    <x v="2"/>
    <x v="11"/>
    <x v="11"/>
    <n v="0.14369999999999999"/>
    <x v="0"/>
    <x v="0"/>
    <x v="3"/>
    <x v="5"/>
    <x v="7"/>
    <x v="11"/>
    <n v="0.15663299999999999"/>
  </r>
  <r>
    <x v="4"/>
    <x v="0"/>
    <x v="4"/>
    <x v="4"/>
    <x v="0"/>
    <x v="1"/>
    <x v="0"/>
    <x v="0"/>
    <x v="0"/>
    <x v="0"/>
    <x v="4"/>
    <x v="4"/>
    <x v="2"/>
    <x v="2"/>
    <x v="2"/>
    <x v="12"/>
    <x v="12"/>
    <n v="3.4988720930099602"/>
    <x v="0"/>
    <x v="0"/>
    <x v="0"/>
    <x v="0"/>
    <x v="8"/>
    <x v="12"/>
    <n v="3.8137705813808567"/>
  </r>
  <r>
    <x v="4"/>
    <x v="0"/>
    <x v="4"/>
    <x v="4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4"/>
    <x v="0"/>
    <x v="4"/>
    <x v="4"/>
    <x v="0"/>
    <x v="1"/>
    <x v="0"/>
    <x v="0"/>
    <x v="0"/>
    <x v="0"/>
    <x v="4"/>
    <x v="4"/>
    <x v="2"/>
    <x v="2"/>
    <x v="2"/>
    <x v="16"/>
    <x v="16"/>
    <n v="0.6583"/>
    <x v="0"/>
    <x v="0"/>
    <x v="3"/>
    <x v="5"/>
    <x v="9"/>
    <x v="16"/>
    <n v="0.71754700000000005"/>
  </r>
  <r>
    <x v="4"/>
    <x v="0"/>
    <x v="4"/>
    <x v="4"/>
    <x v="0"/>
    <x v="1"/>
    <x v="0"/>
    <x v="0"/>
    <x v="0"/>
    <x v="0"/>
    <x v="4"/>
    <x v="4"/>
    <x v="2"/>
    <x v="2"/>
    <x v="2"/>
    <x v="25"/>
    <x v="25"/>
    <n v="9.5697247706359997E-2"/>
    <x v="0"/>
    <x v="0"/>
    <x v="1"/>
    <x v="4"/>
    <x v="5"/>
    <x v="9"/>
    <n v="0.1043099999999324"/>
  </r>
  <r>
    <x v="4"/>
    <x v="0"/>
    <x v="4"/>
    <x v="4"/>
    <x v="0"/>
    <x v="1"/>
    <x v="0"/>
    <x v="0"/>
    <x v="0"/>
    <x v="0"/>
    <x v="4"/>
    <x v="4"/>
    <x v="2"/>
    <x v="2"/>
    <x v="2"/>
    <x v="27"/>
    <x v="27"/>
    <n v="4.322972973065E-2"/>
    <x v="0"/>
    <x v="0"/>
    <x v="1"/>
    <x v="3"/>
    <x v="3"/>
    <x v="19"/>
    <n v="4.7120405406408501E-2"/>
  </r>
  <r>
    <x v="4"/>
    <x v="0"/>
    <x v="4"/>
    <x v="4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4"/>
    <x v="0"/>
    <x v="4"/>
    <x v="4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4"/>
    <x v="0"/>
    <x v="4"/>
    <x v="4"/>
    <x v="0"/>
    <x v="1"/>
    <x v="0"/>
    <x v="0"/>
    <x v="2"/>
    <x v="2"/>
    <x v="5"/>
    <x v="5"/>
    <x v="2"/>
    <x v="2"/>
    <x v="2"/>
    <x v="42"/>
    <x v="42"/>
    <n v="11.077500000000001"/>
    <x v="1"/>
    <x v="2"/>
    <x v="5"/>
    <x v="7"/>
    <x v="11"/>
    <x v="22"/>
    <n v="12.074475000000001"/>
  </r>
  <r>
    <x v="4"/>
    <x v="0"/>
    <x v="4"/>
    <x v="4"/>
    <x v="0"/>
    <x v="1"/>
    <x v="0"/>
    <x v="0"/>
    <x v="2"/>
    <x v="2"/>
    <x v="5"/>
    <x v="5"/>
    <x v="2"/>
    <x v="2"/>
    <x v="2"/>
    <x v="41"/>
    <x v="41"/>
    <n v="7.6564999999709098"/>
    <x v="1"/>
    <x v="2"/>
    <x v="5"/>
    <x v="7"/>
    <x v="11"/>
    <x v="22"/>
    <n v="8.3455849999682918"/>
  </r>
  <r>
    <x v="4"/>
    <x v="0"/>
    <x v="4"/>
    <x v="4"/>
    <x v="0"/>
    <x v="1"/>
    <x v="0"/>
    <x v="0"/>
    <x v="2"/>
    <x v="2"/>
    <x v="5"/>
    <x v="5"/>
    <x v="2"/>
    <x v="2"/>
    <x v="2"/>
    <x v="40"/>
    <x v="40"/>
    <n v="393.13826999999998"/>
    <x v="1"/>
    <x v="2"/>
    <x v="5"/>
    <x v="7"/>
    <x v="11"/>
    <x v="22"/>
    <n v="428.52071430000001"/>
  </r>
  <r>
    <x v="4"/>
    <x v="0"/>
    <x v="4"/>
    <x v="4"/>
    <x v="0"/>
    <x v="1"/>
    <x v="0"/>
    <x v="0"/>
    <x v="2"/>
    <x v="2"/>
    <x v="5"/>
    <x v="5"/>
    <x v="2"/>
    <x v="2"/>
    <x v="2"/>
    <x v="38"/>
    <x v="38"/>
    <n v="10.94454"/>
    <x v="1"/>
    <x v="0"/>
    <x v="4"/>
    <x v="6"/>
    <x v="10"/>
    <x v="21"/>
    <n v="11.9295486"/>
  </r>
  <r>
    <x v="4"/>
    <x v="0"/>
    <x v="4"/>
    <x v="4"/>
    <x v="0"/>
    <x v="1"/>
    <x v="0"/>
    <x v="0"/>
    <x v="0"/>
    <x v="0"/>
    <x v="5"/>
    <x v="5"/>
    <x v="2"/>
    <x v="2"/>
    <x v="2"/>
    <x v="17"/>
    <x v="17"/>
    <n v="9.6680399999999995"/>
    <x v="0"/>
    <x v="0"/>
    <x v="0"/>
    <x v="0"/>
    <x v="4"/>
    <x v="17"/>
    <n v="10.538163600000001"/>
  </r>
  <r>
    <x v="4"/>
    <x v="0"/>
    <x v="4"/>
    <x v="4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4"/>
    <x v="0"/>
    <x v="4"/>
    <x v="4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4"/>
    <x v="0"/>
    <x v="4"/>
    <x v="4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4"/>
    <x v="0"/>
    <x v="4"/>
    <x v="4"/>
    <x v="0"/>
    <x v="1"/>
    <x v="0"/>
    <x v="0"/>
    <x v="2"/>
    <x v="2"/>
    <x v="5"/>
    <x v="5"/>
    <x v="3"/>
    <x v="7"/>
    <x v="7"/>
    <x v="40"/>
    <x v="40"/>
    <n v="4.1822999999999997"/>
    <x v="1"/>
    <x v="2"/>
    <x v="5"/>
    <x v="7"/>
    <x v="11"/>
    <x v="22"/>
    <n v="4.5587070000000001"/>
  </r>
  <r>
    <x v="4"/>
    <x v="0"/>
    <x v="4"/>
    <x v="4"/>
    <x v="0"/>
    <x v="1"/>
    <x v="0"/>
    <x v="0"/>
    <x v="2"/>
    <x v="2"/>
    <x v="5"/>
    <x v="5"/>
    <x v="1"/>
    <x v="8"/>
    <x v="8"/>
    <x v="40"/>
    <x v="40"/>
    <n v="2.8214999999999999"/>
    <x v="1"/>
    <x v="2"/>
    <x v="5"/>
    <x v="7"/>
    <x v="11"/>
    <x v="22"/>
    <n v="3.0754350000000001"/>
  </r>
  <r>
    <x v="4"/>
    <x v="0"/>
    <x v="4"/>
    <x v="4"/>
    <x v="0"/>
    <x v="1"/>
    <x v="0"/>
    <x v="0"/>
    <x v="2"/>
    <x v="2"/>
    <x v="5"/>
    <x v="5"/>
    <x v="2"/>
    <x v="10"/>
    <x v="10"/>
    <x v="40"/>
    <x v="40"/>
    <n v="0.6774"/>
    <x v="1"/>
    <x v="2"/>
    <x v="5"/>
    <x v="7"/>
    <x v="11"/>
    <x v="22"/>
    <n v="0.73836600000000008"/>
  </r>
  <r>
    <x v="4"/>
    <x v="0"/>
    <x v="4"/>
    <x v="4"/>
    <x v="0"/>
    <x v="1"/>
    <x v="0"/>
    <x v="0"/>
    <x v="2"/>
    <x v="2"/>
    <x v="5"/>
    <x v="5"/>
    <x v="4"/>
    <x v="5"/>
    <x v="5"/>
    <x v="40"/>
    <x v="40"/>
    <n v="93.161280000000005"/>
    <x v="1"/>
    <x v="2"/>
    <x v="5"/>
    <x v="7"/>
    <x v="11"/>
    <x v="22"/>
    <n v="101.54579520000001"/>
  </r>
  <r>
    <x v="4"/>
    <x v="0"/>
    <x v="4"/>
    <x v="4"/>
    <x v="0"/>
    <x v="1"/>
    <x v="0"/>
    <x v="0"/>
    <x v="2"/>
    <x v="2"/>
    <x v="6"/>
    <x v="6"/>
    <x v="2"/>
    <x v="2"/>
    <x v="2"/>
    <x v="40"/>
    <x v="40"/>
    <n v="9.2413100000000004"/>
    <x v="1"/>
    <x v="2"/>
    <x v="5"/>
    <x v="7"/>
    <x v="11"/>
    <x v="22"/>
    <n v="10.073027900000001"/>
  </r>
  <r>
    <x v="4"/>
    <x v="0"/>
    <x v="4"/>
    <x v="4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4"/>
    <x v="0"/>
    <x v="4"/>
    <x v="4"/>
    <x v="0"/>
    <x v="1"/>
    <x v="0"/>
    <x v="0"/>
    <x v="2"/>
    <x v="2"/>
    <x v="7"/>
    <x v="7"/>
    <x v="2"/>
    <x v="2"/>
    <x v="2"/>
    <x v="40"/>
    <x v="40"/>
    <n v="114.27466"/>
    <x v="1"/>
    <x v="2"/>
    <x v="5"/>
    <x v="7"/>
    <x v="11"/>
    <x v="22"/>
    <n v="124.55937940000001"/>
  </r>
  <r>
    <x v="4"/>
    <x v="0"/>
    <x v="4"/>
    <x v="4"/>
    <x v="0"/>
    <x v="1"/>
    <x v="0"/>
    <x v="0"/>
    <x v="2"/>
    <x v="2"/>
    <x v="7"/>
    <x v="7"/>
    <x v="2"/>
    <x v="2"/>
    <x v="2"/>
    <x v="38"/>
    <x v="38"/>
    <n v="156.34627"/>
    <x v="1"/>
    <x v="0"/>
    <x v="4"/>
    <x v="6"/>
    <x v="10"/>
    <x v="21"/>
    <n v="170.41743430000002"/>
  </r>
  <r>
    <x v="4"/>
    <x v="0"/>
    <x v="4"/>
    <x v="4"/>
    <x v="0"/>
    <x v="1"/>
    <x v="0"/>
    <x v="0"/>
    <x v="2"/>
    <x v="2"/>
    <x v="7"/>
    <x v="7"/>
    <x v="2"/>
    <x v="2"/>
    <x v="2"/>
    <x v="43"/>
    <x v="43"/>
    <n v="0.7097"/>
    <x v="1"/>
    <x v="0"/>
    <x v="4"/>
    <x v="6"/>
    <x v="10"/>
    <x v="21"/>
    <n v="0.77357300000000007"/>
  </r>
  <r>
    <x v="4"/>
    <x v="0"/>
    <x v="4"/>
    <x v="4"/>
    <x v="0"/>
    <x v="1"/>
    <x v="0"/>
    <x v="0"/>
    <x v="2"/>
    <x v="2"/>
    <x v="7"/>
    <x v="7"/>
    <x v="2"/>
    <x v="2"/>
    <x v="2"/>
    <x v="44"/>
    <x v="44"/>
    <n v="3.4488599999999998"/>
    <x v="1"/>
    <x v="0"/>
    <x v="4"/>
    <x v="6"/>
    <x v="10"/>
    <x v="21"/>
    <n v="3.7592574000000001"/>
  </r>
  <r>
    <x v="4"/>
    <x v="0"/>
    <x v="4"/>
    <x v="4"/>
    <x v="0"/>
    <x v="1"/>
    <x v="0"/>
    <x v="0"/>
    <x v="0"/>
    <x v="0"/>
    <x v="7"/>
    <x v="7"/>
    <x v="2"/>
    <x v="2"/>
    <x v="2"/>
    <x v="17"/>
    <x v="17"/>
    <n v="0.86192000000000002"/>
    <x v="0"/>
    <x v="0"/>
    <x v="0"/>
    <x v="0"/>
    <x v="4"/>
    <x v="17"/>
    <n v="0.93949280000000013"/>
  </r>
  <r>
    <x v="4"/>
    <x v="0"/>
    <x v="4"/>
    <x v="4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4"/>
    <x v="0"/>
    <x v="4"/>
    <x v="4"/>
    <x v="0"/>
    <x v="1"/>
    <x v="0"/>
    <x v="0"/>
    <x v="2"/>
    <x v="2"/>
    <x v="7"/>
    <x v="7"/>
    <x v="2"/>
    <x v="2"/>
    <x v="2"/>
    <x v="46"/>
    <x v="46"/>
    <n v="4.2750000000000004"/>
    <x v="1"/>
    <x v="0"/>
    <x v="4"/>
    <x v="6"/>
    <x v="10"/>
    <x v="21"/>
    <n v="4.6597500000000007"/>
  </r>
  <r>
    <x v="4"/>
    <x v="0"/>
    <x v="4"/>
    <x v="4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4"/>
    <x v="0"/>
    <x v="4"/>
    <x v="4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4"/>
    <x v="0"/>
    <x v="4"/>
    <x v="4"/>
    <x v="0"/>
    <x v="1"/>
    <x v="0"/>
    <x v="0"/>
    <x v="2"/>
    <x v="2"/>
    <x v="7"/>
    <x v="7"/>
    <x v="3"/>
    <x v="7"/>
    <x v="7"/>
    <x v="40"/>
    <x v="40"/>
    <n v="99.341189999999997"/>
    <x v="1"/>
    <x v="2"/>
    <x v="5"/>
    <x v="7"/>
    <x v="11"/>
    <x v="22"/>
    <n v="108.28189710000001"/>
  </r>
  <r>
    <x v="4"/>
    <x v="0"/>
    <x v="4"/>
    <x v="4"/>
    <x v="0"/>
    <x v="1"/>
    <x v="0"/>
    <x v="0"/>
    <x v="2"/>
    <x v="2"/>
    <x v="7"/>
    <x v="7"/>
    <x v="1"/>
    <x v="8"/>
    <x v="8"/>
    <x v="40"/>
    <x v="40"/>
    <n v="10.061999999999999"/>
    <x v="1"/>
    <x v="2"/>
    <x v="5"/>
    <x v="7"/>
    <x v="11"/>
    <x v="22"/>
    <n v="10.96758"/>
  </r>
  <r>
    <x v="4"/>
    <x v="0"/>
    <x v="4"/>
    <x v="4"/>
    <x v="0"/>
    <x v="1"/>
    <x v="0"/>
    <x v="0"/>
    <x v="2"/>
    <x v="2"/>
    <x v="7"/>
    <x v="7"/>
    <x v="2"/>
    <x v="10"/>
    <x v="10"/>
    <x v="40"/>
    <x v="40"/>
    <n v="2.2581000000000002"/>
    <x v="1"/>
    <x v="2"/>
    <x v="5"/>
    <x v="7"/>
    <x v="11"/>
    <x v="22"/>
    <n v="2.4613290000000005"/>
  </r>
  <r>
    <x v="4"/>
    <x v="0"/>
    <x v="4"/>
    <x v="4"/>
    <x v="0"/>
    <x v="1"/>
    <x v="0"/>
    <x v="0"/>
    <x v="2"/>
    <x v="2"/>
    <x v="7"/>
    <x v="7"/>
    <x v="4"/>
    <x v="5"/>
    <x v="5"/>
    <x v="40"/>
    <x v="40"/>
    <n v="73.777709999999999"/>
    <x v="1"/>
    <x v="2"/>
    <x v="5"/>
    <x v="7"/>
    <x v="11"/>
    <x v="22"/>
    <n v="80.417703900000006"/>
  </r>
  <r>
    <x v="4"/>
    <x v="0"/>
    <x v="4"/>
    <x v="4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4"/>
    <x v="0"/>
    <x v="4"/>
    <x v="4"/>
    <x v="0"/>
    <x v="1"/>
    <x v="0"/>
    <x v="0"/>
    <x v="2"/>
    <x v="2"/>
    <x v="8"/>
    <x v="8"/>
    <x v="2"/>
    <x v="2"/>
    <x v="2"/>
    <x v="40"/>
    <x v="40"/>
    <n v="80.990769999999998"/>
    <x v="1"/>
    <x v="2"/>
    <x v="5"/>
    <x v="7"/>
    <x v="11"/>
    <x v="22"/>
    <n v="88.279939300000009"/>
  </r>
  <r>
    <x v="4"/>
    <x v="0"/>
    <x v="4"/>
    <x v="4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4"/>
    <x v="0"/>
    <x v="4"/>
    <x v="4"/>
    <x v="0"/>
    <x v="1"/>
    <x v="0"/>
    <x v="0"/>
    <x v="2"/>
    <x v="2"/>
    <x v="9"/>
    <x v="9"/>
    <x v="2"/>
    <x v="2"/>
    <x v="2"/>
    <x v="40"/>
    <x v="40"/>
    <n v="728.21283000000005"/>
    <x v="1"/>
    <x v="2"/>
    <x v="5"/>
    <x v="7"/>
    <x v="11"/>
    <x v="22"/>
    <n v="793.75198470000009"/>
  </r>
  <r>
    <x v="4"/>
    <x v="0"/>
    <x v="4"/>
    <x v="4"/>
    <x v="0"/>
    <x v="1"/>
    <x v="0"/>
    <x v="0"/>
    <x v="2"/>
    <x v="2"/>
    <x v="9"/>
    <x v="9"/>
    <x v="2"/>
    <x v="2"/>
    <x v="2"/>
    <x v="38"/>
    <x v="38"/>
    <n v="237.94537"/>
    <x v="1"/>
    <x v="0"/>
    <x v="4"/>
    <x v="6"/>
    <x v="10"/>
    <x v="21"/>
    <n v="259.36045330000002"/>
  </r>
  <r>
    <x v="4"/>
    <x v="0"/>
    <x v="4"/>
    <x v="4"/>
    <x v="0"/>
    <x v="1"/>
    <x v="0"/>
    <x v="0"/>
    <x v="2"/>
    <x v="2"/>
    <x v="9"/>
    <x v="9"/>
    <x v="2"/>
    <x v="2"/>
    <x v="2"/>
    <x v="48"/>
    <x v="48"/>
    <n v="33.391579999999998"/>
    <x v="1"/>
    <x v="0"/>
    <x v="4"/>
    <x v="6"/>
    <x v="10"/>
    <x v="21"/>
    <n v="36.396822200000003"/>
  </r>
  <r>
    <x v="4"/>
    <x v="0"/>
    <x v="4"/>
    <x v="4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4"/>
    <x v="0"/>
    <x v="4"/>
    <x v="4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4"/>
    <x v="0"/>
    <x v="4"/>
    <x v="4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4"/>
    <x v="0"/>
    <x v="4"/>
    <x v="4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4"/>
    <x v="0"/>
    <x v="4"/>
    <x v="4"/>
    <x v="0"/>
    <x v="1"/>
    <x v="0"/>
    <x v="0"/>
    <x v="2"/>
    <x v="2"/>
    <x v="9"/>
    <x v="9"/>
    <x v="3"/>
    <x v="7"/>
    <x v="7"/>
    <x v="40"/>
    <x v="40"/>
    <n v="494.09174000000002"/>
    <x v="1"/>
    <x v="2"/>
    <x v="5"/>
    <x v="7"/>
    <x v="11"/>
    <x v="22"/>
    <n v="538.55999660000009"/>
  </r>
  <r>
    <x v="4"/>
    <x v="0"/>
    <x v="4"/>
    <x v="4"/>
    <x v="0"/>
    <x v="1"/>
    <x v="0"/>
    <x v="0"/>
    <x v="2"/>
    <x v="2"/>
    <x v="9"/>
    <x v="9"/>
    <x v="1"/>
    <x v="8"/>
    <x v="8"/>
    <x v="40"/>
    <x v="40"/>
    <n v="136.60397"/>
    <x v="1"/>
    <x v="2"/>
    <x v="5"/>
    <x v="7"/>
    <x v="11"/>
    <x v="22"/>
    <n v="148.89832730000001"/>
  </r>
  <r>
    <x v="4"/>
    <x v="0"/>
    <x v="4"/>
    <x v="4"/>
    <x v="0"/>
    <x v="1"/>
    <x v="0"/>
    <x v="0"/>
    <x v="2"/>
    <x v="2"/>
    <x v="9"/>
    <x v="9"/>
    <x v="2"/>
    <x v="10"/>
    <x v="10"/>
    <x v="40"/>
    <x v="40"/>
    <n v="106.08376"/>
    <x v="1"/>
    <x v="2"/>
    <x v="5"/>
    <x v="7"/>
    <x v="11"/>
    <x v="22"/>
    <n v="115.63129840000001"/>
  </r>
  <r>
    <x v="4"/>
    <x v="0"/>
    <x v="4"/>
    <x v="4"/>
    <x v="0"/>
    <x v="1"/>
    <x v="0"/>
    <x v="0"/>
    <x v="2"/>
    <x v="2"/>
    <x v="9"/>
    <x v="9"/>
    <x v="4"/>
    <x v="5"/>
    <x v="5"/>
    <x v="40"/>
    <x v="40"/>
    <n v="735.88346999999999"/>
    <x v="1"/>
    <x v="2"/>
    <x v="5"/>
    <x v="7"/>
    <x v="11"/>
    <x v="22"/>
    <n v="802.1129823"/>
  </r>
  <r>
    <x v="4"/>
    <x v="0"/>
    <x v="4"/>
    <x v="4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4"/>
    <x v="0"/>
    <x v="4"/>
    <x v="4"/>
    <x v="0"/>
    <x v="1"/>
    <x v="0"/>
    <x v="0"/>
    <x v="2"/>
    <x v="2"/>
    <x v="10"/>
    <x v="10"/>
    <x v="2"/>
    <x v="2"/>
    <x v="2"/>
    <x v="41"/>
    <x v="41"/>
    <n v="3.0394574467969599"/>
    <x v="1"/>
    <x v="2"/>
    <x v="5"/>
    <x v="7"/>
    <x v="11"/>
    <x v="22"/>
    <n v="3.3130086170086868"/>
  </r>
  <r>
    <x v="4"/>
    <x v="0"/>
    <x v="4"/>
    <x v="4"/>
    <x v="0"/>
    <x v="1"/>
    <x v="0"/>
    <x v="0"/>
    <x v="2"/>
    <x v="2"/>
    <x v="10"/>
    <x v="10"/>
    <x v="2"/>
    <x v="2"/>
    <x v="2"/>
    <x v="40"/>
    <x v="40"/>
    <n v="292.89578"/>
    <x v="1"/>
    <x v="2"/>
    <x v="5"/>
    <x v="7"/>
    <x v="11"/>
    <x v="22"/>
    <n v="319.25640020000003"/>
  </r>
  <r>
    <x v="4"/>
    <x v="0"/>
    <x v="4"/>
    <x v="4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4"/>
    <x v="0"/>
    <x v="4"/>
    <x v="4"/>
    <x v="0"/>
    <x v="1"/>
    <x v="0"/>
    <x v="0"/>
    <x v="0"/>
    <x v="0"/>
    <x v="11"/>
    <x v="11"/>
    <x v="4"/>
    <x v="5"/>
    <x v="5"/>
    <x v="10"/>
    <x v="10"/>
    <n v="81.291166519915507"/>
    <x v="0"/>
    <x v="0"/>
    <x v="1"/>
    <x v="4"/>
    <x v="5"/>
    <x v="10"/>
    <n v="88.607371506707906"/>
  </r>
  <r>
    <x v="4"/>
    <x v="0"/>
    <x v="4"/>
    <x v="4"/>
    <x v="0"/>
    <x v="1"/>
    <x v="0"/>
    <x v="0"/>
    <x v="3"/>
    <x v="3"/>
    <x v="12"/>
    <x v="12"/>
    <x v="2"/>
    <x v="2"/>
    <x v="2"/>
    <x v="40"/>
    <x v="40"/>
    <n v="8.6554000000000002"/>
    <x v="1"/>
    <x v="2"/>
    <x v="5"/>
    <x v="7"/>
    <x v="11"/>
    <x v="22"/>
    <n v="9.4343860000000017"/>
  </r>
  <r>
    <x v="4"/>
    <x v="0"/>
    <x v="4"/>
    <x v="4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4"/>
    <x v="0"/>
    <x v="4"/>
    <x v="4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4"/>
    <x v="0"/>
    <x v="4"/>
    <x v="4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4"/>
    <x v="0"/>
    <x v="4"/>
    <x v="4"/>
    <x v="0"/>
    <x v="1"/>
    <x v="0"/>
    <x v="0"/>
    <x v="3"/>
    <x v="3"/>
    <x v="12"/>
    <x v="12"/>
    <x v="3"/>
    <x v="7"/>
    <x v="7"/>
    <x v="40"/>
    <x v="40"/>
    <n v="5.9180999999999999"/>
    <x v="1"/>
    <x v="2"/>
    <x v="5"/>
    <x v="7"/>
    <x v="11"/>
    <x v="22"/>
    <n v="6.4507290000000008"/>
  </r>
  <r>
    <x v="4"/>
    <x v="0"/>
    <x v="4"/>
    <x v="4"/>
    <x v="0"/>
    <x v="1"/>
    <x v="0"/>
    <x v="0"/>
    <x v="3"/>
    <x v="3"/>
    <x v="12"/>
    <x v="12"/>
    <x v="4"/>
    <x v="5"/>
    <x v="5"/>
    <x v="40"/>
    <x v="40"/>
    <n v="11.2226"/>
    <x v="1"/>
    <x v="2"/>
    <x v="5"/>
    <x v="7"/>
    <x v="11"/>
    <x v="22"/>
    <n v="12.232634000000001"/>
  </r>
  <r>
    <x v="4"/>
    <x v="0"/>
    <x v="4"/>
    <x v="4"/>
    <x v="0"/>
    <x v="1"/>
    <x v="0"/>
    <x v="0"/>
    <x v="3"/>
    <x v="3"/>
    <x v="13"/>
    <x v="13"/>
    <x v="2"/>
    <x v="2"/>
    <x v="2"/>
    <x v="41"/>
    <x v="41"/>
    <n v="21.5555425531096"/>
    <x v="1"/>
    <x v="2"/>
    <x v="5"/>
    <x v="7"/>
    <x v="11"/>
    <x v="22"/>
    <n v="23.495541382889467"/>
  </r>
  <r>
    <x v="4"/>
    <x v="0"/>
    <x v="4"/>
    <x v="4"/>
    <x v="0"/>
    <x v="1"/>
    <x v="0"/>
    <x v="0"/>
    <x v="3"/>
    <x v="3"/>
    <x v="13"/>
    <x v="13"/>
    <x v="2"/>
    <x v="2"/>
    <x v="2"/>
    <x v="40"/>
    <x v="40"/>
    <n v="211.68527"/>
    <x v="1"/>
    <x v="2"/>
    <x v="5"/>
    <x v="7"/>
    <x v="11"/>
    <x v="22"/>
    <n v="230.73694430000003"/>
  </r>
  <r>
    <x v="4"/>
    <x v="0"/>
    <x v="4"/>
    <x v="4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4"/>
    <x v="0"/>
    <x v="4"/>
    <x v="4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4"/>
    <x v="0"/>
    <x v="4"/>
    <x v="4"/>
    <x v="0"/>
    <x v="1"/>
    <x v="0"/>
    <x v="0"/>
    <x v="3"/>
    <x v="3"/>
    <x v="13"/>
    <x v="13"/>
    <x v="1"/>
    <x v="8"/>
    <x v="8"/>
    <x v="40"/>
    <x v="40"/>
    <n v="1.2805200000000001"/>
    <x v="1"/>
    <x v="2"/>
    <x v="5"/>
    <x v="7"/>
    <x v="11"/>
    <x v="22"/>
    <n v="1.3957668000000003"/>
  </r>
  <r>
    <x v="4"/>
    <x v="0"/>
    <x v="4"/>
    <x v="4"/>
    <x v="0"/>
    <x v="1"/>
    <x v="0"/>
    <x v="0"/>
    <x v="3"/>
    <x v="3"/>
    <x v="13"/>
    <x v="13"/>
    <x v="4"/>
    <x v="5"/>
    <x v="5"/>
    <x v="40"/>
    <x v="40"/>
    <n v="0.59867999999999999"/>
    <x v="1"/>
    <x v="2"/>
    <x v="5"/>
    <x v="7"/>
    <x v="11"/>
    <x v="22"/>
    <n v="0.65256120000000006"/>
  </r>
  <r>
    <x v="4"/>
    <x v="0"/>
    <x v="4"/>
    <x v="4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4"/>
    <x v="0"/>
    <x v="4"/>
    <x v="4"/>
    <x v="0"/>
    <x v="1"/>
    <x v="0"/>
    <x v="0"/>
    <x v="2"/>
    <x v="2"/>
    <x v="14"/>
    <x v="14"/>
    <x v="2"/>
    <x v="2"/>
    <x v="2"/>
    <x v="40"/>
    <x v="40"/>
    <n v="23.88241"/>
    <x v="1"/>
    <x v="2"/>
    <x v="5"/>
    <x v="7"/>
    <x v="11"/>
    <x v="22"/>
    <n v="26.031826900000002"/>
  </r>
  <r>
    <x v="4"/>
    <x v="0"/>
    <x v="4"/>
    <x v="4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4"/>
    <x v="0"/>
    <x v="4"/>
    <x v="4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4"/>
    <x v="0"/>
    <x v="4"/>
    <x v="4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4"/>
    <x v="0"/>
    <x v="4"/>
    <x v="4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4"/>
    <x v="0"/>
    <x v="4"/>
    <x v="4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4"/>
    <x v="0"/>
    <x v="4"/>
    <x v="4"/>
    <x v="0"/>
    <x v="1"/>
    <x v="0"/>
    <x v="0"/>
    <x v="2"/>
    <x v="2"/>
    <x v="17"/>
    <x v="17"/>
    <x v="2"/>
    <x v="2"/>
    <x v="2"/>
    <x v="42"/>
    <x v="42"/>
    <n v="2.2228300000000001"/>
    <x v="1"/>
    <x v="2"/>
    <x v="5"/>
    <x v="7"/>
    <x v="11"/>
    <x v="22"/>
    <n v="2.4228847000000004"/>
  </r>
  <r>
    <x v="4"/>
    <x v="0"/>
    <x v="4"/>
    <x v="4"/>
    <x v="0"/>
    <x v="1"/>
    <x v="0"/>
    <x v="0"/>
    <x v="2"/>
    <x v="2"/>
    <x v="17"/>
    <x v="17"/>
    <x v="2"/>
    <x v="2"/>
    <x v="2"/>
    <x v="40"/>
    <x v="40"/>
    <n v="145.89913000000001"/>
    <x v="1"/>
    <x v="2"/>
    <x v="5"/>
    <x v="7"/>
    <x v="11"/>
    <x v="22"/>
    <n v="159.03005170000003"/>
  </r>
  <r>
    <x v="4"/>
    <x v="0"/>
    <x v="4"/>
    <x v="4"/>
    <x v="0"/>
    <x v="1"/>
    <x v="0"/>
    <x v="0"/>
    <x v="2"/>
    <x v="2"/>
    <x v="17"/>
    <x v="17"/>
    <x v="2"/>
    <x v="2"/>
    <x v="2"/>
    <x v="38"/>
    <x v="38"/>
    <n v="0.625"/>
    <x v="1"/>
    <x v="0"/>
    <x v="4"/>
    <x v="6"/>
    <x v="10"/>
    <x v="21"/>
    <n v="0.68125000000000002"/>
  </r>
  <r>
    <x v="4"/>
    <x v="0"/>
    <x v="4"/>
    <x v="4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4"/>
    <x v="0"/>
    <x v="4"/>
    <x v="4"/>
    <x v="0"/>
    <x v="1"/>
    <x v="0"/>
    <x v="0"/>
    <x v="2"/>
    <x v="2"/>
    <x v="17"/>
    <x v="17"/>
    <x v="3"/>
    <x v="7"/>
    <x v="7"/>
    <x v="40"/>
    <x v="40"/>
    <n v="14.76844"/>
    <x v="1"/>
    <x v="2"/>
    <x v="5"/>
    <x v="7"/>
    <x v="11"/>
    <x v="22"/>
    <n v="16.097599600000002"/>
  </r>
  <r>
    <x v="4"/>
    <x v="0"/>
    <x v="4"/>
    <x v="4"/>
    <x v="0"/>
    <x v="1"/>
    <x v="0"/>
    <x v="0"/>
    <x v="2"/>
    <x v="2"/>
    <x v="17"/>
    <x v="17"/>
    <x v="1"/>
    <x v="8"/>
    <x v="8"/>
    <x v="40"/>
    <x v="40"/>
    <n v="7.8140999999999998"/>
    <x v="1"/>
    <x v="2"/>
    <x v="5"/>
    <x v="7"/>
    <x v="11"/>
    <x v="22"/>
    <n v="8.5173690000000004"/>
  </r>
  <r>
    <x v="4"/>
    <x v="0"/>
    <x v="4"/>
    <x v="4"/>
    <x v="0"/>
    <x v="1"/>
    <x v="0"/>
    <x v="0"/>
    <x v="2"/>
    <x v="2"/>
    <x v="17"/>
    <x v="17"/>
    <x v="2"/>
    <x v="10"/>
    <x v="10"/>
    <x v="40"/>
    <x v="40"/>
    <n v="2.2581000000000002"/>
    <x v="1"/>
    <x v="2"/>
    <x v="5"/>
    <x v="7"/>
    <x v="11"/>
    <x v="22"/>
    <n v="2.4613290000000005"/>
  </r>
  <r>
    <x v="4"/>
    <x v="0"/>
    <x v="4"/>
    <x v="4"/>
    <x v="0"/>
    <x v="1"/>
    <x v="0"/>
    <x v="0"/>
    <x v="2"/>
    <x v="2"/>
    <x v="17"/>
    <x v="17"/>
    <x v="4"/>
    <x v="5"/>
    <x v="5"/>
    <x v="40"/>
    <x v="40"/>
    <n v="124.98197999999999"/>
    <x v="1"/>
    <x v="2"/>
    <x v="5"/>
    <x v="7"/>
    <x v="11"/>
    <x v="22"/>
    <n v="136.23035820000001"/>
  </r>
  <r>
    <x v="4"/>
    <x v="0"/>
    <x v="4"/>
    <x v="4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4"/>
    <x v="0"/>
    <x v="4"/>
    <x v="4"/>
    <x v="0"/>
    <x v="2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4"/>
    <x v="0"/>
    <x v="4"/>
    <x v="4"/>
    <x v="0"/>
    <x v="2"/>
    <x v="0"/>
    <x v="0"/>
    <x v="0"/>
    <x v="0"/>
    <x v="0"/>
    <x v="0"/>
    <x v="3"/>
    <x v="3"/>
    <x v="3"/>
    <x v="9"/>
    <x v="9"/>
    <n v="64.1258092212137"/>
    <x v="0"/>
    <x v="0"/>
    <x v="1"/>
    <x v="4"/>
    <x v="5"/>
    <x v="9"/>
    <n v="69.897132051122938"/>
  </r>
  <r>
    <x v="4"/>
    <x v="0"/>
    <x v="4"/>
    <x v="4"/>
    <x v="0"/>
    <x v="2"/>
    <x v="0"/>
    <x v="0"/>
    <x v="0"/>
    <x v="0"/>
    <x v="0"/>
    <x v="0"/>
    <x v="3"/>
    <x v="3"/>
    <x v="3"/>
    <x v="11"/>
    <x v="11"/>
    <n v="6.8842999999999996"/>
    <x v="0"/>
    <x v="0"/>
    <x v="3"/>
    <x v="5"/>
    <x v="7"/>
    <x v="11"/>
    <n v="7.5038869999999998"/>
  </r>
  <r>
    <x v="4"/>
    <x v="0"/>
    <x v="4"/>
    <x v="4"/>
    <x v="0"/>
    <x v="2"/>
    <x v="0"/>
    <x v="0"/>
    <x v="0"/>
    <x v="0"/>
    <x v="0"/>
    <x v="0"/>
    <x v="3"/>
    <x v="3"/>
    <x v="3"/>
    <x v="32"/>
    <x v="32"/>
    <n v="13.565721039882501"/>
    <x v="0"/>
    <x v="0"/>
    <x v="1"/>
    <x v="1"/>
    <x v="1"/>
    <x v="20"/>
    <n v="14.786635933471928"/>
  </r>
  <r>
    <x v="4"/>
    <x v="0"/>
    <x v="4"/>
    <x v="4"/>
    <x v="0"/>
    <x v="2"/>
    <x v="0"/>
    <x v="0"/>
    <x v="0"/>
    <x v="0"/>
    <x v="0"/>
    <x v="0"/>
    <x v="3"/>
    <x v="3"/>
    <x v="3"/>
    <x v="16"/>
    <x v="16"/>
    <n v="73.307599999999994"/>
    <x v="0"/>
    <x v="0"/>
    <x v="3"/>
    <x v="5"/>
    <x v="9"/>
    <x v="16"/>
    <n v="79.905283999999995"/>
  </r>
  <r>
    <x v="4"/>
    <x v="0"/>
    <x v="4"/>
    <x v="4"/>
    <x v="0"/>
    <x v="2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4"/>
    <x v="0"/>
    <x v="4"/>
    <x v="4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4"/>
    <x v="0"/>
    <x v="4"/>
    <x v="4"/>
    <x v="0"/>
    <x v="2"/>
    <x v="0"/>
    <x v="0"/>
    <x v="0"/>
    <x v="0"/>
    <x v="0"/>
    <x v="0"/>
    <x v="0"/>
    <x v="4"/>
    <x v="4"/>
    <x v="6"/>
    <x v="6"/>
    <n v="0.55000000000000004"/>
    <x v="0"/>
    <x v="0"/>
    <x v="0"/>
    <x v="0"/>
    <x v="4"/>
    <x v="6"/>
    <n v="0.59950000000000014"/>
  </r>
  <r>
    <x v="4"/>
    <x v="0"/>
    <x v="4"/>
    <x v="4"/>
    <x v="0"/>
    <x v="2"/>
    <x v="0"/>
    <x v="0"/>
    <x v="0"/>
    <x v="0"/>
    <x v="0"/>
    <x v="0"/>
    <x v="0"/>
    <x v="4"/>
    <x v="4"/>
    <x v="9"/>
    <x v="9"/>
    <n v="5.1567794307010697"/>
    <x v="0"/>
    <x v="0"/>
    <x v="1"/>
    <x v="4"/>
    <x v="5"/>
    <x v="9"/>
    <n v="5.6208895794641665"/>
  </r>
  <r>
    <x v="4"/>
    <x v="0"/>
    <x v="4"/>
    <x v="4"/>
    <x v="0"/>
    <x v="2"/>
    <x v="0"/>
    <x v="0"/>
    <x v="0"/>
    <x v="0"/>
    <x v="0"/>
    <x v="0"/>
    <x v="0"/>
    <x v="4"/>
    <x v="4"/>
    <x v="31"/>
    <x v="31"/>
    <n v="111.674422018282"/>
    <x v="0"/>
    <x v="0"/>
    <x v="1"/>
    <x v="4"/>
    <x v="5"/>
    <x v="10"/>
    <n v="121.72511999992739"/>
  </r>
  <r>
    <x v="4"/>
    <x v="0"/>
    <x v="4"/>
    <x v="4"/>
    <x v="0"/>
    <x v="2"/>
    <x v="0"/>
    <x v="0"/>
    <x v="0"/>
    <x v="0"/>
    <x v="0"/>
    <x v="0"/>
    <x v="0"/>
    <x v="4"/>
    <x v="4"/>
    <x v="11"/>
    <x v="11"/>
    <n v="5.125"/>
    <x v="0"/>
    <x v="0"/>
    <x v="3"/>
    <x v="5"/>
    <x v="7"/>
    <x v="11"/>
    <n v="5.5862500000000006"/>
  </r>
  <r>
    <x v="4"/>
    <x v="0"/>
    <x v="4"/>
    <x v="4"/>
    <x v="0"/>
    <x v="2"/>
    <x v="0"/>
    <x v="0"/>
    <x v="0"/>
    <x v="0"/>
    <x v="0"/>
    <x v="0"/>
    <x v="0"/>
    <x v="4"/>
    <x v="4"/>
    <x v="12"/>
    <x v="12"/>
    <n v="472.191930230764"/>
    <x v="0"/>
    <x v="0"/>
    <x v="0"/>
    <x v="0"/>
    <x v="8"/>
    <x v="12"/>
    <n v="514.68920395153282"/>
  </r>
  <r>
    <x v="4"/>
    <x v="0"/>
    <x v="4"/>
    <x v="4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4"/>
    <x v="0"/>
    <x v="4"/>
    <x v="4"/>
    <x v="0"/>
    <x v="2"/>
    <x v="0"/>
    <x v="0"/>
    <x v="0"/>
    <x v="0"/>
    <x v="0"/>
    <x v="0"/>
    <x v="0"/>
    <x v="4"/>
    <x v="4"/>
    <x v="16"/>
    <x v="16"/>
    <n v="5.3150000000000004"/>
    <x v="0"/>
    <x v="0"/>
    <x v="3"/>
    <x v="5"/>
    <x v="9"/>
    <x v="16"/>
    <n v="5.7933500000000011"/>
  </r>
  <r>
    <x v="4"/>
    <x v="0"/>
    <x v="4"/>
    <x v="4"/>
    <x v="0"/>
    <x v="2"/>
    <x v="0"/>
    <x v="0"/>
    <x v="0"/>
    <x v="0"/>
    <x v="0"/>
    <x v="0"/>
    <x v="0"/>
    <x v="4"/>
    <x v="4"/>
    <x v="17"/>
    <x v="17"/>
    <n v="4.95"/>
    <x v="0"/>
    <x v="0"/>
    <x v="0"/>
    <x v="0"/>
    <x v="4"/>
    <x v="17"/>
    <n v="5.3955000000000002"/>
  </r>
  <r>
    <x v="4"/>
    <x v="0"/>
    <x v="4"/>
    <x v="4"/>
    <x v="0"/>
    <x v="2"/>
    <x v="0"/>
    <x v="0"/>
    <x v="0"/>
    <x v="0"/>
    <x v="0"/>
    <x v="0"/>
    <x v="0"/>
    <x v="4"/>
    <x v="4"/>
    <x v="21"/>
    <x v="21"/>
    <n v="21.440366972464201"/>
    <x v="0"/>
    <x v="0"/>
    <x v="1"/>
    <x v="4"/>
    <x v="5"/>
    <x v="10"/>
    <n v="23.369999999985982"/>
  </r>
  <r>
    <x v="4"/>
    <x v="0"/>
    <x v="4"/>
    <x v="4"/>
    <x v="0"/>
    <x v="2"/>
    <x v="0"/>
    <x v="0"/>
    <x v="0"/>
    <x v="0"/>
    <x v="0"/>
    <x v="0"/>
    <x v="0"/>
    <x v="4"/>
    <x v="4"/>
    <x v="25"/>
    <x v="25"/>
    <n v="9.4703486238475296"/>
    <x v="0"/>
    <x v="0"/>
    <x v="1"/>
    <x v="4"/>
    <x v="5"/>
    <x v="9"/>
    <n v="10.322679999993808"/>
  </r>
  <r>
    <x v="4"/>
    <x v="0"/>
    <x v="4"/>
    <x v="4"/>
    <x v="0"/>
    <x v="2"/>
    <x v="0"/>
    <x v="0"/>
    <x v="0"/>
    <x v="0"/>
    <x v="0"/>
    <x v="0"/>
    <x v="0"/>
    <x v="4"/>
    <x v="4"/>
    <x v="26"/>
    <x v="26"/>
    <n v="442.05843119239501"/>
    <x v="0"/>
    <x v="0"/>
    <x v="1"/>
    <x v="3"/>
    <x v="3"/>
    <x v="15"/>
    <n v="481.84368999971059"/>
  </r>
  <r>
    <x v="4"/>
    <x v="0"/>
    <x v="4"/>
    <x v="4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4"/>
    <x v="0"/>
    <x v="4"/>
    <x v="4"/>
    <x v="0"/>
    <x v="2"/>
    <x v="0"/>
    <x v="0"/>
    <x v="0"/>
    <x v="0"/>
    <x v="0"/>
    <x v="0"/>
    <x v="0"/>
    <x v="4"/>
    <x v="4"/>
    <x v="2"/>
    <x v="2"/>
    <n v="3.44041284403463"/>
    <x v="0"/>
    <x v="1"/>
    <x v="2"/>
    <x v="2"/>
    <x v="13"/>
    <x v="2"/>
    <n v="3.750049999997747"/>
  </r>
  <r>
    <x v="4"/>
    <x v="0"/>
    <x v="4"/>
    <x v="4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4"/>
    <x v="0"/>
    <x v="4"/>
    <x v="4"/>
    <x v="0"/>
    <x v="2"/>
    <x v="0"/>
    <x v="0"/>
    <x v="0"/>
    <x v="0"/>
    <x v="0"/>
    <x v="0"/>
    <x v="0"/>
    <x v="0"/>
    <x v="0"/>
    <x v="6"/>
    <x v="6"/>
    <n v="5.4"/>
    <x v="0"/>
    <x v="0"/>
    <x v="0"/>
    <x v="0"/>
    <x v="4"/>
    <x v="6"/>
    <n v="5.886000000000001"/>
  </r>
  <r>
    <x v="4"/>
    <x v="0"/>
    <x v="4"/>
    <x v="4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4"/>
    <x v="0"/>
    <x v="4"/>
    <x v="4"/>
    <x v="0"/>
    <x v="2"/>
    <x v="0"/>
    <x v="0"/>
    <x v="0"/>
    <x v="0"/>
    <x v="0"/>
    <x v="0"/>
    <x v="0"/>
    <x v="0"/>
    <x v="0"/>
    <x v="31"/>
    <x v="31"/>
    <n v="12.880954128432601"/>
    <x v="0"/>
    <x v="0"/>
    <x v="1"/>
    <x v="4"/>
    <x v="5"/>
    <x v="10"/>
    <n v="14.040239999991536"/>
  </r>
  <r>
    <x v="4"/>
    <x v="0"/>
    <x v="4"/>
    <x v="4"/>
    <x v="0"/>
    <x v="2"/>
    <x v="0"/>
    <x v="0"/>
    <x v="0"/>
    <x v="0"/>
    <x v="0"/>
    <x v="0"/>
    <x v="0"/>
    <x v="0"/>
    <x v="0"/>
    <x v="12"/>
    <x v="12"/>
    <n v="51.4698139532928"/>
    <x v="0"/>
    <x v="0"/>
    <x v="0"/>
    <x v="0"/>
    <x v="8"/>
    <x v="12"/>
    <n v="56.102097209089159"/>
  </r>
  <r>
    <x v="4"/>
    <x v="0"/>
    <x v="4"/>
    <x v="4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4"/>
    <x v="0"/>
    <x v="4"/>
    <x v="4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4"/>
    <x v="0"/>
    <x v="4"/>
    <x v="4"/>
    <x v="0"/>
    <x v="2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4"/>
    <x v="0"/>
    <x v="4"/>
    <x v="4"/>
    <x v="0"/>
    <x v="2"/>
    <x v="0"/>
    <x v="0"/>
    <x v="0"/>
    <x v="0"/>
    <x v="0"/>
    <x v="0"/>
    <x v="1"/>
    <x v="1"/>
    <x v="1"/>
    <x v="6"/>
    <x v="6"/>
    <n v="3.9429599999999998"/>
    <x v="0"/>
    <x v="0"/>
    <x v="0"/>
    <x v="0"/>
    <x v="4"/>
    <x v="6"/>
    <n v="4.2978263999999999"/>
  </r>
  <r>
    <x v="4"/>
    <x v="0"/>
    <x v="4"/>
    <x v="4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4"/>
    <x v="0"/>
    <x v="4"/>
    <x v="4"/>
    <x v="0"/>
    <x v="2"/>
    <x v="0"/>
    <x v="0"/>
    <x v="0"/>
    <x v="0"/>
    <x v="0"/>
    <x v="0"/>
    <x v="1"/>
    <x v="1"/>
    <x v="1"/>
    <x v="27"/>
    <x v="27"/>
    <n v="7.5427927929527003"/>
    <x v="0"/>
    <x v="0"/>
    <x v="1"/>
    <x v="3"/>
    <x v="3"/>
    <x v="19"/>
    <n v="8.2216441443184447"/>
  </r>
  <r>
    <x v="4"/>
    <x v="0"/>
    <x v="4"/>
    <x v="4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4"/>
    <x v="0"/>
    <x v="4"/>
    <x v="4"/>
    <x v="0"/>
    <x v="2"/>
    <x v="0"/>
    <x v="0"/>
    <x v="0"/>
    <x v="0"/>
    <x v="0"/>
    <x v="0"/>
    <x v="1"/>
    <x v="1"/>
    <x v="1"/>
    <x v="2"/>
    <x v="2"/>
    <n v="54.018348623820799"/>
    <x v="0"/>
    <x v="1"/>
    <x v="2"/>
    <x v="2"/>
    <x v="13"/>
    <x v="2"/>
    <n v="58.879999999964674"/>
  </r>
  <r>
    <x v="4"/>
    <x v="0"/>
    <x v="4"/>
    <x v="4"/>
    <x v="0"/>
    <x v="2"/>
    <x v="0"/>
    <x v="0"/>
    <x v="0"/>
    <x v="0"/>
    <x v="0"/>
    <x v="0"/>
    <x v="2"/>
    <x v="2"/>
    <x v="2"/>
    <x v="4"/>
    <x v="4"/>
    <n v="104.723981651313"/>
    <x v="0"/>
    <x v="0"/>
    <x v="1"/>
    <x v="3"/>
    <x v="3"/>
    <x v="4"/>
    <n v="114.14913999993118"/>
  </r>
  <r>
    <x v="4"/>
    <x v="0"/>
    <x v="4"/>
    <x v="4"/>
    <x v="0"/>
    <x v="2"/>
    <x v="0"/>
    <x v="0"/>
    <x v="0"/>
    <x v="0"/>
    <x v="0"/>
    <x v="0"/>
    <x v="2"/>
    <x v="2"/>
    <x v="2"/>
    <x v="5"/>
    <x v="5"/>
    <n v="255.06538650500599"/>
    <x v="0"/>
    <x v="0"/>
    <x v="1"/>
    <x v="1"/>
    <x v="1"/>
    <x v="5"/>
    <n v="278.02127129045653"/>
  </r>
  <r>
    <x v="4"/>
    <x v="0"/>
    <x v="4"/>
    <x v="4"/>
    <x v="0"/>
    <x v="2"/>
    <x v="0"/>
    <x v="0"/>
    <x v="0"/>
    <x v="0"/>
    <x v="0"/>
    <x v="0"/>
    <x v="2"/>
    <x v="2"/>
    <x v="2"/>
    <x v="8"/>
    <x v="8"/>
    <n v="8.1885472973497002"/>
    <x v="0"/>
    <x v="1"/>
    <x v="2"/>
    <x v="2"/>
    <x v="6"/>
    <x v="8"/>
    <n v="8.9255165541111747"/>
  </r>
  <r>
    <x v="4"/>
    <x v="0"/>
    <x v="4"/>
    <x v="4"/>
    <x v="0"/>
    <x v="2"/>
    <x v="0"/>
    <x v="0"/>
    <x v="0"/>
    <x v="0"/>
    <x v="0"/>
    <x v="0"/>
    <x v="2"/>
    <x v="2"/>
    <x v="2"/>
    <x v="9"/>
    <x v="9"/>
    <n v="53.308891649935497"/>
    <x v="0"/>
    <x v="0"/>
    <x v="1"/>
    <x v="4"/>
    <x v="5"/>
    <x v="9"/>
    <n v="58.106691898429695"/>
  </r>
  <r>
    <x v="4"/>
    <x v="0"/>
    <x v="4"/>
    <x v="4"/>
    <x v="0"/>
    <x v="2"/>
    <x v="0"/>
    <x v="0"/>
    <x v="0"/>
    <x v="0"/>
    <x v="0"/>
    <x v="0"/>
    <x v="2"/>
    <x v="2"/>
    <x v="2"/>
    <x v="10"/>
    <x v="10"/>
    <n v="37.830498057377298"/>
    <x v="0"/>
    <x v="0"/>
    <x v="1"/>
    <x v="4"/>
    <x v="5"/>
    <x v="10"/>
    <n v="41.235242882541257"/>
  </r>
  <r>
    <x v="4"/>
    <x v="0"/>
    <x v="4"/>
    <x v="4"/>
    <x v="0"/>
    <x v="2"/>
    <x v="0"/>
    <x v="0"/>
    <x v="0"/>
    <x v="0"/>
    <x v="0"/>
    <x v="0"/>
    <x v="2"/>
    <x v="2"/>
    <x v="2"/>
    <x v="28"/>
    <x v="28"/>
    <n v="4.5164299999999997"/>
    <x v="0"/>
    <x v="0"/>
    <x v="1"/>
    <x v="3"/>
    <x v="3"/>
    <x v="13"/>
    <n v="4.9229086999999998"/>
  </r>
  <r>
    <x v="4"/>
    <x v="0"/>
    <x v="4"/>
    <x v="4"/>
    <x v="0"/>
    <x v="2"/>
    <x v="0"/>
    <x v="0"/>
    <x v="0"/>
    <x v="0"/>
    <x v="0"/>
    <x v="0"/>
    <x v="2"/>
    <x v="2"/>
    <x v="2"/>
    <x v="31"/>
    <x v="31"/>
    <n v="2.1559633027510001"/>
    <x v="0"/>
    <x v="0"/>
    <x v="1"/>
    <x v="4"/>
    <x v="5"/>
    <x v="10"/>
    <n v="2.3499999999985901"/>
  </r>
  <r>
    <x v="4"/>
    <x v="0"/>
    <x v="4"/>
    <x v="4"/>
    <x v="0"/>
    <x v="2"/>
    <x v="0"/>
    <x v="0"/>
    <x v="0"/>
    <x v="0"/>
    <x v="0"/>
    <x v="0"/>
    <x v="2"/>
    <x v="2"/>
    <x v="2"/>
    <x v="11"/>
    <x v="11"/>
    <n v="0.53583000000000003"/>
    <x v="0"/>
    <x v="0"/>
    <x v="3"/>
    <x v="5"/>
    <x v="7"/>
    <x v="11"/>
    <n v="0.58405470000000004"/>
  </r>
  <r>
    <x v="4"/>
    <x v="0"/>
    <x v="4"/>
    <x v="4"/>
    <x v="0"/>
    <x v="2"/>
    <x v="0"/>
    <x v="0"/>
    <x v="0"/>
    <x v="0"/>
    <x v="0"/>
    <x v="0"/>
    <x v="2"/>
    <x v="2"/>
    <x v="2"/>
    <x v="12"/>
    <x v="12"/>
    <n v="191.41939534810999"/>
    <x v="0"/>
    <x v="0"/>
    <x v="0"/>
    <x v="0"/>
    <x v="8"/>
    <x v="12"/>
    <n v="208.6471409294399"/>
  </r>
  <r>
    <x v="4"/>
    <x v="0"/>
    <x v="4"/>
    <x v="4"/>
    <x v="0"/>
    <x v="2"/>
    <x v="0"/>
    <x v="0"/>
    <x v="0"/>
    <x v="0"/>
    <x v="0"/>
    <x v="0"/>
    <x v="2"/>
    <x v="2"/>
    <x v="2"/>
    <x v="13"/>
    <x v="13"/>
    <n v="149.71573000000001"/>
    <x v="0"/>
    <x v="0"/>
    <x v="1"/>
    <x v="3"/>
    <x v="3"/>
    <x v="13"/>
    <n v="163.19014570000002"/>
  </r>
  <r>
    <x v="4"/>
    <x v="0"/>
    <x v="4"/>
    <x v="4"/>
    <x v="0"/>
    <x v="2"/>
    <x v="0"/>
    <x v="0"/>
    <x v="0"/>
    <x v="0"/>
    <x v="0"/>
    <x v="0"/>
    <x v="2"/>
    <x v="2"/>
    <x v="2"/>
    <x v="16"/>
    <x v="16"/>
    <n v="303.77730000000003"/>
    <x v="0"/>
    <x v="0"/>
    <x v="3"/>
    <x v="5"/>
    <x v="9"/>
    <x v="16"/>
    <n v="331.11725700000005"/>
  </r>
  <r>
    <x v="4"/>
    <x v="0"/>
    <x v="4"/>
    <x v="4"/>
    <x v="0"/>
    <x v="2"/>
    <x v="0"/>
    <x v="0"/>
    <x v="0"/>
    <x v="0"/>
    <x v="0"/>
    <x v="0"/>
    <x v="2"/>
    <x v="2"/>
    <x v="2"/>
    <x v="21"/>
    <x v="21"/>
    <n v="21.263908256868"/>
    <x v="0"/>
    <x v="0"/>
    <x v="1"/>
    <x v="4"/>
    <x v="5"/>
    <x v="10"/>
    <n v="23.177659999986123"/>
  </r>
  <r>
    <x v="4"/>
    <x v="0"/>
    <x v="4"/>
    <x v="4"/>
    <x v="0"/>
    <x v="2"/>
    <x v="0"/>
    <x v="0"/>
    <x v="0"/>
    <x v="0"/>
    <x v="0"/>
    <x v="0"/>
    <x v="2"/>
    <x v="2"/>
    <x v="2"/>
    <x v="18"/>
    <x v="18"/>
    <n v="2.0000000000000002E-5"/>
    <x v="0"/>
    <x v="0"/>
    <x v="0"/>
    <x v="0"/>
    <x v="4"/>
    <x v="18"/>
    <n v="2.1800000000000005E-5"/>
  </r>
  <r>
    <x v="4"/>
    <x v="0"/>
    <x v="4"/>
    <x v="4"/>
    <x v="0"/>
    <x v="2"/>
    <x v="0"/>
    <x v="0"/>
    <x v="0"/>
    <x v="0"/>
    <x v="0"/>
    <x v="0"/>
    <x v="2"/>
    <x v="2"/>
    <x v="2"/>
    <x v="25"/>
    <x v="25"/>
    <n v="1.21222018348551"/>
    <x v="0"/>
    <x v="0"/>
    <x v="1"/>
    <x v="4"/>
    <x v="5"/>
    <x v="9"/>
    <n v="1.321319999999206"/>
  </r>
  <r>
    <x v="4"/>
    <x v="0"/>
    <x v="4"/>
    <x v="4"/>
    <x v="0"/>
    <x v="2"/>
    <x v="0"/>
    <x v="0"/>
    <x v="0"/>
    <x v="0"/>
    <x v="0"/>
    <x v="0"/>
    <x v="2"/>
    <x v="2"/>
    <x v="2"/>
    <x v="26"/>
    <x v="26"/>
    <n v="1.70963302752191"/>
    <x v="0"/>
    <x v="0"/>
    <x v="1"/>
    <x v="3"/>
    <x v="3"/>
    <x v="15"/>
    <n v="1.8634999999988822"/>
  </r>
  <r>
    <x v="4"/>
    <x v="0"/>
    <x v="4"/>
    <x v="4"/>
    <x v="0"/>
    <x v="2"/>
    <x v="0"/>
    <x v="0"/>
    <x v="0"/>
    <x v="0"/>
    <x v="0"/>
    <x v="0"/>
    <x v="2"/>
    <x v="2"/>
    <x v="2"/>
    <x v="0"/>
    <x v="0"/>
    <n v="10.8008683273719"/>
    <x v="0"/>
    <x v="0"/>
    <x v="0"/>
    <x v="0"/>
    <x v="0"/>
    <x v="0"/>
    <n v="11.772946476835372"/>
  </r>
  <r>
    <x v="4"/>
    <x v="0"/>
    <x v="4"/>
    <x v="4"/>
    <x v="0"/>
    <x v="2"/>
    <x v="0"/>
    <x v="0"/>
    <x v="0"/>
    <x v="0"/>
    <x v="0"/>
    <x v="0"/>
    <x v="2"/>
    <x v="2"/>
    <x v="2"/>
    <x v="1"/>
    <x v="1"/>
    <n v="6.95073793099625"/>
    <x v="0"/>
    <x v="0"/>
    <x v="1"/>
    <x v="1"/>
    <x v="1"/>
    <x v="1"/>
    <n v="7.5763043447859131"/>
  </r>
  <r>
    <x v="4"/>
    <x v="0"/>
    <x v="4"/>
    <x v="4"/>
    <x v="0"/>
    <x v="2"/>
    <x v="0"/>
    <x v="0"/>
    <x v="0"/>
    <x v="0"/>
    <x v="0"/>
    <x v="0"/>
    <x v="2"/>
    <x v="2"/>
    <x v="2"/>
    <x v="2"/>
    <x v="2"/>
    <n v="747.37250458670803"/>
    <x v="0"/>
    <x v="1"/>
    <x v="2"/>
    <x v="2"/>
    <x v="13"/>
    <x v="2"/>
    <n v="814.63602999951183"/>
  </r>
  <r>
    <x v="4"/>
    <x v="0"/>
    <x v="4"/>
    <x v="4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4"/>
    <x v="0"/>
    <x v="4"/>
    <x v="4"/>
    <x v="0"/>
    <x v="2"/>
    <x v="0"/>
    <x v="0"/>
    <x v="0"/>
    <x v="0"/>
    <x v="0"/>
    <x v="0"/>
    <x v="1"/>
    <x v="6"/>
    <x v="6"/>
    <x v="6"/>
    <x v="6"/>
    <n v="7.7"/>
    <x v="0"/>
    <x v="0"/>
    <x v="0"/>
    <x v="0"/>
    <x v="4"/>
    <x v="6"/>
    <n v="8.3930000000000007"/>
  </r>
  <r>
    <x v="4"/>
    <x v="0"/>
    <x v="4"/>
    <x v="4"/>
    <x v="0"/>
    <x v="2"/>
    <x v="0"/>
    <x v="0"/>
    <x v="0"/>
    <x v="0"/>
    <x v="0"/>
    <x v="0"/>
    <x v="1"/>
    <x v="6"/>
    <x v="6"/>
    <x v="9"/>
    <x v="9"/>
    <n v="21.2213577981524"/>
    <x v="0"/>
    <x v="0"/>
    <x v="1"/>
    <x v="4"/>
    <x v="5"/>
    <x v="9"/>
    <n v="23.13127999998612"/>
  </r>
  <r>
    <x v="4"/>
    <x v="0"/>
    <x v="4"/>
    <x v="4"/>
    <x v="0"/>
    <x v="2"/>
    <x v="0"/>
    <x v="0"/>
    <x v="0"/>
    <x v="0"/>
    <x v="0"/>
    <x v="0"/>
    <x v="1"/>
    <x v="6"/>
    <x v="6"/>
    <x v="10"/>
    <x v="10"/>
    <n v="5.7993991223948802"/>
    <x v="0"/>
    <x v="0"/>
    <x v="1"/>
    <x v="4"/>
    <x v="5"/>
    <x v="10"/>
    <n v="6.3213450434104201"/>
  </r>
  <r>
    <x v="4"/>
    <x v="0"/>
    <x v="4"/>
    <x v="4"/>
    <x v="0"/>
    <x v="2"/>
    <x v="0"/>
    <x v="0"/>
    <x v="0"/>
    <x v="0"/>
    <x v="0"/>
    <x v="0"/>
    <x v="1"/>
    <x v="6"/>
    <x v="6"/>
    <x v="12"/>
    <x v="12"/>
    <n v="102.272372092635"/>
    <x v="0"/>
    <x v="0"/>
    <x v="0"/>
    <x v="0"/>
    <x v="8"/>
    <x v="12"/>
    <n v="111.47688558097215"/>
  </r>
  <r>
    <x v="4"/>
    <x v="0"/>
    <x v="4"/>
    <x v="4"/>
    <x v="0"/>
    <x v="2"/>
    <x v="0"/>
    <x v="0"/>
    <x v="0"/>
    <x v="0"/>
    <x v="0"/>
    <x v="0"/>
    <x v="1"/>
    <x v="6"/>
    <x v="6"/>
    <x v="16"/>
    <x v="16"/>
    <n v="3.1629999999999998"/>
    <x v="0"/>
    <x v="0"/>
    <x v="3"/>
    <x v="5"/>
    <x v="9"/>
    <x v="16"/>
    <n v="3.44767"/>
  </r>
  <r>
    <x v="4"/>
    <x v="0"/>
    <x v="4"/>
    <x v="4"/>
    <x v="0"/>
    <x v="2"/>
    <x v="0"/>
    <x v="0"/>
    <x v="0"/>
    <x v="0"/>
    <x v="0"/>
    <x v="0"/>
    <x v="1"/>
    <x v="6"/>
    <x v="6"/>
    <x v="26"/>
    <x v="26"/>
    <n v="331.09997247686601"/>
    <x v="0"/>
    <x v="0"/>
    <x v="1"/>
    <x v="3"/>
    <x v="3"/>
    <x v="15"/>
    <n v="360.89896999978396"/>
  </r>
  <r>
    <x v="4"/>
    <x v="0"/>
    <x v="4"/>
    <x v="4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4"/>
    <x v="0"/>
    <x v="4"/>
    <x v="4"/>
    <x v="0"/>
    <x v="2"/>
    <x v="0"/>
    <x v="0"/>
    <x v="0"/>
    <x v="0"/>
    <x v="0"/>
    <x v="0"/>
    <x v="1"/>
    <x v="6"/>
    <x v="6"/>
    <x v="2"/>
    <x v="2"/>
    <n v="120.30066055038699"/>
    <x v="0"/>
    <x v="1"/>
    <x v="2"/>
    <x v="2"/>
    <x v="13"/>
    <x v="2"/>
    <n v="131.12771999992182"/>
  </r>
  <r>
    <x v="4"/>
    <x v="0"/>
    <x v="4"/>
    <x v="4"/>
    <x v="0"/>
    <x v="2"/>
    <x v="0"/>
    <x v="0"/>
    <x v="0"/>
    <x v="0"/>
    <x v="0"/>
    <x v="0"/>
    <x v="3"/>
    <x v="7"/>
    <x v="7"/>
    <x v="9"/>
    <x v="9"/>
    <n v="6.2200169535034302"/>
    <x v="0"/>
    <x v="0"/>
    <x v="1"/>
    <x v="4"/>
    <x v="5"/>
    <x v="9"/>
    <n v="6.779818479318739"/>
  </r>
  <r>
    <x v="4"/>
    <x v="0"/>
    <x v="4"/>
    <x v="4"/>
    <x v="0"/>
    <x v="2"/>
    <x v="0"/>
    <x v="0"/>
    <x v="0"/>
    <x v="0"/>
    <x v="0"/>
    <x v="0"/>
    <x v="3"/>
    <x v="7"/>
    <x v="7"/>
    <x v="10"/>
    <x v="10"/>
    <n v="3.5778986240000002E-5"/>
    <x v="0"/>
    <x v="0"/>
    <x v="1"/>
    <x v="4"/>
    <x v="5"/>
    <x v="10"/>
    <n v="3.8999095001600002E-5"/>
  </r>
  <r>
    <x v="4"/>
    <x v="0"/>
    <x v="4"/>
    <x v="4"/>
    <x v="0"/>
    <x v="2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4"/>
    <x v="0"/>
    <x v="4"/>
    <x v="4"/>
    <x v="0"/>
    <x v="2"/>
    <x v="0"/>
    <x v="0"/>
    <x v="0"/>
    <x v="0"/>
    <x v="0"/>
    <x v="0"/>
    <x v="1"/>
    <x v="8"/>
    <x v="8"/>
    <x v="9"/>
    <x v="9"/>
    <n v="6.1862025823142499"/>
    <x v="0"/>
    <x v="0"/>
    <x v="1"/>
    <x v="4"/>
    <x v="5"/>
    <x v="9"/>
    <n v="6.7429608147225331"/>
  </r>
  <r>
    <x v="4"/>
    <x v="0"/>
    <x v="4"/>
    <x v="4"/>
    <x v="0"/>
    <x v="2"/>
    <x v="0"/>
    <x v="0"/>
    <x v="0"/>
    <x v="0"/>
    <x v="0"/>
    <x v="0"/>
    <x v="1"/>
    <x v="8"/>
    <x v="8"/>
    <x v="10"/>
    <x v="10"/>
    <n v="2.3777174399999999E-5"/>
    <x v="0"/>
    <x v="0"/>
    <x v="1"/>
    <x v="4"/>
    <x v="5"/>
    <x v="10"/>
    <n v="2.5917120096000001E-5"/>
  </r>
  <r>
    <x v="4"/>
    <x v="0"/>
    <x v="4"/>
    <x v="4"/>
    <x v="0"/>
    <x v="2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4"/>
    <x v="0"/>
    <x v="4"/>
    <x v="4"/>
    <x v="0"/>
    <x v="2"/>
    <x v="0"/>
    <x v="0"/>
    <x v="0"/>
    <x v="0"/>
    <x v="0"/>
    <x v="0"/>
    <x v="0"/>
    <x v="9"/>
    <x v="9"/>
    <x v="9"/>
    <x v="9"/>
    <n v="7.1565608637872602"/>
    <x v="0"/>
    <x v="0"/>
    <x v="1"/>
    <x v="4"/>
    <x v="5"/>
    <x v="9"/>
    <n v="7.8006513415281145"/>
  </r>
  <r>
    <x v="4"/>
    <x v="0"/>
    <x v="4"/>
    <x v="4"/>
    <x v="0"/>
    <x v="2"/>
    <x v="0"/>
    <x v="0"/>
    <x v="0"/>
    <x v="0"/>
    <x v="0"/>
    <x v="0"/>
    <x v="0"/>
    <x v="9"/>
    <x v="9"/>
    <x v="10"/>
    <x v="10"/>
    <n v="1.6530797439999999E-5"/>
    <x v="0"/>
    <x v="0"/>
    <x v="1"/>
    <x v="4"/>
    <x v="5"/>
    <x v="10"/>
    <n v="1.8018569209599999E-5"/>
  </r>
  <r>
    <x v="4"/>
    <x v="0"/>
    <x v="4"/>
    <x v="4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4"/>
    <x v="0"/>
    <x v="4"/>
    <x v="4"/>
    <x v="0"/>
    <x v="2"/>
    <x v="0"/>
    <x v="0"/>
    <x v="0"/>
    <x v="0"/>
    <x v="0"/>
    <x v="0"/>
    <x v="0"/>
    <x v="9"/>
    <x v="9"/>
    <x v="21"/>
    <x v="21"/>
    <n v="40.370532110067501"/>
    <x v="0"/>
    <x v="0"/>
    <x v="1"/>
    <x v="4"/>
    <x v="5"/>
    <x v="10"/>
    <n v="44.003879999973577"/>
  </r>
  <r>
    <x v="4"/>
    <x v="0"/>
    <x v="4"/>
    <x v="4"/>
    <x v="0"/>
    <x v="2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4"/>
    <x v="0"/>
    <x v="4"/>
    <x v="4"/>
    <x v="0"/>
    <x v="2"/>
    <x v="0"/>
    <x v="0"/>
    <x v="0"/>
    <x v="0"/>
    <x v="0"/>
    <x v="0"/>
    <x v="2"/>
    <x v="10"/>
    <x v="10"/>
    <x v="9"/>
    <x v="9"/>
    <n v="6.2395478915877298"/>
    <x v="0"/>
    <x v="0"/>
    <x v="1"/>
    <x v="4"/>
    <x v="5"/>
    <x v="9"/>
    <n v="6.801107201830626"/>
  </r>
  <r>
    <x v="4"/>
    <x v="0"/>
    <x v="4"/>
    <x v="4"/>
    <x v="0"/>
    <x v="2"/>
    <x v="0"/>
    <x v="0"/>
    <x v="0"/>
    <x v="0"/>
    <x v="0"/>
    <x v="0"/>
    <x v="2"/>
    <x v="10"/>
    <x v="10"/>
    <x v="10"/>
    <x v="10"/>
    <n v="1.3813406080000001E-4"/>
    <x v="0"/>
    <x v="0"/>
    <x v="1"/>
    <x v="4"/>
    <x v="5"/>
    <x v="10"/>
    <n v="1.5056612627200003E-4"/>
  </r>
  <r>
    <x v="4"/>
    <x v="0"/>
    <x v="4"/>
    <x v="4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4"/>
    <x v="0"/>
    <x v="4"/>
    <x v="4"/>
    <x v="0"/>
    <x v="2"/>
    <x v="0"/>
    <x v="0"/>
    <x v="0"/>
    <x v="0"/>
    <x v="0"/>
    <x v="0"/>
    <x v="2"/>
    <x v="10"/>
    <x v="10"/>
    <x v="21"/>
    <x v="21"/>
    <n v="0.77723853210963001"/>
    <x v="0"/>
    <x v="0"/>
    <x v="1"/>
    <x v="4"/>
    <x v="5"/>
    <x v="10"/>
    <n v="0.84718999999949673"/>
  </r>
  <r>
    <x v="4"/>
    <x v="0"/>
    <x v="4"/>
    <x v="4"/>
    <x v="0"/>
    <x v="2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4"/>
    <x v="0"/>
    <x v="4"/>
    <x v="4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4"/>
    <x v="0"/>
    <x v="4"/>
    <x v="4"/>
    <x v="0"/>
    <x v="2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4"/>
    <x v="0"/>
    <x v="4"/>
    <x v="4"/>
    <x v="0"/>
    <x v="2"/>
    <x v="0"/>
    <x v="0"/>
    <x v="0"/>
    <x v="0"/>
    <x v="0"/>
    <x v="0"/>
    <x v="4"/>
    <x v="5"/>
    <x v="5"/>
    <x v="9"/>
    <x v="9"/>
    <n v="10.7618602577022"/>
    <x v="0"/>
    <x v="0"/>
    <x v="1"/>
    <x v="4"/>
    <x v="5"/>
    <x v="9"/>
    <n v="11.730427680895398"/>
  </r>
  <r>
    <x v="4"/>
    <x v="0"/>
    <x v="4"/>
    <x v="4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4"/>
    <x v="0"/>
    <x v="4"/>
    <x v="4"/>
    <x v="0"/>
    <x v="2"/>
    <x v="0"/>
    <x v="0"/>
    <x v="0"/>
    <x v="0"/>
    <x v="0"/>
    <x v="0"/>
    <x v="4"/>
    <x v="5"/>
    <x v="5"/>
    <x v="21"/>
    <x v="21"/>
    <n v="32.680587155943698"/>
    <x v="0"/>
    <x v="0"/>
    <x v="1"/>
    <x v="4"/>
    <x v="5"/>
    <x v="10"/>
    <n v="35.621839999978633"/>
  </r>
  <r>
    <x v="4"/>
    <x v="0"/>
    <x v="4"/>
    <x v="4"/>
    <x v="0"/>
    <x v="2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4"/>
    <x v="0"/>
    <x v="4"/>
    <x v="4"/>
    <x v="0"/>
    <x v="2"/>
    <x v="0"/>
    <x v="0"/>
    <x v="0"/>
    <x v="0"/>
    <x v="0"/>
    <x v="0"/>
    <x v="4"/>
    <x v="5"/>
    <x v="5"/>
    <x v="2"/>
    <x v="2"/>
    <n v="57.0641834862043"/>
    <x v="0"/>
    <x v="1"/>
    <x v="2"/>
    <x v="2"/>
    <x v="13"/>
    <x v="2"/>
    <n v="62.199959999962694"/>
  </r>
  <r>
    <x v="4"/>
    <x v="0"/>
    <x v="4"/>
    <x v="4"/>
    <x v="0"/>
    <x v="2"/>
    <x v="0"/>
    <x v="0"/>
    <x v="0"/>
    <x v="0"/>
    <x v="3"/>
    <x v="3"/>
    <x v="2"/>
    <x v="2"/>
    <x v="2"/>
    <x v="5"/>
    <x v="5"/>
    <n v="40.924251534053397"/>
    <x v="0"/>
    <x v="0"/>
    <x v="1"/>
    <x v="1"/>
    <x v="1"/>
    <x v="5"/>
    <n v="44.607434172118204"/>
  </r>
  <r>
    <x v="4"/>
    <x v="0"/>
    <x v="4"/>
    <x v="4"/>
    <x v="0"/>
    <x v="2"/>
    <x v="0"/>
    <x v="0"/>
    <x v="0"/>
    <x v="0"/>
    <x v="3"/>
    <x v="3"/>
    <x v="2"/>
    <x v="2"/>
    <x v="2"/>
    <x v="8"/>
    <x v="8"/>
    <n v="9.5439189189799993"/>
    <x v="0"/>
    <x v="1"/>
    <x v="2"/>
    <x v="2"/>
    <x v="6"/>
    <x v="8"/>
    <n v="10.402871621688201"/>
  </r>
  <r>
    <x v="4"/>
    <x v="0"/>
    <x v="4"/>
    <x v="4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4"/>
    <x v="0"/>
    <x v="4"/>
    <x v="4"/>
    <x v="0"/>
    <x v="2"/>
    <x v="0"/>
    <x v="0"/>
    <x v="0"/>
    <x v="0"/>
    <x v="3"/>
    <x v="3"/>
    <x v="2"/>
    <x v="2"/>
    <x v="2"/>
    <x v="16"/>
    <x v="16"/>
    <n v="36.091059999999999"/>
    <x v="0"/>
    <x v="0"/>
    <x v="3"/>
    <x v="5"/>
    <x v="9"/>
    <x v="16"/>
    <n v="39.339255399999999"/>
  </r>
  <r>
    <x v="4"/>
    <x v="0"/>
    <x v="4"/>
    <x v="4"/>
    <x v="0"/>
    <x v="2"/>
    <x v="0"/>
    <x v="0"/>
    <x v="0"/>
    <x v="0"/>
    <x v="3"/>
    <x v="3"/>
    <x v="2"/>
    <x v="2"/>
    <x v="2"/>
    <x v="17"/>
    <x v="17"/>
    <n v="6.66"/>
    <x v="0"/>
    <x v="0"/>
    <x v="0"/>
    <x v="0"/>
    <x v="4"/>
    <x v="17"/>
    <n v="7.2594000000000003"/>
  </r>
  <r>
    <x v="4"/>
    <x v="0"/>
    <x v="4"/>
    <x v="4"/>
    <x v="0"/>
    <x v="2"/>
    <x v="0"/>
    <x v="0"/>
    <x v="0"/>
    <x v="0"/>
    <x v="3"/>
    <x v="3"/>
    <x v="2"/>
    <x v="2"/>
    <x v="2"/>
    <x v="2"/>
    <x v="2"/>
    <n v="51.090541284373003"/>
    <x v="0"/>
    <x v="1"/>
    <x v="2"/>
    <x v="2"/>
    <x v="13"/>
    <x v="2"/>
    <n v="55.688689999966577"/>
  </r>
  <r>
    <x v="4"/>
    <x v="0"/>
    <x v="4"/>
    <x v="4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4"/>
    <x v="0"/>
    <x v="4"/>
    <x v="4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4"/>
    <x v="0"/>
    <x v="4"/>
    <x v="4"/>
    <x v="0"/>
    <x v="2"/>
    <x v="0"/>
    <x v="0"/>
    <x v="0"/>
    <x v="0"/>
    <x v="4"/>
    <x v="4"/>
    <x v="2"/>
    <x v="2"/>
    <x v="2"/>
    <x v="10"/>
    <x v="10"/>
    <n v="0.43766305244159998"/>
    <x v="0"/>
    <x v="0"/>
    <x v="1"/>
    <x v="4"/>
    <x v="5"/>
    <x v="10"/>
    <n v="0.477052727161344"/>
  </r>
  <r>
    <x v="4"/>
    <x v="0"/>
    <x v="4"/>
    <x v="4"/>
    <x v="0"/>
    <x v="2"/>
    <x v="0"/>
    <x v="0"/>
    <x v="0"/>
    <x v="0"/>
    <x v="4"/>
    <x v="4"/>
    <x v="2"/>
    <x v="2"/>
    <x v="2"/>
    <x v="12"/>
    <x v="12"/>
    <n v="0.30855813953370997"/>
    <x v="0"/>
    <x v="0"/>
    <x v="0"/>
    <x v="0"/>
    <x v="8"/>
    <x v="12"/>
    <n v="0.33632837209174388"/>
  </r>
  <r>
    <x v="4"/>
    <x v="0"/>
    <x v="4"/>
    <x v="4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4"/>
    <x v="0"/>
    <x v="4"/>
    <x v="4"/>
    <x v="0"/>
    <x v="2"/>
    <x v="0"/>
    <x v="0"/>
    <x v="0"/>
    <x v="0"/>
    <x v="4"/>
    <x v="4"/>
    <x v="2"/>
    <x v="2"/>
    <x v="2"/>
    <x v="2"/>
    <x v="2"/>
    <n v="2.57533027522781"/>
    <x v="0"/>
    <x v="1"/>
    <x v="2"/>
    <x v="2"/>
    <x v="13"/>
    <x v="2"/>
    <n v="2.8071099999983131"/>
  </r>
  <r>
    <x v="4"/>
    <x v="0"/>
    <x v="4"/>
    <x v="4"/>
    <x v="0"/>
    <x v="2"/>
    <x v="0"/>
    <x v="0"/>
    <x v="2"/>
    <x v="2"/>
    <x v="5"/>
    <x v="5"/>
    <x v="2"/>
    <x v="2"/>
    <x v="2"/>
    <x v="40"/>
    <x v="40"/>
    <n v="36.200000000000003"/>
    <x v="1"/>
    <x v="2"/>
    <x v="5"/>
    <x v="7"/>
    <x v="11"/>
    <x v="22"/>
    <n v="39.458000000000006"/>
  </r>
  <r>
    <x v="4"/>
    <x v="0"/>
    <x v="4"/>
    <x v="4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4"/>
    <x v="0"/>
    <x v="4"/>
    <x v="4"/>
    <x v="0"/>
    <x v="2"/>
    <x v="0"/>
    <x v="0"/>
    <x v="2"/>
    <x v="2"/>
    <x v="5"/>
    <x v="5"/>
    <x v="1"/>
    <x v="6"/>
    <x v="6"/>
    <x v="40"/>
    <x v="40"/>
    <n v="54.174140000000001"/>
    <x v="1"/>
    <x v="2"/>
    <x v="5"/>
    <x v="7"/>
    <x v="11"/>
    <x v="22"/>
    <n v="59.049812600000003"/>
  </r>
  <r>
    <x v="4"/>
    <x v="0"/>
    <x v="4"/>
    <x v="4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4"/>
    <x v="0"/>
    <x v="4"/>
    <x v="4"/>
    <x v="0"/>
    <x v="2"/>
    <x v="0"/>
    <x v="0"/>
    <x v="2"/>
    <x v="2"/>
    <x v="5"/>
    <x v="5"/>
    <x v="1"/>
    <x v="8"/>
    <x v="8"/>
    <x v="40"/>
    <x v="40"/>
    <n v="42.001800000000003"/>
    <x v="1"/>
    <x v="2"/>
    <x v="5"/>
    <x v="7"/>
    <x v="11"/>
    <x v="22"/>
    <n v="45.781962000000007"/>
  </r>
  <r>
    <x v="4"/>
    <x v="0"/>
    <x v="4"/>
    <x v="4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4"/>
    <x v="0"/>
    <x v="4"/>
    <x v="4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4"/>
    <x v="0"/>
    <x v="4"/>
    <x v="4"/>
    <x v="0"/>
    <x v="2"/>
    <x v="0"/>
    <x v="0"/>
    <x v="2"/>
    <x v="2"/>
    <x v="5"/>
    <x v="5"/>
    <x v="4"/>
    <x v="5"/>
    <x v="5"/>
    <x v="40"/>
    <x v="40"/>
    <n v="530.96275000000003"/>
    <x v="1"/>
    <x v="2"/>
    <x v="5"/>
    <x v="7"/>
    <x v="11"/>
    <x v="22"/>
    <n v="578.7493975000001"/>
  </r>
  <r>
    <x v="4"/>
    <x v="0"/>
    <x v="4"/>
    <x v="4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4"/>
    <x v="0"/>
    <x v="4"/>
    <x v="4"/>
    <x v="0"/>
    <x v="2"/>
    <x v="0"/>
    <x v="0"/>
    <x v="2"/>
    <x v="2"/>
    <x v="7"/>
    <x v="7"/>
    <x v="2"/>
    <x v="2"/>
    <x v="2"/>
    <x v="40"/>
    <x v="40"/>
    <n v="60.051479999999998"/>
    <x v="1"/>
    <x v="2"/>
    <x v="5"/>
    <x v="7"/>
    <x v="11"/>
    <x v="22"/>
    <n v="65.456113200000004"/>
  </r>
  <r>
    <x v="4"/>
    <x v="0"/>
    <x v="4"/>
    <x v="4"/>
    <x v="0"/>
    <x v="2"/>
    <x v="0"/>
    <x v="0"/>
    <x v="2"/>
    <x v="2"/>
    <x v="7"/>
    <x v="7"/>
    <x v="2"/>
    <x v="2"/>
    <x v="2"/>
    <x v="38"/>
    <x v="38"/>
    <n v="113.77249999999999"/>
    <x v="1"/>
    <x v="0"/>
    <x v="4"/>
    <x v="6"/>
    <x v="10"/>
    <x v="21"/>
    <n v="124.01202500000001"/>
  </r>
  <r>
    <x v="4"/>
    <x v="0"/>
    <x v="4"/>
    <x v="4"/>
    <x v="0"/>
    <x v="2"/>
    <x v="0"/>
    <x v="0"/>
    <x v="2"/>
    <x v="2"/>
    <x v="7"/>
    <x v="7"/>
    <x v="1"/>
    <x v="6"/>
    <x v="6"/>
    <x v="40"/>
    <x v="40"/>
    <n v="45.850110000000001"/>
    <x v="1"/>
    <x v="2"/>
    <x v="5"/>
    <x v="7"/>
    <x v="11"/>
    <x v="22"/>
    <n v="49.976619900000003"/>
  </r>
  <r>
    <x v="4"/>
    <x v="0"/>
    <x v="4"/>
    <x v="4"/>
    <x v="0"/>
    <x v="2"/>
    <x v="0"/>
    <x v="0"/>
    <x v="2"/>
    <x v="2"/>
    <x v="7"/>
    <x v="7"/>
    <x v="1"/>
    <x v="6"/>
    <x v="6"/>
    <x v="38"/>
    <x v="38"/>
    <n v="22.729099999999999"/>
    <x v="1"/>
    <x v="0"/>
    <x v="4"/>
    <x v="6"/>
    <x v="10"/>
    <x v="21"/>
    <n v="24.774719000000001"/>
  </r>
  <r>
    <x v="4"/>
    <x v="0"/>
    <x v="4"/>
    <x v="4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4"/>
    <x v="0"/>
    <x v="4"/>
    <x v="4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4"/>
    <x v="0"/>
    <x v="4"/>
    <x v="4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4"/>
    <x v="0"/>
    <x v="4"/>
    <x v="4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4"/>
    <x v="0"/>
    <x v="4"/>
    <x v="4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4"/>
    <x v="0"/>
    <x v="4"/>
    <x v="4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4"/>
    <x v="0"/>
    <x v="4"/>
    <x v="4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4"/>
    <x v="0"/>
    <x v="4"/>
    <x v="4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4"/>
    <x v="0"/>
    <x v="4"/>
    <x v="4"/>
    <x v="0"/>
    <x v="2"/>
    <x v="0"/>
    <x v="0"/>
    <x v="2"/>
    <x v="2"/>
    <x v="9"/>
    <x v="9"/>
    <x v="2"/>
    <x v="2"/>
    <x v="2"/>
    <x v="40"/>
    <x v="40"/>
    <n v="196.62182000000001"/>
    <x v="1"/>
    <x v="2"/>
    <x v="5"/>
    <x v="7"/>
    <x v="11"/>
    <x v="22"/>
    <n v="214.31778380000003"/>
  </r>
  <r>
    <x v="4"/>
    <x v="0"/>
    <x v="4"/>
    <x v="4"/>
    <x v="0"/>
    <x v="2"/>
    <x v="0"/>
    <x v="0"/>
    <x v="2"/>
    <x v="2"/>
    <x v="9"/>
    <x v="9"/>
    <x v="2"/>
    <x v="2"/>
    <x v="2"/>
    <x v="38"/>
    <x v="38"/>
    <n v="186.89500000000001"/>
    <x v="1"/>
    <x v="0"/>
    <x v="4"/>
    <x v="6"/>
    <x v="10"/>
    <x v="21"/>
    <n v="203.71555000000004"/>
  </r>
  <r>
    <x v="4"/>
    <x v="0"/>
    <x v="4"/>
    <x v="4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4"/>
    <x v="0"/>
    <x v="4"/>
    <x v="4"/>
    <x v="0"/>
    <x v="2"/>
    <x v="0"/>
    <x v="0"/>
    <x v="2"/>
    <x v="2"/>
    <x v="9"/>
    <x v="9"/>
    <x v="1"/>
    <x v="6"/>
    <x v="6"/>
    <x v="40"/>
    <x v="40"/>
    <n v="908.44574999999998"/>
    <x v="1"/>
    <x v="2"/>
    <x v="5"/>
    <x v="7"/>
    <x v="11"/>
    <x v="22"/>
    <n v="990.20586750000007"/>
  </r>
  <r>
    <x v="4"/>
    <x v="0"/>
    <x v="4"/>
    <x v="4"/>
    <x v="0"/>
    <x v="2"/>
    <x v="0"/>
    <x v="0"/>
    <x v="2"/>
    <x v="2"/>
    <x v="9"/>
    <x v="9"/>
    <x v="1"/>
    <x v="6"/>
    <x v="6"/>
    <x v="38"/>
    <x v="38"/>
    <n v="30.611339999999998"/>
    <x v="1"/>
    <x v="0"/>
    <x v="4"/>
    <x v="6"/>
    <x v="10"/>
    <x v="21"/>
    <n v="33.3663606"/>
  </r>
  <r>
    <x v="4"/>
    <x v="0"/>
    <x v="4"/>
    <x v="4"/>
    <x v="0"/>
    <x v="2"/>
    <x v="0"/>
    <x v="0"/>
    <x v="2"/>
    <x v="2"/>
    <x v="9"/>
    <x v="9"/>
    <x v="3"/>
    <x v="7"/>
    <x v="7"/>
    <x v="40"/>
    <x v="40"/>
    <n v="518.18460000000005"/>
    <x v="1"/>
    <x v="2"/>
    <x v="5"/>
    <x v="7"/>
    <x v="11"/>
    <x v="22"/>
    <n v="564.82121400000005"/>
  </r>
  <r>
    <x v="4"/>
    <x v="0"/>
    <x v="4"/>
    <x v="4"/>
    <x v="0"/>
    <x v="2"/>
    <x v="0"/>
    <x v="0"/>
    <x v="2"/>
    <x v="2"/>
    <x v="9"/>
    <x v="9"/>
    <x v="1"/>
    <x v="8"/>
    <x v="8"/>
    <x v="40"/>
    <x v="40"/>
    <n v="1521.1217999999999"/>
    <x v="1"/>
    <x v="2"/>
    <x v="5"/>
    <x v="7"/>
    <x v="11"/>
    <x v="22"/>
    <n v="1658.0227620000001"/>
  </r>
  <r>
    <x v="4"/>
    <x v="0"/>
    <x v="4"/>
    <x v="4"/>
    <x v="0"/>
    <x v="2"/>
    <x v="0"/>
    <x v="0"/>
    <x v="2"/>
    <x v="2"/>
    <x v="9"/>
    <x v="9"/>
    <x v="2"/>
    <x v="10"/>
    <x v="10"/>
    <x v="40"/>
    <x v="40"/>
    <n v="150.07859999999999"/>
    <x v="1"/>
    <x v="2"/>
    <x v="5"/>
    <x v="7"/>
    <x v="11"/>
    <x v="22"/>
    <n v="163.58567400000001"/>
  </r>
  <r>
    <x v="4"/>
    <x v="0"/>
    <x v="4"/>
    <x v="4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4"/>
    <x v="0"/>
    <x v="4"/>
    <x v="4"/>
    <x v="0"/>
    <x v="2"/>
    <x v="0"/>
    <x v="0"/>
    <x v="2"/>
    <x v="2"/>
    <x v="9"/>
    <x v="9"/>
    <x v="4"/>
    <x v="5"/>
    <x v="5"/>
    <x v="40"/>
    <x v="40"/>
    <n v="1254.1859999999999"/>
    <x v="1"/>
    <x v="2"/>
    <x v="5"/>
    <x v="7"/>
    <x v="11"/>
    <x v="22"/>
    <n v="1367.0627400000001"/>
  </r>
  <r>
    <x v="4"/>
    <x v="0"/>
    <x v="4"/>
    <x v="4"/>
    <x v="0"/>
    <x v="2"/>
    <x v="0"/>
    <x v="0"/>
    <x v="2"/>
    <x v="2"/>
    <x v="10"/>
    <x v="10"/>
    <x v="2"/>
    <x v="2"/>
    <x v="2"/>
    <x v="41"/>
    <x v="41"/>
    <n v="7.8049787233746004"/>
    <x v="1"/>
    <x v="2"/>
    <x v="5"/>
    <x v="7"/>
    <x v="11"/>
    <x v="22"/>
    <n v="8.5074268084783142"/>
  </r>
  <r>
    <x v="4"/>
    <x v="0"/>
    <x v="4"/>
    <x v="4"/>
    <x v="0"/>
    <x v="2"/>
    <x v="0"/>
    <x v="0"/>
    <x v="2"/>
    <x v="2"/>
    <x v="10"/>
    <x v="10"/>
    <x v="2"/>
    <x v="2"/>
    <x v="2"/>
    <x v="40"/>
    <x v="40"/>
    <n v="375.99880000000002"/>
    <x v="1"/>
    <x v="2"/>
    <x v="5"/>
    <x v="7"/>
    <x v="11"/>
    <x v="22"/>
    <n v="409.83869200000004"/>
  </r>
  <r>
    <x v="4"/>
    <x v="0"/>
    <x v="4"/>
    <x v="4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4"/>
    <x v="0"/>
    <x v="4"/>
    <x v="4"/>
    <x v="0"/>
    <x v="2"/>
    <x v="0"/>
    <x v="0"/>
    <x v="0"/>
    <x v="0"/>
    <x v="11"/>
    <x v="11"/>
    <x v="4"/>
    <x v="5"/>
    <x v="5"/>
    <x v="7"/>
    <x v="7"/>
    <n v="28.860334494017401"/>
    <x v="0"/>
    <x v="0"/>
    <x v="1"/>
    <x v="4"/>
    <x v="5"/>
    <x v="7"/>
    <n v="31.45776459847897"/>
  </r>
  <r>
    <x v="4"/>
    <x v="0"/>
    <x v="4"/>
    <x v="4"/>
    <x v="0"/>
    <x v="2"/>
    <x v="0"/>
    <x v="0"/>
    <x v="3"/>
    <x v="3"/>
    <x v="12"/>
    <x v="12"/>
    <x v="3"/>
    <x v="7"/>
    <x v="7"/>
    <x v="40"/>
    <x v="40"/>
    <n v="126.30840000000001"/>
    <x v="1"/>
    <x v="2"/>
    <x v="5"/>
    <x v="7"/>
    <x v="11"/>
    <x v="22"/>
    <n v="137.67615600000002"/>
  </r>
  <r>
    <x v="4"/>
    <x v="0"/>
    <x v="4"/>
    <x v="4"/>
    <x v="0"/>
    <x v="2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4"/>
    <x v="0"/>
    <x v="4"/>
    <x v="4"/>
    <x v="0"/>
    <x v="2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4"/>
    <x v="0"/>
    <x v="4"/>
    <x v="4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4"/>
    <x v="0"/>
    <x v="4"/>
    <x v="4"/>
    <x v="0"/>
    <x v="2"/>
    <x v="0"/>
    <x v="0"/>
    <x v="3"/>
    <x v="3"/>
    <x v="12"/>
    <x v="12"/>
    <x v="4"/>
    <x v="5"/>
    <x v="5"/>
    <x v="40"/>
    <x v="40"/>
    <n v="153.06037000000001"/>
    <x v="1"/>
    <x v="2"/>
    <x v="5"/>
    <x v="7"/>
    <x v="11"/>
    <x v="22"/>
    <n v="166.83580330000001"/>
  </r>
  <r>
    <x v="4"/>
    <x v="0"/>
    <x v="4"/>
    <x v="4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4"/>
    <x v="0"/>
    <x v="4"/>
    <x v="4"/>
    <x v="0"/>
    <x v="2"/>
    <x v="0"/>
    <x v="0"/>
    <x v="3"/>
    <x v="3"/>
    <x v="13"/>
    <x v="13"/>
    <x v="2"/>
    <x v="2"/>
    <x v="2"/>
    <x v="40"/>
    <x v="40"/>
    <n v="115.06562"/>
    <x v="1"/>
    <x v="2"/>
    <x v="5"/>
    <x v="7"/>
    <x v="11"/>
    <x v="22"/>
    <n v="125.4215258"/>
  </r>
  <r>
    <x v="4"/>
    <x v="0"/>
    <x v="4"/>
    <x v="4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4"/>
    <x v="0"/>
    <x v="4"/>
    <x v="4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4"/>
    <x v="0"/>
    <x v="4"/>
    <x v="4"/>
    <x v="0"/>
    <x v="2"/>
    <x v="0"/>
    <x v="0"/>
    <x v="3"/>
    <x v="3"/>
    <x v="19"/>
    <x v="19"/>
    <x v="3"/>
    <x v="7"/>
    <x v="7"/>
    <x v="40"/>
    <x v="40"/>
    <n v="1008.6538"/>
    <x v="1"/>
    <x v="2"/>
    <x v="5"/>
    <x v="7"/>
    <x v="11"/>
    <x v="22"/>
    <n v="1099.4326420000002"/>
  </r>
  <r>
    <x v="4"/>
    <x v="0"/>
    <x v="4"/>
    <x v="4"/>
    <x v="0"/>
    <x v="2"/>
    <x v="0"/>
    <x v="0"/>
    <x v="3"/>
    <x v="3"/>
    <x v="19"/>
    <x v="19"/>
    <x v="1"/>
    <x v="8"/>
    <x v="8"/>
    <x v="40"/>
    <x v="40"/>
    <n v="606.04849000000002"/>
    <x v="1"/>
    <x v="2"/>
    <x v="5"/>
    <x v="7"/>
    <x v="11"/>
    <x v="22"/>
    <n v="660.59285410000007"/>
  </r>
  <r>
    <x v="4"/>
    <x v="0"/>
    <x v="4"/>
    <x v="4"/>
    <x v="0"/>
    <x v="2"/>
    <x v="0"/>
    <x v="0"/>
    <x v="3"/>
    <x v="3"/>
    <x v="19"/>
    <x v="19"/>
    <x v="2"/>
    <x v="10"/>
    <x v="10"/>
    <x v="40"/>
    <x v="40"/>
    <n v="110.80092"/>
    <x v="1"/>
    <x v="2"/>
    <x v="5"/>
    <x v="7"/>
    <x v="11"/>
    <x v="22"/>
    <n v="120.77300280000001"/>
  </r>
  <r>
    <x v="4"/>
    <x v="0"/>
    <x v="4"/>
    <x v="4"/>
    <x v="0"/>
    <x v="2"/>
    <x v="0"/>
    <x v="0"/>
    <x v="3"/>
    <x v="3"/>
    <x v="19"/>
    <x v="19"/>
    <x v="4"/>
    <x v="5"/>
    <x v="5"/>
    <x v="40"/>
    <x v="40"/>
    <n v="633.32556999999997"/>
    <x v="1"/>
    <x v="2"/>
    <x v="5"/>
    <x v="7"/>
    <x v="11"/>
    <x v="22"/>
    <n v="690.32487130000004"/>
  </r>
  <r>
    <x v="4"/>
    <x v="0"/>
    <x v="4"/>
    <x v="4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4"/>
    <x v="0"/>
    <x v="4"/>
    <x v="4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4"/>
    <x v="0"/>
    <x v="4"/>
    <x v="4"/>
    <x v="0"/>
    <x v="2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4"/>
    <x v="0"/>
    <x v="4"/>
    <x v="4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4"/>
    <x v="0"/>
    <x v="4"/>
    <x v="4"/>
    <x v="0"/>
    <x v="2"/>
    <x v="0"/>
    <x v="0"/>
    <x v="2"/>
    <x v="2"/>
    <x v="15"/>
    <x v="15"/>
    <x v="0"/>
    <x v="4"/>
    <x v="4"/>
    <x v="40"/>
    <x v="40"/>
    <n v="42.35"/>
    <x v="1"/>
    <x v="2"/>
    <x v="5"/>
    <x v="7"/>
    <x v="11"/>
    <x v="22"/>
    <n v="46.161500000000004"/>
  </r>
  <r>
    <x v="4"/>
    <x v="0"/>
    <x v="4"/>
    <x v="4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4"/>
    <x v="0"/>
    <x v="4"/>
    <x v="4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4"/>
    <x v="0"/>
    <x v="4"/>
    <x v="4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4"/>
    <x v="0"/>
    <x v="4"/>
    <x v="4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4"/>
    <x v="0"/>
    <x v="4"/>
    <x v="4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4"/>
    <x v="0"/>
    <x v="4"/>
    <x v="4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4"/>
    <x v="0"/>
    <x v="4"/>
    <x v="4"/>
    <x v="0"/>
    <x v="2"/>
    <x v="0"/>
    <x v="0"/>
    <x v="2"/>
    <x v="2"/>
    <x v="16"/>
    <x v="16"/>
    <x v="2"/>
    <x v="2"/>
    <x v="2"/>
    <x v="40"/>
    <x v="40"/>
    <n v="21"/>
    <x v="1"/>
    <x v="2"/>
    <x v="5"/>
    <x v="7"/>
    <x v="11"/>
    <x v="22"/>
    <n v="22.89"/>
  </r>
  <r>
    <x v="4"/>
    <x v="0"/>
    <x v="4"/>
    <x v="4"/>
    <x v="0"/>
    <x v="2"/>
    <x v="0"/>
    <x v="0"/>
    <x v="2"/>
    <x v="2"/>
    <x v="17"/>
    <x v="17"/>
    <x v="2"/>
    <x v="2"/>
    <x v="2"/>
    <x v="40"/>
    <x v="40"/>
    <n v="93.988590000000002"/>
    <x v="1"/>
    <x v="2"/>
    <x v="5"/>
    <x v="7"/>
    <x v="11"/>
    <x v="22"/>
    <n v="102.44756310000001"/>
  </r>
  <r>
    <x v="4"/>
    <x v="0"/>
    <x v="4"/>
    <x v="4"/>
    <x v="0"/>
    <x v="2"/>
    <x v="0"/>
    <x v="0"/>
    <x v="2"/>
    <x v="2"/>
    <x v="17"/>
    <x v="17"/>
    <x v="2"/>
    <x v="2"/>
    <x v="2"/>
    <x v="38"/>
    <x v="38"/>
    <n v="34.25"/>
    <x v="1"/>
    <x v="0"/>
    <x v="4"/>
    <x v="6"/>
    <x v="10"/>
    <x v="21"/>
    <n v="37.332500000000003"/>
  </r>
  <r>
    <x v="4"/>
    <x v="0"/>
    <x v="4"/>
    <x v="4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4"/>
    <x v="0"/>
    <x v="4"/>
    <x v="4"/>
    <x v="0"/>
    <x v="2"/>
    <x v="0"/>
    <x v="0"/>
    <x v="2"/>
    <x v="2"/>
    <x v="17"/>
    <x v="17"/>
    <x v="3"/>
    <x v="7"/>
    <x v="7"/>
    <x v="7"/>
    <x v="7"/>
    <n v="308.90939372013003"/>
    <x v="0"/>
    <x v="0"/>
    <x v="1"/>
    <x v="4"/>
    <x v="5"/>
    <x v="7"/>
    <n v="336.71123915494178"/>
  </r>
  <r>
    <x v="4"/>
    <x v="0"/>
    <x v="4"/>
    <x v="4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4"/>
    <x v="0"/>
    <x v="4"/>
    <x v="4"/>
    <x v="0"/>
    <x v="2"/>
    <x v="0"/>
    <x v="0"/>
    <x v="2"/>
    <x v="2"/>
    <x v="17"/>
    <x v="17"/>
    <x v="1"/>
    <x v="8"/>
    <x v="8"/>
    <x v="7"/>
    <x v="7"/>
    <n v="5.4554216026445204"/>
    <x v="0"/>
    <x v="0"/>
    <x v="1"/>
    <x v="4"/>
    <x v="5"/>
    <x v="7"/>
    <n v="5.9464095468825278"/>
  </r>
  <r>
    <x v="4"/>
    <x v="0"/>
    <x v="4"/>
    <x v="4"/>
    <x v="0"/>
    <x v="2"/>
    <x v="0"/>
    <x v="0"/>
    <x v="2"/>
    <x v="2"/>
    <x v="17"/>
    <x v="17"/>
    <x v="1"/>
    <x v="8"/>
    <x v="8"/>
    <x v="40"/>
    <x v="40"/>
    <n v="107.25360000000001"/>
    <x v="1"/>
    <x v="2"/>
    <x v="5"/>
    <x v="7"/>
    <x v="11"/>
    <x v="22"/>
    <n v="116.90642400000002"/>
  </r>
  <r>
    <x v="4"/>
    <x v="0"/>
    <x v="4"/>
    <x v="4"/>
    <x v="0"/>
    <x v="2"/>
    <x v="0"/>
    <x v="0"/>
    <x v="2"/>
    <x v="2"/>
    <x v="17"/>
    <x v="17"/>
    <x v="0"/>
    <x v="9"/>
    <x v="9"/>
    <x v="7"/>
    <x v="7"/>
    <n v="173.106773514628"/>
    <x v="0"/>
    <x v="0"/>
    <x v="1"/>
    <x v="4"/>
    <x v="5"/>
    <x v="7"/>
    <n v="188.68638313094453"/>
  </r>
  <r>
    <x v="4"/>
    <x v="0"/>
    <x v="4"/>
    <x v="4"/>
    <x v="0"/>
    <x v="2"/>
    <x v="0"/>
    <x v="0"/>
    <x v="2"/>
    <x v="2"/>
    <x v="17"/>
    <x v="17"/>
    <x v="2"/>
    <x v="10"/>
    <x v="10"/>
    <x v="7"/>
    <x v="7"/>
    <n v="56.503484319077103"/>
    <x v="0"/>
    <x v="0"/>
    <x v="1"/>
    <x v="4"/>
    <x v="5"/>
    <x v="7"/>
    <n v="61.588797907794046"/>
  </r>
  <r>
    <x v="4"/>
    <x v="0"/>
    <x v="4"/>
    <x v="4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4"/>
    <x v="0"/>
    <x v="4"/>
    <x v="4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4"/>
    <x v="0"/>
    <x v="4"/>
    <x v="4"/>
    <x v="0"/>
    <x v="2"/>
    <x v="0"/>
    <x v="0"/>
    <x v="2"/>
    <x v="2"/>
    <x v="17"/>
    <x v="17"/>
    <x v="4"/>
    <x v="5"/>
    <x v="5"/>
    <x v="40"/>
    <x v="40"/>
    <n v="1007.63678"/>
    <x v="1"/>
    <x v="2"/>
    <x v="5"/>
    <x v="7"/>
    <x v="11"/>
    <x v="22"/>
    <n v="1098.3240902000002"/>
  </r>
  <r>
    <x v="4"/>
    <x v="0"/>
    <x v="4"/>
    <x v="4"/>
    <x v="0"/>
    <x v="3"/>
    <x v="0"/>
    <x v="0"/>
    <x v="0"/>
    <x v="0"/>
    <x v="0"/>
    <x v="0"/>
    <x v="3"/>
    <x v="3"/>
    <x v="3"/>
    <x v="14"/>
    <x v="14"/>
    <n v="26"/>
    <x v="0"/>
    <x v="0"/>
    <x v="0"/>
    <x v="0"/>
    <x v="8"/>
    <x v="14"/>
    <n v="28.340000000000003"/>
  </r>
  <r>
    <x v="4"/>
    <x v="0"/>
    <x v="4"/>
    <x v="4"/>
    <x v="0"/>
    <x v="3"/>
    <x v="0"/>
    <x v="0"/>
    <x v="0"/>
    <x v="0"/>
    <x v="0"/>
    <x v="0"/>
    <x v="3"/>
    <x v="3"/>
    <x v="3"/>
    <x v="27"/>
    <x v="27"/>
    <n v="0.11286936937175999"/>
    <x v="0"/>
    <x v="0"/>
    <x v="1"/>
    <x v="3"/>
    <x v="3"/>
    <x v="19"/>
    <n v="0.1230276126152184"/>
  </r>
  <r>
    <x v="4"/>
    <x v="0"/>
    <x v="4"/>
    <x v="4"/>
    <x v="0"/>
    <x v="3"/>
    <x v="0"/>
    <x v="0"/>
    <x v="0"/>
    <x v="0"/>
    <x v="0"/>
    <x v="0"/>
    <x v="0"/>
    <x v="4"/>
    <x v="4"/>
    <x v="11"/>
    <x v="11"/>
    <n v="2.4780000000000002"/>
    <x v="0"/>
    <x v="0"/>
    <x v="3"/>
    <x v="5"/>
    <x v="7"/>
    <x v="11"/>
    <n v="2.7010200000000002"/>
  </r>
  <r>
    <x v="4"/>
    <x v="0"/>
    <x v="4"/>
    <x v="4"/>
    <x v="0"/>
    <x v="3"/>
    <x v="0"/>
    <x v="0"/>
    <x v="0"/>
    <x v="0"/>
    <x v="0"/>
    <x v="0"/>
    <x v="0"/>
    <x v="4"/>
    <x v="4"/>
    <x v="14"/>
    <x v="14"/>
    <n v="8.0088200000000001"/>
    <x v="0"/>
    <x v="0"/>
    <x v="0"/>
    <x v="0"/>
    <x v="8"/>
    <x v="14"/>
    <n v="8.729613800000001"/>
  </r>
  <r>
    <x v="4"/>
    <x v="0"/>
    <x v="4"/>
    <x v="4"/>
    <x v="0"/>
    <x v="3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4"/>
    <x v="0"/>
    <x v="4"/>
    <x v="4"/>
    <x v="0"/>
    <x v="3"/>
    <x v="0"/>
    <x v="0"/>
    <x v="0"/>
    <x v="0"/>
    <x v="0"/>
    <x v="0"/>
    <x v="0"/>
    <x v="4"/>
    <x v="4"/>
    <x v="27"/>
    <x v="27"/>
    <n v="64.3470810824452"/>
    <x v="0"/>
    <x v="0"/>
    <x v="1"/>
    <x v="3"/>
    <x v="3"/>
    <x v="19"/>
    <n v="70.138318379865268"/>
  </r>
  <r>
    <x v="4"/>
    <x v="0"/>
    <x v="4"/>
    <x v="4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4"/>
    <x v="0"/>
    <x v="4"/>
    <x v="4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4"/>
    <x v="0"/>
    <x v="4"/>
    <x v="4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4"/>
    <x v="0"/>
    <x v="4"/>
    <x v="4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4"/>
    <x v="0"/>
    <x v="4"/>
    <x v="4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4"/>
    <x v="0"/>
    <x v="4"/>
    <x v="4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4"/>
    <x v="0"/>
    <x v="4"/>
    <x v="4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4"/>
    <x v="0"/>
    <x v="4"/>
    <x v="4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4"/>
    <x v="0"/>
    <x v="4"/>
    <x v="4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4"/>
    <x v="0"/>
    <x v="4"/>
    <x v="4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4"/>
    <x v="0"/>
    <x v="4"/>
    <x v="4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4"/>
    <x v="0"/>
    <x v="4"/>
    <x v="4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4"/>
    <x v="0"/>
    <x v="4"/>
    <x v="4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4"/>
    <x v="0"/>
    <x v="4"/>
    <x v="4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4"/>
    <x v="0"/>
    <x v="4"/>
    <x v="4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4"/>
    <x v="0"/>
    <x v="4"/>
    <x v="4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4"/>
    <x v="0"/>
    <x v="4"/>
    <x v="4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4"/>
    <x v="0"/>
    <x v="4"/>
    <x v="4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4"/>
    <x v="0"/>
    <x v="4"/>
    <x v="4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4"/>
    <x v="0"/>
    <x v="4"/>
    <x v="4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4"/>
    <x v="0"/>
    <x v="4"/>
    <x v="4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4"/>
    <x v="0"/>
    <x v="4"/>
    <x v="4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4"/>
    <x v="0"/>
    <x v="4"/>
    <x v="4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4"/>
    <x v="0"/>
    <x v="4"/>
    <x v="4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4"/>
    <x v="0"/>
    <x v="4"/>
    <x v="4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4"/>
    <x v="0"/>
    <x v="4"/>
    <x v="4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4"/>
    <x v="0"/>
    <x v="4"/>
    <x v="4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4"/>
    <x v="0"/>
    <x v="4"/>
    <x v="4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4"/>
    <x v="0"/>
    <x v="4"/>
    <x v="4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4"/>
    <x v="0"/>
    <x v="4"/>
    <x v="4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4"/>
    <x v="0"/>
    <x v="4"/>
    <x v="4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4"/>
    <x v="0"/>
    <x v="4"/>
    <x v="4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4"/>
    <x v="0"/>
    <x v="4"/>
    <x v="4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4"/>
    <x v="0"/>
    <x v="4"/>
    <x v="4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4"/>
    <x v="0"/>
    <x v="4"/>
    <x v="4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4"/>
    <x v="0"/>
    <x v="4"/>
    <x v="4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4"/>
    <x v="0"/>
    <x v="4"/>
    <x v="4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4"/>
    <x v="0"/>
    <x v="4"/>
    <x v="4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4"/>
    <x v="0"/>
    <x v="4"/>
    <x v="4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4"/>
    <x v="0"/>
    <x v="4"/>
    <x v="4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4"/>
    <x v="0"/>
    <x v="4"/>
    <x v="4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4"/>
    <x v="0"/>
    <x v="4"/>
    <x v="4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4"/>
    <x v="0"/>
    <x v="4"/>
    <x v="4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4"/>
    <x v="0"/>
    <x v="4"/>
    <x v="4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4"/>
    <x v="0"/>
    <x v="4"/>
    <x v="4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4"/>
    <x v="0"/>
    <x v="4"/>
    <x v="4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4"/>
    <x v="0"/>
    <x v="4"/>
    <x v="4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4"/>
    <x v="0"/>
    <x v="4"/>
    <x v="4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4"/>
    <x v="0"/>
    <x v="4"/>
    <x v="4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4"/>
    <x v="0"/>
    <x v="4"/>
    <x v="4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4"/>
    <x v="0"/>
    <x v="4"/>
    <x v="4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4"/>
    <x v="0"/>
    <x v="4"/>
    <x v="4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4"/>
    <x v="0"/>
    <x v="4"/>
    <x v="4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4"/>
    <x v="0"/>
    <x v="4"/>
    <x v="4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4"/>
    <x v="0"/>
    <x v="4"/>
    <x v="4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4"/>
    <x v="0"/>
    <x v="4"/>
    <x v="4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4"/>
    <x v="0"/>
    <x v="4"/>
    <x v="4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4"/>
    <x v="0"/>
    <x v="4"/>
    <x v="4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4"/>
    <x v="0"/>
    <x v="4"/>
    <x v="4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4"/>
    <x v="0"/>
    <x v="4"/>
    <x v="4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4"/>
    <x v="0"/>
    <x v="4"/>
    <x v="4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4"/>
    <x v="0"/>
    <x v="4"/>
    <x v="4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4"/>
    <x v="0"/>
    <x v="4"/>
    <x v="4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4"/>
    <x v="0"/>
    <x v="4"/>
    <x v="4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4"/>
    <x v="0"/>
    <x v="4"/>
    <x v="4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4"/>
    <x v="0"/>
    <x v="4"/>
    <x v="4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4"/>
    <x v="0"/>
    <x v="4"/>
    <x v="4"/>
    <x v="1"/>
    <x v="6"/>
    <x v="0"/>
    <x v="0"/>
    <x v="0"/>
    <x v="0"/>
    <x v="2"/>
    <x v="2"/>
    <x v="2"/>
    <x v="2"/>
    <x v="2"/>
    <x v="10"/>
    <x v="10"/>
    <n v="4.2474597790169604"/>
    <x v="0"/>
    <x v="0"/>
    <x v="1"/>
    <x v="4"/>
    <x v="5"/>
    <x v="10"/>
    <n v="4.6297311591284869"/>
  </r>
  <r>
    <x v="4"/>
    <x v="0"/>
    <x v="4"/>
    <x v="4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4"/>
    <x v="0"/>
    <x v="4"/>
    <x v="4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4"/>
    <x v="0"/>
    <x v="4"/>
    <x v="4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4"/>
    <x v="0"/>
    <x v="4"/>
    <x v="4"/>
    <x v="1"/>
    <x v="6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4"/>
    <x v="0"/>
    <x v="4"/>
    <x v="4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4"/>
    <x v="0"/>
    <x v="4"/>
    <x v="4"/>
    <x v="1"/>
    <x v="6"/>
    <x v="0"/>
    <x v="0"/>
    <x v="0"/>
    <x v="0"/>
    <x v="0"/>
    <x v="0"/>
    <x v="0"/>
    <x v="4"/>
    <x v="4"/>
    <x v="9"/>
    <x v="9"/>
    <n v="45.930736948923098"/>
    <x v="0"/>
    <x v="0"/>
    <x v="1"/>
    <x v="4"/>
    <x v="5"/>
    <x v="9"/>
    <n v="50.064503274326178"/>
  </r>
  <r>
    <x v="4"/>
    <x v="0"/>
    <x v="4"/>
    <x v="4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4"/>
    <x v="0"/>
    <x v="4"/>
    <x v="4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4"/>
    <x v="0"/>
    <x v="4"/>
    <x v="4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4"/>
    <x v="0"/>
    <x v="4"/>
    <x v="4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4"/>
    <x v="0"/>
    <x v="4"/>
    <x v="4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4"/>
    <x v="0"/>
    <x v="4"/>
    <x v="4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4"/>
    <x v="0"/>
    <x v="4"/>
    <x v="4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4"/>
    <x v="0"/>
    <x v="4"/>
    <x v="4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4"/>
    <x v="0"/>
    <x v="4"/>
    <x v="4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4"/>
    <x v="0"/>
    <x v="4"/>
    <x v="4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4"/>
    <x v="0"/>
    <x v="4"/>
    <x v="4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4"/>
    <x v="0"/>
    <x v="4"/>
    <x v="4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4"/>
    <x v="0"/>
    <x v="4"/>
    <x v="4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4"/>
    <x v="0"/>
    <x v="4"/>
    <x v="4"/>
    <x v="1"/>
    <x v="6"/>
    <x v="0"/>
    <x v="0"/>
    <x v="0"/>
    <x v="0"/>
    <x v="0"/>
    <x v="0"/>
    <x v="0"/>
    <x v="0"/>
    <x v="0"/>
    <x v="2"/>
    <x v="2"/>
    <n v="797.76594495364998"/>
    <x v="0"/>
    <x v="1"/>
    <x v="2"/>
    <x v="2"/>
    <x v="13"/>
    <x v="2"/>
    <n v="869.56487999947853"/>
  </r>
  <r>
    <x v="4"/>
    <x v="0"/>
    <x v="4"/>
    <x v="4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4"/>
    <x v="0"/>
    <x v="4"/>
    <x v="4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4"/>
    <x v="0"/>
    <x v="4"/>
    <x v="4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4"/>
    <x v="0"/>
    <x v="4"/>
    <x v="4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4"/>
    <x v="0"/>
    <x v="4"/>
    <x v="4"/>
    <x v="1"/>
    <x v="6"/>
    <x v="0"/>
    <x v="0"/>
    <x v="0"/>
    <x v="0"/>
    <x v="0"/>
    <x v="0"/>
    <x v="2"/>
    <x v="2"/>
    <x v="2"/>
    <x v="4"/>
    <x v="4"/>
    <n v="0.30825688073376001"/>
    <x v="0"/>
    <x v="0"/>
    <x v="1"/>
    <x v="3"/>
    <x v="3"/>
    <x v="4"/>
    <n v="0.33599999999979846"/>
  </r>
  <r>
    <x v="4"/>
    <x v="0"/>
    <x v="4"/>
    <x v="4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4"/>
    <x v="0"/>
    <x v="4"/>
    <x v="4"/>
    <x v="1"/>
    <x v="6"/>
    <x v="0"/>
    <x v="0"/>
    <x v="0"/>
    <x v="0"/>
    <x v="0"/>
    <x v="0"/>
    <x v="2"/>
    <x v="2"/>
    <x v="2"/>
    <x v="5"/>
    <x v="5"/>
    <n v="11.066625766955299"/>
    <x v="0"/>
    <x v="0"/>
    <x v="1"/>
    <x v="1"/>
    <x v="1"/>
    <x v="5"/>
    <n v="12.062622085981276"/>
  </r>
  <r>
    <x v="4"/>
    <x v="0"/>
    <x v="4"/>
    <x v="4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4"/>
    <x v="0"/>
    <x v="4"/>
    <x v="4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4"/>
    <x v="0"/>
    <x v="4"/>
    <x v="4"/>
    <x v="1"/>
    <x v="6"/>
    <x v="0"/>
    <x v="0"/>
    <x v="0"/>
    <x v="0"/>
    <x v="0"/>
    <x v="0"/>
    <x v="2"/>
    <x v="2"/>
    <x v="2"/>
    <x v="9"/>
    <x v="9"/>
    <n v="148.492752254132"/>
    <x v="0"/>
    <x v="0"/>
    <x v="1"/>
    <x v="4"/>
    <x v="5"/>
    <x v="9"/>
    <n v="161.8570999570039"/>
  </r>
  <r>
    <x v="4"/>
    <x v="0"/>
    <x v="4"/>
    <x v="4"/>
    <x v="1"/>
    <x v="6"/>
    <x v="0"/>
    <x v="0"/>
    <x v="0"/>
    <x v="0"/>
    <x v="0"/>
    <x v="0"/>
    <x v="2"/>
    <x v="2"/>
    <x v="2"/>
    <x v="10"/>
    <x v="10"/>
    <n v="30.336867695574401"/>
    <x v="0"/>
    <x v="0"/>
    <x v="1"/>
    <x v="4"/>
    <x v="5"/>
    <x v="10"/>
    <n v="33.067185788176097"/>
  </r>
  <r>
    <x v="4"/>
    <x v="0"/>
    <x v="4"/>
    <x v="4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4"/>
    <x v="0"/>
    <x v="4"/>
    <x v="4"/>
    <x v="1"/>
    <x v="6"/>
    <x v="0"/>
    <x v="0"/>
    <x v="0"/>
    <x v="0"/>
    <x v="0"/>
    <x v="0"/>
    <x v="2"/>
    <x v="2"/>
    <x v="2"/>
    <x v="80"/>
    <x v="80"/>
    <n v="31.5062110091554"/>
    <x v="0"/>
    <x v="0"/>
    <x v="1"/>
    <x v="4"/>
    <x v="5"/>
    <x v="10"/>
    <n v="34.341769999979391"/>
  </r>
  <r>
    <x v="4"/>
    <x v="0"/>
    <x v="4"/>
    <x v="4"/>
    <x v="1"/>
    <x v="6"/>
    <x v="0"/>
    <x v="0"/>
    <x v="0"/>
    <x v="0"/>
    <x v="0"/>
    <x v="0"/>
    <x v="2"/>
    <x v="2"/>
    <x v="2"/>
    <x v="31"/>
    <x v="31"/>
    <n v="12.754889908249201"/>
    <x v="0"/>
    <x v="0"/>
    <x v="1"/>
    <x v="4"/>
    <x v="5"/>
    <x v="10"/>
    <n v="13.90282999999163"/>
  </r>
  <r>
    <x v="4"/>
    <x v="0"/>
    <x v="4"/>
    <x v="4"/>
    <x v="1"/>
    <x v="6"/>
    <x v="0"/>
    <x v="0"/>
    <x v="0"/>
    <x v="0"/>
    <x v="0"/>
    <x v="0"/>
    <x v="2"/>
    <x v="2"/>
    <x v="2"/>
    <x v="11"/>
    <x v="11"/>
    <n v="0.63"/>
    <x v="0"/>
    <x v="0"/>
    <x v="3"/>
    <x v="5"/>
    <x v="7"/>
    <x v="11"/>
    <n v="0.68670000000000009"/>
  </r>
  <r>
    <x v="4"/>
    <x v="0"/>
    <x v="4"/>
    <x v="4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4"/>
    <x v="0"/>
    <x v="4"/>
    <x v="4"/>
    <x v="1"/>
    <x v="6"/>
    <x v="0"/>
    <x v="0"/>
    <x v="0"/>
    <x v="0"/>
    <x v="0"/>
    <x v="0"/>
    <x v="2"/>
    <x v="2"/>
    <x v="2"/>
    <x v="12"/>
    <x v="12"/>
    <n v="3.3601511627779299"/>
    <x v="0"/>
    <x v="0"/>
    <x v="0"/>
    <x v="0"/>
    <x v="8"/>
    <x v="12"/>
    <n v="3.662564767427944"/>
  </r>
  <r>
    <x v="4"/>
    <x v="0"/>
    <x v="4"/>
    <x v="4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4"/>
    <x v="0"/>
    <x v="4"/>
    <x v="4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4"/>
    <x v="0"/>
    <x v="4"/>
    <x v="4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4"/>
    <x v="0"/>
    <x v="4"/>
    <x v="4"/>
    <x v="1"/>
    <x v="6"/>
    <x v="0"/>
    <x v="0"/>
    <x v="0"/>
    <x v="0"/>
    <x v="0"/>
    <x v="0"/>
    <x v="2"/>
    <x v="2"/>
    <x v="2"/>
    <x v="27"/>
    <x v="27"/>
    <n v="4.3686351352277502"/>
    <x v="0"/>
    <x v="0"/>
    <x v="1"/>
    <x v="3"/>
    <x v="3"/>
    <x v="19"/>
    <n v="4.7618122973982482"/>
  </r>
  <r>
    <x v="4"/>
    <x v="0"/>
    <x v="4"/>
    <x v="4"/>
    <x v="1"/>
    <x v="6"/>
    <x v="0"/>
    <x v="0"/>
    <x v="0"/>
    <x v="0"/>
    <x v="0"/>
    <x v="0"/>
    <x v="2"/>
    <x v="2"/>
    <x v="2"/>
    <x v="78"/>
    <x v="78"/>
    <n v="4.0425963302727999"/>
    <x v="0"/>
    <x v="0"/>
    <x v="1"/>
    <x v="4"/>
    <x v="5"/>
    <x v="9"/>
    <n v="4.4064299999973517"/>
  </r>
  <r>
    <x v="4"/>
    <x v="0"/>
    <x v="4"/>
    <x v="4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4"/>
    <x v="0"/>
    <x v="4"/>
    <x v="4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4"/>
    <x v="0"/>
    <x v="4"/>
    <x v="4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4"/>
    <x v="0"/>
    <x v="4"/>
    <x v="4"/>
    <x v="0"/>
    <x v="3"/>
    <x v="0"/>
    <x v="0"/>
    <x v="0"/>
    <x v="0"/>
    <x v="0"/>
    <x v="0"/>
    <x v="1"/>
    <x v="1"/>
    <x v="1"/>
    <x v="14"/>
    <x v="14"/>
    <n v="7.6"/>
    <x v="0"/>
    <x v="0"/>
    <x v="0"/>
    <x v="0"/>
    <x v="8"/>
    <x v="14"/>
    <n v="8.2840000000000007"/>
  </r>
  <r>
    <x v="4"/>
    <x v="0"/>
    <x v="4"/>
    <x v="4"/>
    <x v="0"/>
    <x v="3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4"/>
    <x v="0"/>
    <x v="4"/>
    <x v="4"/>
    <x v="0"/>
    <x v="3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4"/>
    <x v="0"/>
    <x v="4"/>
    <x v="4"/>
    <x v="0"/>
    <x v="3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4"/>
    <x v="0"/>
    <x v="4"/>
    <x v="4"/>
    <x v="0"/>
    <x v="3"/>
    <x v="0"/>
    <x v="0"/>
    <x v="0"/>
    <x v="0"/>
    <x v="0"/>
    <x v="0"/>
    <x v="2"/>
    <x v="2"/>
    <x v="2"/>
    <x v="11"/>
    <x v="11"/>
    <n v="2.6278100000000002"/>
    <x v="0"/>
    <x v="0"/>
    <x v="3"/>
    <x v="5"/>
    <x v="7"/>
    <x v="11"/>
    <n v="2.8643129000000003"/>
  </r>
  <r>
    <x v="4"/>
    <x v="0"/>
    <x v="4"/>
    <x v="4"/>
    <x v="0"/>
    <x v="3"/>
    <x v="0"/>
    <x v="0"/>
    <x v="0"/>
    <x v="0"/>
    <x v="0"/>
    <x v="0"/>
    <x v="2"/>
    <x v="2"/>
    <x v="2"/>
    <x v="14"/>
    <x v="14"/>
    <n v="34.391199999999998"/>
    <x v="0"/>
    <x v="0"/>
    <x v="0"/>
    <x v="0"/>
    <x v="8"/>
    <x v="14"/>
    <n v="37.486407999999997"/>
  </r>
  <r>
    <x v="4"/>
    <x v="0"/>
    <x v="4"/>
    <x v="4"/>
    <x v="0"/>
    <x v="3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4"/>
    <x v="0"/>
    <x v="4"/>
    <x v="4"/>
    <x v="0"/>
    <x v="3"/>
    <x v="0"/>
    <x v="0"/>
    <x v="0"/>
    <x v="0"/>
    <x v="0"/>
    <x v="0"/>
    <x v="2"/>
    <x v="2"/>
    <x v="2"/>
    <x v="27"/>
    <x v="27"/>
    <n v="111.08997522758"/>
    <x v="0"/>
    <x v="0"/>
    <x v="1"/>
    <x v="3"/>
    <x v="3"/>
    <x v="19"/>
    <n v="121.0880729980622"/>
  </r>
  <r>
    <x v="4"/>
    <x v="0"/>
    <x v="4"/>
    <x v="4"/>
    <x v="0"/>
    <x v="3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4"/>
    <x v="0"/>
    <x v="4"/>
    <x v="4"/>
    <x v="0"/>
    <x v="3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4"/>
    <x v="0"/>
    <x v="4"/>
    <x v="4"/>
    <x v="0"/>
    <x v="3"/>
    <x v="0"/>
    <x v="0"/>
    <x v="0"/>
    <x v="0"/>
    <x v="0"/>
    <x v="0"/>
    <x v="1"/>
    <x v="6"/>
    <x v="6"/>
    <x v="27"/>
    <x v="27"/>
    <n v="14.173457207507701"/>
    <x v="0"/>
    <x v="0"/>
    <x v="1"/>
    <x v="3"/>
    <x v="3"/>
    <x v="19"/>
    <n v="15.449068356183394"/>
  </r>
  <r>
    <x v="4"/>
    <x v="0"/>
    <x v="4"/>
    <x v="4"/>
    <x v="0"/>
    <x v="3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4"/>
    <x v="0"/>
    <x v="4"/>
    <x v="4"/>
    <x v="0"/>
    <x v="3"/>
    <x v="0"/>
    <x v="0"/>
    <x v="0"/>
    <x v="0"/>
    <x v="0"/>
    <x v="0"/>
    <x v="4"/>
    <x v="5"/>
    <x v="5"/>
    <x v="27"/>
    <x v="27"/>
    <n v="32.021385135814"/>
    <x v="0"/>
    <x v="0"/>
    <x v="1"/>
    <x v="3"/>
    <x v="3"/>
    <x v="19"/>
    <n v="34.903309798037263"/>
  </r>
  <r>
    <x v="4"/>
    <x v="0"/>
    <x v="4"/>
    <x v="4"/>
    <x v="0"/>
    <x v="3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4"/>
    <x v="0"/>
    <x v="4"/>
    <x v="4"/>
    <x v="0"/>
    <x v="3"/>
    <x v="0"/>
    <x v="0"/>
    <x v="0"/>
    <x v="0"/>
    <x v="4"/>
    <x v="4"/>
    <x v="2"/>
    <x v="2"/>
    <x v="2"/>
    <x v="27"/>
    <x v="27"/>
    <n v="2.2915540541026398"/>
    <x v="0"/>
    <x v="0"/>
    <x v="1"/>
    <x v="3"/>
    <x v="3"/>
    <x v="19"/>
    <n v="2.4977939189718774"/>
  </r>
  <r>
    <x v="4"/>
    <x v="0"/>
    <x v="4"/>
    <x v="4"/>
    <x v="0"/>
    <x v="5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4"/>
    <x v="0"/>
    <x v="4"/>
    <x v="4"/>
    <x v="0"/>
    <x v="5"/>
    <x v="0"/>
    <x v="0"/>
    <x v="0"/>
    <x v="0"/>
    <x v="0"/>
    <x v="0"/>
    <x v="0"/>
    <x v="4"/>
    <x v="4"/>
    <x v="11"/>
    <x v="11"/>
    <n v="5.9173499999999999"/>
    <x v="0"/>
    <x v="0"/>
    <x v="3"/>
    <x v="5"/>
    <x v="7"/>
    <x v="11"/>
    <n v="6.4499115000000007"/>
  </r>
  <r>
    <x v="4"/>
    <x v="0"/>
    <x v="4"/>
    <x v="4"/>
    <x v="0"/>
    <x v="5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4"/>
    <x v="0"/>
    <x v="4"/>
    <x v="4"/>
    <x v="0"/>
    <x v="5"/>
    <x v="0"/>
    <x v="0"/>
    <x v="0"/>
    <x v="0"/>
    <x v="0"/>
    <x v="0"/>
    <x v="2"/>
    <x v="2"/>
    <x v="2"/>
    <x v="11"/>
    <x v="11"/>
    <n v="46.603470000000002"/>
    <x v="0"/>
    <x v="0"/>
    <x v="3"/>
    <x v="5"/>
    <x v="7"/>
    <x v="11"/>
    <n v="50.797782300000009"/>
  </r>
  <r>
    <x v="4"/>
    <x v="0"/>
    <x v="4"/>
    <x v="4"/>
    <x v="0"/>
    <x v="5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4"/>
    <x v="0"/>
    <x v="4"/>
    <x v="4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4"/>
    <x v="0"/>
    <x v="4"/>
    <x v="4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4"/>
    <x v="0"/>
    <x v="4"/>
    <x v="4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4"/>
    <x v="0"/>
    <x v="4"/>
    <x v="4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4"/>
    <x v="0"/>
    <x v="4"/>
    <x v="4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4"/>
    <x v="0"/>
    <x v="4"/>
    <x v="4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4"/>
    <x v="0"/>
    <x v="4"/>
    <x v="4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4"/>
    <x v="0"/>
    <x v="4"/>
    <x v="4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4"/>
    <x v="0"/>
    <x v="4"/>
    <x v="4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4"/>
    <x v="0"/>
    <x v="4"/>
    <x v="4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4"/>
    <x v="0"/>
    <x v="4"/>
    <x v="4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4"/>
    <x v="0"/>
    <x v="4"/>
    <x v="4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4"/>
    <x v="0"/>
    <x v="4"/>
    <x v="4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4"/>
    <x v="0"/>
    <x v="4"/>
    <x v="4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4"/>
    <x v="0"/>
    <x v="4"/>
    <x v="4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4"/>
    <x v="0"/>
    <x v="4"/>
    <x v="4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4"/>
    <x v="0"/>
    <x v="4"/>
    <x v="4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4"/>
    <x v="0"/>
    <x v="4"/>
    <x v="4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4"/>
    <x v="0"/>
    <x v="4"/>
    <x v="4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4"/>
    <x v="0"/>
    <x v="4"/>
    <x v="4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4"/>
    <x v="0"/>
    <x v="4"/>
    <x v="4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4"/>
    <x v="0"/>
    <x v="4"/>
    <x v="4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4"/>
    <x v="0"/>
    <x v="4"/>
    <x v="4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4"/>
    <x v="0"/>
    <x v="4"/>
    <x v="4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4"/>
    <x v="0"/>
    <x v="4"/>
    <x v="4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4"/>
    <x v="0"/>
    <x v="4"/>
    <x v="4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4"/>
    <x v="0"/>
    <x v="4"/>
    <x v="4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4"/>
    <x v="0"/>
    <x v="4"/>
    <x v="4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4"/>
    <x v="0"/>
    <x v="4"/>
    <x v="4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4"/>
    <x v="0"/>
    <x v="4"/>
    <x v="4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4"/>
    <x v="0"/>
    <x v="4"/>
    <x v="4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4"/>
    <x v="0"/>
    <x v="4"/>
    <x v="4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4"/>
    <x v="0"/>
    <x v="4"/>
    <x v="4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4"/>
    <x v="0"/>
    <x v="4"/>
    <x v="4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4"/>
    <x v="0"/>
    <x v="4"/>
    <x v="4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4"/>
    <x v="0"/>
    <x v="4"/>
    <x v="4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4"/>
    <x v="0"/>
    <x v="4"/>
    <x v="4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4"/>
    <x v="0"/>
    <x v="4"/>
    <x v="4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4"/>
    <x v="0"/>
    <x v="4"/>
    <x v="4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4"/>
    <x v="0"/>
    <x v="4"/>
    <x v="4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4"/>
    <x v="0"/>
    <x v="4"/>
    <x v="4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4"/>
    <x v="0"/>
    <x v="4"/>
    <x v="4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4"/>
    <x v="0"/>
    <x v="4"/>
    <x v="4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4"/>
    <x v="0"/>
    <x v="4"/>
    <x v="4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4"/>
    <x v="0"/>
    <x v="4"/>
    <x v="4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4"/>
    <x v="0"/>
    <x v="4"/>
    <x v="4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4"/>
    <x v="0"/>
    <x v="4"/>
    <x v="4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4"/>
    <x v="0"/>
    <x v="4"/>
    <x v="4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4"/>
    <x v="0"/>
    <x v="4"/>
    <x v="4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4"/>
    <x v="0"/>
    <x v="4"/>
    <x v="4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4"/>
    <x v="0"/>
    <x v="4"/>
    <x v="4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4"/>
    <x v="0"/>
    <x v="4"/>
    <x v="4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4"/>
    <x v="0"/>
    <x v="4"/>
    <x v="4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4"/>
    <x v="0"/>
    <x v="4"/>
    <x v="4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4"/>
    <x v="0"/>
    <x v="4"/>
    <x v="4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4"/>
    <x v="0"/>
    <x v="4"/>
    <x v="4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4"/>
    <x v="0"/>
    <x v="4"/>
    <x v="4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4"/>
    <x v="0"/>
    <x v="4"/>
    <x v="4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4"/>
    <x v="0"/>
    <x v="4"/>
    <x v="4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4"/>
    <x v="0"/>
    <x v="4"/>
    <x v="4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4"/>
    <x v="0"/>
    <x v="4"/>
    <x v="4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4"/>
    <x v="0"/>
    <x v="4"/>
    <x v="4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4"/>
    <x v="0"/>
    <x v="4"/>
    <x v="4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4"/>
    <x v="0"/>
    <x v="4"/>
    <x v="4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4"/>
    <x v="0"/>
    <x v="4"/>
    <x v="4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4"/>
    <x v="0"/>
    <x v="4"/>
    <x v="4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4"/>
    <x v="0"/>
    <x v="4"/>
    <x v="4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4"/>
    <x v="0"/>
    <x v="4"/>
    <x v="4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4"/>
    <x v="0"/>
    <x v="4"/>
    <x v="4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4"/>
    <x v="0"/>
    <x v="4"/>
    <x v="4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4"/>
    <x v="0"/>
    <x v="4"/>
    <x v="4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4"/>
    <x v="0"/>
    <x v="4"/>
    <x v="4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4"/>
    <x v="0"/>
    <x v="4"/>
    <x v="4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4"/>
    <x v="0"/>
    <x v="4"/>
    <x v="4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4"/>
    <x v="0"/>
    <x v="4"/>
    <x v="4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4"/>
    <x v="0"/>
    <x v="4"/>
    <x v="4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4"/>
    <x v="0"/>
    <x v="4"/>
    <x v="4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4"/>
    <x v="0"/>
    <x v="4"/>
    <x v="4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4"/>
    <x v="0"/>
    <x v="4"/>
    <x v="4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4"/>
    <x v="0"/>
    <x v="4"/>
    <x v="4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4"/>
    <x v="0"/>
    <x v="4"/>
    <x v="4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4"/>
    <x v="0"/>
    <x v="4"/>
    <x v="4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4"/>
    <x v="0"/>
    <x v="4"/>
    <x v="4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4"/>
    <x v="0"/>
    <x v="4"/>
    <x v="4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4"/>
    <x v="0"/>
    <x v="4"/>
    <x v="4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4"/>
    <x v="0"/>
    <x v="4"/>
    <x v="4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4"/>
    <x v="0"/>
    <x v="4"/>
    <x v="4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4"/>
    <x v="0"/>
    <x v="4"/>
    <x v="4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4"/>
    <x v="0"/>
    <x v="4"/>
    <x v="4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4"/>
    <x v="0"/>
    <x v="4"/>
    <x v="4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4"/>
    <x v="0"/>
    <x v="4"/>
    <x v="4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4"/>
    <x v="0"/>
    <x v="4"/>
    <x v="4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4"/>
    <x v="0"/>
    <x v="4"/>
    <x v="4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4"/>
    <x v="0"/>
    <x v="4"/>
    <x v="4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4"/>
    <x v="0"/>
    <x v="4"/>
    <x v="4"/>
    <x v="0"/>
    <x v="4"/>
    <x v="0"/>
    <x v="0"/>
    <x v="0"/>
    <x v="0"/>
    <x v="0"/>
    <x v="0"/>
    <x v="0"/>
    <x v="0"/>
    <x v="0"/>
    <x v="55"/>
    <x v="55"/>
    <n v="2.0282201834850202"/>
    <x v="0"/>
    <x v="0"/>
    <x v="1"/>
    <x v="3"/>
    <x v="3"/>
    <x v="15"/>
    <n v="2.2107599999986722"/>
  </r>
  <r>
    <x v="4"/>
    <x v="0"/>
    <x v="4"/>
    <x v="4"/>
    <x v="0"/>
    <x v="4"/>
    <x v="0"/>
    <x v="0"/>
    <x v="0"/>
    <x v="0"/>
    <x v="0"/>
    <x v="0"/>
    <x v="0"/>
    <x v="0"/>
    <x v="0"/>
    <x v="11"/>
    <x v="11"/>
    <n v="34.692720000000001"/>
    <x v="0"/>
    <x v="0"/>
    <x v="3"/>
    <x v="5"/>
    <x v="7"/>
    <x v="11"/>
    <n v="37.815064800000002"/>
  </r>
  <r>
    <x v="4"/>
    <x v="0"/>
    <x v="4"/>
    <x v="4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4"/>
    <x v="0"/>
    <x v="4"/>
    <x v="4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4"/>
    <x v="0"/>
    <x v="4"/>
    <x v="4"/>
    <x v="0"/>
    <x v="4"/>
    <x v="0"/>
    <x v="0"/>
    <x v="0"/>
    <x v="0"/>
    <x v="0"/>
    <x v="0"/>
    <x v="0"/>
    <x v="0"/>
    <x v="0"/>
    <x v="36"/>
    <x v="36"/>
    <n v="11.0916"/>
    <x v="0"/>
    <x v="0"/>
    <x v="1"/>
    <x v="3"/>
    <x v="3"/>
    <x v="4"/>
    <n v="12.089844000000001"/>
  </r>
  <r>
    <x v="4"/>
    <x v="0"/>
    <x v="4"/>
    <x v="4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4"/>
    <x v="0"/>
    <x v="4"/>
    <x v="4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4"/>
    <x v="0"/>
    <x v="4"/>
    <x v="4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4"/>
    <x v="0"/>
    <x v="4"/>
    <x v="4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4"/>
    <x v="0"/>
    <x v="4"/>
    <x v="4"/>
    <x v="0"/>
    <x v="4"/>
    <x v="0"/>
    <x v="0"/>
    <x v="0"/>
    <x v="0"/>
    <x v="0"/>
    <x v="0"/>
    <x v="1"/>
    <x v="1"/>
    <x v="1"/>
    <x v="55"/>
    <x v="55"/>
    <n v="3.9642935779792698"/>
    <x v="0"/>
    <x v="0"/>
    <x v="1"/>
    <x v="3"/>
    <x v="3"/>
    <x v="15"/>
    <n v="4.3210799999974041"/>
  </r>
  <r>
    <x v="4"/>
    <x v="0"/>
    <x v="4"/>
    <x v="4"/>
    <x v="0"/>
    <x v="4"/>
    <x v="0"/>
    <x v="0"/>
    <x v="0"/>
    <x v="0"/>
    <x v="0"/>
    <x v="0"/>
    <x v="1"/>
    <x v="1"/>
    <x v="1"/>
    <x v="11"/>
    <x v="11"/>
    <n v="27.810960000000001"/>
    <x v="0"/>
    <x v="0"/>
    <x v="3"/>
    <x v="5"/>
    <x v="7"/>
    <x v="11"/>
    <n v="30.313946400000003"/>
  </r>
  <r>
    <x v="4"/>
    <x v="0"/>
    <x v="4"/>
    <x v="4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4"/>
    <x v="0"/>
    <x v="4"/>
    <x v="4"/>
    <x v="0"/>
    <x v="4"/>
    <x v="0"/>
    <x v="0"/>
    <x v="0"/>
    <x v="0"/>
    <x v="0"/>
    <x v="0"/>
    <x v="1"/>
    <x v="1"/>
    <x v="1"/>
    <x v="36"/>
    <x v="36"/>
    <n v="5.4064800000000002"/>
    <x v="0"/>
    <x v="0"/>
    <x v="1"/>
    <x v="3"/>
    <x v="3"/>
    <x v="4"/>
    <n v="5.8930632000000003"/>
  </r>
  <r>
    <x v="4"/>
    <x v="0"/>
    <x v="4"/>
    <x v="4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4"/>
    <x v="0"/>
    <x v="4"/>
    <x v="4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4"/>
    <x v="0"/>
    <x v="4"/>
    <x v="4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4"/>
    <x v="0"/>
    <x v="4"/>
    <x v="4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4"/>
    <x v="0"/>
    <x v="4"/>
    <x v="4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4"/>
    <x v="0"/>
    <x v="4"/>
    <x v="4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4"/>
    <x v="0"/>
    <x v="4"/>
    <x v="4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4"/>
    <x v="0"/>
    <x v="4"/>
    <x v="4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4"/>
    <x v="0"/>
    <x v="4"/>
    <x v="4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4"/>
    <x v="0"/>
    <x v="4"/>
    <x v="4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4"/>
    <x v="0"/>
    <x v="4"/>
    <x v="4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4"/>
    <x v="0"/>
    <x v="4"/>
    <x v="4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4"/>
    <x v="0"/>
    <x v="4"/>
    <x v="4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4"/>
    <x v="0"/>
    <x v="4"/>
    <x v="4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4"/>
    <x v="0"/>
    <x v="4"/>
    <x v="4"/>
    <x v="0"/>
    <x v="4"/>
    <x v="0"/>
    <x v="0"/>
    <x v="0"/>
    <x v="0"/>
    <x v="0"/>
    <x v="0"/>
    <x v="4"/>
    <x v="5"/>
    <x v="5"/>
    <x v="55"/>
    <x v="55"/>
    <n v="10.304587155957099"/>
    <x v="0"/>
    <x v="0"/>
    <x v="1"/>
    <x v="3"/>
    <x v="3"/>
    <x v="15"/>
    <n v="11.231999999993239"/>
  </r>
  <r>
    <x v="4"/>
    <x v="0"/>
    <x v="4"/>
    <x v="4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4"/>
    <x v="0"/>
    <x v="4"/>
    <x v="4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4"/>
    <x v="0"/>
    <x v="4"/>
    <x v="4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4"/>
    <x v="0"/>
    <x v="4"/>
    <x v="4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4"/>
    <x v="0"/>
    <x v="4"/>
    <x v="4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4"/>
    <x v="0"/>
    <x v="4"/>
    <x v="4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4"/>
    <x v="0"/>
    <x v="4"/>
    <x v="4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4"/>
    <x v="0"/>
    <x v="4"/>
    <x v="4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4"/>
    <x v="0"/>
    <x v="4"/>
    <x v="4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4"/>
    <x v="0"/>
    <x v="4"/>
    <x v="4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4"/>
    <x v="0"/>
    <x v="4"/>
    <x v="4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4"/>
    <x v="0"/>
    <x v="4"/>
    <x v="4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4"/>
    <x v="0"/>
    <x v="4"/>
    <x v="4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4"/>
    <x v="0"/>
    <x v="4"/>
    <x v="4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4"/>
    <x v="0"/>
    <x v="4"/>
    <x v="4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4"/>
    <x v="0"/>
    <x v="4"/>
    <x v="4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4"/>
    <x v="0"/>
    <x v="4"/>
    <x v="4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4"/>
    <x v="0"/>
    <x v="4"/>
    <x v="4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4"/>
    <x v="0"/>
    <x v="4"/>
    <x v="4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4"/>
    <x v="0"/>
    <x v="4"/>
    <x v="4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4"/>
    <x v="0"/>
    <x v="4"/>
    <x v="4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4"/>
    <x v="0"/>
    <x v="4"/>
    <x v="4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4"/>
    <x v="0"/>
    <x v="4"/>
    <x v="4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4"/>
    <x v="0"/>
    <x v="4"/>
    <x v="4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4"/>
    <x v="0"/>
    <x v="4"/>
    <x v="4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4"/>
    <x v="0"/>
    <x v="4"/>
    <x v="4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4"/>
    <x v="0"/>
    <x v="4"/>
    <x v="4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4"/>
    <x v="0"/>
    <x v="4"/>
    <x v="4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4"/>
    <x v="0"/>
    <x v="4"/>
    <x v="4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4"/>
    <x v="0"/>
    <x v="4"/>
    <x v="4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4"/>
    <x v="0"/>
    <x v="4"/>
    <x v="4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4"/>
    <x v="0"/>
    <x v="4"/>
    <x v="4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4"/>
    <x v="0"/>
    <x v="4"/>
    <x v="4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4"/>
    <x v="0"/>
    <x v="4"/>
    <x v="4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4"/>
    <x v="0"/>
    <x v="4"/>
    <x v="4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4"/>
    <x v="0"/>
    <x v="4"/>
    <x v="4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4"/>
    <x v="0"/>
    <x v="4"/>
    <x v="4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4"/>
    <x v="0"/>
    <x v="4"/>
    <x v="4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4"/>
    <x v="0"/>
    <x v="4"/>
    <x v="4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4"/>
    <x v="0"/>
    <x v="4"/>
    <x v="4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4"/>
    <x v="0"/>
    <x v="4"/>
    <x v="4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4"/>
    <x v="0"/>
    <x v="4"/>
    <x v="4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4"/>
    <x v="0"/>
    <x v="4"/>
    <x v="4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4"/>
    <x v="0"/>
    <x v="4"/>
    <x v="4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4"/>
    <x v="0"/>
    <x v="4"/>
    <x v="4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4"/>
    <x v="0"/>
    <x v="4"/>
    <x v="4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4"/>
    <x v="0"/>
    <x v="4"/>
    <x v="4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4"/>
    <x v="0"/>
    <x v="4"/>
    <x v="4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4"/>
    <x v="0"/>
    <x v="4"/>
    <x v="4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4"/>
    <x v="0"/>
    <x v="4"/>
    <x v="4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4"/>
    <x v="0"/>
    <x v="4"/>
    <x v="4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4"/>
    <x v="0"/>
    <x v="4"/>
    <x v="4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4"/>
    <x v="0"/>
    <x v="4"/>
    <x v="4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4"/>
    <x v="0"/>
    <x v="4"/>
    <x v="4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4"/>
    <x v="0"/>
    <x v="4"/>
    <x v="4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4"/>
    <x v="0"/>
    <x v="4"/>
    <x v="4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4"/>
    <x v="0"/>
    <x v="4"/>
    <x v="4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4"/>
    <x v="0"/>
    <x v="4"/>
    <x v="4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4"/>
    <x v="0"/>
    <x v="4"/>
    <x v="4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4"/>
    <x v="0"/>
    <x v="4"/>
    <x v="4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4"/>
    <x v="0"/>
    <x v="4"/>
    <x v="4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4"/>
    <x v="0"/>
    <x v="4"/>
    <x v="4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4"/>
    <x v="0"/>
    <x v="4"/>
    <x v="4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4"/>
    <x v="0"/>
    <x v="4"/>
    <x v="4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4"/>
    <x v="0"/>
    <x v="4"/>
    <x v="4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4"/>
    <x v="0"/>
    <x v="4"/>
    <x v="4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4"/>
    <x v="0"/>
    <x v="4"/>
    <x v="4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4"/>
    <x v="0"/>
    <x v="4"/>
    <x v="4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4"/>
    <x v="0"/>
    <x v="4"/>
    <x v="4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4"/>
    <x v="0"/>
    <x v="4"/>
    <x v="4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4"/>
    <x v="0"/>
    <x v="4"/>
    <x v="4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4"/>
    <x v="0"/>
    <x v="4"/>
    <x v="4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4"/>
    <x v="0"/>
    <x v="4"/>
    <x v="4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4"/>
    <x v="0"/>
    <x v="4"/>
    <x v="4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4"/>
    <x v="0"/>
    <x v="4"/>
    <x v="4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4"/>
    <x v="0"/>
    <x v="4"/>
    <x v="4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4"/>
    <x v="0"/>
    <x v="4"/>
    <x v="4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4"/>
    <x v="0"/>
    <x v="4"/>
    <x v="4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4"/>
    <x v="0"/>
    <x v="4"/>
    <x v="4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4"/>
    <x v="0"/>
    <x v="4"/>
    <x v="4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4"/>
    <x v="0"/>
    <x v="4"/>
    <x v="4"/>
    <x v="1"/>
    <x v="6"/>
    <x v="0"/>
    <x v="0"/>
    <x v="0"/>
    <x v="0"/>
    <x v="0"/>
    <x v="0"/>
    <x v="2"/>
    <x v="2"/>
    <x v="2"/>
    <x v="1"/>
    <x v="1"/>
    <n v="9.3095310344315596"/>
    <x v="0"/>
    <x v="0"/>
    <x v="1"/>
    <x v="1"/>
    <x v="1"/>
    <x v="1"/>
    <n v="10.147388827530401"/>
  </r>
  <r>
    <x v="4"/>
    <x v="0"/>
    <x v="4"/>
    <x v="4"/>
    <x v="1"/>
    <x v="6"/>
    <x v="0"/>
    <x v="0"/>
    <x v="0"/>
    <x v="0"/>
    <x v="0"/>
    <x v="0"/>
    <x v="2"/>
    <x v="2"/>
    <x v="2"/>
    <x v="2"/>
    <x v="2"/>
    <n v="66.837733944914007"/>
    <x v="0"/>
    <x v="1"/>
    <x v="2"/>
    <x v="2"/>
    <x v="13"/>
    <x v="2"/>
    <n v="72.853129999956266"/>
  </r>
  <r>
    <x v="4"/>
    <x v="0"/>
    <x v="4"/>
    <x v="4"/>
    <x v="1"/>
    <x v="6"/>
    <x v="0"/>
    <x v="0"/>
    <x v="0"/>
    <x v="0"/>
    <x v="0"/>
    <x v="0"/>
    <x v="1"/>
    <x v="6"/>
    <x v="6"/>
    <x v="9"/>
    <x v="9"/>
    <n v="93.979539352244501"/>
    <x v="0"/>
    <x v="0"/>
    <x v="1"/>
    <x v="4"/>
    <x v="5"/>
    <x v="9"/>
    <n v="102.43769789394652"/>
  </r>
  <r>
    <x v="4"/>
    <x v="0"/>
    <x v="4"/>
    <x v="4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4"/>
    <x v="0"/>
    <x v="4"/>
    <x v="4"/>
    <x v="1"/>
    <x v="6"/>
    <x v="0"/>
    <x v="0"/>
    <x v="0"/>
    <x v="0"/>
    <x v="0"/>
    <x v="0"/>
    <x v="1"/>
    <x v="6"/>
    <x v="6"/>
    <x v="31"/>
    <x v="31"/>
    <n v="0.12286238532103"/>
    <x v="0"/>
    <x v="0"/>
    <x v="1"/>
    <x v="4"/>
    <x v="5"/>
    <x v="10"/>
    <n v="0.13391999999992271"/>
  </r>
  <r>
    <x v="4"/>
    <x v="0"/>
    <x v="4"/>
    <x v="4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4"/>
    <x v="0"/>
    <x v="4"/>
    <x v="4"/>
    <x v="1"/>
    <x v="6"/>
    <x v="0"/>
    <x v="0"/>
    <x v="0"/>
    <x v="0"/>
    <x v="0"/>
    <x v="0"/>
    <x v="1"/>
    <x v="6"/>
    <x v="6"/>
    <x v="21"/>
    <x v="21"/>
    <n v="492.34284403640203"/>
    <x v="0"/>
    <x v="0"/>
    <x v="1"/>
    <x v="4"/>
    <x v="5"/>
    <x v="10"/>
    <n v="536.65369999967822"/>
  </r>
  <r>
    <x v="4"/>
    <x v="0"/>
    <x v="4"/>
    <x v="4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4"/>
    <x v="0"/>
    <x v="4"/>
    <x v="4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4"/>
    <x v="0"/>
    <x v="4"/>
    <x v="4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4"/>
    <x v="0"/>
    <x v="4"/>
    <x v="4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4"/>
    <x v="0"/>
    <x v="4"/>
    <x v="4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4"/>
    <x v="0"/>
    <x v="4"/>
    <x v="4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4"/>
    <x v="0"/>
    <x v="4"/>
    <x v="4"/>
    <x v="1"/>
    <x v="6"/>
    <x v="0"/>
    <x v="0"/>
    <x v="0"/>
    <x v="0"/>
    <x v="0"/>
    <x v="0"/>
    <x v="3"/>
    <x v="7"/>
    <x v="7"/>
    <x v="9"/>
    <x v="9"/>
    <n v="0.22211776402238001"/>
    <x v="0"/>
    <x v="0"/>
    <x v="1"/>
    <x v="4"/>
    <x v="5"/>
    <x v="9"/>
    <n v="0.24210836278439424"/>
  </r>
  <r>
    <x v="4"/>
    <x v="0"/>
    <x v="4"/>
    <x v="4"/>
    <x v="1"/>
    <x v="6"/>
    <x v="0"/>
    <x v="0"/>
    <x v="0"/>
    <x v="0"/>
    <x v="0"/>
    <x v="0"/>
    <x v="3"/>
    <x v="7"/>
    <x v="7"/>
    <x v="10"/>
    <x v="10"/>
    <n v="40.208993124204802"/>
    <x v="0"/>
    <x v="0"/>
    <x v="1"/>
    <x v="4"/>
    <x v="5"/>
    <x v="10"/>
    <n v="43.827802505383239"/>
  </r>
  <r>
    <x v="4"/>
    <x v="0"/>
    <x v="4"/>
    <x v="4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4"/>
    <x v="0"/>
    <x v="4"/>
    <x v="4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4"/>
    <x v="0"/>
    <x v="4"/>
    <x v="4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4"/>
    <x v="0"/>
    <x v="4"/>
    <x v="4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4"/>
    <x v="0"/>
    <x v="4"/>
    <x v="4"/>
    <x v="1"/>
    <x v="6"/>
    <x v="0"/>
    <x v="0"/>
    <x v="0"/>
    <x v="0"/>
    <x v="0"/>
    <x v="0"/>
    <x v="1"/>
    <x v="8"/>
    <x v="8"/>
    <x v="9"/>
    <x v="9"/>
    <n v="353.12653321881999"/>
    <x v="0"/>
    <x v="0"/>
    <x v="1"/>
    <x v="4"/>
    <x v="5"/>
    <x v="9"/>
    <n v="384.90792120851381"/>
  </r>
  <r>
    <x v="4"/>
    <x v="0"/>
    <x v="4"/>
    <x v="4"/>
    <x v="1"/>
    <x v="6"/>
    <x v="0"/>
    <x v="0"/>
    <x v="0"/>
    <x v="0"/>
    <x v="0"/>
    <x v="0"/>
    <x v="1"/>
    <x v="8"/>
    <x v="8"/>
    <x v="10"/>
    <x v="10"/>
    <n v="22.754031716002601"/>
    <x v="0"/>
    <x v="0"/>
    <x v="1"/>
    <x v="4"/>
    <x v="5"/>
    <x v="10"/>
    <n v="24.801894570442837"/>
  </r>
  <r>
    <x v="4"/>
    <x v="0"/>
    <x v="4"/>
    <x v="4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4"/>
    <x v="0"/>
    <x v="4"/>
    <x v="4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4"/>
    <x v="0"/>
    <x v="4"/>
    <x v="4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4"/>
    <x v="0"/>
    <x v="4"/>
    <x v="4"/>
    <x v="1"/>
    <x v="6"/>
    <x v="0"/>
    <x v="0"/>
    <x v="0"/>
    <x v="0"/>
    <x v="0"/>
    <x v="0"/>
    <x v="0"/>
    <x v="9"/>
    <x v="9"/>
    <x v="9"/>
    <x v="9"/>
    <n v="1266.9113197961301"/>
    <x v="0"/>
    <x v="0"/>
    <x v="1"/>
    <x v="4"/>
    <x v="5"/>
    <x v="9"/>
    <n v="1380.933338577782"/>
  </r>
  <r>
    <x v="4"/>
    <x v="0"/>
    <x v="4"/>
    <x v="4"/>
    <x v="1"/>
    <x v="6"/>
    <x v="0"/>
    <x v="0"/>
    <x v="0"/>
    <x v="0"/>
    <x v="0"/>
    <x v="0"/>
    <x v="0"/>
    <x v="9"/>
    <x v="9"/>
    <x v="10"/>
    <x v="10"/>
    <n v="354.17506907415702"/>
    <x v="0"/>
    <x v="0"/>
    <x v="1"/>
    <x v="4"/>
    <x v="5"/>
    <x v="10"/>
    <n v="386.0508252908312"/>
  </r>
  <r>
    <x v="4"/>
    <x v="0"/>
    <x v="4"/>
    <x v="4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4"/>
    <x v="0"/>
    <x v="4"/>
    <x v="4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4"/>
    <x v="0"/>
    <x v="4"/>
    <x v="4"/>
    <x v="1"/>
    <x v="6"/>
    <x v="0"/>
    <x v="0"/>
    <x v="0"/>
    <x v="0"/>
    <x v="0"/>
    <x v="0"/>
    <x v="0"/>
    <x v="9"/>
    <x v="9"/>
    <x v="21"/>
    <x v="21"/>
    <n v="66.633733944914198"/>
    <x v="0"/>
    <x v="0"/>
    <x v="1"/>
    <x v="4"/>
    <x v="5"/>
    <x v="10"/>
    <n v="72.630769999956485"/>
  </r>
  <r>
    <x v="4"/>
    <x v="0"/>
    <x v="4"/>
    <x v="4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4"/>
    <x v="0"/>
    <x v="4"/>
    <x v="4"/>
    <x v="1"/>
    <x v="6"/>
    <x v="0"/>
    <x v="0"/>
    <x v="0"/>
    <x v="0"/>
    <x v="0"/>
    <x v="0"/>
    <x v="2"/>
    <x v="10"/>
    <x v="10"/>
    <x v="9"/>
    <x v="9"/>
    <n v="282.49144154513601"/>
    <x v="0"/>
    <x v="0"/>
    <x v="1"/>
    <x v="4"/>
    <x v="5"/>
    <x v="9"/>
    <n v="307.91567128419825"/>
  </r>
  <r>
    <x v="4"/>
    <x v="0"/>
    <x v="4"/>
    <x v="4"/>
    <x v="1"/>
    <x v="6"/>
    <x v="0"/>
    <x v="0"/>
    <x v="0"/>
    <x v="0"/>
    <x v="0"/>
    <x v="0"/>
    <x v="2"/>
    <x v="10"/>
    <x v="10"/>
    <x v="10"/>
    <x v="10"/>
    <n v="40.070181753608303"/>
    <x v="0"/>
    <x v="0"/>
    <x v="1"/>
    <x v="4"/>
    <x v="5"/>
    <x v="10"/>
    <n v="43.676498111433055"/>
  </r>
  <r>
    <x v="4"/>
    <x v="0"/>
    <x v="4"/>
    <x v="4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4"/>
    <x v="0"/>
    <x v="4"/>
    <x v="4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4"/>
    <x v="0"/>
    <x v="4"/>
    <x v="4"/>
    <x v="1"/>
    <x v="6"/>
    <x v="0"/>
    <x v="0"/>
    <x v="0"/>
    <x v="0"/>
    <x v="0"/>
    <x v="0"/>
    <x v="2"/>
    <x v="10"/>
    <x v="10"/>
    <x v="21"/>
    <x v="21"/>
    <n v="29.901256880716002"/>
    <x v="0"/>
    <x v="0"/>
    <x v="1"/>
    <x v="4"/>
    <x v="5"/>
    <x v="10"/>
    <n v="32.592369999980441"/>
  </r>
  <r>
    <x v="4"/>
    <x v="0"/>
    <x v="4"/>
    <x v="4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4"/>
    <x v="0"/>
    <x v="4"/>
    <x v="4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4"/>
    <x v="0"/>
    <x v="4"/>
    <x v="4"/>
    <x v="1"/>
    <x v="6"/>
    <x v="0"/>
    <x v="0"/>
    <x v="0"/>
    <x v="0"/>
    <x v="0"/>
    <x v="0"/>
    <x v="4"/>
    <x v="5"/>
    <x v="5"/>
    <x v="9"/>
    <x v="9"/>
    <n v="1047.4395288223"/>
    <x v="0"/>
    <x v="0"/>
    <x v="1"/>
    <x v="4"/>
    <x v="5"/>
    <x v="9"/>
    <n v="1141.7090864163069"/>
  </r>
  <r>
    <x v="4"/>
    <x v="0"/>
    <x v="4"/>
    <x v="4"/>
    <x v="1"/>
    <x v="6"/>
    <x v="0"/>
    <x v="0"/>
    <x v="0"/>
    <x v="0"/>
    <x v="0"/>
    <x v="0"/>
    <x v="4"/>
    <x v="5"/>
    <x v="5"/>
    <x v="10"/>
    <x v="10"/>
    <n v="255.215801422472"/>
    <x v="0"/>
    <x v="0"/>
    <x v="1"/>
    <x v="4"/>
    <x v="5"/>
    <x v="10"/>
    <n v="278.18522355049447"/>
  </r>
  <r>
    <x v="4"/>
    <x v="0"/>
    <x v="4"/>
    <x v="4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4"/>
    <x v="0"/>
    <x v="4"/>
    <x v="4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4"/>
    <x v="0"/>
    <x v="4"/>
    <x v="4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4"/>
    <x v="0"/>
    <x v="4"/>
    <x v="4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4"/>
    <x v="0"/>
    <x v="4"/>
    <x v="4"/>
    <x v="1"/>
    <x v="6"/>
    <x v="0"/>
    <x v="0"/>
    <x v="0"/>
    <x v="0"/>
    <x v="0"/>
    <x v="0"/>
    <x v="4"/>
    <x v="5"/>
    <x v="5"/>
    <x v="21"/>
    <x v="21"/>
    <n v="66.344238532070307"/>
    <x v="0"/>
    <x v="0"/>
    <x v="1"/>
    <x v="4"/>
    <x v="5"/>
    <x v="10"/>
    <n v="72.315219999956639"/>
  </r>
  <r>
    <x v="4"/>
    <x v="0"/>
    <x v="4"/>
    <x v="4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4"/>
    <x v="0"/>
    <x v="4"/>
    <x v="4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4"/>
    <x v="0"/>
    <x v="4"/>
    <x v="4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4"/>
    <x v="0"/>
    <x v="4"/>
    <x v="4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4"/>
    <x v="0"/>
    <x v="4"/>
    <x v="4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4"/>
    <x v="0"/>
    <x v="4"/>
    <x v="4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4"/>
    <x v="0"/>
    <x v="4"/>
    <x v="4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4"/>
    <x v="0"/>
    <x v="4"/>
    <x v="4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4"/>
    <x v="0"/>
    <x v="4"/>
    <x v="4"/>
    <x v="1"/>
    <x v="7"/>
    <x v="0"/>
    <x v="0"/>
    <x v="0"/>
    <x v="0"/>
    <x v="3"/>
    <x v="3"/>
    <x v="2"/>
    <x v="2"/>
    <x v="2"/>
    <x v="5"/>
    <x v="5"/>
    <n v="3.53371165646857"/>
    <x v="0"/>
    <x v="0"/>
    <x v="1"/>
    <x v="1"/>
    <x v="1"/>
    <x v="5"/>
    <n v="3.8517457055507416"/>
  </r>
  <r>
    <x v="4"/>
    <x v="0"/>
    <x v="4"/>
    <x v="4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4"/>
    <x v="0"/>
    <x v="4"/>
    <x v="4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4"/>
    <x v="0"/>
    <x v="4"/>
    <x v="4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4"/>
    <x v="0"/>
    <x v="4"/>
    <x v="4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4"/>
    <x v="0"/>
    <x v="4"/>
    <x v="4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4"/>
    <x v="0"/>
    <x v="4"/>
    <x v="4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4"/>
    <x v="0"/>
    <x v="4"/>
    <x v="4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4"/>
    <x v="0"/>
    <x v="4"/>
    <x v="4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4"/>
    <x v="0"/>
    <x v="4"/>
    <x v="4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4"/>
    <x v="0"/>
    <x v="4"/>
    <x v="4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4"/>
    <x v="0"/>
    <x v="4"/>
    <x v="4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4"/>
    <x v="0"/>
    <x v="4"/>
    <x v="4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4"/>
    <x v="0"/>
    <x v="4"/>
    <x v="4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4"/>
    <x v="0"/>
    <x v="4"/>
    <x v="4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4"/>
    <x v="0"/>
    <x v="4"/>
    <x v="4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4"/>
    <x v="0"/>
    <x v="4"/>
    <x v="4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4"/>
    <x v="0"/>
    <x v="4"/>
    <x v="4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4"/>
    <x v="0"/>
    <x v="4"/>
    <x v="4"/>
    <x v="1"/>
    <x v="6"/>
    <x v="0"/>
    <x v="0"/>
    <x v="0"/>
    <x v="0"/>
    <x v="3"/>
    <x v="3"/>
    <x v="2"/>
    <x v="2"/>
    <x v="2"/>
    <x v="5"/>
    <x v="5"/>
    <n v="56.385441718219901"/>
    <x v="0"/>
    <x v="0"/>
    <x v="1"/>
    <x v="1"/>
    <x v="1"/>
    <x v="5"/>
    <n v="61.4601314728597"/>
  </r>
  <r>
    <x v="4"/>
    <x v="0"/>
    <x v="4"/>
    <x v="4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4"/>
    <x v="0"/>
    <x v="4"/>
    <x v="4"/>
    <x v="1"/>
    <x v="6"/>
    <x v="0"/>
    <x v="0"/>
    <x v="0"/>
    <x v="0"/>
    <x v="3"/>
    <x v="3"/>
    <x v="2"/>
    <x v="2"/>
    <x v="2"/>
    <x v="9"/>
    <x v="9"/>
    <n v="15.5977981651283"/>
    <x v="0"/>
    <x v="0"/>
    <x v="1"/>
    <x v="4"/>
    <x v="5"/>
    <x v="9"/>
    <n v="17.001599999989846"/>
  </r>
  <r>
    <x v="4"/>
    <x v="0"/>
    <x v="4"/>
    <x v="4"/>
    <x v="1"/>
    <x v="6"/>
    <x v="0"/>
    <x v="0"/>
    <x v="0"/>
    <x v="0"/>
    <x v="3"/>
    <x v="3"/>
    <x v="2"/>
    <x v="2"/>
    <x v="2"/>
    <x v="10"/>
    <x v="10"/>
    <n v="26.489911321498901"/>
    <x v="0"/>
    <x v="0"/>
    <x v="1"/>
    <x v="4"/>
    <x v="5"/>
    <x v="10"/>
    <n v="28.874003340433806"/>
  </r>
  <r>
    <x v="4"/>
    <x v="0"/>
    <x v="4"/>
    <x v="4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4"/>
    <x v="0"/>
    <x v="4"/>
    <x v="4"/>
    <x v="1"/>
    <x v="6"/>
    <x v="0"/>
    <x v="0"/>
    <x v="0"/>
    <x v="0"/>
    <x v="3"/>
    <x v="3"/>
    <x v="2"/>
    <x v="2"/>
    <x v="2"/>
    <x v="31"/>
    <x v="31"/>
    <n v="7.3743119266010002E-2"/>
    <x v="0"/>
    <x v="0"/>
    <x v="1"/>
    <x v="4"/>
    <x v="5"/>
    <x v="10"/>
    <n v="8.0379999999950907E-2"/>
  </r>
  <r>
    <x v="4"/>
    <x v="0"/>
    <x v="4"/>
    <x v="4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4"/>
    <x v="0"/>
    <x v="4"/>
    <x v="4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4"/>
    <x v="0"/>
    <x v="4"/>
    <x v="4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4"/>
    <x v="0"/>
    <x v="4"/>
    <x v="4"/>
    <x v="1"/>
    <x v="6"/>
    <x v="0"/>
    <x v="0"/>
    <x v="0"/>
    <x v="0"/>
    <x v="3"/>
    <x v="3"/>
    <x v="2"/>
    <x v="2"/>
    <x v="2"/>
    <x v="16"/>
    <x v="16"/>
    <n v="13.26887"/>
    <x v="0"/>
    <x v="0"/>
    <x v="3"/>
    <x v="5"/>
    <x v="9"/>
    <x v="16"/>
    <n v="14.463068300000002"/>
  </r>
  <r>
    <x v="4"/>
    <x v="0"/>
    <x v="4"/>
    <x v="4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4"/>
    <x v="0"/>
    <x v="4"/>
    <x v="4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4"/>
    <x v="0"/>
    <x v="4"/>
    <x v="4"/>
    <x v="1"/>
    <x v="6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4"/>
    <x v="0"/>
    <x v="4"/>
    <x v="4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4"/>
    <x v="0"/>
    <x v="4"/>
    <x v="4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4"/>
    <x v="0"/>
    <x v="4"/>
    <x v="4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13"/>
    <x v="2"/>
    <n v="13.372259999991964"/>
  </r>
  <r>
    <x v="4"/>
    <x v="0"/>
    <x v="4"/>
    <x v="4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4"/>
    <x v="0"/>
    <x v="4"/>
    <x v="4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4"/>
    <x v="0"/>
    <x v="4"/>
    <x v="4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4"/>
    <x v="0"/>
    <x v="4"/>
    <x v="4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4"/>
    <x v="0"/>
    <x v="4"/>
    <x v="4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4"/>
    <x v="0"/>
    <x v="4"/>
    <x v="4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4"/>
    <x v="0"/>
    <x v="4"/>
    <x v="4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4"/>
    <x v="0"/>
    <x v="4"/>
    <x v="4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4"/>
    <x v="0"/>
    <x v="4"/>
    <x v="4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4"/>
    <x v="0"/>
    <x v="4"/>
    <x v="4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4"/>
    <x v="0"/>
    <x v="4"/>
    <x v="4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4"/>
    <x v="0"/>
    <x v="4"/>
    <x v="4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4"/>
    <x v="0"/>
    <x v="4"/>
    <x v="4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4"/>
    <x v="0"/>
    <x v="4"/>
    <x v="4"/>
    <x v="1"/>
    <x v="6"/>
    <x v="0"/>
    <x v="0"/>
    <x v="0"/>
    <x v="0"/>
    <x v="4"/>
    <x v="4"/>
    <x v="2"/>
    <x v="2"/>
    <x v="2"/>
    <x v="9"/>
    <x v="9"/>
    <n v="1.3835071122398399"/>
    <x v="0"/>
    <x v="0"/>
    <x v="1"/>
    <x v="4"/>
    <x v="5"/>
    <x v="9"/>
    <n v="1.5080227523414256"/>
  </r>
  <r>
    <x v="4"/>
    <x v="0"/>
    <x v="4"/>
    <x v="4"/>
    <x v="1"/>
    <x v="6"/>
    <x v="0"/>
    <x v="0"/>
    <x v="0"/>
    <x v="0"/>
    <x v="4"/>
    <x v="4"/>
    <x v="2"/>
    <x v="2"/>
    <x v="2"/>
    <x v="10"/>
    <x v="10"/>
    <n v="4.3786323360511998"/>
    <x v="0"/>
    <x v="0"/>
    <x v="1"/>
    <x v="4"/>
    <x v="5"/>
    <x v="10"/>
    <n v="4.7727092462958085"/>
  </r>
  <r>
    <x v="4"/>
    <x v="0"/>
    <x v="4"/>
    <x v="4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4"/>
    <x v="0"/>
    <x v="4"/>
    <x v="4"/>
    <x v="1"/>
    <x v="6"/>
    <x v="0"/>
    <x v="0"/>
    <x v="0"/>
    <x v="0"/>
    <x v="4"/>
    <x v="4"/>
    <x v="2"/>
    <x v="2"/>
    <x v="2"/>
    <x v="31"/>
    <x v="31"/>
    <n v="0.33555963302732"/>
    <x v="0"/>
    <x v="0"/>
    <x v="1"/>
    <x v="4"/>
    <x v="5"/>
    <x v="10"/>
    <n v="0.36575999999977882"/>
  </r>
  <r>
    <x v="4"/>
    <x v="0"/>
    <x v="4"/>
    <x v="4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4"/>
    <x v="0"/>
    <x v="4"/>
    <x v="4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4"/>
    <x v="0"/>
    <x v="4"/>
    <x v="4"/>
    <x v="1"/>
    <x v="6"/>
    <x v="0"/>
    <x v="0"/>
    <x v="0"/>
    <x v="0"/>
    <x v="4"/>
    <x v="4"/>
    <x v="2"/>
    <x v="2"/>
    <x v="2"/>
    <x v="25"/>
    <x v="25"/>
    <n v="3.3577981651356001"/>
    <x v="0"/>
    <x v="0"/>
    <x v="1"/>
    <x v="4"/>
    <x v="5"/>
    <x v="9"/>
    <n v="3.6599999999978046"/>
  </r>
  <r>
    <x v="4"/>
    <x v="0"/>
    <x v="4"/>
    <x v="4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4"/>
    <x v="0"/>
    <x v="4"/>
    <x v="4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4"/>
    <x v="0"/>
    <x v="4"/>
    <x v="4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4"/>
    <x v="0"/>
    <x v="4"/>
    <x v="4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4"/>
    <x v="0"/>
    <x v="4"/>
    <x v="4"/>
    <x v="1"/>
    <x v="6"/>
    <x v="0"/>
    <x v="0"/>
    <x v="0"/>
    <x v="0"/>
    <x v="4"/>
    <x v="4"/>
    <x v="4"/>
    <x v="5"/>
    <x v="5"/>
    <x v="20"/>
    <x v="20"/>
    <n v="28.347719999999999"/>
    <x v="0"/>
    <x v="0"/>
    <x v="1"/>
    <x v="3"/>
    <x v="3"/>
    <x v="13"/>
    <n v="30.8990148"/>
  </r>
  <r>
    <x v="4"/>
    <x v="0"/>
    <x v="4"/>
    <x v="4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4"/>
    <x v="0"/>
    <x v="4"/>
    <x v="4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4"/>
    <x v="0"/>
    <x v="4"/>
    <x v="4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4"/>
    <x v="0"/>
    <x v="4"/>
    <x v="4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4"/>
    <x v="0"/>
    <x v="4"/>
    <x v="4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4"/>
    <x v="0"/>
    <x v="4"/>
    <x v="4"/>
    <x v="1"/>
    <x v="6"/>
    <x v="0"/>
    <x v="0"/>
    <x v="2"/>
    <x v="2"/>
    <x v="5"/>
    <x v="5"/>
    <x v="2"/>
    <x v="2"/>
    <x v="2"/>
    <x v="40"/>
    <x v="40"/>
    <n v="10097.440130000001"/>
    <x v="1"/>
    <x v="2"/>
    <x v="5"/>
    <x v="7"/>
    <x v="11"/>
    <x v="22"/>
    <n v="11006.209741700002"/>
  </r>
  <r>
    <x v="4"/>
    <x v="0"/>
    <x v="4"/>
    <x v="4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4"/>
    <x v="0"/>
    <x v="4"/>
    <x v="4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4"/>
    <x v="0"/>
    <x v="4"/>
    <x v="4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4"/>
    <x v="0"/>
    <x v="4"/>
    <x v="4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4"/>
    <x v="0"/>
    <x v="4"/>
    <x v="4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4"/>
    <x v="0"/>
    <x v="4"/>
    <x v="4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4"/>
    <x v="0"/>
    <x v="4"/>
    <x v="4"/>
    <x v="1"/>
    <x v="6"/>
    <x v="0"/>
    <x v="0"/>
    <x v="2"/>
    <x v="2"/>
    <x v="5"/>
    <x v="5"/>
    <x v="1"/>
    <x v="6"/>
    <x v="6"/>
    <x v="40"/>
    <x v="40"/>
    <n v="3161.5127200000002"/>
    <x v="1"/>
    <x v="2"/>
    <x v="5"/>
    <x v="7"/>
    <x v="11"/>
    <x v="22"/>
    <n v="3446.0488648000005"/>
  </r>
  <r>
    <x v="4"/>
    <x v="0"/>
    <x v="4"/>
    <x v="4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4"/>
    <x v="0"/>
    <x v="4"/>
    <x v="4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4"/>
    <x v="0"/>
    <x v="4"/>
    <x v="4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4"/>
    <x v="0"/>
    <x v="4"/>
    <x v="4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4"/>
    <x v="0"/>
    <x v="4"/>
    <x v="4"/>
    <x v="1"/>
    <x v="6"/>
    <x v="0"/>
    <x v="0"/>
    <x v="2"/>
    <x v="2"/>
    <x v="5"/>
    <x v="5"/>
    <x v="1"/>
    <x v="8"/>
    <x v="8"/>
    <x v="40"/>
    <x v="40"/>
    <n v="137.76184000000001"/>
    <x v="1"/>
    <x v="2"/>
    <x v="5"/>
    <x v="7"/>
    <x v="11"/>
    <x v="22"/>
    <n v="150.16040560000002"/>
  </r>
  <r>
    <x v="4"/>
    <x v="0"/>
    <x v="4"/>
    <x v="4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4"/>
    <x v="0"/>
    <x v="4"/>
    <x v="4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4"/>
    <x v="0"/>
    <x v="4"/>
    <x v="4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4"/>
    <x v="0"/>
    <x v="4"/>
    <x v="4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4"/>
    <x v="0"/>
    <x v="4"/>
    <x v="4"/>
    <x v="1"/>
    <x v="6"/>
    <x v="0"/>
    <x v="0"/>
    <x v="2"/>
    <x v="2"/>
    <x v="5"/>
    <x v="5"/>
    <x v="4"/>
    <x v="5"/>
    <x v="5"/>
    <x v="40"/>
    <x v="40"/>
    <n v="623.45090000000005"/>
    <x v="1"/>
    <x v="2"/>
    <x v="5"/>
    <x v="7"/>
    <x v="11"/>
    <x v="22"/>
    <n v="679.56148100000007"/>
  </r>
  <r>
    <x v="4"/>
    <x v="0"/>
    <x v="4"/>
    <x v="4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4"/>
    <x v="0"/>
    <x v="4"/>
    <x v="4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4"/>
    <x v="0"/>
    <x v="4"/>
    <x v="4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4"/>
    <x v="0"/>
    <x v="4"/>
    <x v="4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4"/>
    <x v="0"/>
    <x v="4"/>
    <x v="4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4"/>
    <x v="0"/>
    <x v="4"/>
    <x v="4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4"/>
    <x v="0"/>
    <x v="4"/>
    <x v="4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4"/>
    <x v="0"/>
    <x v="4"/>
    <x v="4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4"/>
    <x v="0"/>
    <x v="4"/>
    <x v="4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4"/>
    <x v="0"/>
    <x v="4"/>
    <x v="4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4"/>
    <x v="0"/>
    <x v="4"/>
    <x v="4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4"/>
    <x v="0"/>
    <x v="4"/>
    <x v="4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4"/>
    <x v="0"/>
    <x v="4"/>
    <x v="4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4"/>
    <x v="0"/>
    <x v="4"/>
    <x v="4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4"/>
    <x v="0"/>
    <x v="4"/>
    <x v="4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4"/>
    <x v="0"/>
    <x v="4"/>
    <x v="4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4"/>
    <x v="0"/>
    <x v="4"/>
    <x v="4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4"/>
    <x v="0"/>
    <x v="4"/>
    <x v="4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4"/>
    <x v="0"/>
    <x v="4"/>
    <x v="4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4"/>
    <x v="0"/>
    <x v="4"/>
    <x v="4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4"/>
    <x v="0"/>
    <x v="4"/>
    <x v="4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4"/>
    <x v="0"/>
    <x v="4"/>
    <x v="4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4"/>
    <x v="0"/>
    <x v="4"/>
    <x v="4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4"/>
    <x v="0"/>
    <x v="4"/>
    <x v="4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4"/>
    <x v="0"/>
    <x v="4"/>
    <x v="4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4"/>
    <x v="0"/>
    <x v="4"/>
    <x v="4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4"/>
    <x v="0"/>
    <x v="4"/>
    <x v="4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4"/>
    <x v="0"/>
    <x v="4"/>
    <x v="4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4"/>
    <x v="0"/>
    <x v="4"/>
    <x v="4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4"/>
    <x v="0"/>
    <x v="4"/>
    <x v="4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4"/>
    <x v="0"/>
    <x v="4"/>
    <x v="4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4"/>
    <x v="0"/>
    <x v="4"/>
    <x v="4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4"/>
    <x v="0"/>
    <x v="4"/>
    <x v="4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4"/>
    <x v="0"/>
    <x v="4"/>
    <x v="4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4"/>
    <x v="0"/>
    <x v="4"/>
    <x v="4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4"/>
    <x v="0"/>
    <x v="4"/>
    <x v="4"/>
    <x v="1"/>
    <x v="6"/>
    <x v="0"/>
    <x v="0"/>
    <x v="2"/>
    <x v="2"/>
    <x v="7"/>
    <x v="7"/>
    <x v="2"/>
    <x v="2"/>
    <x v="2"/>
    <x v="38"/>
    <x v="38"/>
    <n v="3900.0451499999999"/>
    <x v="1"/>
    <x v="0"/>
    <x v="4"/>
    <x v="6"/>
    <x v="10"/>
    <x v="21"/>
    <n v="4251.0492135000004"/>
  </r>
  <r>
    <x v="4"/>
    <x v="0"/>
    <x v="4"/>
    <x v="4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4"/>
    <x v="0"/>
    <x v="4"/>
    <x v="4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4"/>
    <x v="0"/>
    <x v="4"/>
    <x v="4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4"/>
    <x v="0"/>
    <x v="4"/>
    <x v="4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4"/>
    <x v="0"/>
    <x v="4"/>
    <x v="4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4"/>
    <x v="0"/>
    <x v="4"/>
    <x v="4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4"/>
    <x v="0"/>
    <x v="4"/>
    <x v="4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4"/>
    <x v="0"/>
    <x v="4"/>
    <x v="4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4"/>
    <x v="0"/>
    <x v="4"/>
    <x v="4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4"/>
    <x v="0"/>
    <x v="4"/>
    <x v="4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4"/>
    <x v="0"/>
    <x v="4"/>
    <x v="4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4"/>
    <x v="0"/>
    <x v="4"/>
    <x v="4"/>
    <x v="1"/>
    <x v="6"/>
    <x v="0"/>
    <x v="0"/>
    <x v="2"/>
    <x v="2"/>
    <x v="7"/>
    <x v="7"/>
    <x v="1"/>
    <x v="6"/>
    <x v="6"/>
    <x v="40"/>
    <x v="40"/>
    <n v="1689.1671200000001"/>
    <x v="1"/>
    <x v="2"/>
    <x v="5"/>
    <x v="7"/>
    <x v="11"/>
    <x v="22"/>
    <n v="1841.1921608000002"/>
  </r>
  <r>
    <x v="4"/>
    <x v="0"/>
    <x v="4"/>
    <x v="4"/>
    <x v="1"/>
    <x v="6"/>
    <x v="0"/>
    <x v="0"/>
    <x v="2"/>
    <x v="2"/>
    <x v="7"/>
    <x v="7"/>
    <x v="1"/>
    <x v="6"/>
    <x v="6"/>
    <x v="38"/>
    <x v="38"/>
    <n v="594.85672"/>
    <x v="1"/>
    <x v="0"/>
    <x v="4"/>
    <x v="6"/>
    <x v="10"/>
    <x v="21"/>
    <n v="648.39382480000006"/>
  </r>
  <r>
    <x v="4"/>
    <x v="0"/>
    <x v="4"/>
    <x v="4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4"/>
    <x v="0"/>
    <x v="4"/>
    <x v="4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4"/>
    <x v="0"/>
    <x v="4"/>
    <x v="4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4"/>
    <x v="0"/>
    <x v="4"/>
    <x v="4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4"/>
    <x v="0"/>
    <x v="4"/>
    <x v="4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4"/>
    <x v="0"/>
    <x v="4"/>
    <x v="4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4"/>
    <x v="0"/>
    <x v="4"/>
    <x v="4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4"/>
    <x v="0"/>
    <x v="4"/>
    <x v="4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4"/>
    <x v="0"/>
    <x v="4"/>
    <x v="4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4"/>
    <x v="0"/>
    <x v="4"/>
    <x v="4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4"/>
    <x v="0"/>
    <x v="4"/>
    <x v="4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4"/>
    <x v="0"/>
    <x v="4"/>
    <x v="4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4"/>
    <x v="0"/>
    <x v="4"/>
    <x v="4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4"/>
    <x v="0"/>
    <x v="4"/>
    <x v="4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4"/>
    <x v="0"/>
    <x v="4"/>
    <x v="4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4"/>
    <x v="0"/>
    <x v="4"/>
    <x v="4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4"/>
    <x v="0"/>
    <x v="4"/>
    <x v="4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4"/>
    <x v="0"/>
    <x v="4"/>
    <x v="4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4"/>
    <x v="0"/>
    <x v="4"/>
    <x v="4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4"/>
    <x v="0"/>
    <x v="4"/>
    <x v="4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4"/>
    <x v="0"/>
    <x v="4"/>
    <x v="4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4"/>
    <x v="0"/>
    <x v="4"/>
    <x v="4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4"/>
    <x v="0"/>
    <x v="4"/>
    <x v="4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4"/>
    <x v="0"/>
    <x v="4"/>
    <x v="4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4"/>
    <x v="0"/>
    <x v="4"/>
    <x v="4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4"/>
    <x v="0"/>
    <x v="4"/>
    <x v="4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4"/>
    <x v="0"/>
    <x v="4"/>
    <x v="4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4"/>
    <x v="0"/>
    <x v="4"/>
    <x v="4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4"/>
    <x v="0"/>
    <x v="4"/>
    <x v="4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4"/>
    <x v="0"/>
    <x v="4"/>
    <x v="4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4"/>
    <x v="0"/>
    <x v="4"/>
    <x v="4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4"/>
    <x v="0"/>
    <x v="4"/>
    <x v="4"/>
    <x v="1"/>
    <x v="6"/>
    <x v="0"/>
    <x v="0"/>
    <x v="2"/>
    <x v="2"/>
    <x v="9"/>
    <x v="9"/>
    <x v="2"/>
    <x v="2"/>
    <x v="2"/>
    <x v="38"/>
    <x v="38"/>
    <n v="4597.5883599999997"/>
    <x v="1"/>
    <x v="0"/>
    <x v="4"/>
    <x v="6"/>
    <x v="10"/>
    <x v="21"/>
    <n v="5011.3713124000005"/>
  </r>
  <r>
    <x v="4"/>
    <x v="0"/>
    <x v="4"/>
    <x v="4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4"/>
    <x v="0"/>
    <x v="4"/>
    <x v="4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4"/>
    <x v="0"/>
    <x v="4"/>
    <x v="4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4"/>
    <x v="0"/>
    <x v="4"/>
    <x v="4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4"/>
    <x v="0"/>
    <x v="4"/>
    <x v="4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4"/>
    <x v="0"/>
    <x v="4"/>
    <x v="4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4"/>
    <x v="0"/>
    <x v="4"/>
    <x v="4"/>
    <x v="1"/>
    <x v="6"/>
    <x v="0"/>
    <x v="0"/>
    <x v="2"/>
    <x v="2"/>
    <x v="9"/>
    <x v="9"/>
    <x v="1"/>
    <x v="6"/>
    <x v="6"/>
    <x v="40"/>
    <x v="40"/>
    <n v="24820.80515"/>
    <x v="1"/>
    <x v="2"/>
    <x v="5"/>
    <x v="7"/>
    <x v="11"/>
    <x v="22"/>
    <n v="27054.677613500004"/>
  </r>
  <r>
    <x v="4"/>
    <x v="0"/>
    <x v="4"/>
    <x v="4"/>
    <x v="1"/>
    <x v="6"/>
    <x v="0"/>
    <x v="0"/>
    <x v="2"/>
    <x v="2"/>
    <x v="9"/>
    <x v="9"/>
    <x v="1"/>
    <x v="6"/>
    <x v="6"/>
    <x v="38"/>
    <x v="38"/>
    <n v="1429.4994300000001"/>
    <x v="1"/>
    <x v="0"/>
    <x v="4"/>
    <x v="6"/>
    <x v="10"/>
    <x v="21"/>
    <n v="1558.1543787000003"/>
  </r>
  <r>
    <x v="4"/>
    <x v="0"/>
    <x v="4"/>
    <x v="4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4"/>
    <x v="0"/>
    <x v="4"/>
    <x v="4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4"/>
    <x v="0"/>
    <x v="4"/>
    <x v="4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4"/>
    <x v="0"/>
    <x v="4"/>
    <x v="4"/>
    <x v="1"/>
    <x v="6"/>
    <x v="0"/>
    <x v="0"/>
    <x v="2"/>
    <x v="2"/>
    <x v="9"/>
    <x v="9"/>
    <x v="3"/>
    <x v="7"/>
    <x v="7"/>
    <x v="40"/>
    <x v="40"/>
    <n v="232.90661"/>
    <x v="1"/>
    <x v="2"/>
    <x v="5"/>
    <x v="7"/>
    <x v="11"/>
    <x v="22"/>
    <n v="253.86820490000002"/>
  </r>
  <r>
    <x v="4"/>
    <x v="0"/>
    <x v="4"/>
    <x v="4"/>
    <x v="1"/>
    <x v="6"/>
    <x v="0"/>
    <x v="0"/>
    <x v="2"/>
    <x v="2"/>
    <x v="9"/>
    <x v="9"/>
    <x v="1"/>
    <x v="8"/>
    <x v="8"/>
    <x v="40"/>
    <x v="40"/>
    <n v="11005.762000000001"/>
    <x v="1"/>
    <x v="2"/>
    <x v="5"/>
    <x v="7"/>
    <x v="11"/>
    <x v="22"/>
    <n v="11996.280580000002"/>
  </r>
  <r>
    <x v="4"/>
    <x v="0"/>
    <x v="4"/>
    <x v="4"/>
    <x v="1"/>
    <x v="6"/>
    <x v="0"/>
    <x v="0"/>
    <x v="2"/>
    <x v="2"/>
    <x v="9"/>
    <x v="9"/>
    <x v="2"/>
    <x v="10"/>
    <x v="10"/>
    <x v="40"/>
    <x v="40"/>
    <n v="46.488370000000003"/>
    <x v="1"/>
    <x v="2"/>
    <x v="5"/>
    <x v="7"/>
    <x v="11"/>
    <x v="22"/>
    <n v="50.672323300000009"/>
  </r>
  <r>
    <x v="4"/>
    <x v="0"/>
    <x v="4"/>
    <x v="4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4"/>
    <x v="0"/>
    <x v="4"/>
    <x v="4"/>
    <x v="1"/>
    <x v="6"/>
    <x v="0"/>
    <x v="0"/>
    <x v="2"/>
    <x v="2"/>
    <x v="9"/>
    <x v="9"/>
    <x v="4"/>
    <x v="5"/>
    <x v="5"/>
    <x v="40"/>
    <x v="40"/>
    <n v="1750.6190200000001"/>
    <x v="1"/>
    <x v="2"/>
    <x v="5"/>
    <x v="7"/>
    <x v="11"/>
    <x v="22"/>
    <n v="1908.1747318000002"/>
  </r>
  <r>
    <x v="4"/>
    <x v="0"/>
    <x v="4"/>
    <x v="4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4"/>
    <x v="0"/>
    <x v="4"/>
    <x v="4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4"/>
    <x v="0"/>
    <x v="4"/>
    <x v="4"/>
    <x v="1"/>
    <x v="6"/>
    <x v="0"/>
    <x v="0"/>
    <x v="2"/>
    <x v="2"/>
    <x v="10"/>
    <x v="10"/>
    <x v="2"/>
    <x v="2"/>
    <x v="2"/>
    <x v="40"/>
    <x v="40"/>
    <n v="3989.2150499999998"/>
    <x v="1"/>
    <x v="2"/>
    <x v="5"/>
    <x v="7"/>
    <x v="11"/>
    <x v="22"/>
    <n v="4348.2444045000002"/>
  </r>
  <r>
    <x v="4"/>
    <x v="0"/>
    <x v="4"/>
    <x v="4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4"/>
    <x v="0"/>
    <x v="4"/>
    <x v="4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4"/>
    <x v="0"/>
    <x v="4"/>
    <x v="4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4"/>
    <x v="0"/>
    <x v="4"/>
    <x v="4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4"/>
    <x v="0"/>
    <x v="4"/>
    <x v="4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4"/>
    <x v="0"/>
    <x v="4"/>
    <x v="4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4"/>
    <x v="0"/>
    <x v="4"/>
    <x v="4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4"/>
    <x v="0"/>
    <x v="4"/>
    <x v="4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4"/>
    <x v="0"/>
    <x v="4"/>
    <x v="4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4"/>
    <x v="0"/>
    <x v="4"/>
    <x v="4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4"/>
    <x v="0"/>
    <x v="4"/>
    <x v="4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4"/>
    <x v="0"/>
    <x v="4"/>
    <x v="4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4"/>
    <x v="0"/>
    <x v="4"/>
    <x v="4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4"/>
    <x v="0"/>
    <x v="4"/>
    <x v="4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4"/>
    <x v="0"/>
    <x v="4"/>
    <x v="4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4"/>
    <x v="0"/>
    <x v="4"/>
    <x v="4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4"/>
    <x v="0"/>
    <x v="4"/>
    <x v="4"/>
    <x v="1"/>
    <x v="6"/>
    <x v="0"/>
    <x v="0"/>
    <x v="0"/>
    <x v="0"/>
    <x v="11"/>
    <x v="11"/>
    <x v="4"/>
    <x v="5"/>
    <x v="5"/>
    <x v="7"/>
    <x v="7"/>
    <n v="95.4809773494148"/>
    <x v="0"/>
    <x v="0"/>
    <x v="1"/>
    <x v="4"/>
    <x v="5"/>
    <x v="7"/>
    <n v="104.07426531086215"/>
  </r>
  <r>
    <x v="4"/>
    <x v="0"/>
    <x v="4"/>
    <x v="4"/>
    <x v="1"/>
    <x v="6"/>
    <x v="0"/>
    <x v="0"/>
    <x v="0"/>
    <x v="0"/>
    <x v="11"/>
    <x v="11"/>
    <x v="4"/>
    <x v="5"/>
    <x v="5"/>
    <x v="10"/>
    <x v="10"/>
    <n v="35.9964101574963"/>
    <x v="0"/>
    <x v="0"/>
    <x v="1"/>
    <x v="4"/>
    <x v="5"/>
    <x v="10"/>
    <n v="39.236087071670973"/>
  </r>
  <r>
    <x v="4"/>
    <x v="0"/>
    <x v="4"/>
    <x v="4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4"/>
    <x v="0"/>
    <x v="4"/>
    <x v="4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4"/>
    <x v="0"/>
    <x v="4"/>
    <x v="4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4"/>
    <x v="0"/>
    <x v="4"/>
    <x v="4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4"/>
    <x v="0"/>
    <x v="4"/>
    <x v="4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4"/>
    <x v="0"/>
    <x v="4"/>
    <x v="4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4"/>
    <x v="0"/>
    <x v="4"/>
    <x v="4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4"/>
    <x v="0"/>
    <x v="4"/>
    <x v="4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4"/>
    <x v="0"/>
    <x v="4"/>
    <x v="4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4"/>
    <x v="0"/>
    <x v="4"/>
    <x v="4"/>
    <x v="1"/>
    <x v="6"/>
    <x v="0"/>
    <x v="0"/>
    <x v="3"/>
    <x v="3"/>
    <x v="12"/>
    <x v="12"/>
    <x v="3"/>
    <x v="7"/>
    <x v="7"/>
    <x v="40"/>
    <x v="40"/>
    <n v="54.823689999999999"/>
    <x v="1"/>
    <x v="2"/>
    <x v="5"/>
    <x v="7"/>
    <x v="11"/>
    <x v="22"/>
    <n v="59.757822100000006"/>
  </r>
  <r>
    <x v="4"/>
    <x v="0"/>
    <x v="4"/>
    <x v="4"/>
    <x v="1"/>
    <x v="6"/>
    <x v="0"/>
    <x v="0"/>
    <x v="3"/>
    <x v="3"/>
    <x v="12"/>
    <x v="12"/>
    <x v="1"/>
    <x v="8"/>
    <x v="8"/>
    <x v="40"/>
    <x v="40"/>
    <n v="20.610440000000001"/>
    <x v="1"/>
    <x v="2"/>
    <x v="5"/>
    <x v="7"/>
    <x v="11"/>
    <x v="22"/>
    <n v="22.465379600000002"/>
  </r>
  <r>
    <x v="4"/>
    <x v="0"/>
    <x v="4"/>
    <x v="4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4"/>
    <x v="0"/>
    <x v="4"/>
    <x v="4"/>
    <x v="1"/>
    <x v="6"/>
    <x v="0"/>
    <x v="0"/>
    <x v="3"/>
    <x v="3"/>
    <x v="12"/>
    <x v="12"/>
    <x v="2"/>
    <x v="10"/>
    <x v="10"/>
    <x v="40"/>
    <x v="40"/>
    <n v="5.03559"/>
    <x v="1"/>
    <x v="2"/>
    <x v="5"/>
    <x v="7"/>
    <x v="11"/>
    <x v="22"/>
    <n v="5.4887931000000005"/>
  </r>
  <r>
    <x v="4"/>
    <x v="0"/>
    <x v="4"/>
    <x v="4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4"/>
    <x v="0"/>
    <x v="4"/>
    <x v="4"/>
    <x v="1"/>
    <x v="6"/>
    <x v="0"/>
    <x v="0"/>
    <x v="3"/>
    <x v="3"/>
    <x v="12"/>
    <x v="12"/>
    <x v="4"/>
    <x v="5"/>
    <x v="5"/>
    <x v="40"/>
    <x v="40"/>
    <n v="84.461550000000003"/>
    <x v="1"/>
    <x v="2"/>
    <x v="5"/>
    <x v="7"/>
    <x v="11"/>
    <x v="22"/>
    <n v="92.063089500000004"/>
  </r>
  <r>
    <x v="4"/>
    <x v="0"/>
    <x v="4"/>
    <x v="4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4"/>
    <x v="0"/>
    <x v="4"/>
    <x v="4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4"/>
    <x v="0"/>
    <x v="4"/>
    <x v="4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4"/>
    <x v="0"/>
    <x v="4"/>
    <x v="4"/>
    <x v="1"/>
    <x v="6"/>
    <x v="0"/>
    <x v="0"/>
    <x v="3"/>
    <x v="3"/>
    <x v="13"/>
    <x v="13"/>
    <x v="2"/>
    <x v="2"/>
    <x v="2"/>
    <x v="40"/>
    <x v="40"/>
    <n v="1999.69075"/>
    <x v="1"/>
    <x v="2"/>
    <x v="5"/>
    <x v="7"/>
    <x v="11"/>
    <x v="22"/>
    <n v="2179.6629175000003"/>
  </r>
  <r>
    <x v="4"/>
    <x v="0"/>
    <x v="4"/>
    <x v="4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4"/>
    <x v="0"/>
    <x v="4"/>
    <x v="4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4"/>
    <x v="0"/>
    <x v="4"/>
    <x v="4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4"/>
    <x v="0"/>
    <x v="4"/>
    <x v="4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4"/>
    <x v="0"/>
    <x v="4"/>
    <x v="4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4"/>
    <x v="0"/>
    <x v="4"/>
    <x v="4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4"/>
    <x v="0"/>
    <x v="4"/>
    <x v="4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4"/>
    <x v="0"/>
    <x v="4"/>
    <x v="4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4"/>
    <x v="0"/>
    <x v="4"/>
    <x v="4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4"/>
    <x v="0"/>
    <x v="4"/>
    <x v="4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4"/>
    <x v="0"/>
    <x v="4"/>
    <x v="4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4"/>
    <x v="0"/>
    <x v="4"/>
    <x v="4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4"/>
    <x v="0"/>
    <x v="4"/>
    <x v="4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4"/>
    <x v="0"/>
    <x v="4"/>
    <x v="4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4"/>
    <x v="0"/>
    <x v="4"/>
    <x v="4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4"/>
    <x v="0"/>
    <x v="4"/>
    <x v="4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4"/>
    <x v="0"/>
    <x v="4"/>
    <x v="4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4"/>
    <x v="0"/>
    <x v="4"/>
    <x v="4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4"/>
    <x v="0"/>
    <x v="4"/>
    <x v="4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4"/>
    <x v="0"/>
    <x v="4"/>
    <x v="4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4"/>
    <x v="0"/>
    <x v="4"/>
    <x v="4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4"/>
    <x v="0"/>
    <x v="4"/>
    <x v="4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4"/>
    <x v="0"/>
    <x v="4"/>
    <x v="4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4"/>
    <x v="0"/>
    <x v="4"/>
    <x v="4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4"/>
    <x v="0"/>
    <x v="4"/>
    <x v="4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4"/>
    <x v="0"/>
    <x v="4"/>
    <x v="4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4"/>
    <x v="0"/>
    <x v="4"/>
    <x v="4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4"/>
    <x v="0"/>
    <x v="4"/>
    <x v="4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4"/>
    <x v="0"/>
    <x v="4"/>
    <x v="4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4"/>
    <x v="0"/>
    <x v="4"/>
    <x v="4"/>
    <x v="1"/>
    <x v="6"/>
    <x v="0"/>
    <x v="0"/>
    <x v="2"/>
    <x v="2"/>
    <x v="14"/>
    <x v="14"/>
    <x v="4"/>
    <x v="5"/>
    <x v="5"/>
    <x v="40"/>
    <x v="40"/>
    <n v="147.00906000000001"/>
    <x v="1"/>
    <x v="2"/>
    <x v="5"/>
    <x v="7"/>
    <x v="11"/>
    <x v="22"/>
    <n v="160.23987540000002"/>
  </r>
  <r>
    <x v="4"/>
    <x v="0"/>
    <x v="4"/>
    <x v="4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4"/>
    <x v="0"/>
    <x v="4"/>
    <x v="4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4"/>
    <x v="0"/>
    <x v="4"/>
    <x v="4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4"/>
    <x v="0"/>
    <x v="4"/>
    <x v="4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4"/>
    <x v="0"/>
    <x v="4"/>
    <x v="4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4"/>
    <x v="0"/>
    <x v="4"/>
    <x v="4"/>
    <x v="1"/>
    <x v="6"/>
    <x v="0"/>
    <x v="0"/>
    <x v="2"/>
    <x v="2"/>
    <x v="15"/>
    <x v="15"/>
    <x v="0"/>
    <x v="4"/>
    <x v="4"/>
    <x v="40"/>
    <x v="40"/>
    <n v="2115.1422299999999"/>
    <x v="1"/>
    <x v="2"/>
    <x v="5"/>
    <x v="7"/>
    <x v="11"/>
    <x v="22"/>
    <n v="2305.5050307000001"/>
  </r>
  <r>
    <x v="4"/>
    <x v="0"/>
    <x v="4"/>
    <x v="4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4"/>
    <x v="0"/>
    <x v="4"/>
    <x v="4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4"/>
    <x v="0"/>
    <x v="4"/>
    <x v="4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4"/>
    <x v="0"/>
    <x v="4"/>
    <x v="4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4"/>
    <x v="0"/>
    <x v="4"/>
    <x v="4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4"/>
    <x v="0"/>
    <x v="4"/>
    <x v="4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4"/>
    <x v="0"/>
    <x v="4"/>
    <x v="4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4"/>
    <x v="0"/>
    <x v="4"/>
    <x v="4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4"/>
    <x v="0"/>
    <x v="4"/>
    <x v="4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4"/>
    <x v="0"/>
    <x v="4"/>
    <x v="4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4"/>
    <x v="0"/>
    <x v="4"/>
    <x v="4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4"/>
    <x v="0"/>
    <x v="4"/>
    <x v="4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4"/>
    <x v="0"/>
    <x v="4"/>
    <x v="4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4"/>
    <x v="0"/>
    <x v="4"/>
    <x v="4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4"/>
    <x v="0"/>
    <x v="4"/>
    <x v="4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4"/>
    <x v="0"/>
    <x v="4"/>
    <x v="4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4"/>
    <x v="0"/>
    <x v="4"/>
    <x v="4"/>
    <x v="1"/>
    <x v="6"/>
    <x v="0"/>
    <x v="0"/>
    <x v="2"/>
    <x v="2"/>
    <x v="16"/>
    <x v="16"/>
    <x v="2"/>
    <x v="2"/>
    <x v="2"/>
    <x v="40"/>
    <x v="40"/>
    <n v="598.59312"/>
    <x v="1"/>
    <x v="2"/>
    <x v="5"/>
    <x v="7"/>
    <x v="11"/>
    <x v="22"/>
    <n v="652.46650080000006"/>
  </r>
  <r>
    <x v="4"/>
    <x v="0"/>
    <x v="4"/>
    <x v="4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4"/>
    <x v="0"/>
    <x v="4"/>
    <x v="4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4"/>
    <x v="0"/>
    <x v="4"/>
    <x v="4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4"/>
    <x v="0"/>
    <x v="4"/>
    <x v="4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4"/>
    <x v="0"/>
    <x v="4"/>
    <x v="4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4"/>
    <x v="0"/>
    <x v="4"/>
    <x v="4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4"/>
    <x v="0"/>
    <x v="4"/>
    <x v="4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4"/>
    <x v="0"/>
    <x v="4"/>
    <x v="4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4"/>
    <x v="0"/>
    <x v="4"/>
    <x v="4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4"/>
    <x v="0"/>
    <x v="4"/>
    <x v="4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4"/>
    <x v="0"/>
    <x v="4"/>
    <x v="4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4"/>
    <x v="0"/>
    <x v="4"/>
    <x v="4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4"/>
    <x v="0"/>
    <x v="4"/>
    <x v="4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4"/>
    <x v="0"/>
    <x v="4"/>
    <x v="4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4"/>
    <x v="0"/>
    <x v="4"/>
    <x v="4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4"/>
    <x v="0"/>
    <x v="4"/>
    <x v="4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4"/>
    <x v="0"/>
    <x v="4"/>
    <x v="4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4"/>
    <x v="0"/>
    <x v="4"/>
    <x v="4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4"/>
    <x v="0"/>
    <x v="4"/>
    <x v="4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4"/>
    <x v="0"/>
    <x v="4"/>
    <x v="4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4"/>
    <x v="0"/>
    <x v="4"/>
    <x v="4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4"/>
    <x v="0"/>
    <x v="4"/>
    <x v="4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4"/>
    <x v="0"/>
    <x v="4"/>
    <x v="4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4"/>
    <x v="0"/>
    <x v="4"/>
    <x v="4"/>
    <x v="1"/>
    <x v="6"/>
    <x v="0"/>
    <x v="0"/>
    <x v="2"/>
    <x v="2"/>
    <x v="17"/>
    <x v="17"/>
    <x v="2"/>
    <x v="2"/>
    <x v="2"/>
    <x v="40"/>
    <x v="40"/>
    <n v="3551.7299200000002"/>
    <x v="1"/>
    <x v="2"/>
    <x v="5"/>
    <x v="7"/>
    <x v="11"/>
    <x v="22"/>
    <n v="3871.3856128000007"/>
  </r>
  <r>
    <x v="4"/>
    <x v="0"/>
    <x v="4"/>
    <x v="4"/>
    <x v="1"/>
    <x v="6"/>
    <x v="0"/>
    <x v="0"/>
    <x v="2"/>
    <x v="2"/>
    <x v="17"/>
    <x v="17"/>
    <x v="2"/>
    <x v="2"/>
    <x v="2"/>
    <x v="38"/>
    <x v="38"/>
    <n v="1549.1168700000001"/>
    <x v="1"/>
    <x v="0"/>
    <x v="4"/>
    <x v="6"/>
    <x v="10"/>
    <x v="21"/>
    <n v="1688.5373883000002"/>
  </r>
  <r>
    <x v="4"/>
    <x v="0"/>
    <x v="4"/>
    <x v="4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4"/>
    <x v="0"/>
    <x v="4"/>
    <x v="4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4"/>
    <x v="0"/>
    <x v="4"/>
    <x v="4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4"/>
    <x v="0"/>
    <x v="4"/>
    <x v="4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4"/>
    <x v="0"/>
    <x v="4"/>
    <x v="4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4"/>
    <x v="0"/>
    <x v="4"/>
    <x v="4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4"/>
    <x v="0"/>
    <x v="4"/>
    <x v="4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4"/>
    <x v="0"/>
    <x v="4"/>
    <x v="4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4"/>
    <x v="0"/>
    <x v="4"/>
    <x v="4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4"/>
    <x v="0"/>
    <x v="4"/>
    <x v="4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4"/>
    <x v="0"/>
    <x v="4"/>
    <x v="4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4"/>
    <x v="0"/>
    <x v="4"/>
    <x v="4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4"/>
    <x v="0"/>
    <x v="4"/>
    <x v="4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4"/>
    <x v="0"/>
    <x v="4"/>
    <x v="4"/>
    <x v="1"/>
    <x v="6"/>
    <x v="0"/>
    <x v="0"/>
    <x v="2"/>
    <x v="2"/>
    <x v="17"/>
    <x v="17"/>
    <x v="3"/>
    <x v="7"/>
    <x v="7"/>
    <x v="7"/>
    <x v="7"/>
    <n v="942.37363760597202"/>
    <x v="0"/>
    <x v="0"/>
    <x v="1"/>
    <x v="4"/>
    <x v="5"/>
    <x v="7"/>
    <n v="1027.1872649905097"/>
  </r>
  <r>
    <x v="4"/>
    <x v="0"/>
    <x v="4"/>
    <x v="4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4"/>
    <x v="0"/>
    <x v="4"/>
    <x v="4"/>
    <x v="1"/>
    <x v="6"/>
    <x v="0"/>
    <x v="0"/>
    <x v="2"/>
    <x v="2"/>
    <x v="17"/>
    <x v="17"/>
    <x v="1"/>
    <x v="8"/>
    <x v="8"/>
    <x v="7"/>
    <x v="7"/>
    <n v="81.455984318423305"/>
    <x v="0"/>
    <x v="0"/>
    <x v="1"/>
    <x v="4"/>
    <x v="5"/>
    <x v="7"/>
    <n v="88.787022907081408"/>
  </r>
  <r>
    <x v="4"/>
    <x v="0"/>
    <x v="4"/>
    <x v="4"/>
    <x v="1"/>
    <x v="6"/>
    <x v="0"/>
    <x v="0"/>
    <x v="2"/>
    <x v="2"/>
    <x v="17"/>
    <x v="17"/>
    <x v="1"/>
    <x v="8"/>
    <x v="8"/>
    <x v="40"/>
    <x v="40"/>
    <n v="248.85865000000001"/>
    <x v="1"/>
    <x v="2"/>
    <x v="5"/>
    <x v="7"/>
    <x v="11"/>
    <x v="22"/>
    <n v="271.25592850000004"/>
  </r>
  <r>
    <x v="4"/>
    <x v="0"/>
    <x v="4"/>
    <x v="4"/>
    <x v="1"/>
    <x v="6"/>
    <x v="0"/>
    <x v="0"/>
    <x v="2"/>
    <x v="2"/>
    <x v="17"/>
    <x v="17"/>
    <x v="0"/>
    <x v="9"/>
    <x v="9"/>
    <x v="7"/>
    <x v="7"/>
    <n v="958.51631356373696"/>
    <x v="0"/>
    <x v="0"/>
    <x v="1"/>
    <x v="4"/>
    <x v="5"/>
    <x v="7"/>
    <n v="1044.7827817844734"/>
  </r>
  <r>
    <x v="4"/>
    <x v="0"/>
    <x v="4"/>
    <x v="4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4"/>
    <x v="0"/>
    <x v="4"/>
    <x v="4"/>
    <x v="1"/>
    <x v="6"/>
    <x v="0"/>
    <x v="0"/>
    <x v="2"/>
    <x v="2"/>
    <x v="17"/>
    <x v="17"/>
    <x v="2"/>
    <x v="10"/>
    <x v="10"/>
    <x v="7"/>
    <x v="7"/>
    <n v="269.69766898248099"/>
    <x v="0"/>
    <x v="0"/>
    <x v="1"/>
    <x v="4"/>
    <x v="5"/>
    <x v="7"/>
    <n v="293.97045919090431"/>
  </r>
  <r>
    <x v="4"/>
    <x v="0"/>
    <x v="4"/>
    <x v="4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4"/>
    <x v="0"/>
    <x v="4"/>
    <x v="4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4"/>
    <x v="0"/>
    <x v="4"/>
    <x v="4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4"/>
    <x v="0"/>
    <x v="4"/>
    <x v="4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4"/>
    <x v="0"/>
    <x v="4"/>
    <x v="4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4"/>
    <x v="0"/>
    <x v="4"/>
    <x v="4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4"/>
    <x v="0"/>
    <x v="4"/>
    <x v="4"/>
    <x v="1"/>
    <x v="6"/>
    <x v="0"/>
    <x v="0"/>
    <x v="2"/>
    <x v="2"/>
    <x v="17"/>
    <x v="17"/>
    <x v="4"/>
    <x v="5"/>
    <x v="5"/>
    <x v="40"/>
    <x v="40"/>
    <n v="1923.7575999999999"/>
    <x v="1"/>
    <x v="2"/>
    <x v="5"/>
    <x v="7"/>
    <x v="11"/>
    <x v="22"/>
    <n v="2096.8957840000003"/>
  </r>
  <r>
    <x v="4"/>
    <x v="0"/>
    <x v="4"/>
    <x v="4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4"/>
    <x v="0"/>
    <x v="4"/>
    <x v="4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4"/>
    <x v="0"/>
    <x v="4"/>
    <x v="4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4"/>
    <x v="0"/>
    <x v="4"/>
    <x v="4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4"/>
    <x v="0"/>
    <x v="4"/>
    <x v="4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4"/>
    <x v="0"/>
    <x v="4"/>
    <x v="4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4"/>
    <x v="0"/>
    <x v="4"/>
    <x v="4"/>
    <x v="1"/>
    <x v="7"/>
    <x v="0"/>
    <x v="0"/>
    <x v="0"/>
    <x v="0"/>
    <x v="0"/>
    <x v="0"/>
    <x v="3"/>
    <x v="3"/>
    <x v="3"/>
    <x v="11"/>
    <x v="11"/>
    <n v="261.68714999999997"/>
    <x v="0"/>
    <x v="0"/>
    <x v="3"/>
    <x v="5"/>
    <x v="7"/>
    <x v="11"/>
    <n v="285.23899349999999"/>
  </r>
  <r>
    <x v="4"/>
    <x v="0"/>
    <x v="4"/>
    <x v="4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4"/>
    <x v="0"/>
    <x v="4"/>
    <x v="4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4"/>
    <x v="0"/>
    <x v="4"/>
    <x v="4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4"/>
    <x v="0"/>
    <x v="4"/>
    <x v="4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4"/>
    <x v="0"/>
    <x v="4"/>
    <x v="4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4"/>
    <x v="0"/>
    <x v="4"/>
    <x v="4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4"/>
    <x v="0"/>
    <x v="4"/>
    <x v="4"/>
    <x v="1"/>
    <x v="7"/>
    <x v="0"/>
    <x v="0"/>
    <x v="0"/>
    <x v="0"/>
    <x v="0"/>
    <x v="0"/>
    <x v="2"/>
    <x v="2"/>
    <x v="2"/>
    <x v="9"/>
    <x v="9"/>
    <n v="4.7614678899053997"/>
    <x v="0"/>
    <x v="0"/>
    <x v="1"/>
    <x v="4"/>
    <x v="5"/>
    <x v="9"/>
    <n v="5.1899999999968864"/>
  </r>
  <r>
    <x v="4"/>
    <x v="0"/>
    <x v="4"/>
    <x v="4"/>
    <x v="1"/>
    <x v="7"/>
    <x v="0"/>
    <x v="0"/>
    <x v="0"/>
    <x v="0"/>
    <x v="0"/>
    <x v="0"/>
    <x v="2"/>
    <x v="2"/>
    <x v="2"/>
    <x v="10"/>
    <x v="10"/>
    <n v="1.9458715596318601"/>
    <x v="0"/>
    <x v="0"/>
    <x v="1"/>
    <x v="4"/>
    <x v="5"/>
    <x v="10"/>
    <n v="2.1209999999987277"/>
  </r>
  <r>
    <x v="4"/>
    <x v="0"/>
    <x v="4"/>
    <x v="4"/>
    <x v="1"/>
    <x v="7"/>
    <x v="0"/>
    <x v="0"/>
    <x v="0"/>
    <x v="0"/>
    <x v="0"/>
    <x v="0"/>
    <x v="2"/>
    <x v="2"/>
    <x v="2"/>
    <x v="11"/>
    <x v="11"/>
    <n v="537.84281999999996"/>
    <x v="0"/>
    <x v="0"/>
    <x v="3"/>
    <x v="5"/>
    <x v="7"/>
    <x v="11"/>
    <n v="586.24867380000001"/>
  </r>
  <r>
    <x v="4"/>
    <x v="0"/>
    <x v="4"/>
    <x v="4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4"/>
    <x v="0"/>
    <x v="4"/>
    <x v="4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4"/>
    <x v="0"/>
    <x v="4"/>
    <x v="4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4"/>
    <x v="0"/>
    <x v="4"/>
    <x v="4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4"/>
    <x v="0"/>
    <x v="4"/>
    <x v="4"/>
    <x v="1"/>
    <x v="7"/>
    <x v="0"/>
    <x v="0"/>
    <x v="0"/>
    <x v="0"/>
    <x v="0"/>
    <x v="0"/>
    <x v="2"/>
    <x v="2"/>
    <x v="2"/>
    <x v="18"/>
    <x v="18"/>
    <n v="38.134"/>
    <x v="0"/>
    <x v="0"/>
    <x v="0"/>
    <x v="0"/>
    <x v="4"/>
    <x v="18"/>
    <n v="41.56606"/>
  </r>
  <r>
    <x v="4"/>
    <x v="0"/>
    <x v="4"/>
    <x v="4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4"/>
    <x v="0"/>
    <x v="4"/>
    <x v="4"/>
    <x v="1"/>
    <x v="7"/>
    <x v="0"/>
    <x v="0"/>
    <x v="0"/>
    <x v="0"/>
    <x v="0"/>
    <x v="0"/>
    <x v="2"/>
    <x v="2"/>
    <x v="2"/>
    <x v="1"/>
    <x v="1"/>
    <n v="74.009187941297199"/>
    <x v="0"/>
    <x v="0"/>
    <x v="1"/>
    <x v="1"/>
    <x v="1"/>
    <x v="1"/>
    <n v="80.67001485601395"/>
  </r>
  <r>
    <x v="4"/>
    <x v="0"/>
    <x v="4"/>
    <x v="4"/>
    <x v="1"/>
    <x v="7"/>
    <x v="0"/>
    <x v="0"/>
    <x v="0"/>
    <x v="0"/>
    <x v="0"/>
    <x v="0"/>
    <x v="1"/>
    <x v="6"/>
    <x v="6"/>
    <x v="11"/>
    <x v="11"/>
    <n v="51.19014"/>
    <x v="0"/>
    <x v="0"/>
    <x v="3"/>
    <x v="5"/>
    <x v="7"/>
    <x v="11"/>
    <n v="55.7972526"/>
  </r>
  <r>
    <x v="4"/>
    <x v="0"/>
    <x v="4"/>
    <x v="4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5"/>
    <x v="0"/>
    <x v="5"/>
    <x v="5"/>
    <x v="0"/>
    <x v="0"/>
    <x v="0"/>
    <x v="0"/>
    <x v="0"/>
    <x v="0"/>
    <x v="2"/>
    <x v="2"/>
    <x v="2"/>
    <x v="2"/>
    <x v="2"/>
    <x v="2"/>
    <x v="2"/>
    <n v="1.6055045871549999E-2"/>
    <x v="0"/>
    <x v="1"/>
    <x v="2"/>
    <x v="2"/>
    <x v="13"/>
    <x v="2"/>
    <n v="1.74999999999895E-2"/>
  </r>
  <r>
    <x v="5"/>
    <x v="0"/>
    <x v="5"/>
    <x v="5"/>
    <x v="0"/>
    <x v="0"/>
    <x v="0"/>
    <x v="0"/>
    <x v="0"/>
    <x v="0"/>
    <x v="2"/>
    <x v="2"/>
    <x v="4"/>
    <x v="5"/>
    <x v="5"/>
    <x v="6"/>
    <x v="6"/>
    <n v="2.3161100000000001"/>
    <x v="0"/>
    <x v="0"/>
    <x v="0"/>
    <x v="0"/>
    <x v="4"/>
    <x v="6"/>
    <n v="2.5245599000000003"/>
  </r>
  <r>
    <x v="5"/>
    <x v="0"/>
    <x v="5"/>
    <x v="5"/>
    <x v="0"/>
    <x v="0"/>
    <x v="0"/>
    <x v="0"/>
    <x v="0"/>
    <x v="0"/>
    <x v="2"/>
    <x v="2"/>
    <x v="4"/>
    <x v="5"/>
    <x v="5"/>
    <x v="18"/>
    <x v="18"/>
    <n v="2.2864800000000001"/>
    <x v="0"/>
    <x v="0"/>
    <x v="0"/>
    <x v="0"/>
    <x v="4"/>
    <x v="18"/>
    <n v="2.4922632000000005"/>
  </r>
  <r>
    <x v="5"/>
    <x v="0"/>
    <x v="5"/>
    <x v="5"/>
    <x v="0"/>
    <x v="0"/>
    <x v="0"/>
    <x v="0"/>
    <x v="0"/>
    <x v="0"/>
    <x v="0"/>
    <x v="0"/>
    <x v="3"/>
    <x v="3"/>
    <x v="3"/>
    <x v="5"/>
    <x v="5"/>
    <n v="231.60334356004199"/>
    <x v="0"/>
    <x v="0"/>
    <x v="1"/>
    <x v="1"/>
    <x v="1"/>
    <x v="5"/>
    <n v="252.4476444804458"/>
  </r>
  <r>
    <x v="5"/>
    <x v="0"/>
    <x v="5"/>
    <x v="5"/>
    <x v="0"/>
    <x v="0"/>
    <x v="0"/>
    <x v="0"/>
    <x v="0"/>
    <x v="0"/>
    <x v="0"/>
    <x v="0"/>
    <x v="3"/>
    <x v="3"/>
    <x v="3"/>
    <x v="6"/>
    <x v="6"/>
    <n v="16.061679999999999"/>
    <x v="0"/>
    <x v="0"/>
    <x v="0"/>
    <x v="0"/>
    <x v="4"/>
    <x v="6"/>
    <n v="17.5072312"/>
  </r>
  <r>
    <x v="5"/>
    <x v="0"/>
    <x v="5"/>
    <x v="5"/>
    <x v="0"/>
    <x v="0"/>
    <x v="0"/>
    <x v="0"/>
    <x v="0"/>
    <x v="0"/>
    <x v="0"/>
    <x v="0"/>
    <x v="3"/>
    <x v="3"/>
    <x v="3"/>
    <x v="8"/>
    <x v="8"/>
    <n v="2.8121621621801598"/>
    <x v="0"/>
    <x v="1"/>
    <x v="2"/>
    <x v="2"/>
    <x v="6"/>
    <x v="8"/>
    <n v="3.0652567567763742"/>
  </r>
  <r>
    <x v="5"/>
    <x v="0"/>
    <x v="5"/>
    <x v="5"/>
    <x v="0"/>
    <x v="0"/>
    <x v="0"/>
    <x v="0"/>
    <x v="0"/>
    <x v="0"/>
    <x v="0"/>
    <x v="0"/>
    <x v="3"/>
    <x v="3"/>
    <x v="3"/>
    <x v="11"/>
    <x v="11"/>
    <n v="8.4916400000000003"/>
    <x v="0"/>
    <x v="0"/>
    <x v="3"/>
    <x v="5"/>
    <x v="7"/>
    <x v="11"/>
    <n v="9.2558876000000012"/>
  </r>
  <r>
    <x v="5"/>
    <x v="0"/>
    <x v="5"/>
    <x v="5"/>
    <x v="0"/>
    <x v="0"/>
    <x v="0"/>
    <x v="0"/>
    <x v="0"/>
    <x v="0"/>
    <x v="0"/>
    <x v="0"/>
    <x v="3"/>
    <x v="3"/>
    <x v="3"/>
    <x v="12"/>
    <x v="12"/>
    <n v="336.83456976616202"/>
    <x v="0"/>
    <x v="0"/>
    <x v="0"/>
    <x v="0"/>
    <x v="8"/>
    <x v="12"/>
    <n v="367.14968104511661"/>
  </r>
  <r>
    <x v="5"/>
    <x v="0"/>
    <x v="5"/>
    <x v="5"/>
    <x v="0"/>
    <x v="0"/>
    <x v="0"/>
    <x v="0"/>
    <x v="0"/>
    <x v="0"/>
    <x v="0"/>
    <x v="0"/>
    <x v="3"/>
    <x v="3"/>
    <x v="3"/>
    <x v="32"/>
    <x v="32"/>
    <n v="32.604225767584701"/>
    <x v="0"/>
    <x v="0"/>
    <x v="1"/>
    <x v="1"/>
    <x v="1"/>
    <x v="20"/>
    <n v="35.538606086667329"/>
  </r>
  <r>
    <x v="5"/>
    <x v="0"/>
    <x v="5"/>
    <x v="5"/>
    <x v="0"/>
    <x v="0"/>
    <x v="0"/>
    <x v="0"/>
    <x v="0"/>
    <x v="0"/>
    <x v="0"/>
    <x v="0"/>
    <x v="3"/>
    <x v="3"/>
    <x v="3"/>
    <x v="14"/>
    <x v="14"/>
    <n v="60.652099999999997"/>
    <x v="0"/>
    <x v="0"/>
    <x v="0"/>
    <x v="0"/>
    <x v="8"/>
    <x v="14"/>
    <n v="66.110788999999997"/>
  </r>
  <r>
    <x v="5"/>
    <x v="0"/>
    <x v="5"/>
    <x v="5"/>
    <x v="0"/>
    <x v="0"/>
    <x v="0"/>
    <x v="0"/>
    <x v="0"/>
    <x v="0"/>
    <x v="0"/>
    <x v="0"/>
    <x v="3"/>
    <x v="3"/>
    <x v="3"/>
    <x v="16"/>
    <x v="16"/>
    <n v="35.299990000000001"/>
    <x v="0"/>
    <x v="0"/>
    <x v="3"/>
    <x v="5"/>
    <x v="9"/>
    <x v="16"/>
    <n v="38.476989100000004"/>
  </r>
  <r>
    <x v="5"/>
    <x v="0"/>
    <x v="5"/>
    <x v="5"/>
    <x v="0"/>
    <x v="0"/>
    <x v="0"/>
    <x v="0"/>
    <x v="0"/>
    <x v="0"/>
    <x v="0"/>
    <x v="0"/>
    <x v="3"/>
    <x v="3"/>
    <x v="3"/>
    <x v="18"/>
    <x v="18"/>
    <n v="12.3376"/>
    <x v="0"/>
    <x v="0"/>
    <x v="0"/>
    <x v="0"/>
    <x v="4"/>
    <x v="18"/>
    <n v="13.447984000000002"/>
  </r>
  <r>
    <x v="5"/>
    <x v="0"/>
    <x v="5"/>
    <x v="5"/>
    <x v="0"/>
    <x v="0"/>
    <x v="0"/>
    <x v="0"/>
    <x v="0"/>
    <x v="0"/>
    <x v="0"/>
    <x v="0"/>
    <x v="3"/>
    <x v="3"/>
    <x v="3"/>
    <x v="2"/>
    <x v="2"/>
    <n v="169.43796330265101"/>
    <x v="0"/>
    <x v="1"/>
    <x v="2"/>
    <x v="2"/>
    <x v="13"/>
    <x v="2"/>
    <n v="184.68737999988963"/>
  </r>
  <r>
    <x v="5"/>
    <x v="0"/>
    <x v="5"/>
    <x v="5"/>
    <x v="0"/>
    <x v="0"/>
    <x v="0"/>
    <x v="0"/>
    <x v="0"/>
    <x v="0"/>
    <x v="0"/>
    <x v="0"/>
    <x v="3"/>
    <x v="3"/>
    <x v="3"/>
    <x v="3"/>
    <x v="3"/>
    <n v="567.706453157689"/>
    <x v="0"/>
    <x v="0"/>
    <x v="1"/>
    <x v="3"/>
    <x v="3"/>
    <x v="3"/>
    <n v="618.800033941881"/>
  </r>
  <r>
    <x v="5"/>
    <x v="0"/>
    <x v="5"/>
    <x v="5"/>
    <x v="0"/>
    <x v="0"/>
    <x v="0"/>
    <x v="0"/>
    <x v="0"/>
    <x v="0"/>
    <x v="0"/>
    <x v="0"/>
    <x v="0"/>
    <x v="4"/>
    <x v="4"/>
    <x v="5"/>
    <x v="5"/>
    <n v="714.98746626310299"/>
    <x v="0"/>
    <x v="0"/>
    <x v="1"/>
    <x v="1"/>
    <x v="1"/>
    <x v="5"/>
    <n v="779.33633822678235"/>
  </r>
  <r>
    <x v="5"/>
    <x v="0"/>
    <x v="5"/>
    <x v="5"/>
    <x v="0"/>
    <x v="0"/>
    <x v="0"/>
    <x v="0"/>
    <x v="0"/>
    <x v="0"/>
    <x v="0"/>
    <x v="0"/>
    <x v="0"/>
    <x v="4"/>
    <x v="4"/>
    <x v="6"/>
    <x v="6"/>
    <n v="56.307459999999999"/>
    <x v="0"/>
    <x v="0"/>
    <x v="0"/>
    <x v="0"/>
    <x v="4"/>
    <x v="6"/>
    <n v="61.375131400000001"/>
  </r>
  <r>
    <x v="5"/>
    <x v="0"/>
    <x v="5"/>
    <x v="5"/>
    <x v="0"/>
    <x v="0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5"/>
    <x v="0"/>
    <x v="5"/>
    <x v="5"/>
    <x v="0"/>
    <x v="0"/>
    <x v="0"/>
    <x v="0"/>
    <x v="0"/>
    <x v="0"/>
    <x v="0"/>
    <x v="0"/>
    <x v="0"/>
    <x v="4"/>
    <x v="4"/>
    <x v="8"/>
    <x v="8"/>
    <n v="376.27050000240803"/>
    <x v="0"/>
    <x v="1"/>
    <x v="2"/>
    <x v="2"/>
    <x v="6"/>
    <x v="8"/>
    <n v="410.13484500262479"/>
  </r>
  <r>
    <x v="5"/>
    <x v="0"/>
    <x v="5"/>
    <x v="5"/>
    <x v="0"/>
    <x v="0"/>
    <x v="0"/>
    <x v="0"/>
    <x v="0"/>
    <x v="0"/>
    <x v="0"/>
    <x v="0"/>
    <x v="0"/>
    <x v="4"/>
    <x v="4"/>
    <x v="9"/>
    <x v="9"/>
    <n v="18.929700560564399"/>
    <x v="0"/>
    <x v="0"/>
    <x v="1"/>
    <x v="4"/>
    <x v="5"/>
    <x v="9"/>
    <n v="20.633373611015195"/>
  </r>
  <r>
    <x v="5"/>
    <x v="0"/>
    <x v="5"/>
    <x v="5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5"/>
    <x v="0"/>
    <x v="5"/>
    <x v="5"/>
    <x v="0"/>
    <x v="0"/>
    <x v="0"/>
    <x v="0"/>
    <x v="0"/>
    <x v="0"/>
    <x v="0"/>
    <x v="0"/>
    <x v="0"/>
    <x v="4"/>
    <x v="4"/>
    <x v="12"/>
    <x v="12"/>
    <n v="925.55696511276199"/>
    <x v="0"/>
    <x v="0"/>
    <x v="0"/>
    <x v="0"/>
    <x v="8"/>
    <x v="12"/>
    <n v="1008.8570919729107"/>
  </r>
  <r>
    <x v="5"/>
    <x v="0"/>
    <x v="5"/>
    <x v="5"/>
    <x v="0"/>
    <x v="0"/>
    <x v="0"/>
    <x v="0"/>
    <x v="0"/>
    <x v="0"/>
    <x v="0"/>
    <x v="0"/>
    <x v="0"/>
    <x v="4"/>
    <x v="4"/>
    <x v="32"/>
    <x v="32"/>
    <n v="43.200540188148999"/>
    <x v="0"/>
    <x v="0"/>
    <x v="1"/>
    <x v="1"/>
    <x v="1"/>
    <x v="20"/>
    <n v="47.088588805082409"/>
  </r>
  <r>
    <x v="5"/>
    <x v="0"/>
    <x v="5"/>
    <x v="5"/>
    <x v="0"/>
    <x v="0"/>
    <x v="0"/>
    <x v="0"/>
    <x v="0"/>
    <x v="0"/>
    <x v="0"/>
    <x v="0"/>
    <x v="0"/>
    <x v="4"/>
    <x v="4"/>
    <x v="14"/>
    <x v="14"/>
    <n v="178.33625000000001"/>
    <x v="0"/>
    <x v="0"/>
    <x v="0"/>
    <x v="0"/>
    <x v="8"/>
    <x v="14"/>
    <n v="194.38651250000001"/>
  </r>
  <r>
    <x v="5"/>
    <x v="0"/>
    <x v="5"/>
    <x v="5"/>
    <x v="0"/>
    <x v="0"/>
    <x v="0"/>
    <x v="0"/>
    <x v="0"/>
    <x v="0"/>
    <x v="0"/>
    <x v="0"/>
    <x v="0"/>
    <x v="4"/>
    <x v="4"/>
    <x v="16"/>
    <x v="16"/>
    <n v="548.76968999999997"/>
    <x v="0"/>
    <x v="0"/>
    <x v="3"/>
    <x v="5"/>
    <x v="9"/>
    <x v="16"/>
    <n v="598.15896210000005"/>
  </r>
  <r>
    <x v="5"/>
    <x v="0"/>
    <x v="5"/>
    <x v="5"/>
    <x v="0"/>
    <x v="0"/>
    <x v="0"/>
    <x v="0"/>
    <x v="0"/>
    <x v="0"/>
    <x v="0"/>
    <x v="0"/>
    <x v="0"/>
    <x v="4"/>
    <x v="4"/>
    <x v="17"/>
    <x v="17"/>
    <n v="28.226839999999999"/>
    <x v="0"/>
    <x v="0"/>
    <x v="0"/>
    <x v="0"/>
    <x v="4"/>
    <x v="17"/>
    <n v="30.767255600000002"/>
  </r>
  <r>
    <x v="5"/>
    <x v="0"/>
    <x v="5"/>
    <x v="5"/>
    <x v="0"/>
    <x v="0"/>
    <x v="0"/>
    <x v="0"/>
    <x v="0"/>
    <x v="0"/>
    <x v="0"/>
    <x v="0"/>
    <x v="0"/>
    <x v="4"/>
    <x v="4"/>
    <x v="18"/>
    <x v="18"/>
    <n v="137.02672999999999"/>
    <x v="0"/>
    <x v="0"/>
    <x v="0"/>
    <x v="0"/>
    <x v="4"/>
    <x v="18"/>
    <n v="149.3591357"/>
  </r>
  <r>
    <x v="5"/>
    <x v="0"/>
    <x v="5"/>
    <x v="5"/>
    <x v="0"/>
    <x v="0"/>
    <x v="0"/>
    <x v="0"/>
    <x v="0"/>
    <x v="0"/>
    <x v="0"/>
    <x v="0"/>
    <x v="0"/>
    <x v="4"/>
    <x v="4"/>
    <x v="0"/>
    <x v="0"/>
    <n v="3.8612099644020001"/>
    <x v="0"/>
    <x v="0"/>
    <x v="0"/>
    <x v="0"/>
    <x v="0"/>
    <x v="0"/>
    <n v="4.2087188611981805"/>
  </r>
  <r>
    <x v="5"/>
    <x v="0"/>
    <x v="5"/>
    <x v="5"/>
    <x v="0"/>
    <x v="0"/>
    <x v="0"/>
    <x v="0"/>
    <x v="0"/>
    <x v="0"/>
    <x v="0"/>
    <x v="0"/>
    <x v="0"/>
    <x v="4"/>
    <x v="4"/>
    <x v="2"/>
    <x v="2"/>
    <n v="671.47222018308298"/>
    <x v="0"/>
    <x v="1"/>
    <x v="2"/>
    <x v="2"/>
    <x v="13"/>
    <x v="2"/>
    <n v="731.90471999956048"/>
  </r>
  <r>
    <x v="5"/>
    <x v="0"/>
    <x v="5"/>
    <x v="5"/>
    <x v="0"/>
    <x v="0"/>
    <x v="0"/>
    <x v="0"/>
    <x v="0"/>
    <x v="0"/>
    <x v="0"/>
    <x v="0"/>
    <x v="0"/>
    <x v="0"/>
    <x v="0"/>
    <x v="5"/>
    <x v="5"/>
    <n v="27.603202454197501"/>
    <x v="0"/>
    <x v="0"/>
    <x v="1"/>
    <x v="1"/>
    <x v="1"/>
    <x v="5"/>
    <n v="30.087490675075276"/>
  </r>
  <r>
    <x v="5"/>
    <x v="0"/>
    <x v="5"/>
    <x v="5"/>
    <x v="0"/>
    <x v="0"/>
    <x v="0"/>
    <x v="0"/>
    <x v="0"/>
    <x v="0"/>
    <x v="0"/>
    <x v="0"/>
    <x v="0"/>
    <x v="0"/>
    <x v="0"/>
    <x v="6"/>
    <x v="6"/>
    <n v="70.810910000000007"/>
    <x v="0"/>
    <x v="0"/>
    <x v="0"/>
    <x v="0"/>
    <x v="4"/>
    <x v="6"/>
    <n v="77.183891900000006"/>
  </r>
  <r>
    <x v="5"/>
    <x v="0"/>
    <x v="5"/>
    <x v="5"/>
    <x v="0"/>
    <x v="0"/>
    <x v="0"/>
    <x v="0"/>
    <x v="0"/>
    <x v="0"/>
    <x v="0"/>
    <x v="0"/>
    <x v="0"/>
    <x v="0"/>
    <x v="0"/>
    <x v="7"/>
    <x v="7"/>
    <n v="27.636715596313699"/>
    <x v="0"/>
    <x v="0"/>
    <x v="1"/>
    <x v="4"/>
    <x v="5"/>
    <x v="7"/>
    <n v="30.124019999981936"/>
  </r>
  <r>
    <x v="5"/>
    <x v="0"/>
    <x v="5"/>
    <x v="5"/>
    <x v="0"/>
    <x v="0"/>
    <x v="0"/>
    <x v="0"/>
    <x v="0"/>
    <x v="0"/>
    <x v="0"/>
    <x v="0"/>
    <x v="0"/>
    <x v="0"/>
    <x v="0"/>
    <x v="8"/>
    <x v="8"/>
    <n v="2445.0969324480802"/>
    <x v="0"/>
    <x v="1"/>
    <x v="2"/>
    <x v="2"/>
    <x v="6"/>
    <x v="8"/>
    <n v="2665.1556563684076"/>
  </r>
  <r>
    <x v="5"/>
    <x v="0"/>
    <x v="5"/>
    <x v="5"/>
    <x v="0"/>
    <x v="0"/>
    <x v="0"/>
    <x v="0"/>
    <x v="0"/>
    <x v="0"/>
    <x v="0"/>
    <x v="0"/>
    <x v="0"/>
    <x v="0"/>
    <x v="0"/>
    <x v="9"/>
    <x v="9"/>
    <n v="11.519521415910599"/>
    <x v="0"/>
    <x v="0"/>
    <x v="1"/>
    <x v="4"/>
    <x v="5"/>
    <x v="9"/>
    <n v="12.556278343342555"/>
  </r>
  <r>
    <x v="5"/>
    <x v="0"/>
    <x v="5"/>
    <x v="5"/>
    <x v="0"/>
    <x v="0"/>
    <x v="0"/>
    <x v="0"/>
    <x v="0"/>
    <x v="0"/>
    <x v="0"/>
    <x v="0"/>
    <x v="0"/>
    <x v="0"/>
    <x v="0"/>
    <x v="10"/>
    <x v="10"/>
    <n v="24.5191121416442"/>
    <x v="0"/>
    <x v="0"/>
    <x v="1"/>
    <x v="4"/>
    <x v="5"/>
    <x v="10"/>
    <n v="26.725832234392179"/>
  </r>
  <r>
    <x v="5"/>
    <x v="0"/>
    <x v="5"/>
    <x v="5"/>
    <x v="0"/>
    <x v="0"/>
    <x v="0"/>
    <x v="0"/>
    <x v="0"/>
    <x v="0"/>
    <x v="0"/>
    <x v="0"/>
    <x v="0"/>
    <x v="0"/>
    <x v="0"/>
    <x v="55"/>
    <x v="55"/>
    <n v="0.33803669724750002"/>
    <x v="0"/>
    <x v="0"/>
    <x v="1"/>
    <x v="3"/>
    <x v="3"/>
    <x v="15"/>
    <n v="0.36845999999977502"/>
  </r>
  <r>
    <x v="5"/>
    <x v="0"/>
    <x v="5"/>
    <x v="5"/>
    <x v="0"/>
    <x v="0"/>
    <x v="0"/>
    <x v="0"/>
    <x v="0"/>
    <x v="0"/>
    <x v="0"/>
    <x v="0"/>
    <x v="0"/>
    <x v="0"/>
    <x v="0"/>
    <x v="11"/>
    <x v="11"/>
    <n v="9.2618899999999993"/>
    <x v="0"/>
    <x v="0"/>
    <x v="3"/>
    <x v="5"/>
    <x v="7"/>
    <x v="11"/>
    <n v="10.0954601"/>
  </r>
  <r>
    <x v="5"/>
    <x v="0"/>
    <x v="5"/>
    <x v="5"/>
    <x v="0"/>
    <x v="0"/>
    <x v="0"/>
    <x v="0"/>
    <x v="0"/>
    <x v="0"/>
    <x v="0"/>
    <x v="0"/>
    <x v="0"/>
    <x v="0"/>
    <x v="0"/>
    <x v="12"/>
    <x v="12"/>
    <n v="724.95251162515206"/>
    <x v="0"/>
    <x v="0"/>
    <x v="0"/>
    <x v="0"/>
    <x v="8"/>
    <x v="12"/>
    <n v="790.19823767141577"/>
  </r>
  <r>
    <x v="5"/>
    <x v="0"/>
    <x v="5"/>
    <x v="5"/>
    <x v="0"/>
    <x v="0"/>
    <x v="0"/>
    <x v="0"/>
    <x v="0"/>
    <x v="0"/>
    <x v="0"/>
    <x v="0"/>
    <x v="0"/>
    <x v="0"/>
    <x v="0"/>
    <x v="14"/>
    <x v="14"/>
    <n v="29.858160000000002"/>
    <x v="0"/>
    <x v="0"/>
    <x v="0"/>
    <x v="0"/>
    <x v="8"/>
    <x v="14"/>
    <n v="32.545394400000006"/>
  </r>
  <r>
    <x v="5"/>
    <x v="0"/>
    <x v="5"/>
    <x v="5"/>
    <x v="0"/>
    <x v="0"/>
    <x v="0"/>
    <x v="0"/>
    <x v="0"/>
    <x v="0"/>
    <x v="0"/>
    <x v="0"/>
    <x v="0"/>
    <x v="0"/>
    <x v="0"/>
    <x v="22"/>
    <x v="22"/>
    <n v="2.5022177419254801"/>
    <x v="0"/>
    <x v="0"/>
    <x v="0"/>
    <x v="0"/>
    <x v="0"/>
    <x v="0"/>
    <n v="2.7274173386987735"/>
  </r>
  <r>
    <x v="5"/>
    <x v="0"/>
    <x v="5"/>
    <x v="5"/>
    <x v="0"/>
    <x v="0"/>
    <x v="0"/>
    <x v="0"/>
    <x v="0"/>
    <x v="0"/>
    <x v="0"/>
    <x v="0"/>
    <x v="0"/>
    <x v="0"/>
    <x v="0"/>
    <x v="23"/>
    <x v="23"/>
    <n v="2.3648165137600499"/>
    <x v="0"/>
    <x v="0"/>
    <x v="1"/>
    <x v="3"/>
    <x v="3"/>
    <x v="15"/>
    <n v="2.5776499999984543"/>
  </r>
  <r>
    <x v="5"/>
    <x v="0"/>
    <x v="5"/>
    <x v="5"/>
    <x v="0"/>
    <x v="0"/>
    <x v="0"/>
    <x v="0"/>
    <x v="0"/>
    <x v="0"/>
    <x v="0"/>
    <x v="0"/>
    <x v="0"/>
    <x v="0"/>
    <x v="0"/>
    <x v="24"/>
    <x v="24"/>
    <n v="1.7395412844026299"/>
    <x v="0"/>
    <x v="0"/>
    <x v="1"/>
    <x v="3"/>
    <x v="3"/>
    <x v="4"/>
    <n v="1.8960999999988668"/>
  </r>
  <r>
    <x v="5"/>
    <x v="0"/>
    <x v="5"/>
    <x v="5"/>
    <x v="0"/>
    <x v="0"/>
    <x v="0"/>
    <x v="0"/>
    <x v="0"/>
    <x v="0"/>
    <x v="0"/>
    <x v="0"/>
    <x v="0"/>
    <x v="0"/>
    <x v="0"/>
    <x v="17"/>
    <x v="17"/>
    <n v="1.38768"/>
    <x v="0"/>
    <x v="0"/>
    <x v="0"/>
    <x v="0"/>
    <x v="4"/>
    <x v="17"/>
    <n v="1.5125712000000002"/>
  </r>
  <r>
    <x v="5"/>
    <x v="0"/>
    <x v="5"/>
    <x v="5"/>
    <x v="0"/>
    <x v="0"/>
    <x v="0"/>
    <x v="0"/>
    <x v="0"/>
    <x v="0"/>
    <x v="0"/>
    <x v="0"/>
    <x v="0"/>
    <x v="0"/>
    <x v="0"/>
    <x v="21"/>
    <x v="21"/>
    <n v="5.6548165137580799"/>
    <x v="0"/>
    <x v="0"/>
    <x v="1"/>
    <x v="4"/>
    <x v="5"/>
    <x v="10"/>
    <n v="6.1637499999963072"/>
  </r>
  <r>
    <x v="5"/>
    <x v="0"/>
    <x v="5"/>
    <x v="5"/>
    <x v="0"/>
    <x v="0"/>
    <x v="0"/>
    <x v="0"/>
    <x v="0"/>
    <x v="0"/>
    <x v="0"/>
    <x v="0"/>
    <x v="0"/>
    <x v="0"/>
    <x v="0"/>
    <x v="18"/>
    <x v="18"/>
    <n v="12.20388"/>
    <x v="0"/>
    <x v="0"/>
    <x v="0"/>
    <x v="0"/>
    <x v="4"/>
    <x v="18"/>
    <n v="13.302229200000001"/>
  </r>
  <r>
    <x v="5"/>
    <x v="0"/>
    <x v="5"/>
    <x v="5"/>
    <x v="0"/>
    <x v="0"/>
    <x v="0"/>
    <x v="0"/>
    <x v="0"/>
    <x v="0"/>
    <x v="0"/>
    <x v="0"/>
    <x v="0"/>
    <x v="0"/>
    <x v="0"/>
    <x v="25"/>
    <x v="25"/>
    <n v="17.793348623842501"/>
    <x v="0"/>
    <x v="0"/>
    <x v="1"/>
    <x v="4"/>
    <x v="5"/>
    <x v="9"/>
    <n v="19.394749999988328"/>
  </r>
  <r>
    <x v="5"/>
    <x v="0"/>
    <x v="5"/>
    <x v="5"/>
    <x v="0"/>
    <x v="0"/>
    <x v="0"/>
    <x v="0"/>
    <x v="0"/>
    <x v="0"/>
    <x v="0"/>
    <x v="0"/>
    <x v="0"/>
    <x v="0"/>
    <x v="0"/>
    <x v="26"/>
    <x v="26"/>
    <n v="0.21016513761455"/>
    <x v="0"/>
    <x v="0"/>
    <x v="1"/>
    <x v="3"/>
    <x v="3"/>
    <x v="15"/>
    <n v="0.22907999999985951"/>
  </r>
  <r>
    <x v="5"/>
    <x v="0"/>
    <x v="5"/>
    <x v="5"/>
    <x v="0"/>
    <x v="0"/>
    <x v="0"/>
    <x v="0"/>
    <x v="0"/>
    <x v="0"/>
    <x v="0"/>
    <x v="0"/>
    <x v="0"/>
    <x v="0"/>
    <x v="0"/>
    <x v="0"/>
    <x v="0"/>
    <n v="4.7677135231183199"/>
    <x v="0"/>
    <x v="0"/>
    <x v="0"/>
    <x v="0"/>
    <x v="0"/>
    <x v="0"/>
    <n v="5.1968077401989694"/>
  </r>
  <r>
    <x v="5"/>
    <x v="0"/>
    <x v="5"/>
    <x v="5"/>
    <x v="0"/>
    <x v="0"/>
    <x v="0"/>
    <x v="0"/>
    <x v="0"/>
    <x v="0"/>
    <x v="0"/>
    <x v="0"/>
    <x v="0"/>
    <x v="0"/>
    <x v="0"/>
    <x v="2"/>
    <x v="2"/>
    <n v="1681.3035779806401"/>
    <x v="0"/>
    <x v="1"/>
    <x v="2"/>
    <x v="2"/>
    <x v="13"/>
    <x v="2"/>
    <n v="1832.6208999988978"/>
  </r>
  <r>
    <x v="5"/>
    <x v="0"/>
    <x v="5"/>
    <x v="5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5"/>
    <x v="0"/>
    <x v="5"/>
    <x v="5"/>
    <x v="0"/>
    <x v="0"/>
    <x v="0"/>
    <x v="0"/>
    <x v="0"/>
    <x v="0"/>
    <x v="0"/>
    <x v="0"/>
    <x v="1"/>
    <x v="1"/>
    <x v="1"/>
    <x v="5"/>
    <x v="5"/>
    <n v="67.452000000512598"/>
    <x v="0"/>
    <x v="0"/>
    <x v="1"/>
    <x v="1"/>
    <x v="1"/>
    <x v="5"/>
    <n v="73.522680000558736"/>
  </r>
  <r>
    <x v="5"/>
    <x v="0"/>
    <x v="5"/>
    <x v="5"/>
    <x v="0"/>
    <x v="0"/>
    <x v="0"/>
    <x v="0"/>
    <x v="0"/>
    <x v="0"/>
    <x v="0"/>
    <x v="0"/>
    <x v="1"/>
    <x v="1"/>
    <x v="1"/>
    <x v="6"/>
    <x v="6"/>
    <n v="107.44837"/>
    <x v="0"/>
    <x v="0"/>
    <x v="0"/>
    <x v="0"/>
    <x v="4"/>
    <x v="6"/>
    <n v="117.1187233"/>
  </r>
  <r>
    <x v="5"/>
    <x v="0"/>
    <x v="5"/>
    <x v="5"/>
    <x v="0"/>
    <x v="0"/>
    <x v="0"/>
    <x v="0"/>
    <x v="0"/>
    <x v="0"/>
    <x v="0"/>
    <x v="0"/>
    <x v="1"/>
    <x v="1"/>
    <x v="1"/>
    <x v="7"/>
    <x v="7"/>
    <n v="37.472532110069302"/>
    <x v="0"/>
    <x v="0"/>
    <x v="1"/>
    <x v="4"/>
    <x v="5"/>
    <x v="7"/>
    <n v="40.84505999997554"/>
  </r>
  <r>
    <x v="5"/>
    <x v="0"/>
    <x v="5"/>
    <x v="5"/>
    <x v="0"/>
    <x v="0"/>
    <x v="0"/>
    <x v="0"/>
    <x v="0"/>
    <x v="0"/>
    <x v="0"/>
    <x v="0"/>
    <x v="1"/>
    <x v="1"/>
    <x v="1"/>
    <x v="8"/>
    <x v="8"/>
    <n v="2947.1543919107498"/>
    <x v="0"/>
    <x v="1"/>
    <x v="2"/>
    <x v="2"/>
    <x v="6"/>
    <x v="8"/>
    <n v="3212.3982871827175"/>
  </r>
  <r>
    <x v="5"/>
    <x v="0"/>
    <x v="5"/>
    <x v="5"/>
    <x v="0"/>
    <x v="0"/>
    <x v="0"/>
    <x v="0"/>
    <x v="0"/>
    <x v="0"/>
    <x v="0"/>
    <x v="0"/>
    <x v="1"/>
    <x v="1"/>
    <x v="1"/>
    <x v="9"/>
    <x v="9"/>
    <n v="13.2278724170872"/>
    <x v="0"/>
    <x v="0"/>
    <x v="1"/>
    <x v="4"/>
    <x v="5"/>
    <x v="9"/>
    <n v="14.418380934625048"/>
  </r>
  <r>
    <x v="5"/>
    <x v="0"/>
    <x v="5"/>
    <x v="5"/>
    <x v="0"/>
    <x v="0"/>
    <x v="0"/>
    <x v="0"/>
    <x v="0"/>
    <x v="0"/>
    <x v="0"/>
    <x v="0"/>
    <x v="1"/>
    <x v="1"/>
    <x v="1"/>
    <x v="10"/>
    <x v="10"/>
    <n v="5.8773982181952"/>
    <x v="0"/>
    <x v="0"/>
    <x v="1"/>
    <x v="4"/>
    <x v="5"/>
    <x v="10"/>
    <n v="6.4063640578327687"/>
  </r>
  <r>
    <x v="5"/>
    <x v="0"/>
    <x v="5"/>
    <x v="5"/>
    <x v="0"/>
    <x v="0"/>
    <x v="0"/>
    <x v="0"/>
    <x v="0"/>
    <x v="0"/>
    <x v="0"/>
    <x v="0"/>
    <x v="1"/>
    <x v="1"/>
    <x v="1"/>
    <x v="55"/>
    <x v="55"/>
    <n v="0.66071559632987997"/>
    <x v="0"/>
    <x v="0"/>
    <x v="1"/>
    <x v="3"/>
    <x v="3"/>
    <x v="15"/>
    <n v="0.72017999999956928"/>
  </r>
  <r>
    <x v="5"/>
    <x v="0"/>
    <x v="5"/>
    <x v="5"/>
    <x v="0"/>
    <x v="0"/>
    <x v="0"/>
    <x v="0"/>
    <x v="0"/>
    <x v="0"/>
    <x v="0"/>
    <x v="0"/>
    <x v="1"/>
    <x v="1"/>
    <x v="1"/>
    <x v="11"/>
    <x v="11"/>
    <n v="23.57132"/>
    <x v="0"/>
    <x v="0"/>
    <x v="3"/>
    <x v="5"/>
    <x v="7"/>
    <x v="11"/>
    <n v="25.692738800000001"/>
  </r>
  <r>
    <x v="5"/>
    <x v="0"/>
    <x v="5"/>
    <x v="5"/>
    <x v="0"/>
    <x v="0"/>
    <x v="0"/>
    <x v="0"/>
    <x v="0"/>
    <x v="0"/>
    <x v="0"/>
    <x v="0"/>
    <x v="1"/>
    <x v="1"/>
    <x v="1"/>
    <x v="12"/>
    <x v="12"/>
    <n v="423.413093021647"/>
    <x v="0"/>
    <x v="0"/>
    <x v="0"/>
    <x v="0"/>
    <x v="8"/>
    <x v="12"/>
    <n v="461.52027139359524"/>
  </r>
  <r>
    <x v="5"/>
    <x v="0"/>
    <x v="5"/>
    <x v="5"/>
    <x v="0"/>
    <x v="0"/>
    <x v="0"/>
    <x v="0"/>
    <x v="0"/>
    <x v="0"/>
    <x v="0"/>
    <x v="0"/>
    <x v="1"/>
    <x v="1"/>
    <x v="1"/>
    <x v="32"/>
    <x v="32"/>
    <n v="8.7962836877444701"/>
    <x v="0"/>
    <x v="0"/>
    <x v="1"/>
    <x v="1"/>
    <x v="1"/>
    <x v="20"/>
    <n v="9.5879492196414731"/>
  </r>
  <r>
    <x v="5"/>
    <x v="0"/>
    <x v="5"/>
    <x v="5"/>
    <x v="0"/>
    <x v="0"/>
    <x v="0"/>
    <x v="0"/>
    <x v="0"/>
    <x v="0"/>
    <x v="0"/>
    <x v="0"/>
    <x v="1"/>
    <x v="1"/>
    <x v="1"/>
    <x v="14"/>
    <x v="14"/>
    <n v="177.68407999999999"/>
    <x v="0"/>
    <x v="0"/>
    <x v="0"/>
    <x v="0"/>
    <x v="8"/>
    <x v="14"/>
    <n v="193.67564720000001"/>
  </r>
  <r>
    <x v="5"/>
    <x v="0"/>
    <x v="5"/>
    <x v="5"/>
    <x v="0"/>
    <x v="0"/>
    <x v="0"/>
    <x v="0"/>
    <x v="0"/>
    <x v="0"/>
    <x v="0"/>
    <x v="0"/>
    <x v="1"/>
    <x v="1"/>
    <x v="1"/>
    <x v="15"/>
    <x v="15"/>
    <n v="0.11559633027516"/>
    <x v="0"/>
    <x v="0"/>
    <x v="1"/>
    <x v="3"/>
    <x v="3"/>
    <x v="15"/>
    <n v="0.12599999999992442"/>
  </r>
  <r>
    <x v="5"/>
    <x v="0"/>
    <x v="5"/>
    <x v="5"/>
    <x v="0"/>
    <x v="0"/>
    <x v="0"/>
    <x v="0"/>
    <x v="0"/>
    <x v="0"/>
    <x v="0"/>
    <x v="0"/>
    <x v="1"/>
    <x v="1"/>
    <x v="1"/>
    <x v="22"/>
    <x v="22"/>
    <n v="0.83407258064182999"/>
    <x v="0"/>
    <x v="0"/>
    <x v="0"/>
    <x v="0"/>
    <x v="0"/>
    <x v="0"/>
    <n v="0.9091391128995947"/>
  </r>
  <r>
    <x v="5"/>
    <x v="0"/>
    <x v="5"/>
    <x v="5"/>
    <x v="0"/>
    <x v="0"/>
    <x v="0"/>
    <x v="0"/>
    <x v="0"/>
    <x v="0"/>
    <x v="0"/>
    <x v="0"/>
    <x v="1"/>
    <x v="1"/>
    <x v="1"/>
    <x v="23"/>
    <x v="23"/>
    <n v="25.805963302736799"/>
    <x v="0"/>
    <x v="0"/>
    <x v="1"/>
    <x v="3"/>
    <x v="3"/>
    <x v="15"/>
    <n v="28.128499999983113"/>
  </r>
  <r>
    <x v="5"/>
    <x v="0"/>
    <x v="5"/>
    <x v="5"/>
    <x v="0"/>
    <x v="0"/>
    <x v="0"/>
    <x v="0"/>
    <x v="0"/>
    <x v="0"/>
    <x v="0"/>
    <x v="0"/>
    <x v="1"/>
    <x v="1"/>
    <x v="1"/>
    <x v="24"/>
    <x v="24"/>
    <n v="5.37310091742797"/>
    <x v="0"/>
    <x v="0"/>
    <x v="1"/>
    <x v="3"/>
    <x v="3"/>
    <x v="4"/>
    <n v="5.856679999996488"/>
  </r>
  <r>
    <x v="5"/>
    <x v="0"/>
    <x v="5"/>
    <x v="5"/>
    <x v="0"/>
    <x v="0"/>
    <x v="0"/>
    <x v="0"/>
    <x v="0"/>
    <x v="0"/>
    <x v="0"/>
    <x v="0"/>
    <x v="1"/>
    <x v="1"/>
    <x v="1"/>
    <x v="17"/>
    <x v="17"/>
    <n v="1.6792800000000001"/>
    <x v="0"/>
    <x v="0"/>
    <x v="0"/>
    <x v="0"/>
    <x v="4"/>
    <x v="17"/>
    <n v="1.8304152000000002"/>
  </r>
  <r>
    <x v="5"/>
    <x v="0"/>
    <x v="5"/>
    <x v="5"/>
    <x v="0"/>
    <x v="0"/>
    <x v="0"/>
    <x v="0"/>
    <x v="0"/>
    <x v="0"/>
    <x v="0"/>
    <x v="0"/>
    <x v="1"/>
    <x v="1"/>
    <x v="1"/>
    <x v="18"/>
    <x v="18"/>
    <n v="15.22128"/>
    <x v="0"/>
    <x v="0"/>
    <x v="0"/>
    <x v="0"/>
    <x v="4"/>
    <x v="18"/>
    <n v="16.591195200000001"/>
  </r>
  <r>
    <x v="5"/>
    <x v="0"/>
    <x v="5"/>
    <x v="5"/>
    <x v="0"/>
    <x v="0"/>
    <x v="0"/>
    <x v="0"/>
    <x v="0"/>
    <x v="0"/>
    <x v="0"/>
    <x v="0"/>
    <x v="1"/>
    <x v="1"/>
    <x v="1"/>
    <x v="27"/>
    <x v="27"/>
    <n v="44.780123874823197"/>
    <x v="0"/>
    <x v="0"/>
    <x v="1"/>
    <x v="3"/>
    <x v="3"/>
    <x v="19"/>
    <n v="48.810335023557286"/>
  </r>
  <r>
    <x v="5"/>
    <x v="0"/>
    <x v="5"/>
    <x v="5"/>
    <x v="0"/>
    <x v="0"/>
    <x v="0"/>
    <x v="0"/>
    <x v="0"/>
    <x v="0"/>
    <x v="0"/>
    <x v="0"/>
    <x v="1"/>
    <x v="1"/>
    <x v="1"/>
    <x v="26"/>
    <x v="26"/>
    <n v="0.92190825688017997"/>
    <x v="0"/>
    <x v="0"/>
    <x v="1"/>
    <x v="3"/>
    <x v="3"/>
    <x v="15"/>
    <n v="1.0048799999993963"/>
  </r>
  <r>
    <x v="5"/>
    <x v="0"/>
    <x v="5"/>
    <x v="5"/>
    <x v="0"/>
    <x v="0"/>
    <x v="0"/>
    <x v="0"/>
    <x v="0"/>
    <x v="0"/>
    <x v="0"/>
    <x v="0"/>
    <x v="1"/>
    <x v="1"/>
    <x v="1"/>
    <x v="0"/>
    <x v="0"/>
    <n v="4.9340373665342296"/>
    <x v="0"/>
    <x v="0"/>
    <x v="0"/>
    <x v="0"/>
    <x v="0"/>
    <x v="0"/>
    <n v="5.3781007295223109"/>
  </r>
  <r>
    <x v="5"/>
    <x v="0"/>
    <x v="5"/>
    <x v="5"/>
    <x v="0"/>
    <x v="0"/>
    <x v="0"/>
    <x v="0"/>
    <x v="0"/>
    <x v="0"/>
    <x v="0"/>
    <x v="0"/>
    <x v="1"/>
    <x v="1"/>
    <x v="1"/>
    <x v="2"/>
    <x v="2"/>
    <n v="1626.7591743109499"/>
    <x v="0"/>
    <x v="1"/>
    <x v="2"/>
    <x v="2"/>
    <x v="13"/>
    <x v="2"/>
    <n v="1773.1674999989355"/>
  </r>
  <r>
    <x v="5"/>
    <x v="0"/>
    <x v="5"/>
    <x v="5"/>
    <x v="0"/>
    <x v="0"/>
    <x v="0"/>
    <x v="0"/>
    <x v="0"/>
    <x v="0"/>
    <x v="0"/>
    <x v="0"/>
    <x v="2"/>
    <x v="2"/>
    <x v="2"/>
    <x v="4"/>
    <x v="4"/>
    <n v="88.652348623799995"/>
    <x v="0"/>
    <x v="0"/>
    <x v="1"/>
    <x v="3"/>
    <x v="3"/>
    <x v="4"/>
    <n v="96.631059999941996"/>
  </r>
  <r>
    <x v="5"/>
    <x v="0"/>
    <x v="5"/>
    <x v="5"/>
    <x v="0"/>
    <x v="0"/>
    <x v="0"/>
    <x v="0"/>
    <x v="0"/>
    <x v="0"/>
    <x v="0"/>
    <x v="0"/>
    <x v="2"/>
    <x v="2"/>
    <x v="2"/>
    <x v="5"/>
    <x v="5"/>
    <n v="568.17863190615901"/>
    <x v="0"/>
    <x v="0"/>
    <x v="1"/>
    <x v="1"/>
    <x v="1"/>
    <x v="5"/>
    <n v="619.31470877771335"/>
  </r>
  <r>
    <x v="5"/>
    <x v="0"/>
    <x v="5"/>
    <x v="5"/>
    <x v="0"/>
    <x v="0"/>
    <x v="0"/>
    <x v="0"/>
    <x v="0"/>
    <x v="0"/>
    <x v="0"/>
    <x v="0"/>
    <x v="2"/>
    <x v="2"/>
    <x v="2"/>
    <x v="6"/>
    <x v="6"/>
    <n v="434.56169"/>
    <x v="0"/>
    <x v="0"/>
    <x v="0"/>
    <x v="0"/>
    <x v="4"/>
    <x v="6"/>
    <n v="473.67224210000001"/>
  </r>
  <r>
    <x v="5"/>
    <x v="0"/>
    <x v="5"/>
    <x v="5"/>
    <x v="0"/>
    <x v="0"/>
    <x v="0"/>
    <x v="0"/>
    <x v="0"/>
    <x v="0"/>
    <x v="0"/>
    <x v="0"/>
    <x v="2"/>
    <x v="2"/>
    <x v="2"/>
    <x v="7"/>
    <x v="7"/>
    <n v="4.4897981651349204"/>
    <x v="0"/>
    <x v="0"/>
    <x v="1"/>
    <x v="4"/>
    <x v="5"/>
    <x v="7"/>
    <n v="4.8938799999970639"/>
  </r>
  <r>
    <x v="5"/>
    <x v="0"/>
    <x v="5"/>
    <x v="5"/>
    <x v="0"/>
    <x v="0"/>
    <x v="0"/>
    <x v="0"/>
    <x v="0"/>
    <x v="0"/>
    <x v="0"/>
    <x v="0"/>
    <x v="2"/>
    <x v="2"/>
    <x v="2"/>
    <x v="8"/>
    <x v="8"/>
    <n v="562.63772297657397"/>
    <x v="0"/>
    <x v="1"/>
    <x v="2"/>
    <x v="2"/>
    <x v="6"/>
    <x v="8"/>
    <n v="613.27511804446567"/>
  </r>
  <r>
    <x v="5"/>
    <x v="0"/>
    <x v="5"/>
    <x v="5"/>
    <x v="0"/>
    <x v="0"/>
    <x v="0"/>
    <x v="0"/>
    <x v="0"/>
    <x v="0"/>
    <x v="0"/>
    <x v="0"/>
    <x v="2"/>
    <x v="2"/>
    <x v="2"/>
    <x v="9"/>
    <x v="9"/>
    <n v="104.444451537605"/>
    <x v="0"/>
    <x v="0"/>
    <x v="1"/>
    <x v="4"/>
    <x v="5"/>
    <x v="9"/>
    <n v="113.84445217598946"/>
  </r>
  <r>
    <x v="5"/>
    <x v="0"/>
    <x v="5"/>
    <x v="5"/>
    <x v="0"/>
    <x v="0"/>
    <x v="0"/>
    <x v="0"/>
    <x v="0"/>
    <x v="0"/>
    <x v="0"/>
    <x v="0"/>
    <x v="2"/>
    <x v="2"/>
    <x v="2"/>
    <x v="10"/>
    <x v="10"/>
    <n v="4.5952118861451101"/>
    <x v="0"/>
    <x v="0"/>
    <x v="1"/>
    <x v="4"/>
    <x v="5"/>
    <x v="10"/>
    <n v="5.0087809558981702"/>
  </r>
  <r>
    <x v="5"/>
    <x v="0"/>
    <x v="5"/>
    <x v="5"/>
    <x v="0"/>
    <x v="0"/>
    <x v="0"/>
    <x v="0"/>
    <x v="0"/>
    <x v="0"/>
    <x v="0"/>
    <x v="0"/>
    <x v="2"/>
    <x v="2"/>
    <x v="2"/>
    <x v="28"/>
    <x v="28"/>
    <n v="14.360720000000001"/>
    <x v="0"/>
    <x v="0"/>
    <x v="1"/>
    <x v="3"/>
    <x v="3"/>
    <x v="13"/>
    <n v="15.653184800000002"/>
  </r>
  <r>
    <x v="5"/>
    <x v="0"/>
    <x v="5"/>
    <x v="5"/>
    <x v="0"/>
    <x v="0"/>
    <x v="0"/>
    <x v="0"/>
    <x v="0"/>
    <x v="0"/>
    <x v="0"/>
    <x v="0"/>
    <x v="2"/>
    <x v="2"/>
    <x v="2"/>
    <x v="30"/>
    <x v="30"/>
    <n v="112.45903225761499"/>
    <x v="0"/>
    <x v="0"/>
    <x v="0"/>
    <x v="0"/>
    <x v="0"/>
    <x v="0"/>
    <n v="122.58034516080035"/>
  </r>
  <r>
    <x v="5"/>
    <x v="0"/>
    <x v="5"/>
    <x v="5"/>
    <x v="0"/>
    <x v="0"/>
    <x v="0"/>
    <x v="0"/>
    <x v="0"/>
    <x v="0"/>
    <x v="0"/>
    <x v="0"/>
    <x v="2"/>
    <x v="2"/>
    <x v="2"/>
    <x v="31"/>
    <x v="31"/>
    <n v="3.9297798165114002"/>
    <x v="0"/>
    <x v="0"/>
    <x v="1"/>
    <x v="4"/>
    <x v="5"/>
    <x v="10"/>
    <n v="4.2834599999974268"/>
  </r>
  <r>
    <x v="5"/>
    <x v="0"/>
    <x v="5"/>
    <x v="5"/>
    <x v="0"/>
    <x v="0"/>
    <x v="0"/>
    <x v="0"/>
    <x v="0"/>
    <x v="0"/>
    <x v="0"/>
    <x v="0"/>
    <x v="2"/>
    <x v="2"/>
    <x v="2"/>
    <x v="11"/>
    <x v="11"/>
    <n v="186.78154000000001"/>
    <x v="0"/>
    <x v="0"/>
    <x v="3"/>
    <x v="5"/>
    <x v="7"/>
    <x v="11"/>
    <n v="203.59187860000003"/>
  </r>
  <r>
    <x v="5"/>
    <x v="0"/>
    <x v="5"/>
    <x v="5"/>
    <x v="0"/>
    <x v="0"/>
    <x v="0"/>
    <x v="0"/>
    <x v="0"/>
    <x v="0"/>
    <x v="0"/>
    <x v="0"/>
    <x v="2"/>
    <x v="2"/>
    <x v="2"/>
    <x v="12"/>
    <x v="12"/>
    <n v="1462.8920697618801"/>
    <x v="0"/>
    <x v="0"/>
    <x v="0"/>
    <x v="0"/>
    <x v="8"/>
    <x v="12"/>
    <n v="1594.5523560404495"/>
  </r>
  <r>
    <x v="5"/>
    <x v="0"/>
    <x v="5"/>
    <x v="5"/>
    <x v="0"/>
    <x v="0"/>
    <x v="0"/>
    <x v="0"/>
    <x v="0"/>
    <x v="0"/>
    <x v="0"/>
    <x v="0"/>
    <x v="2"/>
    <x v="2"/>
    <x v="2"/>
    <x v="32"/>
    <x v="32"/>
    <n v="30.845757682517998"/>
    <x v="0"/>
    <x v="0"/>
    <x v="1"/>
    <x v="1"/>
    <x v="1"/>
    <x v="20"/>
    <n v="33.621875873944617"/>
  </r>
  <r>
    <x v="5"/>
    <x v="0"/>
    <x v="5"/>
    <x v="5"/>
    <x v="0"/>
    <x v="0"/>
    <x v="0"/>
    <x v="0"/>
    <x v="0"/>
    <x v="0"/>
    <x v="0"/>
    <x v="0"/>
    <x v="2"/>
    <x v="2"/>
    <x v="2"/>
    <x v="14"/>
    <x v="14"/>
    <n v="600.23027000000002"/>
    <x v="0"/>
    <x v="0"/>
    <x v="0"/>
    <x v="0"/>
    <x v="8"/>
    <x v="14"/>
    <n v="654.25099430000012"/>
  </r>
  <r>
    <x v="5"/>
    <x v="0"/>
    <x v="5"/>
    <x v="5"/>
    <x v="0"/>
    <x v="0"/>
    <x v="0"/>
    <x v="0"/>
    <x v="0"/>
    <x v="0"/>
    <x v="0"/>
    <x v="0"/>
    <x v="2"/>
    <x v="2"/>
    <x v="2"/>
    <x v="22"/>
    <x v="22"/>
    <n v="21.2766075267966"/>
    <x v="0"/>
    <x v="0"/>
    <x v="0"/>
    <x v="0"/>
    <x v="0"/>
    <x v="0"/>
    <n v="23.191502204208295"/>
  </r>
  <r>
    <x v="5"/>
    <x v="0"/>
    <x v="5"/>
    <x v="5"/>
    <x v="0"/>
    <x v="0"/>
    <x v="0"/>
    <x v="0"/>
    <x v="0"/>
    <x v="0"/>
    <x v="0"/>
    <x v="0"/>
    <x v="2"/>
    <x v="2"/>
    <x v="2"/>
    <x v="16"/>
    <x v="16"/>
    <n v="728.28935000000001"/>
    <x v="0"/>
    <x v="0"/>
    <x v="3"/>
    <x v="5"/>
    <x v="9"/>
    <x v="16"/>
    <n v="793.83539150000013"/>
  </r>
  <r>
    <x v="5"/>
    <x v="0"/>
    <x v="5"/>
    <x v="5"/>
    <x v="0"/>
    <x v="0"/>
    <x v="0"/>
    <x v="0"/>
    <x v="0"/>
    <x v="0"/>
    <x v="0"/>
    <x v="0"/>
    <x v="2"/>
    <x v="2"/>
    <x v="2"/>
    <x v="17"/>
    <x v="17"/>
    <n v="194.81218999999999"/>
    <x v="0"/>
    <x v="0"/>
    <x v="0"/>
    <x v="0"/>
    <x v="4"/>
    <x v="17"/>
    <n v="212.34528710000001"/>
  </r>
  <r>
    <x v="5"/>
    <x v="0"/>
    <x v="5"/>
    <x v="5"/>
    <x v="0"/>
    <x v="0"/>
    <x v="0"/>
    <x v="0"/>
    <x v="0"/>
    <x v="0"/>
    <x v="0"/>
    <x v="0"/>
    <x v="2"/>
    <x v="2"/>
    <x v="2"/>
    <x v="21"/>
    <x v="21"/>
    <n v="74.5446238531663"/>
    <x v="0"/>
    <x v="0"/>
    <x v="1"/>
    <x v="4"/>
    <x v="5"/>
    <x v="10"/>
    <n v="81.253639999951275"/>
  </r>
  <r>
    <x v="5"/>
    <x v="0"/>
    <x v="5"/>
    <x v="5"/>
    <x v="0"/>
    <x v="0"/>
    <x v="0"/>
    <x v="0"/>
    <x v="0"/>
    <x v="0"/>
    <x v="0"/>
    <x v="0"/>
    <x v="2"/>
    <x v="2"/>
    <x v="2"/>
    <x v="18"/>
    <x v="18"/>
    <n v="410.00259"/>
    <x v="0"/>
    <x v="0"/>
    <x v="0"/>
    <x v="0"/>
    <x v="4"/>
    <x v="18"/>
    <n v="446.90282310000003"/>
  </r>
  <r>
    <x v="5"/>
    <x v="0"/>
    <x v="5"/>
    <x v="5"/>
    <x v="0"/>
    <x v="0"/>
    <x v="0"/>
    <x v="0"/>
    <x v="0"/>
    <x v="0"/>
    <x v="0"/>
    <x v="0"/>
    <x v="2"/>
    <x v="2"/>
    <x v="2"/>
    <x v="34"/>
    <x v="34"/>
    <n v="85.569175544396899"/>
    <x v="0"/>
    <x v="0"/>
    <x v="0"/>
    <x v="0"/>
    <x v="0"/>
    <x v="0"/>
    <n v="93.270401343392621"/>
  </r>
  <r>
    <x v="5"/>
    <x v="0"/>
    <x v="5"/>
    <x v="5"/>
    <x v="0"/>
    <x v="0"/>
    <x v="0"/>
    <x v="0"/>
    <x v="0"/>
    <x v="0"/>
    <x v="0"/>
    <x v="0"/>
    <x v="2"/>
    <x v="2"/>
    <x v="2"/>
    <x v="25"/>
    <x v="25"/>
    <n v="86.672779816461798"/>
    <x v="0"/>
    <x v="0"/>
    <x v="1"/>
    <x v="4"/>
    <x v="5"/>
    <x v="9"/>
    <n v="94.47332999994336"/>
  </r>
  <r>
    <x v="5"/>
    <x v="0"/>
    <x v="5"/>
    <x v="5"/>
    <x v="0"/>
    <x v="0"/>
    <x v="0"/>
    <x v="0"/>
    <x v="0"/>
    <x v="0"/>
    <x v="0"/>
    <x v="0"/>
    <x v="2"/>
    <x v="2"/>
    <x v="2"/>
    <x v="27"/>
    <x v="27"/>
    <n v="90.847150902826897"/>
    <x v="0"/>
    <x v="0"/>
    <x v="1"/>
    <x v="3"/>
    <x v="3"/>
    <x v="19"/>
    <n v="99.023394484081322"/>
  </r>
  <r>
    <x v="5"/>
    <x v="0"/>
    <x v="5"/>
    <x v="5"/>
    <x v="0"/>
    <x v="0"/>
    <x v="0"/>
    <x v="0"/>
    <x v="0"/>
    <x v="0"/>
    <x v="0"/>
    <x v="0"/>
    <x v="2"/>
    <x v="2"/>
    <x v="2"/>
    <x v="26"/>
    <x v="26"/>
    <n v="107.39476146782501"/>
    <x v="0"/>
    <x v="0"/>
    <x v="1"/>
    <x v="3"/>
    <x v="3"/>
    <x v="15"/>
    <n v="117.06028999992927"/>
  </r>
  <r>
    <x v="5"/>
    <x v="0"/>
    <x v="5"/>
    <x v="5"/>
    <x v="0"/>
    <x v="0"/>
    <x v="0"/>
    <x v="0"/>
    <x v="0"/>
    <x v="0"/>
    <x v="0"/>
    <x v="0"/>
    <x v="2"/>
    <x v="2"/>
    <x v="2"/>
    <x v="0"/>
    <x v="0"/>
    <n v="38.3168202845902"/>
    <x v="0"/>
    <x v="0"/>
    <x v="0"/>
    <x v="0"/>
    <x v="0"/>
    <x v="0"/>
    <n v="41.76533411020332"/>
  </r>
  <r>
    <x v="5"/>
    <x v="0"/>
    <x v="5"/>
    <x v="5"/>
    <x v="0"/>
    <x v="0"/>
    <x v="0"/>
    <x v="0"/>
    <x v="0"/>
    <x v="0"/>
    <x v="0"/>
    <x v="0"/>
    <x v="2"/>
    <x v="2"/>
    <x v="2"/>
    <x v="1"/>
    <x v="1"/>
    <n v="172.760137930084"/>
    <x v="0"/>
    <x v="0"/>
    <x v="1"/>
    <x v="1"/>
    <x v="1"/>
    <x v="1"/>
    <n v="188.30855034379158"/>
  </r>
  <r>
    <x v="5"/>
    <x v="0"/>
    <x v="5"/>
    <x v="5"/>
    <x v="0"/>
    <x v="0"/>
    <x v="0"/>
    <x v="0"/>
    <x v="0"/>
    <x v="0"/>
    <x v="0"/>
    <x v="0"/>
    <x v="2"/>
    <x v="2"/>
    <x v="2"/>
    <x v="20"/>
    <x v="20"/>
    <n v="263.85295000000002"/>
    <x v="0"/>
    <x v="0"/>
    <x v="1"/>
    <x v="3"/>
    <x v="3"/>
    <x v="13"/>
    <n v="287.59971550000006"/>
  </r>
  <r>
    <x v="5"/>
    <x v="0"/>
    <x v="5"/>
    <x v="5"/>
    <x v="0"/>
    <x v="0"/>
    <x v="0"/>
    <x v="0"/>
    <x v="0"/>
    <x v="0"/>
    <x v="0"/>
    <x v="0"/>
    <x v="2"/>
    <x v="2"/>
    <x v="2"/>
    <x v="2"/>
    <x v="2"/>
    <n v="2482.09481651227"/>
    <x v="0"/>
    <x v="1"/>
    <x v="2"/>
    <x v="2"/>
    <x v="13"/>
    <x v="2"/>
    <n v="2705.4833499983743"/>
  </r>
  <r>
    <x v="5"/>
    <x v="0"/>
    <x v="5"/>
    <x v="5"/>
    <x v="0"/>
    <x v="0"/>
    <x v="0"/>
    <x v="0"/>
    <x v="0"/>
    <x v="0"/>
    <x v="0"/>
    <x v="0"/>
    <x v="2"/>
    <x v="2"/>
    <x v="2"/>
    <x v="3"/>
    <x v="3"/>
    <n v="101.30404446766499"/>
    <x v="0"/>
    <x v="0"/>
    <x v="1"/>
    <x v="3"/>
    <x v="3"/>
    <x v="3"/>
    <n v="110.42140846975485"/>
  </r>
  <r>
    <x v="5"/>
    <x v="0"/>
    <x v="5"/>
    <x v="5"/>
    <x v="0"/>
    <x v="0"/>
    <x v="0"/>
    <x v="0"/>
    <x v="0"/>
    <x v="0"/>
    <x v="0"/>
    <x v="0"/>
    <x v="1"/>
    <x v="6"/>
    <x v="6"/>
    <x v="4"/>
    <x v="4"/>
    <n v="0.27335779816497002"/>
    <x v="0"/>
    <x v="0"/>
    <x v="1"/>
    <x v="3"/>
    <x v="3"/>
    <x v="4"/>
    <n v="0.29795999999981737"/>
  </r>
  <r>
    <x v="5"/>
    <x v="0"/>
    <x v="5"/>
    <x v="5"/>
    <x v="0"/>
    <x v="0"/>
    <x v="0"/>
    <x v="0"/>
    <x v="0"/>
    <x v="0"/>
    <x v="0"/>
    <x v="0"/>
    <x v="1"/>
    <x v="6"/>
    <x v="6"/>
    <x v="5"/>
    <x v="5"/>
    <n v="73.447993865588899"/>
    <x v="0"/>
    <x v="0"/>
    <x v="1"/>
    <x v="1"/>
    <x v="1"/>
    <x v="5"/>
    <n v="80.058313313491908"/>
  </r>
  <r>
    <x v="5"/>
    <x v="0"/>
    <x v="5"/>
    <x v="5"/>
    <x v="0"/>
    <x v="0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5"/>
    <x v="0"/>
    <x v="5"/>
    <x v="5"/>
    <x v="0"/>
    <x v="0"/>
    <x v="0"/>
    <x v="0"/>
    <x v="0"/>
    <x v="0"/>
    <x v="0"/>
    <x v="0"/>
    <x v="1"/>
    <x v="6"/>
    <x v="6"/>
    <x v="8"/>
    <x v="8"/>
    <n v="236.84327702854301"/>
    <x v="0"/>
    <x v="1"/>
    <x v="2"/>
    <x v="2"/>
    <x v="6"/>
    <x v="8"/>
    <n v="258.15917196111189"/>
  </r>
  <r>
    <x v="5"/>
    <x v="0"/>
    <x v="5"/>
    <x v="5"/>
    <x v="0"/>
    <x v="0"/>
    <x v="0"/>
    <x v="0"/>
    <x v="0"/>
    <x v="0"/>
    <x v="0"/>
    <x v="0"/>
    <x v="1"/>
    <x v="6"/>
    <x v="6"/>
    <x v="9"/>
    <x v="9"/>
    <n v="19.7658948182739"/>
    <x v="0"/>
    <x v="0"/>
    <x v="1"/>
    <x v="4"/>
    <x v="5"/>
    <x v="9"/>
    <n v="21.544825351918551"/>
  </r>
  <r>
    <x v="5"/>
    <x v="0"/>
    <x v="5"/>
    <x v="5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5"/>
    <x v="0"/>
    <x v="5"/>
    <x v="5"/>
    <x v="0"/>
    <x v="0"/>
    <x v="0"/>
    <x v="0"/>
    <x v="0"/>
    <x v="0"/>
    <x v="0"/>
    <x v="0"/>
    <x v="1"/>
    <x v="6"/>
    <x v="6"/>
    <x v="12"/>
    <x v="12"/>
    <n v="504.80608139343099"/>
    <x v="0"/>
    <x v="0"/>
    <x v="0"/>
    <x v="0"/>
    <x v="8"/>
    <x v="12"/>
    <n v="550.23862871883978"/>
  </r>
  <r>
    <x v="5"/>
    <x v="0"/>
    <x v="5"/>
    <x v="5"/>
    <x v="0"/>
    <x v="0"/>
    <x v="0"/>
    <x v="0"/>
    <x v="0"/>
    <x v="0"/>
    <x v="0"/>
    <x v="0"/>
    <x v="1"/>
    <x v="6"/>
    <x v="6"/>
    <x v="32"/>
    <x v="32"/>
    <n v="13.7888593377498"/>
    <x v="0"/>
    <x v="0"/>
    <x v="1"/>
    <x v="1"/>
    <x v="1"/>
    <x v="20"/>
    <n v="15.029856678147283"/>
  </r>
  <r>
    <x v="5"/>
    <x v="0"/>
    <x v="5"/>
    <x v="5"/>
    <x v="0"/>
    <x v="0"/>
    <x v="0"/>
    <x v="0"/>
    <x v="0"/>
    <x v="0"/>
    <x v="0"/>
    <x v="0"/>
    <x v="1"/>
    <x v="6"/>
    <x v="6"/>
    <x v="14"/>
    <x v="14"/>
    <n v="170.6285"/>
    <x v="0"/>
    <x v="0"/>
    <x v="0"/>
    <x v="0"/>
    <x v="8"/>
    <x v="14"/>
    <n v="185.98506500000002"/>
  </r>
  <r>
    <x v="5"/>
    <x v="0"/>
    <x v="5"/>
    <x v="5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5"/>
    <x v="0"/>
    <x v="5"/>
    <x v="5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5"/>
    <x v="0"/>
    <x v="5"/>
    <x v="5"/>
    <x v="0"/>
    <x v="0"/>
    <x v="0"/>
    <x v="0"/>
    <x v="0"/>
    <x v="0"/>
    <x v="0"/>
    <x v="0"/>
    <x v="1"/>
    <x v="6"/>
    <x v="6"/>
    <x v="18"/>
    <x v="18"/>
    <n v="30.254860000000001"/>
    <x v="0"/>
    <x v="0"/>
    <x v="0"/>
    <x v="0"/>
    <x v="4"/>
    <x v="18"/>
    <n v="32.9777974"/>
  </r>
  <r>
    <x v="5"/>
    <x v="0"/>
    <x v="5"/>
    <x v="5"/>
    <x v="0"/>
    <x v="0"/>
    <x v="0"/>
    <x v="0"/>
    <x v="0"/>
    <x v="0"/>
    <x v="0"/>
    <x v="0"/>
    <x v="1"/>
    <x v="6"/>
    <x v="6"/>
    <x v="0"/>
    <x v="0"/>
    <n v="1.0095453736626501"/>
    <x v="0"/>
    <x v="0"/>
    <x v="0"/>
    <x v="0"/>
    <x v="0"/>
    <x v="0"/>
    <n v="1.1004044572922886"/>
  </r>
  <r>
    <x v="5"/>
    <x v="0"/>
    <x v="5"/>
    <x v="5"/>
    <x v="0"/>
    <x v="0"/>
    <x v="0"/>
    <x v="0"/>
    <x v="0"/>
    <x v="0"/>
    <x v="0"/>
    <x v="0"/>
    <x v="1"/>
    <x v="6"/>
    <x v="6"/>
    <x v="2"/>
    <x v="2"/>
    <n v="514.08851376115899"/>
    <x v="0"/>
    <x v="1"/>
    <x v="2"/>
    <x v="2"/>
    <x v="13"/>
    <x v="2"/>
    <n v="560.35647999966329"/>
  </r>
  <r>
    <x v="5"/>
    <x v="0"/>
    <x v="5"/>
    <x v="5"/>
    <x v="0"/>
    <x v="0"/>
    <x v="0"/>
    <x v="0"/>
    <x v="0"/>
    <x v="0"/>
    <x v="0"/>
    <x v="0"/>
    <x v="3"/>
    <x v="7"/>
    <x v="7"/>
    <x v="6"/>
    <x v="6"/>
    <n v="36.242150000000002"/>
    <x v="0"/>
    <x v="0"/>
    <x v="0"/>
    <x v="0"/>
    <x v="4"/>
    <x v="6"/>
    <n v="39.503943500000005"/>
  </r>
  <r>
    <x v="5"/>
    <x v="0"/>
    <x v="5"/>
    <x v="5"/>
    <x v="0"/>
    <x v="0"/>
    <x v="0"/>
    <x v="0"/>
    <x v="0"/>
    <x v="0"/>
    <x v="0"/>
    <x v="0"/>
    <x v="3"/>
    <x v="7"/>
    <x v="7"/>
    <x v="9"/>
    <x v="9"/>
    <n v="95.827690897500702"/>
    <x v="0"/>
    <x v="0"/>
    <x v="1"/>
    <x v="4"/>
    <x v="5"/>
    <x v="9"/>
    <n v="104.45218307827577"/>
  </r>
  <r>
    <x v="5"/>
    <x v="0"/>
    <x v="5"/>
    <x v="5"/>
    <x v="0"/>
    <x v="0"/>
    <x v="0"/>
    <x v="0"/>
    <x v="0"/>
    <x v="0"/>
    <x v="0"/>
    <x v="0"/>
    <x v="3"/>
    <x v="7"/>
    <x v="7"/>
    <x v="10"/>
    <x v="10"/>
    <n v="24.979208392008999"/>
    <x v="0"/>
    <x v="0"/>
    <x v="1"/>
    <x v="4"/>
    <x v="5"/>
    <x v="10"/>
    <n v="27.227337147289813"/>
  </r>
  <r>
    <x v="5"/>
    <x v="0"/>
    <x v="5"/>
    <x v="5"/>
    <x v="0"/>
    <x v="0"/>
    <x v="0"/>
    <x v="0"/>
    <x v="0"/>
    <x v="0"/>
    <x v="0"/>
    <x v="0"/>
    <x v="3"/>
    <x v="7"/>
    <x v="7"/>
    <x v="11"/>
    <x v="11"/>
    <n v="49.702559999999998"/>
    <x v="0"/>
    <x v="0"/>
    <x v="3"/>
    <x v="5"/>
    <x v="7"/>
    <x v="11"/>
    <n v="54.175790400000004"/>
  </r>
  <r>
    <x v="5"/>
    <x v="0"/>
    <x v="5"/>
    <x v="5"/>
    <x v="0"/>
    <x v="0"/>
    <x v="0"/>
    <x v="0"/>
    <x v="0"/>
    <x v="0"/>
    <x v="0"/>
    <x v="0"/>
    <x v="3"/>
    <x v="7"/>
    <x v="7"/>
    <x v="36"/>
    <x v="36"/>
    <n v="54.3096330274903"/>
    <x v="0"/>
    <x v="0"/>
    <x v="1"/>
    <x v="3"/>
    <x v="3"/>
    <x v="4"/>
    <n v="59.197499999964428"/>
  </r>
  <r>
    <x v="5"/>
    <x v="0"/>
    <x v="5"/>
    <x v="5"/>
    <x v="0"/>
    <x v="0"/>
    <x v="0"/>
    <x v="0"/>
    <x v="0"/>
    <x v="0"/>
    <x v="0"/>
    <x v="0"/>
    <x v="3"/>
    <x v="7"/>
    <x v="7"/>
    <x v="24"/>
    <x v="24"/>
    <n v="45.544192660523102"/>
    <x v="0"/>
    <x v="0"/>
    <x v="1"/>
    <x v="3"/>
    <x v="3"/>
    <x v="4"/>
    <n v="49.643169999970183"/>
  </r>
  <r>
    <x v="5"/>
    <x v="0"/>
    <x v="5"/>
    <x v="5"/>
    <x v="0"/>
    <x v="0"/>
    <x v="0"/>
    <x v="0"/>
    <x v="0"/>
    <x v="0"/>
    <x v="0"/>
    <x v="0"/>
    <x v="3"/>
    <x v="7"/>
    <x v="7"/>
    <x v="17"/>
    <x v="17"/>
    <n v="224.70670000000001"/>
    <x v="0"/>
    <x v="0"/>
    <x v="0"/>
    <x v="0"/>
    <x v="4"/>
    <x v="17"/>
    <n v="244.93030300000004"/>
  </r>
  <r>
    <x v="5"/>
    <x v="0"/>
    <x v="5"/>
    <x v="5"/>
    <x v="0"/>
    <x v="0"/>
    <x v="0"/>
    <x v="0"/>
    <x v="0"/>
    <x v="0"/>
    <x v="0"/>
    <x v="0"/>
    <x v="3"/>
    <x v="7"/>
    <x v="7"/>
    <x v="18"/>
    <x v="18"/>
    <n v="21.30829"/>
    <x v="0"/>
    <x v="0"/>
    <x v="0"/>
    <x v="0"/>
    <x v="4"/>
    <x v="18"/>
    <n v="23.226036100000002"/>
  </r>
  <r>
    <x v="5"/>
    <x v="0"/>
    <x v="5"/>
    <x v="5"/>
    <x v="0"/>
    <x v="0"/>
    <x v="0"/>
    <x v="0"/>
    <x v="0"/>
    <x v="0"/>
    <x v="0"/>
    <x v="0"/>
    <x v="3"/>
    <x v="7"/>
    <x v="7"/>
    <x v="34"/>
    <x v="34"/>
    <n v="14.072352838188699"/>
    <x v="0"/>
    <x v="0"/>
    <x v="0"/>
    <x v="0"/>
    <x v="0"/>
    <x v="0"/>
    <n v="15.338864593625683"/>
  </r>
  <r>
    <x v="5"/>
    <x v="0"/>
    <x v="5"/>
    <x v="5"/>
    <x v="0"/>
    <x v="0"/>
    <x v="0"/>
    <x v="0"/>
    <x v="0"/>
    <x v="0"/>
    <x v="0"/>
    <x v="0"/>
    <x v="3"/>
    <x v="7"/>
    <x v="7"/>
    <x v="26"/>
    <x v="26"/>
    <n v="28.569137614661798"/>
    <x v="0"/>
    <x v="0"/>
    <x v="1"/>
    <x v="3"/>
    <x v="3"/>
    <x v="15"/>
    <n v="31.140359999981364"/>
  </r>
  <r>
    <x v="5"/>
    <x v="0"/>
    <x v="5"/>
    <x v="5"/>
    <x v="0"/>
    <x v="0"/>
    <x v="0"/>
    <x v="0"/>
    <x v="0"/>
    <x v="0"/>
    <x v="0"/>
    <x v="0"/>
    <x v="1"/>
    <x v="8"/>
    <x v="8"/>
    <x v="6"/>
    <x v="6"/>
    <n v="34.591720000000002"/>
    <x v="0"/>
    <x v="0"/>
    <x v="0"/>
    <x v="0"/>
    <x v="4"/>
    <x v="6"/>
    <n v="37.704974800000002"/>
  </r>
  <r>
    <x v="5"/>
    <x v="0"/>
    <x v="5"/>
    <x v="5"/>
    <x v="0"/>
    <x v="0"/>
    <x v="0"/>
    <x v="0"/>
    <x v="0"/>
    <x v="0"/>
    <x v="0"/>
    <x v="0"/>
    <x v="1"/>
    <x v="8"/>
    <x v="8"/>
    <x v="8"/>
    <x v="8"/>
    <n v="99.394135135771293"/>
    <x v="0"/>
    <x v="1"/>
    <x v="2"/>
    <x v="2"/>
    <x v="6"/>
    <x v="8"/>
    <n v="108.33960729799072"/>
  </r>
  <r>
    <x v="5"/>
    <x v="0"/>
    <x v="5"/>
    <x v="5"/>
    <x v="0"/>
    <x v="0"/>
    <x v="0"/>
    <x v="0"/>
    <x v="0"/>
    <x v="0"/>
    <x v="0"/>
    <x v="0"/>
    <x v="1"/>
    <x v="8"/>
    <x v="8"/>
    <x v="9"/>
    <x v="9"/>
    <n v="74.287467303863707"/>
    <x v="0"/>
    <x v="0"/>
    <x v="1"/>
    <x v="4"/>
    <x v="5"/>
    <x v="9"/>
    <n v="80.973339361211444"/>
  </r>
  <r>
    <x v="5"/>
    <x v="0"/>
    <x v="5"/>
    <x v="5"/>
    <x v="0"/>
    <x v="0"/>
    <x v="0"/>
    <x v="0"/>
    <x v="0"/>
    <x v="0"/>
    <x v="0"/>
    <x v="0"/>
    <x v="1"/>
    <x v="8"/>
    <x v="8"/>
    <x v="10"/>
    <x v="10"/>
    <n v="35.153222866677098"/>
    <x v="0"/>
    <x v="0"/>
    <x v="1"/>
    <x v="4"/>
    <x v="5"/>
    <x v="10"/>
    <n v="38.317012924678039"/>
  </r>
  <r>
    <x v="5"/>
    <x v="0"/>
    <x v="5"/>
    <x v="5"/>
    <x v="0"/>
    <x v="0"/>
    <x v="0"/>
    <x v="0"/>
    <x v="0"/>
    <x v="0"/>
    <x v="0"/>
    <x v="0"/>
    <x v="1"/>
    <x v="8"/>
    <x v="8"/>
    <x v="11"/>
    <x v="11"/>
    <n v="3.5295000000000001"/>
    <x v="0"/>
    <x v="0"/>
    <x v="3"/>
    <x v="5"/>
    <x v="7"/>
    <x v="11"/>
    <n v="3.8471550000000003"/>
  </r>
  <r>
    <x v="5"/>
    <x v="0"/>
    <x v="5"/>
    <x v="5"/>
    <x v="0"/>
    <x v="0"/>
    <x v="0"/>
    <x v="0"/>
    <x v="0"/>
    <x v="0"/>
    <x v="0"/>
    <x v="0"/>
    <x v="1"/>
    <x v="8"/>
    <x v="8"/>
    <x v="36"/>
    <x v="36"/>
    <n v="2.4492110091728398"/>
    <x v="0"/>
    <x v="0"/>
    <x v="1"/>
    <x v="3"/>
    <x v="3"/>
    <x v="4"/>
    <n v="2.6696399999983957"/>
  </r>
  <r>
    <x v="5"/>
    <x v="0"/>
    <x v="5"/>
    <x v="5"/>
    <x v="0"/>
    <x v="0"/>
    <x v="0"/>
    <x v="0"/>
    <x v="0"/>
    <x v="0"/>
    <x v="0"/>
    <x v="0"/>
    <x v="1"/>
    <x v="8"/>
    <x v="8"/>
    <x v="24"/>
    <x v="24"/>
    <n v="55.138330275196303"/>
    <x v="0"/>
    <x v="0"/>
    <x v="1"/>
    <x v="3"/>
    <x v="3"/>
    <x v="4"/>
    <n v="60.100779999963976"/>
  </r>
  <r>
    <x v="5"/>
    <x v="0"/>
    <x v="5"/>
    <x v="5"/>
    <x v="0"/>
    <x v="0"/>
    <x v="0"/>
    <x v="0"/>
    <x v="0"/>
    <x v="0"/>
    <x v="0"/>
    <x v="0"/>
    <x v="1"/>
    <x v="8"/>
    <x v="8"/>
    <x v="17"/>
    <x v="17"/>
    <n v="17.39151"/>
    <x v="0"/>
    <x v="0"/>
    <x v="0"/>
    <x v="0"/>
    <x v="4"/>
    <x v="17"/>
    <n v="18.956745900000001"/>
  </r>
  <r>
    <x v="5"/>
    <x v="0"/>
    <x v="5"/>
    <x v="5"/>
    <x v="0"/>
    <x v="0"/>
    <x v="0"/>
    <x v="0"/>
    <x v="0"/>
    <x v="0"/>
    <x v="0"/>
    <x v="0"/>
    <x v="1"/>
    <x v="8"/>
    <x v="8"/>
    <x v="21"/>
    <x v="21"/>
    <n v="4.1508440366947603"/>
    <x v="0"/>
    <x v="0"/>
    <x v="1"/>
    <x v="4"/>
    <x v="5"/>
    <x v="10"/>
    <n v="4.5244199999972894"/>
  </r>
  <r>
    <x v="5"/>
    <x v="0"/>
    <x v="5"/>
    <x v="5"/>
    <x v="0"/>
    <x v="0"/>
    <x v="0"/>
    <x v="0"/>
    <x v="0"/>
    <x v="0"/>
    <x v="0"/>
    <x v="0"/>
    <x v="1"/>
    <x v="8"/>
    <x v="8"/>
    <x v="18"/>
    <x v="18"/>
    <n v="17.05659"/>
    <x v="0"/>
    <x v="0"/>
    <x v="0"/>
    <x v="0"/>
    <x v="4"/>
    <x v="18"/>
    <n v="18.591683100000001"/>
  </r>
  <r>
    <x v="5"/>
    <x v="0"/>
    <x v="5"/>
    <x v="5"/>
    <x v="0"/>
    <x v="0"/>
    <x v="0"/>
    <x v="0"/>
    <x v="0"/>
    <x v="0"/>
    <x v="0"/>
    <x v="0"/>
    <x v="1"/>
    <x v="8"/>
    <x v="8"/>
    <x v="34"/>
    <x v="34"/>
    <n v="1.97546724887471"/>
    <x v="0"/>
    <x v="0"/>
    <x v="0"/>
    <x v="0"/>
    <x v="0"/>
    <x v="0"/>
    <n v="2.153259301273434"/>
  </r>
  <r>
    <x v="5"/>
    <x v="0"/>
    <x v="5"/>
    <x v="5"/>
    <x v="0"/>
    <x v="0"/>
    <x v="0"/>
    <x v="0"/>
    <x v="0"/>
    <x v="0"/>
    <x v="0"/>
    <x v="0"/>
    <x v="1"/>
    <x v="8"/>
    <x v="8"/>
    <x v="37"/>
    <x v="37"/>
    <n v="30.775651376128302"/>
    <x v="0"/>
    <x v="0"/>
    <x v="1"/>
    <x v="3"/>
    <x v="3"/>
    <x v="4"/>
    <n v="33.545459999979855"/>
  </r>
  <r>
    <x v="5"/>
    <x v="0"/>
    <x v="5"/>
    <x v="5"/>
    <x v="0"/>
    <x v="0"/>
    <x v="0"/>
    <x v="0"/>
    <x v="0"/>
    <x v="0"/>
    <x v="0"/>
    <x v="0"/>
    <x v="1"/>
    <x v="8"/>
    <x v="8"/>
    <x v="0"/>
    <x v="0"/>
    <n v="7.50660053378681"/>
    <x v="0"/>
    <x v="0"/>
    <x v="0"/>
    <x v="0"/>
    <x v="0"/>
    <x v="0"/>
    <n v="8.1821945818276234"/>
  </r>
  <r>
    <x v="5"/>
    <x v="0"/>
    <x v="5"/>
    <x v="5"/>
    <x v="0"/>
    <x v="0"/>
    <x v="0"/>
    <x v="0"/>
    <x v="0"/>
    <x v="0"/>
    <x v="0"/>
    <x v="0"/>
    <x v="0"/>
    <x v="9"/>
    <x v="9"/>
    <x v="6"/>
    <x v="6"/>
    <n v="75.020889999999994"/>
    <x v="0"/>
    <x v="0"/>
    <x v="0"/>
    <x v="0"/>
    <x v="4"/>
    <x v="6"/>
    <n v="81.772770100000002"/>
  </r>
  <r>
    <x v="5"/>
    <x v="0"/>
    <x v="5"/>
    <x v="5"/>
    <x v="0"/>
    <x v="0"/>
    <x v="0"/>
    <x v="0"/>
    <x v="0"/>
    <x v="0"/>
    <x v="0"/>
    <x v="0"/>
    <x v="0"/>
    <x v="9"/>
    <x v="9"/>
    <x v="7"/>
    <x v="7"/>
    <n v="72.464412843993202"/>
    <x v="0"/>
    <x v="0"/>
    <x v="1"/>
    <x v="4"/>
    <x v="5"/>
    <x v="7"/>
    <n v="78.986209999952592"/>
  </r>
  <r>
    <x v="5"/>
    <x v="0"/>
    <x v="5"/>
    <x v="5"/>
    <x v="0"/>
    <x v="0"/>
    <x v="0"/>
    <x v="0"/>
    <x v="0"/>
    <x v="0"/>
    <x v="0"/>
    <x v="0"/>
    <x v="0"/>
    <x v="9"/>
    <x v="9"/>
    <x v="9"/>
    <x v="9"/>
    <n v="252.101230891619"/>
    <x v="0"/>
    <x v="0"/>
    <x v="1"/>
    <x v="4"/>
    <x v="5"/>
    <x v="9"/>
    <n v="274.79034167186472"/>
  </r>
  <r>
    <x v="5"/>
    <x v="0"/>
    <x v="5"/>
    <x v="5"/>
    <x v="0"/>
    <x v="0"/>
    <x v="0"/>
    <x v="0"/>
    <x v="0"/>
    <x v="0"/>
    <x v="0"/>
    <x v="0"/>
    <x v="0"/>
    <x v="9"/>
    <x v="9"/>
    <x v="10"/>
    <x v="10"/>
    <n v="40.0477141353946"/>
    <x v="0"/>
    <x v="0"/>
    <x v="1"/>
    <x v="4"/>
    <x v="5"/>
    <x v="10"/>
    <n v="43.652008407580119"/>
  </r>
  <r>
    <x v="5"/>
    <x v="0"/>
    <x v="5"/>
    <x v="5"/>
    <x v="0"/>
    <x v="0"/>
    <x v="0"/>
    <x v="0"/>
    <x v="0"/>
    <x v="0"/>
    <x v="0"/>
    <x v="0"/>
    <x v="0"/>
    <x v="9"/>
    <x v="9"/>
    <x v="11"/>
    <x v="11"/>
    <n v="29.266380000000002"/>
    <x v="0"/>
    <x v="0"/>
    <x v="3"/>
    <x v="5"/>
    <x v="7"/>
    <x v="11"/>
    <n v="31.900354200000002"/>
  </r>
  <r>
    <x v="5"/>
    <x v="0"/>
    <x v="5"/>
    <x v="5"/>
    <x v="0"/>
    <x v="0"/>
    <x v="0"/>
    <x v="0"/>
    <x v="0"/>
    <x v="0"/>
    <x v="0"/>
    <x v="0"/>
    <x v="0"/>
    <x v="9"/>
    <x v="9"/>
    <x v="12"/>
    <x v="12"/>
    <n v="6.6860232557885499"/>
    <x v="0"/>
    <x v="0"/>
    <x v="0"/>
    <x v="0"/>
    <x v="8"/>
    <x v="12"/>
    <n v="7.2877653488095202"/>
  </r>
  <r>
    <x v="5"/>
    <x v="0"/>
    <x v="5"/>
    <x v="5"/>
    <x v="0"/>
    <x v="0"/>
    <x v="0"/>
    <x v="0"/>
    <x v="0"/>
    <x v="0"/>
    <x v="0"/>
    <x v="0"/>
    <x v="0"/>
    <x v="9"/>
    <x v="9"/>
    <x v="36"/>
    <x v="36"/>
    <n v="8.9650458715542491"/>
    <x v="0"/>
    <x v="0"/>
    <x v="1"/>
    <x v="3"/>
    <x v="3"/>
    <x v="4"/>
    <n v="9.7718999999941332"/>
  </r>
  <r>
    <x v="5"/>
    <x v="0"/>
    <x v="5"/>
    <x v="5"/>
    <x v="0"/>
    <x v="0"/>
    <x v="0"/>
    <x v="0"/>
    <x v="0"/>
    <x v="0"/>
    <x v="0"/>
    <x v="0"/>
    <x v="0"/>
    <x v="9"/>
    <x v="9"/>
    <x v="24"/>
    <x v="24"/>
    <n v="47.375688073366099"/>
    <x v="0"/>
    <x v="0"/>
    <x v="1"/>
    <x v="3"/>
    <x v="3"/>
    <x v="4"/>
    <n v="51.639499999969054"/>
  </r>
  <r>
    <x v="5"/>
    <x v="0"/>
    <x v="5"/>
    <x v="5"/>
    <x v="0"/>
    <x v="0"/>
    <x v="0"/>
    <x v="0"/>
    <x v="0"/>
    <x v="0"/>
    <x v="0"/>
    <x v="0"/>
    <x v="0"/>
    <x v="9"/>
    <x v="9"/>
    <x v="17"/>
    <x v="17"/>
    <n v="47.040019999999998"/>
    <x v="0"/>
    <x v="0"/>
    <x v="0"/>
    <x v="0"/>
    <x v="4"/>
    <x v="17"/>
    <n v="51.273621800000001"/>
  </r>
  <r>
    <x v="5"/>
    <x v="0"/>
    <x v="5"/>
    <x v="5"/>
    <x v="0"/>
    <x v="0"/>
    <x v="0"/>
    <x v="0"/>
    <x v="0"/>
    <x v="0"/>
    <x v="0"/>
    <x v="0"/>
    <x v="0"/>
    <x v="9"/>
    <x v="9"/>
    <x v="21"/>
    <x v="21"/>
    <n v="662.70622018308904"/>
    <x v="0"/>
    <x v="0"/>
    <x v="1"/>
    <x v="4"/>
    <x v="5"/>
    <x v="10"/>
    <n v="722.34977999956709"/>
  </r>
  <r>
    <x v="5"/>
    <x v="0"/>
    <x v="5"/>
    <x v="5"/>
    <x v="0"/>
    <x v="0"/>
    <x v="0"/>
    <x v="0"/>
    <x v="0"/>
    <x v="0"/>
    <x v="0"/>
    <x v="0"/>
    <x v="0"/>
    <x v="9"/>
    <x v="9"/>
    <x v="18"/>
    <x v="18"/>
    <n v="87.12979"/>
    <x v="0"/>
    <x v="0"/>
    <x v="0"/>
    <x v="0"/>
    <x v="4"/>
    <x v="18"/>
    <n v="94.971471100000002"/>
  </r>
  <r>
    <x v="5"/>
    <x v="0"/>
    <x v="5"/>
    <x v="5"/>
    <x v="0"/>
    <x v="0"/>
    <x v="0"/>
    <x v="0"/>
    <x v="0"/>
    <x v="0"/>
    <x v="0"/>
    <x v="0"/>
    <x v="0"/>
    <x v="9"/>
    <x v="9"/>
    <x v="34"/>
    <x v="34"/>
    <n v="7.9885048033576496"/>
    <x v="0"/>
    <x v="0"/>
    <x v="0"/>
    <x v="0"/>
    <x v="0"/>
    <x v="0"/>
    <n v="8.707470235659839"/>
  </r>
  <r>
    <x v="5"/>
    <x v="0"/>
    <x v="5"/>
    <x v="5"/>
    <x v="0"/>
    <x v="0"/>
    <x v="0"/>
    <x v="0"/>
    <x v="0"/>
    <x v="0"/>
    <x v="0"/>
    <x v="0"/>
    <x v="0"/>
    <x v="9"/>
    <x v="9"/>
    <x v="37"/>
    <x v="37"/>
    <n v="14.2307889908171"/>
    <x v="0"/>
    <x v="0"/>
    <x v="1"/>
    <x v="3"/>
    <x v="3"/>
    <x v="4"/>
    <n v="15.51155999999064"/>
  </r>
  <r>
    <x v="5"/>
    <x v="0"/>
    <x v="5"/>
    <x v="5"/>
    <x v="0"/>
    <x v="0"/>
    <x v="0"/>
    <x v="0"/>
    <x v="0"/>
    <x v="0"/>
    <x v="0"/>
    <x v="0"/>
    <x v="0"/>
    <x v="9"/>
    <x v="9"/>
    <x v="26"/>
    <x v="26"/>
    <n v="10.992990825681501"/>
    <x v="0"/>
    <x v="0"/>
    <x v="1"/>
    <x v="3"/>
    <x v="3"/>
    <x v="15"/>
    <n v="11.982359999992836"/>
  </r>
  <r>
    <x v="5"/>
    <x v="0"/>
    <x v="5"/>
    <x v="5"/>
    <x v="0"/>
    <x v="0"/>
    <x v="0"/>
    <x v="0"/>
    <x v="0"/>
    <x v="0"/>
    <x v="0"/>
    <x v="0"/>
    <x v="0"/>
    <x v="9"/>
    <x v="9"/>
    <x v="0"/>
    <x v="0"/>
    <n v="0.94937811387634996"/>
    <x v="0"/>
    <x v="0"/>
    <x v="0"/>
    <x v="0"/>
    <x v="0"/>
    <x v="0"/>
    <n v="1.0348221441252214"/>
  </r>
  <r>
    <x v="5"/>
    <x v="0"/>
    <x v="5"/>
    <x v="5"/>
    <x v="0"/>
    <x v="0"/>
    <x v="0"/>
    <x v="0"/>
    <x v="0"/>
    <x v="0"/>
    <x v="0"/>
    <x v="0"/>
    <x v="0"/>
    <x v="9"/>
    <x v="9"/>
    <x v="2"/>
    <x v="2"/>
    <n v="13.6590275229276"/>
    <x v="0"/>
    <x v="1"/>
    <x v="2"/>
    <x v="2"/>
    <x v="13"/>
    <x v="2"/>
    <n v="14.888339999991086"/>
  </r>
  <r>
    <x v="5"/>
    <x v="0"/>
    <x v="5"/>
    <x v="5"/>
    <x v="0"/>
    <x v="0"/>
    <x v="0"/>
    <x v="0"/>
    <x v="0"/>
    <x v="0"/>
    <x v="0"/>
    <x v="0"/>
    <x v="2"/>
    <x v="10"/>
    <x v="10"/>
    <x v="6"/>
    <x v="6"/>
    <n v="156.17152999999999"/>
    <x v="0"/>
    <x v="0"/>
    <x v="0"/>
    <x v="0"/>
    <x v="4"/>
    <x v="6"/>
    <n v="170.22696769999999"/>
  </r>
  <r>
    <x v="5"/>
    <x v="0"/>
    <x v="5"/>
    <x v="5"/>
    <x v="0"/>
    <x v="0"/>
    <x v="0"/>
    <x v="0"/>
    <x v="0"/>
    <x v="0"/>
    <x v="0"/>
    <x v="0"/>
    <x v="2"/>
    <x v="10"/>
    <x v="10"/>
    <x v="7"/>
    <x v="7"/>
    <n v="9.3613853210953"/>
    <x v="0"/>
    <x v="0"/>
    <x v="1"/>
    <x v="4"/>
    <x v="5"/>
    <x v="7"/>
    <n v="10.203909999993877"/>
  </r>
  <r>
    <x v="5"/>
    <x v="0"/>
    <x v="5"/>
    <x v="5"/>
    <x v="0"/>
    <x v="0"/>
    <x v="0"/>
    <x v="0"/>
    <x v="0"/>
    <x v="0"/>
    <x v="0"/>
    <x v="0"/>
    <x v="2"/>
    <x v="10"/>
    <x v="10"/>
    <x v="9"/>
    <x v="9"/>
    <n v="119.811388504934"/>
    <x v="0"/>
    <x v="0"/>
    <x v="1"/>
    <x v="4"/>
    <x v="5"/>
    <x v="9"/>
    <n v="130.59441347037807"/>
  </r>
  <r>
    <x v="5"/>
    <x v="0"/>
    <x v="5"/>
    <x v="5"/>
    <x v="0"/>
    <x v="0"/>
    <x v="0"/>
    <x v="0"/>
    <x v="0"/>
    <x v="0"/>
    <x v="0"/>
    <x v="0"/>
    <x v="2"/>
    <x v="10"/>
    <x v="10"/>
    <x v="10"/>
    <x v="10"/>
    <n v="34.698362803013801"/>
    <x v="0"/>
    <x v="0"/>
    <x v="1"/>
    <x v="4"/>
    <x v="5"/>
    <x v="10"/>
    <n v="37.821215455285042"/>
  </r>
  <r>
    <x v="5"/>
    <x v="0"/>
    <x v="5"/>
    <x v="5"/>
    <x v="0"/>
    <x v="0"/>
    <x v="0"/>
    <x v="0"/>
    <x v="0"/>
    <x v="0"/>
    <x v="0"/>
    <x v="0"/>
    <x v="2"/>
    <x v="10"/>
    <x v="10"/>
    <x v="11"/>
    <x v="11"/>
    <n v="18.5685"/>
    <x v="0"/>
    <x v="0"/>
    <x v="3"/>
    <x v="5"/>
    <x v="7"/>
    <x v="11"/>
    <n v="20.239665000000002"/>
  </r>
  <r>
    <x v="5"/>
    <x v="0"/>
    <x v="5"/>
    <x v="5"/>
    <x v="0"/>
    <x v="0"/>
    <x v="0"/>
    <x v="0"/>
    <x v="0"/>
    <x v="0"/>
    <x v="0"/>
    <x v="0"/>
    <x v="2"/>
    <x v="10"/>
    <x v="10"/>
    <x v="22"/>
    <x v="22"/>
    <n v="1.8002016128960301"/>
    <x v="0"/>
    <x v="0"/>
    <x v="0"/>
    <x v="0"/>
    <x v="0"/>
    <x v="0"/>
    <n v="1.9622197580566729"/>
  </r>
  <r>
    <x v="5"/>
    <x v="0"/>
    <x v="5"/>
    <x v="5"/>
    <x v="0"/>
    <x v="0"/>
    <x v="0"/>
    <x v="0"/>
    <x v="0"/>
    <x v="0"/>
    <x v="0"/>
    <x v="0"/>
    <x v="2"/>
    <x v="10"/>
    <x v="10"/>
    <x v="36"/>
    <x v="36"/>
    <n v="18.966605504575799"/>
    <x v="0"/>
    <x v="0"/>
    <x v="1"/>
    <x v="3"/>
    <x v="3"/>
    <x v="4"/>
    <n v="20.673599999987623"/>
  </r>
  <r>
    <x v="5"/>
    <x v="0"/>
    <x v="5"/>
    <x v="5"/>
    <x v="0"/>
    <x v="0"/>
    <x v="0"/>
    <x v="0"/>
    <x v="0"/>
    <x v="0"/>
    <x v="0"/>
    <x v="0"/>
    <x v="2"/>
    <x v="10"/>
    <x v="10"/>
    <x v="24"/>
    <x v="24"/>
    <n v="29.739284403651901"/>
    <x v="0"/>
    <x v="0"/>
    <x v="1"/>
    <x v="3"/>
    <x v="3"/>
    <x v="4"/>
    <n v="32.415819999980577"/>
  </r>
  <r>
    <x v="5"/>
    <x v="0"/>
    <x v="5"/>
    <x v="5"/>
    <x v="0"/>
    <x v="0"/>
    <x v="0"/>
    <x v="0"/>
    <x v="0"/>
    <x v="0"/>
    <x v="0"/>
    <x v="0"/>
    <x v="2"/>
    <x v="10"/>
    <x v="10"/>
    <x v="17"/>
    <x v="17"/>
    <n v="18.835509999999999"/>
    <x v="0"/>
    <x v="0"/>
    <x v="0"/>
    <x v="0"/>
    <x v="4"/>
    <x v="17"/>
    <n v="20.530705900000001"/>
  </r>
  <r>
    <x v="5"/>
    <x v="0"/>
    <x v="5"/>
    <x v="5"/>
    <x v="0"/>
    <x v="0"/>
    <x v="0"/>
    <x v="0"/>
    <x v="0"/>
    <x v="0"/>
    <x v="0"/>
    <x v="0"/>
    <x v="2"/>
    <x v="10"/>
    <x v="10"/>
    <x v="21"/>
    <x v="21"/>
    <n v="121.014275229285"/>
    <x v="0"/>
    <x v="0"/>
    <x v="1"/>
    <x v="4"/>
    <x v="5"/>
    <x v="10"/>
    <n v="131.90555999992065"/>
  </r>
  <r>
    <x v="5"/>
    <x v="0"/>
    <x v="5"/>
    <x v="5"/>
    <x v="0"/>
    <x v="0"/>
    <x v="0"/>
    <x v="0"/>
    <x v="0"/>
    <x v="0"/>
    <x v="0"/>
    <x v="0"/>
    <x v="2"/>
    <x v="10"/>
    <x v="10"/>
    <x v="18"/>
    <x v="18"/>
    <n v="32.04"/>
    <x v="0"/>
    <x v="0"/>
    <x v="0"/>
    <x v="0"/>
    <x v="4"/>
    <x v="18"/>
    <n v="34.9236"/>
  </r>
  <r>
    <x v="5"/>
    <x v="0"/>
    <x v="5"/>
    <x v="5"/>
    <x v="0"/>
    <x v="0"/>
    <x v="0"/>
    <x v="0"/>
    <x v="0"/>
    <x v="0"/>
    <x v="0"/>
    <x v="0"/>
    <x v="2"/>
    <x v="10"/>
    <x v="10"/>
    <x v="34"/>
    <x v="34"/>
    <n v="16.646656768275999"/>
    <x v="0"/>
    <x v="0"/>
    <x v="0"/>
    <x v="0"/>
    <x v="0"/>
    <x v="0"/>
    <n v="18.144855877420841"/>
  </r>
  <r>
    <x v="5"/>
    <x v="0"/>
    <x v="5"/>
    <x v="5"/>
    <x v="0"/>
    <x v="0"/>
    <x v="0"/>
    <x v="0"/>
    <x v="0"/>
    <x v="0"/>
    <x v="0"/>
    <x v="0"/>
    <x v="2"/>
    <x v="10"/>
    <x v="10"/>
    <x v="37"/>
    <x v="37"/>
    <n v="18.478073394484301"/>
    <x v="0"/>
    <x v="0"/>
    <x v="1"/>
    <x v="3"/>
    <x v="3"/>
    <x v="4"/>
    <n v="20.14109999998789"/>
  </r>
  <r>
    <x v="5"/>
    <x v="0"/>
    <x v="5"/>
    <x v="5"/>
    <x v="0"/>
    <x v="0"/>
    <x v="0"/>
    <x v="0"/>
    <x v="0"/>
    <x v="0"/>
    <x v="0"/>
    <x v="0"/>
    <x v="2"/>
    <x v="10"/>
    <x v="10"/>
    <x v="26"/>
    <x v="26"/>
    <n v="37.3677798164913"/>
    <x v="0"/>
    <x v="0"/>
    <x v="1"/>
    <x v="3"/>
    <x v="3"/>
    <x v="15"/>
    <n v="40.730879999975521"/>
  </r>
  <r>
    <x v="5"/>
    <x v="0"/>
    <x v="5"/>
    <x v="5"/>
    <x v="0"/>
    <x v="0"/>
    <x v="0"/>
    <x v="0"/>
    <x v="0"/>
    <x v="0"/>
    <x v="0"/>
    <x v="0"/>
    <x v="2"/>
    <x v="10"/>
    <x v="10"/>
    <x v="0"/>
    <x v="0"/>
    <n v="59.844499110152697"/>
    <x v="0"/>
    <x v="0"/>
    <x v="0"/>
    <x v="0"/>
    <x v="0"/>
    <x v="0"/>
    <n v="65.230504030066442"/>
  </r>
  <r>
    <x v="5"/>
    <x v="0"/>
    <x v="5"/>
    <x v="5"/>
    <x v="0"/>
    <x v="0"/>
    <x v="0"/>
    <x v="0"/>
    <x v="0"/>
    <x v="0"/>
    <x v="0"/>
    <x v="0"/>
    <x v="2"/>
    <x v="10"/>
    <x v="10"/>
    <x v="2"/>
    <x v="2"/>
    <n v="470.18388990797501"/>
    <x v="0"/>
    <x v="1"/>
    <x v="2"/>
    <x v="2"/>
    <x v="13"/>
    <x v="2"/>
    <n v="512.50043999969284"/>
  </r>
  <r>
    <x v="5"/>
    <x v="0"/>
    <x v="5"/>
    <x v="5"/>
    <x v="0"/>
    <x v="0"/>
    <x v="0"/>
    <x v="0"/>
    <x v="0"/>
    <x v="0"/>
    <x v="0"/>
    <x v="0"/>
    <x v="4"/>
    <x v="5"/>
    <x v="5"/>
    <x v="4"/>
    <x v="4"/>
    <n v="1.8257889908245899"/>
    <x v="0"/>
    <x v="0"/>
    <x v="1"/>
    <x v="3"/>
    <x v="3"/>
    <x v="4"/>
    <n v="1.9901099999988032"/>
  </r>
  <r>
    <x v="5"/>
    <x v="0"/>
    <x v="5"/>
    <x v="5"/>
    <x v="0"/>
    <x v="0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5"/>
    <x v="0"/>
    <x v="5"/>
    <x v="5"/>
    <x v="0"/>
    <x v="0"/>
    <x v="0"/>
    <x v="0"/>
    <x v="0"/>
    <x v="0"/>
    <x v="0"/>
    <x v="0"/>
    <x v="4"/>
    <x v="5"/>
    <x v="5"/>
    <x v="6"/>
    <x v="6"/>
    <n v="841.48298999999997"/>
    <x v="0"/>
    <x v="0"/>
    <x v="0"/>
    <x v="0"/>
    <x v="4"/>
    <x v="6"/>
    <n v="917.21645910000007"/>
  </r>
  <r>
    <x v="5"/>
    <x v="0"/>
    <x v="5"/>
    <x v="5"/>
    <x v="0"/>
    <x v="0"/>
    <x v="0"/>
    <x v="0"/>
    <x v="0"/>
    <x v="0"/>
    <x v="0"/>
    <x v="0"/>
    <x v="4"/>
    <x v="5"/>
    <x v="5"/>
    <x v="7"/>
    <x v="7"/>
    <n v="6.1561651376109898"/>
    <x v="0"/>
    <x v="0"/>
    <x v="1"/>
    <x v="4"/>
    <x v="5"/>
    <x v="7"/>
    <n v="6.7102199999959797"/>
  </r>
  <r>
    <x v="5"/>
    <x v="0"/>
    <x v="5"/>
    <x v="5"/>
    <x v="0"/>
    <x v="0"/>
    <x v="0"/>
    <x v="0"/>
    <x v="0"/>
    <x v="0"/>
    <x v="0"/>
    <x v="0"/>
    <x v="4"/>
    <x v="5"/>
    <x v="5"/>
    <x v="8"/>
    <x v="8"/>
    <n v="1048.55954054725"/>
    <x v="0"/>
    <x v="1"/>
    <x v="2"/>
    <x v="2"/>
    <x v="6"/>
    <x v="8"/>
    <n v="1142.9298991965027"/>
  </r>
  <r>
    <x v="5"/>
    <x v="0"/>
    <x v="5"/>
    <x v="5"/>
    <x v="0"/>
    <x v="0"/>
    <x v="0"/>
    <x v="0"/>
    <x v="0"/>
    <x v="0"/>
    <x v="0"/>
    <x v="0"/>
    <x v="4"/>
    <x v="5"/>
    <x v="5"/>
    <x v="9"/>
    <x v="9"/>
    <n v="603.98975235037994"/>
    <x v="0"/>
    <x v="0"/>
    <x v="1"/>
    <x v="4"/>
    <x v="5"/>
    <x v="9"/>
    <n v="658.34883006191421"/>
  </r>
  <r>
    <x v="5"/>
    <x v="0"/>
    <x v="5"/>
    <x v="5"/>
    <x v="0"/>
    <x v="0"/>
    <x v="0"/>
    <x v="0"/>
    <x v="0"/>
    <x v="0"/>
    <x v="0"/>
    <x v="0"/>
    <x v="4"/>
    <x v="5"/>
    <x v="5"/>
    <x v="10"/>
    <x v="10"/>
    <n v="135.032888408589"/>
    <x v="0"/>
    <x v="0"/>
    <x v="1"/>
    <x v="4"/>
    <x v="5"/>
    <x v="10"/>
    <n v="147.18584836536203"/>
  </r>
  <r>
    <x v="5"/>
    <x v="0"/>
    <x v="5"/>
    <x v="5"/>
    <x v="0"/>
    <x v="0"/>
    <x v="0"/>
    <x v="0"/>
    <x v="0"/>
    <x v="0"/>
    <x v="0"/>
    <x v="0"/>
    <x v="4"/>
    <x v="5"/>
    <x v="5"/>
    <x v="29"/>
    <x v="29"/>
    <n v="0.86477999999999999"/>
    <x v="0"/>
    <x v="0"/>
    <x v="1"/>
    <x v="3"/>
    <x v="3"/>
    <x v="13"/>
    <n v="0.94261020000000006"/>
  </r>
  <r>
    <x v="5"/>
    <x v="0"/>
    <x v="5"/>
    <x v="5"/>
    <x v="0"/>
    <x v="0"/>
    <x v="0"/>
    <x v="0"/>
    <x v="0"/>
    <x v="0"/>
    <x v="0"/>
    <x v="0"/>
    <x v="4"/>
    <x v="5"/>
    <x v="5"/>
    <x v="35"/>
    <x v="35"/>
    <n v="234.54"/>
    <x v="0"/>
    <x v="0"/>
    <x v="0"/>
    <x v="0"/>
    <x v="0"/>
    <x v="0"/>
    <n v="255.64860000000002"/>
  </r>
  <r>
    <x v="5"/>
    <x v="0"/>
    <x v="5"/>
    <x v="5"/>
    <x v="0"/>
    <x v="0"/>
    <x v="0"/>
    <x v="0"/>
    <x v="0"/>
    <x v="0"/>
    <x v="0"/>
    <x v="0"/>
    <x v="4"/>
    <x v="5"/>
    <x v="5"/>
    <x v="55"/>
    <x v="55"/>
    <n v="1.71743119265952"/>
    <x v="0"/>
    <x v="0"/>
    <x v="1"/>
    <x v="3"/>
    <x v="3"/>
    <x v="15"/>
    <n v="1.871999999998877"/>
  </r>
  <r>
    <x v="5"/>
    <x v="0"/>
    <x v="5"/>
    <x v="5"/>
    <x v="0"/>
    <x v="0"/>
    <x v="0"/>
    <x v="0"/>
    <x v="0"/>
    <x v="0"/>
    <x v="0"/>
    <x v="0"/>
    <x v="4"/>
    <x v="5"/>
    <x v="5"/>
    <x v="12"/>
    <x v="12"/>
    <n v="586.175302323354"/>
    <x v="0"/>
    <x v="0"/>
    <x v="0"/>
    <x v="0"/>
    <x v="8"/>
    <x v="12"/>
    <n v="638.9310795324559"/>
  </r>
  <r>
    <x v="5"/>
    <x v="0"/>
    <x v="5"/>
    <x v="5"/>
    <x v="0"/>
    <x v="0"/>
    <x v="0"/>
    <x v="0"/>
    <x v="0"/>
    <x v="0"/>
    <x v="0"/>
    <x v="0"/>
    <x v="4"/>
    <x v="5"/>
    <x v="5"/>
    <x v="14"/>
    <x v="14"/>
    <n v="384.06912"/>
    <x v="0"/>
    <x v="0"/>
    <x v="0"/>
    <x v="0"/>
    <x v="8"/>
    <x v="14"/>
    <n v="418.63534080000005"/>
  </r>
  <r>
    <x v="5"/>
    <x v="0"/>
    <x v="5"/>
    <x v="5"/>
    <x v="0"/>
    <x v="0"/>
    <x v="0"/>
    <x v="0"/>
    <x v="0"/>
    <x v="0"/>
    <x v="0"/>
    <x v="0"/>
    <x v="4"/>
    <x v="5"/>
    <x v="5"/>
    <x v="22"/>
    <x v="22"/>
    <n v="24.177967741838799"/>
    <x v="0"/>
    <x v="0"/>
    <x v="0"/>
    <x v="0"/>
    <x v="0"/>
    <x v="0"/>
    <n v="26.353984838604294"/>
  </r>
  <r>
    <x v="5"/>
    <x v="0"/>
    <x v="5"/>
    <x v="5"/>
    <x v="0"/>
    <x v="0"/>
    <x v="0"/>
    <x v="0"/>
    <x v="0"/>
    <x v="0"/>
    <x v="0"/>
    <x v="0"/>
    <x v="4"/>
    <x v="5"/>
    <x v="5"/>
    <x v="33"/>
    <x v="33"/>
    <n v="3.1146605504568501"/>
    <x v="0"/>
    <x v="0"/>
    <x v="1"/>
    <x v="3"/>
    <x v="3"/>
    <x v="4"/>
    <n v="3.3949799999979668"/>
  </r>
  <r>
    <x v="5"/>
    <x v="0"/>
    <x v="5"/>
    <x v="5"/>
    <x v="0"/>
    <x v="0"/>
    <x v="0"/>
    <x v="0"/>
    <x v="0"/>
    <x v="0"/>
    <x v="0"/>
    <x v="0"/>
    <x v="4"/>
    <x v="5"/>
    <x v="5"/>
    <x v="36"/>
    <x v="36"/>
    <n v="73.739614678854807"/>
    <x v="0"/>
    <x v="0"/>
    <x v="1"/>
    <x v="3"/>
    <x v="3"/>
    <x v="4"/>
    <n v="80.376179999951745"/>
  </r>
  <r>
    <x v="5"/>
    <x v="0"/>
    <x v="5"/>
    <x v="5"/>
    <x v="0"/>
    <x v="0"/>
    <x v="0"/>
    <x v="0"/>
    <x v="0"/>
    <x v="0"/>
    <x v="0"/>
    <x v="0"/>
    <x v="4"/>
    <x v="5"/>
    <x v="5"/>
    <x v="23"/>
    <x v="23"/>
    <n v="4.0816605504562702"/>
    <x v="0"/>
    <x v="0"/>
    <x v="1"/>
    <x v="3"/>
    <x v="3"/>
    <x v="15"/>
    <n v="4.4490099999973349"/>
  </r>
  <r>
    <x v="5"/>
    <x v="0"/>
    <x v="5"/>
    <x v="5"/>
    <x v="0"/>
    <x v="0"/>
    <x v="0"/>
    <x v="0"/>
    <x v="0"/>
    <x v="0"/>
    <x v="0"/>
    <x v="0"/>
    <x v="4"/>
    <x v="5"/>
    <x v="5"/>
    <x v="24"/>
    <x v="24"/>
    <n v="48.612724770612999"/>
    <x v="0"/>
    <x v="0"/>
    <x v="1"/>
    <x v="3"/>
    <x v="3"/>
    <x v="4"/>
    <n v="52.987869999968176"/>
  </r>
  <r>
    <x v="5"/>
    <x v="0"/>
    <x v="5"/>
    <x v="5"/>
    <x v="0"/>
    <x v="0"/>
    <x v="0"/>
    <x v="0"/>
    <x v="0"/>
    <x v="0"/>
    <x v="0"/>
    <x v="0"/>
    <x v="4"/>
    <x v="5"/>
    <x v="5"/>
    <x v="17"/>
    <x v="17"/>
    <n v="167.71742"/>
    <x v="0"/>
    <x v="0"/>
    <x v="0"/>
    <x v="0"/>
    <x v="4"/>
    <x v="17"/>
    <n v="182.81198780000003"/>
  </r>
  <r>
    <x v="5"/>
    <x v="0"/>
    <x v="5"/>
    <x v="5"/>
    <x v="0"/>
    <x v="0"/>
    <x v="0"/>
    <x v="0"/>
    <x v="0"/>
    <x v="0"/>
    <x v="0"/>
    <x v="0"/>
    <x v="4"/>
    <x v="5"/>
    <x v="5"/>
    <x v="21"/>
    <x v="21"/>
    <n v="108.345247706357"/>
    <x v="0"/>
    <x v="0"/>
    <x v="1"/>
    <x v="4"/>
    <x v="5"/>
    <x v="10"/>
    <n v="118.09631999992914"/>
  </r>
  <r>
    <x v="5"/>
    <x v="0"/>
    <x v="5"/>
    <x v="5"/>
    <x v="0"/>
    <x v="0"/>
    <x v="0"/>
    <x v="0"/>
    <x v="0"/>
    <x v="0"/>
    <x v="0"/>
    <x v="0"/>
    <x v="4"/>
    <x v="5"/>
    <x v="5"/>
    <x v="18"/>
    <x v="18"/>
    <n v="382.87092999999999"/>
    <x v="0"/>
    <x v="0"/>
    <x v="0"/>
    <x v="0"/>
    <x v="4"/>
    <x v="18"/>
    <n v="417.3293137"/>
  </r>
  <r>
    <x v="5"/>
    <x v="0"/>
    <x v="5"/>
    <x v="5"/>
    <x v="0"/>
    <x v="0"/>
    <x v="0"/>
    <x v="0"/>
    <x v="0"/>
    <x v="0"/>
    <x v="0"/>
    <x v="0"/>
    <x v="4"/>
    <x v="5"/>
    <x v="5"/>
    <x v="34"/>
    <x v="34"/>
    <n v="67.439249780512895"/>
    <x v="0"/>
    <x v="0"/>
    <x v="0"/>
    <x v="0"/>
    <x v="0"/>
    <x v="0"/>
    <n v="73.508782260759062"/>
  </r>
  <r>
    <x v="5"/>
    <x v="0"/>
    <x v="5"/>
    <x v="5"/>
    <x v="0"/>
    <x v="0"/>
    <x v="0"/>
    <x v="0"/>
    <x v="0"/>
    <x v="0"/>
    <x v="0"/>
    <x v="0"/>
    <x v="4"/>
    <x v="5"/>
    <x v="5"/>
    <x v="25"/>
    <x v="25"/>
    <n v="15.6771467889814"/>
    <x v="0"/>
    <x v="0"/>
    <x v="1"/>
    <x v="4"/>
    <x v="5"/>
    <x v="9"/>
    <n v="17.088089999989727"/>
  </r>
  <r>
    <x v="5"/>
    <x v="0"/>
    <x v="5"/>
    <x v="5"/>
    <x v="0"/>
    <x v="0"/>
    <x v="0"/>
    <x v="0"/>
    <x v="0"/>
    <x v="0"/>
    <x v="0"/>
    <x v="0"/>
    <x v="4"/>
    <x v="5"/>
    <x v="5"/>
    <x v="37"/>
    <x v="37"/>
    <n v="67.802477064179499"/>
    <x v="0"/>
    <x v="0"/>
    <x v="1"/>
    <x v="3"/>
    <x v="3"/>
    <x v="4"/>
    <n v="73.904699999955653"/>
  </r>
  <r>
    <x v="5"/>
    <x v="0"/>
    <x v="5"/>
    <x v="5"/>
    <x v="0"/>
    <x v="0"/>
    <x v="0"/>
    <x v="0"/>
    <x v="0"/>
    <x v="0"/>
    <x v="0"/>
    <x v="0"/>
    <x v="4"/>
    <x v="5"/>
    <x v="5"/>
    <x v="27"/>
    <x v="27"/>
    <n v="68.900599100559802"/>
    <x v="0"/>
    <x v="0"/>
    <x v="1"/>
    <x v="3"/>
    <x v="3"/>
    <x v="19"/>
    <n v="75.101653019610183"/>
  </r>
  <r>
    <x v="5"/>
    <x v="0"/>
    <x v="5"/>
    <x v="5"/>
    <x v="0"/>
    <x v="0"/>
    <x v="0"/>
    <x v="0"/>
    <x v="0"/>
    <x v="0"/>
    <x v="0"/>
    <x v="0"/>
    <x v="4"/>
    <x v="5"/>
    <x v="5"/>
    <x v="26"/>
    <x v="26"/>
    <n v="29.965211009156299"/>
    <x v="0"/>
    <x v="0"/>
    <x v="1"/>
    <x v="3"/>
    <x v="3"/>
    <x v="15"/>
    <n v="32.662079999980371"/>
  </r>
  <r>
    <x v="5"/>
    <x v="0"/>
    <x v="5"/>
    <x v="5"/>
    <x v="0"/>
    <x v="0"/>
    <x v="0"/>
    <x v="0"/>
    <x v="0"/>
    <x v="0"/>
    <x v="0"/>
    <x v="0"/>
    <x v="4"/>
    <x v="5"/>
    <x v="5"/>
    <x v="0"/>
    <x v="0"/>
    <n v="94.016197508633596"/>
    <x v="0"/>
    <x v="0"/>
    <x v="0"/>
    <x v="0"/>
    <x v="0"/>
    <x v="0"/>
    <n v="102.47765528441063"/>
  </r>
  <r>
    <x v="5"/>
    <x v="0"/>
    <x v="5"/>
    <x v="5"/>
    <x v="0"/>
    <x v="0"/>
    <x v="0"/>
    <x v="0"/>
    <x v="0"/>
    <x v="0"/>
    <x v="0"/>
    <x v="0"/>
    <x v="4"/>
    <x v="5"/>
    <x v="5"/>
    <x v="2"/>
    <x v="2"/>
    <n v="3428.4177706401401"/>
    <x v="0"/>
    <x v="1"/>
    <x v="2"/>
    <x v="2"/>
    <x v="13"/>
    <x v="2"/>
    <n v="3736.9753699977532"/>
  </r>
  <r>
    <x v="5"/>
    <x v="0"/>
    <x v="5"/>
    <x v="5"/>
    <x v="0"/>
    <x v="0"/>
    <x v="0"/>
    <x v="0"/>
    <x v="0"/>
    <x v="0"/>
    <x v="0"/>
    <x v="0"/>
    <x v="4"/>
    <x v="5"/>
    <x v="5"/>
    <x v="3"/>
    <x v="3"/>
    <n v="1.47783349742167"/>
    <x v="0"/>
    <x v="0"/>
    <x v="1"/>
    <x v="3"/>
    <x v="3"/>
    <x v="3"/>
    <n v="1.6108385121896205"/>
  </r>
  <r>
    <x v="5"/>
    <x v="0"/>
    <x v="5"/>
    <x v="5"/>
    <x v="0"/>
    <x v="0"/>
    <x v="0"/>
    <x v="0"/>
    <x v="0"/>
    <x v="0"/>
    <x v="3"/>
    <x v="3"/>
    <x v="3"/>
    <x v="3"/>
    <x v="3"/>
    <x v="3"/>
    <x v="3"/>
    <n v="2.5415290638411698"/>
    <x v="0"/>
    <x v="0"/>
    <x v="1"/>
    <x v="3"/>
    <x v="3"/>
    <x v="3"/>
    <n v="2.7702666795868751"/>
  </r>
  <r>
    <x v="5"/>
    <x v="0"/>
    <x v="5"/>
    <x v="5"/>
    <x v="0"/>
    <x v="0"/>
    <x v="0"/>
    <x v="0"/>
    <x v="0"/>
    <x v="0"/>
    <x v="3"/>
    <x v="3"/>
    <x v="0"/>
    <x v="4"/>
    <x v="4"/>
    <x v="16"/>
    <x v="16"/>
    <n v="18.736540000000002"/>
    <x v="0"/>
    <x v="0"/>
    <x v="3"/>
    <x v="5"/>
    <x v="9"/>
    <x v="16"/>
    <n v="20.422828600000003"/>
  </r>
  <r>
    <x v="5"/>
    <x v="0"/>
    <x v="5"/>
    <x v="5"/>
    <x v="0"/>
    <x v="0"/>
    <x v="0"/>
    <x v="0"/>
    <x v="0"/>
    <x v="0"/>
    <x v="3"/>
    <x v="3"/>
    <x v="2"/>
    <x v="2"/>
    <x v="2"/>
    <x v="5"/>
    <x v="5"/>
    <n v="12.2841717792345"/>
    <x v="0"/>
    <x v="0"/>
    <x v="1"/>
    <x v="1"/>
    <x v="1"/>
    <x v="5"/>
    <n v="13.389747239365606"/>
  </r>
  <r>
    <x v="5"/>
    <x v="0"/>
    <x v="5"/>
    <x v="5"/>
    <x v="0"/>
    <x v="0"/>
    <x v="0"/>
    <x v="0"/>
    <x v="0"/>
    <x v="0"/>
    <x v="3"/>
    <x v="3"/>
    <x v="2"/>
    <x v="2"/>
    <x v="2"/>
    <x v="6"/>
    <x v="6"/>
    <n v="23.804359999999999"/>
    <x v="0"/>
    <x v="0"/>
    <x v="0"/>
    <x v="0"/>
    <x v="4"/>
    <x v="6"/>
    <n v="25.946752400000001"/>
  </r>
  <r>
    <x v="5"/>
    <x v="0"/>
    <x v="5"/>
    <x v="5"/>
    <x v="0"/>
    <x v="0"/>
    <x v="0"/>
    <x v="0"/>
    <x v="0"/>
    <x v="0"/>
    <x v="3"/>
    <x v="3"/>
    <x v="2"/>
    <x v="2"/>
    <x v="2"/>
    <x v="8"/>
    <x v="8"/>
    <n v="122.45118918997299"/>
    <x v="0"/>
    <x v="1"/>
    <x v="2"/>
    <x v="2"/>
    <x v="6"/>
    <x v="8"/>
    <n v="133.47179621707056"/>
  </r>
  <r>
    <x v="5"/>
    <x v="0"/>
    <x v="5"/>
    <x v="5"/>
    <x v="0"/>
    <x v="0"/>
    <x v="0"/>
    <x v="0"/>
    <x v="0"/>
    <x v="0"/>
    <x v="3"/>
    <x v="3"/>
    <x v="2"/>
    <x v="2"/>
    <x v="2"/>
    <x v="9"/>
    <x v="9"/>
    <n v="2.133027522935E-2"/>
    <x v="0"/>
    <x v="0"/>
    <x v="1"/>
    <x v="4"/>
    <x v="5"/>
    <x v="9"/>
    <n v="2.3249999999991503E-2"/>
  </r>
  <r>
    <x v="5"/>
    <x v="0"/>
    <x v="5"/>
    <x v="5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5"/>
    <x v="0"/>
    <x v="5"/>
    <x v="5"/>
    <x v="0"/>
    <x v="0"/>
    <x v="0"/>
    <x v="0"/>
    <x v="0"/>
    <x v="0"/>
    <x v="3"/>
    <x v="3"/>
    <x v="2"/>
    <x v="2"/>
    <x v="2"/>
    <x v="16"/>
    <x v="16"/>
    <n v="29.287669999999999"/>
    <x v="0"/>
    <x v="0"/>
    <x v="3"/>
    <x v="5"/>
    <x v="9"/>
    <x v="16"/>
    <n v="31.923560300000002"/>
  </r>
  <r>
    <x v="5"/>
    <x v="0"/>
    <x v="5"/>
    <x v="5"/>
    <x v="0"/>
    <x v="0"/>
    <x v="0"/>
    <x v="0"/>
    <x v="0"/>
    <x v="0"/>
    <x v="3"/>
    <x v="3"/>
    <x v="2"/>
    <x v="2"/>
    <x v="2"/>
    <x v="2"/>
    <x v="2"/>
    <n v="14.189220183477699"/>
    <x v="0"/>
    <x v="1"/>
    <x v="2"/>
    <x v="2"/>
    <x v="13"/>
    <x v="2"/>
    <n v="15.466249999990694"/>
  </r>
  <r>
    <x v="5"/>
    <x v="0"/>
    <x v="5"/>
    <x v="5"/>
    <x v="0"/>
    <x v="0"/>
    <x v="0"/>
    <x v="0"/>
    <x v="0"/>
    <x v="0"/>
    <x v="3"/>
    <x v="3"/>
    <x v="4"/>
    <x v="5"/>
    <x v="5"/>
    <x v="8"/>
    <x v="8"/>
    <n v="45.709540540833103"/>
    <x v="0"/>
    <x v="1"/>
    <x v="2"/>
    <x v="2"/>
    <x v="6"/>
    <x v="8"/>
    <n v="49.823399189508088"/>
  </r>
  <r>
    <x v="5"/>
    <x v="0"/>
    <x v="5"/>
    <x v="5"/>
    <x v="0"/>
    <x v="0"/>
    <x v="0"/>
    <x v="0"/>
    <x v="0"/>
    <x v="0"/>
    <x v="3"/>
    <x v="3"/>
    <x v="4"/>
    <x v="5"/>
    <x v="5"/>
    <x v="12"/>
    <x v="12"/>
    <n v="32.872930232433198"/>
    <x v="0"/>
    <x v="0"/>
    <x v="0"/>
    <x v="0"/>
    <x v="8"/>
    <x v="12"/>
    <n v="35.831493953352187"/>
  </r>
  <r>
    <x v="5"/>
    <x v="0"/>
    <x v="5"/>
    <x v="5"/>
    <x v="0"/>
    <x v="0"/>
    <x v="0"/>
    <x v="0"/>
    <x v="0"/>
    <x v="0"/>
    <x v="3"/>
    <x v="3"/>
    <x v="4"/>
    <x v="5"/>
    <x v="5"/>
    <x v="18"/>
    <x v="18"/>
    <n v="13.920299999999999"/>
    <x v="0"/>
    <x v="0"/>
    <x v="0"/>
    <x v="0"/>
    <x v="4"/>
    <x v="18"/>
    <n v="15.173127000000001"/>
  </r>
  <r>
    <x v="5"/>
    <x v="0"/>
    <x v="5"/>
    <x v="5"/>
    <x v="0"/>
    <x v="0"/>
    <x v="0"/>
    <x v="0"/>
    <x v="0"/>
    <x v="0"/>
    <x v="3"/>
    <x v="3"/>
    <x v="4"/>
    <x v="5"/>
    <x v="5"/>
    <x v="27"/>
    <x v="27"/>
    <n v="4.0540540541399999"/>
    <x v="0"/>
    <x v="0"/>
    <x v="1"/>
    <x v="3"/>
    <x v="3"/>
    <x v="19"/>
    <n v="4.4189189190125999"/>
  </r>
  <r>
    <x v="5"/>
    <x v="0"/>
    <x v="5"/>
    <x v="5"/>
    <x v="0"/>
    <x v="0"/>
    <x v="0"/>
    <x v="0"/>
    <x v="0"/>
    <x v="0"/>
    <x v="3"/>
    <x v="3"/>
    <x v="4"/>
    <x v="5"/>
    <x v="5"/>
    <x v="0"/>
    <x v="0"/>
    <n v="246.94013700998499"/>
    <x v="0"/>
    <x v="0"/>
    <x v="0"/>
    <x v="0"/>
    <x v="0"/>
    <x v="0"/>
    <n v="269.16474934088365"/>
  </r>
  <r>
    <x v="5"/>
    <x v="0"/>
    <x v="5"/>
    <x v="5"/>
    <x v="0"/>
    <x v="0"/>
    <x v="0"/>
    <x v="0"/>
    <x v="0"/>
    <x v="0"/>
    <x v="3"/>
    <x v="3"/>
    <x v="4"/>
    <x v="5"/>
    <x v="5"/>
    <x v="2"/>
    <x v="2"/>
    <n v="4.4762385321074101"/>
    <x v="0"/>
    <x v="1"/>
    <x v="2"/>
    <x v="2"/>
    <x v="13"/>
    <x v="2"/>
    <n v="4.8790999999970772"/>
  </r>
  <r>
    <x v="5"/>
    <x v="0"/>
    <x v="5"/>
    <x v="5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5"/>
    <x v="0"/>
    <x v="5"/>
    <x v="5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5"/>
    <x v="0"/>
    <x v="5"/>
    <x v="5"/>
    <x v="0"/>
    <x v="0"/>
    <x v="0"/>
    <x v="0"/>
    <x v="0"/>
    <x v="0"/>
    <x v="4"/>
    <x v="4"/>
    <x v="2"/>
    <x v="2"/>
    <x v="2"/>
    <x v="5"/>
    <x v="5"/>
    <n v="0.46537423313236997"/>
    <x v="0"/>
    <x v="0"/>
    <x v="1"/>
    <x v="1"/>
    <x v="1"/>
    <x v="5"/>
    <n v="0.50725791411428334"/>
  </r>
  <r>
    <x v="5"/>
    <x v="0"/>
    <x v="5"/>
    <x v="5"/>
    <x v="0"/>
    <x v="0"/>
    <x v="0"/>
    <x v="0"/>
    <x v="0"/>
    <x v="0"/>
    <x v="4"/>
    <x v="4"/>
    <x v="2"/>
    <x v="2"/>
    <x v="2"/>
    <x v="6"/>
    <x v="6"/>
    <n v="0.74"/>
    <x v="0"/>
    <x v="0"/>
    <x v="0"/>
    <x v="0"/>
    <x v="4"/>
    <x v="6"/>
    <n v="0.80660000000000009"/>
  </r>
  <r>
    <x v="5"/>
    <x v="0"/>
    <x v="5"/>
    <x v="5"/>
    <x v="0"/>
    <x v="0"/>
    <x v="0"/>
    <x v="0"/>
    <x v="0"/>
    <x v="0"/>
    <x v="4"/>
    <x v="4"/>
    <x v="2"/>
    <x v="2"/>
    <x v="2"/>
    <x v="7"/>
    <x v="7"/>
    <n v="0.81882568807290002"/>
    <x v="0"/>
    <x v="0"/>
    <x v="1"/>
    <x v="4"/>
    <x v="5"/>
    <x v="7"/>
    <n v="0.89251999999946108"/>
  </r>
  <r>
    <x v="5"/>
    <x v="0"/>
    <x v="5"/>
    <x v="5"/>
    <x v="0"/>
    <x v="0"/>
    <x v="0"/>
    <x v="0"/>
    <x v="0"/>
    <x v="0"/>
    <x v="4"/>
    <x v="4"/>
    <x v="2"/>
    <x v="2"/>
    <x v="2"/>
    <x v="8"/>
    <x v="8"/>
    <n v="1.22696621622407"/>
    <x v="0"/>
    <x v="1"/>
    <x v="2"/>
    <x v="2"/>
    <x v="6"/>
    <x v="8"/>
    <n v="1.3373931756842363"/>
  </r>
  <r>
    <x v="5"/>
    <x v="0"/>
    <x v="5"/>
    <x v="5"/>
    <x v="0"/>
    <x v="0"/>
    <x v="0"/>
    <x v="0"/>
    <x v="0"/>
    <x v="0"/>
    <x v="4"/>
    <x v="4"/>
    <x v="2"/>
    <x v="2"/>
    <x v="2"/>
    <x v="9"/>
    <x v="9"/>
    <n v="5.5963302752259997E-2"/>
    <x v="0"/>
    <x v="0"/>
    <x v="1"/>
    <x v="4"/>
    <x v="5"/>
    <x v="9"/>
    <n v="6.0999999999963403E-2"/>
  </r>
  <r>
    <x v="5"/>
    <x v="0"/>
    <x v="5"/>
    <x v="5"/>
    <x v="0"/>
    <x v="0"/>
    <x v="0"/>
    <x v="0"/>
    <x v="0"/>
    <x v="0"/>
    <x v="4"/>
    <x v="4"/>
    <x v="2"/>
    <x v="2"/>
    <x v="2"/>
    <x v="11"/>
    <x v="11"/>
    <n v="0.40024999999999999"/>
    <x v="0"/>
    <x v="0"/>
    <x v="3"/>
    <x v="5"/>
    <x v="7"/>
    <x v="11"/>
    <n v="0.43627250000000001"/>
  </r>
  <r>
    <x v="5"/>
    <x v="0"/>
    <x v="5"/>
    <x v="5"/>
    <x v="0"/>
    <x v="0"/>
    <x v="0"/>
    <x v="0"/>
    <x v="0"/>
    <x v="0"/>
    <x v="4"/>
    <x v="4"/>
    <x v="2"/>
    <x v="2"/>
    <x v="2"/>
    <x v="12"/>
    <x v="12"/>
    <n v="34.571988371961702"/>
    <x v="0"/>
    <x v="0"/>
    <x v="0"/>
    <x v="0"/>
    <x v="8"/>
    <x v="12"/>
    <n v="37.683467325438258"/>
  </r>
  <r>
    <x v="5"/>
    <x v="0"/>
    <x v="5"/>
    <x v="5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5"/>
    <x v="0"/>
    <x v="5"/>
    <x v="5"/>
    <x v="0"/>
    <x v="0"/>
    <x v="0"/>
    <x v="0"/>
    <x v="0"/>
    <x v="0"/>
    <x v="4"/>
    <x v="4"/>
    <x v="2"/>
    <x v="2"/>
    <x v="2"/>
    <x v="16"/>
    <x v="16"/>
    <n v="2.9660600000000001"/>
    <x v="0"/>
    <x v="0"/>
    <x v="3"/>
    <x v="5"/>
    <x v="9"/>
    <x v="16"/>
    <n v="3.2330054000000006"/>
  </r>
  <r>
    <x v="5"/>
    <x v="0"/>
    <x v="5"/>
    <x v="5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5"/>
    <x v="0"/>
    <x v="5"/>
    <x v="5"/>
    <x v="0"/>
    <x v="0"/>
    <x v="0"/>
    <x v="0"/>
    <x v="0"/>
    <x v="0"/>
    <x v="4"/>
    <x v="4"/>
    <x v="2"/>
    <x v="2"/>
    <x v="2"/>
    <x v="25"/>
    <x v="25"/>
    <n v="0.10577064220177"/>
    <x v="0"/>
    <x v="0"/>
    <x v="1"/>
    <x v="4"/>
    <x v="5"/>
    <x v="9"/>
    <n v="0.11528999999992931"/>
  </r>
  <r>
    <x v="5"/>
    <x v="0"/>
    <x v="5"/>
    <x v="5"/>
    <x v="0"/>
    <x v="0"/>
    <x v="0"/>
    <x v="0"/>
    <x v="0"/>
    <x v="0"/>
    <x v="4"/>
    <x v="4"/>
    <x v="2"/>
    <x v="2"/>
    <x v="2"/>
    <x v="27"/>
    <x v="27"/>
    <n v="0.62043918920233998"/>
    <x v="0"/>
    <x v="0"/>
    <x v="1"/>
    <x v="3"/>
    <x v="3"/>
    <x v="19"/>
    <n v="0.67627871623055058"/>
  </r>
  <r>
    <x v="5"/>
    <x v="0"/>
    <x v="5"/>
    <x v="5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5"/>
    <x v="0"/>
    <x v="5"/>
    <x v="5"/>
    <x v="0"/>
    <x v="0"/>
    <x v="0"/>
    <x v="0"/>
    <x v="0"/>
    <x v="0"/>
    <x v="4"/>
    <x v="4"/>
    <x v="2"/>
    <x v="2"/>
    <x v="2"/>
    <x v="2"/>
    <x v="2"/>
    <n v="1.59123853210914"/>
    <x v="0"/>
    <x v="1"/>
    <x v="2"/>
    <x v="2"/>
    <x v="13"/>
    <x v="2"/>
    <n v="1.7344499999989627"/>
  </r>
  <r>
    <x v="5"/>
    <x v="0"/>
    <x v="5"/>
    <x v="5"/>
    <x v="0"/>
    <x v="0"/>
    <x v="0"/>
    <x v="0"/>
    <x v="2"/>
    <x v="2"/>
    <x v="5"/>
    <x v="5"/>
    <x v="2"/>
    <x v="2"/>
    <x v="2"/>
    <x v="42"/>
    <x v="42"/>
    <n v="1.3347500000000001"/>
    <x v="1"/>
    <x v="2"/>
    <x v="5"/>
    <x v="7"/>
    <x v="11"/>
    <x v="22"/>
    <n v="1.4548775000000003"/>
  </r>
  <r>
    <x v="5"/>
    <x v="0"/>
    <x v="5"/>
    <x v="5"/>
    <x v="0"/>
    <x v="0"/>
    <x v="0"/>
    <x v="0"/>
    <x v="2"/>
    <x v="2"/>
    <x v="5"/>
    <x v="5"/>
    <x v="2"/>
    <x v="2"/>
    <x v="2"/>
    <x v="41"/>
    <x v="41"/>
    <n v="0.28164893616914"/>
    <x v="1"/>
    <x v="2"/>
    <x v="5"/>
    <x v="7"/>
    <x v="11"/>
    <x v="22"/>
    <n v="0.30699734042436261"/>
  </r>
  <r>
    <x v="5"/>
    <x v="0"/>
    <x v="5"/>
    <x v="5"/>
    <x v="0"/>
    <x v="0"/>
    <x v="0"/>
    <x v="0"/>
    <x v="2"/>
    <x v="2"/>
    <x v="5"/>
    <x v="5"/>
    <x v="2"/>
    <x v="2"/>
    <x v="2"/>
    <x v="40"/>
    <x v="40"/>
    <n v="21.433769999999999"/>
    <x v="1"/>
    <x v="2"/>
    <x v="5"/>
    <x v="7"/>
    <x v="11"/>
    <x v="22"/>
    <n v="23.362809300000002"/>
  </r>
  <r>
    <x v="5"/>
    <x v="0"/>
    <x v="5"/>
    <x v="5"/>
    <x v="0"/>
    <x v="0"/>
    <x v="0"/>
    <x v="0"/>
    <x v="2"/>
    <x v="2"/>
    <x v="5"/>
    <x v="5"/>
    <x v="2"/>
    <x v="2"/>
    <x v="2"/>
    <x v="38"/>
    <x v="38"/>
    <n v="105.7625"/>
    <x v="1"/>
    <x v="0"/>
    <x v="4"/>
    <x v="6"/>
    <x v="10"/>
    <x v="21"/>
    <n v="115.28112500000002"/>
  </r>
  <r>
    <x v="5"/>
    <x v="0"/>
    <x v="5"/>
    <x v="5"/>
    <x v="0"/>
    <x v="0"/>
    <x v="0"/>
    <x v="0"/>
    <x v="0"/>
    <x v="0"/>
    <x v="5"/>
    <x v="5"/>
    <x v="2"/>
    <x v="2"/>
    <x v="2"/>
    <x v="17"/>
    <x v="17"/>
    <n v="1.16475"/>
    <x v="0"/>
    <x v="0"/>
    <x v="0"/>
    <x v="0"/>
    <x v="4"/>
    <x v="17"/>
    <n v="1.2695775"/>
  </r>
  <r>
    <x v="5"/>
    <x v="0"/>
    <x v="5"/>
    <x v="5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5"/>
    <x v="0"/>
    <x v="5"/>
    <x v="5"/>
    <x v="0"/>
    <x v="0"/>
    <x v="0"/>
    <x v="0"/>
    <x v="2"/>
    <x v="2"/>
    <x v="5"/>
    <x v="5"/>
    <x v="3"/>
    <x v="7"/>
    <x v="7"/>
    <x v="40"/>
    <x v="40"/>
    <n v="5.47506"/>
    <x v="1"/>
    <x v="2"/>
    <x v="5"/>
    <x v="7"/>
    <x v="11"/>
    <x v="22"/>
    <n v="5.9678154000000001"/>
  </r>
  <r>
    <x v="5"/>
    <x v="0"/>
    <x v="5"/>
    <x v="5"/>
    <x v="0"/>
    <x v="0"/>
    <x v="0"/>
    <x v="0"/>
    <x v="2"/>
    <x v="2"/>
    <x v="5"/>
    <x v="5"/>
    <x v="1"/>
    <x v="8"/>
    <x v="8"/>
    <x v="40"/>
    <x v="40"/>
    <n v="4.1292"/>
    <x v="1"/>
    <x v="2"/>
    <x v="5"/>
    <x v="7"/>
    <x v="11"/>
    <x v="22"/>
    <n v="4.5008280000000003"/>
  </r>
  <r>
    <x v="5"/>
    <x v="0"/>
    <x v="5"/>
    <x v="5"/>
    <x v="0"/>
    <x v="0"/>
    <x v="0"/>
    <x v="0"/>
    <x v="2"/>
    <x v="2"/>
    <x v="5"/>
    <x v="5"/>
    <x v="2"/>
    <x v="10"/>
    <x v="10"/>
    <x v="40"/>
    <x v="40"/>
    <n v="0.88680000000000003"/>
    <x v="1"/>
    <x v="2"/>
    <x v="5"/>
    <x v="7"/>
    <x v="11"/>
    <x v="22"/>
    <n v="0.96661200000000014"/>
  </r>
  <r>
    <x v="5"/>
    <x v="0"/>
    <x v="5"/>
    <x v="5"/>
    <x v="0"/>
    <x v="0"/>
    <x v="0"/>
    <x v="0"/>
    <x v="2"/>
    <x v="2"/>
    <x v="5"/>
    <x v="5"/>
    <x v="4"/>
    <x v="5"/>
    <x v="5"/>
    <x v="40"/>
    <x v="40"/>
    <n v="142.31399999999999"/>
    <x v="1"/>
    <x v="2"/>
    <x v="5"/>
    <x v="7"/>
    <x v="11"/>
    <x v="22"/>
    <n v="155.12226000000001"/>
  </r>
  <r>
    <x v="5"/>
    <x v="0"/>
    <x v="5"/>
    <x v="5"/>
    <x v="0"/>
    <x v="0"/>
    <x v="0"/>
    <x v="0"/>
    <x v="2"/>
    <x v="2"/>
    <x v="6"/>
    <x v="6"/>
    <x v="2"/>
    <x v="2"/>
    <x v="2"/>
    <x v="40"/>
    <x v="40"/>
    <n v="0.51324999999999998"/>
    <x v="1"/>
    <x v="2"/>
    <x v="5"/>
    <x v="7"/>
    <x v="11"/>
    <x v="22"/>
    <n v="0.55944250000000006"/>
  </r>
  <r>
    <x v="5"/>
    <x v="0"/>
    <x v="5"/>
    <x v="5"/>
    <x v="0"/>
    <x v="0"/>
    <x v="0"/>
    <x v="0"/>
    <x v="2"/>
    <x v="2"/>
    <x v="7"/>
    <x v="7"/>
    <x v="2"/>
    <x v="2"/>
    <x v="2"/>
    <x v="40"/>
    <x v="40"/>
    <n v="14.59775"/>
    <x v="1"/>
    <x v="2"/>
    <x v="5"/>
    <x v="7"/>
    <x v="11"/>
    <x v="22"/>
    <n v="15.911547500000001"/>
  </r>
  <r>
    <x v="5"/>
    <x v="0"/>
    <x v="5"/>
    <x v="5"/>
    <x v="0"/>
    <x v="0"/>
    <x v="0"/>
    <x v="0"/>
    <x v="2"/>
    <x v="2"/>
    <x v="7"/>
    <x v="7"/>
    <x v="2"/>
    <x v="2"/>
    <x v="2"/>
    <x v="38"/>
    <x v="38"/>
    <n v="157.59524999999999"/>
    <x v="1"/>
    <x v="0"/>
    <x v="4"/>
    <x v="6"/>
    <x v="10"/>
    <x v="21"/>
    <n v="171.77882250000002"/>
  </r>
  <r>
    <x v="5"/>
    <x v="0"/>
    <x v="5"/>
    <x v="5"/>
    <x v="0"/>
    <x v="0"/>
    <x v="0"/>
    <x v="0"/>
    <x v="2"/>
    <x v="2"/>
    <x v="7"/>
    <x v="7"/>
    <x v="2"/>
    <x v="2"/>
    <x v="2"/>
    <x v="43"/>
    <x v="43"/>
    <n v="10.7605"/>
    <x v="1"/>
    <x v="0"/>
    <x v="4"/>
    <x v="6"/>
    <x v="10"/>
    <x v="21"/>
    <n v="11.728945000000001"/>
  </r>
  <r>
    <x v="5"/>
    <x v="0"/>
    <x v="5"/>
    <x v="5"/>
    <x v="0"/>
    <x v="0"/>
    <x v="0"/>
    <x v="0"/>
    <x v="2"/>
    <x v="2"/>
    <x v="7"/>
    <x v="7"/>
    <x v="2"/>
    <x v="2"/>
    <x v="2"/>
    <x v="44"/>
    <x v="44"/>
    <n v="7.9740000000000002"/>
    <x v="1"/>
    <x v="0"/>
    <x v="4"/>
    <x v="6"/>
    <x v="10"/>
    <x v="21"/>
    <n v="8.6916600000000006"/>
  </r>
  <r>
    <x v="5"/>
    <x v="0"/>
    <x v="5"/>
    <x v="5"/>
    <x v="0"/>
    <x v="0"/>
    <x v="0"/>
    <x v="0"/>
    <x v="0"/>
    <x v="0"/>
    <x v="7"/>
    <x v="7"/>
    <x v="2"/>
    <x v="2"/>
    <x v="2"/>
    <x v="17"/>
    <x v="17"/>
    <n v="12.3705"/>
    <x v="0"/>
    <x v="0"/>
    <x v="0"/>
    <x v="0"/>
    <x v="4"/>
    <x v="17"/>
    <n v="13.483845000000001"/>
  </r>
  <r>
    <x v="5"/>
    <x v="0"/>
    <x v="5"/>
    <x v="5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5"/>
    <x v="0"/>
    <x v="5"/>
    <x v="5"/>
    <x v="0"/>
    <x v="0"/>
    <x v="0"/>
    <x v="0"/>
    <x v="2"/>
    <x v="2"/>
    <x v="7"/>
    <x v="7"/>
    <x v="2"/>
    <x v="2"/>
    <x v="2"/>
    <x v="46"/>
    <x v="46"/>
    <n v="0.63775000000000004"/>
    <x v="1"/>
    <x v="0"/>
    <x v="4"/>
    <x v="6"/>
    <x v="10"/>
    <x v="21"/>
    <n v="0.69514750000000014"/>
  </r>
  <r>
    <x v="5"/>
    <x v="0"/>
    <x v="5"/>
    <x v="5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5"/>
    <x v="0"/>
    <x v="5"/>
    <x v="5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5"/>
    <x v="0"/>
    <x v="5"/>
    <x v="5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5"/>
    <x v="0"/>
    <x v="5"/>
    <x v="5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5"/>
    <x v="0"/>
    <x v="5"/>
    <x v="5"/>
    <x v="0"/>
    <x v="0"/>
    <x v="0"/>
    <x v="0"/>
    <x v="2"/>
    <x v="2"/>
    <x v="7"/>
    <x v="7"/>
    <x v="3"/>
    <x v="7"/>
    <x v="7"/>
    <x v="40"/>
    <x v="40"/>
    <n v="155.63826"/>
    <x v="1"/>
    <x v="2"/>
    <x v="5"/>
    <x v="7"/>
    <x v="11"/>
    <x v="22"/>
    <n v="169.6457034"/>
  </r>
  <r>
    <x v="5"/>
    <x v="0"/>
    <x v="5"/>
    <x v="5"/>
    <x v="0"/>
    <x v="0"/>
    <x v="0"/>
    <x v="0"/>
    <x v="2"/>
    <x v="2"/>
    <x v="7"/>
    <x v="7"/>
    <x v="1"/>
    <x v="8"/>
    <x v="8"/>
    <x v="40"/>
    <x v="40"/>
    <n v="15.2241"/>
    <x v="1"/>
    <x v="2"/>
    <x v="5"/>
    <x v="7"/>
    <x v="11"/>
    <x v="22"/>
    <n v="16.594269000000001"/>
  </r>
  <r>
    <x v="5"/>
    <x v="0"/>
    <x v="5"/>
    <x v="5"/>
    <x v="0"/>
    <x v="0"/>
    <x v="0"/>
    <x v="0"/>
    <x v="2"/>
    <x v="2"/>
    <x v="7"/>
    <x v="7"/>
    <x v="2"/>
    <x v="10"/>
    <x v="10"/>
    <x v="40"/>
    <x v="40"/>
    <n v="2.95608"/>
    <x v="1"/>
    <x v="2"/>
    <x v="5"/>
    <x v="7"/>
    <x v="11"/>
    <x v="22"/>
    <n v="3.2221272000000001"/>
  </r>
  <r>
    <x v="5"/>
    <x v="0"/>
    <x v="5"/>
    <x v="5"/>
    <x v="0"/>
    <x v="0"/>
    <x v="0"/>
    <x v="0"/>
    <x v="2"/>
    <x v="2"/>
    <x v="7"/>
    <x v="7"/>
    <x v="4"/>
    <x v="5"/>
    <x v="5"/>
    <x v="40"/>
    <x v="40"/>
    <n v="122.33441999999999"/>
    <x v="1"/>
    <x v="2"/>
    <x v="5"/>
    <x v="7"/>
    <x v="11"/>
    <x v="22"/>
    <n v="133.34451780000001"/>
  </r>
  <r>
    <x v="5"/>
    <x v="0"/>
    <x v="5"/>
    <x v="5"/>
    <x v="0"/>
    <x v="0"/>
    <x v="0"/>
    <x v="0"/>
    <x v="2"/>
    <x v="2"/>
    <x v="8"/>
    <x v="8"/>
    <x v="2"/>
    <x v="2"/>
    <x v="2"/>
    <x v="40"/>
    <x v="40"/>
    <n v="6.3540000000000001"/>
    <x v="1"/>
    <x v="2"/>
    <x v="5"/>
    <x v="7"/>
    <x v="11"/>
    <x v="22"/>
    <n v="6.925860000000001"/>
  </r>
  <r>
    <x v="5"/>
    <x v="0"/>
    <x v="5"/>
    <x v="5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5"/>
    <x v="0"/>
    <x v="5"/>
    <x v="5"/>
    <x v="0"/>
    <x v="0"/>
    <x v="0"/>
    <x v="0"/>
    <x v="2"/>
    <x v="2"/>
    <x v="9"/>
    <x v="9"/>
    <x v="2"/>
    <x v="2"/>
    <x v="2"/>
    <x v="40"/>
    <x v="40"/>
    <n v="221.364"/>
    <x v="1"/>
    <x v="2"/>
    <x v="5"/>
    <x v="7"/>
    <x v="11"/>
    <x v="22"/>
    <n v="241.28676000000002"/>
  </r>
  <r>
    <x v="5"/>
    <x v="0"/>
    <x v="5"/>
    <x v="5"/>
    <x v="0"/>
    <x v="0"/>
    <x v="0"/>
    <x v="0"/>
    <x v="2"/>
    <x v="2"/>
    <x v="9"/>
    <x v="9"/>
    <x v="2"/>
    <x v="2"/>
    <x v="2"/>
    <x v="38"/>
    <x v="38"/>
    <n v="719.92594999999994"/>
    <x v="1"/>
    <x v="0"/>
    <x v="4"/>
    <x v="6"/>
    <x v="10"/>
    <x v="21"/>
    <n v="784.71928549999996"/>
  </r>
  <r>
    <x v="5"/>
    <x v="0"/>
    <x v="5"/>
    <x v="5"/>
    <x v="0"/>
    <x v="0"/>
    <x v="0"/>
    <x v="0"/>
    <x v="2"/>
    <x v="2"/>
    <x v="9"/>
    <x v="9"/>
    <x v="2"/>
    <x v="2"/>
    <x v="2"/>
    <x v="48"/>
    <x v="48"/>
    <n v="0.73024999999999995"/>
    <x v="1"/>
    <x v="0"/>
    <x v="4"/>
    <x v="6"/>
    <x v="10"/>
    <x v="21"/>
    <n v="0.79597249999999997"/>
  </r>
  <r>
    <x v="5"/>
    <x v="0"/>
    <x v="5"/>
    <x v="5"/>
    <x v="0"/>
    <x v="0"/>
    <x v="0"/>
    <x v="0"/>
    <x v="2"/>
    <x v="2"/>
    <x v="9"/>
    <x v="9"/>
    <x v="1"/>
    <x v="6"/>
    <x v="6"/>
    <x v="40"/>
    <x v="40"/>
    <n v="97.775000000000006"/>
    <x v="1"/>
    <x v="2"/>
    <x v="5"/>
    <x v="7"/>
    <x v="11"/>
    <x v="22"/>
    <n v="106.57475000000001"/>
  </r>
  <r>
    <x v="5"/>
    <x v="0"/>
    <x v="5"/>
    <x v="5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5"/>
    <x v="0"/>
    <x v="5"/>
    <x v="5"/>
    <x v="0"/>
    <x v="0"/>
    <x v="0"/>
    <x v="0"/>
    <x v="2"/>
    <x v="2"/>
    <x v="9"/>
    <x v="9"/>
    <x v="3"/>
    <x v="7"/>
    <x v="7"/>
    <x v="40"/>
    <x v="40"/>
    <n v="786.81654000000003"/>
    <x v="1"/>
    <x v="2"/>
    <x v="5"/>
    <x v="7"/>
    <x v="11"/>
    <x v="22"/>
    <n v="857.63002860000006"/>
  </r>
  <r>
    <x v="5"/>
    <x v="0"/>
    <x v="5"/>
    <x v="5"/>
    <x v="0"/>
    <x v="0"/>
    <x v="0"/>
    <x v="0"/>
    <x v="2"/>
    <x v="2"/>
    <x v="9"/>
    <x v="9"/>
    <x v="1"/>
    <x v="8"/>
    <x v="8"/>
    <x v="40"/>
    <x v="40"/>
    <n v="215.4093"/>
    <x v="1"/>
    <x v="2"/>
    <x v="5"/>
    <x v="7"/>
    <x v="11"/>
    <x v="22"/>
    <n v="234.79613700000002"/>
  </r>
  <r>
    <x v="5"/>
    <x v="0"/>
    <x v="5"/>
    <x v="5"/>
    <x v="0"/>
    <x v="0"/>
    <x v="0"/>
    <x v="0"/>
    <x v="2"/>
    <x v="2"/>
    <x v="9"/>
    <x v="9"/>
    <x v="2"/>
    <x v="10"/>
    <x v="10"/>
    <x v="40"/>
    <x v="40"/>
    <n v="174.90389999999999"/>
    <x v="1"/>
    <x v="2"/>
    <x v="5"/>
    <x v="7"/>
    <x v="11"/>
    <x v="22"/>
    <n v="190.645251"/>
  </r>
  <r>
    <x v="5"/>
    <x v="0"/>
    <x v="5"/>
    <x v="5"/>
    <x v="0"/>
    <x v="0"/>
    <x v="0"/>
    <x v="0"/>
    <x v="2"/>
    <x v="2"/>
    <x v="9"/>
    <x v="9"/>
    <x v="4"/>
    <x v="5"/>
    <x v="5"/>
    <x v="40"/>
    <x v="40"/>
    <n v="1250.8452600000001"/>
    <x v="1"/>
    <x v="2"/>
    <x v="5"/>
    <x v="7"/>
    <x v="11"/>
    <x v="22"/>
    <n v="1363.4213334000001"/>
  </r>
  <r>
    <x v="5"/>
    <x v="0"/>
    <x v="5"/>
    <x v="5"/>
    <x v="0"/>
    <x v="0"/>
    <x v="0"/>
    <x v="0"/>
    <x v="2"/>
    <x v="2"/>
    <x v="10"/>
    <x v="10"/>
    <x v="2"/>
    <x v="2"/>
    <x v="2"/>
    <x v="41"/>
    <x v="41"/>
    <n v="0.36622340425393002"/>
    <x v="1"/>
    <x v="2"/>
    <x v="5"/>
    <x v="7"/>
    <x v="11"/>
    <x v="22"/>
    <n v="0.39918351063678376"/>
  </r>
  <r>
    <x v="5"/>
    <x v="0"/>
    <x v="5"/>
    <x v="5"/>
    <x v="0"/>
    <x v="0"/>
    <x v="0"/>
    <x v="0"/>
    <x v="2"/>
    <x v="2"/>
    <x v="10"/>
    <x v="10"/>
    <x v="2"/>
    <x v="2"/>
    <x v="2"/>
    <x v="40"/>
    <x v="40"/>
    <n v="69.056160000000006"/>
    <x v="1"/>
    <x v="2"/>
    <x v="5"/>
    <x v="7"/>
    <x v="11"/>
    <x v="22"/>
    <n v="75.271214400000005"/>
  </r>
  <r>
    <x v="5"/>
    <x v="0"/>
    <x v="5"/>
    <x v="5"/>
    <x v="0"/>
    <x v="0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5"/>
    <x v="0"/>
    <x v="5"/>
    <x v="5"/>
    <x v="0"/>
    <x v="0"/>
    <x v="0"/>
    <x v="0"/>
    <x v="0"/>
    <x v="0"/>
    <x v="11"/>
    <x v="11"/>
    <x v="4"/>
    <x v="5"/>
    <x v="5"/>
    <x v="10"/>
    <x v="10"/>
    <n v="45.423596038970899"/>
    <x v="0"/>
    <x v="0"/>
    <x v="1"/>
    <x v="4"/>
    <x v="5"/>
    <x v="10"/>
    <n v="49.511719682478287"/>
  </r>
  <r>
    <x v="5"/>
    <x v="0"/>
    <x v="5"/>
    <x v="5"/>
    <x v="0"/>
    <x v="0"/>
    <x v="0"/>
    <x v="0"/>
    <x v="3"/>
    <x v="3"/>
    <x v="12"/>
    <x v="12"/>
    <x v="2"/>
    <x v="2"/>
    <x v="2"/>
    <x v="40"/>
    <x v="40"/>
    <n v="1.0429999999999999"/>
    <x v="1"/>
    <x v="2"/>
    <x v="5"/>
    <x v="7"/>
    <x v="11"/>
    <x v="22"/>
    <n v="1.13687"/>
  </r>
  <r>
    <x v="5"/>
    <x v="0"/>
    <x v="5"/>
    <x v="5"/>
    <x v="0"/>
    <x v="0"/>
    <x v="0"/>
    <x v="0"/>
    <x v="3"/>
    <x v="3"/>
    <x v="12"/>
    <x v="12"/>
    <x v="3"/>
    <x v="7"/>
    <x v="7"/>
    <x v="40"/>
    <x v="40"/>
    <n v="7.7473200000000002"/>
    <x v="1"/>
    <x v="2"/>
    <x v="5"/>
    <x v="7"/>
    <x v="11"/>
    <x v="22"/>
    <n v="8.4445788000000004"/>
  </r>
  <r>
    <x v="5"/>
    <x v="0"/>
    <x v="5"/>
    <x v="5"/>
    <x v="0"/>
    <x v="0"/>
    <x v="0"/>
    <x v="0"/>
    <x v="3"/>
    <x v="3"/>
    <x v="12"/>
    <x v="12"/>
    <x v="4"/>
    <x v="5"/>
    <x v="5"/>
    <x v="40"/>
    <x v="40"/>
    <n v="18.51726"/>
    <x v="1"/>
    <x v="2"/>
    <x v="5"/>
    <x v="7"/>
    <x v="11"/>
    <x v="22"/>
    <n v="20.183813400000002"/>
  </r>
  <r>
    <x v="5"/>
    <x v="0"/>
    <x v="5"/>
    <x v="5"/>
    <x v="0"/>
    <x v="0"/>
    <x v="0"/>
    <x v="0"/>
    <x v="3"/>
    <x v="3"/>
    <x v="13"/>
    <x v="13"/>
    <x v="2"/>
    <x v="2"/>
    <x v="2"/>
    <x v="41"/>
    <x v="41"/>
    <n v="0.33803191489232998"/>
    <x v="1"/>
    <x v="2"/>
    <x v="5"/>
    <x v="7"/>
    <x v="11"/>
    <x v="22"/>
    <n v="0.36845478723263969"/>
  </r>
  <r>
    <x v="5"/>
    <x v="0"/>
    <x v="5"/>
    <x v="5"/>
    <x v="0"/>
    <x v="0"/>
    <x v="0"/>
    <x v="0"/>
    <x v="3"/>
    <x v="3"/>
    <x v="13"/>
    <x v="13"/>
    <x v="2"/>
    <x v="2"/>
    <x v="2"/>
    <x v="40"/>
    <x v="40"/>
    <n v="27.242750000000001"/>
    <x v="1"/>
    <x v="2"/>
    <x v="5"/>
    <x v="7"/>
    <x v="11"/>
    <x v="22"/>
    <n v="29.694597500000004"/>
  </r>
  <r>
    <x v="5"/>
    <x v="0"/>
    <x v="5"/>
    <x v="5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5"/>
    <x v="0"/>
    <x v="5"/>
    <x v="5"/>
    <x v="0"/>
    <x v="0"/>
    <x v="0"/>
    <x v="0"/>
    <x v="3"/>
    <x v="3"/>
    <x v="13"/>
    <x v="13"/>
    <x v="1"/>
    <x v="8"/>
    <x v="8"/>
    <x v="40"/>
    <x v="40"/>
    <n v="2.8456199999999998"/>
    <x v="1"/>
    <x v="2"/>
    <x v="5"/>
    <x v="7"/>
    <x v="11"/>
    <x v="22"/>
    <n v="3.1017258000000001"/>
  </r>
  <r>
    <x v="5"/>
    <x v="0"/>
    <x v="5"/>
    <x v="5"/>
    <x v="0"/>
    <x v="0"/>
    <x v="0"/>
    <x v="0"/>
    <x v="3"/>
    <x v="3"/>
    <x v="13"/>
    <x v="13"/>
    <x v="4"/>
    <x v="5"/>
    <x v="5"/>
    <x v="40"/>
    <x v="40"/>
    <n v="1.3303799999999999"/>
    <x v="1"/>
    <x v="2"/>
    <x v="5"/>
    <x v="7"/>
    <x v="11"/>
    <x v="22"/>
    <n v="1.4501142"/>
  </r>
  <r>
    <x v="5"/>
    <x v="0"/>
    <x v="5"/>
    <x v="5"/>
    <x v="0"/>
    <x v="0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5"/>
    <x v="0"/>
    <x v="5"/>
    <x v="5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5"/>
    <x v="0"/>
    <x v="5"/>
    <x v="5"/>
    <x v="0"/>
    <x v="0"/>
    <x v="0"/>
    <x v="0"/>
    <x v="2"/>
    <x v="2"/>
    <x v="14"/>
    <x v="14"/>
    <x v="2"/>
    <x v="2"/>
    <x v="2"/>
    <x v="40"/>
    <x v="40"/>
    <n v="4.8017500000000002"/>
    <x v="1"/>
    <x v="2"/>
    <x v="5"/>
    <x v="7"/>
    <x v="11"/>
    <x v="22"/>
    <n v="5.2339075000000008"/>
  </r>
  <r>
    <x v="5"/>
    <x v="0"/>
    <x v="5"/>
    <x v="5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5"/>
    <x v="0"/>
    <x v="5"/>
    <x v="5"/>
    <x v="0"/>
    <x v="0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5"/>
    <x v="0"/>
    <x v="5"/>
    <x v="5"/>
    <x v="0"/>
    <x v="0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5"/>
    <x v="0"/>
    <x v="5"/>
    <x v="5"/>
    <x v="0"/>
    <x v="0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5"/>
    <x v="0"/>
    <x v="5"/>
    <x v="5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5"/>
    <x v="0"/>
    <x v="5"/>
    <x v="5"/>
    <x v="0"/>
    <x v="0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5"/>
    <x v="0"/>
    <x v="5"/>
    <x v="5"/>
    <x v="0"/>
    <x v="0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5"/>
    <x v="0"/>
    <x v="5"/>
    <x v="5"/>
    <x v="0"/>
    <x v="0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5"/>
    <x v="0"/>
    <x v="5"/>
    <x v="5"/>
    <x v="0"/>
    <x v="0"/>
    <x v="0"/>
    <x v="0"/>
    <x v="2"/>
    <x v="2"/>
    <x v="17"/>
    <x v="17"/>
    <x v="2"/>
    <x v="2"/>
    <x v="2"/>
    <x v="42"/>
    <x v="42"/>
    <n v="7.9589999999999996"/>
    <x v="1"/>
    <x v="2"/>
    <x v="5"/>
    <x v="7"/>
    <x v="11"/>
    <x v="22"/>
    <n v="8.6753099999999996"/>
  </r>
  <r>
    <x v="5"/>
    <x v="0"/>
    <x v="5"/>
    <x v="5"/>
    <x v="0"/>
    <x v="0"/>
    <x v="0"/>
    <x v="0"/>
    <x v="2"/>
    <x v="2"/>
    <x v="17"/>
    <x v="17"/>
    <x v="2"/>
    <x v="2"/>
    <x v="2"/>
    <x v="40"/>
    <x v="40"/>
    <n v="13.999750000000001"/>
    <x v="1"/>
    <x v="2"/>
    <x v="5"/>
    <x v="7"/>
    <x v="11"/>
    <x v="22"/>
    <n v="15.259727500000002"/>
  </r>
  <r>
    <x v="5"/>
    <x v="0"/>
    <x v="5"/>
    <x v="5"/>
    <x v="0"/>
    <x v="0"/>
    <x v="0"/>
    <x v="0"/>
    <x v="2"/>
    <x v="2"/>
    <x v="17"/>
    <x v="17"/>
    <x v="2"/>
    <x v="2"/>
    <x v="2"/>
    <x v="38"/>
    <x v="38"/>
    <n v="33.719749999999998"/>
    <x v="1"/>
    <x v="0"/>
    <x v="4"/>
    <x v="6"/>
    <x v="10"/>
    <x v="21"/>
    <n v="36.754527500000002"/>
  </r>
  <r>
    <x v="5"/>
    <x v="0"/>
    <x v="5"/>
    <x v="5"/>
    <x v="0"/>
    <x v="0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5"/>
    <x v="0"/>
    <x v="5"/>
    <x v="5"/>
    <x v="0"/>
    <x v="0"/>
    <x v="0"/>
    <x v="0"/>
    <x v="2"/>
    <x v="2"/>
    <x v="17"/>
    <x v="17"/>
    <x v="3"/>
    <x v="7"/>
    <x v="7"/>
    <x v="40"/>
    <x v="40"/>
    <n v="23.920919999999999"/>
    <x v="1"/>
    <x v="2"/>
    <x v="5"/>
    <x v="7"/>
    <x v="11"/>
    <x v="22"/>
    <n v="26.073802799999999"/>
  </r>
  <r>
    <x v="5"/>
    <x v="0"/>
    <x v="5"/>
    <x v="5"/>
    <x v="0"/>
    <x v="0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5"/>
    <x v="0"/>
    <x v="5"/>
    <x v="5"/>
    <x v="0"/>
    <x v="0"/>
    <x v="0"/>
    <x v="0"/>
    <x v="2"/>
    <x v="2"/>
    <x v="17"/>
    <x v="17"/>
    <x v="1"/>
    <x v="8"/>
    <x v="8"/>
    <x v="40"/>
    <x v="40"/>
    <n v="10.229340000000001"/>
    <x v="1"/>
    <x v="2"/>
    <x v="5"/>
    <x v="7"/>
    <x v="11"/>
    <x v="22"/>
    <n v="11.149980600000001"/>
  </r>
  <r>
    <x v="5"/>
    <x v="0"/>
    <x v="5"/>
    <x v="5"/>
    <x v="0"/>
    <x v="0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5"/>
    <x v="0"/>
    <x v="5"/>
    <x v="5"/>
    <x v="0"/>
    <x v="0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5"/>
    <x v="0"/>
    <x v="5"/>
    <x v="5"/>
    <x v="0"/>
    <x v="0"/>
    <x v="0"/>
    <x v="0"/>
    <x v="2"/>
    <x v="2"/>
    <x v="17"/>
    <x v="17"/>
    <x v="2"/>
    <x v="10"/>
    <x v="10"/>
    <x v="40"/>
    <x v="40"/>
    <n v="2.95608"/>
    <x v="1"/>
    <x v="2"/>
    <x v="5"/>
    <x v="7"/>
    <x v="11"/>
    <x v="22"/>
    <n v="3.2221272000000001"/>
  </r>
  <r>
    <x v="5"/>
    <x v="0"/>
    <x v="5"/>
    <x v="5"/>
    <x v="0"/>
    <x v="0"/>
    <x v="0"/>
    <x v="0"/>
    <x v="2"/>
    <x v="2"/>
    <x v="17"/>
    <x v="17"/>
    <x v="4"/>
    <x v="5"/>
    <x v="5"/>
    <x v="40"/>
    <x v="40"/>
    <n v="418.36466000000001"/>
    <x v="1"/>
    <x v="2"/>
    <x v="5"/>
    <x v="7"/>
    <x v="11"/>
    <x v="22"/>
    <n v="456.01747940000007"/>
  </r>
  <r>
    <x v="5"/>
    <x v="0"/>
    <x v="5"/>
    <x v="5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5"/>
    <x v="0"/>
    <x v="5"/>
    <x v="5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5"/>
    <x v="0"/>
    <x v="5"/>
    <x v="5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5"/>
    <x v="0"/>
    <x v="5"/>
    <x v="5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5"/>
    <x v="0"/>
    <x v="5"/>
    <x v="5"/>
    <x v="0"/>
    <x v="1"/>
    <x v="0"/>
    <x v="0"/>
    <x v="0"/>
    <x v="0"/>
    <x v="2"/>
    <x v="2"/>
    <x v="2"/>
    <x v="2"/>
    <x v="2"/>
    <x v="2"/>
    <x v="2"/>
    <n v="210.646844036571"/>
    <x v="0"/>
    <x v="1"/>
    <x v="2"/>
    <x v="2"/>
    <x v="13"/>
    <x v="2"/>
    <n v="229.60505999986239"/>
  </r>
  <r>
    <x v="5"/>
    <x v="0"/>
    <x v="5"/>
    <x v="5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5"/>
    <x v="0"/>
    <x v="5"/>
    <x v="5"/>
    <x v="0"/>
    <x v="1"/>
    <x v="0"/>
    <x v="0"/>
    <x v="0"/>
    <x v="0"/>
    <x v="0"/>
    <x v="0"/>
    <x v="3"/>
    <x v="3"/>
    <x v="3"/>
    <x v="8"/>
    <x v="8"/>
    <n v="522.70141216550701"/>
    <x v="0"/>
    <x v="1"/>
    <x v="2"/>
    <x v="2"/>
    <x v="6"/>
    <x v="8"/>
    <n v="569.74453926040269"/>
  </r>
  <r>
    <x v="5"/>
    <x v="0"/>
    <x v="5"/>
    <x v="5"/>
    <x v="0"/>
    <x v="1"/>
    <x v="0"/>
    <x v="0"/>
    <x v="0"/>
    <x v="0"/>
    <x v="0"/>
    <x v="0"/>
    <x v="3"/>
    <x v="3"/>
    <x v="3"/>
    <x v="12"/>
    <x v="12"/>
    <n v="0.11105813953446"/>
    <x v="0"/>
    <x v="0"/>
    <x v="0"/>
    <x v="0"/>
    <x v="8"/>
    <x v="12"/>
    <n v="0.12105337209256141"/>
  </r>
  <r>
    <x v="5"/>
    <x v="0"/>
    <x v="5"/>
    <x v="5"/>
    <x v="0"/>
    <x v="1"/>
    <x v="0"/>
    <x v="0"/>
    <x v="0"/>
    <x v="0"/>
    <x v="0"/>
    <x v="0"/>
    <x v="3"/>
    <x v="3"/>
    <x v="3"/>
    <x v="2"/>
    <x v="2"/>
    <n v="1103.2757339442901"/>
    <x v="0"/>
    <x v="1"/>
    <x v="2"/>
    <x v="2"/>
    <x v="13"/>
    <x v="2"/>
    <n v="1202.5705499992762"/>
  </r>
  <r>
    <x v="5"/>
    <x v="0"/>
    <x v="5"/>
    <x v="5"/>
    <x v="0"/>
    <x v="1"/>
    <x v="0"/>
    <x v="0"/>
    <x v="0"/>
    <x v="0"/>
    <x v="0"/>
    <x v="0"/>
    <x v="0"/>
    <x v="4"/>
    <x v="4"/>
    <x v="6"/>
    <x v="6"/>
    <n v="10.71346"/>
    <x v="0"/>
    <x v="0"/>
    <x v="0"/>
    <x v="0"/>
    <x v="4"/>
    <x v="6"/>
    <n v="11.677671399999999"/>
  </r>
  <r>
    <x v="5"/>
    <x v="0"/>
    <x v="5"/>
    <x v="5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5"/>
    <x v="0"/>
    <x v="5"/>
    <x v="5"/>
    <x v="0"/>
    <x v="1"/>
    <x v="0"/>
    <x v="0"/>
    <x v="0"/>
    <x v="0"/>
    <x v="0"/>
    <x v="0"/>
    <x v="0"/>
    <x v="4"/>
    <x v="4"/>
    <x v="8"/>
    <x v="8"/>
    <n v="50.322844594916702"/>
    <x v="0"/>
    <x v="1"/>
    <x v="2"/>
    <x v="2"/>
    <x v="6"/>
    <x v="8"/>
    <n v="54.851900608459211"/>
  </r>
  <r>
    <x v="5"/>
    <x v="0"/>
    <x v="5"/>
    <x v="5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5"/>
    <x v="0"/>
    <x v="5"/>
    <x v="5"/>
    <x v="0"/>
    <x v="2"/>
    <x v="0"/>
    <x v="0"/>
    <x v="0"/>
    <x v="0"/>
    <x v="0"/>
    <x v="0"/>
    <x v="0"/>
    <x v="4"/>
    <x v="4"/>
    <x v="14"/>
    <x v="14"/>
    <n v="5.7454000000000001"/>
    <x v="0"/>
    <x v="0"/>
    <x v="0"/>
    <x v="0"/>
    <x v="8"/>
    <x v="14"/>
    <n v="6.2624860000000009"/>
  </r>
  <r>
    <x v="5"/>
    <x v="0"/>
    <x v="5"/>
    <x v="5"/>
    <x v="0"/>
    <x v="2"/>
    <x v="0"/>
    <x v="0"/>
    <x v="0"/>
    <x v="0"/>
    <x v="0"/>
    <x v="0"/>
    <x v="0"/>
    <x v="4"/>
    <x v="4"/>
    <x v="16"/>
    <x v="16"/>
    <n v="5.3150000000000004"/>
    <x v="0"/>
    <x v="0"/>
    <x v="3"/>
    <x v="5"/>
    <x v="9"/>
    <x v="16"/>
    <n v="5.7933500000000011"/>
  </r>
  <r>
    <x v="5"/>
    <x v="0"/>
    <x v="5"/>
    <x v="5"/>
    <x v="0"/>
    <x v="2"/>
    <x v="0"/>
    <x v="0"/>
    <x v="0"/>
    <x v="0"/>
    <x v="0"/>
    <x v="0"/>
    <x v="0"/>
    <x v="4"/>
    <x v="4"/>
    <x v="17"/>
    <x v="17"/>
    <n v="4.95"/>
    <x v="0"/>
    <x v="0"/>
    <x v="0"/>
    <x v="0"/>
    <x v="4"/>
    <x v="17"/>
    <n v="5.3955000000000002"/>
  </r>
  <r>
    <x v="5"/>
    <x v="0"/>
    <x v="5"/>
    <x v="5"/>
    <x v="0"/>
    <x v="2"/>
    <x v="0"/>
    <x v="0"/>
    <x v="0"/>
    <x v="0"/>
    <x v="0"/>
    <x v="0"/>
    <x v="0"/>
    <x v="4"/>
    <x v="4"/>
    <x v="21"/>
    <x v="21"/>
    <n v="21.440366972464201"/>
    <x v="0"/>
    <x v="0"/>
    <x v="1"/>
    <x v="4"/>
    <x v="5"/>
    <x v="10"/>
    <n v="23.369999999985982"/>
  </r>
  <r>
    <x v="5"/>
    <x v="0"/>
    <x v="5"/>
    <x v="5"/>
    <x v="0"/>
    <x v="2"/>
    <x v="0"/>
    <x v="0"/>
    <x v="0"/>
    <x v="0"/>
    <x v="0"/>
    <x v="0"/>
    <x v="0"/>
    <x v="4"/>
    <x v="4"/>
    <x v="25"/>
    <x v="25"/>
    <n v="174.533128440262"/>
    <x v="0"/>
    <x v="0"/>
    <x v="1"/>
    <x v="4"/>
    <x v="5"/>
    <x v="9"/>
    <n v="190.24110999988559"/>
  </r>
  <r>
    <x v="5"/>
    <x v="0"/>
    <x v="5"/>
    <x v="5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5"/>
    <x v="0"/>
    <x v="5"/>
    <x v="5"/>
    <x v="0"/>
    <x v="2"/>
    <x v="0"/>
    <x v="0"/>
    <x v="0"/>
    <x v="0"/>
    <x v="0"/>
    <x v="0"/>
    <x v="0"/>
    <x v="4"/>
    <x v="4"/>
    <x v="2"/>
    <x v="2"/>
    <n v="54.141954128407903"/>
    <x v="0"/>
    <x v="1"/>
    <x v="2"/>
    <x v="2"/>
    <x v="13"/>
    <x v="2"/>
    <n v="59.014729999964622"/>
  </r>
  <r>
    <x v="5"/>
    <x v="0"/>
    <x v="5"/>
    <x v="5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5"/>
    <x v="0"/>
    <x v="5"/>
    <x v="5"/>
    <x v="0"/>
    <x v="2"/>
    <x v="0"/>
    <x v="0"/>
    <x v="0"/>
    <x v="0"/>
    <x v="0"/>
    <x v="0"/>
    <x v="0"/>
    <x v="0"/>
    <x v="0"/>
    <x v="7"/>
    <x v="7"/>
    <n v="23.39449541283"/>
    <x v="0"/>
    <x v="0"/>
    <x v="1"/>
    <x v="4"/>
    <x v="5"/>
    <x v="7"/>
    <n v="25.499999999984702"/>
  </r>
  <r>
    <x v="5"/>
    <x v="0"/>
    <x v="5"/>
    <x v="5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5"/>
    <x v="0"/>
    <x v="5"/>
    <x v="5"/>
    <x v="0"/>
    <x v="2"/>
    <x v="0"/>
    <x v="0"/>
    <x v="0"/>
    <x v="0"/>
    <x v="0"/>
    <x v="0"/>
    <x v="0"/>
    <x v="0"/>
    <x v="0"/>
    <x v="12"/>
    <x v="12"/>
    <n v="18.7255813952777"/>
    <x v="0"/>
    <x v="0"/>
    <x v="0"/>
    <x v="0"/>
    <x v="8"/>
    <x v="12"/>
    <n v="20.410883720852695"/>
  </r>
  <r>
    <x v="5"/>
    <x v="0"/>
    <x v="5"/>
    <x v="5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5"/>
    <x v="0"/>
    <x v="5"/>
    <x v="5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5"/>
    <x v="0"/>
    <x v="5"/>
    <x v="5"/>
    <x v="0"/>
    <x v="2"/>
    <x v="0"/>
    <x v="0"/>
    <x v="0"/>
    <x v="0"/>
    <x v="0"/>
    <x v="0"/>
    <x v="0"/>
    <x v="0"/>
    <x v="0"/>
    <x v="2"/>
    <x v="2"/>
    <n v="28.89908256879"/>
    <x v="0"/>
    <x v="1"/>
    <x v="2"/>
    <x v="2"/>
    <x v="13"/>
    <x v="2"/>
    <n v="31.499999999981103"/>
  </r>
  <r>
    <x v="5"/>
    <x v="0"/>
    <x v="5"/>
    <x v="5"/>
    <x v="0"/>
    <x v="2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5"/>
    <x v="0"/>
    <x v="5"/>
    <x v="5"/>
    <x v="0"/>
    <x v="2"/>
    <x v="0"/>
    <x v="0"/>
    <x v="0"/>
    <x v="0"/>
    <x v="0"/>
    <x v="0"/>
    <x v="1"/>
    <x v="1"/>
    <x v="1"/>
    <x v="7"/>
    <x v="7"/>
    <n v="16.238532110082001"/>
    <x v="0"/>
    <x v="0"/>
    <x v="1"/>
    <x v="4"/>
    <x v="5"/>
    <x v="7"/>
    <n v="17.699999999989384"/>
  </r>
  <r>
    <x v="5"/>
    <x v="0"/>
    <x v="5"/>
    <x v="5"/>
    <x v="0"/>
    <x v="2"/>
    <x v="0"/>
    <x v="0"/>
    <x v="0"/>
    <x v="0"/>
    <x v="0"/>
    <x v="0"/>
    <x v="1"/>
    <x v="1"/>
    <x v="1"/>
    <x v="12"/>
    <x v="12"/>
    <n v="3.5987441860328402"/>
    <x v="0"/>
    <x v="0"/>
    <x v="0"/>
    <x v="0"/>
    <x v="8"/>
    <x v="12"/>
    <n v="3.9226311627757959"/>
  </r>
  <r>
    <x v="5"/>
    <x v="0"/>
    <x v="5"/>
    <x v="5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5"/>
    <x v="0"/>
    <x v="5"/>
    <x v="5"/>
    <x v="0"/>
    <x v="2"/>
    <x v="0"/>
    <x v="0"/>
    <x v="0"/>
    <x v="0"/>
    <x v="0"/>
    <x v="0"/>
    <x v="1"/>
    <x v="1"/>
    <x v="1"/>
    <x v="14"/>
    <x v="14"/>
    <n v="9.3636199999999992"/>
    <x v="0"/>
    <x v="0"/>
    <x v="0"/>
    <x v="0"/>
    <x v="8"/>
    <x v="14"/>
    <n v="10.206345799999999"/>
  </r>
  <r>
    <x v="5"/>
    <x v="0"/>
    <x v="5"/>
    <x v="5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5"/>
    <x v="0"/>
    <x v="5"/>
    <x v="5"/>
    <x v="0"/>
    <x v="2"/>
    <x v="0"/>
    <x v="0"/>
    <x v="0"/>
    <x v="0"/>
    <x v="0"/>
    <x v="0"/>
    <x v="1"/>
    <x v="1"/>
    <x v="1"/>
    <x v="2"/>
    <x v="2"/>
    <n v="75.316146788945602"/>
    <x v="0"/>
    <x v="1"/>
    <x v="2"/>
    <x v="2"/>
    <x v="13"/>
    <x v="2"/>
    <n v="82.094599999950717"/>
  </r>
  <r>
    <x v="5"/>
    <x v="0"/>
    <x v="5"/>
    <x v="5"/>
    <x v="0"/>
    <x v="2"/>
    <x v="0"/>
    <x v="0"/>
    <x v="0"/>
    <x v="0"/>
    <x v="0"/>
    <x v="0"/>
    <x v="2"/>
    <x v="2"/>
    <x v="2"/>
    <x v="4"/>
    <x v="4"/>
    <n v="30.717688073376099"/>
    <x v="0"/>
    <x v="0"/>
    <x v="1"/>
    <x v="3"/>
    <x v="3"/>
    <x v="4"/>
    <n v="33.482279999979951"/>
  </r>
  <r>
    <x v="5"/>
    <x v="0"/>
    <x v="5"/>
    <x v="5"/>
    <x v="0"/>
    <x v="2"/>
    <x v="0"/>
    <x v="0"/>
    <x v="0"/>
    <x v="0"/>
    <x v="0"/>
    <x v="0"/>
    <x v="2"/>
    <x v="2"/>
    <x v="2"/>
    <x v="39"/>
    <x v="39"/>
    <n v="7.7768440366925802"/>
    <x v="0"/>
    <x v="0"/>
    <x v="1"/>
    <x v="4"/>
    <x v="5"/>
    <x v="9"/>
    <n v="8.476759999994913"/>
  </r>
  <r>
    <x v="5"/>
    <x v="0"/>
    <x v="5"/>
    <x v="5"/>
    <x v="0"/>
    <x v="2"/>
    <x v="0"/>
    <x v="0"/>
    <x v="0"/>
    <x v="0"/>
    <x v="0"/>
    <x v="0"/>
    <x v="2"/>
    <x v="2"/>
    <x v="2"/>
    <x v="5"/>
    <x v="5"/>
    <n v="225.23403067655801"/>
    <x v="0"/>
    <x v="0"/>
    <x v="1"/>
    <x v="1"/>
    <x v="1"/>
    <x v="5"/>
    <n v="245.50509343744824"/>
  </r>
  <r>
    <x v="5"/>
    <x v="0"/>
    <x v="5"/>
    <x v="5"/>
    <x v="0"/>
    <x v="2"/>
    <x v="0"/>
    <x v="0"/>
    <x v="0"/>
    <x v="0"/>
    <x v="0"/>
    <x v="0"/>
    <x v="2"/>
    <x v="2"/>
    <x v="2"/>
    <x v="7"/>
    <x v="7"/>
    <n v="1.5688073394486"/>
    <x v="0"/>
    <x v="0"/>
    <x v="1"/>
    <x v="4"/>
    <x v="5"/>
    <x v="7"/>
    <n v="1.7099999999989741"/>
  </r>
  <r>
    <x v="5"/>
    <x v="0"/>
    <x v="5"/>
    <x v="5"/>
    <x v="0"/>
    <x v="2"/>
    <x v="0"/>
    <x v="0"/>
    <x v="0"/>
    <x v="0"/>
    <x v="0"/>
    <x v="0"/>
    <x v="2"/>
    <x v="2"/>
    <x v="2"/>
    <x v="8"/>
    <x v="8"/>
    <n v="12.9553108108937"/>
    <x v="0"/>
    <x v="1"/>
    <x v="2"/>
    <x v="2"/>
    <x v="6"/>
    <x v="8"/>
    <n v="14.121288783874133"/>
  </r>
  <r>
    <x v="5"/>
    <x v="0"/>
    <x v="5"/>
    <x v="5"/>
    <x v="0"/>
    <x v="2"/>
    <x v="0"/>
    <x v="0"/>
    <x v="0"/>
    <x v="0"/>
    <x v="0"/>
    <x v="0"/>
    <x v="2"/>
    <x v="2"/>
    <x v="2"/>
    <x v="9"/>
    <x v="9"/>
    <n v="9.5498927488959993"/>
    <x v="0"/>
    <x v="0"/>
    <x v="1"/>
    <x v="4"/>
    <x v="5"/>
    <x v="9"/>
    <n v="10.40938309629664"/>
  </r>
  <r>
    <x v="5"/>
    <x v="0"/>
    <x v="5"/>
    <x v="5"/>
    <x v="0"/>
    <x v="2"/>
    <x v="0"/>
    <x v="0"/>
    <x v="0"/>
    <x v="0"/>
    <x v="0"/>
    <x v="0"/>
    <x v="2"/>
    <x v="2"/>
    <x v="2"/>
    <x v="10"/>
    <x v="10"/>
    <n v="53.075480295288301"/>
    <x v="0"/>
    <x v="0"/>
    <x v="1"/>
    <x v="4"/>
    <x v="5"/>
    <x v="10"/>
    <n v="57.852273521864255"/>
  </r>
  <r>
    <x v="5"/>
    <x v="0"/>
    <x v="5"/>
    <x v="5"/>
    <x v="0"/>
    <x v="2"/>
    <x v="0"/>
    <x v="0"/>
    <x v="0"/>
    <x v="0"/>
    <x v="0"/>
    <x v="0"/>
    <x v="2"/>
    <x v="2"/>
    <x v="2"/>
    <x v="28"/>
    <x v="28"/>
    <n v="4.5164299999999997"/>
    <x v="0"/>
    <x v="0"/>
    <x v="1"/>
    <x v="3"/>
    <x v="3"/>
    <x v="13"/>
    <n v="4.9229086999999998"/>
  </r>
  <r>
    <x v="5"/>
    <x v="0"/>
    <x v="5"/>
    <x v="5"/>
    <x v="0"/>
    <x v="2"/>
    <x v="0"/>
    <x v="0"/>
    <x v="0"/>
    <x v="0"/>
    <x v="0"/>
    <x v="0"/>
    <x v="2"/>
    <x v="2"/>
    <x v="2"/>
    <x v="31"/>
    <x v="31"/>
    <n v="2.1559633027510001"/>
    <x v="0"/>
    <x v="0"/>
    <x v="1"/>
    <x v="4"/>
    <x v="5"/>
    <x v="10"/>
    <n v="2.3499999999985901"/>
  </r>
  <r>
    <x v="5"/>
    <x v="0"/>
    <x v="5"/>
    <x v="5"/>
    <x v="0"/>
    <x v="2"/>
    <x v="0"/>
    <x v="0"/>
    <x v="0"/>
    <x v="0"/>
    <x v="0"/>
    <x v="0"/>
    <x v="2"/>
    <x v="2"/>
    <x v="2"/>
    <x v="12"/>
    <x v="12"/>
    <n v="196.78286046436801"/>
    <x v="0"/>
    <x v="0"/>
    <x v="0"/>
    <x v="0"/>
    <x v="8"/>
    <x v="12"/>
    <n v="214.49331790616114"/>
  </r>
  <r>
    <x v="5"/>
    <x v="0"/>
    <x v="5"/>
    <x v="5"/>
    <x v="0"/>
    <x v="2"/>
    <x v="0"/>
    <x v="0"/>
    <x v="0"/>
    <x v="0"/>
    <x v="0"/>
    <x v="0"/>
    <x v="2"/>
    <x v="2"/>
    <x v="2"/>
    <x v="13"/>
    <x v="13"/>
    <n v="94.359549999999999"/>
    <x v="0"/>
    <x v="0"/>
    <x v="1"/>
    <x v="3"/>
    <x v="3"/>
    <x v="13"/>
    <n v="102.8519095"/>
  </r>
  <r>
    <x v="5"/>
    <x v="0"/>
    <x v="5"/>
    <x v="5"/>
    <x v="0"/>
    <x v="2"/>
    <x v="0"/>
    <x v="0"/>
    <x v="0"/>
    <x v="0"/>
    <x v="0"/>
    <x v="0"/>
    <x v="2"/>
    <x v="2"/>
    <x v="2"/>
    <x v="14"/>
    <x v="14"/>
    <n v="0.41019"/>
    <x v="0"/>
    <x v="0"/>
    <x v="0"/>
    <x v="0"/>
    <x v="8"/>
    <x v="14"/>
    <n v="0.44710710000000004"/>
  </r>
  <r>
    <x v="5"/>
    <x v="0"/>
    <x v="5"/>
    <x v="5"/>
    <x v="0"/>
    <x v="2"/>
    <x v="0"/>
    <x v="0"/>
    <x v="0"/>
    <x v="0"/>
    <x v="0"/>
    <x v="0"/>
    <x v="2"/>
    <x v="2"/>
    <x v="2"/>
    <x v="16"/>
    <x v="16"/>
    <n v="11.05198"/>
    <x v="0"/>
    <x v="0"/>
    <x v="3"/>
    <x v="5"/>
    <x v="9"/>
    <x v="16"/>
    <n v="12.046658200000001"/>
  </r>
  <r>
    <x v="5"/>
    <x v="0"/>
    <x v="5"/>
    <x v="5"/>
    <x v="0"/>
    <x v="2"/>
    <x v="0"/>
    <x v="0"/>
    <x v="0"/>
    <x v="0"/>
    <x v="0"/>
    <x v="0"/>
    <x v="2"/>
    <x v="2"/>
    <x v="2"/>
    <x v="21"/>
    <x v="21"/>
    <n v="25.473082568792101"/>
    <x v="0"/>
    <x v="0"/>
    <x v="1"/>
    <x v="4"/>
    <x v="5"/>
    <x v="10"/>
    <n v="27.765659999983392"/>
  </r>
  <r>
    <x v="5"/>
    <x v="0"/>
    <x v="5"/>
    <x v="5"/>
    <x v="0"/>
    <x v="2"/>
    <x v="0"/>
    <x v="0"/>
    <x v="0"/>
    <x v="0"/>
    <x v="0"/>
    <x v="0"/>
    <x v="2"/>
    <x v="2"/>
    <x v="2"/>
    <x v="26"/>
    <x v="26"/>
    <n v="16.530477064210299"/>
    <x v="0"/>
    <x v="0"/>
    <x v="1"/>
    <x v="3"/>
    <x v="3"/>
    <x v="15"/>
    <n v="18.018219999989228"/>
  </r>
  <r>
    <x v="5"/>
    <x v="0"/>
    <x v="5"/>
    <x v="5"/>
    <x v="0"/>
    <x v="2"/>
    <x v="0"/>
    <x v="0"/>
    <x v="0"/>
    <x v="0"/>
    <x v="0"/>
    <x v="0"/>
    <x v="2"/>
    <x v="2"/>
    <x v="2"/>
    <x v="0"/>
    <x v="0"/>
    <n v="29.761927046179999"/>
    <x v="0"/>
    <x v="0"/>
    <x v="0"/>
    <x v="0"/>
    <x v="0"/>
    <x v="0"/>
    <n v="32.440500480336198"/>
  </r>
  <r>
    <x v="5"/>
    <x v="0"/>
    <x v="5"/>
    <x v="5"/>
    <x v="0"/>
    <x v="2"/>
    <x v="0"/>
    <x v="0"/>
    <x v="0"/>
    <x v="0"/>
    <x v="0"/>
    <x v="0"/>
    <x v="2"/>
    <x v="2"/>
    <x v="2"/>
    <x v="1"/>
    <x v="1"/>
    <n v="137.72208965441499"/>
    <x v="0"/>
    <x v="0"/>
    <x v="1"/>
    <x v="1"/>
    <x v="1"/>
    <x v="1"/>
    <n v="150.11707772331235"/>
  </r>
  <r>
    <x v="5"/>
    <x v="0"/>
    <x v="5"/>
    <x v="5"/>
    <x v="0"/>
    <x v="2"/>
    <x v="0"/>
    <x v="0"/>
    <x v="0"/>
    <x v="0"/>
    <x v="0"/>
    <x v="0"/>
    <x v="2"/>
    <x v="2"/>
    <x v="2"/>
    <x v="2"/>
    <x v="2"/>
    <n v="1079.2326972470601"/>
    <x v="0"/>
    <x v="1"/>
    <x v="2"/>
    <x v="2"/>
    <x v="13"/>
    <x v="2"/>
    <n v="1176.3636399992956"/>
  </r>
  <r>
    <x v="5"/>
    <x v="0"/>
    <x v="5"/>
    <x v="5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5"/>
    <x v="0"/>
    <x v="5"/>
    <x v="5"/>
    <x v="0"/>
    <x v="2"/>
    <x v="0"/>
    <x v="0"/>
    <x v="0"/>
    <x v="0"/>
    <x v="0"/>
    <x v="0"/>
    <x v="1"/>
    <x v="6"/>
    <x v="6"/>
    <x v="10"/>
    <x v="10"/>
    <n v="23.078311926591699"/>
    <x v="0"/>
    <x v="0"/>
    <x v="1"/>
    <x v="4"/>
    <x v="5"/>
    <x v="10"/>
    <n v="25.155359999984952"/>
  </r>
  <r>
    <x v="5"/>
    <x v="0"/>
    <x v="5"/>
    <x v="5"/>
    <x v="0"/>
    <x v="2"/>
    <x v="0"/>
    <x v="0"/>
    <x v="0"/>
    <x v="0"/>
    <x v="0"/>
    <x v="0"/>
    <x v="1"/>
    <x v="6"/>
    <x v="6"/>
    <x v="12"/>
    <x v="12"/>
    <n v="110.825860464695"/>
    <x v="0"/>
    <x v="0"/>
    <x v="0"/>
    <x v="0"/>
    <x v="8"/>
    <x v="12"/>
    <n v="120.80018790651755"/>
  </r>
  <r>
    <x v="5"/>
    <x v="0"/>
    <x v="5"/>
    <x v="5"/>
    <x v="0"/>
    <x v="2"/>
    <x v="0"/>
    <x v="0"/>
    <x v="0"/>
    <x v="0"/>
    <x v="0"/>
    <x v="0"/>
    <x v="1"/>
    <x v="6"/>
    <x v="6"/>
    <x v="14"/>
    <x v="14"/>
    <n v="4.5001600000000002"/>
    <x v="0"/>
    <x v="0"/>
    <x v="0"/>
    <x v="0"/>
    <x v="8"/>
    <x v="14"/>
    <n v="4.9051744000000008"/>
  </r>
  <r>
    <x v="5"/>
    <x v="0"/>
    <x v="5"/>
    <x v="5"/>
    <x v="0"/>
    <x v="2"/>
    <x v="0"/>
    <x v="0"/>
    <x v="0"/>
    <x v="0"/>
    <x v="0"/>
    <x v="0"/>
    <x v="1"/>
    <x v="6"/>
    <x v="6"/>
    <x v="16"/>
    <x v="16"/>
    <n v="104.99025"/>
    <x v="0"/>
    <x v="0"/>
    <x v="3"/>
    <x v="5"/>
    <x v="9"/>
    <x v="16"/>
    <n v="114.43937250000002"/>
  </r>
  <r>
    <x v="5"/>
    <x v="0"/>
    <x v="5"/>
    <x v="5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5"/>
    <x v="0"/>
    <x v="5"/>
    <x v="5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5"/>
    <x v="0"/>
    <x v="5"/>
    <x v="5"/>
    <x v="0"/>
    <x v="2"/>
    <x v="0"/>
    <x v="0"/>
    <x v="0"/>
    <x v="0"/>
    <x v="0"/>
    <x v="0"/>
    <x v="1"/>
    <x v="6"/>
    <x v="6"/>
    <x v="2"/>
    <x v="2"/>
    <n v="18.760229357786901"/>
    <x v="0"/>
    <x v="1"/>
    <x v="2"/>
    <x v="2"/>
    <x v="13"/>
    <x v="2"/>
    <n v="20.448649999987722"/>
  </r>
  <r>
    <x v="5"/>
    <x v="0"/>
    <x v="5"/>
    <x v="5"/>
    <x v="0"/>
    <x v="2"/>
    <x v="0"/>
    <x v="0"/>
    <x v="0"/>
    <x v="0"/>
    <x v="0"/>
    <x v="0"/>
    <x v="3"/>
    <x v="7"/>
    <x v="7"/>
    <x v="9"/>
    <x v="9"/>
    <n v="5.9299391097780099"/>
    <x v="0"/>
    <x v="0"/>
    <x v="1"/>
    <x v="4"/>
    <x v="5"/>
    <x v="9"/>
    <n v="6.4636336296580312"/>
  </r>
  <r>
    <x v="5"/>
    <x v="0"/>
    <x v="5"/>
    <x v="5"/>
    <x v="0"/>
    <x v="2"/>
    <x v="0"/>
    <x v="0"/>
    <x v="0"/>
    <x v="0"/>
    <x v="0"/>
    <x v="0"/>
    <x v="3"/>
    <x v="7"/>
    <x v="7"/>
    <x v="10"/>
    <x v="10"/>
    <n v="3.5778986240000002E-5"/>
    <x v="0"/>
    <x v="0"/>
    <x v="1"/>
    <x v="4"/>
    <x v="5"/>
    <x v="10"/>
    <n v="3.8999095001600002E-5"/>
  </r>
  <r>
    <x v="5"/>
    <x v="0"/>
    <x v="5"/>
    <x v="5"/>
    <x v="0"/>
    <x v="2"/>
    <x v="0"/>
    <x v="0"/>
    <x v="0"/>
    <x v="0"/>
    <x v="0"/>
    <x v="0"/>
    <x v="1"/>
    <x v="8"/>
    <x v="8"/>
    <x v="9"/>
    <x v="9"/>
    <n v="6.0600049777787497"/>
    <x v="0"/>
    <x v="0"/>
    <x v="1"/>
    <x v="4"/>
    <x v="5"/>
    <x v="9"/>
    <n v="6.6054054257788373"/>
  </r>
  <r>
    <x v="5"/>
    <x v="0"/>
    <x v="5"/>
    <x v="5"/>
    <x v="0"/>
    <x v="2"/>
    <x v="0"/>
    <x v="0"/>
    <x v="0"/>
    <x v="0"/>
    <x v="0"/>
    <x v="0"/>
    <x v="1"/>
    <x v="8"/>
    <x v="8"/>
    <x v="10"/>
    <x v="10"/>
    <n v="2.3777174399999999E-5"/>
    <x v="0"/>
    <x v="0"/>
    <x v="1"/>
    <x v="4"/>
    <x v="5"/>
    <x v="10"/>
    <n v="2.5917120096000001E-5"/>
  </r>
  <r>
    <x v="5"/>
    <x v="0"/>
    <x v="5"/>
    <x v="5"/>
    <x v="0"/>
    <x v="2"/>
    <x v="0"/>
    <x v="0"/>
    <x v="0"/>
    <x v="0"/>
    <x v="0"/>
    <x v="0"/>
    <x v="0"/>
    <x v="9"/>
    <x v="9"/>
    <x v="9"/>
    <x v="9"/>
    <n v="5.9300329221530701"/>
    <x v="0"/>
    <x v="0"/>
    <x v="1"/>
    <x v="4"/>
    <x v="5"/>
    <x v="9"/>
    <n v="6.4637358851468472"/>
  </r>
  <r>
    <x v="5"/>
    <x v="0"/>
    <x v="5"/>
    <x v="5"/>
    <x v="0"/>
    <x v="2"/>
    <x v="0"/>
    <x v="0"/>
    <x v="0"/>
    <x v="0"/>
    <x v="0"/>
    <x v="0"/>
    <x v="0"/>
    <x v="9"/>
    <x v="9"/>
    <x v="10"/>
    <x v="10"/>
    <n v="1.6530797439999999E-5"/>
    <x v="0"/>
    <x v="0"/>
    <x v="1"/>
    <x v="4"/>
    <x v="5"/>
    <x v="10"/>
    <n v="1.8018569209599999E-5"/>
  </r>
  <r>
    <x v="5"/>
    <x v="0"/>
    <x v="5"/>
    <x v="5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5"/>
    <x v="0"/>
    <x v="5"/>
    <x v="5"/>
    <x v="0"/>
    <x v="2"/>
    <x v="0"/>
    <x v="0"/>
    <x v="0"/>
    <x v="0"/>
    <x v="0"/>
    <x v="0"/>
    <x v="0"/>
    <x v="9"/>
    <x v="9"/>
    <x v="21"/>
    <x v="21"/>
    <n v="40.370532110067501"/>
    <x v="0"/>
    <x v="0"/>
    <x v="1"/>
    <x v="4"/>
    <x v="5"/>
    <x v="10"/>
    <n v="44.003879999973577"/>
  </r>
  <r>
    <x v="5"/>
    <x v="0"/>
    <x v="5"/>
    <x v="5"/>
    <x v="0"/>
    <x v="2"/>
    <x v="0"/>
    <x v="0"/>
    <x v="0"/>
    <x v="0"/>
    <x v="0"/>
    <x v="0"/>
    <x v="2"/>
    <x v="10"/>
    <x v="10"/>
    <x v="9"/>
    <x v="9"/>
    <n v="5.9299261357261397"/>
    <x v="0"/>
    <x v="0"/>
    <x v="1"/>
    <x v="4"/>
    <x v="5"/>
    <x v="9"/>
    <n v="6.463619487941493"/>
  </r>
  <r>
    <x v="5"/>
    <x v="0"/>
    <x v="5"/>
    <x v="5"/>
    <x v="0"/>
    <x v="2"/>
    <x v="0"/>
    <x v="0"/>
    <x v="0"/>
    <x v="0"/>
    <x v="0"/>
    <x v="0"/>
    <x v="2"/>
    <x v="10"/>
    <x v="10"/>
    <x v="10"/>
    <x v="10"/>
    <n v="1.3813406080000001E-4"/>
    <x v="0"/>
    <x v="0"/>
    <x v="1"/>
    <x v="4"/>
    <x v="5"/>
    <x v="10"/>
    <n v="1.5056612627200003E-4"/>
  </r>
  <r>
    <x v="5"/>
    <x v="0"/>
    <x v="5"/>
    <x v="5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5"/>
    <x v="0"/>
    <x v="5"/>
    <x v="5"/>
    <x v="0"/>
    <x v="2"/>
    <x v="0"/>
    <x v="0"/>
    <x v="0"/>
    <x v="0"/>
    <x v="0"/>
    <x v="0"/>
    <x v="2"/>
    <x v="10"/>
    <x v="10"/>
    <x v="21"/>
    <x v="21"/>
    <n v="0.77723853210963001"/>
    <x v="0"/>
    <x v="0"/>
    <x v="1"/>
    <x v="4"/>
    <x v="5"/>
    <x v="10"/>
    <n v="0.84718999999949673"/>
  </r>
  <r>
    <x v="5"/>
    <x v="0"/>
    <x v="5"/>
    <x v="5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5"/>
    <x v="0"/>
    <x v="5"/>
    <x v="5"/>
    <x v="0"/>
    <x v="2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5"/>
    <x v="0"/>
    <x v="5"/>
    <x v="5"/>
    <x v="0"/>
    <x v="2"/>
    <x v="0"/>
    <x v="0"/>
    <x v="0"/>
    <x v="0"/>
    <x v="0"/>
    <x v="0"/>
    <x v="4"/>
    <x v="5"/>
    <x v="5"/>
    <x v="8"/>
    <x v="8"/>
    <n v="5.4867567567918698"/>
    <x v="0"/>
    <x v="1"/>
    <x v="2"/>
    <x v="2"/>
    <x v="6"/>
    <x v="8"/>
    <n v="5.9805648649031387"/>
  </r>
  <r>
    <x v="5"/>
    <x v="0"/>
    <x v="5"/>
    <x v="5"/>
    <x v="0"/>
    <x v="2"/>
    <x v="0"/>
    <x v="0"/>
    <x v="0"/>
    <x v="0"/>
    <x v="0"/>
    <x v="0"/>
    <x v="4"/>
    <x v="5"/>
    <x v="5"/>
    <x v="9"/>
    <x v="9"/>
    <n v="6.3643103663856104"/>
    <x v="0"/>
    <x v="0"/>
    <x v="1"/>
    <x v="4"/>
    <x v="5"/>
    <x v="9"/>
    <n v="6.9370982993603159"/>
  </r>
  <r>
    <x v="5"/>
    <x v="0"/>
    <x v="5"/>
    <x v="5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5"/>
    <x v="0"/>
    <x v="5"/>
    <x v="5"/>
    <x v="0"/>
    <x v="2"/>
    <x v="0"/>
    <x v="0"/>
    <x v="0"/>
    <x v="0"/>
    <x v="0"/>
    <x v="0"/>
    <x v="4"/>
    <x v="5"/>
    <x v="5"/>
    <x v="12"/>
    <x v="12"/>
    <n v="7.7356744185752602"/>
    <x v="0"/>
    <x v="0"/>
    <x v="0"/>
    <x v="0"/>
    <x v="8"/>
    <x v="12"/>
    <n v="8.4318851162470345"/>
  </r>
  <r>
    <x v="5"/>
    <x v="0"/>
    <x v="5"/>
    <x v="5"/>
    <x v="0"/>
    <x v="2"/>
    <x v="0"/>
    <x v="0"/>
    <x v="0"/>
    <x v="0"/>
    <x v="0"/>
    <x v="0"/>
    <x v="4"/>
    <x v="5"/>
    <x v="5"/>
    <x v="21"/>
    <x v="21"/>
    <n v="32.680587155943698"/>
    <x v="0"/>
    <x v="0"/>
    <x v="1"/>
    <x v="4"/>
    <x v="5"/>
    <x v="10"/>
    <n v="35.621839999978633"/>
  </r>
  <r>
    <x v="5"/>
    <x v="0"/>
    <x v="5"/>
    <x v="5"/>
    <x v="0"/>
    <x v="2"/>
    <x v="0"/>
    <x v="0"/>
    <x v="0"/>
    <x v="0"/>
    <x v="0"/>
    <x v="0"/>
    <x v="4"/>
    <x v="5"/>
    <x v="5"/>
    <x v="2"/>
    <x v="2"/>
    <n v="2270.2111926591901"/>
    <x v="0"/>
    <x v="1"/>
    <x v="2"/>
    <x v="2"/>
    <x v="13"/>
    <x v="2"/>
    <n v="2474.5301999985172"/>
  </r>
  <r>
    <x v="5"/>
    <x v="0"/>
    <x v="5"/>
    <x v="5"/>
    <x v="0"/>
    <x v="2"/>
    <x v="0"/>
    <x v="0"/>
    <x v="0"/>
    <x v="0"/>
    <x v="3"/>
    <x v="3"/>
    <x v="2"/>
    <x v="2"/>
    <x v="2"/>
    <x v="5"/>
    <x v="5"/>
    <n v="30.7136932517672"/>
    <x v="0"/>
    <x v="0"/>
    <x v="1"/>
    <x v="1"/>
    <x v="1"/>
    <x v="5"/>
    <n v="33.47792564442625"/>
  </r>
  <r>
    <x v="5"/>
    <x v="0"/>
    <x v="5"/>
    <x v="5"/>
    <x v="0"/>
    <x v="2"/>
    <x v="0"/>
    <x v="0"/>
    <x v="0"/>
    <x v="0"/>
    <x v="3"/>
    <x v="3"/>
    <x v="2"/>
    <x v="2"/>
    <x v="2"/>
    <x v="8"/>
    <x v="8"/>
    <n v="6.8412162162600003"/>
    <x v="0"/>
    <x v="1"/>
    <x v="2"/>
    <x v="2"/>
    <x v="6"/>
    <x v="8"/>
    <n v="7.4569256757234008"/>
  </r>
  <r>
    <x v="5"/>
    <x v="0"/>
    <x v="5"/>
    <x v="5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5"/>
    <x v="0"/>
    <x v="5"/>
    <x v="5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5"/>
    <x v="0"/>
    <x v="5"/>
    <x v="5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5"/>
    <x v="0"/>
    <x v="5"/>
    <x v="5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5"/>
    <x v="0"/>
    <x v="5"/>
    <x v="5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5"/>
    <x v="0"/>
    <x v="5"/>
    <x v="5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5"/>
    <x v="0"/>
    <x v="5"/>
    <x v="5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5"/>
    <x v="0"/>
    <x v="5"/>
    <x v="5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5"/>
    <x v="0"/>
    <x v="5"/>
    <x v="5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5"/>
    <x v="0"/>
    <x v="5"/>
    <x v="5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5"/>
    <x v="0"/>
    <x v="5"/>
    <x v="5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5"/>
    <x v="0"/>
    <x v="5"/>
    <x v="5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5"/>
    <x v="0"/>
    <x v="5"/>
    <x v="5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5"/>
    <x v="0"/>
    <x v="5"/>
    <x v="5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5"/>
    <x v="0"/>
    <x v="5"/>
    <x v="5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5"/>
    <x v="0"/>
    <x v="5"/>
    <x v="5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5"/>
    <x v="0"/>
    <x v="5"/>
    <x v="5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5"/>
    <x v="0"/>
    <x v="5"/>
    <x v="5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5"/>
    <x v="0"/>
    <x v="5"/>
    <x v="5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5"/>
    <x v="0"/>
    <x v="5"/>
    <x v="5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5"/>
    <x v="0"/>
    <x v="5"/>
    <x v="5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5"/>
    <x v="0"/>
    <x v="5"/>
    <x v="5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5"/>
    <x v="0"/>
    <x v="5"/>
    <x v="5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5"/>
    <x v="0"/>
    <x v="5"/>
    <x v="5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5"/>
    <x v="0"/>
    <x v="5"/>
    <x v="5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5"/>
    <x v="0"/>
    <x v="5"/>
    <x v="5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5"/>
    <x v="0"/>
    <x v="5"/>
    <x v="5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5"/>
    <x v="0"/>
    <x v="5"/>
    <x v="5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5"/>
    <x v="0"/>
    <x v="5"/>
    <x v="5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5"/>
    <x v="0"/>
    <x v="5"/>
    <x v="5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5"/>
    <x v="0"/>
    <x v="5"/>
    <x v="5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5"/>
    <x v="0"/>
    <x v="5"/>
    <x v="5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5"/>
    <x v="0"/>
    <x v="5"/>
    <x v="5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5"/>
    <x v="0"/>
    <x v="5"/>
    <x v="5"/>
    <x v="0"/>
    <x v="1"/>
    <x v="0"/>
    <x v="0"/>
    <x v="0"/>
    <x v="0"/>
    <x v="0"/>
    <x v="0"/>
    <x v="0"/>
    <x v="4"/>
    <x v="4"/>
    <x v="28"/>
    <x v="28"/>
    <n v="19.869350000000001"/>
    <x v="0"/>
    <x v="0"/>
    <x v="1"/>
    <x v="3"/>
    <x v="3"/>
    <x v="13"/>
    <n v="21.657591500000002"/>
  </r>
  <r>
    <x v="5"/>
    <x v="0"/>
    <x v="5"/>
    <x v="5"/>
    <x v="0"/>
    <x v="1"/>
    <x v="0"/>
    <x v="0"/>
    <x v="0"/>
    <x v="0"/>
    <x v="0"/>
    <x v="0"/>
    <x v="0"/>
    <x v="4"/>
    <x v="4"/>
    <x v="11"/>
    <x v="11"/>
    <n v="81.61797"/>
    <x v="0"/>
    <x v="0"/>
    <x v="3"/>
    <x v="5"/>
    <x v="7"/>
    <x v="11"/>
    <n v="88.9635873"/>
  </r>
  <r>
    <x v="5"/>
    <x v="0"/>
    <x v="5"/>
    <x v="5"/>
    <x v="0"/>
    <x v="1"/>
    <x v="0"/>
    <x v="0"/>
    <x v="0"/>
    <x v="0"/>
    <x v="0"/>
    <x v="0"/>
    <x v="0"/>
    <x v="4"/>
    <x v="4"/>
    <x v="12"/>
    <x v="12"/>
    <n v="705.87288371824798"/>
    <x v="0"/>
    <x v="0"/>
    <x v="0"/>
    <x v="0"/>
    <x v="8"/>
    <x v="12"/>
    <n v="769.40144325289032"/>
  </r>
  <r>
    <x v="5"/>
    <x v="0"/>
    <x v="5"/>
    <x v="5"/>
    <x v="0"/>
    <x v="1"/>
    <x v="0"/>
    <x v="0"/>
    <x v="0"/>
    <x v="0"/>
    <x v="0"/>
    <x v="0"/>
    <x v="0"/>
    <x v="4"/>
    <x v="4"/>
    <x v="14"/>
    <x v="14"/>
    <n v="56.101799999999997"/>
    <x v="0"/>
    <x v="0"/>
    <x v="0"/>
    <x v="0"/>
    <x v="8"/>
    <x v="14"/>
    <n v="61.150962"/>
  </r>
  <r>
    <x v="5"/>
    <x v="0"/>
    <x v="5"/>
    <x v="5"/>
    <x v="0"/>
    <x v="1"/>
    <x v="0"/>
    <x v="0"/>
    <x v="0"/>
    <x v="0"/>
    <x v="0"/>
    <x v="0"/>
    <x v="0"/>
    <x v="4"/>
    <x v="4"/>
    <x v="16"/>
    <x v="16"/>
    <n v="1306.0359100000001"/>
    <x v="0"/>
    <x v="0"/>
    <x v="3"/>
    <x v="5"/>
    <x v="9"/>
    <x v="16"/>
    <n v="1423.5791419000002"/>
  </r>
  <r>
    <x v="5"/>
    <x v="0"/>
    <x v="5"/>
    <x v="5"/>
    <x v="0"/>
    <x v="1"/>
    <x v="0"/>
    <x v="0"/>
    <x v="0"/>
    <x v="0"/>
    <x v="0"/>
    <x v="0"/>
    <x v="0"/>
    <x v="4"/>
    <x v="4"/>
    <x v="25"/>
    <x v="25"/>
    <n v="13.610816513753299"/>
    <x v="0"/>
    <x v="0"/>
    <x v="1"/>
    <x v="4"/>
    <x v="5"/>
    <x v="9"/>
    <n v="14.835789999991098"/>
  </r>
  <r>
    <x v="5"/>
    <x v="0"/>
    <x v="5"/>
    <x v="5"/>
    <x v="0"/>
    <x v="1"/>
    <x v="0"/>
    <x v="0"/>
    <x v="0"/>
    <x v="0"/>
    <x v="0"/>
    <x v="0"/>
    <x v="0"/>
    <x v="4"/>
    <x v="4"/>
    <x v="20"/>
    <x v="20"/>
    <n v="263.90253999999999"/>
    <x v="0"/>
    <x v="0"/>
    <x v="1"/>
    <x v="3"/>
    <x v="3"/>
    <x v="13"/>
    <n v="287.65376860000003"/>
  </r>
  <r>
    <x v="5"/>
    <x v="0"/>
    <x v="5"/>
    <x v="5"/>
    <x v="0"/>
    <x v="1"/>
    <x v="0"/>
    <x v="0"/>
    <x v="0"/>
    <x v="0"/>
    <x v="0"/>
    <x v="0"/>
    <x v="0"/>
    <x v="4"/>
    <x v="4"/>
    <x v="2"/>
    <x v="2"/>
    <n v="3438.1604311905999"/>
    <x v="0"/>
    <x v="1"/>
    <x v="2"/>
    <x v="2"/>
    <x v="13"/>
    <x v="2"/>
    <n v="3747.5948699977539"/>
  </r>
  <r>
    <x v="5"/>
    <x v="0"/>
    <x v="5"/>
    <x v="5"/>
    <x v="0"/>
    <x v="1"/>
    <x v="0"/>
    <x v="0"/>
    <x v="0"/>
    <x v="0"/>
    <x v="0"/>
    <x v="0"/>
    <x v="0"/>
    <x v="4"/>
    <x v="4"/>
    <x v="3"/>
    <x v="3"/>
    <n v="155.216532007598"/>
    <x v="0"/>
    <x v="0"/>
    <x v="1"/>
    <x v="3"/>
    <x v="3"/>
    <x v="3"/>
    <n v="169.18601988828183"/>
  </r>
  <r>
    <x v="5"/>
    <x v="0"/>
    <x v="5"/>
    <x v="5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5"/>
    <x v="0"/>
    <x v="5"/>
    <x v="5"/>
    <x v="0"/>
    <x v="1"/>
    <x v="0"/>
    <x v="0"/>
    <x v="0"/>
    <x v="0"/>
    <x v="0"/>
    <x v="0"/>
    <x v="0"/>
    <x v="0"/>
    <x v="0"/>
    <x v="6"/>
    <x v="6"/>
    <n v="115.91204"/>
    <x v="0"/>
    <x v="0"/>
    <x v="0"/>
    <x v="0"/>
    <x v="4"/>
    <x v="6"/>
    <n v="126.34412360000002"/>
  </r>
  <r>
    <x v="5"/>
    <x v="0"/>
    <x v="5"/>
    <x v="5"/>
    <x v="0"/>
    <x v="1"/>
    <x v="0"/>
    <x v="0"/>
    <x v="0"/>
    <x v="0"/>
    <x v="0"/>
    <x v="0"/>
    <x v="0"/>
    <x v="0"/>
    <x v="0"/>
    <x v="7"/>
    <x v="7"/>
    <n v="10.8027706421954"/>
    <x v="0"/>
    <x v="0"/>
    <x v="1"/>
    <x v="4"/>
    <x v="5"/>
    <x v="7"/>
    <n v="11.775019999992987"/>
  </r>
  <r>
    <x v="5"/>
    <x v="0"/>
    <x v="5"/>
    <x v="5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5"/>
    <x v="0"/>
    <x v="5"/>
    <x v="5"/>
    <x v="0"/>
    <x v="1"/>
    <x v="0"/>
    <x v="0"/>
    <x v="0"/>
    <x v="0"/>
    <x v="0"/>
    <x v="0"/>
    <x v="0"/>
    <x v="0"/>
    <x v="0"/>
    <x v="9"/>
    <x v="9"/>
    <n v="74.248785172388594"/>
    <x v="0"/>
    <x v="0"/>
    <x v="1"/>
    <x v="4"/>
    <x v="5"/>
    <x v="9"/>
    <n v="80.931175837903567"/>
  </r>
  <r>
    <x v="5"/>
    <x v="0"/>
    <x v="5"/>
    <x v="5"/>
    <x v="0"/>
    <x v="1"/>
    <x v="0"/>
    <x v="0"/>
    <x v="0"/>
    <x v="0"/>
    <x v="0"/>
    <x v="0"/>
    <x v="0"/>
    <x v="0"/>
    <x v="0"/>
    <x v="10"/>
    <x v="10"/>
    <n v="109.086932714173"/>
    <x v="0"/>
    <x v="0"/>
    <x v="1"/>
    <x v="4"/>
    <x v="5"/>
    <x v="10"/>
    <n v="118.90475665844858"/>
  </r>
  <r>
    <x v="5"/>
    <x v="0"/>
    <x v="5"/>
    <x v="5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5"/>
    <x v="0"/>
    <x v="5"/>
    <x v="5"/>
    <x v="0"/>
    <x v="1"/>
    <x v="0"/>
    <x v="0"/>
    <x v="0"/>
    <x v="0"/>
    <x v="0"/>
    <x v="0"/>
    <x v="0"/>
    <x v="0"/>
    <x v="0"/>
    <x v="11"/>
    <x v="11"/>
    <n v="37.82967"/>
    <x v="0"/>
    <x v="0"/>
    <x v="3"/>
    <x v="5"/>
    <x v="7"/>
    <x v="11"/>
    <n v="41.234340300000007"/>
  </r>
  <r>
    <x v="5"/>
    <x v="0"/>
    <x v="5"/>
    <x v="5"/>
    <x v="0"/>
    <x v="1"/>
    <x v="0"/>
    <x v="0"/>
    <x v="0"/>
    <x v="0"/>
    <x v="0"/>
    <x v="0"/>
    <x v="0"/>
    <x v="0"/>
    <x v="0"/>
    <x v="12"/>
    <x v="12"/>
    <n v="740.82726743904504"/>
    <x v="0"/>
    <x v="0"/>
    <x v="0"/>
    <x v="0"/>
    <x v="8"/>
    <x v="12"/>
    <n v="807.50172150855917"/>
  </r>
  <r>
    <x v="5"/>
    <x v="0"/>
    <x v="5"/>
    <x v="5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5"/>
    <x v="0"/>
    <x v="5"/>
    <x v="5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5"/>
    <x v="0"/>
    <x v="5"/>
    <x v="5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5"/>
    <x v="0"/>
    <x v="5"/>
    <x v="5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5"/>
    <x v="0"/>
    <x v="5"/>
    <x v="5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5"/>
    <x v="0"/>
    <x v="5"/>
    <x v="5"/>
    <x v="0"/>
    <x v="1"/>
    <x v="0"/>
    <x v="0"/>
    <x v="0"/>
    <x v="0"/>
    <x v="0"/>
    <x v="0"/>
    <x v="0"/>
    <x v="0"/>
    <x v="0"/>
    <x v="21"/>
    <x v="21"/>
    <n v="13.1191743119187"/>
    <x v="0"/>
    <x v="0"/>
    <x v="1"/>
    <x v="4"/>
    <x v="5"/>
    <x v="10"/>
    <n v="14.299899999991384"/>
  </r>
  <r>
    <x v="5"/>
    <x v="0"/>
    <x v="5"/>
    <x v="5"/>
    <x v="0"/>
    <x v="1"/>
    <x v="0"/>
    <x v="0"/>
    <x v="0"/>
    <x v="0"/>
    <x v="0"/>
    <x v="0"/>
    <x v="0"/>
    <x v="0"/>
    <x v="0"/>
    <x v="18"/>
    <x v="18"/>
    <n v="44.390169999999998"/>
    <x v="0"/>
    <x v="0"/>
    <x v="0"/>
    <x v="0"/>
    <x v="4"/>
    <x v="18"/>
    <n v="48.3852853"/>
  </r>
  <r>
    <x v="5"/>
    <x v="0"/>
    <x v="5"/>
    <x v="5"/>
    <x v="0"/>
    <x v="1"/>
    <x v="0"/>
    <x v="0"/>
    <x v="0"/>
    <x v="0"/>
    <x v="0"/>
    <x v="0"/>
    <x v="0"/>
    <x v="0"/>
    <x v="0"/>
    <x v="25"/>
    <x v="25"/>
    <n v="97.663954128381803"/>
    <x v="0"/>
    <x v="0"/>
    <x v="1"/>
    <x v="4"/>
    <x v="5"/>
    <x v="9"/>
    <n v="106.45370999993618"/>
  </r>
  <r>
    <x v="5"/>
    <x v="0"/>
    <x v="5"/>
    <x v="5"/>
    <x v="0"/>
    <x v="1"/>
    <x v="0"/>
    <x v="0"/>
    <x v="0"/>
    <x v="0"/>
    <x v="0"/>
    <x v="0"/>
    <x v="0"/>
    <x v="0"/>
    <x v="0"/>
    <x v="26"/>
    <x v="26"/>
    <n v="1.1558715596323299"/>
    <x v="0"/>
    <x v="0"/>
    <x v="1"/>
    <x v="3"/>
    <x v="3"/>
    <x v="15"/>
    <n v="1.2598999999992397"/>
  </r>
  <r>
    <x v="5"/>
    <x v="0"/>
    <x v="5"/>
    <x v="5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5"/>
    <x v="0"/>
    <x v="5"/>
    <x v="5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5"/>
    <x v="0"/>
    <x v="5"/>
    <x v="5"/>
    <x v="0"/>
    <x v="1"/>
    <x v="0"/>
    <x v="0"/>
    <x v="0"/>
    <x v="0"/>
    <x v="0"/>
    <x v="0"/>
    <x v="0"/>
    <x v="0"/>
    <x v="0"/>
    <x v="2"/>
    <x v="2"/>
    <n v="7221.9729541241104"/>
    <x v="0"/>
    <x v="1"/>
    <x v="2"/>
    <x v="2"/>
    <x v="13"/>
    <x v="2"/>
    <n v="7871.950519995281"/>
  </r>
  <r>
    <x v="5"/>
    <x v="0"/>
    <x v="5"/>
    <x v="5"/>
    <x v="0"/>
    <x v="1"/>
    <x v="0"/>
    <x v="0"/>
    <x v="0"/>
    <x v="0"/>
    <x v="0"/>
    <x v="0"/>
    <x v="0"/>
    <x v="0"/>
    <x v="0"/>
    <x v="3"/>
    <x v="3"/>
    <n v="31.643994086201701"/>
    <x v="0"/>
    <x v="0"/>
    <x v="1"/>
    <x v="3"/>
    <x v="3"/>
    <x v="3"/>
    <n v="34.49195355395986"/>
  </r>
  <r>
    <x v="5"/>
    <x v="0"/>
    <x v="5"/>
    <x v="5"/>
    <x v="0"/>
    <x v="1"/>
    <x v="0"/>
    <x v="0"/>
    <x v="0"/>
    <x v="0"/>
    <x v="0"/>
    <x v="0"/>
    <x v="1"/>
    <x v="1"/>
    <x v="1"/>
    <x v="4"/>
    <x v="4"/>
    <n v="45.016339449514298"/>
    <x v="0"/>
    <x v="0"/>
    <x v="1"/>
    <x v="3"/>
    <x v="3"/>
    <x v="4"/>
    <n v="49.067809999970585"/>
  </r>
  <r>
    <x v="5"/>
    <x v="0"/>
    <x v="5"/>
    <x v="5"/>
    <x v="0"/>
    <x v="1"/>
    <x v="0"/>
    <x v="0"/>
    <x v="0"/>
    <x v="0"/>
    <x v="0"/>
    <x v="0"/>
    <x v="1"/>
    <x v="1"/>
    <x v="1"/>
    <x v="5"/>
    <x v="5"/>
    <n v="85.8305705527996"/>
    <x v="0"/>
    <x v="0"/>
    <x v="1"/>
    <x v="1"/>
    <x v="1"/>
    <x v="5"/>
    <n v="93.555321902551569"/>
  </r>
  <r>
    <x v="5"/>
    <x v="0"/>
    <x v="5"/>
    <x v="5"/>
    <x v="0"/>
    <x v="1"/>
    <x v="0"/>
    <x v="0"/>
    <x v="0"/>
    <x v="0"/>
    <x v="0"/>
    <x v="0"/>
    <x v="1"/>
    <x v="1"/>
    <x v="1"/>
    <x v="6"/>
    <x v="6"/>
    <n v="203.36626999999999"/>
    <x v="0"/>
    <x v="0"/>
    <x v="0"/>
    <x v="0"/>
    <x v="4"/>
    <x v="6"/>
    <n v="221.6692343"/>
  </r>
  <r>
    <x v="5"/>
    <x v="0"/>
    <x v="5"/>
    <x v="5"/>
    <x v="0"/>
    <x v="1"/>
    <x v="0"/>
    <x v="0"/>
    <x v="0"/>
    <x v="0"/>
    <x v="0"/>
    <x v="0"/>
    <x v="1"/>
    <x v="1"/>
    <x v="1"/>
    <x v="7"/>
    <x v="7"/>
    <n v="10.8027706421954"/>
    <x v="0"/>
    <x v="0"/>
    <x v="1"/>
    <x v="4"/>
    <x v="5"/>
    <x v="7"/>
    <n v="11.775019999992987"/>
  </r>
  <r>
    <x v="5"/>
    <x v="0"/>
    <x v="5"/>
    <x v="5"/>
    <x v="0"/>
    <x v="1"/>
    <x v="0"/>
    <x v="0"/>
    <x v="0"/>
    <x v="0"/>
    <x v="0"/>
    <x v="0"/>
    <x v="1"/>
    <x v="1"/>
    <x v="1"/>
    <x v="8"/>
    <x v="8"/>
    <n v="5389.8792027372001"/>
    <x v="0"/>
    <x v="1"/>
    <x v="2"/>
    <x v="2"/>
    <x v="6"/>
    <x v="8"/>
    <n v="5874.9683309835482"/>
  </r>
  <r>
    <x v="5"/>
    <x v="0"/>
    <x v="5"/>
    <x v="5"/>
    <x v="0"/>
    <x v="1"/>
    <x v="0"/>
    <x v="0"/>
    <x v="0"/>
    <x v="0"/>
    <x v="0"/>
    <x v="0"/>
    <x v="1"/>
    <x v="1"/>
    <x v="1"/>
    <x v="9"/>
    <x v="9"/>
    <n v="60.832942844015903"/>
    <x v="0"/>
    <x v="0"/>
    <x v="1"/>
    <x v="4"/>
    <x v="5"/>
    <x v="9"/>
    <n v="66.307907699977335"/>
  </r>
  <r>
    <x v="5"/>
    <x v="0"/>
    <x v="5"/>
    <x v="5"/>
    <x v="0"/>
    <x v="1"/>
    <x v="0"/>
    <x v="0"/>
    <x v="0"/>
    <x v="0"/>
    <x v="0"/>
    <x v="0"/>
    <x v="1"/>
    <x v="1"/>
    <x v="1"/>
    <x v="10"/>
    <x v="10"/>
    <n v="53.957225933014797"/>
    <x v="0"/>
    <x v="0"/>
    <x v="1"/>
    <x v="4"/>
    <x v="5"/>
    <x v="10"/>
    <n v="58.813376266986133"/>
  </r>
  <r>
    <x v="5"/>
    <x v="0"/>
    <x v="5"/>
    <x v="5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5"/>
    <x v="0"/>
    <x v="5"/>
    <x v="5"/>
    <x v="0"/>
    <x v="1"/>
    <x v="0"/>
    <x v="0"/>
    <x v="0"/>
    <x v="0"/>
    <x v="0"/>
    <x v="0"/>
    <x v="1"/>
    <x v="1"/>
    <x v="1"/>
    <x v="11"/>
    <x v="11"/>
    <n v="38.77702"/>
    <x v="0"/>
    <x v="0"/>
    <x v="3"/>
    <x v="5"/>
    <x v="7"/>
    <x v="11"/>
    <n v="42.266951800000001"/>
  </r>
  <r>
    <x v="5"/>
    <x v="0"/>
    <x v="5"/>
    <x v="5"/>
    <x v="0"/>
    <x v="1"/>
    <x v="0"/>
    <x v="0"/>
    <x v="0"/>
    <x v="0"/>
    <x v="0"/>
    <x v="0"/>
    <x v="1"/>
    <x v="1"/>
    <x v="1"/>
    <x v="12"/>
    <x v="12"/>
    <n v="1252.03318604175"/>
    <x v="0"/>
    <x v="0"/>
    <x v="0"/>
    <x v="0"/>
    <x v="8"/>
    <x v="12"/>
    <n v="1364.7161727855075"/>
  </r>
  <r>
    <x v="5"/>
    <x v="0"/>
    <x v="5"/>
    <x v="5"/>
    <x v="0"/>
    <x v="1"/>
    <x v="0"/>
    <x v="0"/>
    <x v="0"/>
    <x v="0"/>
    <x v="0"/>
    <x v="0"/>
    <x v="1"/>
    <x v="1"/>
    <x v="1"/>
    <x v="14"/>
    <x v="14"/>
    <n v="272.22802000000001"/>
    <x v="0"/>
    <x v="0"/>
    <x v="0"/>
    <x v="0"/>
    <x v="8"/>
    <x v="14"/>
    <n v="296.72854180000002"/>
  </r>
  <r>
    <x v="5"/>
    <x v="0"/>
    <x v="5"/>
    <x v="5"/>
    <x v="0"/>
    <x v="1"/>
    <x v="0"/>
    <x v="0"/>
    <x v="0"/>
    <x v="0"/>
    <x v="0"/>
    <x v="0"/>
    <x v="1"/>
    <x v="1"/>
    <x v="1"/>
    <x v="15"/>
    <x v="15"/>
    <n v="0.59730275229322005"/>
    <x v="0"/>
    <x v="0"/>
    <x v="1"/>
    <x v="3"/>
    <x v="3"/>
    <x v="15"/>
    <n v="0.65105999999960995"/>
  </r>
  <r>
    <x v="5"/>
    <x v="0"/>
    <x v="5"/>
    <x v="5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5"/>
    <x v="0"/>
    <x v="5"/>
    <x v="5"/>
    <x v="0"/>
    <x v="1"/>
    <x v="0"/>
    <x v="0"/>
    <x v="0"/>
    <x v="0"/>
    <x v="0"/>
    <x v="0"/>
    <x v="1"/>
    <x v="1"/>
    <x v="1"/>
    <x v="16"/>
    <x v="16"/>
    <n v="21.133330000000001"/>
    <x v="0"/>
    <x v="0"/>
    <x v="3"/>
    <x v="5"/>
    <x v="9"/>
    <x v="16"/>
    <n v="23.035329700000002"/>
  </r>
  <r>
    <x v="5"/>
    <x v="0"/>
    <x v="5"/>
    <x v="5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5"/>
    <x v="0"/>
    <x v="5"/>
    <x v="5"/>
    <x v="0"/>
    <x v="1"/>
    <x v="0"/>
    <x v="0"/>
    <x v="0"/>
    <x v="0"/>
    <x v="0"/>
    <x v="0"/>
    <x v="1"/>
    <x v="1"/>
    <x v="1"/>
    <x v="24"/>
    <x v="24"/>
    <n v="32.691284403650101"/>
    <x v="0"/>
    <x v="0"/>
    <x v="1"/>
    <x v="3"/>
    <x v="3"/>
    <x v="4"/>
    <n v="35.633499999978611"/>
  </r>
  <r>
    <x v="5"/>
    <x v="0"/>
    <x v="5"/>
    <x v="5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5"/>
    <x v="0"/>
    <x v="5"/>
    <x v="5"/>
    <x v="0"/>
    <x v="1"/>
    <x v="0"/>
    <x v="0"/>
    <x v="0"/>
    <x v="0"/>
    <x v="0"/>
    <x v="0"/>
    <x v="1"/>
    <x v="1"/>
    <x v="1"/>
    <x v="18"/>
    <x v="18"/>
    <n v="55.374369999999999"/>
    <x v="0"/>
    <x v="0"/>
    <x v="0"/>
    <x v="0"/>
    <x v="4"/>
    <x v="18"/>
    <n v="60.358063300000005"/>
  </r>
  <r>
    <x v="5"/>
    <x v="0"/>
    <x v="5"/>
    <x v="5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5"/>
    <x v="0"/>
    <x v="5"/>
    <x v="5"/>
    <x v="0"/>
    <x v="1"/>
    <x v="0"/>
    <x v="0"/>
    <x v="0"/>
    <x v="0"/>
    <x v="0"/>
    <x v="0"/>
    <x v="1"/>
    <x v="1"/>
    <x v="1"/>
    <x v="26"/>
    <x v="26"/>
    <n v="5.0705412844006297"/>
    <x v="0"/>
    <x v="0"/>
    <x v="1"/>
    <x v="3"/>
    <x v="3"/>
    <x v="15"/>
    <n v="5.526889999996687"/>
  </r>
  <r>
    <x v="5"/>
    <x v="0"/>
    <x v="5"/>
    <x v="5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5"/>
    <x v="0"/>
    <x v="5"/>
    <x v="5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5"/>
    <x v="0"/>
    <x v="5"/>
    <x v="5"/>
    <x v="0"/>
    <x v="1"/>
    <x v="0"/>
    <x v="0"/>
    <x v="0"/>
    <x v="0"/>
    <x v="0"/>
    <x v="0"/>
    <x v="1"/>
    <x v="1"/>
    <x v="1"/>
    <x v="2"/>
    <x v="2"/>
    <n v="5402.2398165105196"/>
    <x v="0"/>
    <x v="1"/>
    <x v="2"/>
    <x v="2"/>
    <x v="13"/>
    <x v="2"/>
    <n v="5888.4413999964672"/>
  </r>
  <r>
    <x v="5"/>
    <x v="0"/>
    <x v="5"/>
    <x v="5"/>
    <x v="0"/>
    <x v="1"/>
    <x v="0"/>
    <x v="0"/>
    <x v="0"/>
    <x v="0"/>
    <x v="0"/>
    <x v="0"/>
    <x v="1"/>
    <x v="1"/>
    <x v="1"/>
    <x v="3"/>
    <x v="3"/>
    <n v="232.64787190303599"/>
    <x v="0"/>
    <x v="0"/>
    <x v="1"/>
    <x v="3"/>
    <x v="3"/>
    <x v="3"/>
    <n v="253.58618037430924"/>
  </r>
  <r>
    <x v="5"/>
    <x v="0"/>
    <x v="5"/>
    <x v="5"/>
    <x v="0"/>
    <x v="1"/>
    <x v="0"/>
    <x v="0"/>
    <x v="0"/>
    <x v="0"/>
    <x v="0"/>
    <x v="0"/>
    <x v="2"/>
    <x v="2"/>
    <x v="2"/>
    <x v="4"/>
    <x v="4"/>
    <n v="22.179266055032599"/>
    <x v="0"/>
    <x v="0"/>
    <x v="1"/>
    <x v="3"/>
    <x v="3"/>
    <x v="4"/>
    <n v="24.175399999985533"/>
  </r>
  <r>
    <x v="5"/>
    <x v="0"/>
    <x v="5"/>
    <x v="5"/>
    <x v="0"/>
    <x v="1"/>
    <x v="0"/>
    <x v="0"/>
    <x v="0"/>
    <x v="0"/>
    <x v="0"/>
    <x v="0"/>
    <x v="2"/>
    <x v="2"/>
    <x v="2"/>
    <x v="5"/>
    <x v="5"/>
    <n v="107.784680982414"/>
    <x v="0"/>
    <x v="0"/>
    <x v="1"/>
    <x v="1"/>
    <x v="1"/>
    <x v="5"/>
    <n v="117.48530227083127"/>
  </r>
  <r>
    <x v="5"/>
    <x v="0"/>
    <x v="5"/>
    <x v="5"/>
    <x v="0"/>
    <x v="1"/>
    <x v="0"/>
    <x v="0"/>
    <x v="0"/>
    <x v="0"/>
    <x v="0"/>
    <x v="0"/>
    <x v="2"/>
    <x v="2"/>
    <x v="2"/>
    <x v="6"/>
    <x v="6"/>
    <n v="453.37184000000002"/>
    <x v="0"/>
    <x v="0"/>
    <x v="0"/>
    <x v="0"/>
    <x v="4"/>
    <x v="6"/>
    <n v="494.17530560000006"/>
  </r>
  <r>
    <x v="5"/>
    <x v="0"/>
    <x v="5"/>
    <x v="5"/>
    <x v="0"/>
    <x v="1"/>
    <x v="0"/>
    <x v="0"/>
    <x v="0"/>
    <x v="0"/>
    <x v="0"/>
    <x v="0"/>
    <x v="2"/>
    <x v="2"/>
    <x v="2"/>
    <x v="7"/>
    <x v="7"/>
    <n v="0.64348623853172005"/>
    <x v="0"/>
    <x v="0"/>
    <x v="1"/>
    <x v="4"/>
    <x v="5"/>
    <x v="7"/>
    <n v="0.70139999999957492"/>
  </r>
  <r>
    <x v="5"/>
    <x v="0"/>
    <x v="5"/>
    <x v="5"/>
    <x v="0"/>
    <x v="1"/>
    <x v="0"/>
    <x v="0"/>
    <x v="0"/>
    <x v="0"/>
    <x v="0"/>
    <x v="0"/>
    <x v="2"/>
    <x v="2"/>
    <x v="2"/>
    <x v="8"/>
    <x v="8"/>
    <n v="4983.6011554372999"/>
    <x v="0"/>
    <x v="1"/>
    <x v="2"/>
    <x v="2"/>
    <x v="6"/>
    <x v="8"/>
    <n v="5432.1252594266571"/>
  </r>
  <r>
    <x v="5"/>
    <x v="0"/>
    <x v="5"/>
    <x v="5"/>
    <x v="0"/>
    <x v="1"/>
    <x v="0"/>
    <x v="0"/>
    <x v="0"/>
    <x v="0"/>
    <x v="0"/>
    <x v="0"/>
    <x v="2"/>
    <x v="2"/>
    <x v="2"/>
    <x v="9"/>
    <x v="9"/>
    <n v="21.8521376146658"/>
    <x v="0"/>
    <x v="0"/>
    <x v="1"/>
    <x v="4"/>
    <x v="5"/>
    <x v="9"/>
    <n v="23.818829999985724"/>
  </r>
  <r>
    <x v="5"/>
    <x v="0"/>
    <x v="5"/>
    <x v="5"/>
    <x v="0"/>
    <x v="1"/>
    <x v="0"/>
    <x v="0"/>
    <x v="0"/>
    <x v="0"/>
    <x v="0"/>
    <x v="0"/>
    <x v="2"/>
    <x v="2"/>
    <x v="2"/>
    <x v="10"/>
    <x v="10"/>
    <n v="0.48997011873023999"/>
    <x v="0"/>
    <x v="0"/>
    <x v="1"/>
    <x v="4"/>
    <x v="5"/>
    <x v="10"/>
    <n v="0.53406742941596164"/>
  </r>
  <r>
    <x v="5"/>
    <x v="0"/>
    <x v="5"/>
    <x v="5"/>
    <x v="0"/>
    <x v="1"/>
    <x v="0"/>
    <x v="0"/>
    <x v="0"/>
    <x v="0"/>
    <x v="0"/>
    <x v="0"/>
    <x v="2"/>
    <x v="2"/>
    <x v="2"/>
    <x v="28"/>
    <x v="28"/>
    <n v="19.85688"/>
    <x v="0"/>
    <x v="0"/>
    <x v="1"/>
    <x v="3"/>
    <x v="3"/>
    <x v="13"/>
    <n v="21.643999200000003"/>
  </r>
  <r>
    <x v="5"/>
    <x v="0"/>
    <x v="5"/>
    <x v="5"/>
    <x v="0"/>
    <x v="1"/>
    <x v="0"/>
    <x v="0"/>
    <x v="0"/>
    <x v="0"/>
    <x v="0"/>
    <x v="0"/>
    <x v="2"/>
    <x v="2"/>
    <x v="2"/>
    <x v="31"/>
    <x v="31"/>
    <n v="1.3363119266047001"/>
    <x v="0"/>
    <x v="0"/>
    <x v="1"/>
    <x v="4"/>
    <x v="5"/>
    <x v="10"/>
    <n v="1.4565799999991231"/>
  </r>
  <r>
    <x v="5"/>
    <x v="0"/>
    <x v="5"/>
    <x v="5"/>
    <x v="0"/>
    <x v="1"/>
    <x v="0"/>
    <x v="0"/>
    <x v="0"/>
    <x v="0"/>
    <x v="0"/>
    <x v="0"/>
    <x v="2"/>
    <x v="2"/>
    <x v="2"/>
    <x v="11"/>
    <x v="11"/>
    <n v="75.980950000000007"/>
    <x v="0"/>
    <x v="0"/>
    <x v="3"/>
    <x v="5"/>
    <x v="7"/>
    <x v="11"/>
    <n v="82.819235500000019"/>
  </r>
  <r>
    <x v="5"/>
    <x v="0"/>
    <x v="5"/>
    <x v="5"/>
    <x v="0"/>
    <x v="1"/>
    <x v="0"/>
    <x v="0"/>
    <x v="0"/>
    <x v="0"/>
    <x v="0"/>
    <x v="0"/>
    <x v="2"/>
    <x v="2"/>
    <x v="2"/>
    <x v="12"/>
    <x v="12"/>
    <n v="774.38375933157602"/>
    <x v="0"/>
    <x v="0"/>
    <x v="0"/>
    <x v="0"/>
    <x v="8"/>
    <x v="12"/>
    <n v="844.07829767141789"/>
  </r>
  <r>
    <x v="5"/>
    <x v="0"/>
    <x v="5"/>
    <x v="5"/>
    <x v="0"/>
    <x v="1"/>
    <x v="0"/>
    <x v="0"/>
    <x v="0"/>
    <x v="0"/>
    <x v="0"/>
    <x v="0"/>
    <x v="2"/>
    <x v="2"/>
    <x v="2"/>
    <x v="14"/>
    <x v="14"/>
    <n v="42.534419999999997"/>
    <x v="0"/>
    <x v="0"/>
    <x v="0"/>
    <x v="0"/>
    <x v="8"/>
    <x v="14"/>
    <n v="46.362517799999999"/>
  </r>
  <r>
    <x v="5"/>
    <x v="0"/>
    <x v="5"/>
    <x v="5"/>
    <x v="0"/>
    <x v="1"/>
    <x v="0"/>
    <x v="0"/>
    <x v="0"/>
    <x v="0"/>
    <x v="0"/>
    <x v="0"/>
    <x v="2"/>
    <x v="2"/>
    <x v="2"/>
    <x v="22"/>
    <x v="22"/>
    <n v="0.41731854838542998"/>
    <x v="0"/>
    <x v="0"/>
    <x v="0"/>
    <x v="0"/>
    <x v="0"/>
    <x v="0"/>
    <n v="0.45487721774011869"/>
  </r>
  <r>
    <x v="5"/>
    <x v="0"/>
    <x v="5"/>
    <x v="5"/>
    <x v="0"/>
    <x v="1"/>
    <x v="0"/>
    <x v="0"/>
    <x v="0"/>
    <x v="0"/>
    <x v="0"/>
    <x v="0"/>
    <x v="2"/>
    <x v="2"/>
    <x v="2"/>
    <x v="16"/>
    <x v="16"/>
    <n v="250.35812000000001"/>
    <x v="0"/>
    <x v="0"/>
    <x v="3"/>
    <x v="5"/>
    <x v="9"/>
    <x v="16"/>
    <n v="272.89035080000002"/>
  </r>
  <r>
    <x v="5"/>
    <x v="0"/>
    <x v="5"/>
    <x v="5"/>
    <x v="0"/>
    <x v="1"/>
    <x v="0"/>
    <x v="0"/>
    <x v="0"/>
    <x v="0"/>
    <x v="0"/>
    <x v="0"/>
    <x v="2"/>
    <x v="2"/>
    <x v="2"/>
    <x v="17"/>
    <x v="17"/>
    <n v="64.709699999999998"/>
    <x v="0"/>
    <x v="0"/>
    <x v="0"/>
    <x v="0"/>
    <x v="4"/>
    <x v="17"/>
    <n v="70.533573000000004"/>
  </r>
  <r>
    <x v="5"/>
    <x v="0"/>
    <x v="5"/>
    <x v="5"/>
    <x v="0"/>
    <x v="1"/>
    <x v="0"/>
    <x v="0"/>
    <x v="0"/>
    <x v="0"/>
    <x v="0"/>
    <x v="0"/>
    <x v="2"/>
    <x v="2"/>
    <x v="2"/>
    <x v="18"/>
    <x v="18"/>
    <n v="155.76782"/>
    <x v="0"/>
    <x v="0"/>
    <x v="0"/>
    <x v="0"/>
    <x v="4"/>
    <x v="18"/>
    <n v="169.78692380000001"/>
  </r>
  <r>
    <x v="5"/>
    <x v="0"/>
    <x v="5"/>
    <x v="5"/>
    <x v="0"/>
    <x v="1"/>
    <x v="0"/>
    <x v="0"/>
    <x v="0"/>
    <x v="0"/>
    <x v="0"/>
    <x v="0"/>
    <x v="2"/>
    <x v="2"/>
    <x v="2"/>
    <x v="34"/>
    <x v="34"/>
    <n v="6.30151615709811"/>
    <x v="0"/>
    <x v="0"/>
    <x v="0"/>
    <x v="0"/>
    <x v="0"/>
    <x v="0"/>
    <n v="6.8686526112369402"/>
  </r>
  <r>
    <x v="5"/>
    <x v="0"/>
    <x v="5"/>
    <x v="5"/>
    <x v="0"/>
    <x v="1"/>
    <x v="0"/>
    <x v="0"/>
    <x v="0"/>
    <x v="0"/>
    <x v="0"/>
    <x v="0"/>
    <x v="2"/>
    <x v="2"/>
    <x v="2"/>
    <x v="25"/>
    <x v="25"/>
    <n v="78.418229357751102"/>
    <x v="0"/>
    <x v="0"/>
    <x v="1"/>
    <x v="4"/>
    <x v="5"/>
    <x v="9"/>
    <n v="85.475869999948713"/>
  </r>
  <r>
    <x v="5"/>
    <x v="0"/>
    <x v="5"/>
    <x v="5"/>
    <x v="0"/>
    <x v="1"/>
    <x v="0"/>
    <x v="0"/>
    <x v="0"/>
    <x v="0"/>
    <x v="0"/>
    <x v="0"/>
    <x v="2"/>
    <x v="2"/>
    <x v="2"/>
    <x v="27"/>
    <x v="27"/>
    <n v="4.2418423424322702"/>
    <x v="0"/>
    <x v="0"/>
    <x v="1"/>
    <x v="3"/>
    <x v="3"/>
    <x v="19"/>
    <n v="4.6236081532511752"/>
  </r>
  <r>
    <x v="5"/>
    <x v="0"/>
    <x v="5"/>
    <x v="5"/>
    <x v="0"/>
    <x v="1"/>
    <x v="0"/>
    <x v="0"/>
    <x v="0"/>
    <x v="0"/>
    <x v="0"/>
    <x v="0"/>
    <x v="2"/>
    <x v="2"/>
    <x v="2"/>
    <x v="0"/>
    <x v="0"/>
    <n v="7.7962161921489903"/>
    <x v="0"/>
    <x v="0"/>
    <x v="0"/>
    <x v="0"/>
    <x v="0"/>
    <x v="0"/>
    <n v="8.4978756494424008"/>
  </r>
  <r>
    <x v="5"/>
    <x v="0"/>
    <x v="5"/>
    <x v="5"/>
    <x v="0"/>
    <x v="1"/>
    <x v="0"/>
    <x v="0"/>
    <x v="0"/>
    <x v="0"/>
    <x v="0"/>
    <x v="0"/>
    <x v="2"/>
    <x v="2"/>
    <x v="2"/>
    <x v="20"/>
    <x v="20"/>
    <n v="116.33414999999999"/>
    <x v="0"/>
    <x v="0"/>
    <x v="1"/>
    <x v="3"/>
    <x v="3"/>
    <x v="13"/>
    <n v="126.80422350000001"/>
  </r>
  <r>
    <x v="5"/>
    <x v="0"/>
    <x v="5"/>
    <x v="5"/>
    <x v="0"/>
    <x v="1"/>
    <x v="0"/>
    <x v="0"/>
    <x v="0"/>
    <x v="0"/>
    <x v="0"/>
    <x v="0"/>
    <x v="2"/>
    <x v="2"/>
    <x v="2"/>
    <x v="2"/>
    <x v="2"/>
    <n v="10728.7221467826"/>
    <x v="0"/>
    <x v="1"/>
    <x v="2"/>
    <x v="2"/>
    <x v="13"/>
    <x v="2"/>
    <n v="11694.307139993036"/>
  </r>
  <r>
    <x v="5"/>
    <x v="0"/>
    <x v="5"/>
    <x v="5"/>
    <x v="0"/>
    <x v="1"/>
    <x v="0"/>
    <x v="0"/>
    <x v="0"/>
    <x v="0"/>
    <x v="0"/>
    <x v="0"/>
    <x v="2"/>
    <x v="2"/>
    <x v="2"/>
    <x v="3"/>
    <x v="3"/>
    <n v="163.28257136177501"/>
    <x v="0"/>
    <x v="0"/>
    <x v="1"/>
    <x v="3"/>
    <x v="3"/>
    <x v="3"/>
    <n v="177.97800278433476"/>
  </r>
  <r>
    <x v="5"/>
    <x v="0"/>
    <x v="5"/>
    <x v="5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5"/>
    <x v="0"/>
    <x v="5"/>
    <x v="5"/>
    <x v="0"/>
    <x v="1"/>
    <x v="0"/>
    <x v="0"/>
    <x v="0"/>
    <x v="0"/>
    <x v="0"/>
    <x v="0"/>
    <x v="1"/>
    <x v="6"/>
    <x v="6"/>
    <x v="6"/>
    <x v="6"/>
    <n v="0.18654000000000001"/>
    <x v="0"/>
    <x v="0"/>
    <x v="0"/>
    <x v="0"/>
    <x v="4"/>
    <x v="6"/>
    <n v="0.20332860000000003"/>
  </r>
  <r>
    <x v="5"/>
    <x v="0"/>
    <x v="5"/>
    <x v="5"/>
    <x v="0"/>
    <x v="1"/>
    <x v="0"/>
    <x v="0"/>
    <x v="0"/>
    <x v="0"/>
    <x v="0"/>
    <x v="0"/>
    <x v="1"/>
    <x v="6"/>
    <x v="6"/>
    <x v="8"/>
    <x v="8"/>
    <n v="86.092277027578007"/>
    <x v="0"/>
    <x v="1"/>
    <x v="2"/>
    <x v="2"/>
    <x v="6"/>
    <x v="8"/>
    <n v="93.840581960060035"/>
  </r>
  <r>
    <x v="5"/>
    <x v="0"/>
    <x v="5"/>
    <x v="5"/>
    <x v="0"/>
    <x v="1"/>
    <x v="0"/>
    <x v="0"/>
    <x v="0"/>
    <x v="0"/>
    <x v="0"/>
    <x v="0"/>
    <x v="1"/>
    <x v="6"/>
    <x v="6"/>
    <x v="28"/>
    <x v="28"/>
    <n v="1E-4"/>
    <x v="0"/>
    <x v="0"/>
    <x v="1"/>
    <x v="3"/>
    <x v="3"/>
    <x v="13"/>
    <n v="1.0900000000000001E-4"/>
  </r>
  <r>
    <x v="5"/>
    <x v="0"/>
    <x v="5"/>
    <x v="5"/>
    <x v="0"/>
    <x v="1"/>
    <x v="0"/>
    <x v="0"/>
    <x v="0"/>
    <x v="0"/>
    <x v="0"/>
    <x v="0"/>
    <x v="1"/>
    <x v="6"/>
    <x v="6"/>
    <x v="11"/>
    <x v="11"/>
    <n v="4.8129999999999997"/>
    <x v="0"/>
    <x v="0"/>
    <x v="3"/>
    <x v="5"/>
    <x v="7"/>
    <x v="11"/>
    <n v="5.2461700000000002"/>
  </r>
  <r>
    <x v="5"/>
    <x v="0"/>
    <x v="5"/>
    <x v="5"/>
    <x v="0"/>
    <x v="1"/>
    <x v="0"/>
    <x v="0"/>
    <x v="0"/>
    <x v="0"/>
    <x v="0"/>
    <x v="0"/>
    <x v="1"/>
    <x v="6"/>
    <x v="6"/>
    <x v="12"/>
    <x v="12"/>
    <n v="146.65825581339601"/>
    <x v="0"/>
    <x v="0"/>
    <x v="0"/>
    <x v="0"/>
    <x v="8"/>
    <x v="12"/>
    <n v="159.85749883660165"/>
  </r>
  <r>
    <x v="5"/>
    <x v="0"/>
    <x v="5"/>
    <x v="5"/>
    <x v="0"/>
    <x v="1"/>
    <x v="0"/>
    <x v="0"/>
    <x v="0"/>
    <x v="0"/>
    <x v="0"/>
    <x v="0"/>
    <x v="1"/>
    <x v="6"/>
    <x v="6"/>
    <x v="14"/>
    <x v="14"/>
    <n v="7.1303999999999998"/>
    <x v="0"/>
    <x v="0"/>
    <x v="0"/>
    <x v="0"/>
    <x v="8"/>
    <x v="14"/>
    <n v="7.7721360000000006"/>
  </r>
  <r>
    <x v="5"/>
    <x v="0"/>
    <x v="5"/>
    <x v="5"/>
    <x v="0"/>
    <x v="1"/>
    <x v="0"/>
    <x v="0"/>
    <x v="0"/>
    <x v="0"/>
    <x v="0"/>
    <x v="0"/>
    <x v="1"/>
    <x v="6"/>
    <x v="6"/>
    <x v="16"/>
    <x v="16"/>
    <n v="497.20296999999999"/>
    <x v="0"/>
    <x v="0"/>
    <x v="3"/>
    <x v="5"/>
    <x v="9"/>
    <x v="16"/>
    <n v="541.9512373"/>
  </r>
  <r>
    <x v="5"/>
    <x v="0"/>
    <x v="5"/>
    <x v="5"/>
    <x v="0"/>
    <x v="1"/>
    <x v="0"/>
    <x v="0"/>
    <x v="0"/>
    <x v="0"/>
    <x v="0"/>
    <x v="0"/>
    <x v="1"/>
    <x v="6"/>
    <x v="6"/>
    <x v="25"/>
    <x v="25"/>
    <n v="192.54097247694901"/>
    <x v="0"/>
    <x v="0"/>
    <x v="1"/>
    <x v="4"/>
    <x v="5"/>
    <x v="9"/>
    <n v="209.86965999987444"/>
  </r>
  <r>
    <x v="5"/>
    <x v="0"/>
    <x v="5"/>
    <x v="5"/>
    <x v="0"/>
    <x v="1"/>
    <x v="0"/>
    <x v="0"/>
    <x v="0"/>
    <x v="0"/>
    <x v="0"/>
    <x v="0"/>
    <x v="1"/>
    <x v="6"/>
    <x v="6"/>
    <x v="0"/>
    <x v="0"/>
    <n v="1.4886120996399601"/>
    <x v="0"/>
    <x v="0"/>
    <x v="0"/>
    <x v="0"/>
    <x v="0"/>
    <x v="0"/>
    <n v="1.6225871886075567"/>
  </r>
  <r>
    <x v="5"/>
    <x v="0"/>
    <x v="5"/>
    <x v="5"/>
    <x v="0"/>
    <x v="1"/>
    <x v="0"/>
    <x v="0"/>
    <x v="0"/>
    <x v="0"/>
    <x v="0"/>
    <x v="0"/>
    <x v="1"/>
    <x v="6"/>
    <x v="6"/>
    <x v="20"/>
    <x v="20"/>
    <n v="905.36654999999996"/>
    <x v="0"/>
    <x v="0"/>
    <x v="1"/>
    <x v="3"/>
    <x v="3"/>
    <x v="13"/>
    <n v="986.84953949999999"/>
  </r>
  <r>
    <x v="5"/>
    <x v="0"/>
    <x v="5"/>
    <x v="5"/>
    <x v="0"/>
    <x v="1"/>
    <x v="0"/>
    <x v="0"/>
    <x v="0"/>
    <x v="0"/>
    <x v="0"/>
    <x v="0"/>
    <x v="1"/>
    <x v="6"/>
    <x v="6"/>
    <x v="2"/>
    <x v="2"/>
    <n v="373.72872477041801"/>
    <x v="0"/>
    <x v="1"/>
    <x v="2"/>
    <x v="2"/>
    <x v="13"/>
    <x v="2"/>
    <n v="407.36430999975568"/>
  </r>
  <r>
    <x v="5"/>
    <x v="0"/>
    <x v="5"/>
    <x v="5"/>
    <x v="0"/>
    <x v="1"/>
    <x v="0"/>
    <x v="0"/>
    <x v="0"/>
    <x v="0"/>
    <x v="0"/>
    <x v="0"/>
    <x v="1"/>
    <x v="6"/>
    <x v="6"/>
    <x v="3"/>
    <x v="3"/>
    <n v="16.3257822647364"/>
    <x v="0"/>
    <x v="0"/>
    <x v="1"/>
    <x v="3"/>
    <x v="3"/>
    <x v="3"/>
    <n v="17.795102668562677"/>
  </r>
  <r>
    <x v="5"/>
    <x v="0"/>
    <x v="5"/>
    <x v="5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5"/>
    <x v="0"/>
    <x v="5"/>
    <x v="5"/>
    <x v="0"/>
    <x v="1"/>
    <x v="0"/>
    <x v="0"/>
    <x v="0"/>
    <x v="0"/>
    <x v="0"/>
    <x v="0"/>
    <x v="3"/>
    <x v="7"/>
    <x v="7"/>
    <x v="9"/>
    <x v="9"/>
    <n v="385.72216329329802"/>
    <x v="0"/>
    <x v="0"/>
    <x v="1"/>
    <x v="4"/>
    <x v="5"/>
    <x v="9"/>
    <n v="420.43715798969487"/>
  </r>
  <r>
    <x v="5"/>
    <x v="0"/>
    <x v="5"/>
    <x v="5"/>
    <x v="0"/>
    <x v="1"/>
    <x v="0"/>
    <x v="0"/>
    <x v="0"/>
    <x v="0"/>
    <x v="0"/>
    <x v="0"/>
    <x v="3"/>
    <x v="7"/>
    <x v="7"/>
    <x v="10"/>
    <x v="10"/>
    <n v="157.22955485049599"/>
    <x v="0"/>
    <x v="0"/>
    <x v="1"/>
    <x v="4"/>
    <x v="5"/>
    <x v="10"/>
    <n v="171.38021478704064"/>
  </r>
  <r>
    <x v="5"/>
    <x v="0"/>
    <x v="5"/>
    <x v="5"/>
    <x v="0"/>
    <x v="1"/>
    <x v="0"/>
    <x v="0"/>
    <x v="0"/>
    <x v="0"/>
    <x v="0"/>
    <x v="0"/>
    <x v="3"/>
    <x v="7"/>
    <x v="7"/>
    <x v="11"/>
    <x v="11"/>
    <n v="323.06675999999999"/>
    <x v="0"/>
    <x v="0"/>
    <x v="3"/>
    <x v="5"/>
    <x v="7"/>
    <x v="11"/>
    <n v="352.14276840000002"/>
  </r>
  <r>
    <x v="5"/>
    <x v="0"/>
    <x v="5"/>
    <x v="5"/>
    <x v="0"/>
    <x v="1"/>
    <x v="0"/>
    <x v="0"/>
    <x v="0"/>
    <x v="0"/>
    <x v="0"/>
    <x v="0"/>
    <x v="3"/>
    <x v="7"/>
    <x v="7"/>
    <x v="36"/>
    <x v="36"/>
    <n v="135.77424770634099"/>
    <x v="0"/>
    <x v="0"/>
    <x v="1"/>
    <x v="3"/>
    <x v="3"/>
    <x v="4"/>
    <n v="147.9939299999117"/>
  </r>
  <r>
    <x v="5"/>
    <x v="0"/>
    <x v="5"/>
    <x v="5"/>
    <x v="0"/>
    <x v="1"/>
    <x v="0"/>
    <x v="0"/>
    <x v="0"/>
    <x v="0"/>
    <x v="0"/>
    <x v="0"/>
    <x v="3"/>
    <x v="7"/>
    <x v="7"/>
    <x v="24"/>
    <x v="24"/>
    <n v="271.069486238369"/>
    <x v="0"/>
    <x v="0"/>
    <x v="1"/>
    <x v="3"/>
    <x v="3"/>
    <x v="4"/>
    <n v="295.46573999982223"/>
  </r>
  <r>
    <x v="5"/>
    <x v="0"/>
    <x v="5"/>
    <x v="5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5"/>
    <x v="0"/>
    <x v="5"/>
    <x v="5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5"/>
    <x v="0"/>
    <x v="5"/>
    <x v="5"/>
    <x v="0"/>
    <x v="1"/>
    <x v="0"/>
    <x v="0"/>
    <x v="0"/>
    <x v="0"/>
    <x v="0"/>
    <x v="0"/>
    <x v="3"/>
    <x v="7"/>
    <x v="7"/>
    <x v="34"/>
    <x v="34"/>
    <n v="112.578834932584"/>
    <x v="0"/>
    <x v="0"/>
    <x v="0"/>
    <x v="0"/>
    <x v="0"/>
    <x v="0"/>
    <n v="122.71093007651658"/>
  </r>
  <r>
    <x v="5"/>
    <x v="0"/>
    <x v="5"/>
    <x v="5"/>
    <x v="0"/>
    <x v="1"/>
    <x v="0"/>
    <x v="0"/>
    <x v="0"/>
    <x v="0"/>
    <x v="0"/>
    <x v="0"/>
    <x v="3"/>
    <x v="7"/>
    <x v="7"/>
    <x v="26"/>
    <x v="26"/>
    <n v="4.7615412844008098"/>
    <x v="0"/>
    <x v="0"/>
    <x v="1"/>
    <x v="3"/>
    <x v="3"/>
    <x v="15"/>
    <n v="5.1900799999968834"/>
  </r>
  <r>
    <x v="5"/>
    <x v="0"/>
    <x v="5"/>
    <x v="5"/>
    <x v="0"/>
    <x v="1"/>
    <x v="0"/>
    <x v="0"/>
    <x v="0"/>
    <x v="0"/>
    <x v="0"/>
    <x v="0"/>
    <x v="1"/>
    <x v="8"/>
    <x v="8"/>
    <x v="6"/>
    <x v="6"/>
    <n v="142.75343000000001"/>
    <x v="0"/>
    <x v="0"/>
    <x v="0"/>
    <x v="0"/>
    <x v="4"/>
    <x v="6"/>
    <n v="155.60123870000001"/>
  </r>
  <r>
    <x v="5"/>
    <x v="0"/>
    <x v="5"/>
    <x v="5"/>
    <x v="0"/>
    <x v="1"/>
    <x v="0"/>
    <x v="0"/>
    <x v="0"/>
    <x v="0"/>
    <x v="0"/>
    <x v="0"/>
    <x v="1"/>
    <x v="8"/>
    <x v="8"/>
    <x v="8"/>
    <x v="8"/>
    <n v="447.273628381241"/>
    <x v="0"/>
    <x v="1"/>
    <x v="2"/>
    <x v="2"/>
    <x v="6"/>
    <x v="8"/>
    <n v="487.5282549355527"/>
  </r>
  <r>
    <x v="5"/>
    <x v="0"/>
    <x v="5"/>
    <x v="5"/>
    <x v="0"/>
    <x v="1"/>
    <x v="0"/>
    <x v="0"/>
    <x v="0"/>
    <x v="0"/>
    <x v="0"/>
    <x v="0"/>
    <x v="1"/>
    <x v="8"/>
    <x v="8"/>
    <x v="9"/>
    <x v="9"/>
    <n v="306.91071087154597"/>
    <x v="0"/>
    <x v="0"/>
    <x v="1"/>
    <x v="4"/>
    <x v="5"/>
    <x v="9"/>
    <n v="334.53267484998514"/>
  </r>
  <r>
    <x v="5"/>
    <x v="0"/>
    <x v="5"/>
    <x v="5"/>
    <x v="0"/>
    <x v="1"/>
    <x v="0"/>
    <x v="0"/>
    <x v="0"/>
    <x v="0"/>
    <x v="0"/>
    <x v="0"/>
    <x v="1"/>
    <x v="8"/>
    <x v="8"/>
    <x v="10"/>
    <x v="10"/>
    <n v="152.74519085467099"/>
    <x v="0"/>
    <x v="0"/>
    <x v="1"/>
    <x v="4"/>
    <x v="5"/>
    <x v="10"/>
    <n v="166.4922580315914"/>
  </r>
  <r>
    <x v="5"/>
    <x v="0"/>
    <x v="5"/>
    <x v="5"/>
    <x v="0"/>
    <x v="1"/>
    <x v="0"/>
    <x v="0"/>
    <x v="0"/>
    <x v="0"/>
    <x v="0"/>
    <x v="0"/>
    <x v="1"/>
    <x v="8"/>
    <x v="8"/>
    <x v="11"/>
    <x v="11"/>
    <n v="22.941780000000001"/>
    <x v="0"/>
    <x v="0"/>
    <x v="3"/>
    <x v="5"/>
    <x v="7"/>
    <x v="11"/>
    <n v="25.006540200000003"/>
  </r>
  <r>
    <x v="5"/>
    <x v="0"/>
    <x v="5"/>
    <x v="5"/>
    <x v="0"/>
    <x v="1"/>
    <x v="0"/>
    <x v="0"/>
    <x v="0"/>
    <x v="0"/>
    <x v="0"/>
    <x v="0"/>
    <x v="1"/>
    <x v="8"/>
    <x v="8"/>
    <x v="36"/>
    <x v="36"/>
    <n v="6.1230091743082502"/>
    <x v="0"/>
    <x v="0"/>
    <x v="1"/>
    <x v="3"/>
    <x v="3"/>
    <x v="4"/>
    <n v="6.6740799999959934"/>
  </r>
  <r>
    <x v="5"/>
    <x v="0"/>
    <x v="5"/>
    <x v="5"/>
    <x v="0"/>
    <x v="1"/>
    <x v="0"/>
    <x v="0"/>
    <x v="0"/>
    <x v="0"/>
    <x v="0"/>
    <x v="0"/>
    <x v="1"/>
    <x v="8"/>
    <x v="8"/>
    <x v="24"/>
    <x v="24"/>
    <n v="321.59919266035803"/>
    <x v="0"/>
    <x v="0"/>
    <x v="1"/>
    <x v="3"/>
    <x v="3"/>
    <x v="4"/>
    <n v="350.54311999979029"/>
  </r>
  <r>
    <x v="5"/>
    <x v="0"/>
    <x v="5"/>
    <x v="5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5"/>
    <x v="0"/>
    <x v="5"/>
    <x v="5"/>
    <x v="0"/>
    <x v="1"/>
    <x v="0"/>
    <x v="0"/>
    <x v="0"/>
    <x v="0"/>
    <x v="0"/>
    <x v="0"/>
    <x v="1"/>
    <x v="8"/>
    <x v="8"/>
    <x v="21"/>
    <x v="21"/>
    <n v="22.137715596317001"/>
    <x v="0"/>
    <x v="0"/>
    <x v="1"/>
    <x v="4"/>
    <x v="5"/>
    <x v="10"/>
    <n v="24.130109999985532"/>
  </r>
  <r>
    <x v="5"/>
    <x v="0"/>
    <x v="5"/>
    <x v="5"/>
    <x v="0"/>
    <x v="1"/>
    <x v="0"/>
    <x v="0"/>
    <x v="0"/>
    <x v="0"/>
    <x v="0"/>
    <x v="0"/>
    <x v="1"/>
    <x v="8"/>
    <x v="8"/>
    <x v="18"/>
    <x v="18"/>
    <n v="51.48415"/>
    <x v="0"/>
    <x v="0"/>
    <x v="0"/>
    <x v="0"/>
    <x v="4"/>
    <x v="18"/>
    <n v="56.117723500000004"/>
  </r>
  <r>
    <x v="5"/>
    <x v="0"/>
    <x v="5"/>
    <x v="5"/>
    <x v="0"/>
    <x v="1"/>
    <x v="0"/>
    <x v="0"/>
    <x v="0"/>
    <x v="0"/>
    <x v="0"/>
    <x v="0"/>
    <x v="1"/>
    <x v="8"/>
    <x v="8"/>
    <x v="34"/>
    <x v="34"/>
    <n v="15.8037196503864"/>
    <x v="0"/>
    <x v="0"/>
    <x v="0"/>
    <x v="0"/>
    <x v="0"/>
    <x v="0"/>
    <n v="17.226054418921176"/>
  </r>
  <r>
    <x v="5"/>
    <x v="0"/>
    <x v="5"/>
    <x v="5"/>
    <x v="0"/>
    <x v="1"/>
    <x v="0"/>
    <x v="0"/>
    <x v="0"/>
    <x v="0"/>
    <x v="0"/>
    <x v="0"/>
    <x v="1"/>
    <x v="8"/>
    <x v="8"/>
    <x v="37"/>
    <x v="37"/>
    <n v="225.688275229222"/>
    <x v="0"/>
    <x v="0"/>
    <x v="1"/>
    <x v="3"/>
    <x v="3"/>
    <x v="4"/>
    <n v="246.00021999985199"/>
  </r>
  <r>
    <x v="5"/>
    <x v="0"/>
    <x v="5"/>
    <x v="5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5"/>
    <x v="0"/>
    <x v="5"/>
    <x v="5"/>
    <x v="0"/>
    <x v="1"/>
    <x v="0"/>
    <x v="0"/>
    <x v="0"/>
    <x v="0"/>
    <x v="0"/>
    <x v="0"/>
    <x v="0"/>
    <x v="9"/>
    <x v="9"/>
    <x v="6"/>
    <x v="6"/>
    <n v="357.15627999999998"/>
    <x v="0"/>
    <x v="0"/>
    <x v="0"/>
    <x v="0"/>
    <x v="4"/>
    <x v="6"/>
    <n v="389.30034519999998"/>
  </r>
  <r>
    <x v="5"/>
    <x v="0"/>
    <x v="5"/>
    <x v="5"/>
    <x v="0"/>
    <x v="1"/>
    <x v="0"/>
    <x v="0"/>
    <x v="0"/>
    <x v="0"/>
    <x v="0"/>
    <x v="0"/>
    <x v="0"/>
    <x v="9"/>
    <x v="9"/>
    <x v="7"/>
    <x v="7"/>
    <n v="466.36878899054602"/>
    <x v="0"/>
    <x v="0"/>
    <x v="1"/>
    <x v="4"/>
    <x v="5"/>
    <x v="7"/>
    <n v="508.34197999969518"/>
  </r>
  <r>
    <x v="5"/>
    <x v="0"/>
    <x v="5"/>
    <x v="5"/>
    <x v="0"/>
    <x v="1"/>
    <x v="0"/>
    <x v="0"/>
    <x v="0"/>
    <x v="0"/>
    <x v="0"/>
    <x v="0"/>
    <x v="0"/>
    <x v="9"/>
    <x v="9"/>
    <x v="9"/>
    <x v="9"/>
    <n v="1186.7066091889601"/>
    <x v="0"/>
    <x v="0"/>
    <x v="1"/>
    <x v="4"/>
    <x v="5"/>
    <x v="9"/>
    <n v="1293.5102040159666"/>
  </r>
  <r>
    <x v="5"/>
    <x v="0"/>
    <x v="5"/>
    <x v="5"/>
    <x v="0"/>
    <x v="1"/>
    <x v="0"/>
    <x v="0"/>
    <x v="0"/>
    <x v="0"/>
    <x v="0"/>
    <x v="0"/>
    <x v="0"/>
    <x v="9"/>
    <x v="9"/>
    <x v="10"/>
    <x v="10"/>
    <n v="178.99726408253099"/>
    <x v="0"/>
    <x v="0"/>
    <x v="1"/>
    <x v="4"/>
    <x v="5"/>
    <x v="10"/>
    <n v="195.10701784995879"/>
  </r>
  <r>
    <x v="5"/>
    <x v="0"/>
    <x v="5"/>
    <x v="5"/>
    <x v="0"/>
    <x v="1"/>
    <x v="0"/>
    <x v="0"/>
    <x v="0"/>
    <x v="0"/>
    <x v="0"/>
    <x v="0"/>
    <x v="0"/>
    <x v="9"/>
    <x v="9"/>
    <x v="11"/>
    <x v="11"/>
    <n v="190.23158000000001"/>
    <x v="0"/>
    <x v="0"/>
    <x v="3"/>
    <x v="5"/>
    <x v="7"/>
    <x v="11"/>
    <n v="207.35242220000003"/>
  </r>
  <r>
    <x v="5"/>
    <x v="0"/>
    <x v="5"/>
    <x v="5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5"/>
    <x v="0"/>
    <x v="5"/>
    <x v="5"/>
    <x v="0"/>
    <x v="1"/>
    <x v="0"/>
    <x v="0"/>
    <x v="0"/>
    <x v="0"/>
    <x v="0"/>
    <x v="0"/>
    <x v="0"/>
    <x v="9"/>
    <x v="9"/>
    <x v="36"/>
    <x v="36"/>
    <n v="22.412651376133301"/>
    <x v="0"/>
    <x v="0"/>
    <x v="1"/>
    <x v="3"/>
    <x v="3"/>
    <x v="4"/>
    <n v="24.429789999985299"/>
  </r>
  <r>
    <x v="5"/>
    <x v="0"/>
    <x v="5"/>
    <x v="5"/>
    <x v="0"/>
    <x v="1"/>
    <x v="0"/>
    <x v="0"/>
    <x v="0"/>
    <x v="0"/>
    <x v="0"/>
    <x v="0"/>
    <x v="0"/>
    <x v="9"/>
    <x v="9"/>
    <x v="24"/>
    <x v="24"/>
    <n v="283.78084403652701"/>
    <x v="0"/>
    <x v="0"/>
    <x v="1"/>
    <x v="3"/>
    <x v="3"/>
    <x v="4"/>
    <n v="309.32111999981447"/>
  </r>
  <r>
    <x v="5"/>
    <x v="0"/>
    <x v="5"/>
    <x v="5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5"/>
    <x v="0"/>
    <x v="5"/>
    <x v="5"/>
    <x v="0"/>
    <x v="1"/>
    <x v="0"/>
    <x v="0"/>
    <x v="0"/>
    <x v="0"/>
    <x v="0"/>
    <x v="0"/>
    <x v="0"/>
    <x v="9"/>
    <x v="9"/>
    <x v="21"/>
    <x v="21"/>
    <n v="179.711064220076"/>
    <x v="0"/>
    <x v="0"/>
    <x v="1"/>
    <x v="4"/>
    <x v="5"/>
    <x v="10"/>
    <n v="195.88505999988286"/>
  </r>
  <r>
    <x v="5"/>
    <x v="0"/>
    <x v="5"/>
    <x v="5"/>
    <x v="0"/>
    <x v="1"/>
    <x v="0"/>
    <x v="0"/>
    <x v="0"/>
    <x v="0"/>
    <x v="0"/>
    <x v="0"/>
    <x v="0"/>
    <x v="9"/>
    <x v="9"/>
    <x v="18"/>
    <x v="18"/>
    <n v="262.08422000000002"/>
    <x v="0"/>
    <x v="0"/>
    <x v="0"/>
    <x v="0"/>
    <x v="4"/>
    <x v="18"/>
    <n v="285.67179980000003"/>
  </r>
  <r>
    <x v="5"/>
    <x v="0"/>
    <x v="5"/>
    <x v="5"/>
    <x v="0"/>
    <x v="1"/>
    <x v="0"/>
    <x v="0"/>
    <x v="0"/>
    <x v="0"/>
    <x v="0"/>
    <x v="0"/>
    <x v="0"/>
    <x v="9"/>
    <x v="9"/>
    <x v="34"/>
    <x v="34"/>
    <n v="63.908027073149398"/>
    <x v="0"/>
    <x v="0"/>
    <x v="0"/>
    <x v="0"/>
    <x v="0"/>
    <x v="0"/>
    <n v="69.659749509732848"/>
  </r>
  <r>
    <x v="5"/>
    <x v="0"/>
    <x v="5"/>
    <x v="5"/>
    <x v="0"/>
    <x v="1"/>
    <x v="0"/>
    <x v="0"/>
    <x v="0"/>
    <x v="0"/>
    <x v="0"/>
    <x v="0"/>
    <x v="0"/>
    <x v="9"/>
    <x v="9"/>
    <x v="37"/>
    <x v="37"/>
    <n v="104.359110091681"/>
    <x v="0"/>
    <x v="0"/>
    <x v="1"/>
    <x v="3"/>
    <x v="3"/>
    <x v="4"/>
    <n v="113.7514299999323"/>
  </r>
  <r>
    <x v="5"/>
    <x v="0"/>
    <x v="5"/>
    <x v="5"/>
    <x v="0"/>
    <x v="1"/>
    <x v="0"/>
    <x v="0"/>
    <x v="0"/>
    <x v="0"/>
    <x v="0"/>
    <x v="0"/>
    <x v="0"/>
    <x v="9"/>
    <x v="9"/>
    <x v="26"/>
    <x v="26"/>
    <n v="1.83218348623743"/>
    <x v="0"/>
    <x v="0"/>
    <x v="1"/>
    <x v="3"/>
    <x v="3"/>
    <x v="15"/>
    <n v="1.9970799999987989"/>
  </r>
  <r>
    <x v="5"/>
    <x v="0"/>
    <x v="5"/>
    <x v="5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5"/>
    <x v="0"/>
    <x v="5"/>
    <x v="5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5"/>
    <x v="0"/>
    <x v="5"/>
    <x v="5"/>
    <x v="0"/>
    <x v="1"/>
    <x v="0"/>
    <x v="0"/>
    <x v="0"/>
    <x v="0"/>
    <x v="0"/>
    <x v="0"/>
    <x v="2"/>
    <x v="10"/>
    <x v="10"/>
    <x v="6"/>
    <x v="6"/>
    <n v="437.81900999999999"/>
    <x v="0"/>
    <x v="0"/>
    <x v="0"/>
    <x v="0"/>
    <x v="4"/>
    <x v="6"/>
    <n v="477.22272090000001"/>
  </r>
  <r>
    <x v="5"/>
    <x v="0"/>
    <x v="5"/>
    <x v="5"/>
    <x v="0"/>
    <x v="1"/>
    <x v="0"/>
    <x v="0"/>
    <x v="0"/>
    <x v="0"/>
    <x v="0"/>
    <x v="0"/>
    <x v="2"/>
    <x v="10"/>
    <x v="10"/>
    <x v="7"/>
    <x v="7"/>
    <n v="56.780862385287001"/>
    <x v="0"/>
    <x v="0"/>
    <x v="1"/>
    <x v="4"/>
    <x v="5"/>
    <x v="7"/>
    <n v="61.891139999962839"/>
  </r>
  <r>
    <x v="5"/>
    <x v="0"/>
    <x v="5"/>
    <x v="5"/>
    <x v="0"/>
    <x v="1"/>
    <x v="0"/>
    <x v="0"/>
    <x v="0"/>
    <x v="0"/>
    <x v="0"/>
    <x v="0"/>
    <x v="2"/>
    <x v="10"/>
    <x v="10"/>
    <x v="9"/>
    <x v="9"/>
    <n v="522.40098788644696"/>
    <x v="0"/>
    <x v="0"/>
    <x v="1"/>
    <x v="4"/>
    <x v="5"/>
    <x v="9"/>
    <n v="569.41707679622721"/>
  </r>
  <r>
    <x v="5"/>
    <x v="0"/>
    <x v="5"/>
    <x v="5"/>
    <x v="0"/>
    <x v="1"/>
    <x v="0"/>
    <x v="0"/>
    <x v="0"/>
    <x v="0"/>
    <x v="0"/>
    <x v="0"/>
    <x v="2"/>
    <x v="10"/>
    <x v="10"/>
    <x v="10"/>
    <x v="10"/>
    <n v="310.360712651477"/>
    <x v="0"/>
    <x v="0"/>
    <x v="1"/>
    <x v="4"/>
    <x v="5"/>
    <x v="10"/>
    <n v="338.29317679010995"/>
  </r>
  <r>
    <x v="5"/>
    <x v="0"/>
    <x v="5"/>
    <x v="5"/>
    <x v="0"/>
    <x v="1"/>
    <x v="0"/>
    <x v="0"/>
    <x v="0"/>
    <x v="0"/>
    <x v="0"/>
    <x v="0"/>
    <x v="2"/>
    <x v="10"/>
    <x v="10"/>
    <x v="11"/>
    <x v="11"/>
    <n v="120.69546"/>
    <x v="0"/>
    <x v="0"/>
    <x v="3"/>
    <x v="5"/>
    <x v="7"/>
    <x v="11"/>
    <n v="131.55805140000001"/>
  </r>
  <r>
    <x v="5"/>
    <x v="0"/>
    <x v="5"/>
    <x v="5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5"/>
    <x v="0"/>
    <x v="5"/>
    <x v="5"/>
    <x v="0"/>
    <x v="1"/>
    <x v="0"/>
    <x v="0"/>
    <x v="0"/>
    <x v="0"/>
    <x v="0"/>
    <x v="0"/>
    <x v="2"/>
    <x v="10"/>
    <x v="10"/>
    <x v="36"/>
    <x v="36"/>
    <n v="47.416440366944002"/>
    <x v="0"/>
    <x v="0"/>
    <x v="1"/>
    <x v="3"/>
    <x v="3"/>
    <x v="4"/>
    <n v="51.683919999968964"/>
  </r>
  <r>
    <x v="5"/>
    <x v="0"/>
    <x v="5"/>
    <x v="5"/>
    <x v="0"/>
    <x v="1"/>
    <x v="0"/>
    <x v="0"/>
    <x v="0"/>
    <x v="0"/>
    <x v="0"/>
    <x v="0"/>
    <x v="2"/>
    <x v="10"/>
    <x v="10"/>
    <x v="24"/>
    <x v="24"/>
    <n v="182.08444036686299"/>
    <x v="0"/>
    <x v="0"/>
    <x v="1"/>
    <x v="3"/>
    <x v="3"/>
    <x v="4"/>
    <n v="198.47203999988068"/>
  </r>
  <r>
    <x v="5"/>
    <x v="0"/>
    <x v="5"/>
    <x v="5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5"/>
    <x v="0"/>
    <x v="5"/>
    <x v="5"/>
    <x v="0"/>
    <x v="1"/>
    <x v="0"/>
    <x v="0"/>
    <x v="0"/>
    <x v="0"/>
    <x v="0"/>
    <x v="0"/>
    <x v="2"/>
    <x v="10"/>
    <x v="10"/>
    <x v="21"/>
    <x v="21"/>
    <n v="71.460899082525899"/>
    <x v="0"/>
    <x v="0"/>
    <x v="1"/>
    <x v="4"/>
    <x v="5"/>
    <x v="10"/>
    <n v="77.892379999953235"/>
  </r>
  <r>
    <x v="5"/>
    <x v="0"/>
    <x v="5"/>
    <x v="5"/>
    <x v="0"/>
    <x v="1"/>
    <x v="0"/>
    <x v="0"/>
    <x v="0"/>
    <x v="0"/>
    <x v="0"/>
    <x v="0"/>
    <x v="2"/>
    <x v="10"/>
    <x v="10"/>
    <x v="18"/>
    <x v="18"/>
    <n v="170.9101"/>
    <x v="0"/>
    <x v="0"/>
    <x v="0"/>
    <x v="0"/>
    <x v="4"/>
    <x v="18"/>
    <n v="186.29200900000001"/>
  </r>
  <r>
    <x v="5"/>
    <x v="0"/>
    <x v="5"/>
    <x v="5"/>
    <x v="0"/>
    <x v="1"/>
    <x v="0"/>
    <x v="0"/>
    <x v="0"/>
    <x v="0"/>
    <x v="0"/>
    <x v="0"/>
    <x v="2"/>
    <x v="10"/>
    <x v="10"/>
    <x v="34"/>
    <x v="34"/>
    <n v="133.17327161345699"/>
    <x v="0"/>
    <x v="0"/>
    <x v="0"/>
    <x v="0"/>
    <x v="0"/>
    <x v="0"/>
    <n v="145.15886605866814"/>
  </r>
  <r>
    <x v="5"/>
    <x v="0"/>
    <x v="5"/>
    <x v="5"/>
    <x v="0"/>
    <x v="1"/>
    <x v="0"/>
    <x v="0"/>
    <x v="0"/>
    <x v="0"/>
    <x v="0"/>
    <x v="0"/>
    <x v="2"/>
    <x v="10"/>
    <x v="10"/>
    <x v="37"/>
    <x v="37"/>
    <n v="135.505807339368"/>
    <x v="0"/>
    <x v="0"/>
    <x v="1"/>
    <x v="3"/>
    <x v="3"/>
    <x v="4"/>
    <n v="147.70132999991114"/>
  </r>
  <r>
    <x v="5"/>
    <x v="0"/>
    <x v="5"/>
    <x v="5"/>
    <x v="0"/>
    <x v="1"/>
    <x v="0"/>
    <x v="0"/>
    <x v="0"/>
    <x v="0"/>
    <x v="0"/>
    <x v="0"/>
    <x v="2"/>
    <x v="10"/>
    <x v="10"/>
    <x v="26"/>
    <x v="26"/>
    <n v="6.2279633027485604"/>
    <x v="0"/>
    <x v="0"/>
    <x v="1"/>
    <x v="3"/>
    <x v="3"/>
    <x v="15"/>
    <n v="6.7884799999959311"/>
  </r>
  <r>
    <x v="5"/>
    <x v="0"/>
    <x v="5"/>
    <x v="5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5"/>
    <x v="0"/>
    <x v="5"/>
    <x v="5"/>
    <x v="0"/>
    <x v="1"/>
    <x v="0"/>
    <x v="0"/>
    <x v="0"/>
    <x v="0"/>
    <x v="0"/>
    <x v="0"/>
    <x v="4"/>
    <x v="5"/>
    <x v="5"/>
    <x v="4"/>
    <x v="4"/>
    <n v="28.295009174295"/>
    <x v="0"/>
    <x v="0"/>
    <x v="1"/>
    <x v="3"/>
    <x v="3"/>
    <x v="4"/>
    <n v="30.841559999981552"/>
  </r>
  <r>
    <x v="5"/>
    <x v="0"/>
    <x v="5"/>
    <x v="5"/>
    <x v="0"/>
    <x v="1"/>
    <x v="0"/>
    <x v="0"/>
    <x v="0"/>
    <x v="0"/>
    <x v="0"/>
    <x v="0"/>
    <x v="4"/>
    <x v="5"/>
    <x v="5"/>
    <x v="6"/>
    <x v="6"/>
    <n v="1013.49757"/>
    <x v="0"/>
    <x v="0"/>
    <x v="0"/>
    <x v="0"/>
    <x v="4"/>
    <x v="6"/>
    <n v="1104.7123513000001"/>
  </r>
  <r>
    <x v="5"/>
    <x v="0"/>
    <x v="5"/>
    <x v="5"/>
    <x v="0"/>
    <x v="1"/>
    <x v="0"/>
    <x v="0"/>
    <x v="0"/>
    <x v="0"/>
    <x v="0"/>
    <x v="0"/>
    <x v="4"/>
    <x v="5"/>
    <x v="5"/>
    <x v="7"/>
    <x v="7"/>
    <n v="44.119211009147797"/>
    <x v="0"/>
    <x v="0"/>
    <x v="1"/>
    <x v="4"/>
    <x v="5"/>
    <x v="7"/>
    <n v="48.089939999971101"/>
  </r>
  <r>
    <x v="5"/>
    <x v="0"/>
    <x v="5"/>
    <x v="5"/>
    <x v="0"/>
    <x v="1"/>
    <x v="0"/>
    <x v="0"/>
    <x v="0"/>
    <x v="0"/>
    <x v="0"/>
    <x v="0"/>
    <x v="4"/>
    <x v="5"/>
    <x v="5"/>
    <x v="8"/>
    <x v="8"/>
    <n v="6218.1019459857398"/>
    <x v="0"/>
    <x v="1"/>
    <x v="2"/>
    <x v="2"/>
    <x v="6"/>
    <x v="8"/>
    <n v="6777.7311211244569"/>
  </r>
  <r>
    <x v="5"/>
    <x v="0"/>
    <x v="5"/>
    <x v="5"/>
    <x v="0"/>
    <x v="1"/>
    <x v="0"/>
    <x v="0"/>
    <x v="0"/>
    <x v="0"/>
    <x v="0"/>
    <x v="0"/>
    <x v="4"/>
    <x v="5"/>
    <x v="5"/>
    <x v="9"/>
    <x v="9"/>
    <n v="2531.1196549936299"/>
    <x v="0"/>
    <x v="0"/>
    <x v="1"/>
    <x v="4"/>
    <x v="5"/>
    <x v="9"/>
    <n v="2758.9204239430569"/>
  </r>
  <r>
    <x v="5"/>
    <x v="0"/>
    <x v="5"/>
    <x v="5"/>
    <x v="0"/>
    <x v="1"/>
    <x v="0"/>
    <x v="0"/>
    <x v="0"/>
    <x v="0"/>
    <x v="0"/>
    <x v="0"/>
    <x v="4"/>
    <x v="5"/>
    <x v="5"/>
    <x v="10"/>
    <x v="10"/>
    <n v="445.84917692990399"/>
    <x v="0"/>
    <x v="0"/>
    <x v="1"/>
    <x v="4"/>
    <x v="5"/>
    <x v="10"/>
    <n v="485.97560285359538"/>
  </r>
  <r>
    <x v="5"/>
    <x v="0"/>
    <x v="5"/>
    <x v="5"/>
    <x v="0"/>
    <x v="1"/>
    <x v="0"/>
    <x v="0"/>
    <x v="0"/>
    <x v="0"/>
    <x v="0"/>
    <x v="0"/>
    <x v="4"/>
    <x v="5"/>
    <x v="5"/>
    <x v="29"/>
    <x v="29"/>
    <n v="0.57652000000000003"/>
    <x v="0"/>
    <x v="0"/>
    <x v="1"/>
    <x v="3"/>
    <x v="3"/>
    <x v="13"/>
    <n v="0.62840680000000004"/>
  </r>
  <r>
    <x v="5"/>
    <x v="0"/>
    <x v="5"/>
    <x v="5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5"/>
    <x v="0"/>
    <x v="5"/>
    <x v="5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5"/>
    <x v="0"/>
    <x v="5"/>
    <x v="5"/>
    <x v="0"/>
    <x v="1"/>
    <x v="0"/>
    <x v="0"/>
    <x v="0"/>
    <x v="0"/>
    <x v="0"/>
    <x v="0"/>
    <x v="4"/>
    <x v="5"/>
    <x v="5"/>
    <x v="12"/>
    <x v="12"/>
    <n v="8.0034534883416804"/>
    <x v="0"/>
    <x v="0"/>
    <x v="0"/>
    <x v="0"/>
    <x v="8"/>
    <x v="12"/>
    <n v="8.723764302292432"/>
  </r>
  <r>
    <x v="5"/>
    <x v="0"/>
    <x v="5"/>
    <x v="5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5"/>
    <x v="0"/>
    <x v="5"/>
    <x v="5"/>
    <x v="0"/>
    <x v="1"/>
    <x v="0"/>
    <x v="0"/>
    <x v="0"/>
    <x v="0"/>
    <x v="0"/>
    <x v="0"/>
    <x v="4"/>
    <x v="5"/>
    <x v="5"/>
    <x v="22"/>
    <x v="22"/>
    <n v="76.186372311523201"/>
    <x v="0"/>
    <x v="0"/>
    <x v="0"/>
    <x v="0"/>
    <x v="0"/>
    <x v="0"/>
    <n v="83.043145819560294"/>
  </r>
  <r>
    <x v="5"/>
    <x v="0"/>
    <x v="5"/>
    <x v="5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5"/>
    <x v="0"/>
    <x v="5"/>
    <x v="5"/>
    <x v="0"/>
    <x v="1"/>
    <x v="0"/>
    <x v="0"/>
    <x v="0"/>
    <x v="0"/>
    <x v="0"/>
    <x v="0"/>
    <x v="4"/>
    <x v="5"/>
    <x v="5"/>
    <x v="36"/>
    <x v="36"/>
    <n v="184.348972476954"/>
    <x v="0"/>
    <x v="0"/>
    <x v="1"/>
    <x v="3"/>
    <x v="3"/>
    <x v="4"/>
    <n v="200.94037999987987"/>
  </r>
  <r>
    <x v="5"/>
    <x v="0"/>
    <x v="5"/>
    <x v="5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5"/>
    <x v="0"/>
    <x v="5"/>
    <x v="5"/>
    <x v="0"/>
    <x v="1"/>
    <x v="0"/>
    <x v="0"/>
    <x v="0"/>
    <x v="0"/>
    <x v="0"/>
    <x v="0"/>
    <x v="4"/>
    <x v="5"/>
    <x v="5"/>
    <x v="24"/>
    <x v="24"/>
    <n v="270.74728440350702"/>
    <x v="0"/>
    <x v="0"/>
    <x v="1"/>
    <x v="3"/>
    <x v="3"/>
    <x v="4"/>
    <n v="295.11453999982268"/>
  </r>
  <r>
    <x v="5"/>
    <x v="0"/>
    <x v="5"/>
    <x v="5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5"/>
    <x v="0"/>
    <x v="5"/>
    <x v="5"/>
    <x v="0"/>
    <x v="1"/>
    <x v="0"/>
    <x v="0"/>
    <x v="0"/>
    <x v="0"/>
    <x v="0"/>
    <x v="0"/>
    <x v="4"/>
    <x v="5"/>
    <x v="5"/>
    <x v="18"/>
    <x v="18"/>
    <n v="1248.94452"/>
    <x v="0"/>
    <x v="0"/>
    <x v="0"/>
    <x v="0"/>
    <x v="4"/>
    <x v="18"/>
    <n v="1361.3495268000001"/>
  </r>
  <r>
    <x v="5"/>
    <x v="0"/>
    <x v="5"/>
    <x v="5"/>
    <x v="0"/>
    <x v="1"/>
    <x v="0"/>
    <x v="0"/>
    <x v="0"/>
    <x v="0"/>
    <x v="0"/>
    <x v="0"/>
    <x v="4"/>
    <x v="5"/>
    <x v="5"/>
    <x v="34"/>
    <x v="34"/>
    <n v="489.000166803914"/>
    <x v="0"/>
    <x v="0"/>
    <x v="0"/>
    <x v="0"/>
    <x v="0"/>
    <x v="0"/>
    <n v="533.01018181626625"/>
  </r>
  <r>
    <x v="5"/>
    <x v="0"/>
    <x v="5"/>
    <x v="5"/>
    <x v="0"/>
    <x v="1"/>
    <x v="0"/>
    <x v="0"/>
    <x v="0"/>
    <x v="0"/>
    <x v="0"/>
    <x v="0"/>
    <x v="4"/>
    <x v="5"/>
    <x v="5"/>
    <x v="25"/>
    <x v="25"/>
    <n v="170.79194495402601"/>
    <x v="0"/>
    <x v="0"/>
    <x v="1"/>
    <x v="4"/>
    <x v="5"/>
    <x v="9"/>
    <n v="186.16321999988836"/>
  </r>
  <r>
    <x v="5"/>
    <x v="0"/>
    <x v="5"/>
    <x v="5"/>
    <x v="0"/>
    <x v="1"/>
    <x v="0"/>
    <x v="0"/>
    <x v="0"/>
    <x v="0"/>
    <x v="0"/>
    <x v="0"/>
    <x v="4"/>
    <x v="5"/>
    <x v="5"/>
    <x v="37"/>
    <x v="37"/>
    <n v="497.21820183456401"/>
    <x v="0"/>
    <x v="0"/>
    <x v="1"/>
    <x v="3"/>
    <x v="3"/>
    <x v="4"/>
    <n v="541.96783999967477"/>
  </r>
  <r>
    <x v="5"/>
    <x v="0"/>
    <x v="5"/>
    <x v="5"/>
    <x v="0"/>
    <x v="1"/>
    <x v="0"/>
    <x v="0"/>
    <x v="0"/>
    <x v="0"/>
    <x v="0"/>
    <x v="0"/>
    <x v="4"/>
    <x v="5"/>
    <x v="5"/>
    <x v="27"/>
    <x v="27"/>
    <n v="57.663069821042299"/>
    <x v="0"/>
    <x v="0"/>
    <x v="1"/>
    <x v="3"/>
    <x v="3"/>
    <x v="19"/>
    <n v="62.852746104936109"/>
  </r>
  <r>
    <x v="5"/>
    <x v="0"/>
    <x v="5"/>
    <x v="5"/>
    <x v="0"/>
    <x v="1"/>
    <x v="0"/>
    <x v="0"/>
    <x v="0"/>
    <x v="0"/>
    <x v="0"/>
    <x v="0"/>
    <x v="4"/>
    <x v="5"/>
    <x v="5"/>
    <x v="26"/>
    <x v="26"/>
    <n v="13.532467889900101"/>
    <x v="0"/>
    <x v="0"/>
    <x v="1"/>
    <x v="3"/>
    <x v="3"/>
    <x v="15"/>
    <n v="14.750389999991111"/>
  </r>
  <r>
    <x v="5"/>
    <x v="0"/>
    <x v="5"/>
    <x v="5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5"/>
    <x v="0"/>
    <x v="5"/>
    <x v="5"/>
    <x v="0"/>
    <x v="1"/>
    <x v="0"/>
    <x v="0"/>
    <x v="0"/>
    <x v="0"/>
    <x v="0"/>
    <x v="0"/>
    <x v="4"/>
    <x v="5"/>
    <x v="5"/>
    <x v="2"/>
    <x v="2"/>
    <n v="11284.373733938201"/>
    <x v="0"/>
    <x v="1"/>
    <x v="2"/>
    <x v="2"/>
    <x v="13"/>
    <x v="2"/>
    <n v="12299.967369992639"/>
  </r>
  <r>
    <x v="5"/>
    <x v="0"/>
    <x v="5"/>
    <x v="5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5"/>
    <x v="0"/>
    <x v="5"/>
    <x v="5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5"/>
    <x v="0"/>
    <x v="5"/>
    <x v="5"/>
    <x v="0"/>
    <x v="1"/>
    <x v="0"/>
    <x v="0"/>
    <x v="0"/>
    <x v="0"/>
    <x v="3"/>
    <x v="3"/>
    <x v="0"/>
    <x v="4"/>
    <x v="4"/>
    <x v="16"/>
    <x v="16"/>
    <n v="4.7752100000000004"/>
    <x v="0"/>
    <x v="0"/>
    <x v="3"/>
    <x v="5"/>
    <x v="9"/>
    <x v="16"/>
    <n v="5.2049789000000004"/>
  </r>
  <r>
    <x v="5"/>
    <x v="0"/>
    <x v="5"/>
    <x v="5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5"/>
    <x v="0"/>
    <x v="5"/>
    <x v="5"/>
    <x v="0"/>
    <x v="1"/>
    <x v="0"/>
    <x v="0"/>
    <x v="0"/>
    <x v="0"/>
    <x v="3"/>
    <x v="3"/>
    <x v="2"/>
    <x v="2"/>
    <x v="2"/>
    <x v="6"/>
    <x v="6"/>
    <n v="80.928219999999996"/>
    <x v="0"/>
    <x v="0"/>
    <x v="0"/>
    <x v="0"/>
    <x v="4"/>
    <x v="6"/>
    <n v="88.211759799999996"/>
  </r>
  <r>
    <x v="5"/>
    <x v="0"/>
    <x v="5"/>
    <x v="5"/>
    <x v="0"/>
    <x v="1"/>
    <x v="0"/>
    <x v="0"/>
    <x v="0"/>
    <x v="0"/>
    <x v="3"/>
    <x v="3"/>
    <x v="2"/>
    <x v="2"/>
    <x v="2"/>
    <x v="8"/>
    <x v="8"/>
    <n v="678.67110135569499"/>
    <x v="0"/>
    <x v="1"/>
    <x v="2"/>
    <x v="2"/>
    <x v="6"/>
    <x v="8"/>
    <n v="739.75150047770762"/>
  </r>
  <r>
    <x v="5"/>
    <x v="0"/>
    <x v="5"/>
    <x v="5"/>
    <x v="0"/>
    <x v="1"/>
    <x v="0"/>
    <x v="0"/>
    <x v="0"/>
    <x v="0"/>
    <x v="3"/>
    <x v="3"/>
    <x v="2"/>
    <x v="2"/>
    <x v="2"/>
    <x v="9"/>
    <x v="9"/>
    <n v="1.279816513761E-2"/>
    <x v="0"/>
    <x v="0"/>
    <x v="1"/>
    <x v="4"/>
    <x v="5"/>
    <x v="9"/>
    <n v="1.3949999999994901E-2"/>
  </r>
  <r>
    <x v="5"/>
    <x v="0"/>
    <x v="5"/>
    <x v="5"/>
    <x v="0"/>
    <x v="1"/>
    <x v="0"/>
    <x v="0"/>
    <x v="0"/>
    <x v="0"/>
    <x v="3"/>
    <x v="3"/>
    <x v="2"/>
    <x v="2"/>
    <x v="2"/>
    <x v="30"/>
    <x v="30"/>
    <n v="37.561865591247603"/>
    <x v="0"/>
    <x v="0"/>
    <x v="0"/>
    <x v="0"/>
    <x v="0"/>
    <x v="0"/>
    <n v="40.942433494459891"/>
  </r>
  <r>
    <x v="5"/>
    <x v="0"/>
    <x v="5"/>
    <x v="5"/>
    <x v="0"/>
    <x v="1"/>
    <x v="0"/>
    <x v="0"/>
    <x v="0"/>
    <x v="0"/>
    <x v="3"/>
    <x v="3"/>
    <x v="2"/>
    <x v="2"/>
    <x v="2"/>
    <x v="16"/>
    <x v="16"/>
    <n v="15.44722"/>
    <x v="0"/>
    <x v="0"/>
    <x v="3"/>
    <x v="5"/>
    <x v="9"/>
    <x v="16"/>
    <n v="16.837469800000001"/>
  </r>
  <r>
    <x v="5"/>
    <x v="0"/>
    <x v="5"/>
    <x v="5"/>
    <x v="0"/>
    <x v="1"/>
    <x v="0"/>
    <x v="0"/>
    <x v="0"/>
    <x v="0"/>
    <x v="3"/>
    <x v="3"/>
    <x v="2"/>
    <x v="2"/>
    <x v="2"/>
    <x v="18"/>
    <x v="18"/>
    <n v="3.36964"/>
    <x v="0"/>
    <x v="0"/>
    <x v="0"/>
    <x v="0"/>
    <x v="4"/>
    <x v="18"/>
    <n v="3.6729076000000003"/>
  </r>
  <r>
    <x v="5"/>
    <x v="0"/>
    <x v="5"/>
    <x v="5"/>
    <x v="0"/>
    <x v="1"/>
    <x v="0"/>
    <x v="0"/>
    <x v="0"/>
    <x v="0"/>
    <x v="3"/>
    <x v="3"/>
    <x v="2"/>
    <x v="2"/>
    <x v="2"/>
    <x v="2"/>
    <x v="2"/>
    <n v="539.86461467857498"/>
    <x v="0"/>
    <x v="1"/>
    <x v="2"/>
    <x v="2"/>
    <x v="13"/>
    <x v="2"/>
    <n v="588.45242999964682"/>
  </r>
  <r>
    <x v="5"/>
    <x v="0"/>
    <x v="5"/>
    <x v="5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5"/>
    <x v="0"/>
    <x v="5"/>
    <x v="5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5"/>
    <x v="0"/>
    <x v="5"/>
    <x v="5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5"/>
    <x v="0"/>
    <x v="5"/>
    <x v="5"/>
    <x v="0"/>
    <x v="1"/>
    <x v="0"/>
    <x v="0"/>
    <x v="0"/>
    <x v="0"/>
    <x v="3"/>
    <x v="3"/>
    <x v="4"/>
    <x v="5"/>
    <x v="5"/>
    <x v="12"/>
    <x v="12"/>
    <n v="47.099848837030301"/>
    <x v="0"/>
    <x v="0"/>
    <x v="0"/>
    <x v="0"/>
    <x v="8"/>
    <x v="12"/>
    <n v="51.338835232363031"/>
  </r>
  <r>
    <x v="5"/>
    <x v="0"/>
    <x v="5"/>
    <x v="5"/>
    <x v="0"/>
    <x v="1"/>
    <x v="0"/>
    <x v="0"/>
    <x v="0"/>
    <x v="0"/>
    <x v="3"/>
    <x v="3"/>
    <x v="4"/>
    <x v="5"/>
    <x v="5"/>
    <x v="18"/>
    <x v="18"/>
    <n v="10.039490000000001"/>
    <x v="0"/>
    <x v="0"/>
    <x v="0"/>
    <x v="0"/>
    <x v="4"/>
    <x v="18"/>
    <n v="10.943044100000002"/>
  </r>
  <r>
    <x v="5"/>
    <x v="0"/>
    <x v="5"/>
    <x v="5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5"/>
    <x v="0"/>
    <x v="5"/>
    <x v="5"/>
    <x v="0"/>
    <x v="1"/>
    <x v="0"/>
    <x v="0"/>
    <x v="0"/>
    <x v="0"/>
    <x v="3"/>
    <x v="3"/>
    <x v="4"/>
    <x v="5"/>
    <x v="5"/>
    <x v="0"/>
    <x v="0"/>
    <n v="164.62784964366699"/>
    <x v="0"/>
    <x v="0"/>
    <x v="0"/>
    <x v="0"/>
    <x v="0"/>
    <x v="0"/>
    <n v="179.44435611159705"/>
  </r>
  <r>
    <x v="5"/>
    <x v="0"/>
    <x v="5"/>
    <x v="5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5"/>
    <x v="0"/>
    <x v="5"/>
    <x v="5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5"/>
    <x v="0"/>
    <x v="5"/>
    <x v="5"/>
    <x v="0"/>
    <x v="1"/>
    <x v="0"/>
    <x v="0"/>
    <x v="0"/>
    <x v="0"/>
    <x v="4"/>
    <x v="4"/>
    <x v="2"/>
    <x v="2"/>
    <x v="2"/>
    <x v="6"/>
    <x v="6"/>
    <n v="0.58875999999999995"/>
    <x v="0"/>
    <x v="0"/>
    <x v="0"/>
    <x v="0"/>
    <x v="4"/>
    <x v="6"/>
    <n v="0.6417484"/>
  </r>
  <r>
    <x v="5"/>
    <x v="0"/>
    <x v="5"/>
    <x v="5"/>
    <x v="0"/>
    <x v="1"/>
    <x v="0"/>
    <x v="0"/>
    <x v="0"/>
    <x v="0"/>
    <x v="4"/>
    <x v="4"/>
    <x v="2"/>
    <x v="2"/>
    <x v="2"/>
    <x v="7"/>
    <x v="7"/>
    <n v="0.11697247706415"/>
    <x v="0"/>
    <x v="0"/>
    <x v="1"/>
    <x v="4"/>
    <x v="5"/>
    <x v="7"/>
    <n v="0.12749999999992351"/>
  </r>
  <r>
    <x v="5"/>
    <x v="0"/>
    <x v="5"/>
    <x v="5"/>
    <x v="0"/>
    <x v="1"/>
    <x v="0"/>
    <x v="0"/>
    <x v="0"/>
    <x v="0"/>
    <x v="4"/>
    <x v="4"/>
    <x v="2"/>
    <x v="2"/>
    <x v="2"/>
    <x v="8"/>
    <x v="8"/>
    <n v="16.7162094595664"/>
    <x v="0"/>
    <x v="1"/>
    <x v="2"/>
    <x v="2"/>
    <x v="6"/>
    <x v="8"/>
    <n v="18.220668310927376"/>
  </r>
  <r>
    <x v="5"/>
    <x v="0"/>
    <x v="5"/>
    <x v="5"/>
    <x v="0"/>
    <x v="1"/>
    <x v="0"/>
    <x v="0"/>
    <x v="0"/>
    <x v="0"/>
    <x v="4"/>
    <x v="4"/>
    <x v="2"/>
    <x v="2"/>
    <x v="2"/>
    <x v="9"/>
    <x v="9"/>
    <n v="0.23728440366958001"/>
    <x v="0"/>
    <x v="0"/>
    <x v="1"/>
    <x v="4"/>
    <x v="5"/>
    <x v="9"/>
    <n v="0.25863999999984222"/>
  </r>
  <r>
    <x v="5"/>
    <x v="0"/>
    <x v="5"/>
    <x v="5"/>
    <x v="0"/>
    <x v="1"/>
    <x v="0"/>
    <x v="0"/>
    <x v="0"/>
    <x v="0"/>
    <x v="4"/>
    <x v="4"/>
    <x v="2"/>
    <x v="2"/>
    <x v="2"/>
    <x v="11"/>
    <x v="11"/>
    <n v="0.16009999999999999"/>
    <x v="0"/>
    <x v="0"/>
    <x v="3"/>
    <x v="5"/>
    <x v="7"/>
    <x v="11"/>
    <n v="0.174509"/>
  </r>
  <r>
    <x v="5"/>
    <x v="0"/>
    <x v="5"/>
    <x v="5"/>
    <x v="0"/>
    <x v="1"/>
    <x v="0"/>
    <x v="0"/>
    <x v="0"/>
    <x v="0"/>
    <x v="4"/>
    <x v="4"/>
    <x v="2"/>
    <x v="2"/>
    <x v="2"/>
    <x v="12"/>
    <x v="12"/>
    <n v="3.9037558139386501"/>
    <x v="0"/>
    <x v="0"/>
    <x v="0"/>
    <x v="0"/>
    <x v="8"/>
    <x v="12"/>
    <n v="4.2550938371931286"/>
  </r>
  <r>
    <x v="5"/>
    <x v="0"/>
    <x v="5"/>
    <x v="5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5"/>
    <x v="0"/>
    <x v="5"/>
    <x v="5"/>
    <x v="0"/>
    <x v="1"/>
    <x v="0"/>
    <x v="0"/>
    <x v="0"/>
    <x v="0"/>
    <x v="4"/>
    <x v="4"/>
    <x v="2"/>
    <x v="2"/>
    <x v="2"/>
    <x v="16"/>
    <x v="16"/>
    <n v="1.1623399999999999"/>
    <x v="0"/>
    <x v="0"/>
    <x v="3"/>
    <x v="5"/>
    <x v="9"/>
    <x v="16"/>
    <n v="1.2669505999999999"/>
  </r>
  <r>
    <x v="5"/>
    <x v="0"/>
    <x v="5"/>
    <x v="5"/>
    <x v="0"/>
    <x v="1"/>
    <x v="0"/>
    <x v="0"/>
    <x v="0"/>
    <x v="0"/>
    <x v="4"/>
    <x v="4"/>
    <x v="2"/>
    <x v="2"/>
    <x v="2"/>
    <x v="25"/>
    <x v="25"/>
    <n v="9.5697247706359997E-2"/>
    <x v="0"/>
    <x v="0"/>
    <x v="1"/>
    <x v="4"/>
    <x v="5"/>
    <x v="9"/>
    <n v="0.1043099999999324"/>
  </r>
  <r>
    <x v="5"/>
    <x v="0"/>
    <x v="5"/>
    <x v="5"/>
    <x v="0"/>
    <x v="1"/>
    <x v="0"/>
    <x v="0"/>
    <x v="0"/>
    <x v="0"/>
    <x v="4"/>
    <x v="4"/>
    <x v="2"/>
    <x v="2"/>
    <x v="2"/>
    <x v="27"/>
    <x v="27"/>
    <n v="4.9635135136190001E-2"/>
    <x v="0"/>
    <x v="0"/>
    <x v="1"/>
    <x v="3"/>
    <x v="3"/>
    <x v="19"/>
    <n v="5.4102297298447108E-2"/>
  </r>
  <r>
    <x v="5"/>
    <x v="0"/>
    <x v="5"/>
    <x v="5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5"/>
    <x v="0"/>
    <x v="5"/>
    <x v="5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5"/>
    <x v="0"/>
    <x v="5"/>
    <x v="5"/>
    <x v="0"/>
    <x v="1"/>
    <x v="0"/>
    <x v="0"/>
    <x v="2"/>
    <x v="2"/>
    <x v="5"/>
    <x v="5"/>
    <x v="2"/>
    <x v="2"/>
    <x v="2"/>
    <x v="42"/>
    <x v="42"/>
    <n v="11.265280000000001"/>
    <x v="1"/>
    <x v="2"/>
    <x v="5"/>
    <x v="7"/>
    <x v="11"/>
    <x v="22"/>
    <n v="12.279155200000002"/>
  </r>
  <r>
    <x v="5"/>
    <x v="0"/>
    <x v="5"/>
    <x v="5"/>
    <x v="0"/>
    <x v="1"/>
    <x v="0"/>
    <x v="0"/>
    <x v="2"/>
    <x v="2"/>
    <x v="5"/>
    <x v="5"/>
    <x v="2"/>
    <x v="2"/>
    <x v="2"/>
    <x v="41"/>
    <x v="41"/>
    <n v="7.6965531914601097"/>
    <x v="1"/>
    <x v="2"/>
    <x v="5"/>
    <x v="7"/>
    <x v="11"/>
    <x v="22"/>
    <n v="8.3892429786915201"/>
  </r>
  <r>
    <x v="5"/>
    <x v="0"/>
    <x v="5"/>
    <x v="5"/>
    <x v="0"/>
    <x v="1"/>
    <x v="0"/>
    <x v="0"/>
    <x v="2"/>
    <x v="2"/>
    <x v="5"/>
    <x v="5"/>
    <x v="2"/>
    <x v="2"/>
    <x v="2"/>
    <x v="40"/>
    <x v="40"/>
    <n v="395.94817999999998"/>
    <x v="1"/>
    <x v="2"/>
    <x v="5"/>
    <x v="7"/>
    <x v="11"/>
    <x v="22"/>
    <n v="431.58351620000002"/>
  </r>
  <r>
    <x v="5"/>
    <x v="0"/>
    <x v="5"/>
    <x v="5"/>
    <x v="0"/>
    <x v="1"/>
    <x v="0"/>
    <x v="0"/>
    <x v="2"/>
    <x v="2"/>
    <x v="5"/>
    <x v="5"/>
    <x v="2"/>
    <x v="2"/>
    <x v="2"/>
    <x v="38"/>
    <x v="38"/>
    <n v="11.512600000000001"/>
    <x v="1"/>
    <x v="0"/>
    <x v="4"/>
    <x v="6"/>
    <x v="10"/>
    <x v="21"/>
    <n v="12.548734000000001"/>
  </r>
  <r>
    <x v="5"/>
    <x v="0"/>
    <x v="5"/>
    <x v="5"/>
    <x v="0"/>
    <x v="1"/>
    <x v="0"/>
    <x v="0"/>
    <x v="0"/>
    <x v="0"/>
    <x v="5"/>
    <x v="5"/>
    <x v="2"/>
    <x v="2"/>
    <x v="2"/>
    <x v="17"/>
    <x v="17"/>
    <n v="9.83108"/>
    <x v="0"/>
    <x v="0"/>
    <x v="0"/>
    <x v="0"/>
    <x v="4"/>
    <x v="17"/>
    <n v="10.715877200000001"/>
  </r>
  <r>
    <x v="5"/>
    <x v="0"/>
    <x v="5"/>
    <x v="5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5"/>
    <x v="0"/>
    <x v="5"/>
    <x v="5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5"/>
    <x v="0"/>
    <x v="5"/>
    <x v="5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5"/>
    <x v="0"/>
    <x v="5"/>
    <x v="5"/>
    <x v="0"/>
    <x v="1"/>
    <x v="0"/>
    <x v="0"/>
    <x v="2"/>
    <x v="2"/>
    <x v="5"/>
    <x v="5"/>
    <x v="3"/>
    <x v="7"/>
    <x v="7"/>
    <x v="40"/>
    <x v="40"/>
    <n v="4.5624599999999997"/>
    <x v="1"/>
    <x v="2"/>
    <x v="5"/>
    <x v="7"/>
    <x v="11"/>
    <x v="22"/>
    <n v="4.9730813999999999"/>
  </r>
  <r>
    <x v="5"/>
    <x v="0"/>
    <x v="5"/>
    <x v="5"/>
    <x v="0"/>
    <x v="1"/>
    <x v="0"/>
    <x v="0"/>
    <x v="2"/>
    <x v="2"/>
    <x v="5"/>
    <x v="5"/>
    <x v="1"/>
    <x v="8"/>
    <x v="8"/>
    <x v="40"/>
    <x v="40"/>
    <n v="3.0876000000000001"/>
    <x v="1"/>
    <x v="2"/>
    <x v="5"/>
    <x v="7"/>
    <x v="11"/>
    <x v="22"/>
    <n v="3.3654840000000004"/>
  </r>
  <r>
    <x v="5"/>
    <x v="0"/>
    <x v="5"/>
    <x v="5"/>
    <x v="0"/>
    <x v="1"/>
    <x v="0"/>
    <x v="0"/>
    <x v="2"/>
    <x v="2"/>
    <x v="5"/>
    <x v="5"/>
    <x v="2"/>
    <x v="10"/>
    <x v="10"/>
    <x v="40"/>
    <x v="40"/>
    <n v="0.73895999999999995"/>
    <x v="1"/>
    <x v="2"/>
    <x v="5"/>
    <x v="7"/>
    <x v="11"/>
    <x v="22"/>
    <n v="0.80546640000000003"/>
  </r>
  <r>
    <x v="5"/>
    <x v="0"/>
    <x v="5"/>
    <x v="5"/>
    <x v="0"/>
    <x v="1"/>
    <x v="0"/>
    <x v="0"/>
    <x v="2"/>
    <x v="2"/>
    <x v="5"/>
    <x v="5"/>
    <x v="4"/>
    <x v="5"/>
    <x v="5"/>
    <x v="40"/>
    <x v="40"/>
    <n v="102.17243999999999"/>
    <x v="1"/>
    <x v="2"/>
    <x v="5"/>
    <x v="7"/>
    <x v="11"/>
    <x v="22"/>
    <n v="111.36795960000001"/>
  </r>
  <r>
    <x v="5"/>
    <x v="0"/>
    <x v="5"/>
    <x v="5"/>
    <x v="0"/>
    <x v="1"/>
    <x v="0"/>
    <x v="0"/>
    <x v="2"/>
    <x v="2"/>
    <x v="6"/>
    <x v="6"/>
    <x v="2"/>
    <x v="2"/>
    <x v="2"/>
    <x v="40"/>
    <x v="40"/>
    <n v="9.3125300000000006"/>
    <x v="1"/>
    <x v="2"/>
    <x v="5"/>
    <x v="7"/>
    <x v="11"/>
    <x v="22"/>
    <n v="10.150657700000002"/>
  </r>
  <r>
    <x v="5"/>
    <x v="0"/>
    <x v="5"/>
    <x v="5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5"/>
    <x v="0"/>
    <x v="5"/>
    <x v="5"/>
    <x v="0"/>
    <x v="1"/>
    <x v="0"/>
    <x v="0"/>
    <x v="2"/>
    <x v="2"/>
    <x v="7"/>
    <x v="7"/>
    <x v="2"/>
    <x v="2"/>
    <x v="2"/>
    <x v="40"/>
    <x v="40"/>
    <n v="115.20401"/>
    <x v="1"/>
    <x v="2"/>
    <x v="5"/>
    <x v="7"/>
    <x v="11"/>
    <x v="22"/>
    <n v="125.57237090000001"/>
  </r>
  <r>
    <x v="5"/>
    <x v="0"/>
    <x v="5"/>
    <x v="5"/>
    <x v="0"/>
    <x v="1"/>
    <x v="0"/>
    <x v="0"/>
    <x v="2"/>
    <x v="2"/>
    <x v="7"/>
    <x v="7"/>
    <x v="2"/>
    <x v="2"/>
    <x v="2"/>
    <x v="38"/>
    <x v="38"/>
    <n v="157.46824000000001"/>
    <x v="1"/>
    <x v="0"/>
    <x v="4"/>
    <x v="6"/>
    <x v="10"/>
    <x v="21"/>
    <n v="171.64038160000001"/>
  </r>
  <r>
    <x v="5"/>
    <x v="0"/>
    <x v="5"/>
    <x v="5"/>
    <x v="0"/>
    <x v="1"/>
    <x v="0"/>
    <x v="0"/>
    <x v="2"/>
    <x v="2"/>
    <x v="7"/>
    <x v="7"/>
    <x v="2"/>
    <x v="2"/>
    <x v="2"/>
    <x v="43"/>
    <x v="43"/>
    <n v="0.81484000000000001"/>
    <x v="1"/>
    <x v="0"/>
    <x v="4"/>
    <x v="6"/>
    <x v="10"/>
    <x v="21"/>
    <n v="0.88817560000000007"/>
  </r>
  <r>
    <x v="5"/>
    <x v="0"/>
    <x v="5"/>
    <x v="5"/>
    <x v="0"/>
    <x v="1"/>
    <x v="0"/>
    <x v="0"/>
    <x v="2"/>
    <x v="2"/>
    <x v="7"/>
    <x v="7"/>
    <x v="2"/>
    <x v="2"/>
    <x v="2"/>
    <x v="44"/>
    <x v="44"/>
    <n v="3.49092"/>
    <x v="1"/>
    <x v="0"/>
    <x v="4"/>
    <x v="6"/>
    <x v="10"/>
    <x v="21"/>
    <n v="3.8051028000000002"/>
  </r>
  <r>
    <x v="5"/>
    <x v="0"/>
    <x v="5"/>
    <x v="5"/>
    <x v="0"/>
    <x v="1"/>
    <x v="0"/>
    <x v="0"/>
    <x v="0"/>
    <x v="0"/>
    <x v="7"/>
    <x v="7"/>
    <x v="2"/>
    <x v="2"/>
    <x v="2"/>
    <x v="17"/>
    <x v="17"/>
    <n v="0.98963999999999996"/>
    <x v="0"/>
    <x v="0"/>
    <x v="0"/>
    <x v="0"/>
    <x v="4"/>
    <x v="17"/>
    <n v="1.0787076"/>
  </r>
  <r>
    <x v="5"/>
    <x v="0"/>
    <x v="5"/>
    <x v="5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5"/>
    <x v="0"/>
    <x v="5"/>
    <x v="5"/>
    <x v="0"/>
    <x v="1"/>
    <x v="0"/>
    <x v="0"/>
    <x v="2"/>
    <x v="2"/>
    <x v="7"/>
    <x v="7"/>
    <x v="2"/>
    <x v="2"/>
    <x v="2"/>
    <x v="46"/>
    <x v="46"/>
    <n v="4.3622199999999998"/>
    <x v="1"/>
    <x v="0"/>
    <x v="4"/>
    <x v="6"/>
    <x v="10"/>
    <x v="21"/>
    <n v="4.7548197999999999"/>
  </r>
  <r>
    <x v="5"/>
    <x v="0"/>
    <x v="5"/>
    <x v="5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5"/>
    <x v="0"/>
    <x v="5"/>
    <x v="5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5"/>
    <x v="0"/>
    <x v="5"/>
    <x v="5"/>
    <x v="0"/>
    <x v="1"/>
    <x v="0"/>
    <x v="0"/>
    <x v="2"/>
    <x v="2"/>
    <x v="7"/>
    <x v="7"/>
    <x v="3"/>
    <x v="7"/>
    <x v="7"/>
    <x v="40"/>
    <x v="40"/>
    <n v="109.05462"/>
    <x v="1"/>
    <x v="2"/>
    <x v="5"/>
    <x v="7"/>
    <x v="11"/>
    <x v="22"/>
    <n v="118.86953580000001"/>
  </r>
  <r>
    <x v="5"/>
    <x v="0"/>
    <x v="5"/>
    <x v="5"/>
    <x v="0"/>
    <x v="1"/>
    <x v="0"/>
    <x v="0"/>
    <x v="2"/>
    <x v="2"/>
    <x v="7"/>
    <x v="7"/>
    <x v="1"/>
    <x v="8"/>
    <x v="8"/>
    <x v="40"/>
    <x v="40"/>
    <n v="11.022180000000001"/>
    <x v="1"/>
    <x v="2"/>
    <x v="5"/>
    <x v="7"/>
    <x v="11"/>
    <x v="22"/>
    <n v="12.014176200000001"/>
  </r>
  <r>
    <x v="5"/>
    <x v="0"/>
    <x v="5"/>
    <x v="5"/>
    <x v="0"/>
    <x v="1"/>
    <x v="0"/>
    <x v="0"/>
    <x v="2"/>
    <x v="2"/>
    <x v="7"/>
    <x v="7"/>
    <x v="2"/>
    <x v="10"/>
    <x v="10"/>
    <x v="40"/>
    <x v="40"/>
    <n v="2.4633600000000002"/>
    <x v="1"/>
    <x v="2"/>
    <x v="5"/>
    <x v="7"/>
    <x v="11"/>
    <x v="22"/>
    <n v="2.6850624000000005"/>
  </r>
  <r>
    <x v="5"/>
    <x v="0"/>
    <x v="5"/>
    <x v="5"/>
    <x v="0"/>
    <x v="1"/>
    <x v="0"/>
    <x v="0"/>
    <x v="2"/>
    <x v="2"/>
    <x v="7"/>
    <x v="7"/>
    <x v="4"/>
    <x v="5"/>
    <x v="5"/>
    <x v="40"/>
    <x v="40"/>
    <n v="81.16722"/>
    <x v="1"/>
    <x v="2"/>
    <x v="5"/>
    <x v="7"/>
    <x v="11"/>
    <x v="22"/>
    <n v="88.472269800000007"/>
  </r>
  <r>
    <x v="5"/>
    <x v="0"/>
    <x v="5"/>
    <x v="5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5"/>
    <x v="0"/>
    <x v="5"/>
    <x v="5"/>
    <x v="0"/>
    <x v="1"/>
    <x v="0"/>
    <x v="0"/>
    <x v="2"/>
    <x v="2"/>
    <x v="8"/>
    <x v="8"/>
    <x v="2"/>
    <x v="2"/>
    <x v="2"/>
    <x v="40"/>
    <x v="40"/>
    <n v="81.880290000000002"/>
    <x v="1"/>
    <x v="2"/>
    <x v="5"/>
    <x v="7"/>
    <x v="11"/>
    <x v="22"/>
    <n v="89.249516100000008"/>
  </r>
  <r>
    <x v="5"/>
    <x v="0"/>
    <x v="5"/>
    <x v="5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5"/>
    <x v="0"/>
    <x v="5"/>
    <x v="5"/>
    <x v="0"/>
    <x v="1"/>
    <x v="0"/>
    <x v="0"/>
    <x v="2"/>
    <x v="2"/>
    <x v="9"/>
    <x v="9"/>
    <x v="2"/>
    <x v="2"/>
    <x v="2"/>
    <x v="40"/>
    <x v="40"/>
    <n v="737.82227"/>
    <x v="1"/>
    <x v="2"/>
    <x v="5"/>
    <x v="7"/>
    <x v="11"/>
    <x v="22"/>
    <n v="804.22627430000011"/>
  </r>
  <r>
    <x v="5"/>
    <x v="0"/>
    <x v="5"/>
    <x v="5"/>
    <x v="0"/>
    <x v="1"/>
    <x v="0"/>
    <x v="0"/>
    <x v="2"/>
    <x v="2"/>
    <x v="9"/>
    <x v="9"/>
    <x v="2"/>
    <x v="2"/>
    <x v="2"/>
    <x v="38"/>
    <x v="38"/>
    <n v="241.67864"/>
    <x v="1"/>
    <x v="0"/>
    <x v="4"/>
    <x v="6"/>
    <x v="10"/>
    <x v="21"/>
    <n v="263.4297176"/>
  </r>
  <r>
    <x v="5"/>
    <x v="0"/>
    <x v="5"/>
    <x v="5"/>
    <x v="0"/>
    <x v="1"/>
    <x v="0"/>
    <x v="0"/>
    <x v="2"/>
    <x v="2"/>
    <x v="9"/>
    <x v="9"/>
    <x v="2"/>
    <x v="2"/>
    <x v="2"/>
    <x v="48"/>
    <x v="48"/>
    <n v="33.500230000000002"/>
    <x v="1"/>
    <x v="0"/>
    <x v="4"/>
    <x v="6"/>
    <x v="10"/>
    <x v="21"/>
    <n v="36.515250700000003"/>
  </r>
  <r>
    <x v="5"/>
    <x v="0"/>
    <x v="5"/>
    <x v="5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5"/>
    <x v="0"/>
    <x v="5"/>
    <x v="5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5"/>
    <x v="0"/>
    <x v="5"/>
    <x v="5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5"/>
    <x v="0"/>
    <x v="5"/>
    <x v="5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5"/>
    <x v="0"/>
    <x v="5"/>
    <x v="5"/>
    <x v="0"/>
    <x v="1"/>
    <x v="0"/>
    <x v="0"/>
    <x v="2"/>
    <x v="2"/>
    <x v="9"/>
    <x v="9"/>
    <x v="3"/>
    <x v="7"/>
    <x v="7"/>
    <x v="40"/>
    <x v="40"/>
    <n v="542.21559999999999"/>
    <x v="1"/>
    <x v="2"/>
    <x v="5"/>
    <x v="7"/>
    <x v="11"/>
    <x v="22"/>
    <n v="591.01500400000009"/>
  </r>
  <r>
    <x v="5"/>
    <x v="0"/>
    <x v="5"/>
    <x v="5"/>
    <x v="0"/>
    <x v="1"/>
    <x v="0"/>
    <x v="0"/>
    <x v="2"/>
    <x v="2"/>
    <x v="9"/>
    <x v="9"/>
    <x v="1"/>
    <x v="8"/>
    <x v="8"/>
    <x v="40"/>
    <x v="40"/>
    <n v="149.81138000000001"/>
    <x v="1"/>
    <x v="2"/>
    <x v="5"/>
    <x v="7"/>
    <x v="11"/>
    <x v="22"/>
    <n v="163.29440420000003"/>
  </r>
  <r>
    <x v="5"/>
    <x v="0"/>
    <x v="5"/>
    <x v="5"/>
    <x v="0"/>
    <x v="1"/>
    <x v="0"/>
    <x v="0"/>
    <x v="2"/>
    <x v="2"/>
    <x v="9"/>
    <x v="9"/>
    <x v="2"/>
    <x v="10"/>
    <x v="10"/>
    <x v="40"/>
    <x v="40"/>
    <n v="116.50738"/>
    <x v="1"/>
    <x v="2"/>
    <x v="5"/>
    <x v="7"/>
    <x v="11"/>
    <x v="22"/>
    <n v="126.9930442"/>
  </r>
  <r>
    <x v="5"/>
    <x v="0"/>
    <x v="5"/>
    <x v="5"/>
    <x v="0"/>
    <x v="1"/>
    <x v="0"/>
    <x v="0"/>
    <x v="2"/>
    <x v="2"/>
    <x v="9"/>
    <x v="9"/>
    <x v="4"/>
    <x v="5"/>
    <x v="5"/>
    <x v="40"/>
    <x v="40"/>
    <n v="809.10530000000006"/>
    <x v="1"/>
    <x v="2"/>
    <x v="5"/>
    <x v="7"/>
    <x v="11"/>
    <x v="22"/>
    <n v="881.92477700000018"/>
  </r>
  <r>
    <x v="5"/>
    <x v="0"/>
    <x v="5"/>
    <x v="5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5"/>
    <x v="0"/>
    <x v="5"/>
    <x v="5"/>
    <x v="0"/>
    <x v="1"/>
    <x v="0"/>
    <x v="0"/>
    <x v="2"/>
    <x v="2"/>
    <x v="10"/>
    <x v="10"/>
    <x v="2"/>
    <x v="2"/>
    <x v="2"/>
    <x v="41"/>
    <x v="41"/>
    <n v="3.0910319148818699"/>
    <x v="1"/>
    <x v="2"/>
    <x v="5"/>
    <x v="7"/>
    <x v="11"/>
    <x v="22"/>
    <n v="3.3692247872212384"/>
  </r>
  <r>
    <x v="5"/>
    <x v="0"/>
    <x v="5"/>
    <x v="5"/>
    <x v="0"/>
    <x v="1"/>
    <x v="0"/>
    <x v="0"/>
    <x v="2"/>
    <x v="2"/>
    <x v="10"/>
    <x v="10"/>
    <x v="2"/>
    <x v="2"/>
    <x v="2"/>
    <x v="40"/>
    <x v="40"/>
    <n v="297.93167999999997"/>
    <x v="1"/>
    <x v="2"/>
    <x v="5"/>
    <x v="7"/>
    <x v="11"/>
    <x v="22"/>
    <n v="324.74553120000002"/>
  </r>
  <r>
    <x v="5"/>
    <x v="0"/>
    <x v="5"/>
    <x v="5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5"/>
    <x v="0"/>
    <x v="5"/>
    <x v="5"/>
    <x v="0"/>
    <x v="1"/>
    <x v="0"/>
    <x v="0"/>
    <x v="0"/>
    <x v="0"/>
    <x v="11"/>
    <x v="11"/>
    <x v="4"/>
    <x v="5"/>
    <x v="5"/>
    <x v="10"/>
    <x v="10"/>
    <n v="81.291166519915507"/>
    <x v="0"/>
    <x v="0"/>
    <x v="1"/>
    <x v="4"/>
    <x v="5"/>
    <x v="10"/>
    <n v="88.607371506707906"/>
  </r>
  <r>
    <x v="5"/>
    <x v="0"/>
    <x v="5"/>
    <x v="5"/>
    <x v="0"/>
    <x v="1"/>
    <x v="0"/>
    <x v="0"/>
    <x v="3"/>
    <x v="3"/>
    <x v="12"/>
    <x v="12"/>
    <x v="2"/>
    <x v="2"/>
    <x v="2"/>
    <x v="40"/>
    <x v="40"/>
    <n v="8.8015000000000008"/>
    <x v="1"/>
    <x v="2"/>
    <x v="5"/>
    <x v="7"/>
    <x v="11"/>
    <x v="22"/>
    <n v="9.5936350000000008"/>
  </r>
  <r>
    <x v="5"/>
    <x v="0"/>
    <x v="5"/>
    <x v="5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5"/>
    <x v="0"/>
    <x v="5"/>
    <x v="5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5"/>
    <x v="0"/>
    <x v="5"/>
    <x v="5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5"/>
    <x v="0"/>
    <x v="5"/>
    <x v="5"/>
    <x v="0"/>
    <x v="1"/>
    <x v="0"/>
    <x v="0"/>
    <x v="3"/>
    <x v="3"/>
    <x v="12"/>
    <x v="12"/>
    <x v="3"/>
    <x v="7"/>
    <x v="7"/>
    <x v="40"/>
    <x v="40"/>
    <n v="6.4561200000000003"/>
    <x v="1"/>
    <x v="2"/>
    <x v="5"/>
    <x v="7"/>
    <x v="11"/>
    <x v="22"/>
    <n v="7.0371708000000011"/>
  </r>
  <r>
    <x v="5"/>
    <x v="0"/>
    <x v="5"/>
    <x v="5"/>
    <x v="0"/>
    <x v="1"/>
    <x v="0"/>
    <x v="0"/>
    <x v="3"/>
    <x v="3"/>
    <x v="12"/>
    <x v="12"/>
    <x v="4"/>
    <x v="5"/>
    <x v="5"/>
    <x v="40"/>
    <x v="40"/>
    <n v="12.34482"/>
    <x v="1"/>
    <x v="2"/>
    <x v="5"/>
    <x v="7"/>
    <x v="11"/>
    <x v="22"/>
    <n v="13.455853800000002"/>
  </r>
  <r>
    <x v="5"/>
    <x v="0"/>
    <x v="5"/>
    <x v="5"/>
    <x v="0"/>
    <x v="1"/>
    <x v="0"/>
    <x v="0"/>
    <x v="3"/>
    <x v="3"/>
    <x v="13"/>
    <x v="13"/>
    <x v="2"/>
    <x v="2"/>
    <x v="2"/>
    <x v="41"/>
    <x v="41"/>
    <n v="21.6028510637477"/>
    <x v="1"/>
    <x v="2"/>
    <x v="5"/>
    <x v="7"/>
    <x v="11"/>
    <x v="22"/>
    <n v="23.547107659484993"/>
  </r>
  <r>
    <x v="5"/>
    <x v="0"/>
    <x v="5"/>
    <x v="5"/>
    <x v="0"/>
    <x v="1"/>
    <x v="0"/>
    <x v="0"/>
    <x v="3"/>
    <x v="3"/>
    <x v="13"/>
    <x v="13"/>
    <x v="2"/>
    <x v="2"/>
    <x v="2"/>
    <x v="40"/>
    <x v="40"/>
    <n v="213.81244000000001"/>
    <x v="1"/>
    <x v="2"/>
    <x v="5"/>
    <x v="7"/>
    <x v="11"/>
    <x v="22"/>
    <n v="233.05555960000004"/>
  </r>
  <r>
    <x v="5"/>
    <x v="0"/>
    <x v="5"/>
    <x v="5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5"/>
    <x v="0"/>
    <x v="5"/>
    <x v="5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5"/>
    <x v="0"/>
    <x v="5"/>
    <x v="5"/>
    <x v="0"/>
    <x v="1"/>
    <x v="0"/>
    <x v="0"/>
    <x v="3"/>
    <x v="3"/>
    <x v="13"/>
    <x v="13"/>
    <x v="1"/>
    <x v="8"/>
    <x v="8"/>
    <x v="40"/>
    <x v="40"/>
    <n v="1.4227799999999999"/>
    <x v="1"/>
    <x v="2"/>
    <x v="5"/>
    <x v="7"/>
    <x v="11"/>
    <x v="22"/>
    <n v="1.5508302"/>
  </r>
  <r>
    <x v="5"/>
    <x v="0"/>
    <x v="5"/>
    <x v="5"/>
    <x v="0"/>
    <x v="1"/>
    <x v="0"/>
    <x v="0"/>
    <x v="3"/>
    <x v="3"/>
    <x v="13"/>
    <x v="13"/>
    <x v="4"/>
    <x v="5"/>
    <x v="5"/>
    <x v="40"/>
    <x v="40"/>
    <n v="0.66522000000000003"/>
    <x v="1"/>
    <x v="2"/>
    <x v="5"/>
    <x v="7"/>
    <x v="11"/>
    <x v="22"/>
    <n v="0.72508980000000012"/>
  </r>
  <r>
    <x v="5"/>
    <x v="0"/>
    <x v="5"/>
    <x v="5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5"/>
    <x v="0"/>
    <x v="5"/>
    <x v="5"/>
    <x v="0"/>
    <x v="1"/>
    <x v="0"/>
    <x v="0"/>
    <x v="2"/>
    <x v="2"/>
    <x v="14"/>
    <x v="14"/>
    <x v="2"/>
    <x v="2"/>
    <x v="2"/>
    <x v="40"/>
    <x v="40"/>
    <n v="24.0867"/>
    <x v="1"/>
    <x v="2"/>
    <x v="5"/>
    <x v="7"/>
    <x v="11"/>
    <x v="22"/>
    <n v="26.254503000000003"/>
  </r>
  <r>
    <x v="5"/>
    <x v="0"/>
    <x v="5"/>
    <x v="5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5"/>
    <x v="0"/>
    <x v="5"/>
    <x v="5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5"/>
    <x v="0"/>
    <x v="5"/>
    <x v="5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5"/>
    <x v="0"/>
    <x v="5"/>
    <x v="5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5"/>
    <x v="0"/>
    <x v="5"/>
    <x v="5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5"/>
    <x v="0"/>
    <x v="5"/>
    <x v="5"/>
    <x v="0"/>
    <x v="1"/>
    <x v="0"/>
    <x v="0"/>
    <x v="2"/>
    <x v="2"/>
    <x v="17"/>
    <x v="17"/>
    <x v="2"/>
    <x v="2"/>
    <x v="2"/>
    <x v="42"/>
    <x v="42"/>
    <n v="2.3267699999999998"/>
    <x v="1"/>
    <x v="2"/>
    <x v="5"/>
    <x v="7"/>
    <x v="11"/>
    <x v="22"/>
    <n v="2.5361793000000001"/>
  </r>
  <r>
    <x v="5"/>
    <x v="0"/>
    <x v="5"/>
    <x v="5"/>
    <x v="0"/>
    <x v="1"/>
    <x v="0"/>
    <x v="0"/>
    <x v="2"/>
    <x v="2"/>
    <x v="17"/>
    <x v="17"/>
    <x v="2"/>
    <x v="2"/>
    <x v="2"/>
    <x v="40"/>
    <x v="40"/>
    <n v="147.05945"/>
    <x v="1"/>
    <x v="2"/>
    <x v="5"/>
    <x v="7"/>
    <x v="11"/>
    <x v="22"/>
    <n v="160.29480050000001"/>
  </r>
  <r>
    <x v="5"/>
    <x v="0"/>
    <x v="5"/>
    <x v="5"/>
    <x v="0"/>
    <x v="1"/>
    <x v="0"/>
    <x v="0"/>
    <x v="2"/>
    <x v="2"/>
    <x v="17"/>
    <x v="17"/>
    <x v="2"/>
    <x v="2"/>
    <x v="2"/>
    <x v="38"/>
    <x v="38"/>
    <n v="0.71758"/>
    <x v="1"/>
    <x v="0"/>
    <x v="4"/>
    <x v="6"/>
    <x v="10"/>
    <x v="21"/>
    <n v="0.78216220000000003"/>
  </r>
  <r>
    <x v="5"/>
    <x v="0"/>
    <x v="5"/>
    <x v="5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5"/>
    <x v="0"/>
    <x v="5"/>
    <x v="5"/>
    <x v="0"/>
    <x v="1"/>
    <x v="0"/>
    <x v="0"/>
    <x v="2"/>
    <x v="2"/>
    <x v="17"/>
    <x v="17"/>
    <x v="3"/>
    <x v="7"/>
    <x v="7"/>
    <x v="40"/>
    <x v="40"/>
    <n v="16.153919999999999"/>
    <x v="1"/>
    <x v="2"/>
    <x v="5"/>
    <x v="7"/>
    <x v="11"/>
    <x v="22"/>
    <n v="17.607772799999999"/>
  </r>
  <r>
    <x v="5"/>
    <x v="0"/>
    <x v="5"/>
    <x v="5"/>
    <x v="0"/>
    <x v="1"/>
    <x v="0"/>
    <x v="0"/>
    <x v="2"/>
    <x v="2"/>
    <x v="17"/>
    <x v="17"/>
    <x v="1"/>
    <x v="8"/>
    <x v="8"/>
    <x v="40"/>
    <x v="40"/>
    <n v="8.5244999999999997"/>
    <x v="1"/>
    <x v="2"/>
    <x v="5"/>
    <x v="7"/>
    <x v="11"/>
    <x v="22"/>
    <n v="9.2917050000000003"/>
  </r>
  <r>
    <x v="5"/>
    <x v="0"/>
    <x v="5"/>
    <x v="5"/>
    <x v="0"/>
    <x v="1"/>
    <x v="0"/>
    <x v="0"/>
    <x v="2"/>
    <x v="2"/>
    <x v="17"/>
    <x v="17"/>
    <x v="2"/>
    <x v="10"/>
    <x v="10"/>
    <x v="40"/>
    <x v="40"/>
    <n v="2.4633600000000002"/>
    <x v="1"/>
    <x v="2"/>
    <x v="5"/>
    <x v="7"/>
    <x v="11"/>
    <x v="22"/>
    <n v="2.6850624000000005"/>
  </r>
  <r>
    <x v="5"/>
    <x v="0"/>
    <x v="5"/>
    <x v="5"/>
    <x v="0"/>
    <x v="1"/>
    <x v="0"/>
    <x v="0"/>
    <x v="2"/>
    <x v="2"/>
    <x v="17"/>
    <x v="17"/>
    <x v="4"/>
    <x v="5"/>
    <x v="5"/>
    <x v="40"/>
    <x v="40"/>
    <n v="137.46191999999999"/>
    <x v="1"/>
    <x v="2"/>
    <x v="5"/>
    <x v="7"/>
    <x v="11"/>
    <x v="22"/>
    <n v="149.83349280000002"/>
  </r>
  <r>
    <x v="5"/>
    <x v="0"/>
    <x v="5"/>
    <x v="5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5"/>
    <x v="0"/>
    <x v="5"/>
    <x v="5"/>
    <x v="0"/>
    <x v="2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5"/>
    <x v="0"/>
    <x v="5"/>
    <x v="5"/>
    <x v="0"/>
    <x v="2"/>
    <x v="0"/>
    <x v="0"/>
    <x v="0"/>
    <x v="0"/>
    <x v="0"/>
    <x v="0"/>
    <x v="3"/>
    <x v="3"/>
    <x v="3"/>
    <x v="9"/>
    <x v="9"/>
    <n v="27.344658709751702"/>
    <x v="0"/>
    <x v="0"/>
    <x v="1"/>
    <x v="4"/>
    <x v="5"/>
    <x v="9"/>
    <n v="29.805677993629356"/>
  </r>
  <r>
    <x v="5"/>
    <x v="0"/>
    <x v="5"/>
    <x v="5"/>
    <x v="0"/>
    <x v="2"/>
    <x v="0"/>
    <x v="0"/>
    <x v="0"/>
    <x v="0"/>
    <x v="0"/>
    <x v="0"/>
    <x v="3"/>
    <x v="3"/>
    <x v="3"/>
    <x v="11"/>
    <x v="11"/>
    <n v="2.6650900000000002"/>
    <x v="0"/>
    <x v="0"/>
    <x v="3"/>
    <x v="5"/>
    <x v="7"/>
    <x v="11"/>
    <n v="2.9049481000000004"/>
  </r>
  <r>
    <x v="5"/>
    <x v="0"/>
    <x v="5"/>
    <x v="5"/>
    <x v="0"/>
    <x v="2"/>
    <x v="0"/>
    <x v="0"/>
    <x v="0"/>
    <x v="0"/>
    <x v="0"/>
    <x v="0"/>
    <x v="3"/>
    <x v="3"/>
    <x v="3"/>
    <x v="16"/>
    <x v="16"/>
    <n v="343.40947999999997"/>
    <x v="0"/>
    <x v="0"/>
    <x v="3"/>
    <x v="5"/>
    <x v="9"/>
    <x v="16"/>
    <n v="374.31633319999997"/>
  </r>
  <r>
    <x v="5"/>
    <x v="0"/>
    <x v="5"/>
    <x v="5"/>
    <x v="0"/>
    <x v="2"/>
    <x v="0"/>
    <x v="0"/>
    <x v="0"/>
    <x v="0"/>
    <x v="0"/>
    <x v="0"/>
    <x v="3"/>
    <x v="3"/>
    <x v="3"/>
    <x v="26"/>
    <x v="26"/>
    <n v="2.7522935779800002"/>
    <x v="0"/>
    <x v="0"/>
    <x v="1"/>
    <x v="3"/>
    <x v="3"/>
    <x v="15"/>
    <n v="2.9999999999982006"/>
  </r>
  <r>
    <x v="5"/>
    <x v="0"/>
    <x v="5"/>
    <x v="5"/>
    <x v="0"/>
    <x v="2"/>
    <x v="0"/>
    <x v="0"/>
    <x v="0"/>
    <x v="0"/>
    <x v="0"/>
    <x v="0"/>
    <x v="3"/>
    <x v="3"/>
    <x v="3"/>
    <x v="2"/>
    <x v="2"/>
    <n v="0.13897247706414001"/>
    <x v="0"/>
    <x v="1"/>
    <x v="2"/>
    <x v="2"/>
    <x v="13"/>
    <x v="2"/>
    <n v="0.15147999999991263"/>
  </r>
  <r>
    <x v="5"/>
    <x v="0"/>
    <x v="5"/>
    <x v="5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5"/>
    <x v="0"/>
    <x v="5"/>
    <x v="5"/>
    <x v="0"/>
    <x v="2"/>
    <x v="0"/>
    <x v="0"/>
    <x v="0"/>
    <x v="0"/>
    <x v="0"/>
    <x v="0"/>
    <x v="0"/>
    <x v="4"/>
    <x v="4"/>
    <x v="5"/>
    <x v="5"/>
    <n v="0.73680981595651995"/>
    <x v="0"/>
    <x v="0"/>
    <x v="1"/>
    <x v="1"/>
    <x v="1"/>
    <x v="5"/>
    <n v="0.80312269939260683"/>
  </r>
  <r>
    <x v="5"/>
    <x v="0"/>
    <x v="5"/>
    <x v="5"/>
    <x v="0"/>
    <x v="2"/>
    <x v="0"/>
    <x v="0"/>
    <x v="0"/>
    <x v="0"/>
    <x v="0"/>
    <x v="0"/>
    <x v="0"/>
    <x v="4"/>
    <x v="4"/>
    <x v="9"/>
    <x v="9"/>
    <n v="5.1567794307010697"/>
    <x v="0"/>
    <x v="0"/>
    <x v="1"/>
    <x v="4"/>
    <x v="5"/>
    <x v="9"/>
    <n v="5.6208895794641665"/>
  </r>
  <r>
    <x v="5"/>
    <x v="0"/>
    <x v="5"/>
    <x v="5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5"/>
    <x v="0"/>
    <x v="5"/>
    <x v="5"/>
    <x v="0"/>
    <x v="2"/>
    <x v="0"/>
    <x v="0"/>
    <x v="0"/>
    <x v="0"/>
    <x v="0"/>
    <x v="0"/>
    <x v="0"/>
    <x v="4"/>
    <x v="4"/>
    <x v="11"/>
    <x v="11"/>
    <n v="5.125"/>
    <x v="0"/>
    <x v="0"/>
    <x v="3"/>
    <x v="5"/>
    <x v="7"/>
    <x v="11"/>
    <n v="5.5862500000000006"/>
  </r>
  <r>
    <x v="5"/>
    <x v="0"/>
    <x v="5"/>
    <x v="5"/>
    <x v="0"/>
    <x v="2"/>
    <x v="0"/>
    <x v="0"/>
    <x v="0"/>
    <x v="0"/>
    <x v="0"/>
    <x v="0"/>
    <x v="0"/>
    <x v="4"/>
    <x v="4"/>
    <x v="12"/>
    <x v="12"/>
    <n v="472.191930230764"/>
    <x v="0"/>
    <x v="0"/>
    <x v="0"/>
    <x v="0"/>
    <x v="8"/>
    <x v="12"/>
    <n v="514.68920395153282"/>
  </r>
  <r>
    <x v="5"/>
    <x v="0"/>
    <x v="5"/>
    <x v="5"/>
    <x v="0"/>
    <x v="2"/>
    <x v="0"/>
    <x v="0"/>
    <x v="0"/>
    <x v="0"/>
    <x v="3"/>
    <x v="3"/>
    <x v="2"/>
    <x v="2"/>
    <x v="2"/>
    <x v="16"/>
    <x v="16"/>
    <n v="32.370910000000002"/>
    <x v="0"/>
    <x v="0"/>
    <x v="3"/>
    <x v="5"/>
    <x v="9"/>
    <x v="16"/>
    <n v="35.284291900000007"/>
  </r>
  <r>
    <x v="5"/>
    <x v="0"/>
    <x v="5"/>
    <x v="5"/>
    <x v="0"/>
    <x v="2"/>
    <x v="0"/>
    <x v="0"/>
    <x v="0"/>
    <x v="0"/>
    <x v="3"/>
    <x v="3"/>
    <x v="2"/>
    <x v="2"/>
    <x v="2"/>
    <x v="17"/>
    <x v="17"/>
    <n v="6.66"/>
    <x v="0"/>
    <x v="0"/>
    <x v="0"/>
    <x v="0"/>
    <x v="4"/>
    <x v="17"/>
    <n v="7.2594000000000003"/>
  </r>
  <r>
    <x v="5"/>
    <x v="0"/>
    <x v="5"/>
    <x v="5"/>
    <x v="0"/>
    <x v="2"/>
    <x v="0"/>
    <x v="0"/>
    <x v="0"/>
    <x v="0"/>
    <x v="3"/>
    <x v="3"/>
    <x v="2"/>
    <x v="2"/>
    <x v="2"/>
    <x v="2"/>
    <x v="2"/>
    <n v="39.099899082545299"/>
    <x v="0"/>
    <x v="1"/>
    <x v="2"/>
    <x v="2"/>
    <x v="13"/>
    <x v="2"/>
    <n v="42.618889999974378"/>
  </r>
  <r>
    <x v="5"/>
    <x v="0"/>
    <x v="5"/>
    <x v="5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5"/>
    <x v="0"/>
    <x v="5"/>
    <x v="5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5"/>
    <x v="0"/>
    <x v="5"/>
    <x v="5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5"/>
    <x v="0"/>
    <x v="5"/>
    <x v="5"/>
    <x v="0"/>
    <x v="2"/>
    <x v="0"/>
    <x v="0"/>
    <x v="0"/>
    <x v="0"/>
    <x v="4"/>
    <x v="4"/>
    <x v="2"/>
    <x v="2"/>
    <x v="2"/>
    <x v="7"/>
    <x v="7"/>
    <n v="0.33027522935760001"/>
    <x v="0"/>
    <x v="0"/>
    <x v="1"/>
    <x v="4"/>
    <x v="5"/>
    <x v="7"/>
    <n v="0.35999999999978405"/>
  </r>
  <r>
    <x v="5"/>
    <x v="0"/>
    <x v="5"/>
    <x v="5"/>
    <x v="0"/>
    <x v="2"/>
    <x v="0"/>
    <x v="0"/>
    <x v="0"/>
    <x v="0"/>
    <x v="4"/>
    <x v="4"/>
    <x v="2"/>
    <x v="2"/>
    <x v="2"/>
    <x v="10"/>
    <x v="10"/>
    <n v="0.97260871557119999"/>
    <x v="0"/>
    <x v="0"/>
    <x v="1"/>
    <x v="4"/>
    <x v="5"/>
    <x v="10"/>
    <n v="1.060143499972608"/>
  </r>
  <r>
    <x v="5"/>
    <x v="0"/>
    <x v="5"/>
    <x v="5"/>
    <x v="0"/>
    <x v="2"/>
    <x v="0"/>
    <x v="0"/>
    <x v="0"/>
    <x v="0"/>
    <x v="4"/>
    <x v="4"/>
    <x v="2"/>
    <x v="2"/>
    <x v="2"/>
    <x v="12"/>
    <x v="12"/>
    <n v="1.0767906976703301"/>
    <x v="0"/>
    <x v="0"/>
    <x v="0"/>
    <x v="0"/>
    <x v="8"/>
    <x v="12"/>
    <n v="1.1737018604606599"/>
  </r>
  <r>
    <x v="5"/>
    <x v="0"/>
    <x v="5"/>
    <x v="5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5"/>
    <x v="0"/>
    <x v="5"/>
    <x v="5"/>
    <x v="0"/>
    <x v="2"/>
    <x v="0"/>
    <x v="0"/>
    <x v="0"/>
    <x v="0"/>
    <x v="4"/>
    <x v="4"/>
    <x v="2"/>
    <x v="2"/>
    <x v="2"/>
    <x v="2"/>
    <x v="2"/>
    <n v="2.57533027522781"/>
    <x v="0"/>
    <x v="1"/>
    <x v="2"/>
    <x v="2"/>
    <x v="13"/>
    <x v="2"/>
    <n v="2.8071099999983131"/>
  </r>
  <r>
    <x v="5"/>
    <x v="0"/>
    <x v="5"/>
    <x v="5"/>
    <x v="0"/>
    <x v="2"/>
    <x v="0"/>
    <x v="0"/>
    <x v="2"/>
    <x v="2"/>
    <x v="5"/>
    <x v="5"/>
    <x v="2"/>
    <x v="2"/>
    <x v="2"/>
    <x v="40"/>
    <x v="40"/>
    <n v="31.4"/>
    <x v="1"/>
    <x v="2"/>
    <x v="5"/>
    <x v="7"/>
    <x v="11"/>
    <x v="22"/>
    <n v="34.225999999999999"/>
  </r>
  <r>
    <x v="5"/>
    <x v="0"/>
    <x v="5"/>
    <x v="5"/>
    <x v="0"/>
    <x v="2"/>
    <x v="0"/>
    <x v="0"/>
    <x v="2"/>
    <x v="2"/>
    <x v="5"/>
    <x v="5"/>
    <x v="1"/>
    <x v="6"/>
    <x v="6"/>
    <x v="41"/>
    <x v="41"/>
    <n v="37.542553191346698"/>
    <x v="1"/>
    <x v="2"/>
    <x v="5"/>
    <x v="7"/>
    <x v="11"/>
    <x v="22"/>
    <n v="40.921382978567905"/>
  </r>
  <r>
    <x v="5"/>
    <x v="0"/>
    <x v="5"/>
    <x v="5"/>
    <x v="0"/>
    <x v="2"/>
    <x v="0"/>
    <x v="0"/>
    <x v="2"/>
    <x v="2"/>
    <x v="5"/>
    <x v="5"/>
    <x v="1"/>
    <x v="6"/>
    <x v="6"/>
    <x v="40"/>
    <x v="40"/>
    <n v="56.974139999999998"/>
    <x v="1"/>
    <x v="2"/>
    <x v="5"/>
    <x v="7"/>
    <x v="11"/>
    <x v="22"/>
    <n v="62.101812600000002"/>
  </r>
  <r>
    <x v="5"/>
    <x v="0"/>
    <x v="5"/>
    <x v="5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5"/>
    <x v="0"/>
    <x v="5"/>
    <x v="5"/>
    <x v="0"/>
    <x v="2"/>
    <x v="0"/>
    <x v="0"/>
    <x v="2"/>
    <x v="2"/>
    <x v="5"/>
    <x v="5"/>
    <x v="1"/>
    <x v="8"/>
    <x v="8"/>
    <x v="40"/>
    <x v="40"/>
    <n v="42.001800000000003"/>
    <x v="1"/>
    <x v="2"/>
    <x v="5"/>
    <x v="7"/>
    <x v="11"/>
    <x v="22"/>
    <n v="45.781962000000007"/>
  </r>
  <r>
    <x v="5"/>
    <x v="0"/>
    <x v="5"/>
    <x v="5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5"/>
    <x v="0"/>
    <x v="5"/>
    <x v="5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5"/>
    <x v="0"/>
    <x v="5"/>
    <x v="5"/>
    <x v="0"/>
    <x v="2"/>
    <x v="0"/>
    <x v="0"/>
    <x v="2"/>
    <x v="2"/>
    <x v="5"/>
    <x v="5"/>
    <x v="4"/>
    <x v="5"/>
    <x v="5"/>
    <x v="40"/>
    <x v="40"/>
    <n v="549.62154999999996"/>
    <x v="1"/>
    <x v="2"/>
    <x v="5"/>
    <x v="7"/>
    <x v="11"/>
    <x v="22"/>
    <n v="599.08748949999995"/>
  </r>
  <r>
    <x v="5"/>
    <x v="0"/>
    <x v="5"/>
    <x v="5"/>
    <x v="0"/>
    <x v="2"/>
    <x v="0"/>
    <x v="0"/>
    <x v="2"/>
    <x v="2"/>
    <x v="6"/>
    <x v="6"/>
    <x v="1"/>
    <x v="6"/>
    <x v="6"/>
    <x v="40"/>
    <x v="40"/>
    <n v="5"/>
    <x v="1"/>
    <x v="2"/>
    <x v="5"/>
    <x v="7"/>
    <x v="11"/>
    <x v="22"/>
    <n v="5.45"/>
  </r>
  <r>
    <x v="5"/>
    <x v="0"/>
    <x v="5"/>
    <x v="5"/>
    <x v="0"/>
    <x v="2"/>
    <x v="0"/>
    <x v="0"/>
    <x v="2"/>
    <x v="2"/>
    <x v="7"/>
    <x v="7"/>
    <x v="2"/>
    <x v="2"/>
    <x v="2"/>
    <x v="40"/>
    <x v="40"/>
    <n v="68.976479999999995"/>
    <x v="1"/>
    <x v="2"/>
    <x v="5"/>
    <x v="7"/>
    <x v="11"/>
    <x v="22"/>
    <n v="75.184363200000007"/>
  </r>
  <r>
    <x v="5"/>
    <x v="0"/>
    <x v="5"/>
    <x v="5"/>
    <x v="0"/>
    <x v="2"/>
    <x v="0"/>
    <x v="0"/>
    <x v="2"/>
    <x v="2"/>
    <x v="7"/>
    <x v="7"/>
    <x v="2"/>
    <x v="2"/>
    <x v="2"/>
    <x v="38"/>
    <x v="38"/>
    <n v="161.70849999999999"/>
    <x v="1"/>
    <x v="0"/>
    <x v="4"/>
    <x v="6"/>
    <x v="10"/>
    <x v="21"/>
    <n v="176.26226499999999"/>
  </r>
  <r>
    <x v="5"/>
    <x v="0"/>
    <x v="5"/>
    <x v="5"/>
    <x v="0"/>
    <x v="2"/>
    <x v="0"/>
    <x v="0"/>
    <x v="2"/>
    <x v="2"/>
    <x v="7"/>
    <x v="7"/>
    <x v="1"/>
    <x v="6"/>
    <x v="6"/>
    <x v="40"/>
    <x v="40"/>
    <n v="43.050109999999997"/>
    <x v="1"/>
    <x v="2"/>
    <x v="5"/>
    <x v="7"/>
    <x v="11"/>
    <x v="22"/>
    <n v="46.924619899999996"/>
  </r>
  <r>
    <x v="5"/>
    <x v="0"/>
    <x v="5"/>
    <x v="5"/>
    <x v="0"/>
    <x v="2"/>
    <x v="0"/>
    <x v="0"/>
    <x v="2"/>
    <x v="2"/>
    <x v="7"/>
    <x v="7"/>
    <x v="1"/>
    <x v="6"/>
    <x v="6"/>
    <x v="38"/>
    <x v="38"/>
    <n v="16.7"/>
    <x v="1"/>
    <x v="0"/>
    <x v="4"/>
    <x v="6"/>
    <x v="10"/>
    <x v="21"/>
    <n v="18.202999999999999"/>
  </r>
  <r>
    <x v="5"/>
    <x v="0"/>
    <x v="5"/>
    <x v="5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5"/>
    <x v="0"/>
    <x v="5"/>
    <x v="5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5"/>
    <x v="0"/>
    <x v="5"/>
    <x v="5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5"/>
    <x v="0"/>
    <x v="5"/>
    <x v="5"/>
    <x v="0"/>
    <x v="2"/>
    <x v="0"/>
    <x v="0"/>
    <x v="2"/>
    <x v="2"/>
    <x v="8"/>
    <x v="8"/>
    <x v="3"/>
    <x v="3"/>
    <x v="3"/>
    <x v="40"/>
    <x v="40"/>
    <n v="59.840499999999999"/>
    <x v="1"/>
    <x v="2"/>
    <x v="5"/>
    <x v="7"/>
    <x v="11"/>
    <x v="22"/>
    <n v="65.226145000000002"/>
  </r>
  <r>
    <x v="5"/>
    <x v="0"/>
    <x v="5"/>
    <x v="5"/>
    <x v="0"/>
    <x v="2"/>
    <x v="0"/>
    <x v="0"/>
    <x v="2"/>
    <x v="2"/>
    <x v="8"/>
    <x v="8"/>
    <x v="1"/>
    <x v="6"/>
    <x v="6"/>
    <x v="40"/>
    <x v="40"/>
    <n v="21.9"/>
    <x v="1"/>
    <x v="2"/>
    <x v="5"/>
    <x v="7"/>
    <x v="11"/>
    <x v="22"/>
    <n v="23.870999999999999"/>
  </r>
  <r>
    <x v="5"/>
    <x v="0"/>
    <x v="5"/>
    <x v="5"/>
    <x v="0"/>
    <x v="2"/>
    <x v="0"/>
    <x v="0"/>
    <x v="2"/>
    <x v="2"/>
    <x v="9"/>
    <x v="9"/>
    <x v="3"/>
    <x v="3"/>
    <x v="3"/>
    <x v="40"/>
    <x v="40"/>
    <n v="0.26900000000000002"/>
    <x v="1"/>
    <x v="2"/>
    <x v="5"/>
    <x v="7"/>
    <x v="11"/>
    <x v="22"/>
    <n v="0.29321000000000003"/>
  </r>
  <r>
    <x v="5"/>
    <x v="0"/>
    <x v="5"/>
    <x v="5"/>
    <x v="0"/>
    <x v="2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5"/>
    <x v="0"/>
    <x v="5"/>
    <x v="5"/>
    <x v="0"/>
    <x v="2"/>
    <x v="0"/>
    <x v="0"/>
    <x v="2"/>
    <x v="2"/>
    <x v="9"/>
    <x v="9"/>
    <x v="2"/>
    <x v="2"/>
    <x v="2"/>
    <x v="41"/>
    <x v="41"/>
    <n v="42.721478723241901"/>
    <x v="1"/>
    <x v="2"/>
    <x v="5"/>
    <x v="7"/>
    <x v="11"/>
    <x v="22"/>
    <n v="46.566411808333676"/>
  </r>
  <r>
    <x v="5"/>
    <x v="0"/>
    <x v="5"/>
    <x v="5"/>
    <x v="0"/>
    <x v="2"/>
    <x v="0"/>
    <x v="0"/>
    <x v="2"/>
    <x v="2"/>
    <x v="9"/>
    <x v="9"/>
    <x v="2"/>
    <x v="2"/>
    <x v="2"/>
    <x v="40"/>
    <x v="40"/>
    <n v="200.52181999999999"/>
    <x v="1"/>
    <x v="2"/>
    <x v="5"/>
    <x v="7"/>
    <x v="11"/>
    <x v="22"/>
    <n v="218.56878380000001"/>
  </r>
  <r>
    <x v="5"/>
    <x v="0"/>
    <x v="5"/>
    <x v="5"/>
    <x v="0"/>
    <x v="2"/>
    <x v="0"/>
    <x v="0"/>
    <x v="2"/>
    <x v="2"/>
    <x v="9"/>
    <x v="9"/>
    <x v="2"/>
    <x v="2"/>
    <x v="2"/>
    <x v="38"/>
    <x v="38"/>
    <n v="117.67"/>
    <x v="1"/>
    <x v="0"/>
    <x v="4"/>
    <x v="6"/>
    <x v="10"/>
    <x v="21"/>
    <n v="128.2603"/>
  </r>
  <r>
    <x v="5"/>
    <x v="0"/>
    <x v="5"/>
    <x v="5"/>
    <x v="0"/>
    <x v="2"/>
    <x v="0"/>
    <x v="0"/>
    <x v="2"/>
    <x v="2"/>
    <x v="9"/>
    <x v="9"/>
    <x v="1"/>
    <x v="6"/>
    <x v="6"/>
    <x v="42"/>
    <x v="42"/>
    <n v="30"/>
    <x v="1"/>
    <x v="2"/>
    <x v="5"/>
    <x v="7"/>
    <x v="11"/>
    <x v="22"/>
    <n v="32.700000000000003"/>
  </r>
  <r>
    <x v="5"/>
    <x v="0"/>
    <x v="5"/>
    <x v="5"/>
    <x v="0"/>
    <x v="2"/>
    <x v="0"/>
    <x v="0"/>
    <x v="2"/>
    <x v="2"/>
    <x v="9"/>
    <x v="9"/>
    <x v="1"/>
    <x v="6"/>
    <x v="6"/>
    <x v="40"/>
    <x v="40"/>
    <n v="914.32574999999997"/>
    <x v="1"/>
    <x v="2"/>
    <x v="5"/>
    <x v="7"/>
    <x v="11"/>
    <x v="22"/>
    <n v="996.61506750000001"/>
  </r>
  <r>
    <x v="5"/>
    <x v="0"/>
    <x v="5"/>
    <x v="5"/>
    <x v="0"/>
    <x v="2"/>
    <x v="0"/>
    <x v="0"/>
    <x v="2"/>
    <x v="2"/>
    <x v="9"/>
    <x v="9"/>
    <x v="1"/>
    <x v="6"/>
    <x v="6"/>
    <x v="38"/>
    <x v="38"/>
    <n v="26.8125"/>
    <x v="1"/>
    <x v="0"/>
    <x v="4"/>
    <x v="6"/>
    <x v="10"/>
    <x v="21"/>
    <n v="29.225625000000001"/>
  </r>
  <r>
    <x v="5"/>
    <x v="0"/>
    <x v="5"/>
    <x v="5"/>
    <x v="0"/>
    <x v="2"/>
    <x v="0"/>
    <x v="0"/>
    <x v="2"/>
    <x v="2"/>
    <x v="9"/>
    <x v="9"/>
    <x v="3"/>
    <x v="7"/>
    <x v="7"/>
    <x v="40"/>
    <x v="40"/>
    <n v="518.18460000000005"/>
    <x v="1"/>
    <x v="2"/>
    <x v="5"/>
    <x v="7"/>
    <x v="11"/>
    <x v="22"/>
    <n v="564.82121400000005"/>
  </r>
  <r>
    <x v="5"/>
    <x v="0"/>
    <x v="5"/>
    <x v="5"/>
    <x v="0"/>
    <x v="2"/>
    <x v="0"/>
    <x v="0"/>
    <x v="2"/>
    <x v="2"/>
    <x v="9"/>
    <x v="9"/>
    <x v="1"/>
    <x v="8"/>
    <x v="8"/>
    <x v="40"/>
    <x v="40"/>
    <n v="1521.1217999999999"/>
    <x v="1"/>
    <x v="2"/>
    <x v="5"/>
    <x v="7"/>
    <x v="11"/>
    <x v="22"/>
    <n v="1658.0227620000001"/>
  </r>
  <r>
    <x v="5"/>
    <x v="0"/>
    <x v="5"/>
    <x v="5"/>
    <x v="0"/>
    <x v="2"/>
    <x v="0"/>
    <x v="0"/>
    <x v="2"/>
    <x v="2"/>
    <x v="9"/>
    <x v="9"/>
    <x v="2"/>
    <x v="10"/>
    <x v="10"/>
    <x v="40"/>
    <x v="40"/>
    <n v="150.07859999999999"/>
    <x v="1"/>
    <x v="2"/>
    <x v="5"/>
    <x v="7"/>
    <x v="11"/>
    <x v="22"/>
    <n v="163.58567400000001"/>
  </r>
  <r>
    <x v="5"/>
    <x v="0"/>
    <x v="5"/>
    <x v="5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5"/>
    <x v="0"/>
    <x v="5"/>
    <x v="5"/>
    <x v="0"/>
    <x v="2"/>
    <x v="0"/>
    <x v="0"/>
    <x v="2"/>
    <x v="2"/>
    <x v="9"/>
    <x v="9"/>
    <x v="4"/>
    <x v="5"/>
    <x v="5"/>
    <x v="40"/>
    <x v="40"/>
    <n v="1565.8368"/>
    <x v="1"/>
    <x v="2"/>
    <x v="5"/>
    <x v="7"/>
    <x v="11"/>
    <x v="22"/>
    <n v="1706.7621120000001"/>
  </r>
  <r>
    <x v="5"/>
    <x v="0"/>
    <x v="5"/>
    <x v="5"/>
    <x v="0"/>
    <x v="2"/>
    <x v="0"/>
    <x v="0"/>
    <x v="2"/>
    <x v="2"/>
    <x v="10"/>
    <x v="10"/>
    <x v="2"/>
    <x v="2"/>
    <x v="2"/>
    <x v="41"/>
    <x v="41"/>
    <n v="7.8049787233746004"/>
    <x v="1"/>
    <x v="2"/>
    <x v="5"/>
    <x v="7"/>
    <x v="11"/>
    <x v="22"/>
    <n v="8.5074268084783142"/>
  </r>
  <r>
    <x v="5"/>
    <x v="0"/>
    <x v="5"/>
    <x v="5"/>
    <x v="0"/>
    <x v="2"/>
    <x v="0"/>
    <x v="0"/>
    <x v="2"/>
    <x v="2"/>
    <x v="10"/>
    <x v="10"/>
    <x v="2"/>
    <x v="2"/>
    <x v="2"/>
    <x v="40"/>
    <x v="40"/>
    <n v="273.24149999999997"/>
    <x v="1"/>
    <x v="2"/>
    <x v="5"/>
    <x v="7"/>
    <x v="11"/>
    <x v="22"/>
    <n v="297.833235"/>
  </r>
  <r>
    <x v="5"/>
    <x v="0"/>
    <x v="5"/>
    <x v="5"/>
    <x v="0"/>
    <x v="2"/>
    <x v="0"/>
    <x v="0"/>
    <x v="2"/>
    <x v="2"/>
    <x v="10"/>
    <x v="10"/>
    <x v="1"/>
    <x v="6"/>
    <x v="6"/>
    <x v="40"/>
    <x v="40"/>
    <n v="0.3"/>
    <x v="1"/>
    <x v="2"/>
    <x v="5"/>
    <x v="7"/>
    <x v="11"/>
    <x v="22"/>
    <n v="0.32700000000000001"/>
  </r>
  <r>
    <x v="5"/>
    <x v="0"/>
    <x v="5"/>
    <x v="5"/>
    <x v="0"/>
    <x v="2"/>
    <x v="0"/>
    <x v="0"/>
    <x v="3"/>
    <x v="3"/>
    <x v="12"/>
    <x v="12"/>
    <x v="3"/>
    <x v="7"/>
    <x v="7"/>
    <x v="40"/>
    <x v="40"/>
    <n v="126.30840000000001"/>
    <x v="1"/>
    <x v="2"/>
    <x v="5"/>
    <x v="7"/>
    <x v="11"/>
    <x v="22"/>
    <n v="137.67615600000002"/>
  </r>
  <r>
    <x v="5"/>
    <x v="0"/>
    <x v="5"/>
    <x v="5"/>
    <x v="0"/>
    <x v="2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5"/>
    <x v="0"/>
    <x v="5"/>
    <x v="5"/>
    <x v="0"/>
    <x v="2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5"/>
    <x v="0"/>
    <x v="5"/>
    <x v="5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5"/>
    <x v="0"/>
    <x v="5"/>
    <x v="5"/>
    <x v="0"/>
    <x v="2"/>
    <x v="0"/>
    <x v="0"/>
    <x v="3"/>
    <x v="3"/>
    <x v="12"/>
    <x v="12"/>
    <x v="4"/>
    <x v="5"/>
    <x v="5"/>
    <x v="40"/>
    <x v="40"/>
    <n v="153.06037000000001"/>
    <x v="1"/>
    <x v="2"/>
    <x v="5"/>
    <x v="7"/>
    <x v="11"/>
    <x v="22"/>
    <n v="166.83580330000001"/>
  </r>
  <r>
    <x v="5"/>
    <x v="0"/>
    <x v="5"/>
    <x v="5"/>
    <x v="0"/>
    <x v="2"/>
    <x v="0"/>
    <x v="0"/>
    <x v="3"/>
    <x v="3"/>
    <x v="13"/>
    <x v="13"/>
    <x v="2"/>
    <x v="2"/>
    <x v="2"/>
    <x v="41"/>
    <x v="41"/>
    <n v="19.971691489285799"/>
    <x v="1"/>
    <x v="2"/>
    <x v="5"/>
    <x v="7"/>
    <x v="11"/>
    <x v="22"/>
    <n v="21.769143723321523"/>
  </r>
  <r>
    <x v="5"/>
    <x v="0"/>
    <x v="5"/>
    <x v="5"/>
    <x v="0"/>
    <x v="2"/>
    <x v="0"/>
    <x v="0"/>
    <x v="3"/>
    <x v="3"/>
    <x v="13"/>
    <x v="13"/>
    <x v="2"/>
    <x v="2"/>
    <x v="2"/>
    <x v="40"/>
    <x v="40"/>
    <n v="94.153120000000001"/>
    <x v="1"/>
    <x v="2"/>
    <x v="5"/>
    <x v="7"/>
    <x v="11"/>
    <x v="22"/>
    <n v="102.62690080000002"/>
  </r>
  <r>
    <x v="5"/>
    <x v="0"/>
    <x v="5"/>
    <x v="5"/>
    <x v="0"/>
    <x v="2"/>
    <x v="0"/>
    <x v="0"/>
    <x v="3"/>
    <x v="3"/>
    <x v="13"/>
    <x v="13"/>
    <x v="1"/>
    <x v="6"/>
    <x v="6"/>
    <x v="41"/>
    <x v="41"/>
    <n v="7.2212765957172396"/>
    <x v="1"/>
    <x v="2"/>
    <x v="5"/>
    <x v="7"/>
    <x v="11"/>
    <x v="22"/>
    <n v="7.8711914893317916"/>
  </r>
  <r>
    <x v="5"/>
    <x v="0"/>
    <x v="5"/>
    <x v="5"/>
    <x v="0"/>
    <x v="2"/>
    <x v="0"/>
    <x v="0"/>
    <x v="3"/>
    <x v="3"/>
    <x v="13"/>
    <x v="13"/>
    <x v="1"/>
    <x v="6"/>
    <x v="6"/>
    <x v="40"/>
    <x v="40"/>
    <n v="86.055809999999994"/>
    <x v="1"/>
    <x v="2"/>
    <x v="5"/>
    <x v="7"/>
    <x v="11"/>
    <x v="22"/>
    <n v="93.800832900000003"/>
  </r>
  <r>
    <x v="5"/>
    <x v="0"/>
    <x v="5"/>
    <x v="5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5"/>
    <x v="0"/>
    <x v="5"/>
    <x v="5"/>
    <x v="0"/>
    <x v="2"/>
    <x v="0"/>
    <x v="0"/>
    <x v="3"/>
    <x v="3"/>
    <x v="19"/>
    <x v="19"/>
    <x v="3"/>
    <x v="7"/>
    <x v="7"/>
    <x v="40"/>
    <x v="40"/>
    <n v="1008.6538"/>
    <x v="1"/>
    <x v="2"/>
    <x v="5"/>
    <x v="7"/>
    <x v="11"/>
    <x v="22"/>
    <n v="1099.4326420000002"/>
  </r>
  <r>
    <x v="5"/>
    <x v="0"/>
    <x v="5"/>
    <x v="5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5"/>
    <x v="0"/>
    <x v="5"/>
    <x v="5"/>
    <x v="0"/>
    <x v="2"/>
    <x v="0"/>
    <x v="0"/>
    <x v="3"/>
    <x v="3"/>
    <x v="19"/>
    <x v="19"/>
    <x v="1"/>
    <x v="8"/>
    <x v="8"/>
    <x v="40"/>
    <x v="40"/>
    <n v="606.04849000000002"/>
    <x v="1"/>
    <x v="2"/>
    <x v="5"/>
    <x v="7"/>
    <x v="11"/>
    <x v="22"/>
    <n v="660.59285410000007"/>
  </r>
  <r>
    <x v="5"/>
    <x v="0"/>
    <x v="5"/>
    <x v="5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5"/>
    <x v="0"/>
    <x v="5"/>
    <x v="5"/>
    <x v="0"/>
    <x v="2"/>
    <x v="0"/>
    <x v="0"/>
    <x v="3"/>
    <x v="3"/>
    <x v="19"/>
    <x v="19"/>
    <x v="2"/>
    <x v="10"/>
    <x v="10"/>
    <x v="40"/>
    <x v="40"/>
    <n v="110.80092"/>
    <x v="1"/>
    <x v="2"/>
    <x v="5"/>
    <x v="7"/>
    <x v="11"/>
    <x v="22"/>
    <n v="120.77300280000001"/>
  </r>
  <r>
    <x v="5"/>
    <x v="0"/>
    <x v="5"/>
    <x v="5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5"/>
    <x v="0"/>
    <x v="5"/>
    <x v="5"/>
    <x v="0"/>
    <x v="2"/>
    <x v="0"/>
    <x v="0"/>
    <x v="3"/>
    <x v="3"/>
    <x v="19"/>
    <x v="19"/>
    <x v="4"/>
    <x v="5"/>
    <x v="5"/>
    <x v="40"/>
    <x v="40"/>
    <n v="633.32556999999997"/>
    <x v="1"/>
    <x v="2"/>
    <x v="5"/>
    <x v="7"/>
    <x v="11"/>
    <x v="22"/>
    <n v="690.32487130000004"/>
  </r>
  <r>
    <x v="5"/>
    <x v="0"/>
    <x v="5"/>
    <x v="5"/>
    <x v="0"/>
    <x v="2"/>
    <x v="0"/>
    <x v="0"/>
    <x v="2"/>
    <x v="2"/>
    <x v="14"/>
    <x v="14"/>
    <x v="0"/>
    <x v="4"/>
    <x v="4"/>
    <x v="40"/>
    <x v="40"/>
    <n v="34.5"/>
    <x v="1"/>
    <x v="2"/>
    <x v="5"/>
    <x v="7"/>
    <x v="11"/>
    <x v="22"/>
    <n v="37.605000000000004"/>
  </r>
  <r>
    <x v="5"/>
    <x v="0"/>
    <x v="5"/>
    <x v="5"/>
    <x v="0"/>
    <x v="2"/>
    <x v="0"/>
    <x v="0"/>
    <x v="2"/>
    <x v="2"/>
    <x v="14"/>
    <x v="14"/>
    <x v="2"/>
    <x v="2"/>
    <x v="2"/>
    <x v="40"/>
    <x v="40"/>
    <n v="36.962649999999996"/>
    <x v="1"/>
    <x v="2"/>
    <x v="5"/>
    <x v="7"/>
    <x v="11"/>
    <x v="22"/>
    <n v="40.289288499999998"/>
  </r>
  <r>
    <x v="5"/>
    <x v="0"/>
    <x v="5"/>
    <x v="5"/>
    <x v="0"/>
    <x v="2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5"/>
    <x v="0"/>
    <x v="5"/>
    <x v="5"/>
    <x v="0"/>
    <x v="2"/>
    <x v="0"/>
    <x v="0"/>
    <x v="2"/>
    <x v="2"/>
    <x v="15"/>
    <x v="15"/>
    <x v="0"/>
    <x v="4"/>
    <x v="4"/>
    <x v="42"/>
    <x v="42"/>
    <n v="92"/>
    <x v="1"/>
    <x v="2"/>
    <x v="5"/>
    <x v="7"/>
    <x v="11"/>
    <x v="22"/>
    <n v="100.28"/>
  </r>
  <r>
    <x v="5"/>
    <x v="0"/>
    <x v="5"/>
    <x v="5"/>
    <x v="0"/>
    <x v="2"/>
    <x v="0"/>
    <x v="0"/>
    <x v="2"/>
    <x v="2"/>
    <x v="15"/>
    <x v="15"/>
    <x v="0"/>
    <x v="4"/>
    <x v="4"/>
    <x v="40"/>
    <x v="40"/>
    <n v="42.35"/>
    <x v="1"/>
    <x v="2"/>
    <x v="5"/>
    <x v="7"/>
    <x v="11"/>
    <x v="22"/>
    <n v="46.161500000000004"/>
  </r>
  <r>
    <x v="5"/>
    <x v="0"/>
    <x v="5"/>
    <x v="5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5"/>
    <x v="0"/>
    <x v="5"/>
    <x v="5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5"/>
    <x v="0"/>
    <x v="5"/>
    <x v="5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5"/>
    <x v="0"/>
    <x v="5"/>
    <x v="5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5"/>
    <x v="0"/>
    <x v="5"/>
    <x v="5"/>
    <x v="0"/>
    <x v="2"/>
    <x v="0"/>
    <x v="0"/>
    <x v="2"/>
    <x v="2"/>
    <x v="16"/>
    <x v="16"/>
    <x v="0"/>
    <x v="4"/>
    <x v="4"/>
    <x v="42"/>
    <x v="42"/>
    <n v="16.324999999999999"/>
    <x v="1"/>
    <x v="2"/>
    <x v="5"/>
    <x v="7"/>
    <x v="11"/>
    <x v="22"/>
    <n v="17.794250000000002"/>
  </r>
  <r>
    <x v="5"/>
    <x v="0"/>
    <x v="5"/>
    <x v="5"/>
    <x v="0"/>
    <x v="2"/>
    <x v="0"/>
    <x v="0"/>
    <x v="2"/>
    <x v="2"/>
    <x v="16"/>
    <x v="16"/>
    <x v="0"/>
    <x v="4"/>
    <x v="4"/>
    <x v="40"/>
    <x v="40"/>
    <n v="12.65132"/>
    <x v="1"/>
    <x v="2"/>
    <x v="5"/>
    <x v="7"/>
    <x v="11"/>
    <x v="22"/>
    <n v="13.789938800000002"/>
  </r>
  <r>
    <x v="5"/>
    <x v="0"/>
    <x v="5"/>
    <x v="5"/>
    <x v="0"/>
    <x v="2"/>
    <x v="0"/>
    <x v="0"/>
    <x v="2"/>
    <x v="2"/>
    <x v="17"/>
    <x v="17"/>
    <x v="2"/>
    <x v="2"/>
    <x v="2"/>
    <x v="40"/>
    <x v="40"/>
    <n v="88.038589999999999"/>
    <x v="1"/>
    <x v="2"/>
    <x v="5"/>
    <x v="7"/>
    <x v="11"/>
    <x v="22"/>
    <n v="95.962063100000009"/>
  </r>
  <r>
    <x v="5"/>
    <x v="0"/>
    <x v="5"/>
    <x v="5"/>
    <x v="0"/>
    <x v="2"/>
    <x v="0"/>
    <x v="0"/>
    <x v="2"/>
    <x v="2"/>
    <x v="17"/>
    <x v="17"/>
    <x v="1"/>
    <x v="6"/>
    <x v="6"/>
    <x v="40"/>
    <x v="40"/>
    <n v="15.5"/>
    <x v="1"/>
    <x v="2"/>
    <x v="5"/>
    <x v="7"/>
    <x v="11"/>
    <x v="22"/>
    <n v="16.895"/>
  </r>
  <r>
    <x v="5"/>
    <x v="0"/>
    <x v="5"/>
    <x v="5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5"/>
    <x v="0"/>
    <x v="5"/>
    <x v="5"/>
    <x v="0"/>
    <x v="2"/>
    <x v="0"/>
    <x v="0"/>
    <x v="2"/>
    <x v="2"/>
    <x v="17"/>
    <x v="17"/>
    <x v="1"/>
    <x v="8"/>
    <x v="8"/>
    <x v="40"/>
    <x v="40"/>
    <n v="107.25360000000001"/>
    <x v="1"/>
    <x v="2"/>
    <x v="5"/>
    <x v="7"/>
    <x v="11"/>
    <x v="22"/>
    <n v="116.90642400000002"/>
  </r>
  <r>
    <x v="5"/>
    <x v="0"/>
    <x v="5"/>
    <x v="5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5"/>
    <x v="0"/>
    <x v="5"/>
    <x v="5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5"/>
    <x v="0"/>
    <x v="5"/>
    <x v="5"/>
    <x v="0"/>
    <x v="2"/>
    <x v="0"/>
    <x v="0"/>
    <x v="2"/>
    <x v="2"/>
    <x v="17"/>
    <x v="17"/>
    <x v="4"/>
    <x v="5"/>
    <x v="5"/>
    <x v="40"/>
    <x v="40"/>
    <n v="1048.7271800000001"/>
    <x v="1"/>
    <x v="2"/>
    <x v="5"/>
    <x v="7"/>
    <x v="11"/>
    <x v="22"/>
    <n v="1143.1126262000002"/>
  </r>
  <r>
    <x v="5"/>
    <x v="0"/>
    <x v="5"/>
    <x v="5"/>
    <x v="0"/>
    <x v="3"/>
    <x v="0"/>
    <x v="0"/>
    <x v="0"/>
    <x v="0"/>
    <x v="0"/>
    <x v="0"/>
    <x v="3"/>
    <x v="3"/>
    <x v="3"/>
    <x v="9"/>
    <x v="9"/>
    <n v="47.610165137586101"/>
    <x v="0"/>
    <x v="0"/>
    <x v="1"/>
    <x v="4"/>
    <x v="5"/>
    <x v="9"/>
    <n v="51.895079999968857"/>
  </r>
  <r>
    <x v="5"/>
    <x v="0"/>
    <x v="5"/>
    <x v="5"/>
    <x v="0"/>
    <x v="3"/>
    <x v="0"/>
    <x v="0"/>
    <x v="0"/>
    <x v="0"/>
    <x v="0"/>
    <x v="0"/>
    <x v="3"/>
    <x v="3"/>
    <x v="3"/>
    <x v="14"/>
    <x v="14"/>
    <n v="26"/>
    <x v="0"/>
    <x v="0"/>
    <x v="0"/>
    <x v="0"/>
    <x v="8"/>
    <x v="14"/>
    <n v="28.340000000000003"/>
  </r>
  <r>
    <x v="5"/>
    <x v="0"/>
    <x v="5"/>
    <x v="5"/>
    <x v="0"/>
    <x v="3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5"/>
    <x v="0"/>
    <x v="5"/>
    <x v="5"/>
    <x v="0"/>
    <x v="3"/>
    <x v="0"/>
    <x v="0"/>
    <x v="0"/>
    <x v="0"/>
    <x v="0"/>
    <x v="0"/>
    <x v="0"/>
    <x v="4"/>
    <x v="4"/>
    <x v="9"/>
    <x v="9"/>
    <n v="936.77999999943802"/>
    <x v="0"/>
    <x v="0"/>
    <x v="1"/>
    <x v="4"/>
    <x v="5"/>
    <x v="9"/>
    <n v="1021.0901999993876"/>
  </r>
  <r>
    <x v="5"/>
    <x v="0"/>
    <x v="5"/>
    <x v="5"/>
    <x v="0"/>
    <x v="3"/>
    <x v="0"/>
    <x v="0"/>
    <x v="0"/>
    <x v="0"/>
    <x v="0"/>
    <x v="0"/>
    <x v="0"/>
    <x v="4"/>
    <x v="4"/>
    <x v="14"/>
    <x v="14"/>
    <n v="0.70879999999999999"/>
    <x v="0"/>
    <x v="0"/>
    <x v="0"/>
    <x v="0"/>
    <x v="8"/>
    <x v="14"/>
    <n v="0.77259200000000006"/>
  </r>
  <r>
    <x v="5"/>
    <x v="0"/>
    <x v="5"/>
    <x v="5"/>
    <x v="0"/>
    <x v="3"/>
    <x v="0"/>
    <x v="0"/>
    <x v="0"/>
    <x v="0"/>
    <x v="0"/>
    <x v="0"/>
    <x v="0"/>
    <x v="0"/>
    <x v="0"/>
    <x v="9"/>
    <x v="9"/>
    <n v="18.348623853199999"/>
    <x v="0"/>
    <x v="0"/>
    <x v="1"/>
    <x v="4"/>
    <x v="5"/>
    <x v="9"/>
    <n v="19.999999999988002"/>
  </r>
  <r>
    <x v="5"/>
    <x v="0"/>
    <x v="5"/>
    <x v="5"/>
    <x v="0"/>
    <x v="3"/>
    <x v="0"/>
    <x v="0"/>
    <x v="0"/>
    <x v="0"/>
    <x v="0"/>
    <x v="0"/>
    <x v="1"/>
    <x v="1"/>
    <x v="1"/>
    <x v="9"/>
    <x v="9"/>
    <n v="114.11743119259199"/>
    <x v="0"/>
    <x v="0"/>
    <x v="1"/>
    <x v="4"/>
    <x v="5"/>
    <x v="9"/>
    <n v="124.38799999992528"/>
  </r>
  <r>
    <x v="5"/>
    <x v="0"/>
    <x v="5"/>
    <x v="5"/>
    <x v="0"/>
    <x v="3"/>
    <x v="0"/>
    <x v="0"/>
    <x v="0"/>
    <x v="0"/>
    <x v="0"/>
    <x v="0"/>
    <x v="1"/>
    <x v="1"/>
    <x v="1"/>
    <x v="14"/>
    <x v="14"/>
    <n v="7.6"/>
    <x v="0"/>
    <x v="0"/>
    <x v="0"/>
    <x v="0"/>
    <x v="8"/>
    <x v="14"/>
    <n v="8.2840000000000007"/>
  </r>
  <r>
    <x v="5"/>
    <x v="0"/>
    <x v="5"/>
    <x v="5"/>
    <x v="0"/>
    <x v="3"/>
    <x v="0"/>
    <x v="0"/>
    <x v="0"/>
    <x v="0"/>
    <x v="0"/>
    <x v="0"/>
    <x v="2"/>
    <x v="2"/>
    <x v="2"/>
    <x v="9"/>
    <x v="9"/>
    <n v="372.170642201612"/>
    <x v="0"/>
    <x v="0"/>
    <x v="1"/>
    <x v="4"/>
    <x v="5"/>
    <x v="9"/>
    <n v="405.6659999997571"/>
  </r>
  <r>
    <x v="5"/>
    <x v="0"/>
    <x v="5"/>
    <x v="5"/>
    <x v="0"/>
    <x v="3"/>
    <x v="0"/>
    <x v="0"/>
    <x v="0"/>
    <x v="0"/>
    <x v="0"/>
    <x v="0"/>
    <x v="2"/>
    <x v="2"/>
    <x v="2"/>
    <x v="11"/>
    <x v="11"/>
    <n v="7.6278100000000002"/>
    <x v="0"/>
    <x v="0"/>
    <x v="3"/>
    <x v="5"/>
    <x v="7"/>
    <x v="11"/>
    <n v="8.3143129000000009"/>
  </r>
  <r>
    <x v="5"/>
    <x v="0"/>
    <x v="5"/>
    <x v="5"/>
    <x v="0"/>
    <x v="3"/>
    <x v="0"/>
    <x v="0"/>
    <x v="0"/>
    <x v="0"/>
    <x v="0"/>
    <x v="0"/>
    <x v="2"/>
    <x v="2"/>
    <x v="2"/>
    <x v="14"/>
    <x v="14"/>
    <n v="17.691199999999998"/>
    <x v="0"/>
    <x v="0"/>
    <x v="0"/>
    <x v="0"/>
    <x v="8"/>
    <x v="14"/>
    <n v="19.283408000000001"/>
  </r>
  <r>
    <x v="5"/>
    <x v="0"/>
    <x v="5"/>
    <x v="5"/>
    <x v="0"/>
    <x v="3"/>
    <x v="0"/>
    <x v="0"/>
    <x v="0"/>
    <x v="0"/>
    <x v="0"/>
    <x v="0"/>
    <x v="2"/>
    <x v="2"/>
    <x v="2"/>
    <x v="26"/>
    <x v="26"/>
    <n v="1.1926605504579999"/>
    <x v="0"/>
    <x v="0"/>
    <x v="1"/>
    <x v="3"/>
    <x v="3"/>
    <x v="15"/>
    <n v="1.29999999999922"/>
  </r>
  <r>
    <x v="5"/>
    <x v="0"/>
    <x v="5"/>
    <x v="5"/>
    <x v="0"/>
    <x v="3"/>
    <x v="0"/>
    <x v="0"/>
    <x v="0"/>
    <x v="0"/>
    <x v="0"/>
    <x v="0"/>
    <x v="1"/>
    <x v="6"/>
    <x v="6"/>
    <x v="9"/>
    <x v="9"/>
    <n v="369.30239449519098"/>
    <x v="0"/>
    <x v="0"/>
    <x v="1"/>
    <x v="4"/>
    <x v="5"/>
    <x v="9"/>
    <n v="402.53960999975823"/>
  </r>
  <r>
    <x v="5"/>
    <x v="0"/>
    <x v="5"/>
    <x v="5"/>
    <x v="0"/>
    <x v="3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5"/>
    <x v="0"/>
    <x v="5"/>
    <x v="5"/>
    <x v="0"/>
    <x v="3"/>
    <x v="0"/>
    <x v="0"/>
    <x v="0"/>
    <x v="0"/>
    <x v="0"/>
    <x v="0"/>
    <x v="4"/>
    <x v="5"/>
    <x v="5"/>
    <x v="9"/>
    <x v="9"/>
    <n v="64.877064220144604"/>
    <x v="0"/>
    <x v="0"/>
    <x v="1"/>
    <x v="4"/>
    <x v="5"/>
    <x v="9"/>
    <n v="70.715999999957617"/>
  </r>
  <r>
    <x v="5"/>
    <x v="0"/>
    <x v="5"/>
    <x v="5"/>
    <x v="0"/>
    <x v="5"/>
    <x v="0"/>
    <x v="0"/>
    <x v="0"/>
    <x v="0"/>
    <x v="0"/>
    <x v="0"/>
    <x v="3"/>
    <x v="3"/>
    <x v="3"/>
    <x v="27"/>
    <x v="27"/>
    <n v="0.11286936937175999"/>
    <x v="0"/>
    <x v="0"/>
    <x v="1"/>
    <x v="3"/>
    <x v="3"/>
    <x v="19"/>
    <n v="0.1230276126152184"/>
  </r>
  <r>
    <x v="5"/>
    <x v="0"/>
    <x v="5"/>
    <x v="5"/>
    <x v="0"/>
    <x v="5"/>
    <x v="0"/>
    <x v="0"/>
    <x v="0"/>
    <x v="0"/>
    <x v="0"/>
    <x v="0"/>
    <x v="0"/>
    <x v="4"/>
    <x v="4"/>
    <x v="11"/>
    <x v="11"/>
    <n v="8.3953500000000005"/>
    <x v="0"/>
    <x v="0"/>
    <x v="3"/>
    <x v="5"/>
    <x v="7"/>
    <x v="11"/>
    <n v="9.1509315000000004"/>
  </r>
  <r>
    <x v="5"/>
    <x v="0"/>
    <x v="5"/>
    <x v="5"/>
    <x v="0"/>
    <x v="5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5"/>
    <x v="0"/>
    <x v="5"/>
    <x v="5"/>
    <x v="0"/>
    <x v="5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5"/>
    <x v="0"/>
    <x v="5"/>
    <x v="5"/>
    <x v="0"/>
    <x v="5"/>
    <x v="0"/>
    <x v="0"/>
    <x v="0"/>
    <x v="0"/>
    <x v="0"/>
    <x v="0"/>
    <x v="0"/>
    <x v="4"/>
    <x v="4"/>
    <x v="27"/>
    <x v="27"/>
    <n v="64.3470810824452"/>
    <x v="0"/>
    <x v="0"/>
    <x v="1"/>
    <x v="3"/>
    <x v="3"/>
    <x v="19"/>
    <n v="70.138318379865268"/>
  </r>
  <r>
    <x v="5"/>
    <x v="0"/>
    <x v="5"/>
    <x v="5"/>
    <x v="0"/>
    <x v="5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5"/>
    <x v="0"/>
    <x v="5"/>
    <x v="5"/>
    <x v="0"/>
    <x v="5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5"/>
    <x v="0"/>
    <x v="5"/>
    <x v="5"/>
    <x v="0"/>
    <x v="5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5"/>
    <x v="0"/>
    <x v="5"/>
    <x v="5"/>
    <x v="0"/>
    <x v="5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5"/>
    <x v="0"/>
    <x v="5"/>
    <x v="5"/>
    <x v="0"/>
    <x v="5"/>
    <x v="0"/>
    <x v="0"/>
    <x v="0"/>
    <x v="0"/>
    <x v="0"/>
    <x v="0"/>
    <x v="2"/>
    <x v="2"/>
    <x v="2"/>
    <x v="14"/>
    <x v="14"/>
    <n v="16.7"/>
    <x v="0"/>
    <x v="0"/>
    <x v="0"/>
    <x v="0"/>
    <x v="8"/>
    <x v="14"/>
    <n v="18.202999999999999"/>
  </r>
  <r>
    <x v="5"/>
    <x v="0"/>
    <x v="5"/>
    <x v="5"/>
    <x v="0"/>
    <x v="5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5"/>
    <x v="0"/>
    <x v="5"/>
    <x v="5"/>
    <x v="0"/>
    <x v="5"/>
    <x v="0"/>
    <x v="0"/>
    <x v="0"/>
    <x v="0"/>
    <x v="0"/>
    <x v="0"/>
    <x v="2"/>
    <x v="2"/>
    <x v="2"/>
    <x v="27"/>
    <x v="27"/>
    <n v="111.08997522758"/>
    <x v="0"/>
    <x v="0"/>
    <x v="1"/>
    <x v="3"/>
    <x v="3"/>
    <x v="19"/>
    <n v="121.0880729980622"/>
  </r>
  <r>
    <x v="5"/>
    <x v="0"/>
    <x v="5"/>
    <x v="5"/>
    <x v="0"/>
    <x v="5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5"/>
    <x v="0"/>
    <x v="5"/>
    <x v="5"/>
    <x v="0"/>
    <x v="5"/>
    <x v="0"/>
    <x v="0"/>
    <x v="0"/>
    <x v="0"/>
    <x v="0"/>
    <x v="0"/>
    <x v="1"/>
    <x v="6"/>
    <x v="6"/>
    <x v="27"/>
    <x v="27"/>
    <n v="14.173457207507701"/>
    <x v="0"/>
    <x v="0"/>
    <x v="1"/>
    <x v="3"/>
    <x v="3"/>
    <x v="19"/>
    <n v="15.449068356183394"/>
  </r>
  <r>
    <x v="5"/>
    <x v="0"/>
    <x v="5"/>
    <x v="5"/>
    <x v="0"/>
    <x v="5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5"/>
    <x v="0"/>
    <x v="5"/>
    <x v="5"/>
    <x v="0"/>
    <x v="5"/>
    <x v="0"/>
    <x v="0"/>
    <x v="0"/>
    <x v="0"/>
    <x v="0"/>
    <x v="0"/>
    <x v="4"/>
    <x v="5"/>
    <x v="5"/>
    <x v="27"/>
    <x v="27"/>
    <n v="32.021385135814"/>
    <x v="0"/>
    <x v="0"/>
    <x v="1"/>
    <x v="3"/>
    <x v="3"/>
    <x v="19"/>
    <n v="34.903309798037263"/>
  </r>
  <r>
    <x v="5"/>
    <x v="0"/>
    <x v="5"/>
    <x v="5"/>
    <x v="0"/>
    <x v="5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5"/>
    <x v="0"/>
    <x v="5"/>
    <x v="5"/>
    <x v="0"/>
    <x v="5"/>
    <x v="0"/>
    <x v="0"/>
    <x v="0"/>
    <x v="0"/>
    <x v="4"/>
    <x v="4"/>
    <x v="2"/>
    <x v="2"/>
    <x v="2"/>
    <x v="27"/>
    <x v="27"/>
    <n v="2.2915540541026398"/>
    <x v="0"/>
    <x v="0"/>
    <x v="1"/>
    <x v="3"/>
    <x v="3"/>
    <x v="19"/>
    <n v="2.4977939189718774"/>
  </r>
  <r>
    <x v="5"/>
    <x v="0"/>
    <x v="5"/>
    <x v="5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5"/>
    <x v="0"/>
    <x v="5"/>
    <x v="5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5"/>
    <x v="0"/>
    <x v="5"/>
    <x v="5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5"/>
    <x v="0"/>
    <x v="5"/>
    <x v="5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5"/>
    <x v="0"/>
    <x v="5"/>
    <x v="5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5"/>
    <x v="0"/>
    <x v="5"/>
    <x v="5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5"/>
    <x v="0"/>
    <x v="5"/>
    <x v="5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5"/>
    <x v="0"/>
    <x v="5"/>
    <x v="5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5"/>
    <x v="0"/>
    <x v="5"/>
    <x v="5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5"/>
    <x v="0"/>
    <x v="5"/>
    <x v="5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5"/>
    <x v="0"/>
    <x v="5"/>
    <x v="5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5"/>
    <x v="0"/>
    <x v="5"/>
    <x v="5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5"/>
    <x v="0"/>
    <x v="5"/>
    <x v="5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5"/>
    <x v="0"/>
    <x v="5"/>
    <x v="5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5"/>
    <x v="0"/>
    <x v="5"/>
    <x v="5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5"/>
    <x v="0"/>
    <x v="5"/>
    <x v="5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5"/>
    <x v="0"/>
    <x v="5"/>
    <x v="5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5"/>
    <x v="0"/>
    <x v="5"/>
    <x v="5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5"/>
    <x v="0"/>
    <x v="5"/>
    <x v="5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5"/>
    <x v="0"/>
    <x v="5"/>
    <x v="5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5"/>
    <x v="0"/>
    <x v="5"/>
    <x v="5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5"/>
    <x v="0"/>
    <x v="5"/>
    <x v="5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5"/>
    <x v="0"/>
    <x v="5"/>
    <x v="5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5"/>
    <x v="0"/>
    <x v="5"/>
    <x v="5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5"/>
    <x v="0"/>
    <x v="5"/>
    <x v="5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5"/>
    <x v="0"/>
    <x v="5"/>
    <x v="5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5"/>
    <x v="0"/>
    <x v="5"/>
    <x v="5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5"/>
    <x v="0"/>
    <x v="5"/>
    <x v="5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5"/>
    <x v="0"/>
    <x v="5"/>
    <x v="5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5"/>
    <x v="0"/>
    <x v="5"/>
    <x v="5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5"/>
    <x v="0"/>
    <x v="5"/>
    <x v="5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5"/>
    <x v="0"/>
    <x v="5"/>
    <x v="5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5"/>
    <x v="0"/>
    <x v="5"/>
    <x v="5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5"/>
    <x v="0"/>
    <x v="5"/>
    <x v="5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5"/>
    <x v="0"/>
    <x v="5"/>
    <x v="5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5"/>
    <x v="0"/>
    <x v="5"/>
    <x v="5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5"/>
    <x v="0"/>
    <x v="5"/>
    <x v="5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5"/>
    <x v="0"/>
    <x v="5"/>
    <x v="5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5"/>
    <x v="0"/>
    <x v="5"/>
    <x v="5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5"/>
    <x v="0"/>
    <x v="5"/>
    <x v="5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5"/>
    <x v="0"/>
    <x v="5"/>
    <x v="5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5"/>
    <x v="0"/>
    <x v="5"/>
    <x v="5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5"/>
    <x v="0"/>
    <x v="5"/>
    <x v="5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5"/>
    <x v="0"/>
    <x v="5"/>
    <x v="5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5"/>
    <x v="0"/>
    <x v="5"/>
    <x v="5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5"/>
    <x v="0"/>
    <x v="5"/>
    <x v="5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5"/>
    <x v="0"/>
    <x v="5"/>
    <x v="5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5"/>
    <x v="0"/>
    <x v="5"/>
    <x v="5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5"/>
    <x v="0"/>
    <x v="5"/>
    <x v="5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5"/>
    <x v="0"/>
    <x v="5"/>
    <x v="5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5"/>
    <x v="0"/>
    <x v="5"/>
    <x v="5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5"/>
    <x v="0"/>
    <x v="5"/>
    <x v="5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5"/>
    <x v="0"/>
    <x v="5"/>
    <x v="5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5"/>
    <x v="0"/>
    <x v="5"/>
    <x v="5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5"/>
    <x v="0"/>
    <x v="5"/>
    <x v="5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5"/>
    <x v="0"/>
    <x v="5"/>
    <x v="5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5"/>
    <x v="0"/>
    <x v="5"/>
    <x v="5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5"/>
    <x v="0"/>
    <x v="5"/>
    <x v="5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5"/>
    <x v="0"/>
    <x v="5"/>
    <x v="5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5"/>
    <x v="0"/>
    <x v="5"/>
    <x v="5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5"/>
    <x v="0"/>
    <x v="5"/>
    <x v="5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5"/>
    <x v="0"/>
    <x v="5"/>
    <x v="5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5"/>
    <x v="0"/>
    <x v="5"/>
    <x v="5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5"/>
    <x v="0"/>
    <x v="5"/>
    <x v="5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5"/>
    <x v="0"/>
    <x v="5"/>
    <x v="5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5"/>
    <x v="0"/>
    <x v="5"/>
    <x v="5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5"/>
    <x v="0"/>
    <x v="5"/>
    <x v="5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5"/>
    <x v="0"/>
    <x v="5"/>
    <x v="5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5"/>
    <x v="0"/>
    <x v="5"/>
    <x v="5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5"/>
    <x v="0"/>
    <x v="5"/>
    <x v="5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5"/>
    <x v="0"/>
    <x v="5"/>
    <x v="5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5"/>
    <x v="0"/>
    <x v="5"/>
    <x v="5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5"/>
    <x v="0"/>
    <x v="5"/>
    <x v="5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5"/>
    <x v="0"/>
    <x v="5"/>
    <x v="5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5"/>
    <x v="0"/>
    <x v="5"/>
    <x v="5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5"/>
    <x v="0"/>
    <x v="5"/>
    <x v="5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5"/>
    <x v="0"/>
    <x v="5"/>
    <x v="5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5"/>
    <x v="0"/>
    <x v="5"/>
    <x v="5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5"/>
    <x v="0"/>
    <x v="5"/>
    <x v="5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5"/>
    <x v="0"/>
    <x v="5"/>
    <x v="5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5"/>
    <x v="0"/>
    <x v="5"/>
    <x v="5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5"/>
    <x v="0"/>
    <x v="5"/>
    <x v="5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5"/>
    <x v="0"/>
    <x v="5"/>
    <x v="5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5"/>
    <x v="0"/>
    <x v="5"/>
    <x v="5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5"/>
    <x v="0"/>
    <x v="5"/>
    <x v="5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5"/>
    <x v="0"/>
    <x v="5"/>
    <x v="5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5"/>
    <x v="0"/>
    <x v="5"/>
    <x v="5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5"/>
    <x v="0"/>
    <x v="5"/>
    <x v="5"/>
    <x v="0"/>
    <x v="4"/>
    <x v="0"/>
    <x v="0"/>
    <x v="0"/>
    <x v="0"/>
    <x v="2"/>
    <x v="2"/>
    <x v="1"/>
    <x v="6"/>
    <x v="6"/>
    <x v="1"/>
    <x v="1"/>
    <n v="2.2224827586084701"/>
    <x v="0"/>
    <x v="0"/>
    <x v="1"/>
    <x v="1"/>
    <x v="1"/>
    <x v="1"/>
    <n v="2.4225062068832326"/>
  </r>
  <r>
    <x v="5"/>
    <x v="0"/>
    <x v="5"/>
    <x v="5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5"/>
    <x v="0"/>
    <x v="5"/>
    <x v="5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5"/>
    <x v="0"/>
    <x v="5"/>
    <x v="5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5"/>
    <x v="0"/>
    <x v="5"/>
    <x v="5"/>
    <x v="0"/>
    <x v="4"/>
    <x v="0"/>
    <x v="0"/>
    <x v="0"/>
    <x v="0"/>
    <x v="0"/>
    <x v="0"/>
    <x v="0"/>
    <x v="4"/>
    <x v="4"/>
    <x v="1"/>
    <x v="1"/>
    <n v="34.4827586205"/>
    <x v="0"/>
    <x v="0"/>
    <x v="1"/>
    <x v="1"/>
    <x v="1"/>
    <x v="1"/>
    <n v="37.586206896345004"/>
  </r>
  <r>
    <x v="5"/>
    <x v="0"/>
    <x v="5"/>
    <x v="5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5"/>
    <x v="0"/>
    <x v="5"/>
    <x v="5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5"/>
    <x v="0"/>
    <x v="5"/>
    <x v="5"/>
    <x v="0"/>
    <x v="4"/>
    <x v="0"/>
    <x v="0"/>
    <x v="0"/>
    <x v="0"/>
    <x v="0"/>
    <x v="0"/>
    <x v="0"/>
    <x v="0"/>
    <x v="0"/>
    <x v="55"/>
    <x v="55"/>
    <n v="2.0282201834850202"/>
    <x v="0"/>
    <x v="0"/>
    <x v="1"/>
    <x v="3"/>
    <x v="3"/>
    <x v="15"/>
    <n v="2.2107599999986722"/>
  </r>
  <r>
    <x v="5"/>
    <x v="0"/>
    <x v="5"/>
    <x v="5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5"/>
    <x v="0"/>
    <x v="5"/>
    <x v="5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5"/>
    <x v="0"/>
    <x v="5"/>
    <x v="5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5"/>
    <x v="0"/>
    <x v="5"/>
    <x v="5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5"/>
    <x v="0"/>
    <x v="5"/>
    <x v="5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5"/>
    <x v="0"/>
    <x v="5"/>
    <x v="5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5"/>
    <x v="0"/>
    <x v="5"/>
    <x v="5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5"/>
    <x v="0"/>
    <x v="5"/>
    <x v="5"/>
    <x v="0"/>
    <x v="4"/>
    <x v="0"/>
    <x v="0"/>
    <x v="0"/>
    <x v="0"/>
    <x v="0"/>
    <x v="0"/>
    <x v="1"/>
    <x v="1"/>
    <x v="1"/>
    <x v="55"/>
    <x v="55"/>
    <n v="3.9642935779792698"/>
    <x v="0"/>
    <x v="0"/>
    <x v="1"/>
    <x v="3"/>
    <x v="3"/>
    <x v="15"/>
    <n v="4.3210799999974041"/>
  </r>
  <r>
    <x v="5"/>
    <x v="0"/>
    <x v="5"/>
    <x v="5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5"/>
    <x v="0"/>
    <x v="5"/>
    <x v="5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5"/>
    <x v="0"/>
    <x v="5"/>
    <x v="5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5"/>
    <x v="0"/>
    <x v="5"/>
    <x v="5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5"/>
    <x v="0"/>
    <x v="5"/>
    <x v="5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5"/>
    <x v="0"/>
    <x v="5"/>
    <x v="5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5"/>
    <x v="0"/>
    <x v="5"/>
    <x v="5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5"/>
    <x v="0"/>
    <x v="5"/>
    <x v="5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5"/>
    <x v="0"/>
    <x v="5"/>
    <x v="5"/>
    <x v="0"/>
    <x v="4"/>
    <x v="0"/>
    <x v="0"/>
    <x v="0"/>
    <x v="0"/>
    <x v="0"/>
    <x v="0"/>
    <x v="2"/>
    <x v="2"/>
    <x v="2"/>
    <x v="1"/>
    <x v="1"/>
    <n v="0.97758620689118003"/>
    <x v="0"/>
    <x v="0"/>
    <x v="1"/>
    <x v="1"/>
    <x v="1"/>
    <x v="1"/>
    <n v="1.0655689655113862"/>
  </r>
  <r>
    <x v="5"/>
    <x v="0"/>
    <x v="5"/>
    <x v="5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5"/>
    <x v="0"/>
    <x v="5"/>
    <x v="5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5"/>
    <x v="0"/>
    <x v="5"/>
    <x v="5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5"/>
    <x v="0"/>
    <x v="5"/>
    <x v="5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5"/>
    <x v="0"/>
    <x v="5"/>
    <x v="5"/>
    <x v="0"/>
    <x v="4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5"/>
    <x v="0"/>
    <x v="5"/>
    <x v="5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5"/>
    <x v="0"/>
    <x v="5"/>
    <x v="5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5"/>
    <x v="0"/>
    <x v="5"/>
    <x v="5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5"/>
    <x v="0"/>
    <x v="5"/>
    <x v="5"/>
    <x v="0"/>
    <x v="4"/>
    <x v="0"/>
    <x v="0"/>
    <x v="0"/>
    <x v="0"/>
    <x v="0"/>
    <x v="0"/>
    <x v="4"/>
    <x v="5"/>
    <x v="5"/>
    <x v="55"/>
    <x v="55"/>
    <n v="10.304587155957099"/>
    <x v="0"/>
    <x v="0"/>
    <x v="1"/>
    <x v="3"/>
    <x v="3"/>
    <x v="15"/>
    <n v="11.231999999993239"/>
  </r>
  <r>
    <x v="5"/>
    <x v="0"/>
    <x v="5"/>
    <x v="5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5"/>
    <x v="0"/>
    <x v="5"/>
    <x v="5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5"/>
    <x v="0"/>
    <x v="5"/>
    <x v="5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5"/>
    <x v="0"/>
    <x v="5"/>
    <x v="5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5"/>
    <x v="0"/>
    <x v="5"/>
    <x v="5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5"/>
    <x v="0"/>
    <x v="5"/>
    <x v="5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5"/>
    <x v="0"/>
    <x v="5"/>
    <x v="5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5"/>
    <x v="0"/>
    <x v="5"/>
    <x v="5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5"/>
    <x v="0"/>
    <x v="5"/>
    <x v="5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5"/>
    <x v="0"/>
    <x v="5"/>
    <x v="5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5"/>
    <x v="0"/>
    <x v="5"/>
    <x v="5"/>
    <x v="0"/>
    <x v="4"/>
    <x v="0"/>
    <x v="0"/>
    <x v="0"/>
    <x v="0"/>
    <x v="3"/>
    <x v="3"/>
    <x v="1"/>
    <x v="6"/>
    <x v="6"/>
    <x v="1"/>
    <x v="1"/>
    <n v="78.275862068535005"/>
    <x v="0"/>
    <x v="0"/>
    <x v="1"/>
    <x v="1"/>
    <x v="1"/>
    <x v="1"/>
    <n v="85.320689654703159"/>
  </r>
  <r>
    <x v="5"/>
    <x v="0"/>
    <x v="5"/>
    <x v="5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5"/>
    <x v="0"/>
    <x v="5"/>
    <x v="5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5"/>
    <x v="0"/>
    <x v="5"/>
    <x v="5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5"/>
    <x v="0"/>
    <x v="5"/>
    <x v="5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5"/>
    <x v="0"/>
    <x v="5"/>
    <x v="5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5"/>
    <x v="0"/>
    <x v="5"/>
    <x v="5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5"/>
    <x v="0"/>
    <x v="5"/>
    <x v="5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5"/>
    <x v="0"/>
    <x v="5"/>
    <x v="5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5"/>
    <x v="0"/>
    <x v="5"/>
    <x v="5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5"/>
    <x v="0"/>
    <x v="5"/>
    <x v="5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5"/>
    <x v="0"/>
    <x v="5"/>
    <x v="5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5"/>
    <x v="0"/>
    <x v="5"/>
    <x v="5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5"/>
    <x v="0"/>
    <x v="5"/>
    <x v="5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5"/>
    <x v="0"/>
    <x v="5"/>
    <x v="5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5"/>
    <x v="0"/>
    <x v="5"/>
    <x v="5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5"/>
    <x v="0"/>
    <x v="5"/>
    <x v="5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5"/>
    <x v="0"/>
    <x v="5"/>
    <x v="5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5"/>
    <x v="0"/>
    <x v="5"/>
    <x v="5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5"/>
    <x v="0"/>
    <x v="5"/>
    <x v="5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5"/>
    <x v="0"/>
    <x v="5"/>
    <x v="5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5"/>
    <x v="0"/>
    <x v="5"/>
    <x v="5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5"/>
    <x v="0"/>
    <x v="5"/>
    <x v="5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5"/>
    <x v="0"/>
    <x v="5"/>
    <x v="5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5"/>
    <x v="0"/>
    <x v="5"/>
    <x v="5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5"/>
    <x v="0"/>
    <x v="5"/>
    <x v="5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5"/>
    <x v="0"/>
    <x v="5"/>
    <x v="5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5"/>
    <x v="0"/>
    <x v="5"/>
    <x v="5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5"/>
    <x v="0"/>
    <x v="5"/>
    <x v="5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5"/>
    <x v="0"/>
    <x v="5"/>
    <x v="5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5"/>
    <x v="0"/>
    <x v="5"/>
    <x v="5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5"/>
    <x v="0"/>
    <x v="5"/>
    <x v="5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5"/>
    <x v="0"/>
    <x v="5"/>
    <x v="5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5"/>
    <x v="0"/>
    <x v="5"/>
    <x v="5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5"/>
    <x v="0"/>
    <x v="5"/>
    <x v="5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5"/>
    <x v="0"/>
    <x v="5"/>
    <x v="5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5"/>
    <x v="0"/>
    <x v="5"/>
    <x v="5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5"/>
    <x v="0"/>
    <x v="5"/>
    <x v="5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5"/>
    <x v="0"/>
    <x v="5"/>
    <x v="5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5"/>
    <x v="0"/>
    <x v="5"/>
    <x v="5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5"/>
    <x v="0"/>
    <x v="5"/>
    <x v="5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5"/>
    <x v="0"/>
    <x v="5"/>
    <x v="5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5"/>
    <x v="0"/>
    <x v="5"/>
    <x v="5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5"/>
    <x v="0"/>
    <x v="5"/>
    <x v="5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5"/>
    <x v="0"/>
    <x v="5"/>
    <x v="5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5"/>
    <x v="0"/>
    <x v="5"/>
    <x v="5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5"/>
    <x v="0"/>
    <x v="5"/>
    <x v="5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5"/>
    <x v="0"/>
    <x v="5"/>
    <x v="5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5"/>
    <x v="0"/>
    <x v="5"/>
    <x v="5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5"/>
    <x v="0"/>
    <x v="5"/>
    <x v="5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5"/>
    <x v="0"/>
    <x v="5"/>
    <x v="5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5"/>
    <x v="0"/>
    <x v="5"/>
    <x v="5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5"/>
    <x v="0"/>
    <x v="5"/>
    <x v="5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5"/>
    <x v="0"/>
    <x v="5"/>
    <x v="5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5"/>
    <x v="0"/>
    <x v="5"/>
    <x v="5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5"/>
    <x v="0"/>
    <x v="5"/>
    <x v="5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5"/>
    <x v="0"/>
    <x v="5"/>
    <x v="5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5"/>
    <x v="0"/>
    <x v="5"/>
    <x v="5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5"/>
    <x v="0"/>
    <x v="5"/>
    <x v="5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5"/>
    <x v="0"/>
    <x v="5"/>
    <x v="5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5"/>
    <x v="0"/>
    <x v="5"/>
    <x v="5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5"/>
    <x v="0"/>
    <x v="5"/>
    <x v="5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5"/>
    <x v="0"/>
    <x v="5"/>
    <x v="5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5"/>
    <x v="0"/>
    <x v="5"/>
    <x v="5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5"/>
    <x v="0"/>
    <x v="5"/>
    <x v="5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5"/>
    <x v="0"/>
    <x v="5"/>
    <x v="5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5"/>
    <x v="0"/>
    <x v="5"/>
    <x v="5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5"/>
    <x v="0"/>
    <x v="5"/>
    <x v="5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5"/>
    <x v="0"/>
    <x v="5"/>
    <x v="5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5"/>
    <x v="0"/>
    <x v="5"/>
    <x v="5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5"/>
    <x v="0"/>
    <x v="5"/>
    <x v="5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5"/>
    <x v="0"/>
    <x v="5"/>
    <x v="5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5"/>
    <x v="0"/>
    <x v="5"/>
    <x v="5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5"/>
    <x v="0"/>
    <x v="5"/>
    <x v="5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5"/>
    <x v="0"/>
    <x v="5"/>
    <x v="5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5"/>
    <x v="0"/>
    <x v="5"/>
    <x v="5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5"/>
    <x v="0"/>
    <x v="5"/>
    <x v="5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5"/>
    <x v="0"/>
    <x v="5"/>
    <x v="5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5"/>
    <x v="0"/>
    <x v="5"/>
    <x v="5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5"/>
    <x v="0"/>
    <x v="5"/>
    <x v="5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5"/>
    <x v="0"/>
    <x v="5"/>
    <x v="5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5"/>
    <x v="0"/>
    <x v="5"/>
    <x v="5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5"/>
    <x v="0"/>
    <x v="5"/>
    <x v="5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5"/>
    <x v="0"/>
    <x v="5"/>
    <x v="5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5"/>
    <x v="0"/>
    <x v="5"/>
    <x v="5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5"/>
    <x v="0"/>
    <x v="5"/>
    <x v="5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5"/>
    <x v="0"/>
    <x v="5"/>
    <x v="5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5"/>
    <x v="0"/>
    <x v="5"/>
    <x v="5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5"/>
    <x v="0"/>
    <x v="5"/>
    <x v="5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5"/>
    <x v="0"/>
    <x v="5"/>
    <x v="5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5"/>
    <x v="0"/>
    <x v="5"/>
    <x v="5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5"/>
    <x v="0"/>
    <x v="5"/>
    <x v="5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5"/>
    <x v="0"/>
    <x v="5"/>
    <x v="5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5"/>
    <x v="0"/>
    <x v="5"/>
    <x v="5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5"/>
    <x v="0"/>
    <x v="5"/>
    <x v="5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5"/>
    <x v="0"/>
    <x v="5"/>
    <x v="5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5"/>
    <x v="0"/>
    <x v="5"/>
    <x v="5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5"/>
    <x v="0"/>
    <x v="5"/>
    <x v="5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5"/>
    <x v="0"/>
    <x v="5"/>
    <x v="5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5"/>
    <x v="0"/>
    <x v="5"/>
    <x v="5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5"/>
    <x v="0"/>
    <x v="5"/>
    <x v="5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5"/>
    <x v="0"/>
    <x v="5"/>
    <x v="5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5"/>
    <x v="0"/>
    <x v="5"/>
    <x v="5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5"/>
    <x v="0"/>
    <x v="5"/>
    <x v="5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5"/>
    <x v="0"/>
    <x v="5"/>
    <x v="5"/>
    <x v="1"/>
    <x v="6"/>
    <x v="0"/>
    <x v="0"/>
    <x v="0"/>
    <x v="0"/>
    <x v="2"/>
    <x v="2"/>
    <x v="2"/>
    <x v="2"/>
    <x v="2"/>
    <x v="10"/>
    <x v="10"/>
    <n v="4.1765585094489603"/>
    <x v="0"/>
    <x v="0"/>
    <x v="1"/>
    <x v="4"/>
    <x v="5"/>
    <x v="10"/>
    <n v="4.552448775299367"/>
  </r>
  <r>
    <x v="5"/>
    <x v="0"/>
    <x v="5"/>
    <x v="5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5"/>
    <x v="0"/>
    <x v="5"/>
    <x v="5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5"/>
    <x v="0"/>
    <x v="5"/>
    <x v="5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5"/>
    <x v="0"/>
    <x v="5"/>
    <x v="5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5"/>
    <x v="0"/>
    <x v="5"/>
    <x v="5"/>
    <x v="1"/>
    <x v="6"/>
    <x v="0"/>
    <x v="0"/>
    <x v="0"/>
    <x v="0"/>
    <x v="0"/>
    <x v="0"/>
    <x v="3"/>
    <x v="3"/>
    <x v="3"/>
    <x v="3"/>
    <x v="3"/>
    <n v="5.2683812803772403"/>
    <x v="0"/>
    <x v="0"/>
    <x v="1"/>
    <x v="3"/>
    <x v="3"/>
    <x v="3"/>
    <n v="5.7425355956111925"/>
  </r>
  <r>
    <x v="5"/>
    <x v="0"/>
    <x v="5"/>
    <x v="5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5"/>
    <x v="0"/>
    <x v="5"/>
    <x v="5"/>
    <x v="1"/>
    <x v="6"/>
    <x v="0"/>
    <x v="0"/>
    <x v="0"/>
    <x v="0"/>
    <x v="0"/>
    <x v="0"/>
    <x v="0"/>
    <x v="4"/>
    <x v="4"/>
    <x v="9"/>
    <x v="9"/>
    <n v="27.001036388358699"/>
    <x v="0"/>
    <x v="0"/>
    <x v="1"/>
    <x v="4"/>
    <x v="5"/>
    <x v="9"/>
    <n v="29.431129663310983"/>
  </r>
  <r>
    <x v="5"/>
    <x v="0"/>
    <x v="5"/>
    <x v="5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5"/>
    <x v="0"/>
    <x v="5"/>
    <x v="5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5"/>
    <x v="0"/>
    <x v="5"/>
    <x v="5"/>
    <x v="1"/>
    <x v="6"/>
    <x v="0"/>
    <x v="0"/>
    <x v="0"/>
    <x v="0"/>
    <x v="0"/>
    <x v="0"/>
    <x v="0"/>
    <x v="4"/>
    <x v="4"/>
    <x v="14"/>
    <x v="14"/>
    <n v="106.74460999999999"/>
    <x v="0"/>
    <x v="0"/>
    <x v="0"/>
    <x v="0"/>
    <x v="8"/>
    <x v="14"/>
    <n v="116.3516249"/>
  </r>
  <r>
    <x v="5"/>
    <x v="0"/>
    <x v="5"/>
    <x v="5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5"/>
    <x v="0"/>
    <x v="5"/>
    <x v="5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5"/>
    <x v="0"/>
    <x v="5"/>
    <x v="5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5"/>
    <x v="0"/>
    <x v="5"/>
    <x v="5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5"/>
    <x v="0"/>
    <x v="5"/>
    <x v="5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5"/>
    <x v="0"/>
    <x v="5"/>
    <x v="5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5"/>
    <x v="0"/>
    <x v="5"/>
    <x v="5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5"/>
    <x v="0"/>
    <x v="5"/>
    <x v="5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5"/>
    <x v="0"/>
    <x v="5"/>
    <x v="5"/>
    <x v="1"/>
    <x v="6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5"/>
    <x v="0"/>
    <x v="5"/>
    <x v="5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5"/>
    <x v="0"/>
    <x v="5"/>
    <x v="5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5"/>
    <x v="0"/>
    <x v="5"/>
    <x v="5"/>
    <x v="1"/>
    <x v="6"/>
    <x v="0"/>
    <x v="0"/>
    <x v="0"/>
    <x v="0"/>
    <x v="0"/>
    <x v="0"/>
    <x v="0"/>
    <x v="0"/>
    <x v="0"/>
    <x v="26"/>
    <x v="26"/>
    <n v="10.9912477064154"/>
    <x v="0"/>
    <x v="0"/>
    <x v="1"/>
    <x v="3"/>
    <x v="3"/>
    <x v="15"/>
    <n v="11.980459999992787"/>
  </r>
  <r>
    <x v="5"/>
    <x v="0"/>
    <x v="5"/>
    <x v="5"/>
    <x v="1"/>
    <x v="6"/>
    <x v="0"/>
    <x v="0"/>
    <x v="0"/>
    <x v="0"/>
    <x v="0"/>
    <x v="0"/>
    <x v="0"/>
    <x v="0"/>
    <x v="0"/>
    <x v="2"/>
    <x v="2"/>
    <n v="797.76594495364998"/>
    <x v="0"/>
    <x v="1"/>
    <x v="2"/>
    <x v="2"/>
    <x v="13"/>
    <x v="2"/>
    <n v="869.56487999947853"/>
  </r>
  <r>
    <x v="5"/>
    <x v="0"/>
    <x v="5"/>
    <x v="5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5"/>
    <x v="0"/>
    <x v="5"/>
    <x v="5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5"/>
    <x v="0"/>
    <x v="5"/>
    <x v="5"/>
    <x v="1"/>
    <x v="6"/>
    <x v="0"/>
    <x v="0"/>
    <x v="0"/>
    <x v="0"/>
    <x v="0"/>
    <x v="0"/>
    <x v="1"/>
    <x v="1"/>
    <x v="1"/>
    <x v="27"/>
    <x v="27"/>
    <n v="7.35882432448033"/>
    <x v="0"/>
    <x v="0"/>
    <x v="1"/>
    <x v="3"/>
    <x v="3"/>
    <x v="19"/>
    <n v="8.021118513683561"/>
  </r>
  <r>
    <x v="5"/>
    <x v="0"/>
    <x v="5"/>
    <x v="5"/>
    <x v="1"/>
    <x v="6"/>
    <x v="0"/>
    <x v="0"/>
    <x v="0"/>
    <x v="0"/>
    <x v="0"/>
    <x v="0"/>
    <x v="1"/>
    <x v="1"/>
    <x v="1"/>
    <x v="26"/>
    <x v="26"/>
    <n v="27.951458715579601"/>
    <x v="0"/>
    <x v="0"/>
    <x v="1"/>
    <x v="3"/>
    <x v="3"/>
    <x v="15"/>
    <n v="30.467089999981766"/>
  </r>
  <r>
    <x v="5"/>
    <x v="0"/>
    <x v="5"/>
    <x v="5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5"/>
    <x v="0"/>
    <x v="5"/>
    <x v="5"/>
    <x v="1"/>
    <x v="6"/>
    <x v="0"/>
    <x v="0"/>
    <x v="0"/>
    <x v="0"/>
    <x v="0"/>
    <x v="0"/>
    <x v="2"/>
    <x v="2"/>
    <x v="2"/>
    <x v="4"/>
    <x v="4"/>
    <n v="74.314550458670993"/>
    <x v="0"/>
    <x v="0"/>
    <x v="1"/>
    <x v="3"/>
    <x v="3"/>
    <x v="4"/>
    <n v="81.002859999951383"/>
  </r>
  <r>
    <x v="5"/>
    <x v="0"/>
    <x v="5"/>
    <x v="5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5"/>
    <x v="0"/>
    <x v="5"/>
    <x v="5"/>
    <x v="1"/>
    <x v="6"/>
    <x v="0"/>
    <x v="0"/>
    <x v="0"/>
    <x v="0"/>
    <x v="0"/>
    <x v="0"/>
    <x v="2"/>
    <x v="2"/>
    <x v="2"/>
    <x v="5"/>
    <x v="5"/>
    <n v="1.59803067485877"/>
    <x v="0"/>
    <x v="0"/>
    <x v="1"/>
    <x v="1"/>
    <x v="1"/>
    <x v="5"/>
    <n v="1.7418534355960595"/>
  </r>
  <r>
    <x v="5"/>
    <x v="0"/>
    <x v="5"/>
    <x v="5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5"/>
    <x v="0"/>
    <x v="5"/>
    <x v="5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5"/>
    <x v="0"/>
    <x v="5"/>
    <x v="5"/>
    <x v="1"/>
    <x v="6"/>
    <x v="0"/>
    <x v="0"/>
    <x v="0"/>
    <x v="0"/>
    <x v="0"/>
    <x v="0"/>
    <x v="2"/>
    <x v="2"/>
    <x v="2"/>
    <x v="9"/>
    <x v="9"/>
    <n v="81.818596700191307"/>
    <x v="0"/>
    <x v="0"/>
    <x v="1"/>
    <x v="4"/>
    <x v="5"/>
    <x v="9"/>
    <n v="89.182270403208534"/>
  </r>
  <r>
    <x v="5"/>
    <x v="0"/>
    <x v="5"/>
    <x v="5"/>
    <x v="1"/>
    <x v="6"/>
    <x v="0"/>
    <x v="0"/>
    <x v="0"/>
    <x v="0"/>
    <x v="0"/>
    <x v="0"/>
    <x v="2"/>
    <x v="2"/>
    <x v="2"/>
    <x v="10"/>
    <x v="10"/>
    <n v="22.431382705771501"/>
    <x v="0"/>
    <x v="0"/>
    <x v="1"/>
    <x v="4"/>
    <x v="5"/>
    <x v="10"/>
    <n v="24.450207149290939"/>
  </r>
  <r>
    <x v="5"/>
    <x v="0"/>
    <x v="5"/>
    <x v="5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5"/>
    <x v="0"/>
    <x v="5"/>
    <x v="5"/>
    <x v="1"/>
    <x v="6"/>
    <x v="0"/>
    <x v="0"/>
    <x v="0"/>
    <x v="0"/>
    <x v="0"/>
    <x v="0"/>
    <x v="2"/>
    <x v="2"/>
    <x v="2"/>
    <x v="80"/>
    <x v="80"/>
    <n v="31.4561009174123"/>
    <x v="0"/>
    <x v="0"/>
    <x v="1"/>
    <x v="4"/>
    <x v="5"/>
    <x v="10"/>
    <n v="34.287149999979412"/>
  </r>
  <r>
    <x v="5"/>
    <x v="0"/>
    <x v="5"/>
    <x v="5"/>
    <x v="1"/>
    <x v="6"/>
    <x v="0"/>
    <x v="0"/>
    <x v="0"/>
    <x v="0"/>
    <x v="0"/>
    <x v="0"/>
    <x v="2"/>
    <x v="2"/>
    <x v="2"/>
    <x v="31"/>
    <x v="31"/>
    <n v="1.8348623850000001E-5"/>
    <x v="0"/>
    <x v="0"/>
    <x v="1"/>
    <x v="4"/>
    <x v="5"/>
    <x v="10"/>
    <n v="1.9999999996500004E-5"/>
  </r>
  <r>
    <x v="5"/>
    <x v="0"/>
    <x v="5"/>
    <x v="5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5"/>
    <x v="0"/>
    <x v="5"/>
    <x v="5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5"/>
    <x v="0"/>
    <x v="5"/>
    <x v="5"/>
    <x v="1"/>
    <x v="6"/>
    <x v="0"/>
    <x v="0"/>
    <x v="0"/>
    <x v="0"/>
    <x v="0"/>
    <x v="0"/>
    <x v="2"/>
    <x v="2"/>
    <x v="2"/>
    <x v="12"/>
    <x v="12"/>
    <n v="46.811220930054702"/>
    <x v="0"/>
    <x v="0"/>
    <x v="0"/>
    <x v="0"/>
    <x v="8"/>
    <x v="12"/>
    <n v="51.02423081375963"/>
  </r>
  <r>
    <x v="5"/>
    <x v="0"/>
    <x v="5"/>
    <x v="5"/>
    <x v="1"/>
    <x v="6"/>
    <x v="0"/>
    <x v="0"/>
    <x v="0"/>
    <x v="0"/>
    <x v="0"/>
    <x v="0"/>
    <x v="2"/>
    <x v="2"/>
    <x v="2"/>
    <x v="16"/>
    <x v="16"/>
    <n v="161.50700000000001"/>
    <x v="0"/>
    <x v="0"/>
    <x v="3"/>
    <x v="5"/>
    <x v="9"/>
    <x v="16"/>
    <n v="176.04263000000003"/>
  </r>
  <r>
    <x v="5"/>
    <x v="0"/>
    <x v="5"/>
    <x v="5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5"/>
    <x v="0"/>
    <x v="5"/>
    <x v="5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5"/>
    <x v="0"/>
    <x v="5"/>
    <x v="5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5"/>
    <x v="0"/>
    <x v="5"/>
    <x v="5"/>
    <x v="1"/>
    <x v="6"/>
    <x v="0"/>
    <x v="0"/>
    <x v="0"/>
    <x v="0"/>
    <x v="0"/>
    <x v="0"/>
    <x v="2"/>
    <x v="2"/>
    <x v="2"/>
    <x v="27"/>
    <x v="27"/>
    <n v="0.34218018018743002"/>
    <x v="0"/>
    <x v="0"/>
    <x v="1"/>
    <x v="3"/>
    <x v="3"/>
    <x v="19"/>
    <n v="0.37297639640429875"/>
  </r>
  <r>
    <x v="5"/>
    <x v="0"/>
    <x v="5"/>
    <x v="5"/>
    <x v="1"/>
    <x v="6"/>
    <x v="0"/>
    <x v="0"/>
    <x v="0"/>
    <x v="0"/>
    <x v="0"/>
    <x v="0"/>
    <x v="2"/>
    <x v="2"/>
    <x v="2"/>
    <x v="78"/>
    <x v="78"/>
    <n v="4.0425963302727999"/>
    <x v="0"/>
    <x v="0"/>
    <x v="1"/>
    <x v="4"/>
    <x v="5"/>
    <x v="9"/>
    <n v="4.4064299999973517"/>
  </r>
  <r>
    <x v="5"/>
    <x v="0"/>
    <x v="5"/>
    <x v="5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5"/>
    <x v="0"/>
    <x v="5"/>
    <x v="5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5"/>
    <x v="0"/>
    <x v="5"/>
    <x v="5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5"/>
    <x v="0"/>
    <x v="5"/>
    <x v="5"/>
    <x v="1"/>
    <x v="6"/>
    <x v="0"/>
    <x v="0"/>
    <x v="0"/>
    <x v="0"/>
    <x v="0"/>
    <x v="0"/>
    <x v="2"/>
    <x v="2"/>
    <x v="2"/>
    <x v="1"/>
    <x v="1"/>
    <n v="6.0147103447945103"/>
    <x v="0"/>
    <x v="0"/>
    <x v="1"/>
    <x v="1"/>
    <x v="1"/>
    <x v="1"/>
    <n v="6.5560342758260166"/>
  </r>
  <r>
    <x v="5"/>
    <x v="0"/>
    <x v="5"/>
    <x v="5"/>
    <x v="1"/>
    <x v="6"/>
    <x v="0"/>
    <x v="0"/>
    <x v="0"/>
    <x v="0"/>
    <x v="0"/>
    <x v="0"/>
    <x v="2"/>
    <x v="2"/>
    <x v="2"/>
    <x v="2"/>
    <x v="2"/>
    <n v="113.572532110024"/>
    <x v="0"/>
    <x v="1"/>
    <x v="2"/>
    <x v="2"/>
    <x v="13"/>
    <x v="2"/>
    <n v="123.79405999992616"/>
  </r>
  <r>
    <x v="5"/>
    <x v="0"/>
    <x v="5"/>
    <x v="5"/>
    <x v="1"/>
    <x v="6"/>
    <x v="0"/>
    <x v="0"/>
    <x v="0"/>
    <x v="0"/>
    <x v="0"/>
    <x v="0"/>
    <x v="1"/>
    <x v="6"/>
    <x v="6"/>
    <x v="9"/>
    <x v="9"/>
    <n v="77.0383417816753"/>
    <x v="0"/>
    <x v="0"/>
    <x v="1"/>
    <x v="4"/>
    <x v="5"/>
    <x v="9"/>
    <n v="83.97179254202608"/>
  </r>
  <r>
    <x v="5"/>
    <x v="0"/>
    <x v="5"/>
    <x v="5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5"/>
    <x v="0"/>
    <x v="5"/>
    <x v="5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5"/>
    <x v="0"/>
    <x v="5"/>
    <x v="5"/>
    <x v="1"/>
    <x v="6"/>
    <x v="0"/>
    <x v="0"/>
    <x v="0"/>
    <x v="0"/>
    <x v="0"/>
    <x v="0"/>
    <x v="1"/>
    <x v="6"/>
    <x v="6"/>
    <x v="21"/>
    <x v="21"/>
    <n v="492.34284403640203"/>
    <x v="0"/>
    <x v="0"/>
    <x v="1"/>
    <x v="4"/>
    <x v="5"/>
    <x v="10"/>
    <n v="536.65369999967822"/>
  </r>
  <r>
    <x v="5"/>
    <x v="0"/>
    <x v="5"/>
    <x v="5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5"/>
    <x v="0"/>
    <x v="5"/>
    <x v="5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5"/>
    <x v="0"/>
    <x v="5"/>
    <x v="5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5"/>
    <x v="0"/>
    <x v="5"/>
    <x v="5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5"/>
    <x v="0"/>
    <x v="5"/>
    <x v="5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5"/>
    <x v="0"/>
    <x v="5"/>
    <x v="5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5"/>
    <x v="0"/>
    <x v="5"/>
    <x v="5"/>
    <x v="1"/>
    <x v="6"/>
    <x v="0"/>
    <x v="0"/>
    <x v="0"/>
    <x v="0"/>
    <x v="0"/>
    <x v="0"/>
    <x v="3"/>
    <x v="7"/>
    <x v="7"/>
    <x v="9"/>
    <x v="9"/>
    <n v="0.51221357181962002"/>
    <x v="0"/>
    <x v="0"/>
    <x v="1"/>
    <x v="4"/>
    <x v="5"/>
    <x v="9"/>
    <n v="0.5583127932833859"/>
  </r>
  <r>
    <x v="5"/>
    <x v="0"/>
    <x v="5"/>
    <x v="5"/>
    <x v="1"/>
    <x v="6"/>
    <x v="0"/>
    <x v="0"/>
    <x v="0"/>
    <x v="0"/>
    <x v="0"/>
    <x v="0"/>
    <x v="3"/>
    <x v="7"/>
    <x v="7"/>
    <x v="10"/>
    <x v="10"/>
    <n v="40.208993124204802"/>
    <x v="0"/>
    <x v="0"/>
    <x v="1"/>
    <x v="4"/>
    <x v="5"/>
    <x v="10"/>
    <n v="43.827802505383239"/>
  </r>
  <r>
    <x v="5"/>
    <x v="0"/>
    <x v="5"/>
    <x v="5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5"/>
    <x v="0"/>
    <x v="5"/>
    <x v="5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5"/>
    <x v="0"/>
    <x v="5"/>
    <x v="5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5"/>
    <x v="0"/>
    <x v="5"/>
    <x v="5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5"/>
    <x v="0"/>
    <x v="5"/>
    <x v="5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5"/>
    <x v="0"/>
    <x v="5"/>
    <x v="5"/>
    <x v="1"/>
    <x v="6"/>
    <x v="0"/>
    <x v="0"/>
    <x v="0"/>
    <x v="0"/>
    <x v="0"/>
    <x v="0"/>
    <x v="1"/>
    <x v="8"/>
    <x v="8"/>
    <x v="9"/>
    <x v="9"/>
    <n v="349.08157015313901"/>
    <x v="0"/>
    <x v="0"/>
    <x v="1"/>
    <x v="4"/>
    <x v="5"/>
    <x v="9"/>
    <n v="380.49891146692153"/>
  </r>
  <r>
    <x v="5"/>
    <x v="0"/>
    <x v="5"/>
    <x v="5"/>
    <x v="1"/>
    <x v="6"/>
    <x v="0"/>
    <x v="0"/>
    <x v="0"/>
    <x v="0"/>
    <x v="0"/>
    <x v="0"/>
    <x v="1"/>
    <x v="8"/>
    <x v="8"/>
    <x v="10"/>
    <x v="10"/>
    <n v="22.754031716002601"/>
    <x v="0"/>
    <x v="0"/>
    <x v="1"/>
    <x v="4"/>
    <x v="5"/>
    <x v="10"/>
    <n v="24.801894570442837"/>
  </r>
  <r>
    <x v="5"/>
    <x v="0"/>
    <x v="5"/>
    <x v="5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5"/>
    <x v="0"/>
    <x v="5"/>
    <x v="5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5"/>
    <x v="0"/>
    <x v="5"/>
    <x v="5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5"/>
    <x v="0"/>
    <x v="5"/>
    <x v="5"/>
    <x v="1"/>
    <x v="6"/>
    <x v="0"/>
    <x v="0"/>
    <x v="0"/>
    <x v="0"/>
    <x v="0"/>
    <x v="0"/>
    <x v="0"/>
    <x v="9"/>
    <x v="9"/>
    <x v="7"/>
    <x v="7"/>
    <n v="1271.86881267628"/>
    <x v="0"/>
    <x v="0"/>
    <x v="1"/>
    <x v="4"/>
    <x v="5"/>
    <x v="7"/>
    <n v="1386.3370058171452"/>
  </r>
  <r>
    <x v="5"/>
    <x v="0"/>
    <x v="5"/>
    <x v="5"/>
    <x v="1"/>
    <x v="6"/>
    <x v="0"/>
    <x v="0"/>
    <x v="0"/>
    <x v="0"/>
    <x v="0"/>
    <x v="0"/>
    <x v="0"/>
    <x v="9"/>
    <x v="9"/>
    <x v="9"/>
    <x v="9"/>
    <n v="1252.3655024602399"/>
    <x v="0"/>
    <x v="0"/>
    <x v="1"/>
    <x v="4"/>
    <x v="5"/>
    <x v="9"/>
    <n v="1365.0783976816615"/>
  </r>
  <r>
    <x v="5"/>
    <x v="0"/>
    <x v="5"/>
    <x v="5"/>
    <x v="1"/>
    <x v="6"/>
    <x v="0"/>
    <x v="0"/>
    <x v="0"/>
    <x v="0"/>
    <x v="0"/>
    <x v="0"/>
    <x v="0"/>
    <x v="9"/>
    <x v="9"/>
    <x v="10"/>
    <x v="10"/>
    <n v="354.17506907415702"/>
    <x v="0"/>
    <x v="0"/>
    <x v="1"/>
    <x v="4"/>
    <x v="5"/>
    <x v="10"/>
    <n v="386.0508252908312"/>
  </r>
  <r>
    <x v="5"/>
    <x v="0"/>
    <x v="5"/>
    <x v="5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5"/>
    <x v="0"/>
    <x v="5"/>
    <x v="5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5"/>
    <x v="0"/>
    <x v="5"/>
    <x v="5"/>
    <x v="1"/>
    <x v="6"/>
    <x v="0"/>
    <x v="0"/>
    <x v="0"/>
    <x v="0"/>
    <x v="0"/>
    <x v="0"/>
    <x v="0"/>
    <x v="9"/>
    <x v="9"/>
    <x v="21"/>
    <x v="21"/>
    <n v="66.633733944914198"/>
    <x v="0"/>
    <x v="0"/>
    <x v="1"/>
    <x v="4"/>
    <x v="5"/>
    <x v="10"/>
    <n v="72.630769999956485"/>
  </r>
  <r>
    <x v="5"/>
    <x v="0"/>
    <x v="5"/>
    <x v="5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5"/>
    <x v="0"/>
    <x v="5"/>
    <x v="5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5"/>
    <x v="0"/>
    <x v="5"/>
    <x v="5"/>
    <x v="1"/>
    <x v="6"/>
    <x v="0"/>
    <x v="0"/>
    <x v="0"/>
    <x v="0"/>
    <x v="0"/>
    <x v="0"/>
    <x v="2"/>
    <x v="10"/>
    <x v="10"/>
    <x v="9"/>
    <x v="9"/>
    <n v="279.41613017410202"/>
    <x v="0"/>
    <x v="0"/>
    <x v="1"/>
    <x v="4"/>
    <x v="5"/>
    <x v="9"/>
    <n v="304.56358188977123"/>
  </r>
  <r>
    <x v="5"/>
    <x v="0"/>
    <x v="5"/>
    <x v="5"/>
    <x v="1"/>
    <x v="6"/>
    <x v="0"/>
    <x v="0"/>
    <x v="0"/>
    <x v="0"/>
    <x v="0"/>
    <x v="0"/>
    <x v="2"/>
    <x v="10"/>
    <x v="10"/>
    <x v="10"/>
    <x v="10"/>
    <n v="40.070181753608303"/>
    <x v="0"/>
    <x v="0"/>
    <x v="1"/>
    <x v="4"/>
    <x v="5"/>
    <x v="10"/>
    <n v="43.676498111433055"/>
  </r>
  <r>
    <x v="5"/>
    <x v="0"/>
    <x v="5"/>
    <x v="5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5"/>
    <x v="0"/>
    <x v="5"/>
    <x v="5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5"/>
    <x v="0"/>
    <x v="5"/>
    <x v="5"/>
    <x v="1"/>
    <x v="6"/>
    <x v="0"/>
    <x v="0"/>
    <x v="0"/>
    <x v="0"/>
    <x v="0"/>
    <x v="0"/>
    <x v="2"/>
    <x v="10"/>
    <x v="10"/>
    <x v="21"/>
    <x v="21"/>
    <n v="29.901256880716002"/>
    <x v="0"/>
    <x v="0"/>
    <x v="1"/>
    <x v="4"/>
    <x v="5"/>
    <x v="10"/>
    <n v="32.592369999980441"/>
  </r>
  <r>
    <x v="5"/>
    <x v="0"/>
    <x v="5"/>
    <x v="5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5"/>
    <x v="0"/>
    <x v="5"/>
    <x v="5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5"/>
    <x v="0"/>
    <x v="5"/>
    <x v="5"/>
    <x v="1"/>
    <x v="6"/>
    <x v="0"/>
    <x v="0"/>
    <x v="0"/>
    <x v="0"/>
    <x v="0"/>
    <x v="0"/>
    <x v="4"/>
    <x v="5"/>
    <x v="5"/>
    <x v="7"/>
    <x v="7"/>
    <n v="790.47795901781603"/>
    <x v="0"/>
    <x v="0"/>
    <x v="1"/>
    <x v="4"/>
    <x v="5"/>
    <x v="7"/>
    <n v="861.62097532941959"/>
  </r>
  <r>
    <x v="5"/>
    <x v="0"/>
    <x v="5"/>
    <x v="5"/>
    <x v="1"/>
    <x v="6"/>
    <x v="0"/>
    <x v="0"/>
    <x v="0"/>
    <x v="0"/>
    <x v="0"/>
    <x v="0"/>
    <x v="4"/>
    <x v="5"/>
    <x v="5"/>
    <x v="9"/>
    <x v="9"/>
    <n v="1038.94801885941"/>
    <x v="0"/>
    <x v="0"/>
    <x v="1"/>
    <x v="4"/>
    <x v="5"/>
    <x v="9"/>
    <n v="1132.453340556757"/>
  </r>
  <r>
    <x v="5"/>
    <x v="0"/>
    <x v="5"/>
    <x v="5"/>
    <x v="1"/>
    <x v="6"/>
    <x v="0"/>
    <x v="0"/>
    <x v="0"/>
    <x v="0"/>
    <x v="0"/>
    <x v="0"/>
    <x v="4"/>
    <x v="5"/>
    <x v="5"/>
    <x v="10"/>
    <x v="10"/>
    <n v="255.215800969573"/>
    <x v="0"/>
    <x v="0"/>
    <x v="1"/>
    <x v="4"/>
    <x v="5"/>
    <x v="10"/>
    <n v="278.18522305683456"/>
  </r>
  <r>
    <x v="5"/>
    <x v="0"/>
    <x v="5"/>
    <x v="5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5"/>
    <x v="0"/>
    <x v="5"/>
    <x v="5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5"/>
    <x v="0"/>
    <x v="5"/>
    <x v="5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5"/>
    <x v="0"/>
    <x v="5"/>
    <x v="5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5"/>
    <x v="0"/>
    <x v="5"/>
    <x v="5"/>
    <x v="1"/>
    <x v="6"/>
    <x v="0"/>
    <x v="0"/>
    <x v="0"/>
    <x v="0"/>
    <x v="0"/>
    <x v="0"/>
    <x v="4"/>
    <x v="5"/>
    <x v="5"/>
    <x v="21"/>
    <x v="21"/>
    <n v="66.344238532070307"/>
    <x v="0"/>
    <x v="0"/>
    <x v="1"/>
    <x v="4"/>
    <x v="5"/>
    <x v="10"/>
    <n v="72.315219999956639"/>
  </r>
  <r>
    <x v="5"/>
    <x v="0"/>
    <x v="5"/>
    <x v="5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5"/>
    <x v="0"/>
    <x v="5"/>
    <x v="5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5"/>
    <x v="0"/>
    <x v="5"/>
    <x v="5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5"/>
    <x v="0"/>
    <x v="5"/>
    <x v="5"/>
    <x v="1"/>
    <x v="6"/>
    <x v="0"/>
    <x v="0"/>
    <x v="0"/>
    <x v="0"/>
    <x v="0"/>
    <x v="0"/>
    <x v="4"/>
    <x v="5"/>
    <x v="5"/>
    <x v="26"/>
    <x v="26"/>
    <n v="4.98694495412545"/>
    <x v="0"/>
    <x v="0"/>
    <x v="1"/>
    <x v="3"/>
    <x v="3"/>
    <x v="15"/>
    <n v="5.435769999996741"/>
  </r>
  <r>
    <x v="5"/>
    <x v="0"/>
    <x v="5"/>
    <x v="5"/>
    <x v="1"/>
    <x v="6"/>
    <x v="0"/>
    <x v="0"/>
    <x v="0"/>
    <x v="0"/>
    <x v="0"/>
    <x v="0"/>
    <x v="4"/>
    <x v="5"/>
    <x v="5"/>
    <x v="2"/>
    <x v="2"/>
    <n v="57.065018348589597"/>
    <x v="0"/>
    <x v="1"/>
    <x v="2"/>
    <x v="2"/>
    <x v="13"/>
    <x v="2"/>
    <n v="62.200869999962663"/>
  </r>
  <r>
    <x v="5"/>
    <x v="0"/>
    <x v="5"/>
    <x v="5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5"/>
    <x v="0"/>
    <x v="5"/>
    <x v="5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5"/>
    <x v="0"/>
    <x v="5"/>
    <x v="5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5"/>
    <x v="0"/>
    <x v="5"/>
    <x v="5"/>
    <x v="1"/>
    <x v="7"/>
    <x v="0"/>
    <x v="0"/>
    <x v="0"/>
    <x v="0"/>
    <x v="0"/>
    <x v="0"/>
    <x v="2"/>
    <x v="2"/>
    <x v="2"/>
    <x v="11"/>
    <x v="11"/>
    <n v="577.53629000000001"/>
    <x v="0"/>
    <x v="0"/>
    <x v="3"/>
    <x v="5"/>
    <x v="7"/>
    <x v="11"/>
    <n v="629.51455610000005"/>
  </r>
  <r>
    <x v="5"/>
    <x v="0"/>
    <x v="5"/>
    <x v="5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5"/>
    <x v="0"/>
    <x v="5"/>
    <x v="5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5"/>
    <x v="0"/>
    <x v="5"/>
    <x v="5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5"/>
    <x v="0"/>
    <x v="5"/>
    <x v="5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5"/>
    <x v="0"/>
    <x v="5"/>
    <x v="5"/>
    <x v="1"/>
    <x v="7"/>
    <x v="0"/>
    <x v="0"/>
    <x v="0"/>
    <x v="0"/>
    <x v="0"/>
    <x v="0"/>
    <x v="2"/>
    <x v="2"/>
    <x v="2"/>
    <x v="18"/>
    <x v="18"/>
    <n v="36.643999999999998"/>
    <x v="0"/>
    <x v="0"/>
    <x v="0"/>
    <x v="0"/>
    <x v="4"/>
    <x v="18"/>
    <n v="39.941960000000002"/>
  </r>
  <r>
    <x v="5"/>
    <x v="0"/>
    <x v="5"/>
    <x v="5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5"/>
    <x v="0"/>
    <x v="5"/>
    <x v="5"/>
    <x v="1"/>
    <x v="7"/>
    <x v="0"/>
    <x v="0"/>
    <x v="0"/>
    <x v="0"/>
    <x v="0"/>
    <x v="0"/>
    <x v="2"/>
    <x v="2"/>
    <x v="2"/>
    <x v="1"/>
    <x v="1"/>
    <n v="66.9699241375627"/>
    <x v="0"/>
    <x v="0"/>
    <x v="1"/>
    <x v="1"/>
    <x v="1"/>
    <x v="1"/>
    <n v="72.997217309943352"/>
  </r>
  <r>
    <x v="5"/>
    <x v="0"/>
    <x v="5"/>
    <x v="5"/>
    <x v="1"/>
    <x v="7"/>
    <x v="0"/>
    <x v="0"/>
    <x v="0"/>
    <x v="0"/>
    <x v="0"/>
    <x v="0"/>
    <x v="1"/>
    <x v="6"/>
    <x v="6"/>
    <x v="11"/>
    <x v="11"/>
    <n v="51.023319999999998"/>
    <x v="0"/>
    <x v="0"/>
    <x v="3"/>
    <x v="5"/>
    <x v="7"/>
    <x v="11"/>
    <n v="55.6154188"/>
  </r>
  <r>
    <x v="5"/>
    <x v="0"/>
    <x v="5"/>
    <x v="5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5"/>
    <x v="0"/>
    <x v="5"/>
    <x v="5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5"/>
    <x v="0"/>
    <x v="5"/>
    <x v="5"/>
    <x v="1"/>
    <x v="7"/>
    <x v="0"/>
    <x v="0"/>
    <x v="0"/>
    <x v="0"/>
    <x v="0"/>
    <x v="0"/>
    <x v="1"/>
    <x v="6"/>
    <x v="6"/>
    <x v="1"/>
    <x v="1"/>
    <n v="5.0335517241102501"/>
    <x v="0"/>
    <x v="0"/>
    <x v="1"/>
    <x v="1"/>
    <x v="1"/>
    <x v="1"/>
    <n v="5.4865713792801731"/>
  </r>
  <r>
    <x v="5"/>
    <x v="0"/>
    <x v="5"/>
    <x v="5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5"/>
    <x v="0"/>
    <x v="5"/>
    <x v="5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5"/>
    <x v="0"/>
    <x v="5"/>
    <x v="5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5"/>
    <x v="0"/>
    <x v="5"/>
    <x v="5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5"/>
    <x v="0"/>
    <x v="5"/>
    <x v="5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5"/>
    <x v="0"/>
    <x v="5"/>
    <x v="5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5"/>
    <x v="0"/>
    <x v="5"/>
    <x v="5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5"/>
    <x v="0"/>
    <x v="5"/>
    <x v="5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5"/>
    <x v="0"/>
    <x v="5"/>
    <x v="5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5"/>
    <x v="0"/>
    <x v="5"/>
    <x v="5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5"/>
    <x v="0"/>
    <x v="5"/>
    <x v="5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5"/>
    <x v="0"/>
    <x v="5"/>
    <x v="5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5"/>
    <x v="0"/>
    <x v="5"/>
    <x v="5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5"/>
    <x v="0"/>
    <x v="5"/>
    <x v="5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5"/>
    <x v="0"/>
    <x v="5"/>
    <x v="5"/>
    <x v="1"/>
    <x v="6"/>
    <x v="0"/>
    <x v="0"/>
    <x v="0"/>
    <x v="0"/>
    <x v="3"/>
    <x v="3"/>
    <x v="2"/>
    <x v="2"/>
    <x v="2"/>
    <x v="5"/>
    <x v="5"/>
    <n v="51.141319018793602"/>
    <x v="0"/>
    <x v="0"/>
    <x v="1"/>
    <x v="1"/>
    <x v="1"/>
    <x v="5"/>
    <n v="55.744037730485033"/>
  </r>
  <r>
    <x v="5"/>
    <x v="0"/>
    <x v="5"/>
    <x v="5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5"/>
    <x v="0"/>
    <x v="5"/>
    <x v="5"/>
    <x v="1"/>
    <x v="6"/>
    <x v="0"/>
    <x v="0"/>
    <x v="0"/>
    <x v="0"/>
    <x v="3"/>
    <x v="3"/>
    <x v="2"/>
    <x v="2"/>
    <x v="2"/>
    <x v="9"/>
    <x v="9"/>
    <n v="15.5977981651283"/>
    <x v="0"/>
    <x v="0"/>
    <x v="1"/>
    <x v="4"/>
    <x v="5"/>
    <x v="9"/>
    <n v="17.001599999989846"/>
  </r>
  <r>
    <x v="5"/>
    <x v="0"/>
    <x v="5"/>
    <x v="5"/>
    <x v="1"/>
    <x v="6"/>
    <x v="0"/>
    <x v="0"/>
    <x v="0"/>
    <x v="0"/>
    <x v="3"/>
    <x v="3"/>
    <x v="2"/>
    <x v="2"/>
    <x v="2"/>
    <x v="10"/>
    <x v="10"/>
    <n v="26.489911321498901"/>
    <x v="0"/>
    <x v="0"/>
    <x v="1"/>
    <x v="4"/>
    <x v="5"/>
    <x v="10"/>
    <n v="28.874003340433806"/>
  </r>
  <r>
    <x v="5"/>
    <x v="0"/>
    <x v="5"/>
    <x v="5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5"/>
    <x v="0"/>
    <x v="5"/>
    <x v="5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5"/>
    <x v="0"/>
    <x v="5"/>
    <x v="5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5"/>
    <x v="0"/>
    <x v="5"/>
    <x v="5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5"/>
    <x v="0"/>
    <x v="5"/>
    <x v="5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5"/>
    <x v="0"/>
    <x v="5"/>
    <x v="5"/>
    <x v="1"/>
    <x v="6"/>
    <x v="0"/>
    <x v="0"/>
    <x v="0"/>
    <x v="0"/>
    <x v="3"/>
    <x v="3"/>
    <x v="2"/>
    <x v="2"/>
    <x v="2"/>
    <x v="16"/>
    <x v="16"/>
    <n v="2.7835100000000002"/>
    <x v="0"/>
    <x v="0"/>
    <x v="3"/>
    <x v="5"/>
    <x v="9"/>
    <x v="16"/>
    <n v="3.0340259000000005"/>
  </r>
  <r>
    <x v="5"/>
    <x v="0"/>
    <x v="5"/>
    <x v="5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5"/>
    <x v="0"/>
    <x v="5"/>
    <x v="5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5"/>
    <x v="0"/>
    <x v="5"/>
    <x v="5"/>
    <x v="1"/>
    <x v="6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5"/>
    <x v="0"/>
    <x v="5"/>
    <x v="5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5"/>
    <x v="0"/>
    <x v="5"/>
    <x v="5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5"/>
    <x v="0"/>
    <x v="5"/>
    <x v="5"/>
    <x v="1"/>
    <x v="6"/>
    <x v="0"/>
    <x v="0"/>
    <x v="0"/>
    <x v="0"/>
    <x v="3"/>
    <x v="3"/>
    <x v="2"/>
    <x v="2"/>
    <x v="2"/>
    <x v="2"/>
    <x v="2"/>
    <n v="12.2681284403596"/>
    <x v="0"/>
    <x v="1"/>
    <x v="2"/>
    <x v="2"/>
    <x v="13"/>
    <x v="2"/>
    <n v="13.372259999991964"/>
  </r>
  <r>
    <x v="5"/>
    <x v="0"/>
    <x v="5"/>
    <x v="5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5"/>
    <x v="0"/>
    <x v="5"/>
    <x v="5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5"/>
    <x v="0"/>
    <x v="5"/>
    <x v="5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5"/>
    <x v="0"/>
    <x v="5"/>
    <x v="5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5"/>
    <x v="0"/>
    <x v="5"/>
    <x v="5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5"/>
    <x v="0"/>
    <x v="5"/>
    <x v="5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5"/>
    <x v="0"/>
    <x v="5"/>
    <x v="5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5"/>
    <x v="0"/>
    <x v="5"/>
    <x v="5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5"/>
    <x v="0"/>
    <x v="5"/>
    <x v="5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5"/>
    <x v="0"/>
    <x v="5"/>
    <x v="5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5"/>
    <x v="0"/>
    <x v="5"/>
    <x v="5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5"/>
    <x v="0"/>
    <x v="5"/>
    <x v="5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5"/>
    <x v="0"/>
    <x v="5"/>
    <x v="5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5"/>
    <x v="0"/>
    <x v="5"/>
    <x v="5"/>
    <x v="1"/>
    <x v="6"/>
    <x v="0"/>
    <x v="0"/>
    <x v="0"/>
    <x v="0"/>
    <x v="4"/>
    <x v="4"/>
    <x v="2"/>
    <x v="2"/>
    <x v="2"/>
    <x v="9"/>
    <x v="9"/>
    <n v="0.40733944954104001"/>
    <x v="0"/>
    <x v="0"/>
    <x v="1"/>
    <x v="4"/>
    <x v="5"/>
    <x v="9"/>
    <n v="0.44399999999973366"/>
  </r>
  <r>
    <x v="5"/>
    <x v="0"/>
    <x v="5"/>
    <x v="5"/>
    <x v="1"/>
    <x v="6"/>
    <x v="0"/>
    <x v="0"/>
    <x v="0"/>
    <x v="0"/>
    <x v="4"/>
    <x v="4"/>
    <x v="2"/>
    <x v="2"/>
    <x v="2"/>
    <x v="10"/>
    <x v="10"/>
    <n v="4.3349230960255998"/>
    <x v="0"/>
    <x v="0"/>
    <x v="1"/>
    <x v="4"/>
    <x v="5"/>
    <x v="10"/>
    <n v="4.7250661746679041"/>
  </r>
  <r>
    <x v="5"/>
    <x v="0"/>
    <x v="5"/>
    <x v="5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5"/>
    <x v="0"/>
    <x v="5"/>
    <x v="5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5"/>
    <x v="0"/>
    <x v="5"/>
    <x v="5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5"/>
    <x v="0"/>
    <x v="5"/>
    <x v="5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5"/>
    <x v="0"/>
    <x v="5"/>
    <x v="5"/>
    <x v="1"/>
    <x v="6"/>
    <x v="0"/>
    <x v="0"/>
    <x v="0"/>
    <x v="0"/>
    <x v="4"/>
    <x v="4"/>
    <x v="2"/>
    <x v="2"/>
    <x v="2"/>
    <x v="26"/>
    <x v="26"/>
    <n v="3.3680550458695402"/>
    <x v="0"/>
    <x v="0"/>
    <x v="1"/>
    <x v="3"/>
    <x v="3"/>
    <x v="15"/>
    <n v="3.6711799999977992"/>
  </r>
  <r>
    <x v="5"/>
    <x v="0"/>
    <x v="5"/>
    <x v="5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5"/>
    <x v="0"/>
    <x v="5"/>
    <x v="5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5"/>
    <x v="0"/>
    <x v="5"/>
    <x v="5"/>
    <x v="1"/>
    <x v="6"/>
    <x v="0"/>
    <x v="0"/>
    <x v="0"/>
    <x v="0"/>
    <x v="4"/>
    <x v="4"/>
    <x v="4"/>
    <x v="5"/>
    <x v="5"/>
    <x v="20"/>
    <x v="20"/>
    <n v="27.296559999999999"/>
    <x v="0"/>
    <x v="0"/>
    <x v="1"/>
    <x v="3"/>
    <x v="3"/>
    <x v="13"/>
    <n v="29.753250400000002"/>
  </r>
  <r>
    <x v="5"/>
    <x v="0"/>
    <x v="5"/>
    <x v="5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5"/>
    <x v="0"/>
    <x v="5"/>
    <x v="5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5"/>
    <x v="0"/>
    <x v="5"/>
    <x v="5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5"/>
    <x v="0"/>
    <x v="5"/>
    <x v="5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5"/>
    <x v="0"/>
    <x v="5"/>
    <x v="5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5"/>
    <x v="0"/>
    <x v="5"/>
    <x v="5"/>
    <x v="1"/>
    <x v="6"/>
    <x v="0"/>
    <x v="0"/>
    <x v="2"/>
    <x v="2"/>
    <x v="5"/>
    <x v="5"/>
    <x v="2"/>
    <x v="2"/>
    <x v="2"/>
    <x v="40"/>
    <x v="40"/>
    <n v="10102.24013"/>
    <x v="1"/>
    <x v="2"/>
    <x v="5"/>
    <x v="7"/>
    <x v="11"/>
    <x v="22"/>
    <n v="11011.4417417"/>
  </r>
  <r>
    <x v="5"/>
    <x v="0"/>
    <x v="5"/>
    <x v="5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5"/>
    <x v="0"/>
    <x v="5"/>
    <x v="5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5"/>
    <x v="0"/>
    <x v="5"/>
    <x v="5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5"/>
    <x v="0"/>
    <x v="5"/>
    <x v="5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5"/>
    <x v="0"/>
    <x v="5"/>
    <x v="5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5"/>
    <x v="0"/>
    <x v="5"/>
    <x v="5"/>
    <x v="1"/>
    <x v="6"/>
    <x v="0"/>
    <x v="0"/>
    <x v="2"/>
    <x v="2"/>
    <x v="5"/>
    <x v="5"/>
    <x v="1"/>
    <x v="6"/>
    <x v="6"/>
    <x v="41"/>
    <x v="41"/>
    <n v="68.032585106124401"/>
    <x v="1"/>
    <x v="2"/>
    <x v="5"/>
    <x v="7"/>
    <x v="11"/>
    <x v="22"/>
    <n v="74.155517765675597"/>
  </r>
  <r>
    <x v="5"/>
    <x v="0"/>
    <x v="5"/>
    <x v="5"/>
    <x v="1"/>
    <x v="6"/>
    <x v="0"/>
    <x v="0"/>
    <x v="2"/>
    <x v="2"/>
    <x v="5"/>
    <x v="5"/>
    <x v="1"/>
    <x v="6"/>
    <x v="6"/>
    <x v="40"/>
    <x v="40"/>
    <n v="3162.21272"/>
    <x v="1"/>
    <x v="2"/>
    <x v="5"/>
    <x v="7"/>
    <x v="11"/>
    <x v="22"/>
    <n v="3446.8118648000004"/>
  </r>
  <r>
    <x v="5"/>
    <x v="0"/>
    <x v="5"/>
    <x v="5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5"/>
    <x v="0"/>
    <x v="5"/>
    <x v="5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5"/>
    <x v="0"/>
    <x v="5"/>
    <x v="5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5"/>
    <x v="0"/>
    <x v="5"/>
    <x v="5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5"/>
    <x v="0"/>
    <x v="5"/>
    <x v="5"/>
    <x v="1"/>
    <x v="6"/>
    <x v="0"/>
    <x v="0"/>
    <x v="2"/>
    <x v="2"/>
    <x v="5"/>
    <x v="5"/>
    <x v="1"/>
    <x v="8"/>
    <x v="8"/>
    <x v="40"/>
    <x v="40"/>
    <n v="137.76184000000001"/>
    <x v="1"/>
    <x v="2"/>
    <x v="5"/>
    <x v="7"/>
    <x v="11"/>
    <x v="22"/>
    <n v="150.16040560000002"/>
  </r>
  <r>
    <x v="5"/>
    <x v="0"/>
    <x v="5"/>
    <x v="5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5"/>
    <x v="0"/>
    <x v="5"/>
    <x v="5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5"/>
    <x v="0"/>
    <x v="5"/>
    <x v="5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5"/>
    <x v="0"/>
    <x v="5"/>
    <x v="5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5"/>
    <x v="0"/>
    <x v="5"/>
    <x v="5"/>
    <x v="1"/>
    <x v="6"/>
    <x v="0"/>
    <x v="0"/>
    <x v="2"/>
    <x v="2"/>
    <x v="5"/>
    <x v="5"/>
    <x v="4"/>
    <x v="5"/>
    <x v="5"/>
    <x v="40"/>
    <x v="40"/>
    <n v="623.45090000000005"/>
    <x v="1"/>
    <x v="2"/>
    <x v="5"/>
    <x v="7"/>
    <x v="11"/>
    <x v="22"/>
    <n v="679.56148100000007"/>
  </r>
  <r>
    <x v="5"/>
    <x v="0"/>
    <x v="5"/>
    <x v="5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5"/>
    <x v="0"/>
    <x v="5"/>
    <x v="5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5"/>
    <x v="0"/>
    <x v="5"/>
    <x v="5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5"/>
    <x v="0"/>
    <x v="5"/>
    <x v="5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5"/>
    <x v="0"/>
    <x v="5"/>
    <x v="5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5"/>
    <x v="0"/>
    <x v="5"/>
    <x v="5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5"/>
    <x v="0"/>
    <x v="5"/>
    <x v="5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5"/>
    <x v="0"/>
    <x v="5"/>
    <x v="5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5"/>
    <x v="0"/>
    <x v="5"/>
    <x v="5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5"/>
    <x v="0"/>
    <x v="5"/>
    <x v="5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5"/>
    <x v="0"/>
    <x v="5"/>
    <x v="5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5"/>
    <x v="0"/>
    <x v="5"/>
    <x v="5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5"/>
    <x v="0"/>
    <x v="5"/>
    <x v="5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5"/>
    <x v="0"/>
    <x v="5"/>
    <x v="5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5"/>
    <x v="0"/>
    <x v="5"/>
    <x v="5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5"/>
    <x v="0"/>
    <x v="5"/>
    <x v="5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5"/>
    <x v="0"/>
    <x v="5"/>
    <x v="5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5"/>
    <x v="0"/>
    <x v="5"/>
    <x v="5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5"/>
    <x v="0"/>
    <x v="5"/>
    <x v="5"/>
    <x v="1"/>
    <x v="6"/>
    <x v="0"/>
    <x v="0"/>
    <x v="2"/>
    <x v="2"/>
    <x v="6"/>
    <x v="6"/>
    <x v="1"/>
    <x v="6"/>
    <x v="6"/>
    <x v="40"/>
    <x v="40"/>
    <n v="435.77381000000003"/>
    <x v="1"/>
    <x v="2"/>
    <x v="5"/>
    <x v="7"/>
    <x v="11"/>
    <x v="22"/>
    <n v="474.99345290000008"/>
  </r>
  <r>
    <x v="5"/>
    <x v="0"/>
    <x v="5"/>
    <x v="5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5"/>
    <x v="0"/>
    <x v="5"/>
    <x v="5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5"/>
    <x v="0"/>
    <x v="5"/>
    <x v="5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5"/>
    <x v="0"/>
    <x v="5"/>
    <x v="5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5"/>
    <x v="0"/>
    <x v="5"/>
    <x v="5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5"/>
    <x v="0"/>
    <x v="5"/>
    <x v="5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5"/>
    <x v="0"/>
    <x v="5"/>
    <x v="5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5"/>
    <x v="0"/>
    <x v="5"/>
    <x v="5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5"/>
    <x v="0"/>
    <x v="5"/>
    <x v="5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5"/>
    <x v="0"/>
    <x v="5"/>
    <x v="5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5"/>
    <x v="0"/>
    <x v="5"/>
    <x v="5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5"/>
    <x v="0"/>
    <x v="5"/>
    <x v="5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5"/>
    <x v="0"/>
    <x v="5"/>
    <x v="5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5"/>
    <x v="0"/>
    <x v="5"/>
    <x v="5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5"/>
    <x v="0"/>
    <x v="5"/>
    <x v="5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5"/>
    <x v="0"/>
    <x v="5"/>
    <x v="5"/>
    <x v="1"/>
    <x v="6"/>
    <x v="0"/>
    <x v="0"/>
    <x v="2"/>
    <x v="2"/>
    <x v="7"/>
    <x v="7"/>
    <x v="2"/>
    <x v="2"/>
    <x v="2"/>
    <x v="40"/>
    <x v="40"/>
    <n v="2451.8583400000002"/>
    <x v="1"/>
    <x v="2"/>
    <x v="5"/>
    <x v="7"/>
    <x v="11"/>
    <x v="22"/>
    <n v="2672.5255906000007"/>
  </r>
  <r>
    <x v="5"/>
    <x v="0"/>
    <x v="5"/>
    <x v="5"/>
    <x v="1"/>
    <x v="6"/>
    <x v="0"/>
    <x v="0"/>
    <x v="2"/>
    <x v="2"/>
    <x v="7"/>
    <x v="7"/>
    <x v="2"/>
    <x v="2"/>
    <x v="2"/>
    <x v="38"/>
    <x v="38"/>
    <n v="3918.5551500000001"/>
    <x v="1"/>
    <x v="0"/>
    <x v="4"/>
    <x v="6"/>
    <x v="10"/>
    <x v="21"/>
    <n v="4271.2251135000006"/>
  </r>
  <r>
    <x v="5"/>
    <x v="0"/>
    <x v="5"/>
    <x v="5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5"/>
    <x v="0"/>
    <x v="5"/>
    <x v="5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5"/>
    <x v="0"/>
    <x v="5"/>
    <x v="5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5"/>
    <x v="0"/>
    <x v="5"/>
    <x v="5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5"/>
    <x v="0"/>
    <x v="5"/>
    <x v="5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5"/>
    <x v="0"/>
    <x v="5"/>
    <x v="5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5"/>
    <x v="0"/>
    <x v="5"/>
    <x v="5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5"/>
    <x v="0"/>
    <x v="5"/>
    <x v="5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5"/>
    <x v="0"/>
    <x v="5"/>
    <x v="5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5"/>
    <x v="0"/>
    <x v="5"/>
    <x v="5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5"/>
    <x v="0"/>
    <x v="5"/>
    <x v="5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5"/>
    <x v="0"/>
    <x v="5"/>
    <x v="5"/>
    <x v="1"/>
    <x v="6"/>
    <x v="0"/>
    <x v="0"/>
    <x v="2"/>
    <x v="2"/>
    <x v="7"/>
    <x v="7"/>
    <x v="1"/>
    <x v="6"/>
    <x v="6"/>
    <x v="40"/>
    <x v="40"/>
    <n v="1691.96712"/>
    <x v="1"/>
    <x v="2"/>
    <x v="5"/>
    <x v="7"/>
    <x v="11"/>
    <x v="22"/>
    <n v="1844.2441608000001"/>
  </r>
  <r>
    <x v="5"/>
    <x v="0"/>
    <x v="5"/>
    <x v="5"/>
    <x v="1"/>
    <x v="6"/>
    <x v="0"/>
    <x v="0"/>
    <x v="2"/>
    <x v="2"/>
    <x v="7"/>
    <x v="7"/>
    <x v="1"/>
    <x v="6"/>
    <x v="6"/>
    <x v="38"/>
    <x v="38"/>
    <n v="600.88581999999997"/>
    <x v="1"/>
    <x v="0"/>
    <x v="4"/>
    <x v="6"/>
    <x v="10"/>
    <x v="21"/>
    <n v="654.96554379999998"/>
  </r>
  <r>
    <x v="5"/>
    <x v="0"/>
    <x v="5"/>
    <x v="5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5"/>
    <x v="0"/>
    <x v="5"/>
    <x v="5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5"/>
    <x v="0"/>
    <x v="5"/>
    <x v="5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5"/>
    <x v="0"/>
    <x v="5"/>
    <x v="5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5"/>
    <x v="0"/>
    <x v="5"/>
    <x v="5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5"/>
    <x v="0"/>
    <x v="5"/>
    <x v="5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5"/>
    <x v="0"/>
    <x v="5"/>
    <x v="5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5"/>
    <x v="0"/>
    <x v="5"/>
    <x v="5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5"/>
    <x v="0"/>
    <x v="5"/>
    <x v="5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5"/>
    <x v="0"/>
    <x v="5"/>
    <x v="5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5"/>
    <x v="0"/>
    <x v="5"/>
    <x v="5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5"/>
    <x v="0"/>
    <x v="5"/>
    <x v="5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5"/>
    <x v="0"/>
    <x v="5"/>
    <x v="5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5"/>
    <x v="0"/>
    <x v="5"/>
    <x v="5"/>
    <x v="1"/>
    <x v="6"/>
    <x v="0"/>
    <x v="0"/>
    <x v="2"/>
    <x v="2"/>
    <x v="8"/>
    <x v="8"/>
    <x v="3"/>
    <x v="3"/>
    <x v="3"/>
    <x v="40"/>
    <x v="40"/>
    <n v="2096.3090099999999"/>
    <x v="1"/>
    <x v="2"/>
    <x v="5"/>
    <x v="7"/>
    <x v="11"/>
    <x v="22"/>
    <n v="2284.9768208999999"/>
  </r>
  <r>
    <x v="5"/>
    <x v="0"/>
    <x v="5"/>
    <x v="5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5"/>
    <x v="0"/>
    <x v="5"/>
    <x v="5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5"/>
    <x v="0"/>
    <x v="5"/>
    <x v="5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5"/>
    <x v="0"/>
    <x v="5"/>
    <x v="5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5"/>
    <x v="0"/>
    <x v="5"/>
    <x v="5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5"/>
    <x v="0"/>
    <x v="5"/>
    <x v="5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5"/>
    <x v="0"/>
    <x v="5"/>
    <x v="5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5"/>
    <x v="0"/>
    <x v="5"/>
    <x v="5"/>
    <x v="1"/>
    <x v="6"/>
    <x v="0"/>
    <x v="0"/>
    <x v="2"/>
    <x v="2"/>
    <x v="8"/>
    <x v="8"/>
    <x v="1"/>
    <x v="6"/>
    <x v="6"/>
    <x v="40"/>
    <x v="40"/>
    <n v="2932.76901"/>
    <x v="1"/>
    <x v="2"/>
    <x v="5"/>
    <x v="7"/>
    <x v="11"/>
    <x v="22"/>
    <n v="3196.7182209000002"/>
  </r>
  <r>
    <x v="5"/>
    <x v="0"/>
    <x v="5"/>
    <x v="5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5"/>
    <x v="0"/>
    <x v="5"/>
    <x v="5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5"/>
    <x v="0"/>
    <x v="5"/>
    <x v="5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5"/>
    <x v="0"/>
    <x v="5"/>
    <x v="5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5"/>
    <x v="0"/>
    <x v="5"/>
    <x v="5"/>
    <x v="1"/>
    <x v="6"/>
    <x v="0"/>
    <x v="0"/>
    <x v="2"/>
    <x v="2"/>
    <x v="9"/>
    <x v="9"/>
    <x v="3"/>
    <x v="3"/>
    <x v="3"/>
    <x v="40"/>
    <x v="40"/>
    <n v="17.470400000000001"/>
    <x v="1"/>
    <x v="2"/>
    <x v="5"/>
    <x v="7"/>
    <x v="11"/>
    <x v="22"/>
    <n v="19.042736000000001"/>
  </r>
  <r>
    <x v="5"/>
    <x v="0"/>
    <x v="5"/>
    <x v="5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5"/>
    <x v="0"/>
    <x v="5"/>
    <x v="5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5"/>
    <x v="0"/>
    <x v="5"/>
    <x v="5"/>
    <x v="1"/>
    <x v="6"/>
    <x v="0"/>
    <x v="0"/>
    <x v="2"/>
    <x v="2"/>
    <x v="9"/>
    <x v="9"/>
    <x v="2"/>
    <x v="2"/>
    <x v="2"/>
    <x v="41"/>
    <x v="41"/>
    <n v="467.78356382801002"/>
    <x v="1"/>
    <x v="2"/>
    <x v="5"/>
    <x v="7"/>
    <x v="11"/>
    <x v="22"/>
    <n v="509.88408457253098"/>
  </r>
  <r>
    <x v="5"/>
    <x v="0"/>
    <x v="5"/>
    <x v="5"/>
    <x v="1"/>
    <x v="6"/>
    <x v="0"/>
    <x v="0"/>
    <x v="2"/>
    <x v="2"/>
    <x v="9"/>
    <x v="9"/>
    <x v="2"/>
    <x v="2"/>
    <x v="2"/>
    <x v="40"/>
    <x v="40"/>
    <n v="12953.55744"/>
    <x v="1"/>
    <x v="2"/>
    <x v="5"/>
    <x v="7"/>
    <x v="11"/>
    <x v="22"/>
    <n v="14119.377609600002"/>
  </r>
  <r>
    <x v="5"/>
    <x v="0"/>
    <x v="5"/>
    <x v="5"/>
    <x v="1"/>
    <x v="6"/>
    <x v="0"/>
    <x v="0"/>
    <x v="2"/>
    <x v="2"/>
    <x v="9"/>
    <x v="9"/>
    <x v="2"/>
    <x v="2"/>
    <x v="2"/>
    <x v="38"/>
    <x v="38"/>
    <n v="4666.8133600000001"/>
    <x v="1"/>
    <x v="0"/>
    <x v="4"/>
    <x v="6"/>
    <x v="10"/>
    <x v="21"/>
    <n v="5086.8265624000005"/>
  </r>
  <r>
    <x v="5"/>
    <x v="0"/>
    <x v="5"/>
    <x v="5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5"/>
    <x v="0"/>
    <x v="5"/>
    <x v="5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5"/>
    <x v="0"/>
    <x v="5"/>
    <x v="5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5"/>
    <x v="0"/>
    <x v="5"/>
    <x v="5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5"/>
    <x v="0"/>
    <x v="5"/>
    <x v="5"/>
    <x v="1"/>
    <x v="6"/>
    <x v="0"/>
    <x v="0"/>
    <x v="2"/>
    <x v="2"/>
    <x v="9"/>
    <x v="9"/>
    <x v="1"/>
    <x v="6"/>
    <x v="6"/>
    <x v="42"/>
    <x v="42"/>
    <n v="2460.88994"/>
    <x v="1"/>
    <x v="2"/>
    <x v="5"/>
    <x v="7"/>
    <x v="11"/>
    <x v="22"/>
    <n v="2682.3700346000001"/>
  </r>
  <r>
    <x v="5"/>
    <x v="0"/>
    <x v="5"/>
    <x v="5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5"/>
    <x v="0"/>
    <x v="5"/>
    <x v="5"/>
    <x v="1"/>
    <x v="6"/>
    <x v="0"/>
    <x v="0"/>
    <x v="2"/>
    <x v="2"/>
    <x v="9"/>
    <x v="9"/>
    <x v="1"/>
    <x v="6"/>
    <x v="6"/>
    <x v="40"/>
    <x v="40"/>
    <n v="24820.80515"/>
    <x v="1"/>
    <x v="2"/>
    <x v="5"/>
    <x v="7"/>
    <x v="11"/>
    <x v="22"/>
    <n v="27054.677613500004"/>
  </r>
  <r>
    <x v="5"/>
    <x v="0"/>
    <x v="5"/>
    <x v="5"/>
    <x v="1"/>
    <x v="6"/>
    <x v="0"/>
    <x v="0"/>
    <x v="2"/>
    <x v="2"/>
    <x v="9"/>
    <x v="9"/>
    <x v="1"/>
    <x v="6"/>
    <x v="6"/>
    <x v="38"/>
    <x v="38"/>
    <n v="1433.29827"/>
    <x v="1"/>
    <x v="0"/>
    <x v="4"/>
    <x v="6"/>
    <x v="10"/>
    <x v="21"/>
    <n v="1562.2951143"/>
  </r>
  <r>
    <x v="5"/>
    <x v="0"/>
    <x v="5"/>
    <x v="5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5"/>
    <x v="0"/>
    <x v="5"/>
    <x v="5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5"/>
    <x v="0"/>
    <x v="5"/>
    <x v="5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5"/>
    <x v="0"/>
    <x v="5"/>
    <x v="5"/>
    <x v="1"/>
    <x v="6"/>
    <x v="0"/>
    <x v="0"/>
    <x v="2"/>
    <x v="2"/>
    <x v="9"/>
    <x v="9"/>
    <x v="3"/>
    <x v="7"/>
    <x v="7"/>
    <x v="40"/>
    <x v="40"/>
    <n v="232.90661"/>
    <x v="1"/>
    <x v="2"/>
    <x v="5"/>
    <x v="7"/>
    <x v="11"/>
    <x v="22"/>
    <n v="253.86820490000002"/>
  </r>
  <r>
    <x v="5"/>
    <x v="0"/>
    <x v="5"/>
    <x v="5"/>
    <x v="1"/>
    <x v="6"/>
    <x v="0"/>
    <x v="0"/>
    <x v="2"/>
    <x v="2"/>
    <x v="9"/>
    <x v="9"/>
    <x v="1"/>
    <x v="8"/>
    <x v="8"/>
    <x v="40"/>
    <x v="40"/>
    <n v="11005.762000000001"/>
    <x v="1"/>
    <x v="2"/>
    <x v="5"/>
    <x v="7"/>
    <x v="11"/>
    <x v="22"/>
    <n v="11996.280580000002"/>
  </r>
  <r>
    <x v="5"/>
    <x v="0"/>
    <x v="5"/>
    <x v="5"/>
    <x v="1"/>
    <x v="6"/>
    <x v="0"/>
    <x v="0"/>
    <x v="2"/>
    <x v="2"/>
    <x v="9"/>
    <x v="9"/>
    <x v="2"/>
    <x v="10"/>
    <x v="10"/>
    <x v="40"/>
    <x v="40"/>
    <n v="46.488370000000003"/>
    <x v="1"/>
    <x v="2"/>
    <x v="5"/>
    <x v="7"/>
    <x v="11"/>
    <x v="22"/>
    <n v="50.672323300000009"/>
  </r>
  <r>
    <x v="5"/>
    <x v="0"/>
    <x v="5"/>
    <x v="5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5"/>
    <x v="0"/>
    <x v="5"/>
    <x v="5"/>
    <x v="1"/>
    <x v="6"/>
    <x v="0"/>
    <x v="0"/>
    <x v="2"/>
    <x v="2"/>
    <x v="9"/>
    <x v="9"/>
    <x v="4"/>
    <x v="5"/>
    <x v="5"/>
    <x v="40"/>
    <x v="40"/>
    <n v="1750.6190200000001"/>
    <x v="1"/>
    <x v="2"/>
    <x v="5"/>
    <x v="7"/>
    <x v="11"/>
    <x v="22"/>
    <n v="1908.1747318000002"/>
  </r>
  <r>
    <x v="5"/>
    <x v="0"/>
    <x v="5"/>
    <x v="5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5"/>
    <x v="0"/>
    <x v="5"/>
    <x v="5"/>
    <x v="1"/>
    <x v="6"/>
    <x v="0"/>
    <x v="0"/>
    <x v="2"/>
    <x v="2"/>
    <x v="10"/>
    <x v="10"/>
    <x v="2"/>
    <x v="2"/>
    <x v="2"/>
    <x v="41"/>
    <x v="41"/>
    <n v="529.90202127458201"/>
    <x v="1"/>
    <x v="2"/>
    <x v="5"/>
    <x v="7"/>
    <x v="11"/>
    <x v="22"/>
    <n v="577.5932031892944"/>
  </r>
  <r>
    <x v="5"/>
    <x v="0"/>
    <x v="5"/>
    <x v="5"/>
    <x v="1"/>
    <x v="6"/>
    <x v="0"/>
    <x v="0"/>
    <x v="2"/>
    <x v="2"/>
    <x v="10"/>
    <x v="10"/>
    <x v="2"/>
    <x v="2"/>
    <x v="2"/>
    <x v="40"/>
    <x v="40"/>
    <n v="4263.8989799999999"/>
    <x v="1"/>
    <x v="2"/>
    <x v="5"/>
    <x v="7"/>
    <x v="11"/>
    <x v="22"/>
    <n v="4647.6498882000005"/>
  </r>
  <r>
    <x v="5"/>
    <x v="0"/>
    <x v="5"/>
    <x v="5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5"/>
    <x v="0"/>
    <x v="5"/>
    <x v="5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5"/>
    <x v="0"/>
    <x v="5"/>
    <x v="5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5"/>
    <x v="0"/>
    <x v="5"/>
    <x v="5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5"/>
    <x v="0"/>
    <x v="5"/>
    <x v="5"/>
    <x v="1"/>
    <x v="6"/>
    <x v="0"/>
    <x v="0"/>
    <x v="2"/>
    <x v="2"/>
    <x v="10"/>
    <x v="10"/>
    <x v="1"/>
    <x v="6"/>
    <x v="6"/>
    <x v="40"/>
    <x v="40"/>
    <n v="312.17498999999998"/>
    <x v="1"/>
    <x v="2"/>
    <x v="5"/>
    <x v="7"/>
    <x v="11"/>
    <x v="22"/>
    <n v="340.27073910000001"/>
  </r>
  <r>
    <x v="5"/>
    <x v="0"/>
    <x v="5"/>
    <x v="5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5"/>
    <x v="0"/>
    <x v="5"/>
    <x v="5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5"/>
    <x v="0"/>
    <x v="5"/>
    <x v="5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5"/>
    <x v="0"/>
    <x v="5"/>
    <x v="5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5"/>
    <x v="0"/>
    <x v="5"/>
    <x v="5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5"/>
    <x v="0"/>
    <x v="5"/>
    <x v="5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5"/>
    <x v="0"/>
    <x v="5"/>
    <x v="5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5"/>
    <x v="0"/>
    <x v="5"/>
    <x v="5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5"/>
    <x v="0"/>
    <x v="5"/>
    <x v="5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5"/>
    <x v="0"/>
    <x v="5"/>
    <x v="5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5"/>
    <x v="0"/>
    <x v="5"/>
    <x v="5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5"/>
    <x v="0"/>
    <x v="5"/>
    <x v="5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5"/>
    <x v="0"/>
    <x v="5"/>
    <x v="5"/>
    <x v="1"/>
    <x v="6"/>
    <x v="0"/>
    <x v="0"/>
    <x v="0"/>
    <x v="0"/>
    <x v="11"/>
    <x v="11"/>
    <x v="4"/>
    <x v="5"/>
    <x v="5"/>
    <x v="10"/>
    <x v="10"/>
    <n v="33.0970323807258"/>
    <x v="0"/>
    <x v="0"/>
    <x v="1"/>
    <x v="4"/>
    <x v="5"/>
    <x v="10"/>
    <n v="36.075765294991122"/>
  </r>
  <r>
    <x v="5"/>
    <x v="0"/>
    <x v="5"/>
    <x v="5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5"/>
    <x v="0"/>
    <x v="5"/>
    <x v="5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5"/>
    <x v="0"/>
    <x v="5"/>
    <x v="5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5"/>
    <x v="0"/>
    <x v="5"/>
    <x v="5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5"/>
    <x v="0"/>
    <x v="5"/>
    <x v="5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5"/>
    <x v="0"/>
    <x v="5"/>
    <x v="5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5"/>
    <x v="0"/>
    <x v="5"/>
    <x v="5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5"/>
    <x v="0"/>
    <x v="5"/>
    <x v="5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5"/>
    <x v="0"/>
    <x v="5"/>
    <x v="5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5"/>
    <x v="0"/>
    <x v="5"/>
    <x v="5"/>
    <x v="1"/>
    <x v="6"/>
    <x v="0"/>
    <x v="0"/>
    <x v="3"/>
    <x v="3"/>
    <x v="12"/>
    <x v="12"/>
    <x v="3"/>
    <x v="7"/>
    <x v="7"/>
    <x v="40"/>
    <x v="40"/>
    <n v="54.823689999999999"/>
    <x v="1"/>
    <x v="2"/>
    <x v="5"/>
    <x v="7"/>
    <x v="11"/>
    <x v="22"/>
    <n v="59.757822100000006"/>
  </r>
  <r>
    <x v="5"/>
    <x v="0"/>
    <x v="5"/>
    <x v="5"/>
    <x v="1"/>
    <x v="6"/>
    <x v="0"/>
    <x v="0"/>
    <x v="3"/>
    <x v="3"/>
    <x v="12"/>
    <x v="12"/>
    <x v="1"/>
    <x v="8"/>
    <x v="8"/>
    <x v="40"/>
    <x v="40"/>
    <n v="20.610440000000001"/>
    <x v="1"/>
    <x v="2"/>
    <x v="5"/>
    <x v="7"/>
    <x v="11"/>
    <x v="22"/>
    <n v="22.465379600000002"/>
  </r>
  <r>
    <x v="5"/>
    <x v="0"/>
    <x v="5"/>
    <x v="5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5"/>
    <x v="0"/>
    <x v="5"/>
    <x v="5"/>
    <x v="1"/>
    <x v="6"/>
    <x v="0"/>
    <x v="0"/>
    <x v="3"/>
    <x v="3"/>
    <x v="12"/>
    <x v="12"/>
    <x v="2"/>
    <x v="10"/>
    <x v="10"/>
    <x v="40"/>
    <x v="40"/>
    <n v="5.03559"/>
    <x v="1"/>
    <x v="2"/>
    <x v="5"/>
    <x v="7"/>
    <x v="11"/>
    <x v="22"/>
    <n v="5.4887931000000005"/>
  </r>
  <r>
    <x v="5"/>
    <x v="0"/>
    <x v="5"/>
    <x v="5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5"/>
    <x v="0"/>
    <x v="5"/>
    <x v="5"/>
    <x v="1"/>
    <x v="6"/>
    <x v="0"/>
    <x v="0"/>
    <x v="3"/>
    <x v="3"/>
    <x v="12"/>
    <x v="12"/>
    <x v="4"/>
    <x v="5"/>
    <x v="5"/>
    <x v="40"/>
    <x v="40"/>
    <n v="84.461550000000003"/>
    <x v="1"/>
    <x v="2"/>
    <x v="5"/>
    <x v="7"/>
    <x v="11"/>
    <x v="22"/>
    <n v="92.063089500000004"/>
  </r>
  <r>
    <x v="5"/>
    <x v="0"/>
    <x v="5"/>
    <x v="5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5"/>
    <x v="0"/>
    <x v="5"/>
    <x v="5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5"/>
    <x v="0"/>
    <x v="5"/>
    <x v="5"/>
    <x v="1"/>
    <x v="6"/>
    <x v="0"/>
    <x v="0"/>
    <x v="3"/>
    <x v="3"/>
    <x v="13"/>
    <x v="13"/>
    <x v="2"/>
    <x v="2"/>
    <x v="2"/>
    <x v="41"/>
    <x v="41"/>
    <n v="281.217287232974"/>
    <x v="1"/>
    <x v="2"/>
    <x v="5"/>
    <x v="7"/>
    <x v="11"/>
    <x v="22"/>
    <n v="306.52684308394169"/>
  </r>
  <r>
    <x v="5"/>
    <x v="0"/>
    <x v="5"/>
    <x v="5"/>
    <x v="1"/>
    <x v="6"/>
    <x v="0"/>
    <x v="0"/>
    <x v="3"/>
    <x v="3"/>
    <x v="13"/>
    <x v="13"/>
    <x v="2"/>
    <x v="2"/>
    <x v="2"/>
    <x v="40"/>
    <x v="40"/>
    <n v="2055.6907500000002"/>
    <x v="1"/>
    <x v="2"/>
    <x v="5"/>
    <x v="7"/>
    <x v="11"/>
    <x v="22"/>
    <n v="2240.7029175000002"/>
  </r>
  <r>
    <x v="5"/>
    <x v="0"/>
    <x v="5"/>
    <x v="5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5"/>
    <x v="0"/>
    <x v="5"/>
    <x v="5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5"/>
    <x v="0"/>
    <x v="5"/>
    <x v="5"/>
    <x v="1"/>
    <x v="6"/>
    <x v="0"/>
    <x v="0"/>
    <x v="3"/>
    <x v="3"/>
    <x v="13"/>
    <x v="13"/>
    <x v="1"/>
    <x v="6"/>
    <x v="6"/>
    <x v="41"/>
    <x v="41"/>
    <n v="179.74288297804"/>
    <x v="1"/>
    <x v="2"/>
    <x v="5"/>
    <x v="7"/>
    <x v="11"/>
    <x v="22"/>
    <n v="195.91974244606362"/>
  </r>
  <r>
    <x v="5"/>
    <x v="0"/>
    <x v="5"/>
    <x v="5"/>
    <x v="1"/>
    <x v="6"/>
    <x v="0"/>
    <x v="0"/>
    <x v="3"/>
    <x v="3"/>
    <x v="13"/>
    <x v="13"/>
    <x v="1"/>
    <x v="6"/>
    <x v="6"/>
    <x v="40"/>
    <x v="40"/>
    <n v="2073.1958399999999"/>
    <x v="1"/>
    <x v="2"/>
    <x v="5"/>
    <x v="7"/>
    <x v="11"/>
    <x v="22"/>
    <n v="2259.7834656"/>
  </r>
  <r>
    <x v="5"/>
    <x v="0"/>
    <x v="5"/>
    <x v="5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5"/>
    <x v="0"/>
    <x v="5"/>
    <x v="5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5"/>
    <x v="0"/>
    <x v="5"/>
    <x v="5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5"/>
    <x v="0"/>
    <x v="5"/>
    <x v="5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5"/>
    <x v="0"/>
    <x v="5"/>
    <x v="5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5"/>
    <x v="0"/>
    <x v="5"/>
    <x v="5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5"/>
    <x v="0"/>
    <x v="5"/>
    <x v="5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5"/>
    <x v="0"/>
    <x v="5"/>
    <x v="5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5"/>
    <x v="0"/>
    <x v="5"/>
    <x v="5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5"/>
    <x v="0"/>
    <x v="5"/>
    <x v="5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5"/>
    <x v="0"/>
    <x v="5"/>
    <x v="5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5"/>
    <x v="0"/>
    <x v="5"/>
    <x v="5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5"/>
    <x v="0"/>
    <x v="5"/>
    <x v="5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5"/>
    <x v="0"/>
    <x v="5"/>
    <x v="5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5"/>
    <x v="0"/>
    <x v="5"/>
    <x v="5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5"/>
    <x v="0"/>
    <x v="5"/>
    <x v="5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5"/>
    <x v="0"/>
    <x v="5"/>
    <x v="5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5"/>
    <x v="0"/>
    <x v="5"/>
    <x v="5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5"/>
    <x v="0"/>
    <x v="5"/>
    <x v="5"/>
    <x v="1"/>
    <x v="6"/>
    <x v="0"/>
    <x v="0"/>
    <x v="2"/>
    <x v="2"/>
    <x v="14"/>
    <x v="14"/>
    <x v="0"/>
    <x v="4"/>
    <x v="4"/>
    <x v="40"/>
    <x v="40"/>
    <n v="1041.4355499999999"/>
    <x v="1"/>
    <x v="2"/>
    <x v="5"/>
    <x v="7"/>
    <x v="11"/>
    <x v="22"/>
    <n v="1135.1647495"/>
  </r>
  <r>
    <x v="5"/>
    <x v="0"/>
    <x v="5"/>
    <x v="5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5"/>
    <x v="0"/>
    <x v="5"/>
    <x v="5"/>
    <x v="1"/>
    <x v="6"/>
    <x v="0"/>
    <x v="0"/>
    <x v="2"/>
    <x v="2"/>
    <x v="14"/>
    <x v="14"/>
    <x v="2"/>
    <x v="2"/>
    <x v="2"/>
    <x v="40"/>
    <x v="40"/>
    <n v="1637.07556"/>
    <x v="1"/>
    <x v="2"/>
    <x v="5"/>
    <x v="7"/>
    <x v="11"/>
    <x v="22"/>
    <n v="1784.4123604000001"/>
  </r>
  <r>
    <x v="5"/>
    <x v="0"/>
    <x v="5"/>
    <x v="5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5"/>
    <x v="0"/>
    <x v="5"/>
    <x v="5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5"/>
    <x v="0"/>
    <x v="5"/>
    <x v="5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5"/>
    <x v="0"/>
    <x v="5"/>
    <x v="5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5"/>
    <x v="0"/>
    <x v="5"/>
    <x v="5"/>
    <x v="1"/>
    <x v="6"/>
    <x v="0"/>
    <x v="0"/>
    <x v="2"/>
    <x v="2"/>
    <x v="14"/>
    <x v="14"/>
    <x v="4"/>
    <x v="5"/>
    <x v="5"/>
    <x v="40"/>
    <x v="40"/>
    <n v="147.00906000000001"/>
    <x v="1"/>
    <x v="2"/>
    <x v="5"/>
    <x v="7"/>
    <x v="11"/>
    <x v="22"/>
    <n v="160.23987540000002"/>
  </r>
  <r>
    <x v="5"/>
    <x v="0"/>
    <x v="5"/>
    <x v="5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5"/>
    <x v="0"/>
    <x v="5"/>
    <x v="5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5"/>
    <x v="0"/>
    <x v="5"/>
    <x v="5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5"/>
    <x v="0"/>
    <x v="5"/>
    <x v="5"/>
    <x v="1"/>
    <x v="6"/>
    <x v="0"/>
    <x v="0"/>
    <x v="2"/>
    <x v="2"/>
    <x v="15"/>
    <x v="15"/>
    <x v="0"/>
    <x v="4"/>
    <x v="4"/>
    <x v="42"/>
    <x v="42"/>
    <n v="656.03080999999997"/>
    <x v="1"/>
    <x v="2"/>
    <x v="5"/>
    <x v="7"/>
    <x v="11"/>
    <x v="22"/>
    <n v="715.07358290000002"/>
  </r>
  <r>
    <x v="5"/>
    <x v="0"/>
    <x v="5"/>
    <x v="5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5"/>
    <x v="0"/>
    <x v="5"/>
    <x v="5"/>
    <x v="1"/>
    <x v="6"/>
    <x v="0"/>
    <x v="0"/>
    <x v="2"/>
    <x v="2"/>
    <x v="15"/>
    <x v="15"/>
    <x v="0"/>
    <x v="4"/>
    <x v="4"/>
    <x v="40"/>
    <x v="40"/>
    <n v="2115.1422299999999"/>
    <x v="1"/>
    <x v="2"/>
    <x v="5"/>
    <x v="7"/>
    <x v="11"/>
    <x v="22"/>
    <n v="2305.5050307000001"/>
  </r>
  <r>
    <x v="5"/>
    <x v="0"/>
    <x v="5"/>
    <x v="5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5"/>
    <x v="0"/>
    <x v="5"/>
    <x v="5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5"/>
    <x v="0"/>
    <x v="5"/>
    <x v="5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5"/>
    <x v="0"/>
    <x v="5"/>
    <x v="5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5"/>
    <x v="0"/>
    <x v="5"/>
    <x v="5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5"/>
    <x v="0"/>
    <x v="5"/>
    <x v="5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5"/>
    <x v="0"/>
    <x v="5"/>
    <x v="5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5"/>
    <x v="0"/>
    <x v="5"/>
    <x v="5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5"/>
    <x v="0"/>
    <x v="5"/>
    <x v="5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5"/>
    <x v="0"/>
    <x v="5"/>
    <x v="5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5"/>
    <x v="0"/>
    <x v="5"/>
    <x v="5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5"/>
    <x v="0"/>
    <x v="5"/>
    <x v="5"/>
    <x v="1"/>
    <x v="6"/>
    <x v="0"/>
    <x v="0"/>
    <x v="2"/>
    <x v="2"/>
    <x v="16"/>
    <x v="16"/>
    <x v="0"/>
    <x v="4"/>
    <x v="4"/>
    <x v="42"/>
    <x v="42"/>
    <n v="145.99456000000001"/>
    <x v="1"/>
    <x v="2"/>
    <x v="5"/>
    <x v="7"/>
    <x v="11"/>
    <x v="22"/>
    <n v="159.13407040000001"/>
  </r>
  <r>
    <x v="5"/>
    <x v="0"/>
    <x v="5"/>
    <x v="5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5"/>
    <x v="0"/>
    <x v="5"/>
    <x v="5"/>
    <x v="1"/>
    <x v="6"/>
    <x v="0"/>
    <x v="0"/>
    <x v="2"/>
    <x v="2"/>
    <x v="16"/>
    <x v="16"/>
    <x v="0"/>
    <x v="4"/>
    <x v="4"/>
    <x v="40"/>
    <x v="40"/>
    <n v="494.24309"/>
    <x v="1"/>
    <x v="2"/>
    <x v="5"/>
    <x v="7"/>
    <x v="11"/>
    <x v="22"/>
    <n v="538.72496810000007"/>
  </r>
  <r>
    <x v="5"/>
    <x v="0"/>
    <x v="5"/>
    <x v="5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5"/>
    <x v="0"/>
    <x v="5"/>
    <x v="5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5"/>
    <x v="0"/>
    <x v="5"/>
    <x v="5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5"/>
    <x v="0"/>
    <x v="5"/>
    <x v="5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5"/>
    <x v="0"/>
    <x v="5"/>
    <x v="5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5"/>
    <x v="0"/>
    <x v="5"/>
    <x v="5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5"/>
    <x v="0"/>
    <x v="5"/>
    <x v="5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5"/>
    <x v="0"/>
    <x v="5"/>
    <x v="5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5"/>
    <x v="0"/>
    <x v="5"/>
    <x v="5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5"/>
    <x v="0"/>
    <x v="5"/>
    <x v="5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5"/>
    <x v="0"/>
    <x v="5"/>
    <x v="5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5"/>
    <x v="0"/>
    <x v="5"/>
    <x v="5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5"/>
    <x v="0"/>
    <x v="5"/>
    <x v="5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5"/>
    <x v="0"/>
    <x v="5"/>
    <x v="5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5"/>
    <x v="0"/>
    <x v="5"/>
    <x v="5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5"/>
    <x v="0"/>
    <x v="5"/>
    <x v="5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5"/>
    <x v="0"/>
    <x v="5"/>
    <x v="5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5"/>
    <x v="0"/>
    <x v="5"/>
    <x v="5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5"/>
    <x v="0"/>
    <x v="5"/>
    <x v="5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5"/>
    <x v="0"/>
    <x v="5"/>
    <x v="5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5"/>
    <x v="0"/>
    <x v="5"/>
    <x v="5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5"/>
    <x v="0"/>
    <x v="5"/>
    <x v="5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5"/>
    <x v="0"/>
    <x v="5"/>
    <x v="5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5"/>
    <x v="0"/>
    <x v="5"/>
    <x v="5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5"/>
    <x v="0"/>
    <x v="5"/>
    <x v="5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5"/>
    <x v="0"/>
    <x v="5"/>
    <x v="5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5"/>
    <x v="0"/>
    <x v="5"/>
    <x v="5"/>
    <x v="1"/>
    <x v="6"/>
    <x v="0"/>
    <x v="0"/>
    <x v="2"/>
    <x v="2"/>
    <x v="17"/>
    <x v="17"/>
    <x v="2"/>
    <x v="2"/>
    <x v="2"/>
    <x v="40"/>
    <x v="40"/>
    <n v="3557.67992"/>
    <x v="1"/>
    <x v="2"/>
    <x v="5"/>
    <x v="7"/>
    <x v="11"/>
    <x v="22"/>
    <n v="3877.8711128000004"/>
  </r>
  <r>
    <x v="5"/>
    <x v="0"/>
    <x v="5"/>
    <x v="5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5"/>
    <x v="0"/>
    <x v="5"/>
    <x v="5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5"/>
    <x v="0"/>
    <x v="5"/>
    <x v="5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5"/>
    <x v="0"/>
    <x v="5"/>
    <x v="5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5"/>
    <x v="0"/>
    <x v="5"/>
    <x v="5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5"/>
    <x v="0"/>
    <x v="5"/>
    <x v="5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5"/>
    <x v="0"/>
    <x v="5"/>
    <x v="5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5"/>
    <x v="0"/>
    <x v="5"/>
    <x v="5"/>
    <x v="1"/>
    <x v="6"/>
    <x v="0"/>
    <x v="0"/>
    <x v="2"/>
    <x v="2"/>
    <x v="17"/>
    <x v="17"/>
    <x v="1"/>
    <x v="6"/>
    <x v="6"/>
    <x v="40"/>
    <x v="40"/>
    <n v="2145.04207"/>
    <x v="1"/>
    <x v="2"/>
    <x v="5"/>
    <x v="7"/>
    <x v="11"/>
    <x v="22"/>
    <n v="2338.0958562999999"/>
  </r>
  <r>
    <x v="5"/>
    <x v="0"/>
    <x v="5"/>
    <x v="5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5"/>
    <x v="0"/>
    <x v="5"/>
    <x v="5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5"/>
    <x v="0"/>
    <x v="5"/>
    <x v="5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5"/>
    <x v="0"/>
    <x v="5"/>
    <x v="5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5"/>
    <x v="0"/>
    <x v="5"/>
    <x v="5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5"/>
    <x v="0"/>
    <x v="5"/>
    <x v="5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5"/>
    <x v="0"/>
    <x v="5"/>
    <x v="5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5"/>
    <x v="0"/>
    <x v="5"/>
    <x v="5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5"/>
    <x v="0"/>
    <x v="5"/>
    <x v="5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5"/>
    <x v="0"/>
    <x v="5"/>
    <x v="5"/>
    <x v="1"/>
    <x v="6"/>
    <x v="0"/>
    <x v="0"/>
    <x v="2"/>
    <x v="2"/>
    <x v="17"/>
    <x v="17"/>
    <x v="1"/>
    <x v="8"/>
    <x v="8"/>
    <x v="40"/>
    <x v="40"/>
    <n v="248.85865000000001"/>
    <x v="1"/>
    <x v="2"/>
    <x v="5"/>
    <x v="7"/>
    <x v="11"/>
    <x v="22"/>
    <n v="271.25592850000004"/>
  </r>
  <r>
    <x v="5"/>
    <x v="0"/>
    <x v="5"/>
    <x v="5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5"/>
    <x v="0"/>
    <x v="5"/>
    <x v="5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5"/>
    <x v="0"/>
    <x v="5"/>
    <x v="5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5"/>
    <x v="0"/>
    <x v="5"/>
    <x v="5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5"/>
    <x v="0"/>
    <x v="5"/>
    <x v="5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5"/>
    <x v="0"/>
    <x v="5"/>
    <x v="5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5"/>
    <x v="0"/>
    <x v="5"/>
    <x v="5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5"/>
    <x v="0"/>
    <x v="5"/>
    <x v="5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5"/>
    <x v="0"/>
    <x v="5"/>
    <x v="5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5"/>
    <x v="0"/>
    <x v="5"/>
    <x v="5"/>
    <x v="1"/>
    <x v="6"/>
    <x v="0"/>
    <x v="0"/>
    <x v="2"/>
    <x v="2"/>
    <x v="17"/>
    <x v="17"/>
    <x v="4"/>
    <x v="5"/>
    <x v="5"/>
    <x v="40"/>
    <x v="40"/>
    <n v="1923.7575999999999"/>
    <x v="1"/>
    <x v="2"/>
    <x v="5"/>
    <x v="7"/>
    <x v="11"/>
    <x v="22"/>
    <n v="2096.8957840000003"/>
  </r>
  <r>
    <x v="5"/>
    <x v="0"/>
    <x v="5"/>
    <x v="5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5"/>
    <x v="0"/>
    <x v="5"/>
    <x v="5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5"/>
    <x v="0"/>
    <x v="5"/>
    <x v="5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5"/>
    <x v="0"/>
    <x v="5"/>
    <x v="5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5"/>
    <x v="0"/>
    <x v="5"/>
    <x v="5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5"/>
    <x v="0"/>
    <x v="5"/>
    <x v="5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5"/>
    <x v="0"/>
    <x v="5"/>
    <x v="5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5"/>
    <x v="0"/>
    <x v="5"/>
    <x v="5"/>
    <x v="1"/>
    <x v="7"/>
    <x v="0"/>
    <x v="0"/>
    <x v="0"/>
    <x v="0"/>
    <x v="0"/>
    <x v="0"/>
    <x v="3"/>
    <x v="3"/>
    <x v="3"/>
    <x v="11"/>
    <x v="11"/>
    <n v="260.28739000000002"/>
    <x v="0"/>
    <x v="0"/>
    <x v="3"/>
    <x v="5"/>
    <x v="7"/>
    <x v="11"/>
    <n v="283.71325510000003"/>
  </r>
  <r>
    <x v="5"/>
    <x v="0"/>
    <x v="5"/>
    <x v="5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5"/>
    <x v="0"/>
    <x v="5"/>
    <x v="5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5"/>
    <x v="0"/>
    <x v="5"/>
    <x v="5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5"/>
    <x v="0"/>
    <x v="5"/>
    <x v="5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5"/>
    <x v="0"/>
    <x v="5"/>
    <x v="5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5"/>
    <x v="0"/>
    <x v="5"/>
    <x v="5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5"/>
    <x v="0"/>
    <x v="5"/>
    <x v="5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5"/>
    <x v="0"/>
    <x v="5"/>
    <x v="5"/>
    <x v="1"/>
    <x v="7"/>
    <x v="0"/>
    <x v="0"/>
    <x v="0"/>
    <x v="0"/>
    <x v="0"/>
    <x v="0"/>
    <x v="2"/>
    <x v="2"/>
    <x v="2"/>
    <x v="10"/>
    <x v="10"/>
    <n v="1.9458715596318601"/>
    <x v="0"/>
    <x v="0"/>
    <x v="1"/>
    <x v="4"/>
    <x v="5"/>
    <x v="10"/>
    <n v="2.1209999999987277"/>
  </r>
  <r>
    <x v="5"/>
    <x v="0"/>
    <x v="5"/>
    <x v="5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5"/>
    <x v="0"/>
    <x v="5"/>
    <x v="5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5"/>
    <x v="0"/>
    <x v="5"/>
    <x v="5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6"/>
    <x v="0"/>
    <x v="6"/>
    <x v="6"/>
    <x v="0"/>
    <x v="0"/>
    <x v="0"/>
    <x v="0"/>
    <x v="0"/>
    <x v="0"/>
    <x v="2"/>
    <x v="2"/>
    <x v="2"/>
    <x v="2"/>
    <x v="2"/>
    <x v="2"/>
    <x v="2"/>
    <n v="1.367889908256E-2"/>
    <x v="0"/>
    <x v="1"/>
    <x v="2"/>
    <x v="2"/>
    <x v="13"/>
    <x v="2"/>
    <n v="1.4909999999990401E-2"/>
  </r>
  <r>
    <x v="6"/>
    <x v="0"/>
    <x v="6"/>
    <x v="6"/>
    <x v="0"/>
    <x v="0"/>
    <x v="0"/>
    <x v="0"/>
    <x v="0"/>
    <x v="0"/>
    <x v="2"/>
    <x v="2"/>
    <x v="4"/>
    <x v="5"/>
    <x v="5"/>
    <x v="6"/>
    <x v="6"/>
    <n v="2.3161100000000001"/>
    <x v="0"/>
    <x v="0"/>
    <x v="0"/>
    <x v="0"/>
    <x v="4"/>
    <x v="6"/>
    <n v="2.5245599000000003"/>
  </r>
  <r>
    <x v="6"/>
    <x v="0"/>
    <x v="6"/>
    <x v="6"/>
    <x v="0"/>
    <x v="0"/>
    <x v="0"/>
    <x v="0"/>
    <x v="0"/>
    <x v="0"/>
    <x v="2"/>
    <x v="2"/>
    <x v="4"/>
    <x v="5"/>
    <x v="5"/>
    <x v="18"/>
    <x v="18"/>
    <n v="1.9054"/>
    <x v="0"/>
    <x v="0"/>
    <x v="0"/>
    <x v="0"/>
    <x v="4"/>
    <x v="18"/>
    <n v="2.076886"/>
  </r>
  <r>
    <x v="6"/>
    <x v="0"/>
    <x v="6"/>
    <x v="6"/>
    <x v="0"/>
    <x v="0"/>
    <x v="0"/>
    <x v="0"/>
    <x v="0"/>
    <x v="0"/>
    <x v="0"/>
    <x v="0"/>
    <x v="3"/>
    <x v="3"/>
    <x v="3"/>
    <x v="5"/>
    <x v="5"/>
    <n v="106.70346012351"/>
    <x v="0"/>
    <x v="0"/>
    <x v="1"/>
    <x v="1"/>
    <x v="1"/>
    <x v="5"/>
    <n v="116.30677153462591"/>
  </r>
  <r>
    <x v="6"/>
    <x v="0"/>
    <x v="6"/>
    <x v="6"/>
    <x v="0"/>
    <x v="0"/>
    <x v="0"/>
    <x v="0"/>
    <x v="0"/>
    <x v="0"/>
    <x v="0"/>
    <x v="0"/>
    <x v="3"/>
    <x v="3"/>
    <x v="3"/>
    <x v="6"/>
    <x v="6"/>
    <n v="13.867000000000001"/>
    <x v="0"/>
    <x v="0"/>
    <x v="0"/>
    <x v="0"/>
    <x v="4"/>
    <x v="6"/>
    <n v="15.115030000000003"/>
  </r>
  <r>
    <x v="6"/>
    <x v="0"/>
    <x v="6"/>
    <x v="6"/>
    <x v="0"/>
    <x v="0"/>
    <x v="0"/>
    <x v="0"/>
    <x v="0"/>
    <x v="0"/>
    <x v="0"/>
    <x v="0"/>
    <x v="3"/>
    <x v="3"/>
    <x v="3"/>
    <x v="8"/>
    <x v="8"/>
    <n v="471.70259459761297"/>
    <x v="0"/>
    <x v="1"/>
    <x v="2"/>
    <x v="2"/>
    <x v="6"/>
    <x v="8"/>
    <n v="514.15582811139814"/>
  </r>
  <r>
    <x v="6"/>
    <x v="0"/>
    <x v="6"/>
    <x v="6"/>
    <x v="0"/>
    <x v="0"/>
    <x v="0"/>
    <x v="0"/>
    <x v="0"/>
    <x v="0"/>
    <x v="0"/>
    <x v="0"/>
    <x v="3"/>
    <x v="3"/>
    <x v="3"/>
    <x v="9"/>
    <x v="9"/>
    <n v="15.6979816513667"/>
    <x v="0"/>
    <x v="0"/>
    <x v="1"/>
    <x v="4"/>
    <x v="5"/>
    <x v="9"/>
    <n v="17.110799999989705"/>
  </r>
  <r>
    <x v="6"/>
    <x v="0"/>
    <x v="6"/>
    <x v="6"/>
    <x v="0"/>
    <x v="0"/>
    <x v="0"/>
    <x v="0"/>
    <x v="0"/>
    <x v="0"/>
    <x v="0"/>
    <x v="0"/>
    <x v="3"/>
    <x v="3"/>
    <x v="3"/>
    <x v="12"/>
    <x v="12"/>
    <n v="613.43372092790196"/>
    <x v="0"/>
    <x v="0"/>
    <x v="0"/>
    <x v="0"/>
    <x v="8"/>
    <x v="12"/>
    <n v="668.64275581141317"/>
  </r>
  <r>
    <x v="6"/>
    <x v="0"/>
    <x v="6"/>
    <x v="6"/>
    <x v="0"/>
    <x v="0"/>
    <x v="0"/>
    <x v="0"/>
    <x v="0"/>
    <x v="0"/>
    <x v="0"/>
    <x v="0"/>
    <x v="3"/>
    <x v="3"/>
    <x v="3"/>
    <x v="32"/>
    <x v="32"/>
    <n v="32.604225767584701"/>
    <x v="0"/>
    <x v="0"/>
    <x v="1"/>
    <x v="1"/>
    <x v="1"/>
    <x v="20"/>
    <n v="35.538606086667329"/>
  </r>
  <r>
    <x v="6"/>
    <x v="0"/>
    <x v="6"/>
    <x v="6"/>
    <x v="0"/>
    <x v="0"/>
    <x v="0"/>
    <x v="0"/>
    <x v="0"/>
    <x v="0"/>
    <x v="0"/>
    <x v="0"/>
    <x v="3"/>
    <x v="3"/>
    <x v="3"/>
    <x v="14"/>
    <x v="14"/>
    <n v="106.2692"/>
    <x v="0"/>
    <x v="0"/>
    <x v="0"/>
    <x v="0"/>
    <x v="8"/>
    <x v="14"/>
    <n v="115.83342800000001"/>
  </r>
  <r>
    <x v="6"/>
    <x v="0"/>
    <x v="6"/>
    <x v="6"/>
    <x v="0"/>
    <x v="0"/>
    <x v="0"/>
    <x v="0"/>
    <x v="0"/>
    <x v="0"/>
    <x v="0"/>
    <x v="0"/>
    <x v="3"/>
    <x v="3"/>
    <x v="3"/>
    <x v="16"/>
    <x v="16"/>
    <n v="58.83999"/>
    <x v="0"/>
    <x v="0"/>
    <x v="3"/>
    <x v="5"/>
    <x v="9"/>
    <x v="16"/>
    <n v="64.135589100000004"/>
  </r>
  <r>
    <x v="6"/>
    <x v="0"/>
    <x v="6"/>
    <x v="6"/>
    <x v="0"/>
    <x v="0"/>
    <x v="0"/>
    <x v="0"/>
    <x v="0"/>
    <x v="0"/>
    <x v="0"/>
    <x v="0"/>
    <x v="3"/>
    <x v="3"/>
    <x v="3"/>
    <x v="18"/>
    <x v="18"/>
    <n v="0.27152999999999999"/>
    <x v="0"/>
    <x v="0"/>
    <x v="0"/>
    <x v="0"/>
    <x v="4"/>
    <x v="18"/>
    <n v="0.2959677"/>
  </r>
  <r>
    <x v="6"/>
    <x v="0"/>
    <x v="6"/>
    <x v="6"/>
    <x v="0"/>
    <x v="0"/>
    <x v="0"/>
    <x v="0"/>
    <x v="0"/>
    <x v="0"/>
    <x v="0"/>
    <x v="0"/>
    <x v="3"/>
    <x v="3"/>
    <x v="3"/>
    <x v="27"/>
    <x v="27"/>
    <n v="0.11286936937175999"/>
    <x v="0"/>
    <x v="0"/>
    <x v="1"/>
    <x v="3"/>
    <x v="3"/>
    <x v="19"/>
    <n v="0.1230276126152184"/>
  </r>
  <r>
    <x v="6"/>
    <x v="0"/>
    <x v="6"/>
    <x v="6"/>
    <x v="0"/>
    <x v="0"/>
    <x v="0"/>
    <x v="0"/>
    <x v="0"/>
    <x v="0"/>
    <x v="0"/>
    <x v="0"/>
    <x v="3"/>
    <x v="3"/>
    <x v="3"/>
    <x v="2"/>
    <x v="2"/>
    <n v="802.54299082520697"/>
    <x v="0"/>
    <x v="1"/>
    <x v="2"/>
    <x v="2"/>
    <x v="13"/>
    <x v="2"/>
    <n v="874.77185999947562"/>
  </r>
  <r>
    <x v="6"/>
    <x v="0"/>
    <x v="6"/>
    <x v="6"/>
    <x v="0"/>
    <x v="0"/>
    <x v="0"/>
    <x v="0"/>
    <x v="0"/>
    <x v="0"/>
    <x v="0"/>
    <x v="0"/>
    <x v="3"/>
    <x v="3"/>
    <x v="3"/>
    <x v="3"/>
    <x v="3"/>
    <n v="567.706453157689"/>
    <x v="0"/>
    <x v="0"/>
    <x v="1"/>
    <x v="3"/>
    <x v="3"/>
    <x v="3"/>
    <n v="618.800033941881"/>
  </r>
  <r>
    <x v="6"/>
    <x v="0"/>
    <x v="6"/>
    <x v="6"/>
    <x v="0"/>
    <x v="0"/>
    <x v="0"/>
    <x v="0"/>
    <x v="0"/>
    <x v="0"/>
    <x v="0"/>
    <x v="0"/>
    <x v="0"/>
    <x v="4"/>
    <x v="4"/>
    <x v="5"/>
    <x v="5"/>
    <n v="714.98746626310299"/>
    <x v="0"/>
    <x v="0"/>
    <x v="1"/>
    <x v="1"/>
    <x v="1"/>
    <x v="5"/>
    <n v="779.33633822678235"/>
  </r>
  <r>
    <x v="6"/>
    <x v="0"/>
    <x v="6"/>
    <x v="6"/>
    <x v="0"/>
    <x v="0"/>
    <x v="0"/>
    <x v="0"/>
    <x v="0"/>
    <x v="0"/>
    <x v="0"/>
    <x v="0"/>
    <x v="0"/>
    <x v="4"/>
    <x v="4"/>
    <x v="6"/>
    <x v="6"/>
    <n v="56.307459999999999"/>
    <x v="0"/>
    <x v="0"/>
    <x v="0"/>
    <x v="0"/>
    <x v="4"/>
    <x v="6"/>
    <n v="61.375131400000001"/>
  </r>
  <r>
    <x v="6"/>
    <x v="0"/>
    <x v="6"/>
    <x v="6"/>
    <x v="0"/>
    <x v="0"/>
    <x v="0"/>
    <x v="0"/>
    <x v="0"/>
    <x v="0"/>
    <x v="0"/>
    <x v="0"/>
    <x v="0"/>
    <x v="4"/>
    <x v="4"/>
    <x v="8"/>
    <x v="8"/>
    <n v="395.09874324577203"/>
    <x v="0"/>
    <x v="1"/>
    <x v="2"/>
    <x v="2"/>
    <x v="6"/>
    <x v="8"/>
    <n v="430.65763013789154"/>
  </r>
  <r>
    <x v="6"/>
    <x v="0"/>
    <x v="6"/>
    <x v="6"/>
    <x v="0"/>
    <x v="0"/>
    <x v="0"/>
    <x v="0"/>
    <x v="0"/>
    <x v="0"/>
    <x v="0"/>
    <x v="0"/>
    <x v="0"/>
    <x v="4"/>
    <x v="4"/>
    <x v="9"/>
    <x v="9"/>
    <n v="258.22621432188902"/>
    <x v="0"/>
    <x v="0"/>
    <x v="1"/>
    <x v="4"/>
    <x v="5"/>
    <x v="9"/>
    <n v="281.46657361085903"/>
  </r>
  <r>
    <x v="6"/>
    <x v="0"/>
    <x v="6"/>
    <x v="6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6"/>
    <x v="0"/>
    <x v="6"/>
    <x v="6"/>
    <x v="0"/>
    <x v="0"/>
    <x v="0"/>
    <x v="0"/>
    <x v="0"/>
    <x v="0"/>
    <x v="0"/>
    <x v="0"/>
    <x v="0"/>
    <x v="4"/>
    <x v="4"/>
    <x v="12"/>
    <x v="12"/>
    <n v="955.10102325218497"/>
    <x v="0"/>
    <x v="0"/>
    <x v="0"/>
    <x v="0"/>
    <x v="8"/>
    <x v="12"/>
    <n v="1041.0601153448818"/>
  </r>
  <r>
    <x v="6"/>
    <x v="0"/>
    <x v="6"/>
    <x v="6"/>
    <x v="0"/>
    <x v="0"/>
    <x v="0"/>
    <x v="0"/>
    <x v="0"/>
    <x v="0"/>
    <x v="0"/>
    <x v="0"/>
    <x v="0"/>
    <x v="4"/>
    <x v="4"/>
    <x v="32"/>
    <x v="32"/>
    <n v="43.200540188148999"/>
    <x v="0"/>
    <x v="0"/>
    <x v="1"/>
    <x v="1"/>
    <x v="1"/>
    <x v="20"/>
    <n v="47.088588805082409"/>
  </r>
  <r>
    <x v="6"/>
    <x v="0"/>
    <x v="6"/>
    <x v="6"/>
    <x v="0"/>
    <x v="0"/>
    <x v="0"/>
    <x v="0"/>
    <x v="0"/>
    <x v="0"/>
    <x v="0"/>
    <x v="0"/>
    <x v="0"/>
    <x v="4"/>
    <x v="4"/>
    <x v="14"/>
    <x v="14"/>
    <n v="139.42245"/>
    <x v="0"/>
    <x v="0"/>
    <x v="0"/>
    <x v="0"/>
    <x v="8"/>
    <x v="14"/>
    <n v="151.9704705"/>
  </r>
  <r>
    <x v="6"/>
    <x v="0"/>
    <x v="6"/>
    <x v="6"/>
    <x v="0"/>
    <x v="0"/>
    <x v="0"/>
    <x v="0"/>
    <x v="0"/>
    <x v="0"/>
    <x v="0"/>
    <x v="0"/>
    <x v="0"/>
    <x v="4"/>
    <x v="4"/>
    <x v="16"/>
    <x v="16"/>
    <n v="331.85617000000002"/>
    <x v="0"/>
    <x v="0"/>
    <x v="3"/>
    <x v="5"/>
    <x v="9"/>
    <x v="16"/>
    <n v="361.72322530000002"/>
  </r>
  <r>
    <x v="6"/>
    <x v="0"/>
    <x v="6"/>
    <x v="6"/>
    <x v="0"/>
    <x v="0"/>
    <x v="0"/>
    <x v="0"/>
    <x v="0"/>
    <x v="0"/>
    <x v="0"/>
    <x v="0"/>
    <x v="0"/>
    <x v="4"/>
    <x v="4"/>
    <x v="17"/>
    <x v="17"/>
    <n v="28.226839999999999"/>
    <x v="0"/>
    <x v="0"/>
    <x v="0"/>
    <x v="0"/>
    <x v="4"/>
    <x v="17"/>
    <n v="30.767255600000002"/>
  </r>
  <r>
    <x v="6"/>
    <x v="0"/>
    <x v="6"/>
    <x v="6"/>
    <x v="0"/>
    <x v="0"/>
    <x v="0"/>
    <x v="0"/>
    <x v="0"/>
    <x v="0"/>
    <x v="0"/>
    <x v="0"/>
    <x v="0"/>
    <x v="4"/>
    <x v="4"/>
    <x v="18"/>
    <x v="18"/>
    <n v="116.06393"/>
    <x v="0"/>
    <x v="0"/>
    <x v="0"/>
    <x v="0"/>
    <x v="4"/>
    <x v="18"/>
    <n v="126.50968370000001"/>
  </r>
  <r>
    <x v="6"/>
    <x v="0"/>
    <x v="6"/>
    <x v="6"/>
    <x v="0"/>
    <x v="0"/>
    <x v="0"/>
    <x v="0"/>
    <x v="0"/>
    <x v="0"/>
    <x v="0"/>
    <x v="0"/>
    <x v="0"/>
    <x v="4"/>
    <x v="4"/>
    <x v="2"/>
    <x v="2"/>
    <n v="677.75570642161199"/>
    <x v="0"/>
    <x v="1"/>
    <x v="2"/>
    <x v="2"/>
    <x v="13"/>
    <x v="2"/>
    <n v="738.75371999955712"/>
  </r>
  <r>
    <x v="6"/>
    <x v="0"/>
    <x v="6"/>
    <x v="6"/>
    <x v="0"/>
    <x v="0"/>
    <x v="0"/>
    <x v="0"/>
    <x v="0"/>
    <x v="0"/>
    <x v="0"/>
    <x v="0"/>
    <x v="0"/>
    <x v="0"/>
    <x v="0"/>
    <x v="5"/>
    <x v="5"/>
    <n v="26.2908282210587"/>
    <x v="0"/>
    <x v="0"/>
    <x v="1"/>
    <x v="1"/>
    <x v="1"/>
    <x v="5"/>
    <n v="28.657002760953986"/>
  </r>
  <r>
    <x v="6"/>
    <x v="0"/>
    <x v="6"/>
    <x v="6"/>
    <x v="0"/>
    <x v="0"/>
    <x v="0"/>
    <x v="0"/>
    <x v="0"/>
    <x v="0"/>
    <x v="0"/>
    <x v="0"/>
    <x v="0"/>
    <x v="0"/>
    <x v="0"/>
    <x v="6"/>
    <x v="6"/>
    <n v="69.572339999999997"/>
    <x v="0"/>
    <x v="0"/>
    <x v="0"/>
    <x v="0"/>
    <x v="4"/>
    <x v="6"/>
    <n v="75.833850600000005"/>
  </r>
  <r>
    <x v="6"/>
    <x v="0"/>
    <x v="6"/>
    <x v="6"/>
    <x v="0"/>
    <x v="0"/>
    <x v="0"/>
    <x v="0"/>
    <x v="0"/>
    <x v="0"/>
    <x v="0"/>
    <x v="0"/>
    <x v="0"/>
    <x v="0"/>
    <x v="0"/>
    <x v="7"/>
    <x v="7"/>
    <n v="10.845954128433901"/>
    <x v="0"/>
    <x v="0"/>
    <x v="1"/>
    <x v="4"/>
    <x v="5"/>
    <x v="7"/>
    <n v="11.822089999992953"/>
  </r>
  <r>
    <x v="6"/>
    <x v="0"/>
    <x v="6"/>
    <x v="6"/>
    <x v="0"/>
    <x v="0"/>
    <x v="0"/>
    <x v="0"/>
    <x v="0"/>
    <x v="0"/>
    <x v="0"/>
    <x v="0"/>
    <x v="0"/>
    <x v="0"/>
    <x v="0"/>
    <x v="8"/>
    <x v="8"/>
    <n v="2441.9426554210299"/>
    <x v="0"/>
    <x v="1"/>
    <x v="2"/>
    <x v="2"/>
    <x v="6"/>
    <x v="8"/>
    <n v="2661.7174944089229"/>
  </r>
  <r>
    <x v="6"/>
    <x v="0"/>
    <x v="6"/>
    <x v="6"/>
    <x v="0"/>
    <x v="0"/>
    <x v="0"/>
    <x v="0"/>
    <x v="0"/>
    <x v="0"/>
    <x v="0"/>
    <x v="0"/>
    <x v="0"/>
    <x v="0"/>
    <x v="0"/>
    <x v="9"/>
    <x v="9"/>
    <n v="12.493521395404001"/>
    <x v="0"/>
    <x v="0"/>
    <x v="1"/>
    <x v="4"/>
    <x v="5"/>
    <x v="9"/>
    <n v="13.617938320990362"/>
  </r>
  <r>
    <x v="6"/>
    <x v="0"/>
    <x v="6"/>
    <x v="6"/>
    <x v="0"/>
    <x v="0"/>
    <x v="0"/>
    <x v="0"/>
    <x v="0"/>
    <x v="0"/>
    <x v="0"/>
    <x v="0"/>
    <x v="0"/>
    <x v="0"/>
    <x v="0"/>
    <x v="10"/>
    <x v="10"/>
    <n v="21.681204474828199"/>
    <x v="0"/>
    <x v="0"/>
    <x v="1"/>
    <x v="4"/>
    <x v="5"/>
    <x v="10"/>
    <n v="23.632512877562739"/>
  </r>
  <r>
    <x v="6"/>
    <x v="0"/>
    <x v="6"/>
    <x v="6"/>
    <x v="0"/>
    <x v="0"/>
    <x v="0"/>
    <x v="0"/>
    <x v="0"/>
    <x v="0"/>
    <x v="0"/>
    <x v="0"/>
    <x v="0"/>
    <x v="0"/>
    <x v="0"/>
    <x v="55"/>
    <x v="55"/>
    <n v="0.28169724770624999"/>
    <x v="0"/>
    <x v="0"/>
    <x v="1"/>
    <x v="3"/>
    <x v="3"/>
    <x v="15"/>
    <n v="0.30704999999981253"/>
  </r>
  <r>
    <x v="6"/>
    <x v="0"/>
    <x v="6"/>
    <x v="6"/>
    <x v="0"/>
    <x v="0"/>
    <x v="0"/>
    <x v="0"/>
    <x v="0"/>
    <x v="0"/>
    <x v="0"/>
    <x v="0"/>
    <x v="0"/>
    <x v="0"/>
    <x v="0"/>
    <x v="11"/>
    <x v="11"/>
    <n v="10.37773"/>
    <x v="0"/>
    <x v="0"/>
    <x v="3"/>
    <x v="5"/>
    <x v="7"/>
    <x v="11"/>
    <n v="11.3117257"/>
  </r>
  <r>
    <x v="6"/>
    <x v="0"/>
    <x v="6"/>
    <x v="6"/>
    <x v="0"/>
    <x v="0"/>
    <x v="0"/>
    <x v="0"/>
    <x v="0"/>
    <x v="0"/>
    <x v="0"/>
    <x v="0"/>
    <x v="0"/>
    <x v="0"/>
    <x v="0"/>
    <x v="12"/>
    <x v="12"/>
    <n v="719.84903488098598"/>
    <x v="0"/>
    <x v="0"/>
    <x v="0"/>
    <x v="0"/>
    <x v="8"/>
    <x v="12"/>
    <n v="784.63544802027479"/>
  </r>
  <r>
    <x v="6"/>
    <x v="0"/>
    <x v="6"/>
    <x v="6"/>
    <x v="0"/>
    <x v="0"/>
    <x v="0"/>
    <x v="0"/>
    <x v="0"/>
    <x v="0"/>
    <x v="0"/>
    <x v="0"/>
    <x v="0"/>
    <x v="0"/>
    <x v="0"/>
    <x v="14"/>
    <x v="14"/>
    <n v="21.9864"/>
    <x v="0"/>
    <x v="0"/>
    <x v="0"/>
    <x v="0"/>
    <x v="8"/>
    <x v="14"/>
    <n v="23.965176000000003"/>
  </r>
  <r>
    <x v="6"/>
    <x v="0"/>
    <x v="6"/>
    <x v="6"/>
    <x v="0"/>
    <x v="0"/>
    <x v="0"/>
    <x v="0"/>
    <x v="0"/>
    <x v="0"/>
    <x v="0"/>
    <x v="0"/>
    <x v="0"/>
    <x v="0"/>
    <x v="0"/>
    <x v="22"/>
    <x v="22"/>
    <n v="2.0851814516045599"/>
    <x v="0"/>
    <x v="0"/>
    <x v="0"/>
    <x v="0"/>
    <x v="0"/>
    <x v="0"/>
    <n v="2.2728477822489705"/>
  </r>
  <r>
    <x v="6"/>
    <x v="0"/>
    <x v="6"/>
    <x v="6"/>
    <x v="0"/>
    <x v="0"/>
    <x v="0"/>
    <x v="0"/>
    <x v="0"/>
    <x v="0"/>
    <x v="0"/>
    <x v="0"/>
    <x v="0"/>
    <x v="0"/>
    <x v="0"/>
    <x v="23"/>
    <x v="23"/>
    <n v="2.2419266055032399"/>
    <x v="0"/>
    <x v="0"/>
    <x v="1"/>
    <x v="3"/>
    <x v="3"/>
    <x v="15"/>
    <n v="2.4436999999985316"/>
  </r>
  <r>
    <x v="6"/>
    <x v="0"/>
    <x v="6"/>
    <x v="6"/>
    <x v="0"/>
    <x v="0"/>
    <x v="0"/>
    <x v="0"/>
    <x v="0"/>
    <x v="0"/>
    <x v="0"/>
    <x v="0"/>
    <x v="0"/>
    <x v="0"/>
    <x v="0"/>
    <x v="24"/>
    <x v="24"/>
    <n v="1.4469633027514299"/>
    <x v="0"/>
    <x v="0"/>
    <x v="1"/>
    <x v="3"/>
    <x v="3"/>
    <x v="4"/>
    <n v="1.5771899999990588"/>
  </r>
  <r>
    <x v="6"/>
    <x v="0"/>
    <x v="6"/>
    <x v="6"/>
    <x v="0"/>
    <x v="0"/>
    <x v="0"/>
    <x v="0"/>
    <x v="0"/>
    <x v="0"/>
    <x v="0"/>
    <x v="0"/>
    <x v="0"/>
    <x v="0"/>
    <x v="0"/>
    <x v="17"/>
    <x v="17"/>
    <n v="1.1564000000000001"/>
    <x v="0"/>
    <x v="0"/>
    <x v="0"/>
    <x v="0"/>
    <x v="4"/>
    <x v="17"/>
    <n v="1.2604760000000002"/>
  </r>
  <r>
    <x v="6"/>
    <x v="0"/>
    <x v="6"/>
    <x v="6"/>
    <x v="0"/>
    <x v="0"/>
    <x v="0"/>
    <x v="0"/>
    <x v="0"/>
    <x v="0"/>
    <x v="0"/>
    <x v="0"/>
    <x v="0"/>
    <x v="0"/>
    <x v="0"/>
    <x v="21"/>
    <x v="21"/>
    <n v="5.0544495412813699"/>
    <x v="0"/>
    <x v="0"/>
    <x v="1"/>
    <x v="4"/>
    <x v="5"/>
    <x v="10"/>
    <n v="5.5093499999966937"/>
  </r>
  <r>
    <x v="6"/>
    <x v="0"/>
    <x v="6"/>
    <x v="6"/>
    <x v="0"/>
    <x v="0"/>
    <x v="0"/>
    <x v="0"/>
    <x v="0"/>
    <x v="0"/>
    <x v="0"/>
    <x v="0"/>
    <x v="0"/>
    <x v="0"/>
    <x v="0"/>
    <x v="18"/>
    <x v="18"/>
    <n v="10.1699"/>
    <x v="0"/>
    <x v="0"/>
    <x v="0"/>
    <x v="0"/>
    <x v="4"/>
    <x v="18"/>
    <n v="11.085191000000002"/>
  </r>
  <r>
    <x v="6"/>
    <x v="0"/>
    <x v="6"/>
    <x v="6"/>
    <x v="0"/>
    <x v="0"/>
    <x v="0"/>
    <x v="0"/>
    <x v="0"/>
    <x v="0"/>
    <x v="0"/>
    <x v="0"/>
    <x v="0"/>
    <x v="0"/>
    <x v="0"/>
    <x v="25"/>
    <x v="25"/>
    <n v="15.6078165137521"/>
    <x v="0"/>
    <x v="0"/>
    <x v="1"/>
    <x v="4"/>
    <x v="5"/>
    <x v="9"/>
    <n v="17.012519999989792"/>
  </r>
  <r>
    <x v="6"/>
    <x v="0"/>
    <x v="6"/>
    <x v="6"/>
    <x v="0"/>
    <x v="0"/>
    <x v="0"/>
    <x v="0"/>
    <x v="0"/>
    <x v="0"/>
    <x v="0"/>
    <x v="0"/>
    <x v="0"/>
    <x v="0"/>
    <x v="0"/>
    <x v="26"/>
    <x v="26"/>
    <n v="0.17146788990815001"/>
    <x v="0"/>
    <x v="0"/>
    <x v="1"/>
    <x v="3"/>
    <x v="3"/>
    <x v="15"/>
    <n v="0.18689999999988352"/>
  </r>
  <r>
    <x v="6"/>
    <x v="0"/>
    <x v="6"/>
    <x v="6"/>
    <x v="0"/>
    <x v="0"/>
    <x v="0"/>
    <x v="0"/>
    <x v="0"/>
    <x v="0"/>
    <x v="0"/>
    <x v="0"/>
    <x v="0"/>
    <x v="0"/>
    <x v="0"/>
    <x v="0"/>
    <x v="0"/>
    <n v="3.9730960853981299"/>
    <x v="0"/>
    <x v="0"/>
    <x v="0"/>
    <x v="0"/>
    <x v="0"/>
    <x v="0"/>
    <n v="4.3306747330839617"/>
  </r>
  <r>
    <x v="6"/>
    <x v="0"/>
    <x v="6"/>
    <x v="6"/>
    <x v="0"/>
    <x v="0"/>
    <x v="0"/>
    <x v="0"/>
    <x v="0"/>
    <x v="0"/>
    <x v="0"/>
    <x v="0"/>
    <x v="0"/>
    <x v="0"/>
    <x v="0"/>
    <x v="2"/>
    <x v="2"/>
    <n v="1593.41970642106"/>
    <x v="0"/>
    <x v="1"/>
    <x v="2"/>
    <x v="2"/>
    <x v="13"/>
    <x v="2"/>
    <n v="1736.8274799989556"/>
  </r>
  <r>
    <x v="6"/>
    <x v="0"/>
    <x v="6"/>
    <x v="6"/>
    <x v="0"/>
    <x v="0"/>
    <x v="0"/>
    <x v="0"/>
    <x v="0"/>
    <x v="0"/>
    <x v="0"/>
    <x v="0"/>
    <x v="0"/>
    <x v="0"/>
    <x v="0"/>
    <x v="3"/>
    <x v="3"/>
    <n v="0.22474137929282001"/>
    <x v="0"/>
    <x v="0"/>
    <x v="1"/>
    <x v="3"/>
    <x v="3"/>
    <x v="3"/>
    <n v="0.24496810342917383"/>
  </r>
  <r>
    <x v="6"/>
    <x v="0"/>
    <x v="6"/>
    <x v="6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6"/>
    <x v="0"/>
    <x v="6"/>
    <x v="6"/>
    <x v="0"/>
    <x v="0"/>
    <x v="0"/>
    <x v="0"/>
    <x v="0"/>
    <x v="0"/>
    <x v="0"/>
    <x v="0"/>
    <x v="1"/>
    <x v="1"/>
    <x v="1"/>
    <x v="5"/>
    <x v="5"/>
    <n v="33.947220859153703"/>
    <x v="0"/>
    <x v="0"/>
    <x v="1"/>
    <x v="1"/>
    <x v="1"/>
    <x v="5"/>
    <n v="37.002470736477541"/>
  </r>
  <r>
    <x v="6"/>
    <x v="0"/>
    <x v="6"/>
    <x v="6"/>
    <x v="0"/>
    <x v="0"/>
    <x v="0"/>
    <x v="0"/>
    <x v="0"/>
    <x v="0"/>
    <x v="0"/>
    <x v="0"/>
    <x v="1"/>
    <x v="1"/>
    <x v="1"/>
    <x v="6"/>
    <x v="6"/>
    <n v="103.27609"/>
    <x v="0"/>
    <x v="0"/>
    <x v="0"/>
    <x v="0"/>
    <x v="4"/>
    <x v="6"/>
    <n v="112.57093810000001"/>
  </r>
  <r>
    <x v="6"/>
    <x v="0"/>
    <x v="6"/>
    <x v="6"/>
    <x v="0"/>
    <x v="0"/>
    <x v="0"/>
    <x v="0"/>
    <x v="0"/>
    <x v="0"/>
    <x v="0"/>
    <x v="0"/>
    <x v="1"/>
    <x v="1"/>
    <x v="1"/>
    <x v="7"/>
    <x v="7"/>
    <n v="17.831275229347099"/>
    <x v="0"/>
    <x v="0"/>
    <x v="1"/>
    <x v="4"/>
    <x v="5"/>
    <x v="7"/>
    <n v="19.43608999998834"/>
  </r>
  <r>
    <x v="6"/>
    <x v="0"/>
    <x v="6"/>
    <x v="6"/>
    <x v="0"/>
    <x v="0"/>
    <x v="0"/>
    <x v="0"/>
    <x v="0"/>
    <x v="0"/>
    <x v="0"/>
    <x v="0"/>
    <x v="1"/>
    <x v="1"/>
    <x v="1"/>
    <x v="8"/>
    <x v="8"/>
    <n v="2817.9029256937101"/>
    <x v="0"/>
    <x v="1"/>
    <x v="2"/>
    <x v="2"/>
    <x v="6"/>
    <x v="8"/>
    <n v="3071.5141890061441"/>
  </r>
  <r>
    <x v="6"/>
    <x v="0"/>
    <x v="6"/>
    <x v="6"/>
    <x v="0"/>
    <x v="0"/>
    <x v="0"/>
    <x v="0"/>
    <x v="0"/>
    <x v="0"/>
    <x v="0"/>
    <x v="0"/>
    <x v="1"/>
    <x v="1"/>
    <x v="1"/>
    <x v="9"/>
    <x v="9"/>
    <n v="14.178975007591299"/>
    <x v="0"/>
    <x v="0"/>
    <x v="1"/>
    <x v="4"/>
    <x v="5"/>
    <x v="9"/>
    <n v="15.455082758274518"/>
  </r>
  <r>
    <x v="6"/>
    <x v="0"/>
    <x v="6"/>
    <x v="6"/>
    <x v="0"/>
    <x v="0"/>
    <x v="0"/>
    <x v="0"/>
    <x v="0"/>
    <x v="0"/>
    <x v="0"/>
    <x v="0"/>
    <x v="1"/>
    <x v="1"/>
    <x v="1"/>
    <x v="10"/>
    <x v="10"/>
    <n v="4.9892007362367998"/>
    <x v="0"/>
    <x v="0"/>
    <x v="1"/>
    <x v="4"/>
    <x v="5"/>
    <x v="10"/>
    <n v="5.438228802498112"/>
  </r>
  <r>
    <x v="6"/>
    <x v="0"/>
    <x v="6"/>
    <x v="6"/>
    <x v="0"/>
    <x v="0"/>
    <x v="0"/>
    <x v="0"/>
    <x v="0"/>
    <x v="0"/>
    <x v="0"/>
    <x v="0"/>
    <x v="1"/>
    <x v="1"/>
    <x v="1"/>
    <x v="55"/>
    <x v="55"/>
    <n v="0.55059633027489996"/>
    <x v="0"/>
    <x v="0"/>
    <x v="1"/>
    <x v="3"/>
    <x v="3"/>
    <x v="15"/>
    <n v="0.60014999999964103"/>
  </r>
  <r>
    <x v="6"/>
    <x v="0"/>
    <x v="6"/>
    <x v="6"/>
    <x v="0"/>
    <x v="0"/>
    <x v="0"/>
    <x v="0"/>
    <x v="0"/>
    <x v="0"/>
    <x v="0"/>
    <x v="0"/>
    <x v="1"/>
    <x v="1"/>
    <x v="1"/>
    <x v="11"/>
    <x v="11"/>
    <n v="24.501190000000001"/>
    <x v="0"/>
    <x v="0"/>
    <x v="3"/>
    <x v="5"/>
    <x v="7"/>
    <x v="11"/>
    <n v="26.706297100000004"/>
  </r>
  <r>
    <x v="6"/>
    <x v="0"/>
    <x v="6"/>
    <x v="6"/>
    <x v="0"/>
    <x v="0"/>
    <x v="0"/>
    <x v="0"/>
    <x v="0"/>
    <x v="0"/>
    <x v="0"/>
    <x v="0"/>
    <x v="1"/>
    <x v="1"/>
    <x v="1"/>
    <x v="12"/>
    <x v="12"/>
    <n v="341.690872091725"/>
    <x v="0"/>
    <x v="0"/>
    <x v="0"/>
    <x v="0"/>
    <x v="8"/>
    <x v="12"/>
    <n v="372.44305057998025"/>
  </r>
  <r>
    <x v="6"/>
    <x v="0"/>
    <x v="6"/>
    <x v="6"/>
    <x v="0"/>
    <x v="0"/>
    <x v="0"/>
    <x v="0"/>
    <x v="0"/>
    <x v="0"/>
    <x v="0"/>
    <x v="0"/>
    <x v="1"/>
    <x v="1"/>
    <x v="1"/>
    <x v="32"/>
    <x v="32"/>
    <n v="8.7962836877444701"/>
    <x v="0"/>
    <x v="0"/>
    <x v="1"/>
    <x v="1"/>
    <x v="1"/>
    <x v="20"/>
    <n v="9.5879492196414731"/>
  </r>
  <r>
    <x v="6"/>
    <x v="0"/>
    <x v="6"/>
    <x v="6"/>
    <x v="0"/>
    <x v="0"/>
    <x v="0"/>
    <x v="0"/>
    <x v="0"/>
    <x v="0"/>
    <x v="0"/>
    <x v="0"/>
    <x v="1"/>
    <x v="1"/>
    <x v="1"/>
    <x v="14"/>
    <x v="14"/>
    <n v="180.42375999999999"/>
    <x v="0"/>
    <x v="0"/>
    <x v="0"/>
    <x v="0"/>
    <x v="8"/>
    <x v="14"/>
    <n v="196.66189840000001"/>
  </r>
  <r>
    <x v="6"/>
    <x v="0"/>
    <x v="6"/>
    <x v="6"/>
    <x v="0"/>
    <x v="0"/>
    <x v="0"/>
    <x v="0"/>
    <x v="0"/>
    <x v="0"/>
    <x v="0"/>
    <x v="0"/>
    <x v="1"/>
    <x v="1"/>
    <x v="1"/>
    <x v="15"/>
    <x v="15"/>
    <n v="9.5045871559579997E-2"/>
    <x v="0"/>
    <x v="0"/>
    <x v="1"/>
    <x v="3"/>
    <x v="3"/>
    <x v="15"/>
    <n v="0.10359999999994221"/>
  </r>
  <r>
    <x v="6"/>
    <x v="0"/>
    <x v="6"/>
    <x v="6"/>
    <x v="0"/>
    <x v="0"/>
    <x v="0"/>
    <x v="0"/>
    <x v="0"/>
    <x v="0"/>
    <x v="0"/>
    <x v="0"/>
    <x v="1"/>
    <x v="1"/>
    <x v="1"/>
    <x v="22"/>
    <x v="22"/>
    <n v="0.69506048386818997"/>
    <x v="0"/>
    <x v="0"/>
    <x v="0"/>
    <x v="0"/>
    <x v="0"/>
    <x v="0"/>
    <n v="0.75761592741632711"/>
  </r>
  <r>
    <x v="6"/>
    <x v="0"/>
    <x v="6"/>
    <x v="6"/>
    <x v="0"/>
    <x v="0"/>
    <x v="0"/>
    <x v="0"/>
    <x v="0"/>
    <x v="0"/>
    <x v="0"/>
    <x v="0"/>
    <x v="1"/>
    <x v="1"/>
    <x v="1"/>
    <x v="23"/>
    <x v="23"/>
    <n v="24.322633027508299"/>
    <x v="0"/>
    <x v="0"/>
    <x v="1"/>
    <x v="3"/>
    <x v="3"/>
    <x v="15"/>
    <n v="26.511669999984047"/>
  </r>
  <r>
    <x v="6"/>
    <x v="0"/>
    <x v="6"/>
    <x v="6"/>
    <x v="0"/>
    <x v="0"/>
    <x v="0"/>
    <x v="0"/>
    <x v="0"/>
    <x v="0"/>
    <x v="0"/>
    <x v="0"/>
    <x v="1"/>
    <x v="1"/>
    <x v="1"/>
    <x v="24"/>
    <x v="24"/>
    <n v="4.4799357798138297"/>
    <x v="0"/>
    <x v="0"/>
    <x v="1"/>
    <x v="3"/>
    <x v="3"/>
    <x v="4"/>
    <n v="4.8831299999970748"/>
  </r>
  <r>
    <x v="6"/>
    <x v="0"/>
    <x v="6"/>
    <x v="6"/>
    <x v="0"/>
    <x v="0"/>
    <x v="0"/>
    <x v="0"/>
    <x v="0"/>
    <x v="0"/>
    <x v="0"/>
    <x v="0"/>
    <x v="1"/>
    <x v="1"/>
    <x v="1"/>
    <x v="17"/>
    <x v="17"/>
    <n v="1.3994"/>
    <x v="0"/>
    <x v="0"/>
    <x v="0"/>
    <x v="0"/>
    <x v="4"/>
    <x v="17"/>
    <n v="1.5253460000000001"/>
  </r>
  <r>
    <x v="6"/>
    <x v="0"/>
    <x v="6"/>
    <x v="6"/>
    <x v="0"/>
    <x v="0"/>
    <x v="0"/>
    <x v="0"/>
    <x v="0"/>
    <x v="0"/>
    <x v="0"/>
    <x v="0"/>
    <x v="1"/>
    <x v="1"/>
    <x v="1"/>
    <x v="18"/>
    <x v="18"/>
    <n v="12.6844"/>
    <x v="0"/>
    <x v="0"/>
    <x v="0"/>
    <x v="0"/>
    <x v="4"/>
    <x v="18"/>
    <n v="13.825996000000002"/>
  </r>
  <r>
    <x v="6"/>
    <x v="0"/>
    <x v="6"/>
    <x v="6"/>
    <x v="0"/>
    <x v="0"/>
    <x v="0"/>
    <x v="0"/>
    <x v="0"/>
    <x v="0"/>
    <x v="0"/>
    <x v="0"/>
    <x v="1"/>
    <x v="1"/>
    <x v="1"/>
    <x v="27"/>
    <x v="27"/>
    <n v="43.980481982914398"/>
    <x v="0"/>
    <x v="0"/>
    <x v="1"/>
    <x v="3"/>
    <x v="3"/>
    <x v="19"/>
    <n v="47.938725361376697"/>
  </r>
  <r>
    <x v="6"/>
    <x v="0"/>
    <x v="6"/>
    <x v="6"/>
    <x v="0"/>
    <x v="0"/>
    <x v="0"/>
    <x v="0"/>
    <x v="0"/>
    <x v="0"/>
    <x v="0"/>
    <x v="0"/>
    <x v="1"/>
    <x v="1"/>
    <x v="1"/>
    <x v="26"/>
    <x v="26"/>
    <n v="0.75216513761422998"/>
    <x v="0"/>
    <x v="0"/>
    <x v="1"/>
    <x v="3"/>
    <x v="3"/>
    <x v="15"/>
    <n v="0.81985999999951076"/>
  </r>
  <r>
    <x v="6"/>
    <x v="0"/>
    <x v="6"/>
    <x v="6"/>
    <x v="0"/>
    <x v="0"/>
    <x v="0"/>
    <x v="0"/>
    <x v="0"/>
    <x v="0"/>
    <x v="0"/>
    <x v="0"/>
    <x v="1"/>
    <x v="1"/>
    <x v="1"/>
    <x v="0"/>
    <x v="0"/>
    <n v="4.1116992882447203"/>
    <x v="0"/>
    <x v="0"/>
    <x v="0"/>
    <x v="0"/>
    <x v="0"/>
    <x v="0"/>
    <n v="4.4817522241867458"/>
  </r>
  <r>
    <x v="6"/>
    <x v="0"/>
    <x v="6"/>
    <x v="6"/>
    <x v="0"/>
    <x v="0"/>
    <x v="0"/>
    <x v="0"/>
    <x v="0"/>
    <x v="0"/>
    <x v="0"/>
    <x v="0"/>
    <x v="1"/>
    <x v="1"/>
    <x v="1"/>
    <x v="2"/>
    <x v="2"/>
    <n v="1530.5310550449501"/>
    <x v="0"/>
    <x v="1"/>
    <x v="2"/>
    <x v="2"/>
    <x v="13"/>
    <x v="2"/>
    <n v="1668.2788499989958"/>
  </r>
  <r>
    <x v="6"/>
    <x v="0"/>
    <x v="6"/>
    <x v="6"/>
    <x v="0"/>
    <x v="0"/>
    <x v="0"/>
    <x v="0"/>
    <x v="0"/>
    <x v="0"/>
    <x v="0"/>
    <x v="0"/>
    <x v="1"/>
    <x v="1"/>
    <x v="1"/>
    <x v="3"/>
    <x v="3"/>
    <n v="16.073258619435901"/>
    <x v="0"/>
    <x v="0"/>
    <x v="1"/>
    <x v="3"/>
    <x v="3"/>
    <x v="3"/>
    <n v="17.519851895185134"/>
  </r>
  <r>
    <x v="6"/>
    <x v="0"/>
    <x v="6"/>
    <x v="6"/>
    <x v="0"/>
    <x v="0"/>
    <x v="0"/>
    <x v="0"/>
    <x v="0"/>
    <x v="0"/>
    <x v="0"/>
    <x v="0"/>
    <x v="2"/>
    <x v="2"/>
    <x v="2"/>
    <x v="4"/>
    <x v="4"/>
    <n v="87.543504587103399"/>
    <x v="0"/>
    <x v="0"/>
    <x v="1"/>
    <x v="3"/>
    <x v="3"/>
    <x v="4"/>
    <n v="95.422419999942719"/>
  </r>
  <r>
    <x v="6"/>
    <x v="0"/>
    <x v="6"/>
    <x v="6"/>
    <x v="0"/>
    <x v="0"/>
    <x v="0"/>
    <x v="0"/>
    <x v="0"/>
    <x v="0"/>
    <x v="0"/>
    <x v="0"/>
    <x v="2"/>
    <x v="2"/>
    <x v="2"/>
    <x v="5"/>
    <x v="5"/>
    <n v="526.12748466657501"/>
    <x v="0"/>
    <x v="0"/>
    <x v="1"/>
    <x v="1"/>
    <x v="1"/>
    <x v="5"/>
    <n v="573.47895828656681"/>
  </r>
  <r>
    <x v="6"/>
    <x v="0"/>
    <x v="6"/>
    <x v="6"/>
    <x v="0"/>
    <x v="0"/>
    <x v="0"/>
    <x v="0"/>
    <x v="0"/>
    <x v="0"/>
    <x v="0"/>
    <x v="0"/>
    <x v="2"/>
    <x v="2"/>
    <x v="2"/>
    <x v="6"/>
    <x v="6"/>
    <n v="407.72631999999999"/>
    <x v="0"/>
    <x v="0"/>
    <x v="0"/>
    <x v="0"/>
    <x v="4"/>
    <x v="6"/>
    <n v="444.42168880000003"/>
  </r>
  <r>
    <x v="6"/>
    <x v="0"/>
    <x v="6"/>
    <x v="6"/>
    <x v="0"/>
    <x v="0"/>
    <x v="0"/>
    <x v="0"/>
    <x v="0"/>
    <x v="0"/>
    <x v="0"/>
    <x v="0"/>
    <x v="2"/>
    <x v="2"/>
    <x v="2"/>
    <x v="7"/>
    <x v="7"/>
    <n v="4.44670642201568"/>
    <x v="0"/>
    <x v="0"/>
    <x v="1"/>
    <x v="4"/>
    <x v="5"/>
    <x v="7"/>
    <n v="4.8469099999970915"/>
  </r>
  <r>
    <x v="6"/>
    <x v="0"/>
    <x v="6"/>
    <x v="6"/>
    <x v="0"/>
    <x v="0"/>
    <x v="0"/>
    <x v="0"/>
    <x v="0"/>
    <x v="0"/>
    <x v="0"/>
    <x v="0"/>
    <x v="2"/>
    <x v="2"/>
    <x v="2"/>
    <x v="8"/>
    <x v="8"/>
    <n v="481.36567567875602"/>
    <x v="0"/>
    <x v="1"/>
    <x v="2"/>
    <x v="2"/>
    <x v="6"/>
    <x v="8"/>
    <n v="524.68858648984406"/>
  </r>
  <r>
    <x v="6"/>
    <x v="0"/>
    <x v="6"/>
    <x v="6"/>
    <x v="0"/>
    <x v="0"/>
    <x v="0"/>
    <x v="0"/>
    <x v="0"/>
    <x v="0"/>
    <x v="0"/>
    <x v="0"/>
    <x v="2"/>
    <x v="2"/>
    <x v="2"/>
    <x v="9"/>
    <x v="9"/>
    <n v="186.15434406957399"/>
    <x v="0"/>
    <x v="0"/>
    <x v="1"/>
    <x v="4"/>
    <x v="5"/>
    <x v="9"/>
    <n v="202.90823503583567"/>
  </r>
  <r>
    <x v="6"/>
    <x v="0"/>
    <x v="6"/>
    <x v="6"/>
    <x v="0"/>
    <x v="0"/>
    <x v="0"/>
    <x v="0"/>
    <x v="0"/>
    <x v="0"/>
    <x v="0"/>
    <x v="0"/>
    <x v="2"/>
    <x v="2"/>
    <x v="2"/>
    <x v="10"/>
    <x v="10"/>
    <n v="4.4945791516162998"/>
    <x v="0"/>
    <x v="0"/>
    <x v="1"/>
    <x v="4"/>
    <x v="5"/>
    <x v="10"/>
    <n v="4.8990912752617675"/>
  </r>
  <r>
    <x v="6"/>
    <x v="0"/>
    <x v="6"/>
    <x v="6"/>
    <x v="0"/>
    <x v="0"/>
    <x v="0"/>
    <x v="0"/>
    <x v="0"/>
    <x v="0"/>
    <x v="0"/>
    <x v="0"/>
    <x v="2"/>
    <x v="2"/>
    <x v="2"/>
    <x v="28"/>
    <x v="28"/>
    <n v="9.5607199999999999"/>
    <x v="0"/>
    <x v="0"/>
    <x v="1"/>
    <x v="3"/>
    <x v="3"/>
    <x v="13"/>
    <n v="10.421184800000001"/>
  </r>
  <r>
    <x v="6"/>
    <x v="0"/>
    <x v="6"/>
    <x v="6"/>
    <x v="0"/>
    <x v="0"/>
    <x v="0"/>
    <x v="0"/>
    <x v="0"/>
    <x v="0"/>
    <x v="0"/>
    <x v="0"/>
    <x v="2"/>
    <x v="2"/>
    <x v="2"/>
    <x v="30"/>
    <x v="30"/>
    <n v="106.87199059097"/>
    <x v="0"/>
    <x v="0"/>
    <x v="0"/>
    <x v="0"/>
    <x v="0"/>
    <x v="0"/>
    <n v="116.49046974415731"/>
  </r>
  <r>
    <x v="6"/>
    <x v="0"/>
    <x v="6"/>
    <x v="6"/>
    <x v="0"/>
    <x v="0"/>
    <x v="0"/>
    <x v="0"/>
    <x v="0"/>
    <x v="0"/>
    <x v="0"/>
    <x v="0"/>
    <x v="2"/>
    <x v="2"/>
    <x v="2"/>
    <x v="31"/>
    <x v="31"/>
    <n v="3.8739633027499698"/>
    <x v="0"/>
    <x v="0"/>
    <x v="1"/>
    <x v="4"/>
    <x v="5"/>
    <x v="10"/>
    <n v="4.222619999997467"/>
  </r>
  <r>
    <x v="6"/>
    <x v="0"/>
    <x v="6"/>
    <x v="6"/>
    <x v="0"/>
    <x v="0"/>
    <x v="0"/>
    <x v="0"/>
    <x v="0"/>
    <x v="0"/>
    <x v="0"/>
    <x v="0"/>
    <x v="2"/>
    <x v="2"/>
    <x v="2"/>
    <x v="11"/>
    <x v="11"/>
    <n v="186.26563999999999"/>
    <x v="0"/>
    <x v="0"/>
    <x v="3"/>
    <x v="5"/>
    <x v="7"/>
    <x v="11"/>
    <n v="203.0295476"/>
  </r>
  <r>
    <x v="6"/>
    <x v="0"/>
    <x v="6"/>
    <x v="6"/>
    <x v="0"/>
    <x v="0"/>
    <x v="0"/>
    <x v="0"/>
    <x v="0"/>
    <x v="0"/>
    <x v="0"/>
    <x v="0"/>
    <x v="2"/>
    <x v="2"/>
    <x v="2"/>
    <x v="12"/>
    <x v="12"/>
    <n v="1490.35879069201"/>
    <x v="0"/>
    <x v="0"/>
    <x v="0"/>
    <x v="0"/>
    <x v="8"/>
    <x v="12"/>
    <n v="1624.491081854291"/>
  </r>
  <r>
    <x v="6"/>
    <x v="0"/>
    <x v="6"/>
    <x v="6"/>
    <x v="0"/>
    <x v="0"/>
    <x v="0"/>
    <x v="0"/>
    <x v="0"/>
    <x v="0"/>
    <x v="0"/>
    <x v="0"/>
    <x v="2"/>
    <x v="2"/>
    <x v="2"/>
    <x v="32"/>
    <x v="32"/>
    <n v="27.5871205667524"/>
    <x v="0"/>
    <x v="0"/>
    <x v="1"/>
    <x v="1"/>
    <x v="1"/>
    <x v="20"/>
    <n v="30.069961417760119"/>
  </r>
  <r>
    <x v="6"/>
    <x v="0"/>
    <x v="6"/>
    <x v="6"/>
    <x v="0"/>
    <x v="0"/>
    <x v="0"/>
    <x v="0"/>
    <x v="0"/>
    <x v="0"/>
    <x v="0"/>
    <x v="0"/>
    <x v="2"/>
    <x v="2"/>
    <x v="2"/>
    <x v="14"/>
    <x v="14"/>
    <n v="451.70825000000002"/>
    <x v="0"/>
    <x v="0"/>
    <x v="0"/>
    <x v="0"/>
    <x v="8"/>
    <x v="14"/>
    <n v="492.36199250000004"/>
  </r>
  <r>
    <x v="6"/>
    <x v="0"/>
    <x v="6"/>
    <x v="6"/>
    <x v="0"/>
    <x v="0"/>
    <x v="0"/>
    <x v="0"/>
    <x v="0"/>
    <x v="0"/>
    <x v="0"/>
    <x v="0"/>
    <x v="2"/>
    <x v="2"/>
    <x v="2"/>
    <x v="22"/>
    <x v="22"/>
    <n v="20.581075268734899"/>
    <x v="0"/>
    <x v="0"/>
    <x v="0"/>
    <x v="0"/>
    <x v="0"/>
    <x v="0"/>
    <n v="22.433372042921043"/>
  </r>
  <r>
    <x v="6"/>
    <x v="0"/>
    <x v="6"/>
    <x v="6"/>
    <x v="0"/>
    <x v="0"/>
    <x v="0"/>
    <x v="0"/>
    <x v="0"/>
    <x v="0"/>
    <x v="0"/>
    <x v="0"/>
    <x v="2"/>
    <x v="2"/>
    <x v="2"/>
    <x v="16"/>
    <x v="16"/>
    <n v="703.00085000000001"/>
    <x v="0"/>
    <x v="0"/>
    <x v="3"/>
    <x v="5"/>
    <x v="9"/>
    <x v="16"/>
    <n v="766.27092650000009"/>
  </r>
  <r>
    <x v="6"/>
    <x v="0"/>
    <x v="6"/>
    <x v="6"/>
    <x v="0"/>
    <x v="0"/>
    <x v="0"/>
    <x v="0"/>
    <x v="0"/>
    <x v="0"/>
    <x v="0"/>
    <x v="0"/>
    <x v="2"/>
    <x v="2"/>
    <x v="2"/>
    <x v="17"/>
    <x v="17"/>
    <n v="190.84016"/>
    <x v="0"/>
    <x v="0"/>
    <x v="0"/>
    <x v="0"/>
    <x v="4"/>
    <x v="17"/>
    <n v="208.01577440000003"/>
  </r>
  <r>
    <x v="6"/>
    <x v="0"/>
    <x v="6"/>
    <x v="6"/>
    <x v="0"/>
    <x v="0"/>
    <x v="0"/>
    <x v="0"/>
    <x v="0"/>
    <x v="0"/>
    <x v="0"/>
    <x v="0"/>
    <x v="2"/>
    <x v="2"/>
    <x v="2"/>
    <x v="21"/>
    <x v="21"/>
    <n v="57.121522935745503"/>
    <x v="0"/>
    <x v="0"/>
    <x v="1"/>
    <x v="4"/>
    <x v="5"/>
    <x v="10"/>
    <n v="62.262459999962601"/>
  </r>
  <r>
    <x v="6"/>
    <x v="0"/>
    <x v="6"/>
    <x v="6"/>
    <x v="0"/>
    <x v="0"/>
    <x v="0"/>
    <x v="0"/>
    <x v="0"/>
    <x v="0"/>
    <x v="0"/>
    <x v="0"/>
    <x v="2"/>
    <x v="2"/>
    <x v="2"/>
    <x v="18"/>
    <x v="18"/>
    <n v="384.60624000000001"/>
    <x v="0"/>
    <x v="0"/>
    <x v="0"/>
    <x v="0"/>
    <x v="4"/>
    <x v="18"/>
    <n v="419.22080160000007"/>
  </r>
  <r>
    <x v="6"/>
    <x v="0"/>
    <x v="6"/>
    <x v="6"/>
    <x v="0"/>
    <x v="0"/>
    <x v="0"/>
    <x v="0"/>
    <x v="0"/>
    <x v="0"/>
    <x v="0"/>
    <x v="0"/>
    <x v="2"/>
    <x v="2"/>
    <x v="2"/>
    <x v="34"/>
    <x v="34"/>
    <n v="87.879096068375006"/>
    <x v="0"/>
    <x v="0"/>
    <x v="0"/>
    <x v="0"/>
    <x v="0"/>
    <x v="0"/>
    <n v="95.788214714528763"/>
  </r>
  <r>
    <x v="6"/>
    <x v="0"/>
    <x v="6"/>
    <x v="6"/>
    <x v="0"/>
    <x v="0"/>
    <x v="0"/>
    <x v="0"/>
    <x v="0"/>
    <x v="0"/>
    <x v="0"/>
    <x v="0"/>
    <x v="2"/>
    <x v="2"/>
    <x v="2"/>
    <x v="25"/>
    <x v="25"/>
    <n v="70.476577981609097"/>
    <x v="0"/>
    <x v="0"/>
    <x v="1"/>
    <x v="4"/>
    <x v="5"/>
    <x v="9"/>
    <n v="76.819469999953924"/>
  </r>
  <r>
    <x v="6"/>
    <x v="0"/>
    <x v="6"/>
    <x v="6"/>
    <x v="0"/>
    <x v="0"/>
    <x v="0"/>
    <x v="0"/>
    <x v="0"/>
    <x v="0"/>
    <x v="0"/>
    <x v="0"/>
    <x v="2"/>
    <x v="2"/>
    <x v="2"/>
    <x v="27"/>
    <x v="27"/>
    <n v="109.774754506832"/>
    <x v="0"/>
    <x v="0"/>
    <x v="1"/>
    <x v="3"/>
    <x v="3"/>
    <x v="19"/>
    <n v="119.65448241244688"/>
  </r>
  <r>
    <x v="6"/>
    <x v="0"/>
    <x v="6"/>
    <x v="6"/>
    <x v="0"/>
    <x v="0"/>
    <x v="0"/>
    <x v="0"/>
    <x v="0"/>
    <x v="0"/>
    <x v="0"/>
    <x v="0"/>
    <x v="2"/>
    <x v="2"/>
    <x v="2"/>
    <x v="86"/>
    <x v="86"/>
    <n v="4.5"/>
    <x v="0"/>
    <x v="0"/>
    <x v="1"/>
    <x v="3"/>
    <x v="3"/>
    <x v="13"/>
    <n v="4.9050000000000002"/>
  </r>
  <r>
    <x v="6"/>
    <x v="0"/>
    <x v="6"/>
    <x v="6"/>
    <x v="0"/>
    <x v="0"/>
    <x v="0"/>
    <x v="0"/>
    <x v="0"/>
    <x v="0"/>
    <x v="0"/>
    <x v="0"/>
    <x v="2"/>
    <x v="2"/>
    <x v="2"/>
    <x v="26"/>
    <x v="26"/>
    <n v="106.040110091679"/>
    <x v="0"/>
    <x v="0"/>
    <x v="1"/>
    <x v="3"/>
    <x v="3"/>
    <x v="15"/>
    <n v="115.58371999993011"/>
  </r>
  <r>
    <x v="6"/>
    <x v="0"/>
    <x v="6"/>
    <x v="6"/>
    <x v="0"/>
    <x v="0"/>
    <x v="0"/>
    <x v="0"/>
    <x v="0"/>
    <x v="0"/>
    <x v="0"/>
    <x v="0"/>
    <x v="2"/>
    <x v="2"/>
    <x v="2"/>
    <x v="0"/>
    <x v="0"/>
    <n v="43.281411921587001"/>
    <x v="0"/>
    <x v="0"/>
    <x v="0"/>
    <x v="0"/>
    <x v="0"/>
    <x v="0"/>
    <n v="47.176738994529835"/>
  </r>
  <r>
    <x v="6"/>
    <x v="0"/>
    <x v="6"/>
    <x v="6"/>
    <x v="0"/>
    <x v="0"/>
    <x v="0"/>
    <x v="0"/>
    <x v="0"/>
    <x v="0"/>
    <x v="0"/>
    <x v="0"/>
    <x v="2"/>
    <x v="2"/>
    <x v="2"/>
    <x v="1"/>
    <x v="1"/>
    <n v="5.8621034482436203"/>
    <x v="0"/>
    <x v="0"/>
    <x v="1"/>
    <x v="1"/>
    <x v="1"/>
    <x v="1"/>
    <n v="6.3896927585855465"/>
  </r>
  <r>
    <x v="6"/>
    <x v="0"/>
    <x v="6"/>
    <x v="6"/>
    <x v="0"/>
    <x v="0"/>
    <x v="0"/>
    <x v="0"/>
    <x v="0"/>
    <x v="0"/>
    <x v="0"/>
    <x v="0"/>
    <x v="2"/>
    <x v="2"/>
    <x v="2"/>
    <x v="20"/>
    <x v="20"/>
    <n v="235.99267"/>
    <x v="0"/>
    <x v="0"/>
    <x v="1"/>
    <x v="3"/>
    <x v="3"/>
    <x v="13"/>
    <n v="257.23201030000001"/>
  </r>
  <r>
    <x v="6"/>
    <x v="0"/>
    <x v="6"/>
    <x v="6"/>
    <x v="0"/>
    <x v="0"/>
    <x v="0"/>
    <x v="0"/>
    <x v="0"/>
    <x v="0"/>
    <x v="0"/>
    <x v="0"/>
    <x v="2"/>
    <x v="2"/>
    <x v="2"/>
    <x v="2"/>
    <x v="2"/>
    <n v="1717.4916880723599"/>
    <x v="0"/>
    <x v="1"/>
    <x v="2"/>
    <x v="2"/>
    <x v="13"/>
    <x v="2"/>
    <n v="1872.0659399988724"/>
  </r>
  <r>
    <x v="6"/>
    <x v="0"/>
    <x v="6"/>
    <x v="6"/>
    <x v="0"/>
    <x v="0"/>
    <x v="0"/>
    <x v="0"/>
    <x v="0"/>
    <x v="0"/>
    <x v="0"/>
    <x v="0"/>
    <x v="2"/>
    <x v="2"/>
    <x v="2"/>
    <x v="3"/>
    <x v="3"/>
    <n v="98.824255644215697"/>
    <x v="0"/>
    <x v="0"/>
    <x v="1"/>
    <x v="3"/>
    <x v="3"/>
    <x v="3"/>
    <n v="107.71843865219512"/>
  </r>
  <r>
    <x v="6"/>
    <x v="0"/>
    <x v="6"/>
    <x v="6"/>
    <x v="0"/>
    <x v="0"/>
    <x v="0"/>
    <x v="0"/>
    <x v="0"/>
    <x v="0"/>
    <x v="0"/>
    <x v="0"/>
    <x v="1"/>
    <x v="6"/>
    <x v="6"/>
    <x v="5"/>
    <x v="5"/>
    <n v="73.447993865588899"/>
    <x v="0"/>
    <x v="0"/>
    <x v="1"/>
    <x v="1"/>
    <x v="1"/>
    <x v="5"/>
    <n v="80.058313313491908"/>
  </r>
  <r>
    <x v="6"/>
    <x v="0"/>
    <x v="6"/>
    <x v="6"/>
    <x v="0"/>
    <x v="0"/>
    <x v="0"/>
    <x v="0"/>
    <x v="0"/>
    <x v="0"/>
    <x v="0"/>
    <x v="0"/>
    <x v="1"/>
    <x v="6"/>
    <x v="6"/>
    <x v="8"/>
    <x v="8"/>
    <n v="244.80079054210699"/>
    <x v="0"/>
    <x v="1"/>
    <x v="2"/>
    <x v="2"/>
    <x v="6"/>
    <x v="8"/>
    <n v="266.83286169089666"/>
  </r>
  <r>
    <x v="6"/>
    <x v="0"/>
    <x v="6"/>
    <x v="6"/>
    <x v="0"/>
    <x v="0"/>
    <x v="0"/>
    <x v="0"/>
    <x v="0"/>
    <x v="0"/>
    <x v="0"/>
    <x v="0"/>
    <x v="1"/>
    <x v="6"/>
    <x v="6"/>
    <x v="9"/>
    <x v="9"/>
    <n v="140.576720506275"/>
    <x v="0"/>
    <x v="0"/>
    <x v="1"/>
    <x v="4"/>
    <x v="5"/>
    <x v="9"/>
    <n v="153.22862535183975"/>
  </r>
  <r>
    <x v="6"/>
    <x v="0"/>
    <x v="6"/>
    <x v="6"/>
    <x v="0"/>
    <x v="0"/>
    <x v="0"/>
    <x v="0"/>
    <x v="0"/>
    <x v="0"/>
    <x v="0"/>
    <x v="0"/>
    <x v="1"/>
    <x v="6"/>
    <x v="6"/>
    <x v="10"/>
    <x v="10"/>
    <n v="22.9671417747149"/>
    <x v="0"/>
    <x v="0"/>
    <x v="1"/>
    <x v="4"/>
    <x v="5"/>
    <x v="10"/>
    <n v="25.034184534439245"/>
  </r>
  <r>
    <x v="6"/>
    <x v="0"/>
    <x v="6"/>
    <x v="6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6"/>
    <x v="0"/>
    <x v="6"/>
    <x v="6"/>
    <x v="0"/>
    <x v="0"/>
    <x v="0"/>
    <x v="0"/>
    <x v="0"/>
    <x v="0"/>
    <x v="0"/>
    <x v="0"/>
    <x v="1"/>
    <x v="6"/>
    <x v="6"/>
    <x v="12"/>
    <x v="12"/>
    <n v="595.31580232331896"/>
    <x v="0"/>
    <x v="0"/>
    <x v="0"/>
    <x v="0"/>
    <x v="8"/>
    <x v="12"/>
    <n v="648.89422453241775"/>
  </r>
  <r>
    <x v="6"/>
    <x v="0"/>
    <x v="6"/>
    <x v="6"/>
    <x v="0"/>
    <x v="0"/>
    <x v="0"/>
    <x v="0"/>
    <x v="0"/>
    <x v="0"/>
    <x v="0"/>
    <x v="0"/>
    <x v="1"/>
    <x v="6"/>
    <x v="6"/>
    <x v="32"/>
    <x v="32"/>
    <n v="13.7888593377498"/>
    <x v="0"/>
    <x v="0"/>
    <x v="1"/>
    <x v="1"/>
    <x v="1"/>
    <x v="20"/>
    <n v="15.029856678147283"/>
  </r>
  <r>
    <x v="6"/>
    <x v="0"/>
    <x v="6"/>
    <x v="6"/>
    <x v="0"/>
    <x v="0"/>
    <x v="0"/>
    <x v="0"/>
    <x v="0"/>
    <x v="0"/>
    <x v="0"/>
    <x v="0"/>
    <x v="1"/>
    <x v="6"/>
    <x v="6"/>
    <x v="14"/>
    <x v="14"/>
    <n v="166.42787000000001"/>
    <x v="0"/>
    <x v="0"/>
    <x v="0"/>
    <x v="0"/>
    <x v="8"/>
    <x v="14"/>
    <n v="181.40637830000003"/>
  </r>
  <r>
    <x v="6"/>
    <x v="0"/>
    <x v="6"/>
    <x v="6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6"/>
    <x v="0"/>
    <x v="6"/>
    <x v="6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6"/>
    <x v="0"/>
    <x v="6"/>
    <x v="6"/>
    <x v="0"/>
    <x v="0"/>
    <x v="0"/>
    <x v="0"/>
    <x v="0"/>
    <x v="0"/>
    <x v="0"/>
    <x v="0"/>
    <x v="1"/>
    <x v="6"/>
    <x v="6"/>
    <x v="18"/>
    <x v="18"/>
    <n v="29.5913"/>
    <x v="0"/>
    <x v="0"/>
    <x v="0"/>
    <x v="0"/>
    <x v="4"/>
    <x v="18"/>
    <n v="32.254517"/>
  </r>
  <r>
    <x v="6"/>
    <x v="0"/>
    <x v="6"/>
    <x v="6"/>
    <x v="0"/>
    <x v="0"/>
    <x v="0"/>
    <x v="0"/>
    <x v="0"/>
    <x v="0"/>
    <x v="0"/>
    <x v="0"/>
    <x v="1"/>
    <x v="6"/>
    <x v="6"/>
    <x v="0"/>
    <x v="0"/>
    <n v="1.4886120996399601"/>
    <x v="0"/>
    <x v="0"/>
    <x v="0"/>
    <x v="0"/>
    <x v="0"/>
    <x v="0"/>
    <n v="1.6225871886075567"/>
  </r>
  <r>
    <x v="6"/>
    <x v="0"/>
    <x v="6"/>
    <x v="6"/>
    <x v="0"/>
    <x v="0"/>
    <x v="0"/>
    <x v="0"/>
    <x v="0"/>
    <x v="0"/>
    <x v="0"/>
    <x v="0"/>
    <x v="1"/>
    <x v="6"/>
    <x v="6"/>
    <x v="2"/>
    <x v="2"/>
    <n v="511.27388073363801"/>
    <x v="0"/>
    <x v="1"/>
    <x v="2"/>
    <x v="2"/>
    <x v="13"/>
    <x v="2"/>
    <n v="557.28852999966546"/>
  </r>
  <r>
    <x v="6"/>
    <x v="0"/>
    <x v="6"/>
    <x v="6"/>
    <x v="0"/>
    <x v="0"/>
    <x v="0"/>
    <x v="0"/>
    <x v="0"/>
    <x v="0"/>
    <x v="0"/>
    <x v="0"/>
    <x v="3"/>
    <x v="7"/>
    <x v="7"/>
    <x v="6"/>
    <x v="6"/>
    <n v="30.201799999999999"/>
    <x v="0"/>
    <x v="0"/>
    <x v="0"/>
    <x v="0"/>
    <x v="4"/>
    <x v="6"/>
    <n v="32.919961999999998"/>
  </r>
  <r>
    <x v="6"/>
    <x v="0"/>
    <x v="6"/>
    <x v="6"/>
    <x v="0"/>
    <x v="0"/>
    <x v="0"/>
    <x v="0"/>
    <x v="0"/>
    <x v="0"/>
    <x v="0"/>
    <x v="0"/>
    <x v="3"/>
    <x v="7"/>
    <x v="7"/>
    <x v="9"/>
    <x v="9"/>
    <n v="83.808303024724196"/>
    <x v="0"/>
    <x v="0"/>
    <x v="1"/>
    <x v="4"/>
    <x v="5"/>
    <x v="9"/>
    <n v="91.351050296949381"/>
  </r>
  <r>
    <x v="6"/>
    <x v="0"/>
    <x v="6"/>
    <x v="6"/>
    <x v="0"/>
    <x v="0"/>
    <x v="0"/>
    <x v="0"/>
    <x v="0"/>
    <x v="0"/>
    <x v="0"/>
    <x v="0"/>
    <x v="3"/>
    <x v="7"/>
    <x v="7"/>
    <x v="10"/>
    <x v="10"/>
    <n v="21.880597368404501"/>
    <x v="0"/>
    <x v="0"/>
    <x v="1"/>
    <x v="4"/>
    <x v="5"/>
    <x v="10"/>
    <n v="23.849851131560907"/>
  </r>
  <r>
    <x v="6"/>
    <x v="0"/>
    <x v="6"/>
    <x v="6"/>
    <x v="0"/>
    <x v="0"/>
    <x v="0"/>
    <x v="0"/>
    <x v="0"/>
    <x v="0"/>
    <x v="0"/>
    <x v="0"/>
    <x v="3"/>
    <x v="7"/>
    <x v="7"/>
    <x v="11"/>
    <x v="11"/>
    <n v="41.397399999999998"/>
    <x v="0"/>
    <x v="0"/>
    <x v="3"/>
    <x v="5"/>
    <x v="7"/>
    <x v="11"/>
    <n v="45.123165999999998"/>
  </r>
  <r>
    <x v="6"/>
    <x v="0"/>
    <x v="6"/>
    <x v="6"/>
    <x v="0"/>
    <x v="0"/>
    <x v="0"/>
    <x v="0"/>
    <x v="0"/>
    <x v="0"/>
    <x v="0"/>
    <x v="0"/>
    <x v="3"/>
    <x v="7"/>
    <x v="7"/>
    <x v="36"/>
    <x v="36"/>
    <n v="46.400688073366702"/>
    <x v="0"/>
    <x v="0"/>
    <x v="1"/>
    <x v="3"/>
    <x v="3"/>
    <x v="4"/>
    <n v="50.576749999969707"/>
  </r>
  <r>
    <x v="6"/>
    <x v="0"/>
    <x v="6"/>
    <x v="6"/>
    <x v="0"/>
    <x v="0"/>
    <x v="0"/>
    <x v="0"/>
    <x v="0"/>
    <x v="0"/>
    <x v="0"/>
    <x v="0"/>
    <x v="3"/>
    <x v="7"/>
    <x v="7"/>
    <x v="24"/>
    <x v="24"/>
    <n v="37.9430183486011"/>
    <x v="0"/>
    <x v="0"/>
    <x v="1"/>
    <x v="3"/>
    <x v="3"/>
    <x v="4"/>
    <n v="41.3578899999752"/>
  </r>
  <r>
    <x v="6"/>
    <x v="0"/>
    <x v="6"/>
    <x v="6"/>
    <x v="0"/>
    <x v="0"/>
    <x v="0"/>
    <x v="0"/>
    <x v="0"/>
    <x v="0"/>
    <x v="0"/>
    <x v="0"/>
    <x v="3"/>
    <x v="7"/>
    <x v="7"/>
    <x v="17"/>
    <x v="17"/>
    <n v="214.90826000000001"/>
    <x v="0"/>
    <x v="0"/>
    <x v="0"/>
    <x v="0"/>
    <x v="4"/>
    <x v="17"/>
    <n v="234.25000340000003"/>
  </r>
  <r>
    <x v="6"/>
    <x v="0"/>
    <x v="6"/>
    <x v="6"/>
    <x v="0"/>
    <x v="0"/>
    <x v="0"/>
    <x v="0"/>
    <x v="0"/>
    <x v="0"/>
    <x v="0"/>
    <x v="0"/>
    <x v="3"/>
    <x v="7"/>
    <x v="7"/>
    <x v="18"/>
    <x v="18"/>
    <n v="17.756910000000001"/>
    <x v="0"/>
    <x v="0"/>
    <x v="0"/>
    <x v="0"/>
    <x v="4"/>
    <x v="18"/>
    <n v="19.355031900000004"/>
  </r>
  <r>
    <x v="6"/>
    <x v="0"/>
    <x v="6"/>
    <x v="6"/>
    <x v="0"/>
    <x v="0"/>
    <x v="0"/>
    <x v="0"/>
    <x v="0"/>
    <x v="0"/>
    <x v="0"/>
    <x v="0"/>
    <x v="3"/>
    <x v="7"/>
    <x v="7"/>
    <x v="34"/>
    <x v="34"/>
    <n v="11.7278951963072"/>
    <x v="0"/>
    <x v="0"/>
    <x v="0"/>
    <x v="0"/>
    <x v="0"/>
    <x v="0"/>
    <n v="12.78340576397485"/>
  </r>
  <r>
    <x v="6"/>
    <x v="0"/>
    <x v="6"/>
    <x v="6"/>
    <x v="0"/>
    <x v="0"/>
    <x v="0"/>
    <x v="0"/>
    <x v="0"/>
    <x v="0"/>
    <x v="0"/>
    <x v="0"/>
    <x v="3"/>
    <x v="7"/>
    <x v="7"/>
    <x v="26"/>
    <x v="26"/>
    <n v="26.307431192644799"/>
    <x v="0"/>
    <x v="0"/>
    <x v="1"/>
    <x v="3"/>
    <x v="3"/>
    <x v="15"/>
    <n v="28.675099999982834"/>
  </r>
  <r>
    <x v="6"/>
    <x v="0"/>
    <x v="6"/>
    <x v="6"/>
    <x v="0"/>
    <x v="0"/>
    <x v="0"/>
    <x v="0"/>
    <x v="0"/>
    <x v="0"/>
    <x v="0"/>
    <x v="0"/>
    <x v="1"/>
    <x v="8"/>
    <x v="8"/>
    <x v="6"/>
    <x v="6"/>
    <n v="28.184760000000001"/>
    <x v="0"/>
    <x v="0"/>
    <x v="0"/>
    <x v="0"/>
    <x v="4"/>
    <x v="6"/>
    <n v="30.721388400000002"/>
  </r>
  <r>
    <x v="6"/>
    <x v="0"/>
    <x v="6"/>
    <x v="6"/>
    <x v="0"/>
    <x v="0"/>
    <x v="0"/>
    <x v="0"/>
    <x v="0"/>
    <x v="0"/>
    <x v="0"/>
    <x v="0"/>
    <x v="1"/>
    <x v="8"/>
    <x v="8"/>
    <x v="8"/>
    <x v="8"/>
    <n v="82.828479730259801"/>
    <x v="0"/>
    <x v="1"/>
    <x v="2"/>
    <x v="2"/>
    <x v="6"/>
    <x v="8"/>
    <n v="90.283042905983194"/>
  </r>
  <r>
    <x v="6"/>
    <x v="0"/>
    <x v="6"/>
    <x v="6"/>
    <x v="0"/>
    <x v="0"/>
    <x v="0"/>
    <x v="0"/>
    <x v="0"/>
    <x v="0"/>
    <x v="0"/>
    <x v="0"/>
    <x v="1"/>
    <x v="8"/>
    <x v="8"/>
    <x v="9"/>
    <x v="9"/>
    <n v="63.743741744737498"/>
    <x v="0"/>
    <x v="0"/>
    <x v="1"/>
    <x v="4"/>
    <x v="5"/>
    <x v="9"/>
    <n v="69.480678501763876"/>
  </r>
  <r>
    <x v="6"/>
    <x v="0"/>
    <x v="6"/>
    <x v="6"/>
    <x v="0"/>
    <x v="0"/>
    <x v="0"/>
    <x v="0"/>
    <x v="0"/>
    <x v="0"/>
    <x v="0"/>
    <x v="0"/>
    <x v="1"/>
    <x v="8"/>
    <x v="8"/>
    <x v="10"/>
    <x v="10"/>
    <n v="24.069133871559"/>
    <x v="0"/>
    <x v="0"/>
    <x v="1"/>
    <x v="4"/>
    <x v="5"/>
    <x v="10"/>
    <n v="26.235355919999311"/>
  </r>
  <r>
    <x v="6"/>
    <x v="0"/>
    <x v="6"/>
    <x v="6"/>
    <x v="0"/>
    <x v="0"/>
    <x v="0"/>
    <x v="0"/>
    <x v="0"/>
    <x v="0"/>
    <x v="0"/>
    <x v="0"/>
    <x v="1"/>
    <x v="8"/>
    <x v="8"/>
    <x v="11"/>
    <x v="11"/>
    <n v="2.9397000000000002"/>
    <x v="0"/>
    <x v="0"/>
    <x v="3"/>
    <x v="5"/>
    <x v="7"/>
    <x v="11"/>
    <n v="3.2042730000000006"/>
  </r>
  <r>
    <x v="6"/>
    <x v="0"/>
    <x v="6"/>
    <x v="6"/>
    <x v="0"/>
    <x v="0"/>
    <x v="0"/>
    <x v="0"/>
    <x v="0"/>
    <x v="0"/>
    <x v="0"/>
    <x v="0"/>
    <x v="1"/>
    <x v="8"/>
    <x v="8"/>
    <x v="36"/>
    <x v="36"/>
    <n v="2.0925229357785602"/>
    <x v="0"/>
    <x v="0"/>
    <x v="1"/>
    <x v="3"/>
    <x v="3"/>
    <x v="4"/>
    <n v="2.2808499999986309"/>
  </r>
  <r>
    <x v="6"/>
    <x v="0"/>
    <x v="6"/>
    <x v="6"/>
    <x v="0"/>
    <x v="0"/>
    <x v="0"/>
    <x v="0"/>
    <x v="0"/>
    <x v="0"/>
    <x v="0"/>
    <x v="0"/>
    <x v="1"/>
    <x v="8"/>
    <x v="8"/>
    <x v="24"/>
    <x v="24"/>
    <n v="45.902651376119302"/>
    <x v="0"/>
    <x v="0"/>
    <x v="1"/>
    <x v="3"/>
    <x v="3"/>
    <x v="4"/>
    <n v="50.033889999970043"/>
  </r>
  <r>
    <x v="6"/>
    <x v="0"/>
    <x v="6"/>
    <x v="6"/>
    <x v="0"/>
    <x v="0"/>
    <x v="0"/>
    <x v="0"/>
    <x v="0"/>
    <x v="0"/>
    <x v="0"/>
    <x v="0"/>
    <x v="1"/>
    <x v="8"/>
    <x v="8"/>
    <x v="17"/>
    <x v="17"/>
    <n v="14.49292"/>
    <x v="0"/>
    <x v="0"/>
    <x v="0"/>
    <x v="0"/>
    <x v="4"/>
    <x v="17"/>
    <n v="15.797282800000001"/>
  </r>
  <r>
    <x v="6"/>
    <x v="0"/>
    <x v="6"/>
    <x v="6"/>
    <x v="0"/>
    <x v="0"/>
    <x v="0"/>
    <x v="0"/>
    <x v="0"/>
    <x v="0"/>
    <x v="0"/>
    <x v="0"/>
    <x v="1"/>
    <x v="8"/>
    <x v="8"/>
    <x v="21"/>
    <x v="21"/>
    <n v="3.4634403669704001"/>
    <x v="0"/>
    <x v="0"/>
    <x v="1"/>
    <x v="4"/>
    <x v="5"/>
    <x v="10"/>
    <n v="3.7751499999977365"/>
  </r>
  <r>
    <x v="6"/>
    <x v="0"/>
    <x v="6"/>
    <x v="6"/>
    <x v="0"/>
    <x v="0"/>
    <x v="0"/>
    <x v="0"/>
    <x v="0"/>
    <x v="0"/>
    <x v="0"/>
    <x v="0"/>
    <x v="1"/>
    <x v="8"/>
    <x v="8"/>
    <x v="18"/>
    <x v="18"/>
    <n v="14.21383"/>
    <x v="0"/>
    <x v="0"/>
    <x v="0"/>
    <x v="0"/>
    <x v="4"/>
    <x v="18"/>
    <n v="15.493074700000001"/>
  </r>
  <r>
    <x v="6"/>
    <x v="0"/>
    <x v="6"/>
    <x v="6"/>
    <x v="0"/>
    <x v="0"/>
    <x v="0"/>
    <x v="0"/>
    <x v="0"/>
    <x v="0"/>
    <x v="0"/>
    <x v="0"/>
    <x v="1"/>
    <x v="8"/>
    <x v="8"/>
    <x v="34"/>
    <x v="34"/>
    <n v="1.6463537117624101"/>
    <x v="0"/>
    <x v="0"/>
    <x v="0"/>
    <x v="0"/>
    <x v="0"/>
    <x v="0"/>
    <n v="1.7945255458210272"/>
  </r>
  <r>
    <x v="6"/>
    <x v="0"/>
    <x v="6"/>
    <x v="6"/>
    <x v="0"/>
    <x v="0"/>
    <x v="0"/>
    <x v="0"/>
    <x v="0"/>
    <x v="0"/>
    <x v="0"/>
    <x v="0"/>
    <x v="1"/>
    <x v="8"/>
    <x v="8"/>
    <x v="37"/>
    <x v="37"/>
    <n v="25.643944954113"/>
    <x v="0"/>
    <x v="0"/>
    <x v="1"/>
    <x v="3"/>
    <x v="3"/>
    <x v="4"/>
    <n v="27.951899999983173"/>
  </r>
  <r>
    <x v="6"/>
    <x v="0"/>
    <x v="6"/>
    <x v="6"/>
    <x v="0"/>
    <x v="0"/>
    <x v="0"/>
    <x v="0"/>
    <x v="0"/>
    <x v="0"/>
    <x v="0"/>
    <x v="0"/>
    <x v="1"/>
    <x v="8"/>
    <x v="8"/>
    <x v="0"/>
    <x v="0"/>
    <n v="6.2555017793419196"/>
    <x v="0"/>
    <x v="0"/>
    <x v="0"/>
    <x v="0"/>
    <x v="0"/>
    <x v="0"/>
    <n v="6.8184969394826931"/>
  </r>
  <r>
    <x v="6"/>
    <x v="0"/>
    <x v="6"/>
    <x v="6"/>
    <x v="0"/>
    <x v="0"/>
    <x v="0"/>
    <x v="0"/>
    <x v="0"/>
    <x v="0"/>
    <x v="0"/>
    <x v="0"/>
    <x v="0"/>
    <x v="9"/>
    <x v="9"/>
    <x v="6"/>
    <x v="6"/>
    <n v="55.960050000000003"/>
    <x v="0"/>
    <x v="0"/>
    <x v="0"/>
    <x v="0"/>
    <x v="4"/>
    <x v="6"/>
    <n v="60.996454500000006"/>
  </r>
  <r>
    <x v="6"/>
    <x v="0"/>
    <x v="6"/>
    <x v="6"/>
    <x v="0"/>
    <x v="0"/>
    <x v="0"/>
    <x v="0"/>
    <x v="0"/>
    <x v="0"/>
    <x v="0"/>
    <x v="0"/>
    <x v="0"/>
    <x v="9"/>
    <x v="9"/>
    <x v="7"/>
    <x v="7"/>
    <n v="60.522871559596702"/>
    <x v="0"/>
    <x v="0"/>
    <x v="1"/>
    <x v="4"/>
    <x v="5"/>
    <x v="7"/>
    <n v="65.969929999960414"/>
  </r>
  <r>
    <x v="6"/>
    <x v="0"/>
    <x v="6"/>
    <x v="6"/>
    <x v="0"/>
    <x v="0"/>
    <x v="0"/>
    <x v="0"/>
    <x v="0"/>
    <x v="0"/>
    <x v="0"/>
    <x v="0"/>
    <x v="0"/>
    <x v="9"/>
    <x v="9"/>
    <x v="9"/>
    <x v="9"/>
    <n v="214.73922110129399"/>
    <x v="0"/>
    <x v="0"/>
    <x v="1"/>
    <x v="4"/>
    <x v="5"/>
    <x v="9"/>
    <n v="234.06575100041047"/>
  </r>
  <r>
    <x v="6"/>
    <x v="0"/>
    <x v="6"/>
    <x v="6"/>
    <x v="0"/>
    <x v="0"/>
    <x v="0"/>
    <x v="0"/>
    <x v="0"/>
    <x v="0"/>
    <x v="0"/>
    <x v="0"/>
    <x v="0"/>
    <x v="9"/>
    <x v="9"/>
    <x v="10"/>
    <x v="10"/>
    <n v="29.518282080983699"/>
    <x v="0"/>
    <x v="0"/>
    <x v="1"/>
    <x v="4"/>
    <x v="5"/>
    <x v="10"/>
    <n v="32.174927468272237"/>
  </r>
  <r>
    <x v="6"/>
    <x v="0"/>
    <x v="6"/>
    <x v="6"/>
    <x v="0"/>
    <x v="0"/>
    <x v="0"/>
    <x v="0"/>
    <x v="0"/>
    <x v="0"/>
    <x v="0"/>
    <x v="0"/>
    <x v="0"/>
    <x v="9"/>
    <x v="9"/>
    <x v="11"/>
    <x v="11"/>
    <n v="24.376049999999999"/>
    <x v="0"/>
    <x v="0"/>
    <x v="3"/>
    <x v="5"/>
    <x v="7"/>
    <x v="11"/>
    <n v="26.5698945"/>
  </r>
  <r>
    <x v="6"/>
    <x v="0"/>
    <x v="6"/>
    <x v="6"/>
    <x v="0"/>
    <x v="0"/>
    <x v="0"/>
    <x v="0"/>
    <x v="0"/>
    <x v="0"/>
    <x v="0"/>
    <x v="0"/>
    <x v="0"/>
    <x v="9"/>
    <x v="9"/>
    <x v="12"/>
    <x v="12"/>
    <n v="5.5716860464904601"/>
    <x v="0"/>
    <x v="0"/>
    <x v="0"/>
    <x v="0"/>
    <x v="8"/>
    <x v="12"/>
    <n v="6.0731377906746022"/>
  </r>
  <r>
    <x v="6"/>
    <x v="0"/>
    <x v="6"/>
    <x v="6"/>
    <x v="0"/>
    <x v="0"/>
    <x v="0"/>
    <x v="0"/>
    <x v="0"/>
    <x v="0"/>
    <x v="0"/>
    <x v="0"/>
    <x v="0"/>
    <x v="9"/>
    <x v="9"/>
    <x v="36"/>
    <x v="36"/>
    <n v="7.6594954128394397"/>
    <x v="0"/>
    <x v="0"/>
    <x v="1"/>
    <x v="3"/>
    <x v="3"/>
    <x v="4"/>
    <n v="8.3488499999949894"/>
  </r>
  <r>
    <x v="6"/>
    <x v="0"/>
    <x v="6"/>
    <x v="6"/>
    <x v="0"/>
    <x v="0"/>
    <x v="0"/>
    <x v="0"/>
    <x v="0"/>
    <x v="0"/>
    <x v="0"/>
    <x v="0"/>
    <x v="0"/>
    <x v="9"/>
    <x v="9"/>
    <x v="24"/>
    <x v="24"/>
    <n v="39.477990825664399"/>
    <x v="0"/>
    <x v="0"/>
    <x v="1"/>
    <x v="3"/>
    <x v="3"/>
    <x v="4"/>
    <n v="43.031009999974195"/>
  </r>
  <r>
    <x v="6"/>
    <x v="0"/>
    <x v="6"/>
    <x v="6"/>
    <x v="0"/>
    <x v="0"/>
    <x v="0"/>
    <x v="0"/>
    <x v="0"/>
    <x v="0"/>
    <x v="0"/>
    <x v="0"/>
    <x v="0"/>
    <x v="9"/>
    <x v="9"/>
    <x v="17"/>
    <x v="17"/>
    <n v="39.200020000000002"/>
    <x v="0"/>
    <x v="0"/>
    <x v="0"/>
    <x v="0"/>
    <x v="4"/>
    <x v="17"/>
    <n v="42.728021800000008"/>
  </r>
  <r>
    <x v="6"/>
    <x v="0"/>
    <x v="6"/>
    <x v="6"/>
    <x v="0"/>
    <x v="0"/>
    <x v="0"/>
    <x v="0"/>
    <x v="0"/>
    <x v="0"/>
    <x v="0"/>
    <x v="0"/>
    <x v="0"/>
    <x v="9"/>
    <x v="9"/>
    <x v="21"/>
    <x v="21"/>
    <n v="553.93338532076905"/>
    <x v="0"/>
    <x v="0"/>
    <x v="1"/>
    <x v="4"/>
    <x v="5"/>
    <x v="10"/>
    <n v="603.78738999963832"/>
  </r>
  <r>
    <x v="6"/>
    <x v="0"/>
    <x v="6"/>
    <x v="6"/>
    <x v="0"/>
    <x v="0"/>
    <x v="0"/>
    <x v="0"/>
    <x v="0"/>
    <x v="0"/>
    <x v="0"/>
    <x v="0"/>
    <x v="0"/>
    <x v="9"/>
    <x v="9"/>
    <x v="18"/>
    <x v="18"/>
    <n v="72.608170000000001"/>
    <x v="0"/>
    <x v="0"/>
    <x v="0"/>
    <x v="0"/>
    <x v="4"/>
    <x v="18"/>
    <n v="79.14290530000001"/>
  </r>
  <r>
    <x v="6"/>
    <x v="0"/>
    <x v="6"/>
    <x v="6"/>
    <x v="0"/>
    <x v="0"/>
    <x v="0"/>
    <x v="0"/>
    <x v="0"/>
    <x v="0"/>
    <x v="0"/>
    <x v="0"/>
    <x v="0"/>
    <x v="9"/>
    <x v="9"/>
    <x v="34"/>
    <x v="34"/>
    <n v="6.6576157204108402"/>
    <x v="0"/>
    <x v="0"/>
    <x v="0"/>
    <x v="0"/>
    <x v="0"/>
    <x v="0"/>
    <n v="7.2568011352478159"/>
  </r>
  <r>
    <x v="6"/>
    <x v="0"/>
    <x v="6"/>
    <x v="6"/>
    <x v="0"/>
    <x v="0"/>
    <x v="0"/>
    <x v="0"/>
    <x v="0"/>
    <x v="0"/>
    <x v="0"/>
    <x v="0"/>
    <x v="0"/>
    <x v="9"/>
    <x v="9"/>
    <x v="37"/>
    <x v="37"/>
    <n v="11.8578440366901"/>
    <x v="0"/>
    <x v="0"/>
    <x v="1"/>
    <x v="3"/>
    <x v="3"/>
    <x v="4"/>
    <n v="12.925049999992209"/>
  </r>
  <r>
    <x v="6"/>
    <x v="0"/>
    <x v="6"/>
    <x v="6"/>
    <x v="0"/>
    <x v="0"/>
    <x v="0"/>
    <x v="0"/>
    <x v="0"/>
    <x v="0"/>
    <x v="0"/>
    <x v="0"/>
    <x v="0"/>
    <x v="9"/>
    <x v="9"/>
    <x v="26"/>
    <x v="26"/>
    <n v="10.1227064220123"/>
    <x v="0"/>
    <x v="0"/>
    <x v="1"/>
    <x v="3"/>
    <x v="3"/>
    <x v="15"/>
    <n v="11.033749999993407"/>
  </r>
  <r>
    <x v="6"/>
    <x v="0"/>
    <x v="6"/>
    <x v="6"/>
    <x v="0"/>
    <x v="0"/>
    <x v="0"/>
    <x v="0"/>
    <x v="0"/>
    <x v="0"/>
    <x v="0"/>
    <x v="0"/>
    <x v="0"/>
    <x v="9"/>
    <x v="9"/>
    <x v="0"/>
    <x v="0"/>
    <n v="0.79114857651023995"/>
    <x v="0"/>
    <x v="0"/>
    <x v="0"/>
    <x v="0"/>
    <x v="0"/>
    <x v="0"/>
    <n v="0.86235194839616158"/>
  </r>
  <r>
    <x v="6"/>
    <x v="0"/>
    <x v="6"/>
    <x v="6"/>
    <x v="0"/>
    <x v="0"/>
    <x v="0"/>
    <x v="0"/>
    <x v="0"/>
    <x v="0"/>
    <x v="0"/>
    <x v="0"/>
    <x v="0"/>
    <x v="9"/>
    <x v="9"/>
    <x v="2"/>
    <x v="2"/>
    <n v="11.382522935773"/>
    <x v="0"/>
    <x v="1"/>
    <x v="2"/>
    <x v="2"/>
    <x v="13"/>
    <x v="2"/>
    <n v="12.406949999992571"/>
  </r>
  <r>
    <x v="6"/>
    <x v="0"/>
    <x v="6"/>
    <x v="6"/>
    <x v="0"/>
    <x v="0"/>
    <x v="0"/>
    <x v="0"/>
    <x v="0"/>
    <x v="0"/>
    <x v="0"/>
    <x v="0"/>
    <x v="2"/>
    <x v="10"/>
    <x v="10"/>
    <x v="6"/>
    <x v="6"/>
    <n v="131.25237000000001"/>
    <x v="0"/>
    <x v="0"/>
    <x v="0"/>
    <x v="0"/>
    <x v="4"/>
    <x v="6"/>
    <n v="143.06508330000003"/>
  </r>
  <r>
    <x v="6"/>
    <x v="0"/>
    <x v="6"/>
    <x v="6"/>
    <x v="0"/>
    <x v="0"/>
    <x v="0"/>
    <x v="0"/>
    <x v="0"/>
    <x v="0"/>
    <x v="0"/>
    <x v="0"/>
    <x v="2"/>
    <x v="10"/>
    <x v="10"/>
    <x v="7"/>
    <x v="7"/>
    <n v="7.8434770642154801"/>
    <x v="0"/>
    <x v="0"/>
    <x v="1"/>
    <x v="4"/>
    <x v="5"/>
    <x v="7"/>
    <n v="8.5493899999948741"/>
  </r>
  <r>
    <x v="6"/>
    <x v="0"/>
    <x v="6"/>
    <x v="6"/>
    <x v="0"/>
    <x v="0"/>
    <x v="0"/>
    <x v="0"/>
    <x v="0"/>
    <x v="0"/>
    <x v="0"/>
    <x v="0"/>
    <x v="2"/>
    <x v="10"/>
    <x v="10"/>
    <x v="9"/>
    <x v="9"/>
    <n v="102.543531246211"/>
    <x v="0"/>
    <x v="0"/>
    <x v="1"/>
    <x v="4"/>
    <x v="5"/>
    <x v="9"/>
    <n v="111.77244905837"/>
  </r>
  <r>
    <x v="6"/>
    <x v="0"/>
    <x v="6"/>
    <x v="6"/>
    <x v="0"/>
    <x v="0"/>
    <x v="0"/>
    <x v="0"/>
    <x v="0"/>
    <x v="0"/>
    <x v="0"/>
    <x v="0"/>
    <x v="2"/>
    <x v="10"/>
    <x v="10"/>
    <x v="10"/>
    <x v="10"/>
    <n v="33.076355296968998"/>
    <x v="0"/>
    <x v="0"/>
    <x v="1"/>
    <x v="4"/>
    <x v="5"/>
    <x v="10"/>
    <n v="36.053227273696208"/>
  </r>
  <r>
    <x v="6"/>
    <x v="0"/>
    <x v="6"/>
    <x v="6"/>
    <x v="0"/>
    <x v="0"/>
    <x v="0"/>
    <x v="0"/>
    <x v="0"/>
    <x v="0"/>
    <x v="0"/>
    <x v="0"/>
    <x v="2"/>
    <x v="10"/>
    <x v="10"/>
    <x v="11"/>
    <x v="11"/>
    <n v="15.4658"/>
    <x v="0"/>
    <x v="0"/>
    <x v="3"/>
    <x v="5"/>
    <x v="7"/>
    <x v="11"/>
    <n v="16.857722000000003"/>
  </r>
  <r>
    <x v="6"/>
    <x v="0"/>
    <x v="6"/>
    <x v="6"/>
    <x v="0"/>
    <x v="0"/>
    <x v="0"/>
    <x v="0"/>
    <x v="0"/>
    <x v="0"/>
    <x v="0"/>
    <x v="0"/>
    <x v="2"/>
    <x v="10"/>
    <x v="10"/>
    <x v="22"/>
    <x v="22"/>
    <n v="1.5001680107466899"/>
    <x v="0"/>
    <x v="0"/>
    <x v="0"/>
    <x v="0"/>
    <x v="0"/>
    <x v="0"/>
    <n v="1.6351831317138921"/>
  </r>
  <r>
    <x v="6"/>
    <x v="0"/>
    <x v="6"/>
    <x v="6"/>
    <x v="0"/>
    <x v="0"/>
    <x v="0"/>
    <x v="0"/>
    <x v="0"/>
    <x v="0"/>
    <x v="0"/>
    <x v="0"/>
    <x v="2"/>
    <x v="10"/>
    <x v="10"/>
    <x v="36"/>
    <x v="36"/>
    <n v="16.204495412834302"/>
    <x v="0"/>
    <x v="0"/>
    <x v="1"/>
    <x v="3"/>
    <x v="3"/>
    <x v="4"/>
    <n v="17.662899999989389"/>
  </r>
  <r>
    <x v="6"/>
    <x v="0"/>
    <x v="6"/>
    <x v="6"/>
    <x v="0"/>
    <x v="0"/>
    <x v="0"/>
    <x v="0"/>
    <x v="0"/>
    <x v="0"/>
    <x v="0"/>
    <x v="0"/>
    <x v="2"/>
    <x v="10"/>
    <x v="10"/>
    <x v="24"/>
    <x v="24"/>
    <n v="24.8016330275081"/>
    <x v="0"/>
    <x v="0"/>
    <x v="1"/>
    <x v="3"/>
    <x v="3"/>
    <x v="4"/>
    <n v="27.033779999983832"/>
  </r>
  <r>
    <x v="6"/>
    <x v="0"/>
    <x v="6"/>
    <x v="6"/>
    <x v="0"/>
    <x v="0"/>
    <x v="0"/>
    <x v="0"/>
    <x v="0"/>
    <x v="0"/>
    <x v="0"/>
    <x v="0"/>
    <x v="2"/>
    <x v="10"/>
    <x v="10"/>
    <x v="17"/>
    <x v="17"/>
    <n v="15.696260000000001"/>
    <x v="0"/>
    <x v="0"/>
    <x v="0"/>
    <x v="0"/>
    <x v="4"/>
    <x v="17"/>
    <n v="17.108923400000002"/>
  </r>
  <r>
    <x v="6"/>
    <x v="0"/>
    <x v="6"/>
    <x v="6"/>
    <x v="0"/>
    <x v="0"/>
    <x v="0"/>
    <x v="0"/>
    <x v="0"/>
    <x v="0"/>
    <x v="0"/>
    <x v="0"/>
    <x v="2"/>
    <x v="10"/>
    <x v="10"/>
    <x v="21"/>
    <x v="21"/>
    <n v="102.50171559626899"/>
    <x v="0"/>
    <x v="0"/>
    <x v="1"/>
    <x v="4"/>
    <x v="5"/>
    <x v="10"/>
    <n v="111.72686999993321"/>
  </r>
  <r>
    <x v="6"/>
    <x v="0"/>
    <x v="6"/>
    <x v="6"/>
    <x v="0"/>
    <x v="0"/>
    <x v="0"/>
    <x v="0"/>
    <x v="0"/>
    <x v="0"/>
    <x v="0"/>
    <x v="0"/>
    <x v="2"/>
    <x v="10"/>
    <x v="10"/>
    <x v="18"/>
    <x v="18"/>
    <n v="26.7"/>
    <x v="0"/>
    <x v="0"/>
    <x v="0"/>
    <x v="0"/>
    <x v="4"/>
    <x v="18"/>
    <n v="29.103000000000002"/>
  </r>
  <r>
    <x v="6"/>
    <x v="0"/>
    <x v="6"/>
    <x v="6"/>
    <x v="0"/>
    <x v="0"/>
    <x v="0"/>
    <x v="0"/>
    <x v="0"/>
    <x v="0"/>
    <x v="0"/>
    <x v="0"/>
    <x v="2"/>
    <x v="10"/>
    <x v="10"/>
    <x v="34"/>
    <x v="34"/>
    <n v="13.873318777056699"/>
    <x v="0"/>
    <x v="0"/>
    <x v="0"/>
    <x v="0"/>
    <x v="0"/>
    <x v="0"/>
    <n v="15.121917466991803"/>
  </r>
  <r>
    <x v="6"/>
    <x v="0"/>
    <x v="6"/>
    <x v="6"/>
    <x v="0"/>
    <x v="0"/>
    <x v="0"/>
    <x v="0"/>
    <x v="0"/>
    <x v="0"/>
    <x v="0"/>
    <x v="0"/>
    <x v="2"/>
    <x v="10"/>
    <x v="10"/>
    <x v="37"/>
    <x v="37"/>
    <n v="15.3969266054954"/>
    <x v="0"/>
    <x v="0"/>
    <x v="1"/>
    <x v="3"/>
    <x v="3"/>
    <x v="4"/>
    <n v="16.782649999989989"/>
  </r>
  <r>
    <x v="6"/>
    <x v="0"/>
    <x v="6"/>
    <x v="6"/>
    <x v="0"/>
    <x v="0"/>
    <x v="0"/>
    <x v="0"/>
    <x v="0"/>
    <x v="0"/>
    <x v="0"/>
    <x v="0"/>
    <x v="2"/>
    <x v="10"/>
    <x v="10"/>
    <x v="26"/>
    <x v="26"/>
    <n v="34.409495412823397"/>
    <x v="0"/>
    <x v="0"/>
    <x v="1"/>
    <x v="3"/>
    <x v="3"/>
    <x v="15"/>
    <n v="37.506349999977502"/>
  </r>
  <r>
    <x v="6"/>
    <x v="0"/>
    <x v="6"/>
    <x v="6"/>
    <x v="0"/>
    <x v="0"/>
    <x v="0"/>
    <x v="0"/>
    <x v="0"/>
    <x v="0"/>
    <x v="0"/>
    <x v="0"/>
    <x v="2"/>
    <x v="10"/>
    <x v="10"/>
    <x v="0"/>
    <x v="0"/>
    <n v="49.870427935803399"/>
    <x v="0"/>
    <x v="0"/>
    <x v="0"/>
    <x v="0"/>
    <x v="0"/>
    <x v="0"/>
    <n v="54.358766450025712"/>
  </r>
  <r>
    <x v="6"/>
    <x v="0"/>
    <x v="6"/>
    <x v="6"/>
    <x v="0"/>
    <x v="0"/>
    <x v="0"/>
    <x v="0"/>
    <x v="0"/>
    <x v="0"/>
    <x v="0"/>
    <x v="0"/>
    <x v="2"/>
    <x v="10"/>
    <x v="10"/>
    <x v="2"/>
    <x v="2"/>
    <n v="454.51117431165397"/>
    <x v="0"/>
    <x v="1"/>
    <x v="2"/>
    <x v="2"/>
    <x v="13"/>
    <x v="2"/>
    <n v="495.41717999970285"/>
  </r>
  <r>
    <x v="6"/>
    <x v="0"/>
    <x v="6"/>
    <x v="6"/>
    <x v="0"/>
    <x v="0"/>
    <x v="0"/>
    <x v="0"/>
    <x v="0"/>
    <x v="0"/>
    <x v="0"/>
    <x v="0"/>
    <x v="4"/>
    <x v="5"/>
    <x v="5"/>
    <x v="4"/>
    <x v="4"/>
    <n v="1.57996330275135"/>
    <x v="0"/>
    <x v="0"/>
    <x v="1"/>
    <x v="3"/>
    <x v="3"/>
    <x v="4"/>
    <n v="1.7221599999989716"/>
  </r>
  <r>
    <x v="6"/>
    <x v="0"/>
    <x v="6"/>
    <x v="6"/>
    <x v="0"/>
    <x v="0"/>
    <x v="0"/>
    <x v="0"/>
    <x v="0"/>
    <x v="0"/>
    <x v="0"/>
    <x v="0"/>
    <x v="4"/>
    <x v="5"/>
    <x v="5"/>
    <x v="5"/>
    <x v="5"/>
    <n v="54.667509202869503"/>
    <x v="0"/>
    <x v="0"/>
    <x v="1"/>
    <x v="1"/>
    <x v="1"/>
    <x v="5"/>
    <n v="59.587585031127766"/>
  </r>
  <r>
    <x v="6"/>
    <x v="0"/>
    <x v="6"/>
    <x v="6"/>
    <x v="0"/>
    <x v="0"/>
    <x v="0"/>
    <x v="0"/>
    <x v="0"/>
    <x v="0"/>
    <x v="0"/>
    <x v="0"/>
    <x v="4"/>
    <x v="5"/>
    <x v="5"/>
    <x v="6"/>
    <x v="6"/>
    <n v="749.04924000000005"/>
    <x v="0"/>
    <x v="0"/>
    <x v="0"/>
    <x v="0"/>
    <x v="4"/>
    <x v="6"/>
    <n v="816.46367160000011"/>
  </r>
  <r>
    <x v="6"/>
    <x v="0"/>
    <x v="6"/>
    <x v="6"/>
    <x v="0"/>
    <x v="0"/>
    <x v="0"/>
    <x v="0"/>
    <x v="0"/>
    <x v="0"/>
    <x v="0"/>
    <x v="0"/>
    <x v="4"/>
    <x v="5"/>
    <x v="5"/>
    <x v="7"/>
    <x v="7"/>
    <n v="5.1279357798134404"/>
    <x v="0"/>
    <x v="0"/>
    <x v="1"/>
    <x v="4"/>
    <x v="5"/>
    <x v="7"/>
    <n v="5.58944999999665"/>
  </r>
  <r>
    <x v="6"/>
    <x v="0"/>
    <x v="6"/>
    <x v="6"/>
    <x v="0"/>
    <x v="0"/>
    <x v="0"/>
    <x v="0"/>
    <x v="0"/>
    <x v="0"/>
    <x v="0"/>
    <x v="0"/>
    <x v="4"/>
    <x v="5"/>
    <x v="5"/>
    <x v="8"/>
    <x v="8"/>
    <n v="877.72291216778001"/>
    <x v="0"/>
    <x v="1"/>
    <x v="2"/>
    <x v="2"/>
    <x v="6"/>
    <x v="8"/>
    <n v="956.71797426288026"/>
  </r>
  <r>
    <x v="6"/>
    <x v="0"/>
    <x v="6"/>
    <x v="6"/>
    <x v="0"/>
    <x v="0"/>
    <x v="0"/>
    <x v="0"/>
    <x v="0"/>
    <x v="0"/>
    <x v="0"/>
    <x v="0"/>
    <x v="4"/>
    <x v="5"/>
    <x v="5"/>
    <x v="9"/>
    <x v="9"/>
    <n v="507.97031328984002"/>
    <x v="0"/>
    <x v="0"/>
    <x v="1"/>
    <x v="4"/>
    <x v="5"/>
    <x v="9"/>
    <n v="553.68764148592561"/>
  </r>
  <r>
    <x v="6"/>
    <x v="0"/>
    <x v="6"/>
    <x v="6"/>
    <x v="0"/>
    <x v="0"/>
    <x v="0"/>
    <x v="0"/>
    <x v="0"/>
    <x v="0"/>
    <x v="0"/>
    <x v="0"/>
    <x v="4"/>
    <x v="5"/>
    <x v="5"/>
    <x v="10"/>
    <x v="10"/>
    <n v="78.103817269855995"/>
    <x v="0"/>
    <x v="0"/>
    <x v="1"/>
    <x v="4"/>
    <x v="5"/>
    <x v="10"/>
    <n v="85.133160824143047"/>
  </r>
  <r>
    <x v="6"/>
    <x v="0"/>
    <x v="6"/>
    <x v="6"/>
    <x v="0"/>
    <x v="0"/>
    <x v="0"/>
    <x v="0"/>
    <x v="0"/>
    <x v="0"/>
    <x v="0"/>
    <x v="0"/>
    <x v="4"/>
    <x v="5"/>
    <x v="5"/>
    <x v="29"/>
    <x v="29"/>
    <n v="0.68635000000000002"/>
    <x v="0"/>
    <x v="0"/>
    <x v="1"/>
    <x v="3"/>
    <x v="3"/>
    <x v="13"/>
    <n v="0.74812150000000011"/>
  </r>
  <r>
    <x v="6"/>
    <x v="0"/>
    <x v="6"/>
    <x v="6"/>
    <x v="0"/>
    <x v="0"/>
    <x v="0"/>
    <x v="0"/>
    <x v="0"/>
    <x v="0"/>
    <x v="0"/>
    <x v="0"/>
    <x v="4"/>
    <x v="5"/>
    <x v="5"/>
    <x v="35"/>
    <x v="35"/>
    <n v="195.45"/>
    <x v="0"/>
    <x v="0"/>
    <x v="0"/>
    <x v="0"/>
    <x v="0"/>
    <x v="0"/>
    <n v="213.04050000000001"/>
  </r>
  <r>
    <x v="6"/>
    <x v="0"/>
    <x v="6"/>
    <x v="6"/>
    <x v="0"/>
    <x v="0"/>
    <x v="0"/>
    <x v="0"/>
    <x v="0"/>
    <x v="0"/>
    <x v="0"/>
    <x v="0"/>
    <x v="4"/>
    <x v="5"/>
    <x v="5"/>
    <x v="55"/>
    <x v="55"/>
    <n v="1.4311926605495999"/>
    <x v="0"/>
    <x v="0"/>
    <x v="1"/>
    <x v="3"/>
    <x v="3"/>
    <x v="15"/>
    <n v="1.5599999999990641"/>
  </r>
  <r>
    <x v="6"/>
    <x v="0"/>
    <x v="6"/>
    <x v="6"/>
    <x v="0"/>
    <x v="0"/>
    <x v="0"/>
    <x v="0"/>
    <x v="0"/>
    <x v="0"/>
    <x v="0"/>
    <x v="0"/>
    <x v="4"/>
    <x v="5"/>
    <x v="5"/>
    <x v="12"/>
    <x v="12"/>
    <n v="585.97001162567994"/>
    <x v="0"/>
    <x v="0"/>
    <x v="0"/>
    <x v="0"/>
    <x v="8"/>
    <x v="12"/>
    <n v="638.70731267199119"/>
  </r>
  <r>
    <x v="6"/>
    <x v="0"/>
    <x v="6"/>
    <x v="6"/>
    <x v="0"/>
    <x v="0"/>
    <x v="0"/>
    <x v="0"/>
    <x v="0"/>
    <x v="0"/>
    <x v="0"/>
    <x v="0"/>
    <x v="4"/>
    <x v="5"/>
    <x v="5"/>
    <x v="14"/>
    <x v="14"/>
    <n v="384.06912"/>
    <x v="0"/>
    <x v="0"/>
    <x v="0"/>
    <x v="0"/>
    <x v="8"/>
    <x v="14"/>
    <n v="418.63534080000005"/>
  </r>
  <r>
    <x v="6"/>
    <x v="0"/>
    <x v="6"/>
    <x v="6"/>
    <x v="0"/>
    <x v="0"/>
    <x v="0"/>
    <x v="0"/>
    <x v="0"/>
    <x v="0"/>
    <x v="0"/>
    <x v="0"/>
    <x v="4"/>
    <x v="5"/>
    <x v="5"/>
    <x v="22"/>
    <x v="22"/>
    <n v="20.148306451532299"/>
    <x v="0"/>
    <x v="0"/>
    <x v="0"/>
    <x v="0"/>
    <x v="0"/>
    <x v="0"/>
    <n v="21.961654032170209"/>
  </r>
  <r>
    <x v="6"/>
    <x v="0"/>
    <x v="6"/>
    <x v="6"/>
    <x v="0"/>
    <x v="0"/>
    <x v="0"/>
    <x v="0"/>
    <x v="0"/>
    <x v="0"/>
    <x v="0"/>
    <x v="0"/>
    <x v="4"/>
    <x v="5"/>
    <x v="5"/>
    <x v="33"/>
    <x v="33"/>
    <n v="2.5955504587140399"/>
    <x v="0"/>
    <x v="0"/>
    <x v="1"/>
    <x v="3"/>
    <x v="3"/>
    <x v="4"/>
    <n v="2.8291499999983039"/>
  </r>
  <r>
    <x v="6"/>
    <x v="0"/>
    <x v="6"/>
    <x v="6"/>
    <x v="0"/>
    <x v="0"/>
    <x v="0"/>
    <x v="0"/>
    <x v="0"/>
    <x v="0"/>
    <x v="0"/>
    <x v="0"/>
    <x v="4"/>
    <x v="5"/>
    <x v="5"/>
    <x v="36"/>
    <x v="36"/>
    <n v="63.001009174274103"/>
    <x v="0"/>
    <x v="0"/>
    <x v="1"/>
    <x v="3"/>
    <x v="3"/>
    <x v="4"/>
    <n v="68.67109999995877"/>
  </r>
  <r>
    <x v="6"/>
    <x v="0"/>
    <x v="6"/>
    <x v="6"/>
    <x v="0"/>
    <x v="0"/>
    <x v="0"/>
    <x v="0"/>
    <x v="0"/>
    <x v="0"/>
    <x v="0"/>
    <x v="0"/>
    <x v="4"/>
    <x v="5"/>
    <x v="5"/>
    <x v="23"/>
    <x v="23"/>
    <n v="3.8197889908234002"/>
    <x v="0"/>
    <x v="0"/>
    <x v="1"/>
    <x v="3"/>
    <x v="3"/>
    <x v="15"/>
    <n v="4.1635699999975069"/>
  </r>
  <r>
    <x v="6"/>
    <x v="0"/>
    <x v="6"/>
    <x v="6"/>
    <x v="0"/>
    <x v="0"/>
    <x v="0"/>
    <x v="0"/>
    <x v="0"/>
    <x v="0"/>
    <x v="0"/>
    <x v="0"/>
    <x v="4"/>
    <x v="5"/>
    <x v="5"/>
    <x v="24"/>
    <x v="24"/>
    <n v="40.214568807315302"/>
    <x v="0"/>
    <x v="0"/>
    <x v="1"/>
    <x v="3"/>
    <x v="3"/>
    <x v="4"/>
    <n v="43.833879999973682"/>
  </r>
  <r>
    <x v="6"/>
    <x v="0"/>
    <x v="6"/>
    <x v="6"/>
    <x v="0"/>
    <x v="0"/>
    <x v="0"/>
    <x v="0"/>
    <x v="0"/>
    <x v="0"/>
    <x v="0"/>
    <x v="0"/>
    <x v="4"/>
    <x v="5"/>
    <x v="5"/>
    <x v="17"/>
    <x v="17"/>
    <n v="152.72150999999999"/>
    <x v="0"/>
    <x v="0"/>
    <x v="0"/>
    <x v="0"/>
    <x v="4"/>
    <x v="17"/>
    <n v="166.4664459"/>
  </r>
  <r>
    <x v="6"/>
    <x v="0"/>
    <x v="6"/>
    <x v="6"/>
    <x v="0"/>
    <x v="0"/>
    <x v="0"/>
    <x v="0"/>
    <x v="0"/>
    <x v="0"/>
    <x v="0"/>
    <x v="0"/>
    <x v="4"/>
    <x v="5"/>
    <x v="5"/>
    <x v="21"/>
    <x v="21"/>
    <n v="92.051669724715396"/>
    <x v="0"/>
    <x v="0"/>
    <x v="1"/>
    <x v="4"/>
    <x v="5"/>
    <x v="10"/>
    <n v="100.33631999993979"/>
  </r>
  <r>
    <x v="6"/>
    <x v="0"/>
    <x v="6"/>
    <x v="6"/>
    <x v="0"/>
    <x v="0"/>
    <x v="0"/>
    <x v="0"/>
    <x v="0"/>
    <x v="0"/>
    <x v="0"/>
    <x v="0"/>
    <x v="4"/>
    <x v="5"/>
    <x v="5"/>
    <x v="18"/>
    <x v="18"/>
    <n v="315.13031000000001"/>
    <x v="0"/>
    <x v="0"/>
    <x v="0"/>
    <x v="0"/>
    <x v="4"/>
    <x v="18"/>
    <n v="343.49203790000001"/>
  </r>
  <r>
    <x v="6"/>
    <x v="0"/>
    <x v="6"/>
    <x v="6"/>
    <x v="0"/>
    <x v="0"/>
    <x v="0"/>
    <x v="0"/>
    <x v="0"/>
    <x v="0"/>
    <x v="0"/>
    <x v="0"/>
    <x v="4"/>
    <x v="5"/>
    <x v="5"/>
    <x v="34"/>
    <x v="34"/>
    <n v="56.203427946642798"/>
    <x v="0"/>
    <x v="0"/>
    <x v="0"/>
    <x v="0"/>
    <x v="0"/>
    <x v="0"/>
    <n v="61.261736461840655"/>
  </r>
  <r>
    <x v="6"/>
    <x v="0"/>
    <x v="6"/>
    <x v="6"/>
    <x v="0"/>
    <x v="0"/>
    <x v="0"/>
    <x v="0"/>
    <x v="0"/>
    <x v="0"/>
    <x v="0"/>
    <x v="0"/>
    <x v="4"/>
    <x v="5"/>
    <x v="5"/>
    <x v="25"/>
    <x v="25"/>
    <n v="12.9784954128362"/>
    <x v="0"/>
    <x v="0"/>
    <x v="1"/>
    <x v="4"/>
    <x v="5"/>
    <x v="9"/>
    <n v="14.146559999991458"/>
  </r>
  <r>
    <x v="6"/>
    <x v="0"/>
    <x v="6"/>
    <x v="6"/>
    <x v="0"/>
    <x v="0"/>
    <x v="0"/>
    <x v="0"/>
    <x v="0"/>
    <x v="0"/>
    <x v="0"/>
    <x v="0"/>
    <x v="4"/>
    <x v="5"/>
    <x v="5"/>
    <x v="37"/>
    <x v="37"/>
    <n v="56.496651376112901"/>
    <x v="0"/>
    <x v="0"/>
    <x v="1"/>
    <x v="3"/>
    <x v="3"/>
    <x v="4"/>
    <n v="61.581349999963066"/>
  </r>
  <r>
    <x v="6"/>
    <x v="0"/>
    <x v="6"/>
    <x v="6"/>
    <x v="0"/>
    <x v="0"/>
    <x v="0"/>
    <x v="0"/>
    <x v="0"/>
    <x v="0"/>
    <x v="0"/>
    <x v="0"/>
    <x v="4"/>
    <x v="5"/>
    <x v="5"/>
    <x v="27"/>
    <x v="27"/>
    <n v="62.708495496824902"/>
    <x v="0"/>
    <x v="0"/>
    <x v="1"/>
    <x v="3"/>
    <x v="3"/>
    <x v="19"/>
    <n v="68.352260091539151"/>
  </r>
  <r>
    <x v="6"/>
    <x v="0"/>
    <x v="6"/>
    <x v="6"/>
    <x v="0"/>
    <x v="0"/>
    <x v="0"/>
    <x v="0"/>
    <x v="0"/>
    <x v="0"/>
    <x v="0"/>
    <x v="0"/>
    <x v="4"/>
    <x v="5"/>
    <x v="5"/>
    <x v="26"/>
    <x v="26"/>
    <n v="27.4601834862221"/>
    <x v="0"/>
    <x v="0"/>
    <x v="1"/>
    <x v="3"/>
    <x v="3"/>
    <x v="15"/>
    <n v="29.93159999998209"/>
  </r>
  <r>
    <x v="6"/>
    <x v="0"/>
    <x v="6"/>
    <x v="6"/>
    <x v="0"/>
    <x v="0"/>
    <x v="0"/>
    <x v="0"/>
    <x v="0"/>
    <x v="0"/>
    <x v="0"/>
    <x v="0"/>
    <x v="4"/>
    <x v="5"/>
    <x v="5"/>
    <x v="0"/>
    <x v="0"/>
    <n v="78.346862989104494"/>
    <x v="0"/>
    <x v="0"/>
    <x v="0"/>
    <x v="0"/>
    <x v="0"/>
    <x v="0"/>
    <n v="85.398080658123902"/>
  </r>
  <r>
    <x v="6"/>
    <x v="0"/>
    <x v="6"/>
    <x v="6"/>
    <x v="0"/>
    <x v="0"/>
    <x v="0"/>
    <x v="0"/>
    <x v="0"/>
    <x v="0"/>
    <x v="0"/>
    <x v="0"/>
    <x v="4"/>
    <x v="5"/>
    <x v="5"/>
    <x v="2"/>
    <x v="2"/>
    <n v="3221.79613761275"/>
    <x v="0"/>
    <x v="1"/>
    <x v="2"/>
    <x v="2"/>
    <x v="13"/>
    <x v="2"/>
    <n v="3511.7577899978978"/>
  </r>
  <r>
    <x v="6"/>
    <x v="0"/>
    <x v="6"/>
    <x v="6"/>
    <x v="0"/>
    <x v="0"/>
    <x v="0"/>
    <x v="0"/>
    <x v="0"/>
    <x v="0"/>
    <x v="0"/>
    <x v="0"/>
    <x v="4"/>
    <x v="5"/>
    <x v="5"/>
    <x v="3"/>
    <x v="3"/>
    <n v="22.458451722386201"/>
    <x v="0"/>
    <x v="0"/>
    <x v="1"/>
    <x v="3"/>
    <x v="3"/>
    <x v="3"/>
    <n v="24.479712377400961"/>
  </r>
  <r>
    <x v="6"/>
    <x v="0"/>
    <x v="6"/>
    <x v="6"/>
    <x v="0"/>
    <x v="0"/>
    <x v="0"/>
    <x v="0"/>
    <x v="0"/>
    <x v="0"/>
    <x v="3"/>
    <x v="3"/>
    <x v="3"/>
    <x v="3"/>
    <x v="3"/>
    <x v="3"/>
    <x v="3"/>
    <n v="2.5415256155653099"/>
    <x v="0"/>
    <x v="0"/>
    <x v="1"/>
    <x v="3"/>
    <x v="3"/>
    <x v="3"/>
    <n v="2.770262920966188"/>
  </r>
  <r>
    <x v="6"/>
    <x v="0"/>
    <x v="6"/>
    <x v="6"/>
    <x v="0"/>
    <x v="0"/>
    <x v="0"/>
    <x v="0"/>
    <x v="0"/>
    <x v="0"/>
    <x v="3"/>
    <x v="3"/>
    <x v="0"/>
    <x v="4"/>
    <x v="4"/>
    <x v="16"/>
    <x v="16"/>
    <n v="14.04134"/>
    <x v="0"/>
    <x v="0"/>
    <x v="3"/>
    <x v="5"/>
    <x v="9"/>
    <x v="16"/>
    <n v="15.305060600000001"/>
  </r>
  <r>
    <x v="6"/>
    <x v="0"/>
    <x v="6"/>
    <x v="6"/>
    <x v="0"/>
    <x v="0"/>
    <x v="0"/>
    <x v="0"/>
    <x v="0"/>
    <x v="0"/>
    <x v="3"/>
    <x v="3"/>
    <x v="2"/>
    <x v="2"/>
    <x v="2"/>
    <x v="5"/>
    <x v="5"/>
    <n v="7.0447546012805304"/>
    <x v="0"/>
    <x v="0"/>
    <x v="1"/>
    <x v="1"/>
    <x v="1"/>
    <x v="5"/>
    <n v="7.6787825153957785"/>
  </r>
  <r>
    <x v="6"/>
    <x v="0"/>
    <x v="6"/>
    <x v="6"/>
    <x v="0"/>
    <x v="0"/>
    <x v="0"/>
    <x v="0"/>
    <x v="0"/>
    <x v="0"/>
    <x v="3"/>
    <x v="3"/>
    <x v="2"/>
    <x v="2"/>
    <x v="2"/>
    <x v="6"/>
    <x v="6"/>
    <n v="24.48987"/>
    <x v="0"/>
    <x v="0"/>
    <x v="0"/>
    <x v="0"/>
    <x v="4"/>
    <x v="6"/>
    <n v="26.693958300000002"/>
  </r>
  <r>
    <x v="6"/>
    <x v="0"/>
    <x v="6"/>
    <x v="6"/>
    <x v="0"/>
    <x v="0"/>
    <x v="0"/>
    <x v="0"/>
    <x v="0"/>
    <x v="0"/>
    <x v="3"/>
    <x v="3"/>
    <x v="2"/>
    <x v="2"/>
    <x v="2"/>
    <x v="8"/>
    <x v="8"/>
    <n v="143.11923648740199"/>
    <x v="0"/>
    <x v="1"/>
    <x v="2"/>
    <x v="2"/>
    <x v="6"/>
    <x v="8"/>
    <n v="155.99996777126819"/>
  </r>
  <r>
    <x v="6"/>
    <x v="0"/>
    <x v="6"/>
    <x v="6"/>
    <x v="0"/>
    <x v="0"/>
    <x v="0"/>
    <x v="0"/>
    <x v="0"/>
    <x v="0"/>
    <x v="3"/>
    <x v="3"/>
    <x v="2"/>
    <x v="2"/>
    <x v="2"/>
    <x v="9"/>
    <x v="9"/>
    <n v="9.4009174311870003E-2"/>
    <x v="0"/>
    <x v="0"/>
    <x v="1"/>
    <x v="4"/>
    <x v="5"/>
    <x v="9"/>
    <n v="0.1024699999999383"/>
  </r>
  <r>
    <x v="6"/>
    <x v="0"/>
    <x v="6"/>
    <x v="6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6"/>
    <x v="0"/>
    <x v="6"/>
    <x v="6"/>
    <x v="0"/>
    <x v="0"/>
    <x v="0"/>
    <x v="0"/>
    <x v="0"/>
    <x v="0"/>
    <x v="3"/>
    <x v="3"/>
    <x v="2"/>
    <x v="2"/>
    <x v="2"/>
    <x v="16"/>
    <x v="16"/>
    <n v="26.7562"/>
    <x v="0"/>
    <x v="0"/>
    <x v="3"/>
    <x v="5"/>
    <x v="9"/>
    <x v="16"/>
    <n v="29.164258"/>
  </r>
  <r>
    <x v="6"/>
    <x v="0"/>
    <x v="6"/>
    <x v="6"/>
    <x v="0"/>
    <x v="0"/>
    <x v="0"/>
    <x v="0"/>
    <x v="0"/>
    <x v="0"/>
    <x v="3"/>
    <x v="3"/>
    <x v="2"/>
    <x v="2"/>
    <x v="2"/>
    <x v="2"/>
    <x v="2"/>
    <n v="77.876256880687194"/>
    <x v="0"/>
    <x v="1"/>
    <x v="2"/>
    <x v="2"/>
    <x v="13"/>
    <x v="2"/>
    <n v="84.885119999949055"/>
  </r>
  <r>
    <x v="6"/>
    <x v="0"/>
    <x v="6"/>
    <x v="6"/>
    <x v="0"/>
    <x v="0"/>
    <x v="0"/>
    <x v="0"/>
    <x v="0"/>
    <x v="0"/>
    <x v="3"/>
    <x v="3"/>
    <x v="4"/>
    <x v="5"/>
    <x v="5"/>
    <x v="8"/>
    <x v="8"/>
    <n v="38.091283784027603"/>
    <x v="0"/>
    <x v="1"/>
    <x v="2"/>
    <x v="2"/>
    <x v="6"/>
    <x v="8"/>
    <n v="41.519499324590093"/>
  </r>
  <r>
    <x v="6"/>
    <x v="0"/>
    <x v="6"/>
    <x v="6"/>
    <x v="0"/>
    <x v="0"/>
    <x v="0"/>
    <x v="0"/>
    <x v="0"/>
    <x v="0"/>
    <x v="3"/>
    <x v="3"/>
    <x v="4"/>
    <x v="5"/>
    <x v="5"/>
    <x v="12"/>
    <x v="12"/>
    <n v="30.517965116163101"/>
    <x v="0"/>
    <x v="0"/>
    <x v="0"/>
    <x v="0"/>
    <x v="8"/>
    <x v="12"/>
    <n v="33.264581976617784"/>
  </r>
  <r>
    <x v="6"/>
    <x v="0"/>
    <x v="6"/>
    <x v="6"/>
    <x v="0"/>
    <x v="0"/>
    <x v="0"/>
    <x v="0"/>
    <x v="0"/>
    <x v="0"/>
    <x v="3"/>
    <x v="3"/>
    <x v="4"/>
    <x v="5"/>
    <x v="5"/>
    <x v="18"/>
    <x v="18"/>
    <n v="12.536670000000001"/>
    <x v="0"/>
    <x v="0"/>
    <x v="0"/>
    <x v="0"/>
    <x v="4"/>
    <x v="18"/>
    <n v="13.664970300000002"/>
  </r>
  <r>
    <x v="6"/>
    <x v="0"/>
    <x v="6"/>
    <x v="6"/>
    <x v="0"/>
    <x v="0"/>
    <x v="0"/>
    <x v="0"/>
    <x v="0"/>
    <x v="0"/>
    <x v="3"/>
    <x v="3"/>
    <x v="4"/>
    <x v="5"/>
    <x v="5"/>
    <x v="27"/>
    <x v="27"/>
    <n v="3.3783783784499999"/>
    <x v="0"/>
    <x v="0"/>
    <x v="1"/>
    <x v="3"/>
    <x v="3"/>
    <x v="19"/>
    <n v="3.6824324325105002"/>
  </r>
  <r>
    <x v="6"/>
    <x v="0"/>
    <x v="6"/>
    <x v="6"/>
    <x v="0"/>
    <x v="0"/>
    <x v="0"/>
    <x v="0"/>
    <x v="0"/>
    <x v="0"/>
    <x v="3"/>
    <x v="3"/>
    <x v="4"/>
    <x v="5"/>
    <x v="5"/>
    <x v="0"/>
    <x v="0"/>
    <n v="205.788990212947"/>
    <x v="0"/>
    <x v="0"/>
    <x v="0"/>
    <x v="0"/>
    <x v="0"/>
    <x v="0"/>
    <n v="224.30999933211226"/>
  </r>
  <r>
    <x v="6"/>
    <x v="0"/>
    <x v="6"/>
    <x v="6"/>
    <x v="0"/>
    <x v="0"/>
    <x v="0"/>
    <x v="0"/>
    <x v="0"/>
    <x v="0"/>
    <x v="3"/>
    <x v="3"/>
    <x v="4"/>
    <x v="5"/>
    <x v="5"/>
    <x v="2"/>
    <x v="2"/>
    <n v="3.1669908256861699"/>
    <x v="0"/>
    <x v="1"/>
    <x v="2"/>
    <x v="2"/>
    <x v="13"/>
    <x v="2"/>
    <n v="3.4520199999979253"/>
  </r>
  <r>
    <x v="6"/>
    <x v="0"/>
    <x v="6"/>
    <x v="6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6"/>
    <x v="0"/>
    <x v="6"/>
    <x v="6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6"/>
    <x v="0"/>
    <x v="6"/>
    <x v="6"/>
    <x v="0"/>
    <x v="0"/>
    <x v="0"/>
    <x v="0"/>
    <x v="0"/>
    <x v="0"/>
    <x v="4"/>
    <x v="4"/>
    <x v="2"/>
    <x v="2"/>
    <x v="2"/>
    <x v="5"/>
    <x v="5"/>
    <n v="0.46536196319371997"/>
    <x v="0"/>
    <x v="0"/>
    <x v="1"/>
    <x v="1"/>
    <x v="1"/>
    <x v="5"/>
    <n v="0.50724453988115481"/>
  </r>
  <r>
    <x v="6"/>
    <x v="0"/>
    <x v="6"/>
    <x v="6"/>
    <x v="0"/>
    <x v="0"/>
    <x v="0"/>
    <x v="0"/>
    <x v="0"/>
    <x v="0"/>
    <x v="4"/>
    <x v="4"/>
    <x v="2"/>
    <x v="2"/>
    <x v="2"/>
    <x v="6"/>
    <x v="6"/>
    <n v="0.74"/>
    <x v="0"/>
    <x v="0"/>
    <x v="0"/>
    <x v="0"/>
    <x v="4"/>
    <x v="6"/>
    <n v="0.80660000000000009"/>
  </r>
  <r>
    <x v="6"/>
    <x v="0"/>
    <x v="6"/>
    <x v="6"/>
    <x v="0"/>
    <x v="0"/>
    <x v="0"/>
    <x v="0"/>
    <x v="0"/>
    <x v="0"/>
    <x v="4"/>
    <x v="4"/>
    <x v="2"/>
    <x v="2"/>
    <x v="2"/>
    <x v="7"/>
    <x v="7"/>
    <n v="0.49895412844006998"/>
    <x v="0"/>
    <x v="0"/>
    <x v="1"/>
    <x v="4"/>
    <x v="5"/>
    <x v="7"/>
    <n v="0.54385999999967627"/>
  </r>
  <r>
    <x v="6"/>
    <x v="0"/>
    <x v="6"/>
    <x v="6"/>
    <x v="0"/>
    <x v="0"/>
    <x v="0"/>
    <x v="0"/>
    <x v="0"/>
    <x v="0"/>
    <x v="4"/>
    <x v="4"/>
    <x v="2"/>
    <x v="2"/>
    <x v="2"/>
    <x v="8"/>
    <x v="8"/>
    <n v="8.5114864865410006E-2"/>
    <x v="0"/>
    <x v="1"/>
    <x v="2"/>
    <x v="2"/>
    <x v="6"/>
    <x v="8"/>
    <n v="9.2775202703296908E-2"/>
  </r>
  <r>
    <x v="6"/>
    <x v="0"/>
    <x v="6"/>
    <x v="6"/>
    <x v="0"/>
    <x v="0"/>
    <x v="0"/>
    <x v="0"/>
    <x v="0"/>
    <x v="0"/>
    <x v="4"/>
    <x v="4"/>
    <x v="2"/>
    <x v="2"/>
    <x v="2"/>
    <x v="9"/>
    <x v="9"/>
    <n v="4.893577981648E-2"/>
    <x v="0"/>
    <x v="0"/>
    <x v="1"/>
    <x v="4"/>
    <x v="5"/>
    <x v="9"/>
    <n v="5.3339999999963202E-2"/>
  </r>
  <r>
    <x v="6"/>
    <x v="0"/>
    <x v="6"/>
    <x v="6"/>
    <x v="0"/>
    <x v="0"/>
    <x v="0"/>
    <x v="0"/>
    <x v="0"/>
    <x v="0"/>
    <x v="4"/>
    <x v="4"/>
    <x v="2"/>
    <x v="2"/>
    <x v="2"/>
    <x v="11"/>
    <x v="11"/>
    <n v="0.39228000000000002"/>
    <x v="0"/>
    <x v="0"/>
    <x v="3"/>
    <x v="5"/>
    <x v="7"/>
    <x v="11"/>
    <n v="0.42758520000000005"/>
  </r>
  <r>
    <x v="6"/>
    <x v="0"/>
    <x v="6"/>
    <x v="6"/>
    <x v="0"/>
    <x v="0"/>
    <x v="0"/>
    <x v="0"/>
    <x v="0"/>
    <x v="0"/>
    <x v="4"/>
    <x v="4"/>
    <x v="2"/>
    <x v="2"/>
    <x v="2"/>
    <x v="12"/>
    <x v="12"/>
    <n v="8.6841976743856009"/>
    <x v="0"/>
    <x v="0"/>
    <x v="0"/>
    <x v="0"/>
    <x v="8"/>
    <x v="12"/>
    <n v="9.4657754650803057"/>
  </r>
  <r>
    <x v="6"/>
    <x v="0"/>
    <x v="6"/>
    <x v="6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6"/>
    <x v="0"/>
    <x v="6"/>
    <x v="6"/>
    <x v="0"/>
    <x v="0"/>
    <x v="0"/>
    <x v="0"/>
    <x v="0"/>
    <x v="0"/>
    <x v="4"/>
    <x v="4"/>
    <x v="2"/>
    <x v="2"/>
    <x v="2"/>
    <x v="16"/>
    <x v="16"/>
    <n v="6.7607299999999997"/>
    <x v="0"/>
    <x v="0"/>
    <x v="3"/>
    <x v="5"/>
    <x v="9"/>
    <x v="16"/>
    <n v="7.3691957000000006"/>
  </r>
  <r>
    <x v="6"/>
    <x v="0"/>
    <x v="6"/>
    <x v="6"/>
    <x v="0"/>
    <x v="0"/>
    <x v="0"/>
    <x v="0"/>
    <x v="0"/>
    <x v="0"/>
    <x v="4"/>
    <x v="4"/>
    <x v="2"/>
    <x v="2"/>
    <x v="2"/>
    <x v="18"/>
    <x v="18"/>
    <n v="1.19"/>
    <x v="0"/>
    <x v="0"/>
    <x v="0"/>
    <x v="0"/>
    <x v="4"/>
    <x v="18"/>
    <n v="1.2971000000000001"/>
  </r>
  <r>
    <x v="6"/>
    <x v="0"/>
    <x v="6"/>
    <x v="6"/>
    <x v="0"/>
    <x v="0"/>
    <x v="0"/>
    <x v="0"/>
    <x v="0"/>
    <x v="0"/>
    <x v="4"/>
    <x v="4"/>
    <x v="2"/>
    <x v="2"/>
    <x v="2"/>
    <x v="25"/>
    <x v="25"/>
    <n v="0.10846788990818999"/>
    <x v="0"/>
    <x v="0"/>
    <x v="1"/>
    <x v="4"/>
    <x v="5"/>
    <x v="9"/>
    <n v="0.1182299999999271"/>
  </r>
  <r>
    <x v="6"/>
    <x v="0"/>
    <x v="6"/>
    <x v="6"/>
    <x v="0"/>
    <x v="0"/>
    <x v="0"/>
    <x v="0"/>
    <x v="0"/>
    <x v="0"/>
    <x v="4"/>
    <x v="4"/>
    <x v="2"/>
    <x v="2"/>
    <x v="2"/>
    <x v="27"/>
    <x v="27"/>
    <n v="1.0979076576809299"/>
    <x v="0"/>
    <x v="0"/>
    <x v="1"/>
    <x v="3"/>
    <x v="3"/>
    <x v="19"/>
    <n v="1.1967193468722137"/>
  </r>
  <r>
    <x v="6"/>
    <x v="0"/>
    <x v="6"/>
    <x v="6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6"/>
    <x v="0"/>
    <x v="6"/>
    <x v="6"/>
    <x v="0"/>
    <x v="0"/>
    <x v="0"/>
    <x v="0"/>
    <x v="0"/>
    <x v="0"/>
    <x v="4"/>
    <x v="4"/>
    <x v="2"/>
    <x v="2"/>
    <x v="2"/>
    <x v="2"/>
    <x v="2"/>
    <n v="1.87201834862273"/>
    <x v="0"/>
    <x v="1"/>
    <x v="2"/>
    <x v="2"/>
    <x v="13"/>
    <x v="2"/>
    <n v="2.0404999999987758"/>
  </r>
  <r>
    <x v="6"/>
    <x v="0"/>
    <x v="6"/>
    <x v="6"/>
    <x v="0"/>
    <x v="0"/>
    <x v="0"/>
    <x v="0"/>
    <x v="2"/>
    <x v="2"/>
    <x v="5"/>
    <x v="5"/>
    <x v="2"/>
    <x v="2"/>
    <x v="2"/>
    <x v="42"/>
    <x v="42"/>
    <n v="1.1455500000000001"/>
    <x v="1"/>
    <x v="2"/>
    <x v="5"/>
    <x v="7"/>
    <x v="11"/>
    <x v="22"/>
    <n v="1.2486495000000002"/>
  </r>
  <r>
    <x v="6"/>
    <x v="0"/>
    <x v="6"/>
    <x v="6"/>
    <x v="0"/>
    <x v="0"/>
    <x v="0"/>
    <x v="0"/>
    <x v="2"/>
    <x v="2"/>
    <x v="5"/>
    <x v="5"/>
    <x v="2"/>
    <x v="2"/>
    <x v="2"/>
    <x v="41"/>
    <x v="41"/>
    <n v="0.2417234042544"/>
    <x v="1"/>
    <x v="2"/>
    <x v="5"/>
    <x v="7"/>
    <x v="11"/>
    <x v="22"/>
    <n v="0.26347851063729605"/>
  </r>
  <r>
    <x v="6"/>
    <x v="0"/>
    <x v="6"/>
    <x v="6"/>
    <x v="0"/>
    <x v="0"/>
    <x v="0"/>
    <x v="0"/>
    <x v="2"/>
    <x v="2"/>
    <x v="5"/>
    <x v="5"/>
    <x v="2"/>
    <x v="2"/>
    <x v="2"/>
    <x v="40"/>
    <x v="40"/>
    <n v="18.593309999999999"/>
    <x v="1"/>
    <x v="2"/>
    <x v="5"/>
    <x v="7"/>
    <x v="11"/>
    <x v="22"/>
    <n v="20.2667079"/>
  </r>
  <r>
    <x v="6"/>
    <x v="0"/>
    <x v="6"/>
    <x v="6"/>
    <x v="0"/>
    <x v="0"/>
    <x v="0"/>
    <x v="0"/>
    <x v="2"/>
    <x v="2"/>
    <x v="5"/>
    <x v="5"/>
    <x v="2"/>
    <x v="2"/>
    <x v="2"/>
    <x v="38"/>
    <x v="38"/>
    <n v="107.46381"/>
    <x v="1"/>
    <x v="0"/>
    <x v="4"/>
    <x v="6"/>
    <x v="10"/>
    <x v="21"/>
    <n v="117.13555290000001"/>
  </r>
  <r>
    <x v="6"/>
    <x v="0"/>
    <x v="6"/>
    <x v="6"/>
    <x v="0"/>
    <x v="0"/>
    <x v="0"/>
    <x v="0"/>
    <x v="0"/>
    <x v="0"/>
    <x v="5"/>
    <x v="5"/>
    <x v="2"/>
    <x v="2"/>
    <x v="2"/>
    <x v="17"/>
    <x v="17"/>
    <n v="0.99960000000000004"/>
    <x v="0"/>
    <x v="0"/>
    <x v="0"/>
    <x v="0"/>
    <x v="4"/>
    <x v="17"/>
    <n v="1.0895640000000002"/>
  </r>
  <r>
    <x v="6"/>
    <x v="0"/>
    <x v="6"/>
    <x v="6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6"/>
    <x v="0"/>
    <x v="6"/>
    <x v="6"/>
    <x v="0"/>
    <x v="0"/>
    <x v="0"/>
    <x v="0"/>
    <x v="2"/>
    <x v="2"/>
    <x v="5"/>
    <x v="5"/>
    <x v="3"/>
    <x v="7"/>
    <x v="7"/>
    <x v="40"/>
    <x v="40"/>
    <n v="5.0187499999999998"/>
    <x v="1"/>
    <x v="2"/>
    <x v="5"/>
    <x v="7"/>
    <x v="11"/>
    <x v="22"/>
    <n v="5.4704375000000001"/>
  </r>
  <r>
    <x v="6"/>
    <x v="0"/>
    <x v="6"/>
    <x v="6"/>
    <x v="0"/>
    <x v="0"/>
    <x v="0"/>
    <x v="0"/>
    <x v="2"/>
    <x v="2"/>
    <x v="5"/>
    <x v="5"/>
    <x v="1"/>
    <x v="8"/>
    <x v="8"/>
    <x v="40"/>
    <x v="40"/>
    <n v="3.80715"/>
    <x v="1"/>
    <x v="2"/>
    <x v="5"/>
    <x v="7"/>
    <x v="11"/>
    <x v="22"/>
    <n v="4.1497935000000004"/>
  </r>
  <r>
    <x v="6"/>
    <x v="0"/>
    <x v="6"/>
    <x v="6"/>
    <x v="0"/>
    <x v="0"/>
    <x v="0"/>
    <x v="0"/>
    <x v="2"/>
    <x v="2"/>
    <x v="5"/>
    <x v="5"/>
    <x v="2"/>
    <x v="10"/>
    <x v="10"/>
    <x v="40"/>
    <x v="40"/>
    <n v="0.81289999999999996"/>
    <x v="1"/>
    <x v="2"/>
    <x v="5"/>
    <x v="7"/>
    <x v="11"/>
    <x v="22"/>
    <n v="0.88606099999999999"/>
  </r>
  <r>
    <x v="6"/>
    <x v="0"/>
    <x v="6"/>
    <x v="6"/>
    <x v="0"/>
    <x v="0"/>
    <x v="0"/>
    <x v="0"/>
    <x v="2"/>
    <x v="2"/>
    <x v="5"/>
    <x v="5"/>
    <x v="4"/>
    <x v="5"/>
    <x v="5"/>
    <x v="40"/>
    <x v="40"/>
    <n v="131.36805000000001"/>
    <x v="1"/>
    <x v="2"/>
    <x v="5"/>
    <x v="7"/>
    <x v="11"/>
    <x v="22"/>
    <n v="143.19117450000002"/>
  </r>
  <r>
    <x v="6"/>
    <x v="0"/>
    <x v="6"/>
    <x v="6"/>
    <x v="0"/>
    <x v="0"/>
    <x v="0"/>
    <x v="0"/>
    <x v="2"/>
    <x v="2"/>
    <x v="6"/>
    <x v="6"/>
    <x v="2"/>
    <x v="2"/>
    <x v="2"/>
    <x v="40"/>
    <x v="40"/>
    <n v="0.44058000000000003"/>
    <x v="1"/>
    <x v="2"/>
    <x v="5"/>
    <x v="7"/>
    <x v="11"/>
    <x v="22"/>
    <n v="0.48023220000000005"/>
  </r>
  <r>
    <x v="6"/>
    <x v="0"/>
    <x v="6"/>
    <x v="6"/>
    <x v="0"/>
    <x v="0"/>
    <x v="0"/>
    <x v="0"/>
    <x v="2"/>
    <x v="2"/>
    <x v="7"/>
    <x v="7"/>
    <x v="2"/>
    <x v="2"/>
    <x v="2"/>
    <x v="40"/>
    <x v="40"/>
    <n v="13.66512"/>
    <x v="1"/>
    <x v="2"/>
    <x v="5"/>
    <x v="7"/>
    <x v="11"/>
    <x v="22"/>
    <n v="14.894980800000001"/>
  </r>
  <r>
    <x v="6"/>
    <x v="0"/>
    <x v="6"/>
    <x v="6"/>
    <x v="0"/>
    <x v="0"/>
    <x v="0"/>
    <x v="0"/>
    <x v="2"/>
    <x v="2"/>
    <x v="7"/>
    <x v="7"/>
    <x v="2"/>
    <x v="2"/>
    <x v="2"/>
    <x v="38"/>
    <x v="38"/>
    <n v="160.16194999999999"/>
    <x v="1"/>
    <x v="0"/>
    <x v="4"/>
    <x v="6"/>
    <x v="10"/>
    <x v="21"/>
    <n v="174.5765255"/>
  </r>
  <r>
    <x v="6"/>
    <x v="0"/>
    <x v="6"/>
    <x v="6"/>
    <x v="0"/>
    <x v="0"/>
    <x v="0"/>
    <x v="0"/>
    <x v="2"/>
    <x v="2"/>
    <x v="7"/>
    <x v="7"/>
    <x v="2"/>
    <x v="2"/>
    <x v="2"/>
    <x v="43"/>
    <x v="43"/>
    <n v="11.074579999999999"/>
    <x v="1"/>
    <x v="0"/>
    <x v="4"/>
    <x v="6"/>
    <x v="10"/>
    <x v="21"/>
    <n v="12.0712922"/>
  </r>
  <r>
    <x v="6"/>
    <x v="0"/>
    <x v="6"/>
    <x v="6"/>
    <x v="0"/>
    <x v="0"/>
    <x v="0"/>
    <x v="0"/>
    <x v="2"/>
    <x v="2"/>
    <x v="7"/>
    <x v="7"/>
    <x v="2"/>
    <x v="2"/>
    <x v="2"/>
    <x v="44"/>
    <x v="44"/>
    <n v="8.1"/>
    <x v="1"/>
    <x v="0"/>
    <x v="4"/>
    <x v="6"/>
    <x v="10"/>
    <x v="21"/>
    <n v="8.8290000000000006"/>
  </r>
  <r>
    <x v="6"/>
    <x v="0"/>
    <x v="6"/>
    <x v="6"/>
    <x v="0"/>
    <x v="0"/>
    <x v="0"/>
    <x v="0"/>
    <x v="0"/>
    <x v="0"/>
    <x v="7"/>
    <x v="7"/>
    <x v="2"/>
    <x v="2"/>
    <x v="2"/>
    <x v="17"/>
    <x v="17"/>
    <n v="12.75267"/>
    <x v="0"/>
    <x v="0"/>
    <x v="0"/>
    <x v="0"/>
    <x v="4"/>
    <x v="17"/>
    <n v="13.900410300000001"/>
  </r>
  <r>
    <x v="6"/>
    <x v="0"/>
    <x v="6"/>
    <x v="6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6"/>
    <x v="0"/>
    <x v="6"/>
    <x v="6"/>
    <x v="0"/>
    <x v="0"/>
    <x v="0"/>
    <x v="0"/>
    <x v="2"/>
    <x v="2"/>
    <x v="7"/>
    <x v="7"/>
    <x v="2"/>
    <x v="2"/>
    <x v="2"/>
    <x v="46"/>
    <x v="46"/>
    <n v="0.54978000000000005"/>
    <x v="1"/>
    <x v="0"/>
    <x v="4"/>
    <x v="6"/>
    <x v="10"/>
    <x v="21"/>
    <n v="0.59926020000000013"/>
  </r>
  <r>
    <x v="6"/>
    <x v="0"/>
    <x v="6"/>
    <x v="6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6"/>
    <x v="0"/>
    <x v="6"/>
    <x v="6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6"/>
    <x v="0"/>
    <x v="6"/>
    <x v="6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6"/>
    <x v="0"/>
    <x v="6"/>
    <x v="6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6"/>
    <x v="0"/>
    <x v="6"/>
    <x v="6"/>
    <x v="0"/>
    <x v="0"/>
    <x v="0"/>
    <x v="0"/>
    <x v="2"/>
    <x v="2"/>
    <x v="7"/>
    <x v="7"/>
    <x v="3"/>
    <x v="7"/>
    <x v="7"/>
    <x v="40"/>
    <x v="40"/>
    <n v="143.81524999999999"/>
    <x v="1"/>
    <x v="2"/>
    <x v="5"/>
    <x v="7"/>
    <x v="11"/>
    <x v="22"/>
    <n v="156.7586225"/>
  </r>
  <r>
    <x v="6"/>
    <x v="0"/>
    <x v="6"/>
    <x v="6"/>
    <x v="0"/>
    <x v="0"/>
    <x v="0"/>
    <x v="0"/>
    <x v="2"/>
    <x v="2"/>
    <x v="7"/>
    <x v="7"/>
    <x v="1"/>
    <x v="8"/>
    <x v="8"/>
    <x v="40"/>
    <x v="40"/>
    <n v="14.05955"/>
    <x v="1"/>
    <x v="2"/>
    <x v="5"/>
    <x v="7"/>
    <x v="11"/>
    <x v="22"/>
    <n v="15.3249095"/>
  </r>
  <r>
    <x v="6"/>
    <x v="0"/>
    <x v="6"/>
    <x v="6"/>
    <x v="0"/>
    <x v="0"/>
    <x v="0"/>
    <x v="0"/>
    <x v="2"/>
    <x v="2"/>
    <x v="7"/>
    <x v="7"/>
    <x v="2"/>
    <x v="10"/>
    <x v="10"/>
    <x v="40"/>
    <x v="40"/>
    <n v="2.7097000000000002"/>
    <x v="1"/>
    <x v="2"/>
    <x v="5"/>
    <x v="7"/>
    <x v="11"/>
    <x v="22"/>
    <n v="2.9535730000000004"/>
  </r>
  <r>
    <x v="6"/>
    <x v="0"/>
    <x v="6"/>
    <x v="6"/>
    <x v="0"/>
    <x v="0"/>
    <x v="0"/>
    <x v="0"/>
    <x v="2"/>
    <x v="2"/>
    <x v="7"/>
    <x v="7"/>
    <x v="4"/>
    <x v="5"/>
    <x v="5"/>
    <x v="40"/>
    <x v="40"/>
    <n v="113.2997"/>
    <x v="1"/>
    <x v="2"/>
    <x v="5"/>
    <x v="7"/>
    <x v="11"/>
    <x v="22"/>
    <n v="123.49667300000002"/>
  </r>
  <r>
    <x v="6"/>
    <x v="0"/>
    <x v="6"/>
    <x v="6"/>
    <x v="0"/>
    <x v="0"/>
    <x v="0"/>
    <x v="0"/>
    <x v="2"/>
    <x v="2"/>
    <x v="8"/>
    <x v="8"/>
    <x v="2"/>
    <x v="2"/>
    <x v="2"/>
    <x v="40"/>
    <x v="40"/>
    <n v="5.4579000000000004"/>
    <x v="1"/>
    <x v="2"/>
    <x v="5"/>
    <x v="7"/>
    <x v="11"/>
    <x v="22"/>
    <n v="5.9491110000000011"/>
  </r>
  <r>
    <x v="6"/>
    <x v="0"/>
    <x v="6"/>
    <x v="6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6"/>
    <x v="0"/>
    <x v="6"/>
    <x v="6"/>
    <x v="0"/>
    <x v="0"/>
    <x v="0"/>
    <x v="0"/>
    <x v="2"/>
    <x v="2"/>
    <x v="9"/>
    <x v="9"/>
    <x v="2"/>
    <x v="2"/>
    <x v="2"/>
    <x v="40"/>
    <x v="40"/>
    <n v="107.78279999999999"/>
    <x v="1"/>
    <x v="2"/>
    <x v="5"/>
    <x v="7"/>
    <x v="11"/>
    <x v="22"/>
    <n v="117.48325200000001"/>
  </r>
  <r>
    <x v="6"/>
    <x v="0"/>
    <x v="6"/>
    <x v="6"/>
    <x v="0"/>
    <x v="0"/>
    <x v="0"/>
    <x v="0"/>
    <x v="2"/>
    <x v="2"/>
    <x v="9"/>
    <x v="9"/>
    <x v="2"/>
    <x v="2"/>
    <x v="2"/>
    <x v="38"/>
    <x v="38"/>
    <n v="730.21617000000003"/>
    <x v="1"/>
    <x v="0"/>
    <x v="4"/>
    <x v="6"/>
    <x v="10"/>
    <x v="21"/>
    <n v="795.93562530000008"/>
  </r>
  <r>
    <x v="6"/>
    <x v="0"/>
    <x v="6"/>
    <x v="6"/>
    <x v="0"/>
    <x v="0"/>
    <x v="0"/>
    <x v="0"/>
    <x v="2"/>
    <x v="2"/>
    <x v="9"/>
    <x v="9"/>
    <x v="2"/>
    <x v="2"/>
    <x v="2"/>
    <x v="48"/>
    <x v="48"/>
    <n v="0.61970999999999998"/>
    <x v="1"/>
    <x v="0"/>
    <x v="4"/>
    <x v="6"/>
    <x v="10"/>
    <x v="21"/>
    <n v="0.67548390000000003"/>
  </r>
  <r>
    <x v="6"/>
    <x v="0"/>
    <x v="6"/>
    <x v="6"/>
    <x v="0"/>
    <x v="0"/>
    <x v="0"/>
    <x v="0"/>
    <x v="2"/>
    <x v="2"/>
    <x v="9"/>
    <x v="9"/>
    <x v="1"/>
    <x v="6"/>
    <x v="6"/>
    <x v="40"/>
    <x v="40"/>
    <n v="97.775000000000006"/>
    <x v="1"/>
    <x v="2"/>
    <x v="5"/>
    <x v="7"/>
    <x v="11"/>
    <x v="22"/>
    <n v="106.57475000000001"/>
  </r>
  <r>
    <x v="6"/>
    <x v="0"/>
    <x v="6"/>
    <x v="6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6"/>
    <x v="0"/>
    <x v="6"/>
    <x v="6"/>
    <x v="0"/>
    <x v="0"/>
    <x v="0"/>
    <x v="0"/>
    <x v="2"/>
    <x v="2"/>
    <x v="9"/>
    <x v="9"/>
    <x v="3"/>
    <x v="7"/>
    <x v="7"/>
    <x v="40"/>
    <x v="40"/>
    <n v="728.24929999999995"/>
    <x v="1"/>
    <x v="2"/>
    <x v="5"/>
    <x v="7"/>
    <x v="11"/>
    <x v="22"/>
    <n v="793.79173700000001"/>
  </r>
  <r>
    <x v="6"/>
    <x v="0"/>
    <x v="6"/>
    <x v="6"/>
    <x v="0"/>
    <x v="0"/>
    <x v="0"/>
    <x v="0"/>
    <x v="2"/>
    <x v="2"/>
    <x v="9"/>
    <x v="9"/>
    <x v="1"/>
    <x v="8"/>
    <x v="8"/>
    <x v="40"/>
    <x v="40"/>
    <n v="199.35230000000001"/>
    <x v="1"/>
    <x v="2"/>
    <x v="5"/>
    <x v="7"/>
    <x v="11"/>
    <x v="22"/>
    <n v="217.29400700000002"/>
  </r>
  <r>
    <x v="6"/>
    <x v="0"/>
    <x v="6"/>
    <x v="6"/>
    <x v="0"/>
    <x v="0"/>
    <x v="0"/>
    <x v="0"/>
    <x v="2"/>
    <x v="2"/>
    <x v="9"/>
    <x v="9"/>
    <x v="2"/>
    <x v="10"/>
    <x v="10"/>
    <x v="40"/>
    <x v="40"/>
    <n v="162.19300000000001"/>
    <x v="1"/>
    <x v="2"/>
    <x v="5"/>
    <x v="7"/>
    <x v="11"/>
    <x v="22"/>
    <n v="176.79037000000002"/>
  </r>
  <r>
    <x v="6"/>
    <x v="0"/>
    <x v="6"/>
    <x v="6"/>
    <x v="0"/>
    <x v="0"/>
    <x v="0"/>
    <x v="0"/>
    <x v="2"/>
    <x v="2"/>
    <x v="9"/>
    <x v="9"/>
    <x v="4"/>
    <x v="5"/>
    <x v="5"/>
    <x v="40"/>
    <x v="40"/>
    <n v="1161.4104500000001"/>
    <x v="1"/>
    <x v="2"/>
    <x v="5"/>
    <x v="7"/>
    <x v="11"/>
    <x v="22"/>
    <n v="1265.9373905000002"/>
  </r>
  <r>
    <x v="6"/>
    <x v="0"/>
    <x v="6"/>
    <x v="6"/>
    <x v="0"/>
    <x v="0"/>
    <x v="0"/>
    <x v="0"/>
    <x v="2"/>
    <x v="2"/>
    <x v="10"/>
    <x v="10"/>
    <x v="2"/>
    <x v="2"/>
    <x v="2"/>
    <x v="41"/>
    <x v="41"/>
    <n v="0.31432978723284999"/>
    <x v="1"/>
    <x v="2"/>
    <x v="5"/>
    <x v="7"/>
    <x v="11"/>
    <x v="22"/>
    <n v="0.3426194680838065"/>
  </r>
  <r>
    <x v="6"/>
    <x v="0"/>
    <x v="6"/>
    <x v="6"/>
    <x v="0"/>
    <x v="0"/>
    <x v="0"/>
    <x v="0"/>
    <x v="2"/>
    <x v="2"/>
    <x v="10"/>
    <x v="10"/>
    <x v="2"/>
    <x v="2"/>
    <x v="2"/>
    <x v="40"/>
    <x v="40"/>
    <n v="38.029000000000003"/>
    <x v="1"/>
    <x v="2"/>
    <x v="5"/>
    <x v="7"/>
    <x v="11"/>
    <x v="22"/>
    <n v="41.451610000000009"/>
  </r>
  <r>
    <x v="6"/>
    <x v="0"/>
    <x v="6"/>
    <x v="6"/>
    <x v="0"/>
    <x v="0"/>
    <x v="0"/>
    <x v="0"/>
    <x v="3"/>
    <x v="3"/>
    <x v="12"/>
    <x v="12"/>
    <x v="2"/>
    <x v="2"/>
    <x v="2"/>
    <x v="40"/>
    <x v="40"/>
    <n v="0.89459999999999995"/>
    <x v="1"/>
    <x v="2"/>
    <x v="5"/>
    <x v="7"/>
    <x v="11"/>
    <x v="22"/>
    <n v="0.97511400000000004"/>
  </r>
  <r>
    <x v="6"/>
    <x v="0"/>
    <x v="6"/>
    <x v="6"/>
    <x v="0"/>
    <x v="0"/>
    <x v="0"/>
    <x v="0"/>
    <x v="3"/>
    <x v="3"/>
    <x v="12"/>
    <x v="12"/>
    <x v="3"/>
    <x v="7"/>
    <x v="7"/>
    <x v="40"/>
    <x v="40"/>
    <n v="7.1017000000000001"/>
    <x v="1"/>
    <x v="2"/>
    <x v="5"/>
    <x v="7"/>
    <x v="11"/>
    <x v="22"/>
    <n v="7.7408530000000004"/>
  </r>
  <r>
    <x v="6"/>
    <x v="0"/>
    <x v="6"/>
    <x v="6"/>
    <x v="0"/>
    <x v="0"/>
    <x v="0"/>
    <x v="0"/>
    <x v="3"/>
    <x v="3"/>
    <x v="12"/>
    <x v="12"/>
    <x v="4"/>
    <x v="5"/>
    <x v="5"/>
    <x v="40"/>
    <x v="40"/>
    <n v="17.145600000000002"/>
    <x v="1"/>
    <x v="2"/>
    <x v="5"/>
    <x v="7"/>
    <x v="11"/>
    <x v="22"/>
    <n v="18.688704000000005"/>
  </r>
  <r>
    <x v="6"/>
    <x v="0"/>
    <x v="6"/>
    <x v="6"/>
    <x v="0"/>
    <x v="0"/>
    <x v="0"/>
    <x v="0"/>
    <x v="3"/>
    <x v="3"/>
    <x v="13"/>
    <x v="13"/>
    <x v="2"/>
    <x v="2"/>
    <x v="2"/>
    <x v="41"/>
    <x v="41"/>
    <n v="0.29020212765846998"/>
    <x v="1"/>
    <x v="2"/>
    <x v="5"/>
    <x v="7"/>
    <x v="11"/>
    <x v="22"/>
    <n v="0.31632031914773229"/>
  </r>
  <r>
    <x v="6"/>
    <x v="0"/>
    <x v="6"/>
    <x v="6"/>
    <x v="0"/>
    <x v="0"/>
    <x v="0"/>
    <x v="0"/>
    <x v="3"/>
    <x v="3"/>
    <x v="13"/>
    <x v="13"/>
    <x v="2"/>
    <x v="2"/>
    <x v="2"/>
    <x v="40"/>
    <x v="40"/>
    <n v="18.827190000000002"/>
    <x v="1"/>
    <x v="2"/>
    <x v="5"/>
    <x v="7"/>
    <x v="11"/>
    <x v="22"/>
    <n v="20.521637100000003"/>
  </r>
  <r>
    <x v="6"/>
    <x v="0"/>
    <x v="6"/>
    <x v="6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6"/>
    <x v="0"/>
    <x v="6"/>
    <x v="6"/>
    <x v="0"/>
    <x v="0"/>
    <x v="0"/>
    <x v="0"/>
    <x v="3"/>
    <x v="3"/>
    <x v="13"/>
    <x v="13"/>
    <x v="1"/>
    <x v="8"/>
    <x v="8"/>
    <x v="40"/>
    <x v="40"/>
    <n v="2.6677499999999998"/>
    <x v="1"/>
    <x v="2"/>
    <x v="5"/>
    <x v="7"/>
    <x v="11"/>
    <x v="22"/>
    <n v="2.9078474999999999"/>
  </r>
  <r>
    <x v="6"/>
    <x v="0"/>
    <x v="6"/>
    <x v="6"/>
    <x v="0"/>
    <x v="0"/>
    <x v="0"/>
    <x v="0"/>
    <x v="3"/>
    <x v="3"/>
    <x v="13"/>
    <x v="13"/>
    <x v="4"/>
    <x v="5"/>
    <x v="5"/>
    <x v="40"/>
    <x v="40"/>
    <n v="1.24725"/>
    <x v="1"/>
    <x v="2"/>
    <x v="5"/>
    <x v="7"/>
    <x v="11"/>
    <x v="22"/>
    <n v="1.3595025000000001"/>
  </r>
  <r>
    <x v="6"/>
    <x v="0"/>
    <x v="6"/>
    <x v="6"/>
    <x v="0"/>
    <x v="0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6"/>
    <x v="0"/>
    <x v="6"/>
    <x v="6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6"/>
    <x v="0"/>
    <x v="6"/>
    <x v="6"/>
    <x v="0"/>
    <x v="0"/>
    <x v="0"/>
    <x v="0"/>
    <x v="2"/>
    <x v="2"/>
    <x v="14"/>
    <x v="14"/>
    <x v="2"/>
    <x v="2"/>
    <x v="2"/>
    <x v="40"/>
    <x v="40"/>
    <n v="4.7443200000000001"/>
    <x v="1"/>
    <x v="2"/>
    <x v="5"/>
    <x v="7"/>
    <x v="11"/>
    <x v="22"/>
    <n v="5.1713088000000003"/>
  </r>
  <r>
    <x v="6"/>
    <x v="0"/>
    <x v="6"/>
    <x v="6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6"/>
    <x v="0"/>
    <x v="6"/>
    <x v="6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6"/>
    <x v="0"/>
    <x v="6"/>
    <x v="6"/>
    <x v="0"/>
    <x v="0"/>
    <x v="0"/>
    <x v="0"/>
    <x v="2"/>
    <x v="2"/>
    <x v="17"/>
    <x v="17"/>
    <x v="2"/>
    <x v="2"/>
    <x v="2"/>
    <x v="42"/>
    <x v="42"/>
    <n v="8.1763499999999993"/>
    <x v="1"/>
    <x v="2"/>
    <x v="5"/>
    <x v="7"/>
    <x v="11"/>
    <x v="22"/>
    <n v="8.9122214999999994"/>
  </r>
  <r>
    <x v="6"/>
    <x v="0"/>
    <x v="6"/>
    <x v="6"/>
    <x v="0"/>
    <x v="0"/>
    <x v="0"/>
    <x v="0"/>
    <x v="2"/>
    <x v="2"/>
    <x v="17"/>
    <x v="17"/>
    <x v="2"/>
    <x v="2"/>
    <x v="2"/>
    <x v="40"/>
    <x v="40"/>
    <n v="12.83093"/>
    <x v="1"/>
    <x v="2"/>
    <x v="5"/>
    <x v="7"/>
    <x v="11"/>
    <x v="22"/>
    <n v="13.985713700000002"/>
  </r>
  <r>
    <x v="6"/>
    <x v="0"/>
    <x v="6"/>
    <x v="6"/>
    <x v="0"/>
    <x v="0"/>
    <x v="0"/>
    <x v="0"/>
    <x v="2"/>
    <x v="2"/>
    <x v="17"/>
    <x v="17"/>
    <x v="2"/>
    <x v="2"/>
    <x v="2"/>
    <x v="38"/>
    <x v="38"/>
    <n v="33.997140000000002"/>
    <x v="1"/>
    <x v="0"/>
    <x v="4"/>
    <x v="6"/>
    <x v="10"/>
    <x v="21"/>
    <n v="37.056882600000002"/>
  </r>
  <r>
    <x v="6"/>
    <x v="0"/>
    <x v="6"/>
    <x v="6"/>
    <x v="0"/>
    <x v="0"/>
    <x v="0"/>
    <x v="0"/>
    <x v="2"/>
    <x v="2"/>
    <x v="17"/>
    <x v="17"/>
    <x v="3"/>
    <x v="7"/>
    <x v="7"/>
    <x v="7"/>
    <x v="7"/>
    <n v="9.1125905920957404"/>
    <x v="0"/>
    <x v="0"/>
    <x v="1"/>
    <x v="4"/>
    <x v="5"/>
    <x v="7"/>
    <n v="9.932723745384358"/>
  </r>
  <r>
    <x v="6"/>
    <x v="0"/>
    <x v="6"/>
    <x v="6"/>
    <x v="0"/>
    <x v="0"/>
    <x v="0"/>
    <x v="0"/>
    <x v="2"/>
    <x v="2"/>
    <x v="17"/>
    <x v="17"/>
    <x v="3"/>
    <x v="7"/>
    <x v="7"/>
    <x v="40"/>
    <x v="40"/>
    <n v="22.242450000000002"/>
    <x v="1"/>
    <x v="2"/>
    <x v="5"/>
    <x v="7"/>
    <x v="11"/>
    <x v="22"/>
    <n v="24.244270500000002"/>
  </r>
  <r>
    <x v="6"/>
    <x v="0"/>
    <x v="6"/>
    <x v="6"/>
    <x v="0"/>
    <x v="0"/>
    <x v="0"/>
    <x v="0"/>
    <x v="2"/>
    <x v="2"/>
    <x v="17"/>
    <x v="17"/>
    <x v="1"/>
    <x v="8"/>
    <x v="8"/>
    <x v="7"/>
    <x v="7"/>
    <n v="8.7235174213742308"/>
    <x v="0"/>
    <x v="0"/>
    <x v="1"/>
    <x v="4"/>
    <x v="5"/>
    <x v="7"/>
    <n v="9.5086339892979126"/>
  </r>
  <r>
    <x v="6"/>
    <x v="0"/>
    <x v="6"/>
    <x v="6"/>
    <x v="0"/>
    <x v="0"/>
    <x v="0"/>
    <x v="0"/>
    <x v="2"/>
    <x v="2"/>
    <x v="17"/>
    <x v="17"/>
    <x v="1"/>
    <x v="8"/>
    <x v="8"/>
    <x v="40"/>
    <x v="40"/>
    <n v="9.3769500000000008"/>
    <x v="1"/>
    <x v="2"/>
    <x v="5"/>
    <x v="7"/>
    <x v="11"/>
    <x v="22"/>
    <n v="10.220875500000002"/>
  </r>
  <r>
    <x v="6"/>
    <x v="0"/>
    <x v="6"/>
    <x v="6"/>
    <x v="0"/>
    <x v="0"/>
    <x v="0"/>
    <x v="0"/>
    <x v="2"/>
    <x v="2"/>
    <x v="17"/>
    <x v="17"/>
    <x v="0"/>
    <x v="9"/>
    <x v="9"/>
    <x v="7"/>
    <x v="7"/>
    <n v="69.081012193312006"/>
    <x v="0"/>
    <x v="0"/>
    <x v="1"/>
    <x v="4"/>
    <x v="5"/>
    <x v="7"/>
    <n v="75.298303290710095"/>
  </r>
  <r>
    <x v="6"/>
    <x v="0"/>
    <x v="6"/>
    <x v="6"/>
    <x v="0"/>
    <x v="0"/>
    <x v="0"/>
    <x v="0"/>
    <x v="2"/>
    <x v="2"/>
    <x v="17"/>
    <x v="17"/>
    <x v="2"/>
    <x v="10"/>
    <x v="10"/>
    <x v="7"/>
    <x v="7"/>
    <n v="3.1793710800560699"/>
    <x v="0"/>
    <x v="0"/>
    <x v="1"/>
    <x v="4"/>
    <x v="5"/>
    <x v="7"/>
    <n v="3.4655144772611166"/>
  </r>
  <r>
    <x v="6"/>
    <x v="0"/>
    <x v="6"/>
    <x v="6"/>
    <x v="0"/>
    <x v="0"/>
    <x v="0"/>
    <x v="0"/>
    <x v="2"/>
    <x v="2"/>
    <x v="17"/>
    <x v="17"/>
    <x v="2"/>
    <x v="10"/>
    <x v="10"/>
    <x v="40"/>
    <x v="40"/>
    <n v="2.7097500000000001"/>
    <x v="1"/>
    <x v="2"/>
    <x v="5"/>
    <x v="7"/>
    <x v="11"/>
    <x v="22"/>
    <n v="2.9536275000000005"/>
  </r>
  <r>
    <x v="6"/>
    <x v="0"/>
    <x v="6"/>
    <x v="6"/>
    <x v="0"/>
    <x v="0"/>
    <x v="0"/>
    <x v="0"/>
    <x v="2"/>
    <x v="2"/>
    <x v="17"/>
    <x v="17"/>
    <x v="4"/>
    <x v="5"/>
    <x v="5"/>
    <x v="40"/>
    <x v="40"/>
    <n v="403.11034000000001"/>
    <x v="1"/>
    <x v="2"/>
    <x v="5"/>
    <x v="7"/>
    <x v="11"/>
    <x v="22"/>
    <n v="439.39027060000006"/>
  </r>
  <r>
    <x v="6"/>
    <x v="0"/>
    <x v="6"/>
    <x v="6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6"/>
    <x v="0"/>
    <x v="6"/>
    <x v="6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6"/>
    <x v="0"/>
    <x v="6"/>
    <x v="6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6"/>
    <x v="0"/>
    <x v="6"/>
    <x v="6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6"/>
    <x v="0"/>
    <x v="6"/>
    <x v="6"/>
    <x v="0"/>
    <x v="1"/>
    <x v="0"/>
    <x v="0"/>
    <x v="0"/>
    <x v="0"/>
    <x v="2"/>
    <x v="2"/>
    <x v="2"/>
    <x v="2"/>
    <x v="2"/>
    <x v="2"/>
    <x v="2"/>
    <n v="210.649908256754"/>
    <x v="0"/>
    <x v="1"/>
    <x v="2"/>
    <x v="2"/>
    <x v="13"/>
    <x v="2"/>
    <n v="229.60839999986189"/>
  </r>
  <r>
    <x v="6"/>
    <x v="0"/>
    <x v="6"/>
    <x v="6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6"/>
    <x v="0"/>
    <x v="6"/>
    <x v="6"/>
    <x v="0"/>
    <x v="1"/>
    <x v="0"/>
    <x v="0"/>
    <x v="0"/>
    <x v="0"/>
    <x v="0"/>
    <x v="0"/>
    <x v="3"/>
    <x v="3"/>
    <x v="3"/>
    <x v="6"/>
    <x v="6"/>
    <n v="7.4080000000000004"/>
    <x v="0"/>
    <x v="0"/>
    <x v="0"/>
    <x v="0"/>
    <x v="4"/>
    <x v="6"/>
    <n v="8.074720000000001"/>
  </r>
  <r>
    <x v="6"/>
    <x v="0"/>
    <x v="6"/>
    <x v="6"/>
    <x v="0"/>
    <x v="1"/>
    <x v="0"/>
    <x v="0"/>
    <x v="0"/>
    <x v="0"/>
    <x v="0"/>
    <x v="0"/>
    <x v="3"/>
    <x v="3"/>
    <x v="3"/>
    <x v="8"/>
    <x v="8"/>
    <n v="135.178939190054"/>
    <x v="0"/>
    <x v="1"/>
    <x v="2"/>
    <x v="2"/>
    <x v="6"/>
    <x v="8"/>
    <n v="147.34504371715886"/>
  </r>
  <r>
    <x v="6"/>
    <x v="0"/>
    <x v="6"/>
    <x v="6"/>
    <x v="0"/>
    <x v="1"/>
    <x v="0"/>
    <x v="0"/>
    <x v="0"/>
    <x v="0"/>
    <x v="0"/>
    <x v="0"/>
    <x v="3"/>
    <x v="3"/>
    <x v="3"/>
    <x v="2"/>
    <x v="2"/>
    <n v="468.85384403641598"/>
    <x v="0"/>
    <x v="1"/>
    <x v="2"/>
    <x v="2"/>
    <x v="13"/>
    <x v="2"/>
    <n v="511.05068999969347"/>
  </r>
  <r>
    <x v="6"/>
    <x v="0"/>
    <x v="6"/>
    <x v="6"/>
    <x v="0"/>
    <x v="1"/>
    <x v="0"/>
    <x v="0"/>
    <x v="0"/>
    <x v="0"/>
    <x v="0"/>
    <x v="0"/>
    <x v="0"/>
    <x v="4"/>
    <x v="4"/>
    <x v="6"/>
    <x v="6"/>
    <n v="10.71346"/>
    <x v="0"/>
    <x v="0"/>
    <x v="0"/>
    <x v="0"/>
    <x v="4"/>
    <x v="6"/>
    <n v="11.677671399999999"/>
  </r>
  <r>
    <x v="6"/>
    <x v="0"/>
    <x v="6"/>
    <x v="6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6"/>
    <x v="0"/>
    <x v="6"/>
    <x v="6"/>
    <x v="0"/>
    <x v="1"/>
    <x v="0"/>
    <x v="0"/>
    <x v="0"/>
    <x v="0"/>
    <x v="0"/>
    <x v="0"/>
    <x v="0"/>
    <x v="4"/>
    <x v="4"/>
    <x v="8"/>
    <x v="8"/>
    <n v="27.366222973148101"/>
    <x v="0"/>
    <x v="1"/>
    <x v="2"/>
    <x v="2"/>
    <x v="6"/>
    <x v="8"/>
    <n v="29.829183040731433"/>
  </r>
  <r>
    <x v="6"/>
    <x v="0"/>
    <x v="6"/>
    <x v="6"/>
    <x v="0"/>
    <x v="1"/>
    <x v="0"/>
    <x v="0"/>
    <x v="0"/>
    <x v="0"/>
    <x v="0"/>
    <x v="0"/>
    <x v="0"/>
    <x v="4"/>
    <x v="4"/>
    <x v="9"/>
    <x v="9"/>
    <n v="7.2619266055002303"/>
    <x v="0"/>
    <x v="0"/>
    <x v="1"/>
    <x v="4"/>
    <x v="5"/>
    <x v="9"/>
    <n v="7.9154999999952516"/>
  </r>
  <r>
    <x v="6"/>
    <x v="0"/>
    <x v="6"/>
    <x v="6"/>
    <x v="0"/>
    <x v="1"/>
    <x v="0"/>
    <x v="0"/>
    <x v="0"/>
    <x v="0"/>
    <x v="0"/>
    <x v="0"/>
    <x v="0"/>
    <x v="4"/>
    <x v="4"/>
    <x v="28"/>
    <x v="28"/>
    <n v="19.869350000000001"/>
    <x v="0"/>
    <x v="0"/>
    <x v="1"/>
    <x v="3"/>
    <x v="3"/>
    <x v="13"/>
    <n v="21.657591500000002"/>
  </r>
  <r>
    <x v="6"/>
    <x v="0"/>
    <x v="6"/>
    <x v="6"/>
    <x v="0"/>
    <x v="1"/>
    <x v="0"/>
    <x v="0"/>
    <x v="0"/>
    <x v="0"/>
    <x v="0"/>
    <x v="0"/>
    <x v="0"/>
    <x v="4"/>
    <x v="4"/>
    <x v="11"/>
    <x v="11"/>
    <n v="27.34356"/>
    <x v="0"/>
    <x v="0"/>
    <x v="3"/>
    <x v="5"/>
    <x v="7"/>
    <x v="11"/>
    <n v="29.804480400000003"/>
  </r>
  <r>
    <x v="6"/>
    <x v="0"/>
    <x v="6"/>
    <x v="6"/>
    <x v="0"/>
    <x v="1"/>
    <x v="0"/>
    <x v="0"/>
    <x v="0"/>
    <x v="0"/>
    <x v="0"/>
    <x v="0"/>
    <x v="0"/>
    <x v="4"/>
    <x v="4"/>
    <x v="12"/>
    <x v="12"/>
    <n v="703.15052325314196"/>
    <x v="0"/>
    <x v="0"/>
    <x v="0"/>
    <x v="0"/>
    <x v="8"/>
    <x v="12"/>
    <n v="766.43407034592474"/>
  </r>
  <r>
    <x v="6"/>
    <x v="0"/>
    <x v="6"/>
    <x v="6"/>
    <x v="0"/>
    <x v="1"/>
    <x v="0"/>
    <x v="0"/>
    <x v="0"/>
    <x v="0"/>
    <x v="0"/>
    <x v="0"/>
    <x v="0"/>
    <x v="4"/>
    <x v="4"/>
    <x v="14"/>
    <x v="14"/>
    <n v="101.1529"/>
    <x v="0"/>
    <x v="0"/>
    <x v="0"/>
    <x v="0"/>
    <x v="8"/>
    <x v="14"/>
    <n v="110.25666100000001"/>
  </r>
  <r>
    <x v="6"/>
    <x v="0"/>
    <x v="6"/>
    <x v="6"/>
    <x v="0"/>
    <x v="1"/>
    <x v="0"/>
    <x v="0"/>
    <x v="0"/>
    <x v="0"/>
    <x v="0"/>
    <x v="0"/>
    <x v="0"/>
    <x v="4"/>
    <x v="4"/>
    <x v="16"/>
    <x v="16"/>
    <n v="1663.7209800000001"/>
    <x v="0"/>
    <x v="0"/>
    <x v="3"/>
    <x v="5"/>
    <x v="9"/>
    <x v="16"/>
    <n v="1813.4558682000002"/>
  </r>
  <r>
    <x v="6"/>
    <x v="0"/>
    <x v="6"/>
    <x v="6"/>
    <x v="0"/>
    <x v="1"/>
    <x v="0"/>
    <x v="0"/>
    <x v="0"/>
    <x v="0"/>
    <x v="0"/>
    <x v="0"/>
    <x v="0"/>
    <x v="4"/>
    <x v="4"/>
    <x v="25"/>
    <x v="25"/>
    <n v="13.610816513753299"/>
    <x v="0"/>
    <x v="0"/>
    <x v="1"/>
    <x v="4"/>
    <x v="5"/>
    <x v="9"/>
    <n v="14.835789999991098"/>
  </r>
  <r>
    <x v="6"/>
    <x v="0"/>
    <x v="6"/>
    <x v="6"/>
    <x v="0"/>
    <x v="1"/>
    <x v="0"/>
    <x v="0"/>
    <x v="0"/>
    <x v="0"/>
    <x v="0"/>
    <x v="0"/>
    <x v="0"/>
    <x v="4"/>
    <x v="4"/>
    <x v="27"/>
    <x v="27"/>
    <n v="75.700495497100306"/>
    <x v="0"/>
    <x v="0"/>
    <x v="1"/>
    <x v="3"/>
    <x v="3"/>
    <x v="19"/>
    <n v="82.513540091839346"/>
  </r>
  <r>
    <x v="6"/>
    <x v="0"/>
    <x v="6"/>
    <x v="6"/>
    <x v="0"/>
    <x v="1"/>
    <x v="0"/>
    <x v="0"/>
    <x v="0"/>
    <x v="0"/>
    <x v="0"/>
    <x v="0"/>
    <x v="0"/>
    <x v="4"/>
    <x v="4"/>
    <x v="20"/>
    <x v="20"/>
    <n v="263.90253999999999"/>
    <x v="0"/>
    <x v="0"/>
    <x v="1"/>
    <x v="3"/>
    <x v="3"/>
    <x v="13"/>
    <n v="287.65376860000003"/>
  </r>
  <r>
    <x v="6"/>
    <x v="0"/>
    <x v="6"/>
    <x v="6"/>
    <x v="0"/>
    <x v="1"/>
    <x v="0"/>
    <x v="0"/>
    <x v="0"/>
    <x v="0"/>
    <x v="0"/>
    <x v="0"/>
    <x v="0"/>
    <x v="4"/>
    <x v="4"/>
    <x v="2"/>
    <x v="2"/>
    <n v="3455.8238348603099"/>
    <x v="0"/>
    <x v="1"/>
    <x v="2"/>
    <x v="2"/>
    <x v="13"/>
    <x v="2"/>
    <n v="3766.8479799977381"/>
  </r>
  <r>
    <x v="6"/>
    <x v="0"/>
    <x v="6"/>
    <x v="6"/>
    <x v="0"/>
    <x v="1"/>
    <x v="0"/>
    <x v="0"/>
    <x v="0"/>
    <x v="0"/>
    <x v="0"/>
    <x v="0"/>
    <x v="0"/>
    <x v="4"/>
    <x v="4"/>
    <x v="3"/>
    <x v="3"/>
    <n v="155.216532007598"/>
    <x v="0"/>
    <x v="0"/>
    <x v="1"/>
    <x v="3"/>
    <x v="3"/>
    <x v="3"/>
    <n v="169.18601988828183"/>
  </r>
  <r>
    <x v="6"/>
    <x v="0"/>
    <x v="6"/>
    <x v="6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6"/>
    <x v="0"/>
    <x v="6"/>
    <x v="6"/>
    <x v="0"/>
    <x v="1"/>
    <x v="0"/>
    <x v="0"/>
    <x v="0"/>
    <x v="0"/>
    <x v="0"/>
    <x v="0"/>
    <x v="0"/>
    <x v="0"/>
    <x v="0"/>
    <x v="6"/>
    <x v="6"/>
    <n v="115.91204"/>
    <x v="0"/>
    <x v="0"/>
    <x v="0"/>
    <x v="0"/>
    <x v="4"/>
    <x v="6"/>
    <n v="126.34412360000002"/>
  </r>
  <r>
    <x v="6"/>
    <x v="0"/>
    <x v="6"/>
    <x v="6"/>
    <x v="0"/>
    <x v="1"/>
    <x v="0"/>
    <x v="0"/>
    <x v="0"/>
    <x v="0"/>
    <x v="0"/>
    <x v="0"/>
    <x v="0"/>
    <x v="0"/>
    <x v="0"/>
    <x v="7"/>
    <x v="7"/>
    <n v="11.0797706421952"/>
    <x v="0"/>
    <x v="0"/>
    <x v="1"/>
    <x v="4"/>
    <x v="5"/>
    <x v="7"/>
    <n v="12.076949999992769"/>
  </r>
  <r>
    <x v="6"/>
    <x v="0"/>
    <x v="6"/>
    <x v="6"/>
    <x v="0"/>
    <x v="1"/>
    <x v="0"/>
    <x v="0"/>
    <x v="0"/>
    <x v="0"/>
    <x v="0"/>
    <x v="0"/>
    <x v="0"/>
    <x v="0"/>
    <x v="0"/>
    <x v="8"/>
    <x v="8"/>
    <n v="339.61848648865998"/>
    <x v="0"/>
    <x v="1"/>
    <x v="2"/>
    <x v="2"/>
    <x v="6"/>
    <x v="8"/>
    <n v="370.18415027263939"/>
  </r>
  <r>
    <x v="6"/>
    <x v="0"/>
    <x v="6"/>
    <x v="6"/>
    <x v="0"/>
    <x v="1"/>
    <x v="0"/>
    <x v="0"/>
    <x v="0"/>
    <x v="0"/>
    <x v="0"/>
    <x v="0"/>
    <x v="0"/>
    <x v="0"/>
    <x v="0"/>
    <x v="9"/>
    <x v="9"/>
    <n v="96.396643118533007"/>
    <x v="0"/>
    <x v="0"/>
    <x v="1"/>
    <x v="4"/>
    <x v="5"/>
    <x v="9"/>
    <n v="105.07234099920099"/>
  </r>
  <r>
    <x v="6"/>
    <x v="0"/>
    <x v="6"/>
    <x v="6"/>
    <x v="0"/>
    <x v="1"/>
    <x v="0"/>
    <x v="0"/>
    <x v="0"/>
    <x v="0"/>
    <x v="0"/>
    <x v="0"/>
    <x v="0"/>
    <x v="0"/>
    <x v="0"/>
    <x v="10"/>
    <x v="10"/>
    <n v="111.924845815772"/>
    <x v="0"/>
    <x v="0"/>
    <x v="1"/>
    <x v="4"/>
    <x v="5"/>
    <x v="10"/>
    <n v="121.99808193919149"/>
  </r>
  <r>
    <x v="6"/>
    <x v="0"/>
    <x v="6"/>
    <x v="6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6"/>
    <x v="0"/>
    <x v="6"/>
    <x v="6"/>
    <x v="0"/>
    <x v="1"/>
    <x v="0"/>
    <x v="0"/>
    <x v="0"/>
    <x v="0"/>
    <x v="0"/>
    <x v="0"/>
    <x v="0"/>
    <x v="0"/>
    <x v="0"/>
    <x v="11"/>
    <x v="11"/>
    <n v="49.106360000000002"/>
    <x v="0"/>
    <x v="0"/>
    <x v="3"/>
    <x v="5"/>
    <x v="7"/>
    <x v="11"/>
    <n v="53.525932400000009"/>
  </r>
  <r>
    <x v="6"/>
    <x v="0"/>
    <x v="6"/>
    <x v="6"/>
    <x v="0"/>
    <x v="1"/>
    <x v="0"/>
    <x v="0"/>
    <x v="0"/>
    <x v="0"/>
    <x v="0"/>
    <x v="0"/>
    <x v="0"/>
    <x v="0"/>
    <x v="0"/>
    <x v="12"/>
    <x v="12"/>
    <n v="728.77869767164896"/>
    <x v="0"/>
    <x v="0"/>
    <x v="0"/>
    <x v="0"/>
    <x v="8"/>
    <x v="12"/>
    <n v="794.36878046209745"/>
  </r>
  <r>
    <x v="6"/>
    <x v="0"/>
    <x v="6"/>
    <x v="6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6"/>
    <x v="0"/>
    <x v="6"/>
    <x v="6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6"/>
    <x v="0"/>
    <x v="6"/>
    <x v="6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6"/>
    <x v="0"/>
    <x v="6"/>
    <x v="6"/>
    <x v="0"/>
    <x v="1"/>
    <x v="0"/>
    <x v="0"/>
    <x v="0"/>
    <x v="0"/>
    <x v="0"/>
    <x v="0"/>
    <x v="0"/>
    <x v="0"/>
    <x v="0"/>
    <x v="24"/>
    <x v="24"/>
    <n v="9.9088623853151603"/>
    <x v="0"/>
    <x v="0"/>
    <x v="1"/>
    <x v="3"/>
    <x v="3"/>
    <x v="4"/>
    <n v="10.800659999993526"/>
  </r>
  <r>
    <x v="6"/>
    <x v="0"/>
    <x v="6"/>
    <x v="6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6"/>
    <x v="0"/>
    <x v="6"/>
    <x v="6"/>
    <x v="0"/>
    <x v="1"/>
    <x v="0"/>
    <x v="0"/>
    <x v="0"/>
    <x v="0"/>
    <x v="0"/>
    <x v="0"/>
    <x v="0"/>
    <x v="0"/>
    <x v="0"/>
    <x v="21"/>
    <x v="21"/>
    <n v="13.719220183478001"/>
    <x v="0"/>
    <x v="0"/>
    <x v="1"/>
    <x v="4"/>
    <x v="5"/>
    <x v="10"/>
    <n v="14.953949999991021"/>
  </r>
  <r>
    <x v="6"/>
    <x v="0"/>
    <x v="6"/>
    <x v="6"/>
    <x v="0"/>
    <x v="1"/>
    <x v="0"/>
    <x v="0"/>
    <x v="0"/>
    <x v="0"/>
    <x v="0"/>
    <x v="0"/>
    <x v="0"/>
    <x v="0"/>
    <x v="0"/>
    <x v="18"/>
    <x v="18"/>
    <n v="44.390169999999998"/>
    <x v="0"/>
    <x v="0"/>
    <x v="0"/>
    <x v="0"/>
    <x v="4"/>
    <x v="18"/>
    <n v="48.3852853"/>
  </r>
  <r>
    <x v="6"/>
    <x v="0"/>
    <x v="6"/>
    <x v="6"/>
    <x v="0"/>
    <x v="1"/>
    <x v="0"/>
    <x v="0"/>
    <x v="0"/>
    <x v="0"/>
    <x v="0"/>
    <x v="0"/>
    <x v="0"/>
    <x v="0"/>
    <x v="0"/>
    <x v="25"/>
    <x v="25"/>
    <n v="99.849798165077701"/>
    <x v="0"/>
    <x v="0"/>
    <x v="1"/>
    <x v="4"/>
    <x v="5"/>
    <x v="9"/>
    <n v="108.8362799999347"/>
  </r>
  <r>
    <x v="6"/>
    <x v="0"/>
    <x v="6"/>
    <x v="6"/>
    <x v="0"/>
    <x v="1"/>
    <x v="0"/>
    <x v="0"/>
    <x v="0"/>
    <x v="0"/>
    <x v="0"/>
    <x v="0"/>
    <x v="0"/>
    <x v="0"/>
    <x v="0"/>
    <x v="26"/>
    <x v="26"/>
    <n v="0.94306422018292002"/>
    <x v="0"/>
    <x v="0"/>
    <x v="1"/>
    <x v="3"/>
    <x v="3"/>
    <x v="15"/>
    <n v="1.0279399999993828"/>
  </r>
  <r>
    <x v="6"/>
    <x v="0"/>
    <x v="6"/>
    <x v="6"/>
    <x v="0"/>
    <x v="1"/>
    <x v="0"/>
    <x v="0"/>
    <x v="0"/>
    <x v="0"/>
    <x v="0"/>
    <x v="0"/>
    <x v="0"/>
    <x v="0"/>
    <x v="0"/>
    <x v="0"/>
    <x v="0"/>
    <n v="14.686859430563899"/>
    <x v="0"/>
    <x v="0"/>
    <x v="0"/>
    <x v="0"/>
    <x v="0"/>
    <x v="0"/>
    <n v="16.008676779314651"/>
  </r>
  <r>
    <x v="6"/>
    <x v="0"/>
    <x v="6"/>
    <x v="6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6"/>
    <x v="0"/>
    <x v="6"/>
    <x v="6"/>
    <x v="0"/>
    <x v="1"/>
    <x v="0"/>
    <x v="0"/>
    <x v="0"/>
    <x v="0"/>
    <x v="0"/>
    <x v="0"/>
    <x v="0"/>
    <x v="0"/>
    <x v="0"/>
    <x v="2"/>
    <x v="2"/>
    <n v="7275.4328073350798"/>
    <x v="0"/>
    <x v="1"/>
    <x v="2"/>
    <x v="2"/>
    <x v="13"/>
    <x v="2"/>
    <n v="7930.2217599952373"/>
  </r>
  <r>
    <x v="6"/>
    <x v="0"/>
    <x v="6"/>
    <x v="6"/>
    <x v="0"/>
    <x v="1"/>
    <x v="0"/>
    <x v="0"/>
    <x v="0"/>
    <x v="0"/>
    <x v="0"/>
    <x v="0"/>
    <x v="0"/>
    <x v="0"/>
    <x v="0"/>
    <x v="3"/>
    <x v="3"/>
    <n v="31.868735465494499"/>
    <x v="0"/>
    <x v="0"/>
    <x v="1"/>
    <x v="3"/>
    <x v="3"/>
    <x v="3"/>
    <n v="34.736921657389004"/>
  </r>
  <r>
    <x v="6"/>
    <x v="0"/>
    <x v="6"/>
    <x v="6"/>
    <x v="0"/>
    <x v="1"/>
    <x v="0"/>
    <x v="0"/>
    <x v="0"/>
    <x v="0"/>
    <x v="0"/>
    <x v="0"/>
    <x v="1"/>
    <x v="1"/>
    <x v="1"/>
    <x v="4"/>
    <x v="4"/>
    <n v="44.840082568780403"/>
    <x v="0"/>
    <x v="0"/>
    <x v="1"/>
    <x v="3"/>
    <x v="3"/>
    <x v="4"/>
    <n v="48.875689999970646"/>
  </r>
  <r>
    <x v="6"/>
    <x v="0"/>
    <x v="6"/>
    <x v="6"/>
    <x v="0"/>
    <x v="1"/>
    <x v="0"/>
    <x v="0"/>
    <x v="0"/>
    <x v="0"/>
    <x v="0"/>
    <x v="0"/>
    <x v="1"/>
    <x v="1"/>
    <x v="1"/>
    <x v="5"/>
    <x v="5"/>
    <n v="90.992269939341895"/>
    <x v="0"/>
    <x v="0"/>
    <x v="1"/>
    <x v="1"/>
    <x v="1"/>
    <x v="5"/>
    <n v="99.181574233882671"/>
  </r>
  <r>
    <x v="6"/>
    <x v="0"/>
    <x v="6"/>
    <x v="6"/>
    <x v="0"/>
    <x v="1"/>
    <x v="0"/>
    <x v="0"/>
    <x v="0"/>
    <x v="0"/>
    <x v="0"/>
    <x v="0"/>
    <x v="1"/>
    <x v="1"/>
    <x v="1"/>
    <x v="6"/>
    <x v="6"/>
    <n v="203.36626000000001"/>
    <x v="0"/>
    <x v="0"/>
    <x v="0"/>
    <x v="0"/>
    <x v="4"/>
    <x v="6"/>
    <n v="221.66922340000002"/>
  </r>
  <r>
    <x v="6"/>
    <x v="0"/>
    <x v="6"/>
    <x v="6"/>
    <x v="0"/>
    <x v="1"/>
    <x v="0"/>
    <x v="0"/>
    <x v="0"/>
    <x v="0"/>
    <x v="0"/>
    <x v="0"/>
    <x v="1"/>
    <x v="1"/>
    <x v="1"/>
    <x v="7"/>
    <x v="7"/>
    <n v="11.0797706421952"/>
    <x v="0"/>
    <x v="0"/>
    <x v="1"/>
    <x v="4"/>
    <x v="5"/>
    <x v="7"/>
    <n v="12.076949999992769"/>
  </r>
  <r>
    <x v="6"/>
    <x v="0"/>
    <x v="6"/>
    <x v="6"/>
    <x v="0"/>
    <x v="1"/>
    <x v="0"/>
    <x v="0"/>
    <x v="0"/>
    <x v="0"/>
    <x v="0"/>
    <x v="0"/>
    <x v="1"/>
    <x v="1"/>
    <x v="1"/>
    <x v="8"/>
    <x v="8"/>
    <n v="5389.8792027372001"/>
    <x v="0"/>
    <x v="1"/>
    <x v="2"/>
    <x v="2"/>
    <x v="6"/>
    <x v="8"/>
    <n v="5874.9683309835482"/>
  </r>
  <r>
    <x v="6"/>
    <x v="0"/>
    <x v="6"/>
    <x v="6"/>
    <x v="0"/>
    <x v="1"/>
    <x v="0"/>
    <x v="0"/>
    <x v="0"/>
    <x v="0"/>
    <x v="0"/>
    <x v="0"/>
    <x v="1"/>
    <x v="1"/>
    <x v="1"/>
    <x v="9"/>
    <x v="9"/>
    <n v="99.629052282765699"/>
    <x v="0"/>
    <x v="0"/>
    <x v="1"/>
    <x v="4"/>
    <x v="5"/>
    <x v="9"/>
    <n v="108.59566698821462"/>
  </r>
  <r>
    <x v="6"/>
    <x v="0"/>
    <x v="6"/>
    <x v="6"/>
    <x v="0"/>
    <x v="1"/>
    <x v="0"/>
    <x v="0"/>
    <x v="0"/>
    <x v="0"/>
    <x v="0"/>
    <x v="0"/>
    <x v="1"/>
    <x v="1"/>
    <x v="1"/>
    <x v="10"/>
    <x v="10"/>
    <n v="54.845423414973197"/>
    <x v="0"/>
    <x v="0"/>
    <x v="1"/>
    <x v="4"/>
    <x v="5"/>
    <x v="10"/>
    <n v="59.781511522320791"/>
  </r>
  <r>
    <x v="6"/>
    <x v="0"/>
    <x v="6"/>
    <x v="6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6"/>
    <x v="0"/>
    <x v="6"/>
    <x v="6"/>
    <x v="0"/>
    <x v="1"/>
    <x v="0"/>
    <x v="0"/>
    <x v="0"/>
    <x v="0"/>
    <x v="0"/>
    <x v="0"/>
    <x v="1"/>
    <x v="1"/>
    <x v="1"/>
    <x v="11"/>
    <x v="11"/>
    <n v="61.075040000000001"/>
    <x v="0"/>
    <x v="0"/>
    <x v="3"/>
    <x v="5"/>
    <x v="7"/>
    <x v="11"/>
    <n v="66.571793600000007"/>
  </r>
  <r>
    <x v="6"/>
    <x v="0"/>
    <x v="6"/>
    <x v="6"/>
    <x v="0"/>
    <x v="1"/>
    <x v="0"/>
    <x v="0"/>
    <x v="0"/>
    <x v="0"/>
    <x v="0"/>
    <x v="0"/>
    <x v="1"/>
    <x v="1"/>
    <x v="1"/>
    <x v="12"/>
    <x v="12"/>
    <n v="1245.6408837162001"/>
    <x v="0"/>
    <x v="0"/>
    <x v="0"/>
    <x v="0"/>
    <x v="8"/>
    <x v="12"/>
    <n v="1357.7485632506582"/>
  </r>
  <r>
    <x v="6"/>
    <x v="0"/>
    <x v="6"/>
    <x v="6"/>
    <x v="0"/>
    <x v="1"/>
    <x v="0"/>
    <x v="0"/>
    <x v="0"/>
    <x v="0"/>
    <x v="0"/>
    <x v="0"/>
    <x v="1"/>
    <x v="1"/>
    <x v="1"/>
    <x v="14"/>
    <x v="14"/>
    <n v="272.22802000000001"/>
    <x v="0"/>
    <x v="0"/>
    <x v="0"/>
    <x v="0"/>
    <x v="8"/>
    <x v="14"/>
    <n v="296.72854180000002"/>
  </r>
  <r>
    <x v="6"/>
    <x v="0"/>
    <x v="6"/>
    <x v="6"/>
    <x v="0"/>
    <x v="1"/>
    <x v="0"/>
    <x v="0"/>
    <x v="0"/>
    <x v="0"/>
    <x v="0"/>
    <x v="0"/>
    <x v="1"/>
    <x v="1"/>
    <x v="1"/>
    <x v="15"/>
    <x v="15"/>
    <n v="0.58940366972442004"/>
    <x v="0"/>
    <x v="0"/>
    <x v="1"/>
    <x v="3"/>
    <x v="3"/>
    <x v="15"/>
    <n v="0.64244999999961794"/>
  </r>
  <r>
    <x v="6"/>
    <x v="0"/>
    <x v="6"/>
    <x v="6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6"/>
    <x v="0"/>
    <x v="6"/>
    <x v="6"/>
    <x v="0"/>
    <x v="1"/>
    <x v="0"/>
    <x v="0"/>
    <x v="0"/>
    <x v="0"/>
    <x v="0"/>
    <x v="0"/>
    <x v="1"/>
    <x v="1"/>
    <x v="1"/>
    <x v="16"/>
    <x v="16"/>
    <n v="19.3"/>
    <x v="0"/>
    <x v="0"/>
    <x v="3"/>
    <x v="5"/>
    <x v="9"/>
    <x v="16"/>
    <n v="21.037000000000003"/>
  </r>
  <r>
    <x v="6"/>
    <x v="0"/>
    <x v="6"/>
    <x v="6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6"/>
    <x v="0"/>
    <x v="6"/>
    <x v="6"/>
    <x v="0"/>
    <x v="1"/>
    <x v="0"/>
    <x v="0"/>
    <x v="0"/>
    <x v="0"/>
    <x v="0"/>
    <x v="0"/>
    <x v="1"/>
    <x v="1"/>
    <x v="1"/>
    <x v="24"/>
    <x v="24"/>
    <n v="32.792495412824401"/>
    <x v="0"/>
    <x v="0"/>
    <x v="1"/>
    <x v="3"/>
    <x v="3"/>
    <x v="4"/>
    <n v="35.743819999978598"/>
  </r>
  <r>
    <x v="6"/>
    <x v="0"/>
    <x v="6"/>
    <x v="6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6"/>
    <x v="0"/>
    <x v="6"/>
    <x v="6"/>
    <x v="0"/>
    <x v="1"/>
    <x v="0"/>
    <x v="0"/>
    <x v="0"/>
    <x v="0"/>
    <x v="0"/>
    <x v="0"/>
    <x v="1"/>
    <x v="1"/>
    <x v="1"/>
    <x v="18"/>
    <x v="18"/>
    <n v="55.374369999999999"/>
    <x v="0"/>
    <x v="0"/>
    <x v="0"/>
    <x v="0"/>
    <x v="4"/>
    <x v="18"/>
    <n v="60.358063300000005"/>
  </r>
  <r>
    <x v="6"/>
    <x v="0"/>
    <x v="6"/>
    <x v="6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6"/>
    <x v="0"/>
    <x v="6"/>
    <x v="6"/>
    <x v="0"/>
    <x v="1"/>
    <x v="0"/>
    <x v="0"/>
    <x v="0"/>
    <x v="0"/>
    <x v="0"/>
    <x v="0"/>
    <x v="1"/>
    <x v="1"/>
    <x v="1"/>
    <x v="26"/>
    <x v="26"/>
    <n v="4.1369908256855901"/>
    <x v="0"/>
    <x v="0"/>
    <x v="1"/>
    <x v="3"/>
    <x v="3"/>
    <x v="15"/>
    <n v="4.5093199999972935"/>
  </r>
  <r>
    <x v="6"/>
    <x v="0"/>
    <x v="6"/>
    <x v="6"/>
    <x v="0"/>
    <x v="1"/>
    <x v="0"/>
    <x v="0"/>
    <x v="0"/>
    <x v="0"/>
    <x v="0"/>
    <x v="0"/>
    <x v="1"/>
    <x v="1"/>
    <x v="1"/>
    <x v="0"/>
    <x v="0"/>
    <n v="16.3185097864312"/>
    <x v="0"/>
    <x v="0"/>
    <x v="0"/>
    <x v="0"/>
    <x v="0"/>
    <x v="0"/>
    <n v="17.787175667210008"/>
  </r>
  <r>
    <x v="6"/>
    <x v="0"/>
    <x v="6"/>
    <x v="6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6"/>
    <x v="0"/>
    <x v="6"/>
    <x v="6"/>
    <x v="0"/>
    <x v="1"/>
    <x v="0"/>
    <x v="0"/>
    <x v="0"/>
    <x v="0"/>
    <x v="0"/>
    <x v="0"/>
    <x v="1"/>
    <x v="1"/>
    <x v="1"/>
    <x v="2"/>
    <x v="2"/>
    <n v="5482.2363027490001"/>
    <x v="0"/>
    <x v="1"/>
    <x v="2"/>
    <x v="2"/>
    <x v="13"/>
    <x v="2"/>
    <n v="5975.6375699964101"/>
  </r>
  <r>
    <x v="6"/>
    <x v="0"/>
    <x v="6"/>
    <x v="6"/>
    <x v="0"/>
    <x v="1"/>
    <x v="0"/>
    <x v="0"/>
    <x v="0"/>
    <x v="0"/>
    <x v="0"/>
    <x v="0"/>
    <x v="1"/>
    <x v="1"/>
    <x v="1"/>
    <x v="3"/>
    <x v="3"/>
    <n v="248.72114530079699"/>
    <x v="0"/>
    <x v="0"/>
    <x v="1"/>
    <x v="3"/>
    <x v="3"/>
    <x v="3"/>
    <n v="271.10604837786872"/>
  </r>
  <r>
    <x v="6"/>
    <x v="0"/>
    <x v="6"/>
    <x v="6"/>
    <x v="0"/>
    <x v="1"/>
    <x v="0"/>
    <x v="0"/>
    <x v="0"/>
    <x v="0"/>
    <x v="0"/>
    <x v="0"/>
    <x v="2"/>
    <x v="2"/>
    <x v="2"/>
    <x v="4"/>
    <x v="4"/>
    <n v="23.288284403655801"/>
    <x v="0"/>
    <x v="0"/>
    <x v="1"/>
    <x v="3"/>
    <x v="3"/>
    <x v="4"/>
    <n v="25.384229999984825"/>
  </r>
  <r>
    <x v="6"/>
    <x v="0"/>
    <x v="6"/>
    <x v="6"/>
    <x v="0"/>
    <x v="1"/>
    <x v="0"/>
    <x v="0"/>
    <x v="0"/>
    <x v="0"/>
    <x v="0"/>
    <x v="0"/>
    <x v="2"/>
    <x v="2"/>
    <x v="2"/>
    <x v="5"/>
    <x v="5"/>
    <n v="101.709000000773"/>
    <x v="0"/>
    <x v="0"/>
    <x v="1"/>
    <x v="1"/>
    <x v="1"/>
    <x v="5"/>
    <n v="110.86281000084259"/>
  </r>
  <r>
    <x v="6"/>
    <x v="0"/>
    <x v="6"/>
    <x v="6"/>
    <x v="0"/>
    <x v="1"/>
    <x v="0"/>
    <x v="0"/>
    <x v="0"/>
    <x v="0"/>
    <x v="0"/>
    <x v="0"/>
    <x v="2"/>
    <x v="2"/>
    <x v="2"/>
    <x v="6"/>
    <x v="6"/>
    <n v="426.35656"/>
    <x v="0"/>
    <x v="0"/>
    <x v="0"/>
    <x v="0"/>
    <x v="4"/>
    <x v="6"/>
    <n v="464.72865040000005"/>
  </r>
  <r>
    <x v="6"/>
    <x v="0"/>
    <x v="6"/>
    <x v="6"/>
    <x v="0"/>
    <x v="1"/>
    <x v="0"/>
    <x v="0"/>
    <x v="0"/>
    <x v="0"/>
    <x v="0"/>
    <x v="0"/>
    <x v="2"/>
    <x v="2"/>
    <x v="2"/>
    <x v="7"/>
    <x v="7"/>
    <n v="0.68625688073352997"/>
    <x v="0"/>
    <x v="0"/>
    <x v="1"/>
    <x v="4"/>
    <x v="5"/>
    <x v="7"/>
    <n v="0.74801999999954771"/>
  </r>
  <r>
    <x v="6"/>
    <x v="0"/>
    <x v="6"/>
    <x v="6"/>
    <x v="0"/>
    <x v="1"/>
    <x v="0"/>
    <x v="0"/>
    <x v="0"/>
    <x v="0"/>
    <x v="0"/>
    <x v="0"/>
    <x v="2"/>
    <x v="2"/>
    <x v="2"/>
    <x v="8"/>
    <x v="8"/>
    <n v="4636.1854189485903"/>
    <x v="0"/>
    <x v="1"/>
    <x v="2"/>
    <x v="2"/>
    <x v="6"/>
    <x v="8"/>
    <n v="5053.4421066539635"/>
  </r>
  <r>
    <x v="6"/>
    <x v="0"/>
    <x v="6"/>
    <x v="6"/>
    <x v="0"/>
    <x v="1"/>
    <x v="0"/>
    <x v="0"/>
    <x v="0"/>
    <x v="0"/>
    <x v="0"/>
    <x v="0"/>
    <x v="2"/>
    <x v="2"/>
    <x v="2"/>
    <x v="9"/>
    <x v="9"/>
    <n v="29.438064220165799"/>
    <x v="0"/>
    <x v="0"/>
    <x v="1"/>
    <x v="4"/>
    <x v="5"/>
    <x v="9"/>
    <n v="32.087489999980725"/>
  </r>
  <r>
    <x v="6"/>
    <x v="0"/>
    <x v="6"/>
    <x v="6"/>
    <x v="0"/>
    <x v="1"/>
    <x v="0"/>
    <x v="0"/>
    <x v="0"/>
    <x v="0"/>
    <x v="0"/>
    <x v="0"/>
    <x v="2"/>
    <x v="2"/>
    <x v="2"/>
    <x v="10"/>
    <x v="10"/>
    <n v="0.48682858786880001"/>
    <x v="0"/>
    <x v="0"/>
    <x v="1"/>
    <x v="4"/>
    <x v="5"/>
    <x v="10"/>
    <n v="0.53064316077699203"/>
  </r>
  <r>
    <x v="6"/>
    <x v="0"/>
    <x v="6"/>
    <x v="6"/>
    <x v="0"/>
    <x v="1"/>
    <x v="0"/>
    <x v="0"/>
    <x v="0"/>
    <x v="0"/>
    <x v="0"/>
    <x v="0"/>
    <x v="2"/>
    <x v="2"/>
    <x v="2"/>
    <x v="28"/>
    <x v="28"/>
    <n v="19.85688"/>
    <x v="0"/>
    <x v="0"/>
    <x v="1"/>
    <x v="3"/>
    <x v="3"/>
    <x v="13"/>
    <n v="21.643999200000003"/>
  </r>
  <r>
    <x v="6"/>
    <x v="0"/>
    <x v="6"/>
    <x v="6"/>
    <x v="0"/>
    <x v="1"/>
    <x v="0"/>
    <x v="0"/>
    <x v="0"/>
    <x v="0"/>
    <x v="0"/>
    <x v="0"/>
    <x v="2"/>
    <x v="2"/>
    <x v="2"/>
    <x v="31"/>
    <x v="31"/>
    <n v="1.3914495412835699"/>
    <x v="0"/>
    <x v="0"/>
    <x v="1"/>
    <x v="4"/>
    <x v="5"/>
    <x v="10"/>
    <n v="1.5166799999990912"/>
  </r>
  <r>
    <x v="6"/>
    <x v="0"/>
    <x v="6"/>
    <x v="6"/>
    <x v="0"/>
    <x v="1"/>
    <x v="0"/>
    <x v="0"/>
    <x v="0"/>
    <x v="0"/>
    <x v="0"/>
    <x v="0"/>
    <x v="2"/>
    <x v="2"/>
    <x v="2"/>
    <x v="11"/>
    <x v="11"/>
    <n v="87.224770000000007"/>
    <x v="0"/>
    <x v="0"/>
    <x v="3"/>
    <x v="5"/>
    <x v="7"/>
    <x v="11"/>
    <n v="95.074999300000016"/>
  </r>
  <r>
    <x v="6"/>
    <x v="0"/>
    <x v="6"/>
    <x v="6"/>
    <x v="0"/>
    <x v="1"/>
    <x v="0"/>
    <x v="0"/>
    <x v="0"/>
    <x v="0"/>
    <x v="0"/>
    <x v="0"/>
    <x v="2"/>
    <x v="2"/>
    <x v="2"/>
    <x v="12"/>
    <x v="12"/>
    <n v="629.90510827600201"/>
    <x v="0"/>
    <x v="0"/>
    <x v="0"/>
    <x v="0"/>
    <x v="8"/>
    <x v="12"/>
    <n v="686.59656802084226"/>
  </r>
  <r>
    <x v="6"/>
    <x v="0"/>
    <x v="6"/>
    <x v="6"/>
    <x v="0"/>
    <x v="1"/>
    <x v="0"/>
    <x v="0"/>
    <x v="0"/>
    <x v="0"/>
    <x v="0"/>
    <x v="0"/>
    <x v="2"/>
    <x v="2"/>
    <x v="2"/>
    <x v="14"/>
    <x v="14"/>
    <n v="53.156080000000003"/>
    <x v="0"/>
    <x v="0"/>
    <x v="0"/>
    <x v="0"/>
    <x v="8"/>
    <x v="14"/>
    <n v="57.940127200000006"/>
  </r>
  <r>
    <x v="6"/>
    <x v="0"/>
    <x v="6"/>
    <x v="6"/>
    <x v="0"/>
    <x v="1"/>
    <x v="0"/>
    <x v="0"/>
    <x v="0"/>
    <x v="0"/>
    <x v="0"/>
    <x v="0"/>
    <x v="2"/>
    <x v="2"/>
    <x v="2"/>
    <x v="16"/>
    <x v="16"/>
    <n v="333.19560000000001"/>
    <x v="0"/>
    <x v="0"/>
    <x v="3"/>
    <x v="5"/>
    <x v="9"/>
    <x v="16"/>
    <n v="363.18320400000005"/>
  </r>
  <r>
    <x v="6"/>
    <x v="0"/>
    <x v="6"/>
    <x v="6"/>
    <x v="0"/>
    <x v="1"/>
    <x v="0"/>
    <x v="0"/>
    <x v="0"/>
    <x v="0"/>
    <x v="0"/>
    <x v="0"/>
    <x v="2"/>
    <x v="2"/>
    <x v="2"/>
    <x v="17"/>
    <x v="17"/>
    <n v="64.637640000000005"/>
    <x v="0"/>
    <x v="0"/>
    <x v="0"/>
    <x v="0"/>
    <x v="4"/>
    <x v="17"/>
    <n v="70.455027600000008"/>
  </r>
  <r>
    <x v="6"/>
    <x v="0"/>
    <x v="6"/>
    <x v="6"/>
    <x v="0"/>
    <x v="1"/>
    <x v="0"/>
    <x v="0"/>
    <x v="0"/>
    <x v="0"/>
    <x v="0"/>
    <x v="0"/>
    <x v="2"/>
    <x v="2"/>
    <x v="2"/>
    <x v="18"/>
    <x v="18"/>
    <n v="142.62124"/>
    <x v="0"/>
    <x v="0"/>
    <x v="0"/>
    <x v="0"/>
    <x v="4"/>
    <x v="18"/>
    <n v="155.4571516"/>
  </r>
  <r>
    <x v="6"/>
    <x v="0"/>
    <x v="6"/>
    <x v="6"/>
    <x v="0"/>
    <x v="1"/>
    <x v="0"/>
    <x v="0"/>
    <x v="0"/>
    <x v="0"/>
    <x v="0"/>
    <x v="0"/>
    <x v="2"/>
    <x v="2"/>
    <x v="2"/>
    <x v="34"/>
    <x v="34"/>
    <n v="3.8608986898906998"/>
    <x v="0"/>
    <x v="0"/>
    <x v="0"/>
    <x v="0"/>
    <x v="0"/>
    <x v="0"/>
    <n v="4.2083795719808634"/>
  </r>
  <r>
    <x v="6"/>
    <x v="0"/>
    <x v="6"/>
    <x v="6"/>
    <x v="0"/>
    <x v="1"/>
    <x v="0"/>
    <x v="0"/>
    <x v="0"/>
    <x v="0"/>
    <x v="0"/>
    <x v="0"/>
    <x v="2"/>
    <x v="2"/>
    <x v="2"/>
    <x v="25"/>
    <x v="25"/>
    <n v="60.408495412807802"/>
    <x v="0"/>
    <x v="0"/>
    <x v="1"/>
    <x v="4"/>
    <x v="5"/>
    <x v="9"/>
    <n v="65.845259999960504"/>
  </r>
  <r>
    <x v="6"/>
    <x v="0"/>
    <x v="6"/>
    <x v="6"/>
    <x v="0"/>
    <x v="1"/>
    <x v="0"/>
    <x v="0"/>
    <x v="0"/>
    <x v="0"/>
    <x v="0"/>
    <x v="0"/>
    <x v="2"/>
    <x v="2"/>
    <x v="2"/>
    <x v="27"/>
    <x v="27"/>
    <n v="80.605182434141298"/>
    <x v="0"/>
    <x v="0"/>
    <x v="1"/>
    <x v="3"/>
    <x v="3"/>
    <x v="19"/>
    <n v="87.859648853214026"/>
  </r>
  <r>
    <x v="6"/>
    <x v="0"/>
    <x v="6"/>
    <x v="6"/>
    <x v="0"/>
    <x v="1"/>
    <x v="0"/>
    <x v="0"/>
    <x v="0"/>
    <x v="0"/>
    <x v="0"/>
    <x v="0"/>
    <x v="2"/>
    <x v="2"/>
    <x v="2"/>
    <x v="0"/>
    <x v="0"/>
    <n v="1.0073407473281399"/>
    <x v="0"/>
    <x v="0"/>
    <x v="0"/>
    <x v="0"/>
    <x v="0"/>
    <x v="0"/>
    <n v="1.0980014145876726"/>
  </r>
  <r>
    <x v="6"/>
    <x v="0"/>
    <x v="6"/>
    <x v="6"/>
    <x v="0"/>
    <x v="1"/>
    <x v="0"/>
    <x v="0"/>
    <x v="0"/>
    <x v="0"/>
    <x v="0"/>
    <x v="0"/>
    <x v="2"/>
    <x v="2"/>
    <x v="2"/>
    <x v="20"/>
    <x v="20"/>
    <n v="110.66378"/>
    <x v="0"/>
    <x v="0"/>
    <x v="1"/>
    <x v="3"/>
    <x v="3"/>
    <x v="13"/>
    <n v="120.62352020000002"/>
  </r>
  <r>
    <x v="6"/>
    <x v="0"/>
    <x v="6"/>
    <x v="6"/>
    <x v="0"/>
    <x v="1"/>
    <x v="0"/>
    <x v="0"/>
    <x v="0"/>
    <x v="0"/>
    <x v="0"/>
    <x v="0"/>
    <x v="2"/>
    <x v="2"/>
    <x v="2"/>
    <x v="2"/>
    <x v="2"/>
    <n v="10488.7688715533"/>
    <x v="0"/>
    <x v="1"/>
    <x v="2"/>
    <x v="2"/>
    <x v="13"/>
    <x v="2"/>
    <n v="11432.758069993099"/>
  </r>
  <r>
    <x v="6"/>
    <x v="0"/>
    <x v="6"/>
    <x v="6"/>
    <x v="0"/>
    <x v="1"/>
    <x v="0"/>
    <x v="0"/>
    <x v="0"/>
    <x v="0"/>
    <x v="0"/>
    <x v="0"/>
    <x v="2"/>
    <x v="2"/>
    <x v="2"/>
    <x v="3"/>
    <x v="3"/>
    <n v="162.187694717939"/>
    <x v="0"/>
    <x v="0"/>
    <x v="1"/>
    <x v="3"/>
    <x v="3"/>
    <x v="3"/>
    <n v="176.78458724255353"/>
  </r>
  <r>
    <x v="6"/>
    <x v="0"/>
    <x v="6"/>
    <x v="6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6"/>
    <x v="0"/>
    <x v="6"/>
    <x v="6"/>
    <x v="0"/>
    <x v="1"/>
    <x v="0"/>
    <x v="0"/>
    <x v="0"/>
    <x v="0"/>
    <x v="0"/>
    <x v="0"/>
    <x v="1"/>
    <x v="6"/>
    <x v="6"/>
    <x v="6"/>
    <x v="6"/>
    <n v="0.18654000000000001"/>
    <x v="0"/>
    <x v="0"/>
    <x v="0"/>
    <x v="0"/>
    <x v="4"/>
    <x v="6"/>
    <n v="0.20332860000000003"/>
  </r>
  <r>
    <x v="6"/>
    <x v="0"/>
    <x v="6"/>
    <x v="6"/>
    <x v="0"/>
    <x v="1"/>
    <x v="0"/>
    <x v="0"/>
    <x v="0"/>
    <x v="0"/>
    <x v="0"/>
    <x v="0"/>
    <x v="1"/>
    <x v="6"/>
    <x v="6"/>
    <x v="8"/>
    <x v="8"/>
    <n v="78.134763514013599"/>
    <x v="0"/>
    <x v="1"/>
    <x v="2"/>
    <x v="2"/>
    <x v="6"/>
    <x v="8"/>
    <n v="85.166892230274826"/>
  </r>
  <r>
    <x v="6"/>
    <x v="0"/>
    <x v="6"/>
    <x v="6"/>
    <x v="0"/>
    <x v="1"/>
    <x v="0"/>
    <x v="0"/>
    <x v="0"/>
    <x v="0"/>
    <x v="0"/>
    <x v="0"/>
    <x v="1"/>
    <x v="6"/>
    <x v="6"/>
    <x v="9"/>
    <x v="9"/>
    <n v="1.7522935779805999"/>
    <x v="0"/>
    <x v="0"/>
    <x v="1"/>
    <x v="4"/>
    <x v="5"/>
    <x v="9"/>
    <n v="1.9099999999988542"/>
  </r>
  <r>
    <x v="6"/>
    <x v="0"/>
    <x v="6"/>
    <x v="6"/>
    <x v="0"/>
    <x v="1"/>
    <x v="0"/>
    <x v="0"/>
    <x v="0"/>
    <x v="0"/>
    <x v="0"/>
    <x v="0"/>
    <x v="1"/>
    <x v="6"/>
    <x v="6"/>
    <x v="28"/>
    <x v="28"/>
    <n v="1E-4"/>
    <x v="0"/>
    <x v="0"/>
    <x v="1"/>
    <x v="3"/>
    <x v="3"/>
    <x v="13"/>
    <n v="1.0900000000000001E-4"/>
  </r>
  <r>
    <x v="6"/>
    <x v="0"/>
    <x v="6"/>
    <x v="6"/>
    <x v="0"/>
    <x v="1"/>
    <x v="0"/>
    <x v="0"/>
    <x v="0"/>
    <x v="0"/>
    <x v="0"/>
    <x v="0"/>
    <x v="1"/>
    <x v="6"/>
    <x v="6"/>
    <x v="11"/>
    <x v="11"/>
    <n v="4.8129999999999997"/>
    <x v="0"/>
    <x v="0"/>
    <x v="3"/>
    <x v="5"/>
    <x v="7"/>
    <x v="11"/>
    <n v="5.2461700000000002"/>
  </r>
  <r>
    <x v="6"/>
    <x v="0"/>
    <x v="6"/>
    <x v="6"/>
    <x v="0"/>
    <x v="1"/>
    <x v="0"/>
    <x v="0"/>
    <x v="0"/>
    <x v="0"/>
    <x v="0"/>
    <x v="0"/>
    <x v="1"/>
    <x v="6"/>
    <x v="6"/>
    <x v="12"/>
    <x v="12"/>
    <n v="146.65825581339601"/>
    <x v="0"/>
    <x v="0"/>
    <x v="0"/>
    <x v="0"/>
    <x v="8"/>
    <x v="12"/>
    <n v="159.85749883660165"/>
  </r>
  <r>
    <x v="6"/>
    <x v="0"/>
    <x v="6"/>
    <x v="6"/>
    <x v="0"/>
    <x v="1"/>
    <x v="0"/>
    <x v="0"/>
    <x v="0"/>
    <x v="0"/>
    <x v="0"/>
    <x v="0"/>
    <x v="1"/>
    <x v="6"/>
    <x v="6"/>
    <x v="14"/>
    <x v="14"/>
    <n v="10.079219999999999"/>
    <x v="0"/>
    <x v="0"/>
    <x v="0"/>
    <x v="0"/>
    <x v="8"/>
    <x v="14"/>
    <n v="10.986349799999999"/>
  </r>
  <r>
    <x v="6"/>
    <x v="0"/>
    <x v="6"/>
    <x v="6"/>
    <x v="0"/>
    <x v="1"/>
    <x v="0"/>
    <x v="0"/>
    <x v="0"/>
    <x v="0"/>
    <x v="0"/>
    <x v="0"/>
    <x v="1"/>
    <x v="6"/>
    <x v="6"/>
    <x v="16"/>
    <x v="16"/>
    <n v="599.89796999999999"/>
    <x v="0"/>
    <x v="0"/>
    <x v="3"/>
    <x v="5"/>
    <x v="9"/>
    <x v="16"/>
    <n v="653.88878729999999"/>
  </r>
  <r>
    <x v="6"/>
    <x v="0"/>
    <x v="6"/>
    <x v="6"/>
    <x v="0"/>
    <x v="1"/>
    <x v="0"/>
    <x v="0"/>
    <x v="0"/>
    <x v="0"/>
    <x v="0"/>
    <x v="0"/>
    <x v="1"/>
    <x v="6"/>
    <x v="6"/>
    <x v="25"/>
    <x v="25"/>
    <n v="192.54097247694901"/>
    <x v="0"/>
    <x v="0"/>
    <x v="1"/>
    <x v="4"/>
    <x v="5"/>
    <x v="9"/>
    <n v="209.86965999987444"/>
  </r>
  <r>
    <x v="6"/>
    <x v="0"/>
    <x v="6"/>
    <x v="6"/>
    <x v="0"/>
    <x v="1"/>
    <x v="0"/>
    <x v="0"/>
    <x v="0"/>
    <x v="0"/>
    <x v="0"/>
    <x v="0"/>
    <x v="1"/>
    <x v="6"/>
    <x v="6"/>
    <x v="27"/>
    <x v="27"/>
    <n v="14.146085585885499"/>
    <x v="0"/>
    <x v="0"/>
    <x v="1"/>
    <x v="3"/>
    <x v="3"/>
    <x v="19"/>
    <n v="15.419233288615196"/>
  </r>
  <r>
    <x v="6"/>
    <x v="0"/>
    <x v="6"/>
    <x v="6"/>
    <x v="0"/>
    <x v="1"/>
    <x v="0"/>
    <x v="0"/>
    <x v="0"/>
    <x v="0"/>
    <x v="0"/>
    <x v="0"/>
    <x v="1"/>
    <x v="6"/>
    <x v="6"/>
    <x v="20"/>
    <x v="20"/>
    <n v="905.36654999999996"/>
    <x v="0"/>
    <x v="0"/>
    <x v="1"/>
    <x v="3"/>
    <x v="3"/>
    <x v="13"/>
    <n v="986.84953949999999"/>
  </r>
  <r>
    <x v="6"/>
    <x v="0"/>
    <x v="6"/>
    <x v="6"/>
    <x v="0"/>
    <x v="1"/>
    <x v="0"/>
    <x v="0"/>
    <x v="0"/>
    <x v="0"/>
    <x v="0"/>
    <x v="0"/>
    <x v="1"/>
    <x v="6"/>
    <x v="6"/>
    <x v="2"/>
    <x v="2"/>
    <n v="372.55368807317097"/>
    <x v="0"/>
    <x v="1"/>
    <x v="2"/>
    <x v="2"/>
    <x v="13"/>
    <x v="2"/>
    <n v="406.08351999975639"/>
  </r>
  <r>
    <x v="6"/>
    <x v="0"/>
    <x v="6"/>
    <x v="6"/>
    <x v="0"/>
    <x v="1"/>
    <x v="0"/>
    <x v="0"/>
    <x v="0"/>
    <x v="0"/>
    <x v="0"/>
    <x v="0"/>
    <x v="1"/>
    <x v="6"/>
    <x v="6"/>
    <x v="3"/>
    <x v="3"/>
    <n v="16.3257822647364"/>
    <x v="0"/>
    <x v="0"/>
    <x v="1"/>
    <x v="3"/>
    <x v="3"/>
    <x v="3"/>
    <n v="17.795102668562677"/>
  </r>
  <r>
    <x v="6"/>
    <x v="0"/>
    <x v="6"/>
    <x v="6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6"/>
    <x v="0"/>
    <x v="6"/>
    <x v="6"/>
    <x v="0"/>
    <x v="1"/>
    <x v="0"/>
    <x v="0"/>
    <x v="0"/>
    <x v="0"/>
    <x v="0"/>
    <x v="0"/>
    <x v="3"/>
    <x v="7"/>
    <x v="7"/>
    <x v="9"/>
    <x v="9"/>
    <n v="389.86656116202198"/>
    <x v="0"/>
    <x v="0"/>
    <x v="1"/>
    <x v="4"/>
    <x v="5"/>
    <x v="9"/>
    <n v="424.954551666604"/>
  </r>
  <r>
    <x v="6"/>
    <x v="0"/>
    <x v="6"/>
    <x v="6"/>
    <x v="0"/>
    <x v="1"/>
    <x v="0"/>
    <x v="0"/>
    <x v="0"/>
    <x v="0"/>
    <x v="0"/>
    <x v="0"/>
    <x v="3"/>
    <x v="7"/>
    <x v="7"/>
    <x v="10"/>
    <x v="10"/>
    <n v="120.24685210033699"/>
    <x v="0"/>
    <x v="0"/>
    <x v="1"/>
    <x v="4"/>
    <x v="5"/>
    <x v="10"/>
    <n v="131.06906878936732"/>
  </r>
  <r>
    <x v="6"/>
    <x v="0"/>
    <x v="6"/>
    <x v="6"/>
    <x v="0"/>
    <x v="1"/>
    <x v="0"/>
    <x v="0"/>
    <x v="0"/>
    <x v="0"/>
    <x v="0"/>
    <x v="0"/>
    <x v="3"/>
    <x v="7"/>
    <x v="7"/>
    <x v="11"/>
    <x v="11"/>
    <n v="322.89988"/>
    <x v="0"/>
    <x v="0"/>
    <x v="3"/>
    <x v="5"/>
    <x v="7"/>
    <x v="11"/>
    <n v="351.96086920000005"/>
  </r>
  <r>
    <x v="6"/>
    <x v="0"/>
    <x v="6"/>
    <x v="6"/>
    <x v="0"/>
    <x v="1"/>
    <x v="0"/>
    <x v="0"/>
    <x v="0"/>
    <x v="0"/>
    <x v="0"/>
    <x v="0"/>
    <x v="3"/>
    <x v="7"/>
    <x v="7"/>
    <x v="36"/>
    <x v="36"/>
    <n v="139.20194495404499"/>
    <x v="0"/>
    <x v="0"/>
    <x v="1"/>
    <x v="3"/>
    <x v="3"/>
    <x v="4"/>
    <n v="151.73011999990905"/>
  </r>
  <r>
    <x v="6"/>
    <x v="0"/>
    <x v="6"/>
    <x v="6"/>
    <x v="0"/>
    <x v="1"/>
    <x v="0"/>
    <x v="0"/>
    <x v="0"/>
    <x v="0"/>
    <x v="0"/>
    <x v="0"/>
    <x v="3"/>
    <x v="7"/>
    <x v="7"/>
    <x v="24"/>
    <x v="24"/>
    <n v="271.63443119249803"/>
    <x v="0"/>
    <x v="0"/>
    <x v="1"/>
    <x v="3"/>
    <x v="3"/>
    <x v="4"/>
    <n v="296.08152999982286"/>
  </r>
  <r>
    <x v="6"/>
    <x v="0"/>
    <x v="6"/>
    <x v="6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6"/>
    <x v="0"/>
    <x v="6"/>
    <x v="6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6"/>
    <x v="0"/>
    <x v="6"/>
    <x v="6"/>
    <x v="0"/>
    <x v="1"/>
    <x v="0"/>
    <x v="0"/>
    <x v="0"/>
    <x v="0"/>
    <x v="0"/>
    <x v="0"/>
    <x v="3"/>
    <x v="7"/>
    <x v="7"/>
    <x v="34"/>
    <x v="34"/>
    <n v="112.58778951773699"/>
    <x v="0"/>
    <x v="0"/>
    <x v="0"/>
    <x v="0"/>
    <x v="0"/>
    <x v="0"/>
    <n v="122.72069057433333"/>
  </r>
  <r>
    <x v="6"/>
    <x v="0"/>
    <x v="6"/>
    <x v="6"/>
    <x v="0"/>
    <x v="1"/>
    <x v="0"/>
    <x v="0"/>
    <x v="0"/>
    <x v="0"/>
    <x v="0"/>
    <x v="0"/>
    <x v="3"/>
    <x v="7"/>
    <x v="7"/>
    <x v="26"/>
    <x v="26"/>
    <n v="5.2614587155931698"/>
    <x v="0"/>
    <x v="0"/>
    <x v="1"/>
    <x v="3"/>
    <x v="3"/>
    <x v="15"/>
    <n v="5.7349899999965555"/>
  </r>
  <r>
    <x v="6"/>
    <x v="0"/>
    <x v="6"/>
    <x v="6"/>
    <x v="0"/>
    <x v="1"/>
    <x v="0"/>
    <x v="0"/>
    <x v="0"/>
    <x v="0"/>
    <x v="0"/>
    <x v="0"/>
    <x v="1"/>
    <x v="8"/>
    <x v="8"/>
    <x v="6"/>
    <x v="6"/>
    <n v="142.75343000000001"/>
    <x v="0"/>
    <x v="0"/>
    <x v="0"/>
    <x v="0"/>
    <x v="4"/>
    <x v="6"/>
    <n v="155.60123870000001"/>
  </r>
  <r>
    <x v="6"/>
    <x v="0"/>
    <x v="6"/>
    <x v="6"/>
    <x v="0"/>
    <x v="1"/>
    <x v="0"/>
    <x v="0"/>
    <x v="0"/>
    <x v="0"/>
    <x v="0"/>
    <x v="0"/>
    <x v="1"/>
    <x v="8"/>
    <x v="8"/>
    <x v="8"/>
    <x v="8"/>
    <n v="447.27360135421401"/>
    <x v="0"/>
    <x v="1"/>
    <x v="2"/>
    <x v="2"/>
    <x v="6"/>
    <x v="8"/>
    <n v="487.52822547609333"/>
  </r>
  <r>
    <x v="6"/>
    <x v="0"/>
    <x v="6"/>
    <x v="6"/>
    <x v="0"/>
    <x v="1"/>
    <x v="0"/>
    <x v="0"/>
    <x v="0"/>
    <x v="0"/>
    <x v="0"/>
    <x v="0"/>
    <x v="1"/>
    <x v="8"/>
    <x v="8"/>
    <x v="9"/>
    <x v="9"/>
    <n v="310.04356219414501"/>
    <x v="0"/>
    <x v="0"/>
    <x v="1"/>
    <x v="4"/>
    <x v="5"/>
    <x v="9"/>
    <n v="337.94748279161809"/>
  </r>
  <r>
    <x v="6"/>
    <x v="0"/>
    <x v="6"/>
    <x v="6"/>
    <x v="0"/>
    <x v="1"/>
    <x v="0"/>
    <x v="0"/>
    <x v="0"/>
    <x v="0"/>
    <x v="0"/>
    <x v="0"/>
    <x v="1"/>
    <x v="8"/>
    <x v="8"/>
    <x v="10"/>
    <x v="10"/>
    <n v="128.986778230417"/>
    <x v="0"/>
    <x v="0"/>
    <x v="1"/>
    <x v="4"/>
    <x v="5"/>
    <x v="10"/>
    <n v="140.59558827115455"/>
  </r>
  <r>
    <x v="6"/>
    <x v="0"/>
    <x v="6"/>
    <x v="6"/>
    <x v="0"/>
    <x v="1"/>
    <x v="0"/>
    <x v="0"/>
    <x v="0"/>
    <x v="0"/>
    <x v="0"/>
    <x v="0"/>
    <x v="1"/>
    <x v="8"/>
    <x v="8"/>
    <x v="11"/>
    <x v="11"/>
    <n v="22.929960000000001"/>
    <x v="0"/>
    <x v="0"/>
    <x v="3"/>
    <x v="5"/>
    <x v="7"/>
    <x v="11"/>
    <n v="24.993656400000003"/>
  </r>
  <r>
    <x v="6"/>
    <x v="0"/>
    <x v="6"/>
    <x v="6"/>
    <x v="0"/>
    <x v="1"/>
    <x v="0"/>
    <x v="0"/>
    <x v="0"/>
    <x v="0"/>
    <x v="0"/>
    <x v="0"/>
    <x v="1"/>
    <x v="8"/>
    <x v="8"/>
    <x v="36"/>
    <x v="36"/>
    <n v="6.2776055045833896"/>
    <x v="0"/>
    <x v="0"/>
    <x v="1"/>
    <x v="3"/>
    <x v="3"/>
    <x v="4"/>
    <n v="6.8425899999958952"/>
  </r>
  <r>
    <x v="6"/>
    <x v="0"/>
    <x v="6"/>
    <x v="6"/>
    <x v="0"/>
    <x v="1"/>
    <x v="0"/>
    <x v="0"/>
    <x v="0"/>
    <x v="0"/>
    <x v="0"/>
    <x v="0"/>
    <x v="1"/>
    <x v="8"/>
    <x v="8"/>
    <x v="24"/>
    <x v="24"/>
    <n v="321.96400917411898"/>
    <x v="0"/>
    <x v="0"/>
    <x v="1"/>
    <x v="3"/>
    <x v="3"/>
    <x v="4"/>
    <n v="350.94076999978972"/>
  </r>
  <r>
    <x v="6"/>
    <x v="0"/>
    <x v="6"/>
    <x v="6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6"/>
    <x v="0"/>
    <x v="6"/>
    <x v="6"/>
    <x v="0"/>
    <x v="1"/>
    <x v="0"/>
    <x v="0"/>
    <x v="0"/>
    <x v="0"/>
    <x v="0"/>
    <x v="0"/>
    <x v="1"/>
    <x v="8"/>
    <x v="8"/>
    <x v="21"/>
    <x v="21"/>
    <n v="22.165871559619699"/>
    <x v="0"/>
    <x v="0"/>
    <x v="1"/>
    <x v="4"/>
    <x v="5"/>
    <x v="10"/>
    <n v="24.160799999985475"/>
  </r>
  <r>
    <x v="6"/>
    <x v="0"/>
    <x v="6"/>
    <x v="6"/>
    <x v="0"/>
    <x v="1"/>
    <x v="0"/>
    <x v="0"/>
    <x v="0"/>
    <x v="0"/>
    <x v="0"/>
    <x v="0"/>
    <x v="1"/>
    <x v="8"/>
    <x v="8"/>
    <x v="18"/>
    <x v="18"/>
    <n v="51.48415"/>
    <x v="0"/>
    <x v="0"/>
    <x v="0"/>
    <x v="0"/>
    <x v="4"/>
    <x v="18"/>
    <n v="56.117723500000004"/>
  </r>
  <r>
    <x v="6"/>
    <x v="0"/>
    <x v="6"/>
    <x v="6"/>
    <x v="0"/>
    <x v="1"/>
    <x v="0"/>
    <x v="0"/>
    <x v="0"/>
    <x v="0"/>
    <x v="0"/>
    <x v="0"/>
    <x v="1"/>
    <x v="8"/>
    <x v="8"/>
    <x v="34"/>
    <x v="34"/>
    <n v="15.804977292307701"/>
    <x v="0"/>
    <x v="0"/>
    <x v="0"/>
    <x v="0"/>
    <x v="0"/>
    <x v="0"/>
    <n v="17.227425248615393"/>
  </r>
  <r>
    <x v="6"/>
    <x v="0"/>
    <x v="6"/>
    <x v="6"/>
    <x v="0"/>
    <x v="1"/>
    <x v="0"/>
    <x v="0"/>
    <x v="0"/>
    <x v="0"/>
    <x v="0"/>
    <x v="0"/>
    <x v="1"/>
    <x v="8"/>
    <x v="8"/>
    <x v="37"/>
    <x v="37"/>
    <n v="225.666660550323"/>
    <x v="0"/>
    <x v="0"/>
    <x v="1"/>
    <x v="3"/>
    <x v="3"/>
    <x v="4"/>
    <n v="245.9766599998521"/>
  </r>
  <r>
    <x v="6"/>
    <x v="0"/>
    <x v="6"/>
    <x v="6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6"/>
    <x v="0"/>
    <x v="6"/>
    <x v="6"/>
    <x v="0"/>
    <x v="1"/>
    <x v="0"/>
    <x v="0"/>
    <x v="0"/>
    <x v="0"/>
    <x v="0"/>
    <x v="0"/>
    <x v="0"/>
    <x v="9"/>
    <x v="9"/>
    <x v="6"/>
    <x v="6"/>
    <n v="357.15629000000001"/>
    <x v="0"/>
    <x v="0"/>
    <x v="0"/>
    <x v="0"/>
    <x v="4"/>
    <x v="6"/>
    <n v="389.30035610000004"/>
  </r>
  <r>
    <x v="6"/>
    <x v="0"/>
    <x v="6"/>
    <x v="6"/>
    <x v="0"/>
    <x v="1"/>
    <x v="0"/>
    <x v="0"/>
    <x v="0"/>
    <x v="0"/>
    <x v="0"/>
    <x v="0"/>
    <x v="0"/>
    <x v="9"/>
    <x v="9"/>
    <x v="7"/>
    <x v="7"/>
    <n v="465.98677981623399"/>
    <x v="0"/>
    <x v="0"/>
    <x v="1"/>
    <x v="4"/>
    <x v="5"/>
    <x v="7"/>
    <n v="507.92558999969509"/>
  </r>
  <r>
    <x v="6"/>
    <x v="0"/>
    <x v="6"/>
    <x v="6"/>
    <x v="0"/>
    <x v="1"/>
    <x v="0"/>
    <x v="0"/>
    <x v="0"/>
    <x v="0"/>
    <x v="0"/>
    <x v="0"/>
    <x v="0"/>
    <x v="9"/>
    <x v="9"/>
    <x v="9"/>
    <x v="9"/>
    <n v="1202.3573176259299"/>
    <x v="0"/>
    <x v="0"/>
    <x v="1"/>
    <x v="4"/>
    <x v="5"/>
    <x v="9"/>
    <n v="1310.5694762122637"/>
  </r>
  <r>
    <x v="6"/>
    <x v="0"/>
    <x v="6"/>
    <x v="6"/>
    <x v="0"/>
    <x v="1"/>
    <x v="0"/>
    <x v="0"/>
    <x v="0"/>
    <x v="0"/>
    <x v="0"/>
    <x v="0"/>
    <x v="0"/>
    <x v="9"/>
    <x v="9"/>
    <x v="10"/>
    <x v="10"/>
    <n v="164.050315180403"/>
    <x v="0"/>
    <x v="0"/>
    <x v="1"/>
    <x v="4"/>
    <x v="5"/>
    <x v="10"/>
    <n v="178.81484354663928"/>
  </r>
  <r>
    <x v="6"/>
    <x v="0"/>
    <x v="6"/>
    <x v="6"/>
    <x v="0"/>
    <x v="1"/>
    <x v="0"/>
    <x v="0"/>
    <x v="0"/>
    <x v="0"/>
    <x v="0"/>
    <x v="0"/>
    <x v="0"/>
    <x v="9"/>
    <x v="9"/>
    <x v="11"/>
    <x v="11"/>
    <n v="190.13332"/>
    <x v="0"/>
    <x v="0"/>
    <x v="3"/>
    <x v="5"/>
    <x v="7"/>
    <x v="11"/>
    <n v="207.24531880000001"/>
  </r>
  <r>
    <x v="6"/>
    <x v="0"/>
    <x v="6"/>
    <x v="6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6"/>
    <x v="0"/>
    <x v="6"/>
    <x v="6"/>
    <x v="0"/>
    <x v="1"/>
    <x v="0"/>
    <x v="0"/>
    <x v="0"/>
    <x v="0"/>
    <x v="0"/>
    <x v="0"/>
    <x v="0"/>
    <x v="9"/>
    <x v="9"/>
    <x v="36"/>
    <x v="36"/>
    <n v="22.9784678898945"/>
    <x v="0"/>
    <x v="0"/>
    <x v="1"/>
    <x v="3"/>
    <x v="3"/>
    <x v="4"/>
    <n v="25.046529999985008"/>
  </r>
  <r>
    <x v="6"/>
    <x v="0"/>
    <x v="6"/>
    <x v="6"/>
    <x v="0"/>
    <x v="1"/>
    <x v="0"/>
    <x v="0"/>
    <x v="0"/>
    <x v="0"/>
    <x v="0"/>
    <x v="0"/>
    <x v="0"/>
    <x v="9"/>
    <x v="9"/>
    <x v="24"/>
    <x v="24"/>
    <n v="284.45644036680198"/>
    <x v="0"/>
    <x v="0"/>
    <x v="1"/>
    <x v="3"/>
    <x v="3"/>
    <x v="4"/>
    <n v="310.05751999981419"/>
  </r>
  <r>
    <x v="6"/>
    <x v="0"/>
    <x v="6"/>
    <x v="6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6"/>
    <x v="0"/>
    <x v="6"/>
    <x v="6"/>
    <x v="0"/>
    <x v="1"/>
    <x v="0"/>
    <x v="0"/>
    <x v="0"/>
    <x v="0"/>
    <x v="0"/>
    <x v="0"/>
    <x v="0"/>
    <x v="9"/>
    <x v="9"/>
    <x v="21"/>
    <x v="21"/>
    <n v="179.939642201727"/>
    <x v="0"/>
    <x v="0"/>
    <x v="1"/>
    <x v="4"/>
    <x v="5"/>
    <x v="10"/>
    <n v="196.13420999988244"/>
  </r>
  <r>
    <x v="6"/>
    <x v="0"/>
    <x v="6"/>
    <x v="6"/>
    <x v="0"/>
    <x v="1"/>
    <x v="0"/>
    <x v="0"/>
    <x v="0"/>
    <x v="0"/>
    <x v="0"/>
    <x v="0"/>
    <x v="0"/>
    <x v="9"/>
    <x v="9"/>
    <x v="18"/>
    <x v="18"/>
    <n v="262.08420999999998"/>
    <x v="0"/>
    <x v="0"/>
    <x v="0"/>
    <x v="0"/>
    <x v="4"/>
    <x v="18"/>
    <n v="285.67178890000002"/>
  </r>
  <r>
    <x v="6"/>
    <x v="0"/>
    <x v="6"/>
    <x v="6"/>
    <x v="0"/>
    <x v="1"/>
    <x v="0"/>
    <x v="0"/>
    <x v="0"/>
    <x v="0"/>
    <x v="0"/>
    <x v="0"/>
    <x v="0"/>
    <x v="9"/>
    <x v="9"/>
    <x v="34"/>
    <x v="34"/>
    <n v="63.913112662668901"/>
    <x v="0"/>
    <x v="0"/>
    <x v="0"/>
    <x v="0"/>
    <x v="0"/>
    <x v="0"/>
    <n v="69.665292802309111"/>
  </r>
  <r>
    <x v="6"/>
    <x v="0"/>
    <x v="6"/>
    <x v="6"/>
    <x v="0"/>
    <x v="1"/>
    <x v="0"/>
    <x v="0"/>
    <x v="0"/>
    <x v="0"/>
    <x v="0"/>
    <x v="0"/>
    <x v="0"/>
    <x v="9"/>
    <x v="9"/>
    <x v="37"/>
    <x v="37"/>
    <n v="104.349146788928"/>
    <x v="0"/>
    <x v="0"/>
    <x v="1"/>
    <x v="3"/>
    <x v="3"/>
    <x v="4"/>
    <n v="113.74056999993152"/>
  </r>
  <r>
    <x v="6"/>
    <x v="0"/>
    <x v="6"/>
    <x v="6"/>
    <x v="0"/>
    <x v="1"/>
    <x v="0"/>
    <x v="0"/>
    <x v="0"/>
    <x v="0"/>
    <x v="0"/>
    <x v="0"/>
    <x v="0"/>
    <x v="9"/>
    <x v="9"/>
    <x v="26"/>
    <x v="26"/>
    <n v="2.0245504587143799"/>
    <x v="0"/>
    <x v="0"/>
    <x v="1"/>
    <x v="3"/>
    <x v="3"/>
    <x v="15"/>
    <n v="2.2067599999986744"/>
  </r>
  <r>
    <x v="6"/>
    <x v="0"/>
    <x v="6"/>
    <x v="6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6"/>
    <x v="0"/>
    <x v="6"/>
    <x v="6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6"/>
    <x v="0"/>
    <x v="6"/>
    <x v="6"/>
    <x v="0"/>
    <x v="1"/>
    <x v="0"/>
    <x v="0"/>
    <x v="0"/>
    <x v="0"/>
    <x v="0"/>
    <x v="0"/>
    <x v="2"/>
    <x v="10"/>
    <x v="10"/>
    <x v="6"/>
    <x v="6"/>
    <n v="445.39019999999999"/>
    <x v="0"/>
    <x v="0"/>
    <x v="0"/>
    <x v="0"/>
    <x v="4"/>
    <x v="6"/>
    <n v="485.47531800000002"/>
  </r>
  <r>
    <x v="6"/>
    <x v="0"/>
    <x v="6"/>
    <x v="6"/>
    <x v="0"/>
    <x v="1"/>
    <x v="0"/>
    <x v="0"/>
    <x v="0"/>
    <x v="0"/>
    <x v="0"/>
    <x v="0"/>
    <x v="2"/>
    <x v="10"/>
    <x v="10"/>
    <x v="7"/>
    <x v="7"/>
    <n v="56.757220183452198"/>
    <x v="0"/>
    <x v="0"/>
    <x v="1"/>
    <x v="4"/>
    <x v="5"/>
    <x v="7"/>
    <n v="61.865369999962901"/>
  </r>
  <r>
    <x v="6"/>
    <x v="0"/>
    <x v="6"/>
    <x v="6"/>
    <x v="0"/>
    <x v="1"/>
    <x v="0"/>
    <x v="0"/>
    <x v="0"/>
    <x v="0"/>
    <x v="0"/>
    <x v="0"/>
    <x v="2"/>
    <x v="10"/>
    <x v="10"/>
    <x v="9"/>
    <x v="9"/>
    <n v="528.95078229256899"/>
    <x v="0"/>
    <x v="0"/>
    <x v="1"/>
    <x v="4"/>
    <x v="5"/>
    <x v="9"/>
    <n v="576.55635269890024"/>
  </r>
  <r>
    <x v="6"/>
    <x v="0"/>
    <x v="6"/>
    <x v="6"/>
    <x v="0"/>
    <x v="1"/>
    <x v="0"/>
    <x v="0"/>
    <x v="0"/>
    <x v="0"/>
    <x v="0"/>
    <x v="0"/>
    <x v="2"/>
    <x v="10"/>
    <x v="10"/>
    <x v="10"/>
    <x v="10"/>
    <n v="165.80904868562399"/>
    <x v="0"/>
    <x v="0"/>
    <x v="1"/>
    <x v="4"/>
    <x v="5"/>
    <x v="10"/>
    <n v="180.73186306733015"/>
  </r>
  <r>
    <x v="6"/>
    <x v="0"/>
    <x v="6"/>
    <x v="6"/>
    <x v="0"/>
    <x v="1"/>
    <x v="0"/>
    <x v="0"/>
    <x v="0"/>
    <x v="0"/>
    <x v="0"/>
    <x v="0"/>
    <x v="2"/>
    <x v="10"/>
    <x v="10"/>
    <x v="11"/>
    <x v="11"/>
    <n v="120.63307"/>
    <x v="0"/>
    <x v="0"/>
    <x v="3"/>
    <x v="5"/>
    <x v="7"/>
    <x v="11"/>
    <n v="131.49004630000002"/>
  </r>
  <r>
    <x v="6"/>
    <x v="0"/>
    <x v="6"/>
    <x v="6"/>
    <x v="0"/>
    <x v="1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6"/>
    <x v="0"/>
    <x v="6"/>
    <x v="6"/>
    <x v="0"/>
    <x v="1"/>
    <x v="0"/>
    <x v="0"/>
    <x v="0"/>
    <x v="0"/>
    <x v="0"/>
    <x v="0"/>
    <x v="2"/>
    <x v="10"/>
    <x v="10"/>
    <x v="36"/>
    <x v="36"/>
    <n v="48.613559632998403"/>
    <x v="0"/>
    <x v="0"/>
    <x v="1"/>
    <x v="3"/>
    <x v="3"/>
    <x v="4"/>
    <n v="52.988779999968266"/>
  </r>
  <r>
    <x v="6"/>
    <x v="0"/>
    <x v="6"/>
    <x v="6"/>
    <x v="0"/>
    <x v="1"/>
    <x v="0"/>
    <x v="0"/>
    <x v="0"/>
    <x v="0"/>
    <x v="0"/>
    <x v="0"/>
    <x v="2"/>
    <x v="10"/>
    <x v="10"/>
    <x v="24"/>
    <x v="24"/>
    <n v="182.70008256869801"/>
    <x v="0"/>
    <x v="0"/>
    <x v="1"/>
    <x v="3"/>
    <x v="3"/>
    <x v="4"/>
    <n v="199.14308999988086"/>
  </r>
  <r>
    <x v="6"/>
    <x v="0"/>
    <x v="6"/>
    <x v="6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6"/>
    <x v="0"/>
    <x v="6"/>
    <x v="6"/>
    <x v="0"/>
    <x v="1"/>
    <x v="0"/>
    <x v="0"/>
    <x v="0"/>
    <x v="0"/>
    <x v="0"/>
    <x v="0"/>
    <x v="2"/>
    <x v="10"/>
    <x v="10"/>
    <x v="21"/>
    <x v="21"/>
    <n v="71.551807339406594"/>
    <x v="0"/>
    <x v="0"/>
    <x v="1"/>
    <x v="4"/>
    <x v="5"/>
    <x v="10"/>
    <n v="77.991469999953196"/>
  </r>
  <r>
    <x v="6"/>
    <x v="0"/>
    <x v="6"/>
    <x v="6"/>
    <x v="0"/>
    <x v="1"/>
    <x v="0"/>
    <x v="0"/>
    <x v="0"/>
    <x v="0"/>
    <x v="0"/>
    <x v="0"/>
    <x v="2"/>
    <x v="10"/>
    <x v="10"/>
    <x v="18"/>
    <x v="18"/>
    <n v="170.9101"/>
    <x v="0"/>
    <x v="0"/>
    <x v="0"/>
    <x v="0"/>
    <x v="4"/>
    <x v="18"/>
    <n v="186.29200900000001"/>
  </r>
  <r>
    <x v="6"/>
    <x v="0"/>
    <x v="6"/>
    <x v="6"/>
    <x v="0"/>
    <x v="1"/>
    <x v="0"/>
    <x v="0"/>
    <x v="0"/>
    <x v="0"/>
    <x v="0"/>
    <x v="0"/>
    <x v="2"/>
    <x v="10"/>
    <x v="10"/>
    <x v="34"/>
    <x v="34"/>
    <n v="133.18386549991899"/>
    <x v="0"/>
    <x v="0"/>
    <x v="0"/>
    <x v="0"/>
    <x v="0"/>
    <x v="0"/>
    <n v="145.17041339491172"/>
  </r>
  <r>
    <x v="6"/>
    <x v="0"/>
    <x v="6"/>
    <x v="6"/>
    <x v="0"/>
    <x v="1"/>
    <x v="0"/>
    <x v="0"/>
    <x v="0"/>
    <x v="0"/>
    <x v="0"/>
    <x v="0"/>
    <x v="2"/>
    <x v="10"/>
    <x v="10"/>
    <x v="37"/>
    <x v="37"/>
    <n v="135.49285321092799"/>
    <x v="0"/>
    <x v="0"/>
    <x v="1"/>
    <x v="3"/>
    <x v="3"/>
    <x v="4"/>
    <n v="147.68720999991152"/>
  </r>
  <r>
    <x v="6"/>
    <x v="0"/>
    <x v="6"/>
    <x v="6"/>
    <x v="0"/>
    <x v="1"/>
    <x v="0"/>
    <x v="0"/>
    <x v="0"/>
    <x v="0"/>
    <x v="0"/>
    <x v="0"/>
    <x v="2"/>
    <x v="10"/>
    <x v="10"/>
    <x v="26"/>
    <x v="26"/>
    <n v="6.8818715596289"/>
    <x v="0"/>
    <x v="0"/>
    <x v="1"/>
    <x v="3"/>
    <x v="3"/>
    <x v="15"/>
    <n v="7.5012399999955015"/>
  </r>
  <r>
    <x v="6"/>
    <x v="0"/>
    <x v="6"/>
    <x v="6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6"/>
    <x v="0"/>
    <x v="6"/>
    <x v="6"/>
    <x v="0"/>
    <x v="1"/>
    <x v="0"/>
    <x v="0"/>
    <x v="0"/>
    <x v="0"/>
    <x v="0"/>
    <x v="0"/>
    <x v="4"/>
    <x v="5"/>
    <x v="5"/>
    <x v="4"/>
    <x v="4"/>
    <n v="28.198568807322498"/>
    <x v="0"/>
    <x v="0"/>
    <x v="1"/>
    <x v="3"/>
    <x v="3"/>
    <x v="4"/>
    <n v="30.736439999981524"/>
  </r>
  <r>
    <x v="6"/>
    <x v="0"/>
    <x v="6"/>
    <x v="6"/>
    <x v="0"/>
    <x v="1"/>
    <x v="0"/>
    <x v="0"/>
    <x v="0"/>
    <x v="0"/>
    <x v="0"/>
    <x v="0"/>
    <x v="4"/>
    <x v="5"/>
    <x v="5"/>
    <x v="6"/>
    <x v="6"/>
    <n v="1012.5291999999999"/>
    <x v="0"/>
    <x v="0"/>
    <x v="0"/>
    <x v="0"/>
    <x v="4"/>
    <x v="6"/>
    <n v="1103.6568280000001"/>
  </r>
  <r>
    <x v="6"/>
    <x v="0"/>
    <x v="6"/>
    <x v="6"/>
    <x v="0"/>
    <x v="1"/>
    <x v="0"/>
    <x v="0"/>
    <x v="0"/>
    <x v="0"/>
    <x v="0"/>
    <x v="0"/>
    <x v="4"/>
    <x v="5"/>
    <x v="5"/>
    <x v="7"/>
    <x v="7"/>
    <n v="44.100036697221199"/>
    <x v="0"/>
    <x v="0"/>
    <x v="1"/>
    <x v="4"/>
    <x v="5"/>
    <x v="7"/>
    <n v="48.06903999997111"/>
  </r>
  <r>
    <x v="6"/>
    <x v="0"/>
    <x v="6"/>
    <x v="6"/>
    <x v="0"/>
    <x v="1"/>
    <x v="0"/>
    <x v="0"/>
    <x v="0"/>
    <x v="0"/>
    <x v="0"/>
    <x v="0"/>
    <x v="4"/>
    <x v="5"/>
    <x v="5"/>
    <x v="8"/>
    <x v="8"/>
    <n v="6224.6308716614603"/>
    <x v="0"/>
    <x v="1"/>
    <x v="2"/>
    <x v="2"/>
    <x v="6"/>
    <x v="8"/>
    <n v="6784.8476501109926"/>
  </r>
  <r>
    <x v="6"/>
    <x v="0"/>
    <x v="6"/>
    <x v="6"/>
    <x v="0"/>
    <x v="1"/>
    <x v="0"/>
    <x v="0"/>
    <x v="0"/>
    <x v="0"/>
    <x v="0"/>
    <x v="0"/>
    <x v="4"/>
    <x v="5"/>
    <x v="5"/>
    <x v="9"/>
    <x v="9"/>
    <n v="2571.2377320893702"/>
    <x v="0"/>
    <x v="0"/>
    <x v="1"/>
    <x v="4"/>
    <x v="5"/>
    <x v="9"/>
    <n v="2802.6491279774136"/>
  </r>
  <r>
    <x v="6"/>
    <x v="0"/>
    <x v="6"/>
    <x v="6"/>
    <x v="0"/>
    <x v="1"/>
    <x v="0"/>
    <x v="0"/>
    <x v="0"/>
    <x v="0"/>
    <x v="0"/>
    <x v="0"/>
    <x v="4"/>
    <x v="5"/>
    <x v="5"/>
    <x v="10"/>
    <x v="10"/>
    <n v="441.64143590170102"/>
    <x v="0"/>
    <x v="0"/>
    <x v="1"/>
    <x v="4"/>
    <x v="5"/>
    <x v="10"/>
    <n v="481.38916513285415"/>
  </r>
  <r>
    <x v="6"/>
    <x v="0"/>
    <x v="6"/>
    <x v="6"/>
    <x v="0"/>
    <x v="1"/>
    <x v="0"/>
    <x v="0"/>
    <x v="0"/>
    <x v="0"/>
    <x v="0"/>
    <x v="0"/>
    <x v="4"/>
    <x v="5"/>
    <x v="5"/>
    <x v="29"/>
    <x v="29"/>
    <n v="0.54905000000000004"/>
    <x v="0"/>
    <x v="0"/>
    <x v="1"/>
    <x v="3"/>
    <x v="3"/>
    <x v="13"/>
    <n v="0.59846450000000007"/>
  </r>
  <r>
    <x v="6"/>
    <x v="0"/>
    <x v="6"/>
    <x v="6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6"/>
    <x v="0"/>
    <x v="6"/>
    <x v="6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6"/>
    <x v="0"/>
    <x v="6"/>
    <x v="6"/>
    <x v="0"/>
    <x v="1"/>
    <x v="0"/>
    <x v="0"/>
    <x v="0"/>
    <x v="0"/>
    <x v="0"/>
    <x v="0"/>
    <x v="4"/>
    <x v="5"/>
    <x v="5"/>
    <x v="12"/>
    <x v="12"/>
    <n v="8.2087441860153199"/>
    <x v="0"/>
    <x v="0"/>
    <x v="0"/>
    <x v="0"/>
    <x v="8"/>
    <x v="12"/>
    <n v="8.9475311627566985"/>
  </r>
  <r>
    <x v="6"/>
    <x v="0"/>
    <x v="6"/>
    <x v="6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6"/>
    <x v="0"/>
    <x v="6"/>
    <x v="6"/>
    <x v="0"/>
    <x v="1"/>
    <x v="0"/>
    <x v="0"/>
    <x v="0"/>
    <x v="0"/>
    <x v="0"/>
    <x v="0"/>
    <x v="4"/>
    <x v="5"/>
    <x v="5"/>
    <x v="22"/>
    <x v="22"/>
    <n v="76.186374999695204"/>
    <x v="0"/>
    <x v="0"/>
    <x v="0"/>
    <x v="0"/>
    <x v="0"/>
    <x v="0"/>
    <n v="83.043148749667779"/>
  </r>
  <r>
    <x v="6"/>
    <x v="0"/>
    <x v="6"/>
    <x v="6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6"/>
    <x v="0"/>
    <x v="6"/>
    <x v="6"/>
    <x v="0"/>
    <x v="1"/>
    <x v="0"/>
    <x v="0"/>
    <x v="0"/>
    <x v="0"/>
    <x v="0"/>
    <x v="0"/>
    <x v="4"/>
    <x v="5"/>
    <x v="5"/>
    <x v="36"/>
    <x v="36"/>
    <n v="189.00310091731799"/>
    <x v="0"/>
    <x v="0"/>
    <x v="1"/>
    <x v="3"/>
    <x v="3"/>
    <x v="4"/>
    <n v="206.01337999987663"/>
  </r>
  <r>
    <x v="6"/>
    <x v="0"/>
    <x v="6"/>
    <x v="6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6"/>
    <x v="0"/>
    <x v="6"/>
    <x v="6"/>
    <x v="0"/>
    <x v="1"/>
    <x v="0"/>
    <x v="0"/>
    <x v="0"/>
    <x v="0"/>
    <x v="0"/>
    <x v="0"/>
    <x v="4"/>
    <x v="5"/>
    <x v="5"/>
    <x v="24"/>
    <x v="24"/>
    <n v="270.83492660534199"/>
    <x v="0"/>
    <x v="0"/>
    <x v="1"/>
    <x v="3"/>
    <x v="3"/>
    <x v="4"/>
    <n v="295.21006999982279"/>
  </r>
  <r>
    <x v="6"/>
    <x v="0"/>
    <x v="6"/>
    <x v="6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6"/>
    <x v="0"/>
    <x v="6"/>
    <x v="6"/>
    <x v="0"/>
    <x v="1"/>
    <x v="0"/>
    <x v="0"/>
    <x v="0"/>
    <x v="0"/>
    <x v="0"/>
    <x v="0"/>
    <x v="4"/>
    <x v="5"/>
    <x v="5"/>
    <x v="18"/>
    <x v="18"/>
    <n v="1248.9444900000001"/>
    <x v="0"/>
    <x v="0"/>
    <x v="0"/>
    <x v="0"/>
    <x v="4"/>
    <x v="18"/>
    <n v="1361.3494941000001"/>
  </r>
  <r>
    <x v="6"/>
    <x v="0"/>
    <x v="6"/>
    <x v="6"/>
    <x v="0"/>
    <x v="1"/>
    <x v="0"/>
    <x v="0"/>
    <x v="0"/>
    <x v="0"/>
    <x v="0"/>
    <x v="0"/>
    <x v="4"/>
    <x v="5"/>
    <x v="5"/>
    <x v="34"/>
    <x v="34"/>
    <n v="489.039070734044"/>
    <x v="0"/>
    <x v="0"/>
    <x v="0"/>
    <x v="0"/>
    <x v="0"/>
    <x v="0"/>
    <n v="533.05258710010798"/>
  </r>
  <r>
    <x v="6"/>
    <x v="0"/>
    <x v="6"/>
    <x v="6"/>
    <x v="0"/>
    <x v="1"/>
    <x v="0"/>
    <x v="0"/>
    <x v="0"/>
    <x v="0"/>
    <x v="0"/>
    <x v="0"/>
    <x v="4"/>
    <x v="5"/>
    <x v="5"/>
    <x v="25"/>
    <x v="25"/>
    <n v="170.79194495402601"/>
    <x v="0"/>
    <x v="0"/>
    <x v="1"/>
    <x v="4"/>
    <x v="5"/>
    <x v="9"/>
    <n v="186.16321999988836"/>
  </r>
  <r>
    <x v="6"/>
    <x v="0"/>
    <x v="6"/>
    <x v="6"/>
    <x v="0"/>
    <x v="1"/>
    <x v="0"/>
    <x v="0"/>
    <x v="0"/>
    <x v="0"/>
    <x v="0"/>
    <x v="0"/>
    <x v="4"/>
    <x v="5"/>
    <x v="5"/>
    <x v="37"/>
    <x v="37"/>
    <n v="497.17066055015999"/>
    <x v="0"/>
    <x v="0"/>
    <x v="1"/>
    <x v="3"/>
    <x v="3"/>
    <x v="4"/>
    <n v="541.9160199996744"/>
  </r>
  <r>
    <x v="6"/>
    <x v="0"/>
    <x v="6"/>
    <x v="6"/>
    <x v="0"/>
    <x v="1"/>
    <x v="0"/>
    <x v="0"/>
    <x v="0"/>
    <x v="0"/>
    <x v="0"/>
    <x v="0"/>
    <x v="4"/>
    <x v="5"/>
    <x v="5"/>
    <x v="27"/>
    <x v="27"/>
    <n v="104.86852702925"/>
    <x v="0"/>
    <x v="0"/>
    <x v="1"/>
    <x v="3"/>
    <x v="3"/>
    <x v="19"/>
    <n v="114.30669446188251"/>
  </r>
  <r>
    <x v="6"/>
    <x v="0"/>
    <x v="6"/>
    <x v="6"/>
    <x v="0"/>
    <x v="1"/>
    <x v="0"/>
    <x v="0"/>
    <x v="0"/>
    <x v="0"/>
    <x v="0"/>
    <x v="0"/>
    <x v="4"/>
    <x v="5"/>
    <x v="5"/>
    <x v="26"/>
    <x v="26"/>
    <n v="13.9980825687989"/>
    <x v="0"/>
    <x v="0"/>
    <x v="1"/>
    <x v="3"/>
    <x v="3"/>
    <x v="15"/>
    <n v="15.257909999990801"/>
  </r>
  <r>
    <x v="6"/>
    <x v="0"/>
    <x v="6"/>
    <x v="6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6"/>
    <x v="0"/>
    <x v="6"/>
    <x v="6"/>
    <x v="0"/>
    <x v="1"/>
    <x v="0"/>
    <x v="0"/>
    <x v="0"/>
    <x v="0"/>
    <x v="0"/>
    <x v="0"/>
    <x v="4"/>
    <x v="5"/>
    <x v="5"/>
    <x v="2"/>
    <x v="2"/>
    <n v="12979.9375779739"/>
    <x v="0"/>
    <x v="1"/>
    <x v="2"/>
    <x v="2"/>
    <x v="13"/>
    <x v="2"/>
    <n v="14148.131959991553"/>
  </r>
  <r>
    <x v="6"/>
    <x v="0"/>
    <x v="6"/>
    <x v="6"/>
    <x v="0"/>
    <x v="1"/>
    <x v="0"/>
    <x v="0"/>
    <x v="0"/>
    <x v="0"/>
    <x v="0"/>
    <x v="0"/>
    <x v="4"/>
    <x v="5"/>
    <x v="5"/>
    <x v="3"/>
    <x v="3"/>
    <n v="21.226943840708799"/>
    <x v="0"/>
    <x v="0"/>
    <x v="1"/>
    <x v="3"/>
    <x v="3"/>
    <x v="3"/>
    <n v="23.137368786372594"/>
  </r>
  <r>
    <x v="6"/>
    <x v="0"/>
    <x v="6"/>
    <x v="6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6"/>
    <x v="0"/>
    <x v="6"/>
    <x v="6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6"/>
    <x v="0"/>
    <x v="6"/>
    <x v="6"/>
    <x v="0"/>
    <x v="1"/>
    <x v="0"/>
    <x v="0"/>
    <x v="0"/>
    <x v="0"/>
    <x v="3"/>
    <x v="3"/>
    <x v="0"/>
    <x v="4"/>
    <x v="4"/>
    <x v="16"/>
    <x v="16"/>
    <n v="4.7752100000000004"/>
    <x v="0"/>
    <x v="0"/>
    <x v="3"/>
    <x v="5"/>
    <x v="9"/>
    <x v="16"/>
    <n v="5.2049789000000004"/>
  </r>
  <r>
    <x v="6"/>
    <x v="0"/>
    <x v="6"/>
    <x v="6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6"/>
    <x v="0"/>
    <x v="6"/>
    <x v="6"/>
    <x v="0"/>
    <x v="1"/>
    <x v="0"/>
    <x v="0"/>
    <x v="0"/>
    <x v="0"/>
    <x v="3"/>
    <x v="3"/>
    <x v="2"/>
    <x v="2"/>
    <x v="2"/>
    <x v="6"/>
    <x v="6"/>
    <n v="83.563609999999997"/>
    <x v="0"/>
    <x v="0"/>
    <x v="0"/>
    <x v="0"/>
    <x v="4"/>
    <x v="6"/>
    <n v="91.084334900000002"/>
  </r>
  <r>
    <x v="6"/>
    <x v="0"/>
    <x v="6"/>
    <x v="6"/>
    <x v="0"/>
    <x v="1"/>
    <x v="0"/>
    <x v="0"/>
    <x v="0"/>
    <x v="0"/>
    <x v="3"/>
    <x v="3"/>
    <x v="2"/>
    <x v="2"/>
    <x v="2"/>
    <x v="8"/>
    <x v="8"/>
    <n v="631.40214189593303"/>
    <x v="0"/>
    <x v="1"/>
    <x v="2"/>
    <x v="2"/>
    <x v="6"/>
    <x v="8"/>
    <n v="688.22833466656709"/>
  </r>
  <r>
    <x v="6"/>
    <x v="0"/>
    <x v="6"/>
    <x v="6"/>
    <x v="0"/>
    <x v="1"/>
    <x v="0"/>
    <x v="0"/>
    <x v="0"/>
    <x v="0"/>
    <x v="3"/>
    <x v="3"/>
    <x v="2"/>
    <x v="2"/>
    <x v="2"/>
    <x v="9"/>
    <x v="9"/>
    <n v="0.30732110091725001"/>
    <x v="0"/>
    <x v="0"/>
    <x v="1"/>
    <x v="4"/>
    <x v="5"/>
    <x v="9"/>
    <n v="0.33497999999980255"/>
  </r>
  <r>
    <x v="6"/>
    <x v="0"/>
    <x v="6"/>
    <x v="6"/>
    <x v="0"/>
    <x v="1"/>
    <x v="0"/>
    <x v="0"/>
    <x v="0"/>
    <x v="0"/>
    <x v="3"/>
    <x v="3"/>
    <x v="2"/>
    <x v="2"/>
    <x v="2"/>
    <x v="30"/>
    <x v="30"/>
    <n v="10.10752688168"/>
    <x v="0"/>
    <x v="0"/>
    <x v="0"/>
    <x v="0"/>
    <x v="0"/>
    <x v="0"/>
    <n v="11.017204301031201"/>
  </r>
  <r>
    <x v="6"/>
    <x v="0"/>
    <x v="6"/>
    <x v="6"/>
    <x v="0"/>
    <x v="1"/>
    <x v="0"/>
    <x v="0"/>
    <x v="0"/>
    <x v="0"/>
    <x v="3"/>
    <x v="3"/>
    <x v="2"/>
    <x v="2"/>
    <x v="2"/>
    <x v="16"/>
    <x v="16"/>
    <n v="14.28318"/>
    <x v="0"/>
    <x v="0"/>
    <x v="3"/>
    <x v="5"/>
    <x v="9"/>
    <x v="16"/>
    <n v="15.568666200000001"/>
  </r>
  <r>
    <x v="6"/>
    <x v="0"/>
    <x v="6"/>
    <x v="6"/>
    <x v="0"/>
    <x v="1"/>
    <x v="0"/>
    <x v="0"/>
    <x v="0"/>
    <x v="0"/>
    <x v="3"/>
    <x v="3"/>
    <x v="2"/>
    <x v="2"/>
    <x v="2"/>
    <x v="2"/>
    <x v="2"/>
    <n v="471.04220183458"/>
    <x v="0"/>
    <x v="1"/>
    <x v="2"/>
    <x v="2"/>
    <x v="13"/>
    <x v="2"/>
    <n v="513.43599999969229"/>
  </r>
  <r>
    <x v="6"/>
    <x v="0"/>
    <x v="6"/>
    <x v="6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6"/>
    <x v="0"/>
    <x v="6"/>
    <x v="6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6"/>
    <x v="0"/>
    <x v="6"/>
    <x v="6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6"/>
    <x v="0"/>
    <x v="6"/>
    <x v="6"/>
    <x v="0"/>
    <x v="1"/>
    <x v="0"/>
    <x v="0"/>
    <x v="0"/>
    <x v="0"/>
    <x v="3"/>
    <x v="3"/>
    <x v="4"/>
    <x v="5"/>
    <x v="5"/>
    <x v="12"/>
    <x v="12"/>
    <n v="47.099848837030301"/>
    <x v="0"/>
    <x v="0"/>
    <x v="0"/>
    <x v="0"/>
    <x v="8"/>
    <x v="12"/>
    <n v="51.338835232363031"/>
  </r>
  <r>
    <x v="6"/>
    <x v="0"/>
    <x v="6"/>
    <x v="6"/>
    <x v="0"/>
    <x v="1"/>
    <x v="0"/>
    <x v="0"/>
    <x v="0"/>
    <x v="0"/>
    <x v="3"/>
    <x v="3"/>
    <x v="4"/>
    <x v="5"/>
    <x v="5"/>
    <x v="18"/>
    <x v="18"/>
    <n v="12.893660000000001"/>
    <x v="0"/>
    <x v="0"/>
    <x v="0"/>
    <x v="0"/>
    <x v="4"/>
    <x v="18"/>
    <n v="14.054089400000002"/>
  </r>
  <r>
    <x v="6"/>
    <x v="0"/>
    <x v="6"/>
    <x v="6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6"/>
    <x v="0"/>
    <x v="6"/>
    <x v="6"/>
    <x v="0"/>
    <x v="1"/>
    <x v="0"/>
    <x v="0"/>
    <x v="0"/>
    <x v="0"/>
    <x v="3"/>
    <x v="3"/>
    <x v="4"/>
    <x v="5"/>
    <x v="5"/>
    <x v="0"/>
    <x v="0"/>
    <n v="164.63075444793799"/>
    <x v="0"/>
    <x v="0"/>
    <x v="0"/>
    <x v="0"/>
    <x v="0"/>
    <x v="0"/>
    <n v="179.44752234825242"/>
  </r>
  <r>
    <x v="6"/>
    <x v="0"/>
    <x v="6"/>
    <x v="6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6"/>
    <x v="0"/>
    <x v="6"/>
    <x v="6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6"/>
    <x v="0"/>
    <x v="6"/>
    <x v="6"/>
    <x v="0"/>
    <x v="1"/>
    <x v="0"/>
    <x v="0"/>
    <x v="0"/>
    <x v="0"/>
    <x v="4"/>
    <x v="4"/>
    <x v="2"/>
    <x v="2"/>
    <x v="2"/>
    <x v="6"/>
    <x v="6"/>
    <n v="0.58875999999999995"/>
    <x v="0"/>
    <x v="0"/>
    <x v="0"/>
    <x v="0"/>
    <x v="4"/>
    <x v="6"/>
    <n v="0.6417484"/>
  </r>
  <r>
    <x v="6"/>
    <x v="0"/>
    <x v="6"/>
    <x v="6"/>
    <x v="0"/>
    <x v="1"/>
    <x v="0"/>
    <x v="0"/>
    <x v="0"/>
    <x v="0"/>
    <x v="4"/>
    <x v="4"/>
    <x v="2"/>
    <x v="2"/>
    <x v="2"/>
    <x v="7"/>
    <x v="7"/>
    <n v="0.1247155963302"/>
    <x v="0"/>
    <x v="0"/>
    <x v="1"/>
    <x v="4"/>
    <x v="5"/>
    <x v="7"/>
    <n v="0.13593999999991802"/>
  </r>
  <r>
    <x v="6"/>
    <x v="0"/>
    <x v="6"/>
    <x v="6"/>
    <x v="0"/>
    <x v="1"/>
    <x v="0"/>
    <x v="0"/>
    <x v="0"/>
    <x v="0"/>
    <x v="4"/>
    <x v="4"/>
    <x v="2"/>
    <x v="2"/>
    <x v="2"/>
    <x v="8"/>
    <x v="8"/>
    <n v="16.7162094595664"/>
    <x v="0"/>
    <x v="1"/>
    <x v="2"/>
    <x v="2"/>
    <x v="6"/>
    <x v="8"/>
    <n v="18.220668310927376"/>
  </r>
  <r>
    <x v="6"/>
    <x v="0"/>
    <x v="6"/>
    <x v="6"/>
    <x v="0"/>
    <x v="1"/>
    <x v="0"/>
    <x v="0"/>
    <x v="0"/>
    <x v="0"/>
    <x v="4"/>
    <x v="4"/>
    <x v="2"/>
    <x v="2"/>
    <x v="2"/>
    <x v="9"/>
    <x v="9"/>
    <n v="0.24467889908241999"/>
    <x v="0"/>
    <x v="0"/>
    <x v="1"/>
    <x v="4"/>
    <x v="5"/>
    <x v="9"/>
    <n v="0.26669999999983779"/>
  </r>
  <r>
    <x v="6"/>
    <x v="0"/>
    <x v="6"/>
    <x v="6"/>
    <x v="0"/>
    <x v="1"/>
    <x v="0"/>
    <x v="0"/>
    <x v="0"/>
    <x v="0"/>
    <x v="4"/>
    <x v="4"/>
    <x v="2"/>
    <x v="2"/>
    <x v="2"/>
    <x v="11"/>
    <x v="11"/>
    <n v="0.16811999999999999"/>
    <x v="0"/>
    <x v="0"/>
    <x v="3"/>
    <x v="5"/>
    <x v="7"/>
    <x v="11"/>
    <n v="0.18325079999999999"/>
  </r>
  <r>
    <x v="6"/>
    <x v="0"/>
    <x v="6"/>
    <x v="6"/>
    <x v="0"/>
    <x v="1"/>
    <x v="0"/>
    <x v="0"/>
    <x v="0"/>
    <x v="0"/>
    <x v="4"/>
    <x v="4"/>
    <x v="2"/>
    <x v="2"/>
    <x v="2"/>
    <x v="12"/>
    <x v="12"/>
    <n v="17.608313953421501"/>
    <x v="0"/>
    <x v="0"/>
    <x v="0"/>
    <x v="0"/>
    <x v="8"/>
    <x v="12"/>
    <n v="19.193062209229439"/>
  </r>
  <r>
    <x v="6"/>
    <x v="0"/>
    <x v="6"/>
    <x v="6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6"/>
    <x v="0"/>
    <x v="6"/>
    <x v="6"/>
    <x v="0"/>
    <x v="1"/>
    <x v="0"/>
    <x v="0"/>
    <x v="0"/>
    <x v="0"/>
    <x v="4"/>
    <x v="4"/>
    <x v="2"/>
    <x v="2"/>
    <x v="2"/>
    <x v="16"/>
    <x v="16"/>
    <n v="4.4260999999999999"/>
    <x v="0"/>
    <x v="0"/>
    <x v="3"/>
    <x v="5"/>
    <x v="9"/>
    <x v="16"/>
    <n v="4.8244490000000004"/>
  </r>
  <r>
    <x v="6"/>
    <x v="0"/>
    <x v="6"/>
    <x v="6"/>
    <x v="0"/>
    <x v="1"/>
    <x v="0"/>
    <x v="0"/>
    <x v="0"/>
    <x v="0"/>
    <x v="4"/>
    <x v="4"/>
    <x v="2"/>
    <x v="2"/>
    <x v="2"/>
    <x v="25"/>
    <x v="25"/>
    <n v="9.2972477064159995E-2"/>
    <x v="0"/>
    <x v="0"/>
    <x v="1"/>
    <x v="4"/>
    <x v="5"/>
    <x v="9"/>
    <n v="0.1013399999999344"/>
  </r>
  <r>
    <x v="6"/>
    <x v="0"/>
    <x v="6"/>
    <x v="6"/>
    <x v="0"/>
    <x v="1"/>
    <x v="0"/>
    <x v="0"/>
    <x v="0"/>
    <x v="0"/>
    <x v="4"/>
    <x v="4"/>
    <x v="2"/>
    <x v="2"/>
    <x v="2"/>
    <x v="27"/>
    <x v="27"/>
    <n v="1.8636824324719401"/>
    <x v="0"/>
    <x v="0"/>
    <x v="1"/>
    <x v="3"/>
    <x v="3"/>
    <x v="19"/>
    <n v="2.0314138513944147"/>
  </r>
  <r>
    <x v="6"/>
    <x v="0"/>
    <x v="6"/>
    <x v="6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6"/>
    <x v="0"/>
    <x v="6"/>
    <x v="6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6"/>
    <x v="0"/>
    <x v="6"/>
    <x v="6"/>
    <x v="0"/>
    <x v="1"/>
    <x v="0"/>
    <x v="0"/>
    <x v="2"/>
    <x v="2"/>
    <x v="5"/>
    <x v="5"/>
    <x v="2"/>
    <x v="2"/>
    <x v="2"/>
    <x v="42"/>
    <x v="42"/>
    <n v="11.45513"/>
    <x v="1"/>
    <x v="2"/>
    <x v="5"/>
    <x v="7"/>
    <x v="11"/>
    <x v="22"/>
    <n v="12.486091700000001"/>
  </r>
  <r>
    <x v="6"/>
    <x v="0"/>
    <x v="6"/>
    <x v="6"/>
    <x v="0"/>
    <x v="1"/>
    <x v="0"/>
    <x v="0"/>
    <x v="2"/>
    <x v="2"/>
    <x v="5"/>
    <x v="5"/>
    <x v="2"/>
    <x v="2"/>
    <x v="2"/>
    <x v="41"/>
    <x v="41"/>
    <n v="7.7365957446514502"/>
    <x v="1"/>
    <x v="2"/>
    <x v="5"/>
    <x v="7"/>
    <x v="11"/>
    <x v="22"/>
    <n v="8.4328893616700817"/>
  </r>
  <r>
    <x v="6"/>
    <x v="0"/>
    <x v="6"/>
    <x v="6"/>
    <x v="0"/>
    <x v="1"/>
    <x v="0"/>
    <x v="0"/>
    <x v="2"/>
    <x v="2"/>
    <x v="5"/>
    <x v="5"/>
    <x v="2"/>
    <x v="2"/>
    <x v="2"/>
    <x v="40"/>
    <x v="40"/>
    <n v="398.79347999999999"/>
    <x v="1"/>
    <x v="2"/>
    <x v="5"/>
    <x v="7"/>
    <x v="11"/>
    <x v="22"/>
    <n v="434.68489320000003"/>
  </r>
  <r>
    <x v="6"/>
    <x v="0"/>
    <x v="6"/>
    <x v="6"/>
    <x v="0"/>
    <x v="1"/>
    <x v="0"/>
    <x v="0"/>
    <x v="2"/>
    <x v="2"/>
    <x v="5"/>
    <x v="5"/>
    <x v="2"/>
    <x v="2"/>
    <x v="2"/>
    <x v="38"/>
    <x v="38"/>
    <n v="9.8116099999999999"/>
    <x v="1"/>
    <x v="0"/>
    <x v="4"/>
    <x v="6"/>
    <x v="10"/>
    <x v="21"/>
    <n v="10.694654900000002"/>
  </r>
  <r>
    <x v="6"/>
    <x v="0"/>
    <x v="6"/>
    <x v="6"/>
    <x v="0"/>
    <x v="1"/>
    <x v="0"/>
    <x v="0"/>
    <x v="0"/>
    <x v="0"/>
    <x v="5"/>
    <x v="5"/>
    <x v="2"/>
    <x v="2"/>
    <x v="2"/>
    <x v="17"/>
    <x v="17"/>
    <n v="9.9964399999999998"/>
    <x v="0"/>
    <x v="0"/>
    <x v="0"/>
    <x v="0"/>
    <x v="4"/>
    <x v="17"/>
    <n v="10.8961196"/>
  </r>
  <r>
    <x v="6"/>
    <x v="0"/>
    <x v="6"/>
    <x v="6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6"/>
    <x v="0"/>
    <x v="6"/>
    <x v="6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6"/>
    <x v="0"/>
    <x v="6"/>
    <x v="6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6"/>
    <x v="0"/>
    <x v="6"/>
    <x v="6"/>
    <x v="0"/>
    <x v="1"/>
    <x v="0"/>
    <x v="0"/>
    <x v="2"/>
    <x v="2"/>
    <x v="5"/>
    <x v="5"/>
    <x v="3"/>
    <x v="7"/>
    <x v="7"/>
    <x v="40"/>
    <x v="40"/>
    <n v="5.01877"/>
    <x v="1"/>
    <x v="2"/>
    <x v="5"/>
    <x v="7"/>
    <x v="11"/>
    <x v="22"/>
    <n v="5.4704592999999999"/>
  </r>
  <r>
    <x v="6"/>
    <x v="0"/>
    <x v="6"/>
    <x v="6"/>
    <x v="0"/>
    <x v="1"/>
    <x v="0"/>
    <x v="0"/>
    <x v="2"/>
    <x v="2"/>
    <x v="5"/>
    <x v="5"/>
    <x v="1"/>
    <x v="8"/>
    <x v="8"/>
    <x v="40"/>
    <x v="40"/>
    <n v="3.4096500000000001"/>
    <x v="1"/>
    <x v="2"/>
    <x v="5"/>
    <x v="7"/>
    <x v="11"/>
    <x v="22"/>
    <n v="3.7165185000000003"/>
  </r>
  <r>
    <x v="6"/>
    <x v="0"/>
    <x v="6"/>
    <x v="6"/>
    <x v="0"/>
    <x v="1"/>
    <x v="0"/>
    <x v="0"/>
    <x v="2"/>
    <x v="2"/>
    <x v="5"/>
    <x v="5"/>
    <x v="2"/>
    <x v="10"/>
    <x v="10"/>
    <x v="40"/>
    <x v="40"/>
    <n v="0.81286000000000003"/>
    <x v="1"/>
    <x v="2"/>
    <x v="5"/>
    <x v="7"/>
    <x v="11"/>
    <x v="22"/>
    <n v="0.88601740000000007"/>
  </r>
  <r>
    <x v="6"/>
    <x v="0"/>
    <x v="6"/>
    <x v="6"/>
    <x v="0"/>
    <x v="1"/>
    <x v="0"/>
    <x v="0"/>
    <x v="2"/>
    <x v="2"/>
    <x v="5"/>
    <x v="5"/>
    <x v="4"/>
    <x v="5"/>
    <x v="5"/>
    <x v="40"/>
    <x v="40"/>
    <n v="113.11839000000001"/>
    <x v="1"/>
    <x v="2"/>
    <x v="5"/>
    <x v="7"/>
    <x v="11"/>
    <x v="22"/>
    <n v="123.29904510000001"/>
  </r>
  <r>
    <x v="6"/>
    <x v="0"/>
    <x v="6"/>
    <x v="6"/>
    <x v="0"/>
    <x v="1"/>
    <x v="0"/>
    <x v="0"/>
    <x v="2"/>
    <x v="2"/>
    <x v="6"/>
    <x v="6"/>
    <x v="2"/>
    <x v="2"/>
    <x v="2"/>
    <x v="40"/>
    <x v="40"/>
    <n v="9.3843399999999999"/>
    <x v="1"/>
    <x v="2"/>
    <x v="5"/>
    <x v="7"/>
    <x v="11"/>
    <x v="22"/>
    <n v="10.2289306"/>
  </r>
  <r>
    <x v="6"/>
    <x v="0"/>
    <x v="6"/>
    <x v="6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6"/>
    <x v="0"/>
    <x v="6"/>
    <x v="6"/>
    <x v="0"/>
    <x v="1"/>
    <x v="0"/>
    <x v="0"/>
    <x v="2"/>
    <x v="2"/>
    <x v="7"/>
    <x v="7"/>
    <x v="2"/>
    <x v="2"/>
    <x v="2"/>
    <x v="40"/>
    <x v="40"/>
    <n v="116.13312999999999"/>
    <x v="1"/>
    <x v="2"/>
    <x v="5"/>
    <x v="7"/>
    <x v="11"/>
    <x v="22"/>
    <n v="126.5851117"/>
  </r>
  <r>
    <x v="6"/>
    <x v="0"/>
    <x v="6"/>
    <x v="6"/>
    <x v="0"/>
    <x v="1"/>
    <x v="0"/>
    <x v="0"/>
    <x v="2"/>
    <x v="2"/>
    <x v="7"/>
    <x v="7"/>
    <x v="2"/>
    <x v="2"/>
    <x v="2"/>
    <x v="38"/>
    <x v="38"/>
    <n v="154.89782"/>
    <x v="1"/>
    <x v="0"/>
    <x v="4"/>
    <x v="6"/>
    <x v="10"/>
    <x v="21"/>
    <n v="168.83862380000002"/>
  </r>
  <r>
    <x v="6"/>
    <x v="0"/>
    <x v="6"/>
    <x v="6"/>
    <x v="0"/>
    <x v="1"/>
    <x v="0"/>
    <x v="0"/>
    <x v="2"/>
    <x v="2"/>
    <x v="7"/>
    <x v="7"/>
    <x v="2"/>
    <x v="2"/>
    <x v="2"/>
    <x v="43"/>
    <x v="43"/>
    <n v="0.49997999999999998"/>
    <x v="1"/>
    <x v="0"/>
    <x v="4"/>
    <x v="6"/>
    <x v="10"/>
    <x v="21"/>
    <n v="0.54497819999999997"/>
  </r>
  <r>
    <x v="6"/>
    <x v="0"/>
    <x v="6"/>
    <x v="6"/>
    <x v="0"/>
    <x v="1"/>
    <x v="0"/>
    <x v="0"/>
    <x v="2"/>
    <x v="2"/>
    <x v="7"/>
    <x v="7"/>
    <x v="2"/>
    <x v="2"/>
    <x v="2"/>
    <x v="44"/>
    <x v="44"/>
    <n v="3.3650000000000002"/>
    <x v="1"/>
    <x v="0"/>
    <x v="4"/>
    <x v="6"/>
    <x v="10"/>
    <x v="21"/>
    <n v="3.6678500000000005"/>
  </r>
  <r>
    <x v="6"/>
    <x v="0"/>
    <x v="6"/>
    <x v="6"/>
    <x v="0"/>
    <x v="1"/>
    <x v="0"/>
    <x v="0"/>
    <x v="0"/>
    <x v="0"/>
    <x v="7"/>
    <x v="7"/>
    <x v="2"/>
    <x v="2"/>
    <x v="2"/>
    <x v="17"/>
    <x v="17"/>
    <n v="0.60726999999999998"/>
    <x v="0"/>
    <x v="0"/>
    <x v="0"/>
    <x v="0"/>
    <x v="4"/>
    <x v="17"/>
    <n v="0.66192430000000002"/>
  </r>
  <r>
    <x v="6"/>
    <x v="0"/>
    <x v="6"/>
    <x v="6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6"/>
    <x v="0"/>
    <x v="6"/>
    <x v="6"/>
    <x v="0"/>
    <x v="1"/>
    <x v="0"/>
    <x v="0"/>
    <x v="2"/>
    <x v="2"/>
    <x v="7"/>
    <x v="7"/>
    <x v="2"/>
    <x v="2"/>
    <x v="2"/>
    <x v="46"/>
    <x v="46"/>
    <n v="4.45052"/>
    <x v="1"/>
    <x v="0"/>
    <x v="4"/>
    <x v="6"/>
    <x v="10"/>
    <x v="21"/>
    <n v="4.8510668000000008"/>
  </r>
  <r>
    <x v="6"/>
    <x v="0"/>
    <x v="6"/>
    <x v="6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6"/>
    <x v="0"/>
    <x v="6"/>
    <x v="6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6"/>
    <x v="0"/>
    <x v="6"/>
    <x v="6"/>
    <x v="0"/>
    <x v="1"/>
    <x v="0"/>
    <x v="0"/>
    <x v="2"/>
    <x v="2"/>
    <x v="7"/>
    <x v="7"/>
    <x v="3"/>
    <x v="7"/>
    <x v="7"/>
    <x v="40"/>
    <x v="40"/>
    <n v="120.87763"/>
    <x v="1"/>
    <x v="2"/>
    <x v="5"/>
    <x v="7"/>
    <x v="11"/>
    <x v="22"/>
    <n v="131.7566167"/>
  </r>
  <r>
    <x v="6"/>
    <x v="0"/>
    <x v="6"/>
    <x v="6"/>
    <x v="0"/>
    <x v="1"/>
    <x v="0"/>
    <x v="0"/>
    <x v="2"/>
    <x v="2"/>
    <x v="7"/>
    <x v="7"/>
    <x v="1"/>
    <x v="8"/>
    <x v="8"/>
    <x v="40"/>
    <x v="40"/>
    <n v="12.186730000000001"/>
    <x v="1"/>
    <x v="2"/>
    <x v="5"/>
    <x v="7"/>
    <x v="11"/>
    <x v="22"/>
    <n v="13.283535700000002"/>
  </r>
  <r>
    <x v="6"/>
    <x v="0"/>
    <x v="6"/>
    <x v="6"/>
    <x v="0"/>
    <x v="1"/>
    <x v="0"/>
    <x v="0"/>
    <x v="2"/>
    <x v="2"/>
    <x v="7"/>
    <x v="7"/>
    <x v="2"/>
    <x v="10"/>
    <x v="10"/>
    <x v="40"/>
    <x v="40"/>
    <n v="2.70974"/>
    <x v="1"/>
    <x v="2"/>
    <x v="5"/>
    <x v="7"/>
    <x v="11"/>
    <x v="22"/>
    <n v="2.9536166000000001"/>
  </r>
  <r>
    <x v="6"/>
    <x v="0"/>
    <x v="6"/>
    <x v="6"/>
    <x v="0"/>
    <x v="1"/>
    <x v="0"/>
    <x v="0"/>
    <x v="2"/>
    <x v="2"/>
    <x v="7"/>
    <x v="7"/>
    <x v="4"/>
    <x v="5"/>
    <x v="5"/>
    <x v="40"/>
    <x v="40"/>
    <n v="90.201939999999993"/>
    <x v="1"/>
    <x v="2"/>
    <x v="5"/>
    <x v="7"/>
    <x v="11"/>
    <x v="22"/>
    <n v="98.320114599999997"/>
  </r>
  <r>
    <x v="6"/>
    <x v="0"/>
    <x v="6"/>
    <x v="6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6"/>
    <x v="0"/>
    <x v="6"/>
    <x v="6"/>
    <x v="0"/>
    <x v="1"/>
    <x v="0"/>
    <x v="0"/>
    <x v="2"/>
    <x v="2"/>
    <x v="8"/>
    <x v="8"/>
    <x v="2"/>
    <x v="2"/>
    <x v="2"/>
    <x v="40"/>
    <x v="40"/>
    <n v="82.776880000000006"/>
    <x v="1"/>
    <x v="2"/>
    <x v="5"/>
    <x v="7"/>
    <x v="11"/>
    <x v="22"/>
    <n v="90.226799200000016"/>
  </r>
  <r>
    <x v="6"/>
    <x v="0"/>
    <x v="6"/>
    <x v="6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6"/>
    <x v="0"/>
    <x v="6"/>
    <x v="6"/>
    <x v="0"/>
    <x v="1"/>
    <x v="0"/>
    <x v="0"/>
    <x v="2"/>
    <x v="2"/>
    <x v="9"/>
    <x v="9"/>
    <x v="2"/>
    <x v="2"/>
    <x v="2"/>
    <x v="40"/>
    <x v="40"/>
    <n v="746.40580999999997"/>
    <x v="1"/>
    <x v="2"/>
    <x v="5"/>
    <x v="7"/>
    <x v="11"/>
    <x v="22"/>
    <n v="813.58233289999998"/>
  </r>
  <r>
    <x v="6"/>
    <x v="0"/>
    <x v="6"/>
    <x v="6"/>
    <x v="0"/>
    <x v="1"/>
    <x v="0"/>
    <x v="0"/>
    <x v="2"/>
    <x v="2"/>
    <x v="9"/>
    <x v="9"/>
    <x v="2"/>
    <x v="2"/>
    <x v="2"/>
    <x v="38"/>
    <x v="38"/>
    <n v="231.39095"/>
    <x v="1"/>
    <x v="0"/>
    <x v="4"/>
    <x v="6"/>
    <x v="10"/>
    <x v="21"/>
    <n v="252.21613550000004"/>
  </r>
  <r>
    <x v="6"/>
    <x v="0"/>
    <x v="6"/>
    <x v="6"/>
    <x v="0"/>
    <x v="1"/>
    <x v="0"/>
    <x v="0"/>
    <x v="2"/>
    <x v="2"/>
    <x v="9"/>
    <x v="9"/>
    <x v="2"/>
    <x v="2"/>
    <x v="2"/>
    <x v="48"/>
    <x v="48"/>
    <n v="33.613059999999997"/>
    <x v="1"/>
    <x v="0"/>
    <x v="4"/>
    <x v="6"/>
    <x v="10"/>
    <x v="21"/>
    <n v="36.638235399999999"/>
  </r>
  <r>
    <x v="6"/>
    <x v="0"/>
    <x v="6"/>
    <x v="6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6"/>
    <x v="0"/>
    <x v="6"/>
    <x v="6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6"/>
    <x v="0"/>
    <x v="6"/>
    <x v="6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6"/>
    <x v="0"/>
    <x v="6"/>
    <x v="6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6"/>
    <x v="0"/>
    <x v="6"/>
    <x v="6"/>
    <x v="0"/>
    <x v="1"/>
    <x v="0"/>
    <x v="0"/>
    <x v="2"/>
    <x v="2"/>
    <x v="9"/>
    <x v="9"/>
    <x v="3"/>
    <x v="7"/>
    <x v="7"/>
    <x v="40"/>
    <x v="40"/>
    <n v="600.78283999999996"/>
    <x v="1"/>
    <x v="2"/>
    <x v="5"/>
    <x v="7"/>
    <x v="11"/>
    <x v="22"/>
    <n v="654.85329560000002"/>
  </r>
  <r>
    <x v="6"/>
    <x v="0"/>
    <x v="6"/>
    <x v="6"/>
    <x v="0"/>
    <x v="1"/>
    <x v="0"/>
    <x v="0"/>
    <x v="2"/>
    <x v="2"/>
    <x v="9"/>
    <x v="9"/>
    <x v="1"/>
    <x v="8"/>
    <x v="8"/>
    <x v="40"/>
    <x v="40"/>
    <n v="165.86838"/>
    <x v="1"/>
    <x v="2"/>
    <x v="5"/>
    <x v="7"/>
    <x v="11"/>
    <x v="22"/>
    <n v="180.79653420000002"/>
  </r>
  <r>
    <x v="6"/>
    <x v="0"/>
    <x v="6"/>
    <x v="6"/>
    <x v="0"/>
    <x v="1"/>
    <x v="0"/>
    <x v="0"/>
    <x v="2"/>
    <x v="2"/>
    <x v="9"/>
    <x v="9"/>
    <x v="2"/>
    <x v="10"/>
    <x v="10"/>
    <x v="40"/>
    <x v="40"/>
    <n v="129.21827999999999"/>
    <x v="1"/>
    <x v="2"/>
    <x v="5"/>
    <x v="7"/>
    <x v="11"/>
    <x v="22"/>
    <n v="140.84792519999999"/>
  </r>
  <r>
    <x v="6"/>
    <x v="0"/>
    <x v="6"/>
    <x v="6"/>
    <x v="0"/>
    <x v="1"/>
    <x v="0"/>
    <x v="0"/>
    <x v="2"/>
    <x v="2"/>
    <x v="9"/>
    <x v="9"/>
    <x v="4"/>
    <x v="5"/>
    <x v="5"/>
    <x v="40"/>
    <x v="40"/>
    <n v="898.54011000000003"/>
    <x v="1"/>
    <x v="2"/>
    <x v="5"/>
    <x v="7"/>
    <x v="11"/>
    <x v="22"/>
    <n v="979.40871990000005"/>
  </r>
  <r>
    <x v="6"/>
    <x v="0"/>
    <x v="6"/>
    <x v="6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6"/>
    <x v="0"/>
    <x v="6"/>
    <x v="6"/>
    <x v="0"/>
    <x v="1"/>
    <x v="0"/>
    <x v="0"/>
    <x v="2"/>
    <x v="2"/>
    <x v="10"/>
    <x v="10"/>
    <x v="2"/>
    <x v="2"/>
    <x v="2"/>
    <x v="41"/>
    <x v="41"/>
    <n v="3.1432340425412502"/>
    <x v="1"/>
    <x v="2"/>
    <x v="5"/>
    <x v="7"/>
    <x v="11"/>
    <x v="22"/>
    <n v="3.4261251063699629"/>
  </r>
  <r>
    <x v="6"/>
    <x v="0"/>
    <x v="6"/>
    <x v="6"/>
    <x v="0"/>
    <x v="1"/>
    <x v="0"/>
    <x v="0"/>
    <x v="2"/>
    <x v="2"/>
    <x v="10"/>
    <x v="10"/>
    <x v="2"/>
    <x v="2"/>
    <x v="2"/>
    <x v="40"/>
    <x v="40"/>
    <n v="302.95562999999999"/>
    <x v="1"/>
    <x v="2"/>
    <x v="5"/>
    <x v="7"/>
    <x v="11"/>
    <x v="22"/>
    <n v="330.22163670000003"/>
  </r>
  <r>
    <x v="6"/>
    <x v="0"/>
    <x v="6"/>
    <x v="6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6"/>
    <x v="0"/>
    <x v="6"/>
    <x v="6"/>
    <x v="0"/>
    <x v="1"/>
    <x v="0"/>
    <x v="0"/>
    <x v="3"/>
    <x v="3"/>
    <x v="12"/>
    <x v="12"/>
    <x v="2"/>
    <x v="2"/>
    <x v="2"/>
    <x v="40"/>
    <x v="40"/>
    <n v="8.9464900000000007"/>
    <x v="1"/>
    <x v="2"/>
    <x v="5"/>
    <x v="7"/>
    <x v="11"/>
    <x v="22"/>
    <n v="9.7516741000000007"/>
  </r>
  <r>
    <x v="6"/>
    <x v="0"/>
    <x v="6"/>
    <x v="6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6"/>
    <x v="0"/>
    <x v="6"/>
    <x v="6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6"/>
    <x v="0"/>
    <x v="6"/>
    <x v="6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6"/>
    <x v="0"/>
    <x v="6"/>
    <x v="6"/>
    <x v="0"/>
    <x v="1"/>
    <x v="0"/>
    <x v="0"/>
    <x v="3"/>
    <x v="3"/>
    <x v="12"/>
    <x v="12"/>
    <x v="3"/>
    <x v="7"/>
    <x v="7"/>
    <x v="40"/>
    <x v="40"/>
    <n v="7.1017400000000004"/>
    <x v="1"/>
    <x v="2"/>
    <x v="5"/>
    <x v="7"/>
    <x v="11"/>
    <x v="22"/>
    <n v="7.740896600000001"/>
  </r>
  <r>
    <x v="6"/>
    <x v="0"/>
    <x v="6"/>
    <x v="6"/>
    <x v="0"/>
    <x v="1"/>
    <x v="0"/>
    <x v="0"/>
    <x v="3"/>
    <x v="3"/>
    <x v="12"/>
    <x v="12"/>
    <x v="4"/>
    <x v="5"/>
    <x v="5"/>
    <x v="40"/>
    <x v="40"/>
    <n v="13.716480000000001"/>
    <x v="1"/>
    <x v="2"/>
    <x v="5"/>
    <x v="7"/>
    <x v="11"/>
    <x v="22"/>
    <n v="14.950963200000002"/>
  </r>
  <r>
    <x v="6"/>
    <x v="0"/>
    <x v="6"/>
    <x v="6"/>
    <x v="0"/>
    <x v="1"/>
    <x v="0"/>
    <x v="0"/>
    <x v="3"/>
    <x v="3"/>
    <x v="13"/>
    <x v="13"/>
    <x v="2"/>
    <x v="2"/>
    <x v="2"/>
    <x v="41"/>
    <x v="41"/>
    <n v="21.651457446726202"/>
    <x v="1"/>
    <x v="2"/>
    <x v="5"/>
    <x v="7"/>
    <x v="11"/>
    <x v="22"/>
    <n v="23.600088616931561"/>
  </r>
  <r>
    <x v="6"/>
    <x v="0"/>
    <x v="6"/>
    <x v="6"/>
    <x v="0"/>
    <x v="1"/>
    <x v="0"/>
    <x v="0"/>
    <x v="3"/>
    <x v="3"/>
    <x v="13"/>
    <x v="13"/>
    <x v="2"/>
    <x v="2"/>
    <x v="2"/>
    <x v="40"/>
    <x v="40"/>
    <n v="215.97800000000001"/>
    <x v="1"/>
    <x v="2"/>
    <x v="5"/>
    <x v="7"/>
    <x v="11"/>
    <x v="22"/>
    <n v="235.41602000000003"/>
  </r>
  <r>
    <x v="6"/>
    <x v="0"/>
    <x v="6"/>
    <x v="6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6"/>
    <x v="0"/>
    <x v="6"/>
    <x v="6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6"/>
    <x v="0"/>
    <x v="6"/>
    <x v="6"/>
    <x v="0"/>
    <x v="1"/>
    <x v="0"/>
    <x v="0"/>
    <x v="3"/>
    <x v="3"/>
    <x v="13"/>
    <x v="13"/>
    <x v="1"/>
    <x v="8"/>
    <x v="8"/>
    <x v="40"/>
    <x v="40"/>
    <n v="1.6006499999999999"/>
    <x v="1"/>
    <x v="2"/>
    <x v="5"/>
    <x v="7"/>
    <x v="11"/>
    <x v="22"/>
    <n v="1.7447085"/>
  </r>
  <r>
    <x v="6"/>
    <x v="0"/>
    <x v="6"/>
    <x v="6"/>
    <x v="0"/>
    <x v="1"/>
    <x v="0"/>
    <x v="0"/>
    <x v="3"/>
    <x v="3"/>
    <x v="13"/>
    <x v="13"/>
    <x v="4"/>
    <x v="5"/>
    <x v="5"/>
    <x v="40"/>
    <x v="40"/>
    <n v="0.74834999999999996"/>
    <x v="1"/>
    <x v="2"/>
    <x v="5"/>
    <x v="7"/>
    <x v="11"/>
    <x v="22"/>
    <n v="0.81570149999999997"/>
  </r>
  <r>
    <x v="6"/>
    <x v="0"/>
    <x v="6"/>
    <x v="6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6"/>
    <x v="0"/>
    <x v="6"/>
    <x v="6"/>
    <x v="0"/>
    <x v="1"/>
    <x v="0"/>
    <x v="0"/>
    <x v="2"/>
    <x v="2"/>
    <x v="14"/>
    <x v="14"/>
    <x v="2"/>
    <x v="2"/>
    <x v="2"/>
    <x v="40"/>
    <x v="40"/>
    <n v="24.143799999999999"/>
    <x v="1"/>
    <x v="2"/>
    <x v="5"/>
    <x v="7"/>
    <x v="11"/>
    <x v="22"/>
    <n v="26.316742000000001"/>
  </r>
  <r>
    <x v="6"/>
    <x v="0"/>
    <x v="6"/>
    <x v="6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6"/>
    <x v="0"/>
    <x v="6"/>
    <x v="6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6"/>
    <x v="0"/>
    <x v="6"/>
    <x v="6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6"/>
    <x v="0"/>
    <x v="6"/>
    <x v="6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6"/>
    <x v="0"/>
    <x v="6"/>
    <x v="6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6"/>
    <x v="0"/>
    <x v="6"/>
    <x v="6"/>
    <x v="0"/>
    <x v="1"/>
    <x v="0"/>
    <x v="0"/>
    <x v="2"/>
    <x v="2"/>
    <x v="17"/>
    <x v="17"/>
    <x v="2"/>
    <x v="2"/>
    <x v="2"/>
    <x v="42"/>
    <x v="42"/>
    <n v="2.1099399999999999"/>
    <x v="1"/>
    <x v="2"/>
    <x v="5"/>
    <x v="7"/>
    <x v="11"/>
    <x v="22"/>
    <n v="2.2998346000000001"/>
  </r>
  <r>
    <x v="6"/>
    <x v="0"/>
    <x v="6"/>
    <x v="6"/>
    <x v="0"/>
    <x v="1"/>
    <x v="0"/>
    <x v="0"/>
    <x v="2"/>
    <x v="2"/>
    <x v="17"/>
    <x v="17"/>
    <x v="2"/>
    <x v="2"/>
    <x v="2"/>
    <x v="40"/>
    <x v="40"/>
    <n v="148.23227"/>
    <x v="1"/>
    <x v="2"/>
    <x v="5"/>
    <x v="7"/>
    <x v="11"/>
    <x v="22"/>
    <n v="161.57317430000001"/>
  </r>
  <r>
    <x v="6"/>
    <x v="0"/>
    <x v="6"/>
    <x v="6"/>
    <x v="0"/>
    <x v="1"/>
    <x v="0"/>
    <x v="0"/>
    <x v="2"/>
    <x v="2"/>
    <x v="17"/>
    <x v="17"/>
    <x v="2"/>
    <x v="2"/>
    <x v="2"/>
    <x v="38"/>
    <x v="38"/>
    <n v="0.44034000000000001"/>
    <x v="1"/>
    <x v="0"/>
    <x v="4"/>
    <x v="6"/>
    <x v="10"/>
    <x v="21"/>
    <n v="0.47997060000000002"/>
  </r>
  <r>
    <x v="6"/>
    <x v="0"/>
    <x v="6"/>
    <x v="6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6"/>
    <x v="0"/>
    <x v="6"/>
    <x v="6"/>
    <x v="0"/>
    <x v="1"/>
    <x v="0"/>
    <x v="0"/>
    <x v="2"/>
    <x v="2"/>
    <x v="17"/>
    <x v="17"/>
    <x v="3"/>
    <x v="7"/>
    <x v="7"/>
    <x v="40"/>
    <x v="40"/>
    <n v="17.83239"/>
    <x v="1"/>
    <x v="2"/>
    <x v="5"/>
    <x v="7"/>
    <x v="11"/>
    <x v="22"/>
    <n v="19.437305100000003"/>
  </r>
  <r>
    <x v="6"/>
    <x v="0"/>
    <x v="6"/>
    <x v="6"/>
    <x v="0"/>
    <x v="1"/>
    <x v="0"/>
    <x v="0"/>
    <x v="2"/>
    <x v="2"/>
    <x v="17"/>
    <x v="17"/>
    <x v="1"/>
    <x v="8"/>
    <x v="8"/>
    <x v="40"/>
    <x v="40"/>
    <n v="9.3768899999999995"/>
    <x v="1"/>
    <x v="2"/>
    <x v="5"/>
    <x v="7"/>
    <x v="11"/>
    <x v="22"/>
    <n v="10.2208101"/>
  </r>
  <r>
    <x v="6"/>
    <x v="0"/>
    <x v="6"/>
    <x v="6"/>
    <x v="0"/>
    <x v="1"/>
    <x v="0"/>
    <x v="0"/>
    <x v="2"/>
    <x v="2"/>
    <x v="17"/>
    <x v="17"/>
    <x v="2"/>
    <x v="10"/>
    <x v="10"/>
    <x v="40"/>
    <x v="40"/>
    <n v="2.7096900000000002"/>
    <x v="1"/>
    <x v="2"/>
    <x v="5"/>
    <x v="7"/>
    <x v="11"/>
    <x v="22"/>
    <n v="2.9535621000000005"/>
  </r>
  <r>
    <x v="6"/>
    <x v="0"/>
    <x v="6"/>
    <x v="6"/>
    <x v="0"/>
    <x v="1"/>
    <x v="0"/>
    <x v="0"/>
    <x v="2"/>
    <x v="2"/>
    <x v="17"/>
    <x v="17"/>
    <x v="4"/>
    <x v="5"/>
    <x v="5"/>
    <x v="40"/>
    <x v="40"/>
    <n v="152.71624"/>
    <x v="1"/>
    <x v="2"/>
    <x v="5"/>
    <x v="7"/>
    <x v="11"/>
    <x v="22"/>
    <n v="166.46070160000002"/>
  </r>
  <r>
    <x v="6"/>
    <x v="0"/>
    <x v="6"/>
    <x v="6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6"/>
    <x v="0"/>
    <x v="6"/>
    <x v="6"/>
    <x v="0"/>
    <x v="2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6"/>
    <x v="0"/>
    <x v="6"/>
    <x v="6"/>
    <x v="0"/>
    <x v="2"/>
    <x v="0"/>
    <x v="0"/>
    <x v="0"/>
    <x v="0"/>
    <x v="0"/>
    <x v="0"/>
    <x v="3"/>
    <x v="3"/>
    <x v="3"/>
    <x v="9"/>
    <x v="9"/>
    <n v="18.984403669713402"/>
    <x v="0"/>
    <x v="0"/>
    <x v="1"/>
    <x v="4"/>
    <x v="5"/>
    <x v="9"/>
    <n v="20.69299999998761"/>
  </r>
  <r>
    <x v="6"/>
    <x v="0"/>
    <x v="6"/>
    <x v="6"/>
    <x v="0"/>
    <x v="2"/>
    <x v="0"/>
    <x v="0"/>
    <x v="0"/>
    <x v="0"/>
    <x v="0"/>
    <x v="0"/>
    <x v="3"/>
    <x v="3"/>
    <x v="3"/>
    <x v="11"/>
    <x v="11"/>
    <n v="18.872979999999998"/>
    <x v="0"/>
    <x v="0"/>
    <x v="3"/>
    <x v="5"/>
    <x v="7"/>
    <x v="11"/>
    <n v="20.571548199999999"/>
  </r>
  <r>
    <x v="6"/>
    <x v="0"/>
    <x v="6"/>
    <x v="6"/>
    <x v="0"/>
    <x v="2"/>
    <x v="0"/>
    <x v="0"/>
    <x v="0"/>
    <x v="0"/>
    <x v="0"/>
    <x v="0"/>
    <x v="3"/>
    <x v="3"/>
    <x v="3"/>
    <x v="16"/>
    <x v="16"/>
    <n v="355.32947999999999"/>
    <x v="0"/>
    <x v="0"/>
    <x v="3"/>
    <x v="5"/>
    <x v="9"/>
    <x v="16"/>
    <n v="387.30913320000002"/>
  </r>
  <r>
    <x v="6"/>
    <x v="0"/>
    <x v="6"/>
    <x v="6"/>
    <x v="0"/>
    <x v="2"/>
    <x v="0"/>
    <x v="0"/>
    <x v="0"/>
    <x v="0"/>
    <x v="0"/>
    <x v="0"/>
    <x v="3"/>
    <x v="3"/>
    <x v="3"/>
    <x v="26"/>
    <x v="26"/>
    <n v="2.7522935779800002"/>
    <x v="0"/>
    <x v="0"/>
    <x v="1"/>
    <x v="3"/>
    <x v="3"/>
    <x v="15"/>
    <n v="2.9999999999982006"/>
  </r>
  <r>
    <x v="6"/>
    <x v="0"/>
    <x v="6"/>
    <x v="6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6"/>
    <x v="0"/>
    <x v="6"/>
    <x v="6"/>
    <x v="0"/>
    <x v="2"/>
    <x v="0"/>
    <x v="0"/>
    <x v="2"/>
    <x v="2"/>
    <x v="9"/>
    <x v="9"/>
    <x v="3"/>
    <x v="7"/>
    <x v="7"/>
    <x v="40"/>
    <x v="40"/>
    <n v="518.18460000000005"/>
    <x v="1"/>
    <x v="2"/>
    <x v="5"/>
    <x v="7"/>
    <x v="11"/>
    <x v="22"/>
    <n v="564.82121400000005"/>
  </r>
  <r>
    <x v="6"/>
    <x v="0"/>
    <x v="6"/>
    <x v="6"/>
    <x v="0"/>
    <x v="2"/>
    <x v="0"/>
    <x v="0"/>
    <x v="2"/>
    <x v="2"/>
    <x v="9"/>
    <x v="9"/>
    <x v="1"/>
    <x v="8"/>
    <x v="8"/>
    <x v="40"/>
    <x v="40"/>
    <n v="591.84180000000003"/>
    <x v="1"/>
    <x v="2"/>
    <x v="5"/>
    <x v="7"/>
    <x v="11"/>
    <x v="22"/>
    <n v="645.10756200000003"/>
  </r>
  <r>
    <x v="6"/>
    <x v="0"/>
    <x v="6"/>
    <x v="6"/>
    <x v="0"/>
    <x v="2"/>
    <x v="0"/>
    <x v="0"/>
    <x v="2"/>
    <x v="2"/>
    <x v="9"/>
    <x v="9"/>
    <x v="2"/>
    <x v="10"/>
    <x v="10"/>
    <x v="40"/>
    <x v="40"/>
    <n v="150.07859999999999"/>
    <x v="1"/>
    <x v="2"/>
    <x v="5"/>
    <x v="7"/>
    <x v="11"/>
    <x v="22"/>
    <n v="163.58567400000001"/>
  </r>
  <r>
    <x v="6"/>
    <x v="0"/>
    <x v="6"/>
    <x v="6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6"/>
    <x v="0"/>
    <x v="6"/>
    <x v="6"/>
    <x v="0"/>
    <x v="2"/>
    <x v="0"/>
    <x v="0"/>
    <x v="2"/>
    <x v="2"/>
    <x v="9"/>
    <x v="9"/>
    <x v="4"/>
    <x v="5"/>
    <x v="5"/>
    <x v="40"/>
    <x v="40"/>
    <n v="1525.8168000000001"/>
    <x v="1"/>
    <x v="2"/>
    <x v="5"/>
    <x v="7"/>
    <x v="11"/>
    <x v="22"/>
    <n v="1663.1403120000002"/>
  </r>
  <r>
    <x v="6"/>
    <x v="0"/>
    <x v="6"/>
    <x v="6"/>
    <x v="0"/>
    <x v="2"/>
    <x v="0"/>
    <x v="0"/>
    <x v="2"/>
    <x v="2"/>
    <x v="10"/>
    <x v="10"/>
    <x v="2"/>
    <x v="2"/>
    <x v="2"/>
    <x v="41"/>
    <x v="41"/>
    <n v="7.4468085106100004"/>
    <x v="1"/>
    <x v="2"/>
    <x v="5"/>
    <x v="7"/>
    <x v="11"/>
    <x v="22"/>
    <n v="8.1170212765649001"/>
  </r>
  <r>
    <x v="6"/>
    <x v="0"/>
    <x v="6"/>
    <x v="6"/>
    <x v="0"/>
    <x v="2"/>
    <x v="0"/>
    <x v="0"/>
    <x v="2"/>
    <x v="2"/>
    <x v="10"/>
    <x v="10"/>
    <x v="2"/>
    <x v="2"/>
    <x v="2"/>
    <x v="40"/>
    <x v="40"/>
    <n v="197.92662999999999"/>
    <x v="1"/>
    <x v="2"/>
    <x v="5"/>
    <x v="7"/>
    <x v="11"/>
    <x v="22"/>
    <n v="215.74002670000002"/>
  </r>
  <r>
    <x v="6"/>
    <x v="0"/>
    <x v="6"/>
    <x v="6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6"/>
    <x v="0"/>
    <x v="6"/>
    <x v="6"/>
    <x v="0"/>
    <x v="2"/>
    <x v="0"/>
    <x v="0"/>
    <x v="3"/>
    <x v="3"/>
    <x v="12"/>
    <x v="12"/>
    <x v="3"/>
    <x v="7"/>
    <x v="7"/>
    <x v="40"/>
    <x v="40"/>
    <n v="126.30840000000001"/>
    <x v="1"/>
    <x v="2"/>
    <x v="5"/>
    <x v="7"/>
    <x v="11"/>
    <x v="22"/>
    <n v="137.67615600000002"/>
  </r>
  <r>
    <x v="6"/>
    <x v="0"/>
    <x v="6"/>
    <x v="6"/>
    <x v="0"/>
    <x v="2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6"/>
    <x v="0"/>
    <x v="6"/>
    <x v="6"/>
    <x v="0"/>
    <x v="2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6"/>
    <x v="0"/>
    <x v="6"/>
    <x v="6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6"/>
    <x v="0"/>
    <x v="6"/>
    <x v="6"/>
    <x v="0"/>
    <x v="2"/>
    <x v="0"/>
    <x v="0"/>
    <x v="3"/>
    <x v="3"/>
    <x v="12"/>
    <x v="12"/>
    <x v="4"/>
    <x v="5"/>
    <x v="5"/>
    <x v="40"/>
    <x v="40"/>
    <n v="153.06037000000001"/>
    <x v="1"/>
    <x v="2"/>
    <x v="5"/>
    <x v="7"/>
    <x v="11"/>
    <x v="22"/>
    <n v="166.83580330000001"/>
  </r>
  <r>
    <x v="6"/>
    <x v="0"/>
    <x v="6"/>
    <x v="6"/>
    <x v="0"/>
    <x v="2"/>
    <x v="0"/>
    <x v="0"/>
    <x v="3"/>
    <x v="3"/>
    <x v="13"/>
    <x v="13"/>
    <x v="2"/>
    <x v="2"/>
    <x v="2"/>
    <x v="40"/>
    <x v="40"/>
    <n v="41.337499999999999"/>
    <x v="1"/>
    <x v="2"/>
    <x v="5"/>
    <x v="7"/>
    <x v="11"/>
    <x v="22"/>
    <n v="45.057875000000003"/>
  </r>
  <r>
    <x v="6"/>
    <x v="0"/>
    <x v="6"/>
    <x v="6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6"/>
    <x v="0"/>
    <x v="6"/>
    <x v="6"/>
    <x v="0"/>
    <x v="2"/>
    <x v="0"/>
    <x v="0"/>
    <x v="3"/>
    <x v="3"/>
    <x v="19"/>
    <x v="19"/>
    <x v="3"/>
    <x v="7"/>
    <x v="7"/>
    <x v="40"/>
    <x v="40"/>
    <n v="1008.6538"/>
    <x v="1"/>
    <x v="2"/>
    <x v="5"/>
    <x v="7"/>
    <x v="11"/>
    <x v="22"/>
    <n v="1099.4326420000002"/>
  </r>
  <r>
    <x v="6"/>
    <x v="0"/>
    <x v="6"/>
    <x v="6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6"/>
    <x v="0"/>
    <x v="6"/>
    <x v="6"/>
    <x v="0"/>
    <x v="2"/>
    <x v="0"/>
    <x v="0"/>
    <x v="3"/>
    <x v="3"/>
    <x v="19"/>
    <x v="19"/>
    <x v="1"/>
    <x v="8"/>
    <x v="8"/>
    <x v="40"/>
    <x v="40"/>
    <n v="606.04849000000002"/>
    <x v="1"/>
    <x v="2"/>
    <x v="5"/>
    <x v="7"/>
    <x v="11"/>
    <x v="22"/>
    <n v="660.59285410000007"/>
  </r>
  <r>
    <x v="6"/>
    <x v="0"/>
    <x v="6"/>
    <x v="6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6"/>
    <x v="0"/>
    <x v="6"/>
    <x v="6"/>
    <x v="0"/>
    <x v="2"/>
    <x v="0"/>
    <x v="0"/>
    <x v="3"/>
    <x v="3"/>
    <x v="19"/>
    <x v="19"/>
    <x v="2"/>
    <x v="10"/>
    <x v="10"/>
    <x v="40"/>
    <x v="40"/>
    <n v="110.80092"/>
    <x v="1"/>
    <x v="2"/>
    <x v="5"/>
    <x v="7"/>
    <x v="11"/>
    <x v="22"/>
    <n v="120.77300280000001"/>
  </r>
  <r>
    <x v="6"/>
    <x v="0"/>
    <x v="6"/>
    <x v="6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6"/>
    <x v="0"/>
    <x v="6"/>
    <x v="6"/>
    <x v="0"/>
    <x v="2"/>
    <x v="0"/>
    <x v="0"/>
    <x v="3"/>
    <x v="3"/>
    <x v="19"/>
    <x v="19"/>
    <x v="4"/>
    <x v="5"/>
    <x v="5"/>
    <x v="40"/>
    <x v="40"/>
    <n v="633.32556999999997"/>
    <x v="1"/>
    <x v="2"/>
    <x v="5"/>
    <x v="7"/>
    <x v="11"/>
    <x v="22"/>
    <n v="690.32487130000004"/>
  </r>
  <r>
    <x v="6"/>
    <x v="0"/>
    <x v="6"/>
    <x v="6"/>
    <x v="0"/>
    <x v="2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6"/>
    <x v="0"/>
    <x v="6"/>
    <x v="6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6"/>
    <x v="0"/>
    <x v="6"/>
    <x v="6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6"/>
    <x v="0"/>
    <x v="6"/>
    <x v="6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6"/>
    <x v="0"/>
    <x v="6"/>
    <x v="6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6"/>
    <x v="0"/>
    <x v="6"/>
    <x v="6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6"/>
    <x v="0"/>
    <x v="6"/>
    <x v="6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6"/>
    <x v="0"/>
    <x v="6"/>
    <x v="6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6"/>
    <x v="0"/>
    <x v="6"/>
    <x v="6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6"/>
    <x v="0"/>
    <x v="6"/>
    <x v="6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6"/>
    <x v="0"/>
    <x v="6"/>
    <x v="6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6"/>
    <x v="0"/>
    <x v="6"/>
    <x v="6"/>
    <x v="0"/>
    <x v="2"/>
    <x v="0"/>
    <x v="0"/>
    <x v="2"/>
    <x v="2"/>
    <x v="17"/>
    <x v="17"/>
    <x v="3"/>
    <x v="7"/>
    <x v="7"/>
    <x v="7"/>
    <x v="7"/>
    <n v="199.17935539547801"/>
    <x v="0"/>
    <x v="0"/>
    <x v="1"/>
    <x v="4"/>
    <x v="5"/>
    <x v="7"/>
    <n v="217.10549738107105"/>
  </r>
  <r>
    <x v="6"/>
    <x v="0"/>
    <x v="6"/>
    <x v="6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6"/>
    <x v="0"/>
    <x v="6"/>
    <x v="6"/>
    <x v="0"/>
    <x v="2"/>
    <x v="0"/>
    <x v="0"/>
    <x v="2"/>
    <x v="2"/>
    <x v="17"/>
    <x v="17"/>
    <x v="1"/>
    <x v="8"/>
    <x v="8"/>
    <x v="7"/>
    <x v="7"/>
    <n v="69.730860625350701"/>
    <x v="0"/>
    <x v="0"/>
    <x v="1"/>
    <x v="4"/>
    <x v="5"/>
    <x v="7"/>
    <n v="76.006638081632275"/>
  </r>
  <r>
    <x v="6"/>
    <x v="0"/>
    <x v="6"/>
    <x v="6"/>
    <x v="0"/>
    <x v="2"/>
    <x v="0"/>
    <x v="0"/>
    <x v="2"/>
    <x v="2"/>
    <x v="17"/>
    <x v="17"/>
    <x v="1"/>
    <x v="8"/>
    <x v="8"/>
    <x v="40"/>
    <x v="40"/>
    <n v="107.25360000000001"/>
    <x v="1"/>
    <x v="2"/>
    <x v="5"/>
    <x v="7"/>
    <x v="11"/>
    <x v="22"/>
    <n v="116.90642400000002"/>
  </r>
  <r>
    <x v="6"/>
    <x v="0"/>
    <x v="6"/>
    <x v="6"/>
    <x v="0"/>
    <x v="2"/>
    <x v="0"/>
    <x v="0"/>
    <x v="2"/>
    <x v="2"/>
    <x v="17"/>
    <x v="17"/>
    <x v="0"/>
    <x v="9"/>
    <x v="9"/>
    <x v="7"/>
    <x v="7"/>
    <n v="72.127817071281001"/>
    <x v="0"/>
    <x v="0"/>
    <x v="1"/>
    <x v="4"/>
    <x v="5"/>
    <x v="7"/>
    <n v="78.619320607696295"/>
  </r>
  <r>
    <x v="6"/>
    <x v="0"/>
    <x v="6"/>
    <x v="6"/>
    <x v="0"/>
    <x v="2"/>
    <x v="0"/>
    <x v="0"/>
    <x v="2"/>
    <x v="2"/>
    <x v="17"/>
    <x v="17"/>
    <x v="2"/>
    <x v="10"/>
    <x v="10"/>
    <x v="7"/>
    <x v="7"/>
    <n v="48.128245643338303"/>
    <x v="0"/>
    <x v="0"/>
    <x v="1"/>
    <x v="4"/>
    <x v="5"/>
    <x v="7"/>
    <n v="52.459787751238757"/>
  </r>
  <r>
    <x v="6"/>
    <x v="0"/>
    <x v="6"/>
    <x v="6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6"/>
    <x v="0"/>
    <x v="6"/>
    <x v="6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6"/>
    <x v="0"/>
    <x v="6"/>
    <x v="6"/>
    <x v="0"/>
    <x v="2"/>
    <x v="0"/>
    <x v="0"/>
    <x v="2"/>
    <x v="2"/>
    <x v="17"/>
    <x v="17"/>
    <x v="4"/>
    <x v="5"/>
    <x v="5"/>
    <x v="40"/>
    <x v="40"/>
    <n v="1048.7271800000001"/>
    <x v="1"/>
    <x v="2"/>
    <x v="5"/>
    <x v="7"/>
    <x v="11"/>
    <x v="22"/>
    <n v="1143.1126262000002"/>
  </r>
  <r>
    <x v="6"/>
    <x v="0"/>
    <x v="6"/>
    <x v="6"/>
    <x v="0"/>
    <x v="3"/>
    <x v="0"/>
    <x v="0"/>
    <x v="0"/>
    <x v="0"/>
    <x v="0"/>
    <x v="0"/>
    <x v="3"/>
    <x v="3"/>
    <x v="3"/>
    <x v="12"/>
    <x v="12"/>
    <n v="29.307953488260701"/>
    <x v="0"/>
    <x v="0"/>
    <x v="0"/>
    <x v="0"/>
    <x v="8"/>
    <x v="12"/>
    <n v="31.945669302204166"/>
  </r>
  <r>
    <x v="6"/>
    <x v="0"/>
    <x v="6"/>
    <x v="6"/>
    <x v="0"/>
    <x v="3"/>
    <x v="0"/>
    <x v="0"/>
    <x v="0"/>
    <x v="0"/>
    <x v="0"/>
    <x v="0"/>
    <x v="3"/>
    <x v="3"/>
    <x v="3"/>
    <x v="26"/>
    <x v="26"/>
    <n v="78.891899082521505"/>
    <x v="0"/>
    <x v="0"/>
    <x v="1"/>
    <x v="3"/>
    <x v="3"/>
    <x v="15"/>
    <n v="85.992169999948445"/>
  </r>
  <r>
    <x v="6"/>
    <x v="0"/>
    <x v="6"/>
    <x v="6"/>
    <x v="0"/>
    <x v="3"/>
    <x v="0"/>
    <x v="0"/>
    <x v="0"/>
    <x v="0"/>
    <x v="0"/>
    <x v="0"/>
    <x v="0"/>
    <x v="4"/>
    <x v="4"/>
    <x v="9"/>
    <x v="9"/>
    <n v="35.152293577960599"/>
    <x v="0"/>
    <x v="0"/>
    <x v="1"/>
    <x v="4"/>
    <x v="5"/>
    <x v="9"/>
    <n v="38.315999999977052"/>
  </r>
  <r>
    <x v="6"/>
    <x v="0"/>
    <x v="6"/>
    <x v="6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6"/>
    <x v="0"/>
    <x v="6"/>
    <x v="6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6"/>
    <x v="0"/>
    <x v="6"/>
    <x v="6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6"/>
    <x v="0"/>
    <x v="6"/>
    <x v="6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6"/>
    <x v="0"/>
    <x v="6"/>
    <x v="6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6"/>
    <x v="0"/>
    <x v="6"/>
    <x v="6"/>
    <x v="1"/>
    <x v="6"/>
    <x v="0"/>
    <x v="0"/>
    <x v="0"/>
    <x v="0"/>
    <x v="0"/>
    <x v="0"/>
    <x v="1"/>
    <x v="8"/>
    <x v="8"/>
    <x v="9"/>
    <x v="9"/>
    <n v="350.88897633711201"/>
    <x v="0"/>
    <x v="0"/>
    <x v="1"/>
    <x v="4"/>
    <x v="5"/>
    <x v="9"/>
    <n v="382.46898420745214"/>
  </r>
  <r>
    <x v="6"/>
    <x v="0"/>
    <x v="6"/>
    <x v="6"/>
    <x v="1"/>
    <x v="6"/>
    <x v="0"/>
    <x v="0"/>
    <x v="0"/>
    <x v="0"/>
    <x v="0"/>
    <x v="0"/>
    <x v="1"/>
    <x v="8"/>
    <x v="8"/>
    <x v="10"/>
    <x v="10"/>
    <n v="8.0133656532441595"/>
    <x v="0"/>
    <x v="0"/>
    <x v="1"/>
    <x v="4"/>
    <x v="5"/>
    <x v="10"/>
    <n v="8.7345685620361344"/>
  </r>
  <r>
    <x v="6"/>
    <x v="0"/>
    <x v="6"/>
    <x v="6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6"/>
    <x v="0"/>
    <x v="6"/>
    <x v="6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6"/>
    <x v="0"/>
    <x v="6"/>
    <x v="6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6"/>
    <x v="0"/>
    <x v="6"/>
    <x v="6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6"/>
    <x v="0"/>
    <x v="6"/>
    <x v="6"/>
    <x v="1"/>
    <x v="6"/>
    <x v="0"/>
    <x v="0"/>
    <x v="0"/>
    <x v="0"/>
    <x v="0"/>
    <x v="0"/>
    <x v="0"/>
    <x v="9"/>
    <x v="9"/>
    <x v="9"/>
    <x v="9"/>
    <n v="1242.7293917012601"/>
    <x v="0"/>
    <x v="0"/>
    <x v="1"/>
    <x v="4"/>
    <x v="5"/>
    <x v="9"/>
    <n v="1354.5750369543737"/>
  </r>
  <r>
    <x v="6"/>
    <x v="0"/>
    <x v="6"/>
    <x v="6"/>
    <x v="1"/>
    <x v="6"/>
    <x v="0"/>
    <x v="0"/>
    <x v="0"/>
    <x v="0"/>
    <x v="0"/>
    <x v="0"/>
    <x v="0"/>
    <x v="9"/>
    <x v="9"/>
    <x v="10"/>
    <x v="10"/>
    <n v="7.1108364228038399"/>
    <x v="0"/>
    <x v="0"/>
    <x v="1"/>
    <x v="4"/>
    <x v="5"/>
    <x v="10"/>
    <n v="7.7508117008561861"/>
  </r>
  <r>
    <x v="6"/>
    <x v="0"/>
    <x v="6"/>
    <x v="6"/>
    <x v="1"/>
    <x v="6"/>
    <x v="0"/>
    <x v="0"/>
    <x v="2"/>
    <x v="2"/>
    <x v="0"/>
    <x v="0"/>
    <x v="0"/>
    <x v="9"/>
    <x v="9"/>
    <x v="38"/>
    <x v="38"/>
    <n v="152.96467000000001"/>
    <x v="1"/>
    <x v="0"/>
    <x v="4"/>
    <x v="6"/>
    <x v="10"/>
    <x v="21"/>
    <n v="166.73149030000002"/>
  </r>
  <r>
    <x v="6"/>
    <x v="0"/>
    <x v="6"/>
    <x v="6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6"/>
    <x v="0"/>
    <x v="6"/>
    <x v="6"/>
    <x v="1"/>
    <x v="6"/>
    <x v="0"/>
    <x v="0"/>
    <x v="0"/>
    <x v="0"/>
    <x v="0"/>
    <x v="0"/>
    <x v="0"/>
    <x v="9"/>
    <x v="9"/>
    <x v="21"/>
    <x v="21"/>
    <n v="102.08190825681901"/>
    <x v="0"/>
    <x v="0"/>
    <x v="1"/>
    <x v="4"/>
    <x v="5"/>
    <x v="10"/>
    <n v="111.26927999993272"/>
  </r>
  <r>
    <x v="6"/>
    <x v="0"/>
    <x v="6"/>
    <x v="6"/>
    <x v="0"/>
    <x v="2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6"/>
    <x v="0"/>
    <x v="6"/>
    <x v="6"/>
    <x v="0"/>
    <x v="2"/>
    <x v="0"/>
    <x v="0"/>
    <x v="0"/>
    <x v="0"/>
    <x v="0"/>
    <x v="0"/>
    <x v="0"/>
    <x v="4"/>
    <x v="4"/>
    <x v="9"/>
    <x v="9"/>
    <n v="5.1567794307010697"/>
    <x v="0"/>
    <x v="0"/>
    <x v="1"/>
    <x v="4"/>
    <x v="5"/>
    <x v="9"/>
    <n v="5.6208895794641665"/>
  </r>
  <r>
    <x v="6"/>
    <x v="0"/>
    <x v="6"/>
    <x v="6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6"/>
    <x v="0"/>
    <x v="6"/>
    <x v="6"/>
    <x v="0"/>
    <x v="2"/>
    <x v="0"/>
    <x v="0"/>
    <x v="0"/>
    <x v="0"/>
    <x v="0"/>
    <x v="0"/>
    <x v="0"/>
    <x v="4"/>
    <x v="4"/>
    <x v="11"/>
    <x v="11"/>
    <n v="5.125"/>
    <x v="0"/>
    <x v="0"/>
    <x v="3"/>
    <x v="5"/>
    <x v="7"/>
    <x v="11"/>
    <n v="5.5862500000000006"/>
  </r>
  <r>
    <x v="6"/>
    <x v="0"/>
    <x v="6"/>
    <x v="6"/>
    <x v="0"/>
    <x v="2"/>
    <x v="0"/>
    <x v="0"/>
    <x v="0"/>
    <x v="0"/>
    <x v="0"/>
    <x v="0"/>
    <x v="0"/>
    <x v="4"/>
    <x v="4"/>
    <x v="12"/>
    <x v="12"/>
    <n v="445.37023255644698"/>
    <x v="0"/>
    <x v="0"/>
    <x v="0"/>
    <x v="0"/>
    <x v="8"/>
    <x v="12"/>
    <n v="485.45355348652726"/>
  </r>
  <r>
    <x v="6"/>
    <x v="0"/>
    <x v="6"/>
    <x v="6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6"/>
    <x v="0"/>
    <x v="6"/>
    <x v="6"/>
    <x v="0"/>
    <x v="2"/>
    <x v="0"/>
    <x v="0"/>
    <x v="0"/>
    <x v="0"/>
    <x v="0"/>
    <x v="0"/>
    <x v="0"/>
    <x v="4"/>
    <x v="4"/>
    <x v="16"/>
    <x v="16"/>
    <n v="5.3150000000000004"/>
    <x v="0"/>
    <x v="0"/>
    <x v="3"/>
    <x v="5"/>
    <x v="9"/>
    <x v="16"/>
    <n v="5.7933500000000011"/>
  </r>
  <r>
    <x v="6"/>
    <x v="0"/>
    <x v="6"/>
    <x v="6"/>
    <x v="0"/>
    <x v="2"/>
    <x v="0"/>
    <x v="0"/>
    <x v="0"/>
    <x v="0"/>
    <x v="0"/>
    <x v="0"/>
    <x v="0"/>
    <x v="4"/>
    <x v="4"/>
    <x v="21"/>
    <x v="21"/>
    <n v="21.440366972464201"/>
    <x v="0"/>
    <x v="0"/>
    <x v="1"/>
    <x v="4"/>
    <x v="5"/>
    <x v="10"/>
    <n v="23.369999999985982"/>
  </r>
  <r>
    <x v="6"/>
    <x v="0"/>
    <x v="6"/>
    <x v="6"/>
    <x v="0"/>
    <x v="2"/>
    <x v="0"/>
    <x v="0"/>
    <x v="0"/>
    <x v="0"/>
    <x v="0"/>
    <x v="0"/>
    <x v="0"/>
    <x v="4"/>
    <x v="4"/>
    <x v="25"/>
    <x v="25"/>
    <n v="174.533128440262"/>
    <x v="0"/>
    <x v="0"/>
    <x v="1"/>
    <x v="4"/>
    <x v="5"/>
    <x v="9"/>
    <n v="190.24110999988559"/>
  </r>
  <r>
    <x v="6"/>
    <x v="0"/>
    <x v="6"/>
    <x v="6"/>
    <x v="0"/>
    <x v="2"/>
    <x v="0"/>
    <x v="0"/>
    <x v="0"/>
    <x v="0"/>
    <x v="0"/>
    <x v="0"/>
    <x v="0"/>
    <x v="4"/>
    <x v="4"/>
    <x v="1"/>
    <x v="1"/>
    <n v="136.928627585454"/>
    <x v="0"/>
    <x v="0"/>
    <x v="1"/>
    <x v="1"/>
    <x v="1"/>
    <x v="1"/>
    <n v="149.25220406814486"/>
  </r>
  <r>
    <x v="6"/>
    <x v="0"/>
    <x v="6"/>
    <x v="6"/>
    <x v="0"/>
    <x v="2"/>
    <x v="0"/>
    <x v="0"/>
    <x v="0"/>
    <x v="0"/>
    <x v="0"/>
    <x v="0"/>
    <x v="0"/>
    <x v="4"/>
    <x v="4"/>
    <x v="2"/>
    <x v="2"/>
    <n v="4.5871559629999997E-5"/>
    <x v="0"/>
    <x v="1"/>
    <x v="2"/>
    <x v="2"/>
    <x v="13"/>
    <x v="2"/>
    <n v="4.9999999996700003E-5"/>
  </r>
  <r>
    <x v="6"/>
    <x v="0"/>
    <x v="6"/>
    <x v="6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6"/>
    <x v="0"/>
    <x v="6"/>
    <x v="6"/>
    <x v="0"/>
    <x v="2"/>
    <x v="0"/>
    <x v="0"/>
    <x v="0"/>
    <x v="0"/>
    <x v="0"/>
    <x v="0"/>
    <x v="0"/>
    <x v="0"/>
    <x v="0"/>
    <x v="7"/>
    <x v="7"/>
    <n v="39.908256880709999"/>
    <x v="0"/>
    <x v="0"/>
    <x v="1"/>
    <x v="4"/>
    <x v="5"/>
    <x v="7"/>
    <n v="43.499999999973902"/>
  </r>
  <r>
    <x v="6"/>
    <x v="0"/>
    <x v="6"/>
    <x v="6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6"/>
    <x v="0"/>
    <x v="6"/>
    <x v="6"/>
    <x v="0"/>
    <x v="2"/>
    <x v="0"/>
    <x v="0"/>
    <x v="0"/>
    <x v="0"/>
    <x v="0"/>
    <x v="0"/>
    <x v="0"/>
    <x v="0"/>
    <x v="0"/>
    <x v="12"/>
    <x v="12"/>
    <n v="18.7255813952777"/>
    <x v="0"/>
    <x v="0"/>
    <x v="0"/>
    <x v="0"/>
    <x v="8"/>
    <x v="12"/>
    <n v="20.410883720852695"/>
  </r>
  <r>
    <x v="6"/>
    <x v="0"/>
    <x v="6"/>
    <x v="6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6"/>
    <x v="0"/>
    <x v="6"/>
    <x v="6"/>
    <x v="0"/>
    <x v="2"/>
    <x v="0"/>
    <x v="0"/>
    <x v="0"/>
    <x v="0"/>
    <x v="0"/>
    <x v="0"/>
    <x v="0"/>
    <x v="0"/>
    <x v="0"/>
    <x v="14"/>
    <x v="14"/>
    <n v="6.5000400000000003"/>
    <x v="0"/>
    <x v="0"/>
    <x v="0"/>
    <x v="0"/>
    <x v="8"/>
    <x v="14"/>
    <n v="7.0850436000000006"/>
  </r>
  <r>
    <x v="6"/>
    <x v="0"/>
    <x v="6"/>
    <x v="6"/>
    <x v="0"/>
    <x v="2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6"/>
    <x v="0"/>
    <x v="6"/>
    <x v="6"/>
    <x v="0"/>
    <x v="2"/>
    <x v="0"/>
    <x v="0"/>
    <x v="0"/>
    <x v="0"/>
    <x v="0"/>
    <x v="0"/>
    <x v="1"/>
    <x v="1"/>
    <x v="1"/>
    <x v="5"/>
    <x v="5"/>
    <n v="318.300588959474"/>
    <x v="0"/>
    <x v="0"/>
    <x v="1"/>
    <x v="1"/>
    <x v="1"/>
    <x v="5"/>
    <n v="346.94764196582668"/>
  </r>
  <r>
    <x v="6"/>
    <x v="0"/>
    <x v="6"/>
    <x v="6"/>
    <x v="0"/>
    <x v="2"/>
    <x v="0"/>
    <x v="0"/>
    <x v="0"/>
    <x v="0"/>
    <x v="0"/>
    <x v="0"/>
    <x v="1"/>
    <x v="1"/>
    <x v="1"/>
    <x v="7"/>
    <x v="7"/>
    <n v="35.602788990804299"/>
    <x v="0"/>
    <x v="0"/>
    <x v="1"/>
    <x v="4"/>
    <x v="5"/>
    <x v="7"/>
    <n v="38.807039999976688"/>
  </r>
  <r>
    <x v="6"/>
    <x v="0"/>
    <x v="6"/>
    <x v="6"/>
    <x v="0"/>
    <x v="2"/>
    <x v="0"/>
    <x v="0"/>
    <x v="0"/>
    <x v="0"/>
    <x v="0"/>
    <x v="0"/>
    <x v="1"/>
    <x v="1"/>
    <x v="1"/>
    <x v="12"/>
    <x v="12"/>
    <n v="3.5987441860328402"/>
    <x v="0"/>
    <x v="0"/>
    <x v="0"/>
    <x v="0"/>
    <x v="8"/>
    <x v="12"/>
    <n v="3.9226311627757959"/>
  </r>
  <r>
    <x v="6"/>
    <x v="0"/>
    <x v="6"/>
    <x v="6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6"/>
    <x v="0"/>
    <x v="6"/>
    <x v="6"/>
    <x v="0"/>
    <x v="2"/>
    <x v="0"/>
    <x v="0"/>
    <x v="0"/>
    <x v="0"/>
    <x v="0"/>
    <x v="0"/>
    <x v="1"/>
    <x v="1"/>
    <x v="1"/>
    <x v="14"/>
    <x v="14"/>
    <n v="9.3636199999999992"/>
    <x v="0"/>
    <x v="0"/>
    <x v="0"/>
    <x v="0"/>
    <x v="8"/>
    <x v="14"/>
    <n v="10.206345799999999"/>
  </r>
  <r>
    <x v="6"/>
    <x v="0"/>
    <x v="6"/>
    <x v="6"/>
    <x v="0"/>
    <x v="2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6"/>
    <x v="0"/>
    <x v="6"/>
    <x v="6"/>
    <x v="0"/>
    <x v="2"/>
    <x v="0"/>
    <x v="0"/>
    <x v="0"/>
    <x v="0"/>
    <x v="0"/>
    <x v="0"/>
    <x v="1"/>
    <x v="1"/>
    <x v="1"/>
    <x v="2"/>
    <x v="2"/>
    <n v="54.018348623820799"/>
    <x v="0"/>
    <x v="1"/>
    <x v="2"/>
    <x v="2"/>
    <x v="13"/>
    <x v="2"/>
    <n v="58.879999999964674"/>
  </r>
  <r>
    <x v="6"/>
    <x v="0"/>
    <x v="6"/>
    <x v="6"/>
    <x v="0"/>
    <x v="2"/>
    <x v="0"/>
    <x v="0"/>
    <x v="0"/>
    <x v="0"/>
    <x v="0"/>
    <x v="0"/>
    <x v="2"/>
    <x v="2"/>
    <x v="2"/>
    <x v="4"/>
    <x v="4"/>
    <n v="30.717688073376099"/>
    <x v="0"/>
    <x v="0"/>
    <x v="1"/>
    <x v="3"/>
    <x v="3"/>
    <x v="4"/>
    <n v="33.482279999979951"/>
  </r>
  <r>
    <x v="6"/>
    <x v="0"/>
    <x v="6"/>
    <x v="6"/>
    <x v="0"/>
    <x v="2"/>
    <x v="0"/>
    <x v="0"/>
    <x v="0"/>
    <x v="0"/>
    <x v="0"/>
    <x v="0"/>
    <x v="2"/>
    <x v="2"/>
    <x v="2"/>
    <x v="39"/>
    <x v="39"/>
    <n v="7.7768440366925802"/>
    <x v="0"/>
    <x v="0"/>
    <x v="1"/>
    <x v="4"/>
    <x v="5"/>
    <x v="9"/>
    <n v="8.476759999994913"/>
  </r>
  <r>
    <x v="6"/>
    <x v="0"/>
    <x v="6"/>
    <x v="6"/>
    <x v="0"/>
    <x v="2"/>
    <x v="0"/>
    <x v="0"/>
    <x v="0"/>
    <x v="0"/>
    <x v="0"/>
    <x v="0"/>
    <x v="2"/>
    <x v="2"/>
    <x v="2"/>
    <x v="5"/>
    <x v="5"/>
    <n v="195.26233742479701"/>
    <x v="0"/>
    <x v="0"/>
    <x v="1"/>
    <x v="1"/>
    <x v="1"/>
    <x v="5"/>
    <n v="212.83594779302877"/>
  </r>
  <r>
    <x v="6"/>
    <x v="0"/>
    <x v="6"/>
    <x v="6"/>
    <x v="0"/>
    <x v="2"/>
    <x v="0"/>
    <x v="0"/>
    <x v="0"/>
    <x v="0"/>
    <x v="0"/>
    <x v="0"/>
    <x v="2"/>
    <x v="2"/>
    <x v="2"/>
    <x v="7"/>
    <x v="7"/>
    <n v="1.5688073394486"/>
    <x v="0"/>
    <x v="0"/>
    <x v="1"/>
    <x v="4"/>
    <x v="5"/>
    <x v="7"/>
    <n v="1.7099999999989741"/>
  </r>
  <r>
    <x v="6"/>
    <x v="0"/>
    <x v="6"/>
    <x v="6"/>
    <x v="0"/>
    <x v="2"/>
    <x v="0"/>
    <x v="0"/>
    <x v="0"/>
    <x v="0"/>
    <x v="0"/>
    <x v="0"/>
    <x v="2"/>
    <x v="2"/>
    <x v="2"/>
    <x v="8"/>
    <x v="8"/>
    <n v="48.859445946258703"/>
    <x v="0"/>
    <x v="1"/>
    <x v="2"/>
    <x v="2"/>
    <x v="6"/>
    <x v="8"/>
    <n v="53.256796081421989"/>
  </r>
  <r>
    <x v="6"/>
    <x v="0"/>
    <x v="6"/>
    <x v="6"/>
    <x v="0"/>
    <x v="2"/>
    <x v="0"/>
    <x v="0"/>
    <x v="0"/>
    <x v="0"/>
    <x v="0"/>
    <x v="0"/>
    <x v="2"/>
    <x v="2"/>
    <x v="2"/>
    <x v="9"/>
    <x v="9"/>
    <n v="9.0059242642055004"/>
    <x v="0"/>
    <x v="0"/>
    <x v="1"/>
    <x v="4"/>
    <x v="5"/>
    <x v="9"/>
    <n v="9.8164574479839963"/>
  </r>
  <r>
    <x v="6"/>
    <x v="0"/>
    <x v="6"/>
    <x v="6"/>
    <x v="0"/>
    <x v="2"/>
    <x v="0"/>
    <x v="0"/>
    <x v="0"/>
    <x v="0"/>
    <x v="0"/>
    <x v="0"/>
    <x v="2"/>
    <x v="2"/>
    <x v="2"/>
    <x v="10"/>
    <x v="10"/>
    <n v="45.5080176892506"/>
    <x v="0"/>
    <x v="0"/>
    <x v="1"/>
    <x v="4"/>
    <x v="5"/>
    <x v="10"/>
    <n v="49.603739281283161"/>
  </r>
  <r>
    <x v="6"/>
    <x v="0"/>
    <x v="6"/>
    <x v="6"/>
    <x v="0"/>
    <x v="2"/>
    <x v="0"/>
    <x v="0"/>
    <x v="0"/>
    <x v="0"/>
    <x v="0"/>
    <x v="0"/>
    <x v="2"/>
    <x v="2"/>
    <x v="2"/>
    <x v="28"/>
    <x v="28"/>
    <n v="9.3164300000000004"/>
    <x v="0"/>
    <x v="0"/>
    <x v="1"/>
    <x v="3"/>
    <x v="3"/>
    <x v="13"/>
    <n v="10.154908700000002"/>
  </r>
  <r>
    <x v="6"/>
    <x v="0"/>
    <x v="6"/>
    <x v="6"/>
    <x v="0"/>
    <x v="2"/>
    <x v="0"/>
    <x v="0"/>
    <x v="0"/>
    <x v="0"/>
    <x v="0"/>
    <x v="0"/>
    <x v="2"/>
    <x v="2"/>
    <x v="2"/>
    <x v="31"/>
    <x v="31"/>
    <n v="2.88498165137442"/>
    <x v="0"/>
    <x v="0"/>
    <x v="1"/>
    <x v="4"/>
    <x v="5"/>
    <x v="10"/>
    <n v="3.1446299999981182"/>
  </r>
  <r>
    <x v="6"/>
    <x v="0"/>
    <x v="6"/>
    <x v="6"/>
    <x v="0"/>
    <x v="2"/>
    <x v="0"/>
    <x v="0"/>
    <x v="0"/>
    <x v="0"/>
    <x v="0"/>
    <x v="0"/>
    <x v="2"/>
    <x v="2"/>
    <x v="2"/>
    <x v="11"/>
    <x v="11"/>
    <n v="1.17"/>
    <x v="0"/>
    <x v="0"/>
    <x v="3"/>
    <x v="5"/>
    <x v="7"/>
    <x v="11"/>
    <n v="1.2753000000000001"/>
  </r>
  <r>
    <x v="6"/>
    <x v="0"/>
    <x v="6"/>
    <x v="6"/>
    <x v="0"/>
    <x v="2"/>
    <x v="0"/>
    <x v="0"/>
    <x v="0"/>
    <x v="0"/>
    <x v="0"/>
    <x v="0"/>
    <x v="2"/>
    <x v="2"/>
    <x v="2"/>
    <x v="12"/>
    <x v="12"/>
    <n v="115.670418604212"/>
    <x v="0"/>
    <x v="0"/>
    <x v="0"/>
    <x v="0"/>
    <x v="8"/>
    <x v="12"/>
    <n v="126.0807562785911"/>
  </r>
  <r>
    <x v="6"/>
    <x v="0"/>
    <x v="6"/>
    <x v="6"/>
    <x v="0"/>
    <x v="2"/>
    <x v="0"/>
    <x v="0"/>
    <x v="0"/>
    <x v="0"/>
    <x v="0"/>
    <x v="0"/>
    <x v="2"/>
    <x v="2"/>
    <x v="2"/>
    <x v="13"/>
    <x v="13"/>
    <n v="91.327910000000003"/>
    <x v="0"/>
    <x v="0"/>
    <x v="1"/>
    <x v="3"/>
    <x v="3"/>
    <x v="13"/>
    <n v="99.547421900000003"/>
  </r>
  <r>
    <x v="6"/>
    <x v="0"/>
    <x v="6"/>
    <x v="6"/>
    <x v="0"/>
    <x v="2"/>
    <x v="0"/>
    <x v="0"/>
    <x v="0"/>
    <x v="0"/>
    <x v="0"/>
    <x v="0"/>
    <x v="2"/>
    <x v="2"/>
    <x v="2"/>
    <x v="83"/>
    <x v="83"/>
    <n v="0.25091999999999998"/>
    <x v="0"/>
    <x v="0"/>
    <x v="3"/>
    <x v="5"/>
    <x v="7"/>
    <x v="11"/>
    <n v="0.27350279999999999"/>
  </r>
  <r>
    <x v="6"/>
    <x v="0"/>
    <x v="6"/>
    <x v="6"/>
    <x v="0"/>
    <x v="2"/>
    <x v="0"/>
    <x v="0"/>
    <x v="0"/>
    <x v="0"/>
    <x v="0"/>
    <x v="0"/>
    <x v="2"/>
    <x v="2"/>
    <x v="2"/>
    <x v="14"/>
    <x v="14"/>
    <n v="90.029920000000004"/>
    <x v="0"/>
    <x v="0"/>
    <x v="0"/>
    <x v="0"/>
    <x v="8"/>
    <x v="14"/>
    <n v="98.132612800000018"/>
  </r>
  <r>
    <x v="6"/>
    <x v="0"/>
    <x v="6"/>
    <x v="6"/>
    <x v="0"/>
    <x v="2"/>
    <x v="0"/>
    <x v="0"/>
    <x v="0"/>
    <x v="0"/>
    <x v="0"/>
    <x v="0"/>
    <x v="2"/>
    <x v="2"/>
    <x v="2"/>
    <x v="16"/>
    <x v="16"/>
    <n v="7.3719799999999998"/>
    <x v="0"/>
    <x v="0"/>
    <x v="3"/>
    <x v="5"/>
    <x v="9"/>
    <x v="16"/>
    <n v="8.0354582000000008"/>
  </r>
  <r>
    <x v="6"/>
    <x v="0"/>
    <x v="6"/>
    <x v="6"/>
    <x v="0"/>
    <x v="2"/>
    <x v="0"/>
    <x v="0"/>
    <x v="0"/>
    <x v="0"/>
    <x v="0"/>
    <x v="0"/>
    <x v="2"/>
    <x v="2"/>
    <x v="2"/>
    <x v="21"/>
    <x v="21"/>
    <n v="25.473082568792101"/>
    <x v="0"/>
    <x v="0"/>
    <x v="1"/>
    <x v="4"/>
    <x v="5"/>
    <x v="10"/>
    <n v="27.765659999983392"/>
  </r>
  <r>
    <x v="6"/>
    <x v="0"/>
    <x v="6"/>
    <x v="6"/>
    <x v="0"/>
    <x v="2"/>
    <x v="0"/>
    <x v="0"/>
    <x v="0"/>
    <x v="0"/>
    <x v="0"/>
    <x v="0"/>
    <x v="2"/>
    <x v="2"/>
    <x v="2"/>
    <x v="26"/>
    <x v="26"/>
    <n v="1.70963302752191"/>
    <x v="0"/>
    <x v="0"/>
    <x v="1"/>
    <x v="3"/>
    <x v="3"/>
    <x v="15"/>
    <n v="1.8634999999988822"/>
  </r>
  <r>
    <x v="6"/>
    <x v="0"/>
    <x v="6"/>
    <x v="6"/>
    <x v="0"/>
    <x v="2"/>
    <x v="0"/>
    <x v="0"/>
    <x v="0"/>
    <x v="0"/>
    <x v="0"/>
    <x v="0"/>
    <x v="2"/>
    <x v="2"/>
    <x v="2"/>
    <x v="0"/>
    <x v="0"/>
    <n v="25.013201957225299"/>
    <x v="0"/>
    <x v="0"/>
    <x v="0"/>
    <x v="0"/>
    <x v="0"/>
    <x v="0"/>
    <n v="27.264390133375578"/>
  </r>
  <r>
    <x v="6"/>
    <x v="0"/>
    <x v="6"/>
    <x v="6"/>
    <x v="0"/>
    <x v="2"/>
    <x v="0"/>
    <x v="0"/>
    <x v="0"/>
    <x v="0"/>
    <x v="0"/>
    <x v="0"/>
    <x v="2"/>
    <x v="2"/>
    <x v="2"/>
    <x v="1"/>
    <x v="1"/>
    <n v="247.093503446917"/>
    <x v="0"/>
    <x v="0"/>
    <x v="1"/>
    <x v="1"/>
    <x v="1"/>
    <x v="1"/>
    <n v="269.33191875713953"/>
  </r>
  <r>
    <x v="6"/>
    <x v="0"/>
    <x v="6"/>
    <x v="6"/>
    <x v="0"/>
    <x v="2"/>
    <x v="0"/>
    <x v="0"/>
    <x v="0"/>
    <x v="0"/>
    <x v="0"/>
    <x v="0"/>
    <x v="2"/>
    <x v="2"/>
    <x v="2"/>
    <x v="2"/>
    <x v="2"/>
    <n v="872.12898165085301"/>
    <x v="0"/>
    <x v="1"/>
    <x v="2"/>
    <x v="2"/>
    <x v="13"/>
    <x v="2"/>
    <n v="950.62058999942985"/>
  </r>
  <r>
    <x v="6"/>
    <x v="0"/>
    <x v="6"/>
    <x v="6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6"/>
    <x v="0"/>
    <x v="6"/>
    <x v="6"/>
    <x v="0"/>
    <x v="2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6"/>
    <x v="0"/>
    <x v="6"/>
    <x v="6"/>
    <x v="0"/>
    <x v="2"/>
    <x v="0"/>
    <x v="0"/>
    <x v="0"/>
    <x v="0"/>
    <x v="0"/>
    <x v="0"/>
    <x v="1"/>
    <x v="6"/>
    <x v="6"/>
    <x v="12"/>
    <x v="12"/>
    <n v="90.040697674076497"/>
    <x v="0"/>
    <x v="0"/>
    <x v="0"/>
    <x v="0"/>
    <x v="8"/>
    <x v="12"/>
    <n v="98.144360464743386"/>
  </r>
  <r>
    <x v="6"/>
    <x v="0"/>
    <x v="6"/>
    <x v="6"/>
    <x v="0"/>
    <x v="2"/>
    <x v="0"/>
    <x v="0"/>
    <x v="0"/>
    <x v="0"/>
    <x v="0"/>
    <x v="0"/>
    <x v="1"/>
    <x v="6"/>
    <x v="6"/>
    <x v="16"/>
    <x v="16"/>
    <n v="0.96299999999999997"/>
    <x v="0"/>
    <x v="0"/>
    <x v="3"/>
    <x v="5"/>
    <x v="9"/>
    <x v="16"/>
    <n v="1.0496700000000001"/>
  </r>
  <r>
    <x v="6"/>
    <x v="0"/>
    <x v="6"/>
    <x v="6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6"/>
    <x v="0"/>
    <x v="6"/>
    <x v="6"/>
    <x v="0"/>
    <x v="2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6"/>
    <x v="0"/>
    <x v="6"/>
    <x v="6"/>
    <x v="0"/>
    <x v="2"/>
    <x v="0"/>
    <x v="0"/>
    <x v="0"/>
    <x v="0"/>
    <x v="0"/>
    <x v="0"/>
    <x v="3"/>
    <x v="7"/>
    <x v="7"/>
    <x v="9"/>
    <x v="9"/>
    <n v="1.796407182E-5"/>
    <x v="0"/>
    <x v="0"/>
    <x v="1"/>
    <x v="4"/>
    <x v="5"/>
    <x v="9"/>
    <n v="1.95808382838E-5"/>
  </r>
  <r>
    <x v="6"/>
    <x v="0"/>
    <x v="6"/>
    <x v="6"/>
    <x v="0"/>
    <x v="2"/>
    <x v="0"/>
    <x v="0"/>
    <x v="0"/>
    <x v="0"/>
    <x v="0"/>
    <x v="0"/>
    <x v="3"/>
    <x v="7"/>
    <x v="7"/>
    <x v="10"/>
    <x v="10"/>
    <n v="3.5778986240000002E-5"/>
    <x v="0"/>
    <x v="0"/>
    <x v="1"/>
    <x v="4"/>
    <x v="5"/>
    <x v="10"/>
    <n v="3.8999095001600002E-5"/>
  </r>
  <r>
    <x v="6"/>
    <x v="0"/>
    <x v="6"/>
    <x v="6"/>
    <x v="0"/>
    <x v="2"/>
    <x v="0"/>
    <x v="0"/>
    <x v="0"/>
    <x v="0"/>
    <x v="0"/>
    <x v="0"/>
    <x v="1"/>
    <x v="8"/>
    <x v="8"/>
    <x v="9"/>
    <x v="9"/>
    <n v="0.13008383207256"/>
    <x v="0"/>
    <x v="0"/>
    <x v="1"/>
    <x v="4"/>
    <x v="5"/>
    <x v="9"/>
    <n v="0.14179137695909041"/>
  </r>
  <r>
    <x v="6"/>
    <x v="0"/>
    <x v="6"/>
    <x v="6"/>
    <x v="0"/>
    <x v="2"/>
    <x v="0"/>
    <x v="0"/>
    <x v="0"/>
    <x v="0"/>
    <x v="0"/>
    <x v="0"/>
    <x v="1"/>
    <x v="8"/>
    <x v="8"/>
    <x v="10"/>
    <x v="10"/>
    <n v="8.1748190080000002E-5"/>
    <x v="0"/>
    <x v="0"/>
    <x v="1"/>
    <x v="4"/>
    <x v="5"/>
    <x v="10"/>
    <n v="8.9105527187200004E-5"/>
  </r>
  <r>
    <x v="6"/>
    <x v="0"/>
    <x v="6"/>
    <x v="6"/>
    <x v="0"/>
    <x v="2"/>
    <x v="0"/>
    <x v="0"/>
    <x v="0"/>
    <x v="0"/>
    <x v="0"/>
    <x v="0"/>
    <x v="0"/>
    <x v="9"/>
    <x v="9"/>
    <x v="9"/>
    <x v="9"/>
    <n v="9.281437107E-5"/>
    <x v="0"/>
    <x v="0"/>
    <x v="1"/>
    <x v="4"/>
    <x v="5"/>
    <x v="9"/>
    <n v="1.011676644663E-4"/>
  </r>
  <r>
    <x v="6"/>
    <x v="0"/>
    <x v="6"/>
    <x v="6"/>
    <x v="0"/>
    <x v="2"/>
    <x v="0"/>
    <x v="0"/>
    <x v="0"/>
    <x v="0"/>
    <x v="0"/>
    <x v="0"/>
    <x v="0"/>
    <x v="9"/>
    <x v="9"/>
    <x v="10"/>
    <x v="10"/>
    <n v="7.4501813119999999E-5"/>
    <x v="0"/>
    <x v="0"/>
    <x v="1"/>
    <x v="4"/>
    <x v="5"/>
    <x v="10"/>
    <n v="8.1206976300800005E-5"/>
  </r>
  <r>
    <x v="6"/>
    <x v="0"/>
    <x v="6"/>
    <x v="6"/>
    <x v="0"/>
    <x v="2"/>
    <x v="0"/>
    <x v="0"/>
    <x v="2"/>
    <x v="2"/>
    <x v="0"/>
    <x v="0"/>
    <x v="0"/>
    <x v="9"/>
    <x v="9"/>
    <x v="38"/>
    <x v="38"/>
    <n v="3.3924799999999999"/>
    <x v="1"/>
    <x v="0"/>
    <x v="4"/>
    <x v="6"/>
    <x v="10"/>
    <x v="21"/>
    <n v="3.6978032000000001"/>
  </r>
  <r>
    <x v="6"/>
    <x v="0"/>
    <x v="6"/>
    <x v="6"/>
    <x v="0"/>
    <x v="2"/>
    <x v="0"/>
    <x v="0"/>
    <x v="0"/>
    <x v="0"/>
    <x v="0"/>
    <x v="0"/>
    <x v="0"/>
    <x v="9"/>
    <x v="9"/>
    <x v="21"/>
    <x v="21"/>
    <n v="4.9223577981621798"/>
    <x v="0"/>
    <x v="0"/>
    <x v="1"/>
    <x v="4"/>
    <x v="5"/>
    <x v="10"/>
    <n v="5.3653699999967763"/>
  </r>
  <r>
    <x v="6"/>
    <x v="0"/>
    <x v="6"/>
    <x v="6"/>
    <x v="0"/>
    <x v="2"/>
    <x v="0"/>
    <x v="0"/>
    <x v="0"/>
    <x v="0"/>
    <x v="0"/>
    <x v="0"/>
    <x v="2"/>
    <x v="10"/>
    <x v="10"/>
    <x v="9"/>
    <x v="9"/>
    <n v="4.9900199500000002E-6"/>
    <x v="0"/>
    <x v="0"/>
    <x v="1"/>
    <x v="4"/>
    <x v="5"/>
    <x v="9"/>
    <n v="5.4391217455000007E-6"/>
  </r>
  <r>
    <x v="6"/>
    <x v="0"/>
    <x v="6"/>
    <x v="6"/>
    <x v="0"/>
    <x v="2"/>
    <x v="0"/>
    <x v="0"/>
    <x v="0"/>
    <x v="0"/>
    <x v="0"/>
    <x v="0"/>
    <x v="2"/>
    <x v="10"/>
    <x v="10"/>
    <x v="10"/>
    <x v="10"/>
    <n v="1.3813406080000001E-4"/>
    <x v="0"/>
    <x v="0"/>
    <x v="1"/>
    <x v="4"/>
    <x v="5"/>
    <x v="10"/>
    <n v="1.5056612627200003E-4"/>
  </r>
  <r>
    <x v="6"/>
    <x v="0"/>
    <x v="6"/>
    <x v="6"/>
    <x v="0"/>
    <x v="2"/>
    <x v="0"/>
    <x v="0"/>
    <x v="2"/>
    <x v="2"/>
    <x v="0"/>
    <x v="0"/>
    <x v="2"/>
    <x v="10"/>
    <x v="10"/>
    <x v="38"/>
    <x v="38"/>
    <n v="2.0356000000000001"/>
    <x v="1"/>
    <x v="0"/>
    <x v="4"/>
    <x v="6"/>
    <x v="10"/>
    <x v="21"/>
    <n v="2.2188040000000004"/>
  </r>
  <r>
    <x v="6"/>
    <x v="0"/>
    <x v="6"/>
    <x v="6"/>
    <x v="0"/>
    <x v="2"/>
    <x v="0"/>
    <x v="0"/>
    <x v="0"/>
    <x v="0"/>
    <x v="0"/>
    <x v="0"/>
    <x v="2"/>
    <x v="10"/>
    <x v="10"/>
    <x v="21"/>
    <x v="21"/>
    <n v="0.77723853210963001"/>
    <x v="0"/>
    <x v="0"/>
    <x v="1"/>
    <x v="4"/>
    <x v="5"/>
    <x v="10"/>
    <n v="0.84718999999949673"/>
  </r>
  <r>
    <x v="6"/>
    <x v="0"/>
    <x v="6"/>
    <x v="6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6"/>
    <x v="0"/>
    <x v="6"/>
    <x v="6"/>
    <x v="0"/>
    <x v="2"/>
    <x v="0"/>
    <x v="0"/>
    <x v="0"/>
    <x v="0"/>
    <x v="0"/>
    <x v="0"/>
    <x v="4"/>
    <x v="5"/>
    <x v="5"/>
    <x v="5"/>
    <x v="5"/>
    <n v="228.26355828394301"/>
    <x v="0"/>
    <x v="0"/>
    <x v="1"/>
    <x v="1"/>
    <x v="1"/>
    <x v="5"/>
    <n v="248.80727852949789"/>
  </r>
  <r>
    <x v="6"/>
    <x v="0"/>
    <x v="6"/>
    <x v="6"/>
    <x v="0"/>
    <x v="2"/>
    <x v="0"/>
    <x v="0"/>
    <x v="0"/>
    <x v="0"/>
    <x v="0"/>
    <x v="0"/>
    <x v="4"/>
    <x v="5"/>
    <x v="5"/>
    <x v="8"/>
    <x v="8"/>
    <n v="5.4867567567918698"/>
    <x v="0"/>
    <x v="1"/>
    <x v="2"/>
    <x v="2"/>
    <x v="6"/>
    <x v="8"/>
    <n v="5.9805648649031387"/>
  </r>
  <r>
    <x v="6"/>
    <x v="0"/>
    <x v="6"/>
    <x v="6"/>
    <x v="0"/>
    <x v="2"/>
    <x v="0"/>
    <x v="0"/>
    <x v="0"/>
    <x v="0"/>
    <x v="0"/>
    <x v="0"/>
    <x v="4"/>
    <x v="5"/>
    <x v="5"/>
    <x v="9"/>
    <x v="9"/>
    <n v="0.43252494922610002"/>
    <x v="0"/>
    <x v="0"/>
    <x v="1"/>
    <x v="4"/>
    <x v="5"/>
    <x v="9"/>
    <n v="0.47145219465644905"/>
  </r>
  <r>
    <x v="6"/>
    <x v="0"/>
    <x v="6"/>
    <x v="6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6"/>
    <x v="0"/>
    <x v="6"/>
    <x v="6"/>
    <x v="0"/>
    <x v="2"/>
    <x v="0"/>
    <x v="0"/>
    <x v="2"/>
    <x v="2"/>
    <x v="0"/>
    <x v="0"/>
    <x v="4"/>
    <x v="5"/>
    <x v="5"/>
    <x v="38"/>
    <x v="38"/>
    <n v="10.941280000000001"/>
    <x v="1"/>
    <x v="0"/>
    <x v="4"/>
    <x v="6"/>
    <x v="10"/>
    <x v="21"/>
    <n v="11.925995200000001"/>
  </r>
  <r>
    <x v="6"/>
    <x v="0"/>
    <x v="6"/>
    <x v="6"/>
    <x v="0"/>
    <x v="2"/>
    <x v="0"/>
    <x v="0"/>
    <x v="0"/>
    <x v="0"/>
    <x v="0"/>
    <x v="0"/>
    <x v="4"/>
    <x v="5"/>
    <x v="5"/>
    <x v="12"/>
    <x v="12"/>
    <n v="7.7356744185752602"/>
    <x v="0"/>
    <x v="0"/>
    <x v="0"/>
    <x v="0"/>
    <x v="8"/>
    <x v="12"/>
    <n v="8.4318851162470345"/>
  </r>
  <r>
    <x v="6"/>
    <x v="0"/>
    <x v="6"/>
    <x v="6"/>
    <x v="0"/>
    <x v="2"/>
    <x v="0"/>
    <x v="0"/>
    <x v="0"/>
    <x v="0"/>
    <x v="0"/>
    <x v="0"/>
    <x v="4"/>
    <x v="5"/>
    <x v="5"/>
    <x v="21"/>
    <x v="21"/>
    <n v="0.77722018348577004"/>
    <x v="0"/>
    <x v="0"/>
    <x v="1"/>
    <x v="4"/>
    <x v="5"/>
    <x v="10"/>
    <n v="0.84716999999948939"/>
  </r>
  <r>
    <x v="6"/>
    <x v="0"/>
    <x v="6"/>
    <x v="6"/>
    <x v="0"/>
    <x v="2"/>
    <x v="0"/>
    <x v="0"/>
    <x v="0"/>
    <x v="0"/>
    <x v="0"/>
    <x v="0"/>
    <x v="4"/>
    <x v="5"/>
    <x v="5"/>
    <x v="27"/>
    <x v="27"/>
    <n v="14.753153153465901"/>
    <x v="0"/>
    <x v="0"/>
    <x v="1"/>
    <x v="3"/>
    <x v="3"/>
    <x v="19"/>
    <n v="16.080936937277833"/>
  </r>
  <r>
    <x v="6"/>
    <x v="0"/>
    <x v="6"/>
    <x v="6"/>
    <x v="0"/>
    <x v="2"/>
    <x v="0"/>
    <x v="0"/>
    <x v="0"/>
    <x v="0"/>
    <x v="0"/>
    <x v="0"/>
    <x v="4"/>
    <x v="5"/>
    <x v="5"/>
    <x v="2"/>
    <x v="2"/>
    <n v="1938.89889908141"/>
    <x v="0"/>
    <x v="1"/>
    <x v="2"/>
    <x v="2"/>
    <x v="13"/>
    <x v="2"/>
    <n v="2113.3997999987373"/>
  </r>
  <r>
    <x v="6"/>
    <x v="0"/>
    <x v="6"/>
    <x v="6"/>
    <x v="0"/>
    <x v="2"/>
    <x v="0"/>
    <x v="0"/>
    <x v="0"/>
    <x v="0"/>
    <x v="3"/>
    <x v="3"/>
    <x v="2"/>
    <x v="2"/>
    <x v="2"/>
    <x v="5"/>
    <x v="5"/>
    <n v="15.429374233246101"/>
    <x v="0"/>
    <x v="0"/>
    <x v="1"/>
    <x v="1"/>
    <x v="1"/>
    <x v="5"/>
    <n v="16.818017914238251"/>
  </r>
  <r>
    <x v="6"/>
    <x v="0"/>
    <x v="6"/>
    <x v="6"/>
    <x v="0"/>
    <x v="2"/>
    <x v="0"/>
    <x v="0"/>
    <x v="0"/>
    <x v="0"/>
    <x v="3"/>
    <x v="3"/>
    <x v="2"/>
    <x v="2"/>
    <x v="2"/>
    <x v="8"/>
    <x v="8"/>
    <n v="9.4006756757360005E-2"/>
    <x v="0"/>
    <x v="1"/>
    <x v="2"/>
    <x v="2"/>
    <x v="6"/>
    <x v="8"/>
    <n v="0.10246736486552241"/>
  </r>
  <r>
    <x v="6"/>
    <x v="0"/>
    <x v="6"/>
    <x v="6"/>
    <x v="0"/>
    <x v="2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6"/>
    <x v="0"/>
    <x v="6"/>
    <x v="6"/>
    <x v="0"/>
    <x v="2"/>
    <x v="0"/>
    <x v="0"/>
    <x v="0"/>
    <x v="0"/>
    <x v="3"/>
    <x v="3"/>
    <x v="2"/>
    <x v="2"/>
    <x v="2"/>
    <x v="16"/>
    <x v="16"/>
    <n v="10.99976"/>
    <x v="0"/>
    <x v="0"/>
    <x v="3"/>
    <x v="5"/>
    <x v="9"/>
    <x v="16"/>
    <n v="11.9897384"/>
  </r>
  <r>
    <x v="6"/>
    <x v="0"/>
    <x v="6"/>
    <x v="6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6"/>
    <x v="0"/>
    <x v="6"/>
    <x v="6"/>
    <x v="0"/>
    <x v="2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6"/>
    <x v="0"/>
    <x v="6"/>
    <x v="6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6"/>
    <x v="0"/>
    <x v="6"/>
    <x v="6"/>
    <x v="0"/>
    <x v="2"/>
    <x v="0"/>
    <x v="0"/>
    <x v="0"/>
    <x v="0"/>
    <x v="4"/>
    <x v="4"/>
    <x v="2"/>
    <x v="2"/>
    <x v="2"/>
    <x v="7"/>
    <x v="7"/>
    <n v="0.642201834862"/>
    <x v="0"/>
    <x v="0"/>
    <x v="1"/>
    <x v="4"/>
    <x v="5"/>
    <x v="7"/>
    <n v="0.69999999999958007"/>
  </r>
  <r>
    <x v="6"/>
    <x v="0"/>
    <x v="6"/>
    <x v="6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6"/>
    <x v="0"/>
    <x v="6"/>
    <x v="6"/>
    <x v="0"/>
    <x v="2"/>
    <x v="0"/>
    <x v="0"/>
    <x v="0"/>
    <x v="0"/>
    <x v="4"/>
    <x v="4"/>
    <x v="2"/>
    <x v="2"/>
    <x v="2"/>
    <x v="10"/>
    <x v="10"/>
    <n v="0.97260871557119999"/>
    <x v="0"/>
    <x v="0"/>
    <x v="1"/>
    <x v="4"/>
    <x v="5"/>
    <x v="10"/>
    <n v="1.060143499972608"/>
  </r>
  <r>
    <x v="6"/>
    <x v="0"/>
    <x v="6"/>
    <x v="6"/>
    <x v="0"/>
    <x v="2"/>
    <x v="0"/>
    <x v="0"/>
    <x v="0"/>
    <x v="0"/>
    <x v="4"/>
    <x v="4"/>
    <x v="2"/>
    <x v="2"/>
    <x v="2"/>
    <x v="12"/>
    <x v="12"/>
    <n v="12.9516627906485"/>
    <x v="0"/>
    <x v="0"/>
    <x v="0"/>
    <x v="0"/>
    <x v="8"/>
    <x v="12"/>
    <n v="14.117312441806867"/>
  </r>
  <r>
    <x v="6"/>
    <x v="0"/>
    <x v="6"/>
    <x v="6"/>
    <x v="0"/>
    <x v="2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6"/>
    <x v="0"/>
    <x v="6"/>
    <x v="6"/>
    <x v="0"/>
    <x v="2"/>
    <x v="0"/>
    <x v="0"/>
    <x v="0"/>
    <x v="0"/>
    <x v="4"/>
    <x v="4"/>
    <x v="2"/>
    <x v="2"/>
    <x v="2"/>
    <x v="2"/>
    <x v="2"/>
    <n v="3.1824311926586399"/>
    <x v="0"/>
    <x v="1"/>
    <x v="2"/>
    <x v="2"/>
    <x v="13"/>
    <x v="2"/>
    <n v="3.4688499999979179"/>
  </r>
  <r>
    <x v="6"/>
    <x v="0"/>
    <x v="6"/>
    <x v="6"/>
    <x v="0"/>
    <x v="2"/>
    <x v="0"/>
    <x v="0"/>
    <x v="2"/>
    <x v="2"/>
    <x v="5"/>
    <x v="5"/>
    <x v="2"/>
    <x v="2"/>
    <x v="2"/>
    <x v="40"/>
    <x v="40"/>
    <n v="4.0250000000000004"/>
    <x v="1"/>
    <x v="2"/>
    <x v="5"/>
    <x v="7"/>
    <x v="11"/>
    <x v="22"/>
    <n v="4.3872500000000008"/>
  </r>
  <r>
    <x v="6"/>
    <x v="0"/>
    <x v="6"/>
    <x v="6"/>
    <x v="0"/>
    <x v="2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6"/>
    <x v="0"/>
    <x v="6"/>
    <x v="6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6"/>
    <x v="0"/>
    <x v="6"/>
    <x v="6"/>
    <x v="0"/>
    <x v="2"/>
    <x v="0"/>
    <x v="0"/>
    <x v="2"/>
    <x v="2"/>
    <x v="5"/>
    <x v="5"/>
    <x v="1"/>
    <x v="8"/>
    <x v="8"/>
    <x v="40"/>
    <x v="40"/>
    <n v="42.001800000000003"/>
    <x v="1"/>
    <x v="2"/>
    <x v="5"/>
    <x v="7"/>
    <x v="11"/>
    <x v="22"/>
    <n v="45.781962000000007"/>
  </r>
  <r>
    <x v="6"/>
    <x v="0"/>
    <x v="6"/>
    <x v="6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6"/>
    <x v="0"/>
    <x v="6"/>
    <x v="6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6"/>
    <x v="0"/>
    <x v="6"/>
    <x v="6"/>
    <x v="0"/>
    <x v="2"/>
    <x v="0"/>
    <x v="0"/>
    <x v="2"/>
    <x v="2"/>
    <x v="5"/>
    <x v="5"/>
    <x v="4"/>
    <x v="5"/>
    <x v="5"/>
    <x v="40"/>
    <x v="40"/>
    <n v="549.62154999999996"/>
    <x v="1"/>
    <x v="2"/>
    <x v="5"/>
    <x v="7"/>
    <x v="11"/>
    <x v="22"/>
    <n v="599.08748949999995"/>
  </r>
  <r>
    <x v="6"/>
    <x v="0"/>
    <x v="6"/>
    <x v="6"/>
    <x v="0"/>
    <x v="2"/>
    <x v="0"/>
    <x v="0"/>
    <x v="2"/>
    <x v="2"/>
    <x v="7"/>
    <x v="7"/>
    <x v="2"/>
    <x v="2"/>
    <x v="2"/>
    <x v="40"/>
    <x v="40"/>
    <n v="8.9250000000000007"/>
    <x v="1"/>
    <x v="2"/>
    <x v="5"/>
    <x v="7"/>
    <x v="11"/>
    <x v="22"/>
    <n v="9.728250000000001"/>
  </r>
  <r>
    <x v="6"/>
    <x v="0"/>
    <x v="6"/>
    <x v="6"/>
    <x v="0"/>
    <x v="2"/>
    <x v="0"/>
    <x v="0"/>
    <x v="2"/>
    <x v="2"/>
    <x v="7"/>
    <x v="7"/>
    <x v="2"/>
    <x v="2"/>
    <x v="2"/>
    <x v="38"/>
    <x v="38"/>
    <n v="113.876"/>
    <x v="1"/>
    <x v="0"/>
    <x v="4"/>
    <x v="6"/>
    <x v="10"/>
    <x v="21"/>
    <n v="124.12484000000002"/>
  </r>
  <r>
    <x v="6"/>
    <x v="0"/>
    <x v="6"/>
    <x v="6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6"/>
    <x v="0"/>
    <x v="6"/>
    <x v="6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6"/>
    <x v="0"/>
    <x v="6"/>
    <x v="6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6"/>
    <x v="0"/>
    <x v="6"/>
    <x v="6"/>
    <x v="0"/>
    <x v="2"/>
    <x v="0"/>
    <x v="0"/>
    <x v="2"/>
    <x v="2"/>
    <x v="9"/>
    <x v="9"/>
    <x v="2"/>
    <x v="2"/>
    <x v="2"/>
    <x v="40"/>
    <x v="40"/>
    <n v="112.83750000000001"/>
    <x v="1"/>
    <x v="2"/>
    <x v="5"/>
    <x v="7"/>
    <x v="11"/>
    <x v="22"/>
    <n v="122.99287500000001"/>
  </r>
  <r>
    <x v="6"/>
    <x v="0"/>
    <x v="6"/>
    <x v="6"/>
    <x v="0"/>
    <x v="2"/>
    <x v="0"/>
    <x v="0"/>
    <x v="2"/>
    <x v="2"/>
    <x v="9"/>
    <x v="9"/>
    <x v="1"/>
    <x v="6"/>
    <x v="6"/>
    <x v="40"/>
    <x v="40"/>
    <n v="5.88"/>
    <x v="1"/>
    <x v="2"/>
    <x v="5"/>
    <x v="7"/>
    <x v="11"/>
    <x v="22"/>
    <n v="6.4092000000000002"/>
  </r>
  <r>
    <x v="6"/>
    <x v="0"/>
    <x v="6"/>
    <x v="6"/>
    <x v="0"/>
    <x v="3"/>
    <x v="0"/>
    <x v="0"/>
    <x v="0"/>
    <x v="0"/>
    <x v="0"/>
    <x v="0"/>
    <x v="0"/>
    <x v="0"/>
    <x v="0"/>
    <x v="9"/>
    <x v="9"/>
    <n v="9.1651376146733998"/>
    <x v="0"/>
    <x v="0"/>
    <x v="1"/>
    <x v="4"/>
    <x v="5"/>
    <x v="9"/>
    <n v="9.9899999999940068"/>
  </r>
  <r>
    <x v="6"/>
    <x v="0"/>
    <x v="6"/>
    <x v="6"/>
    <x v="0"/>
    <x v="3"/>
    <x v="0"/>
    <x v="0"/>
    <x v="0"/>
    <x v="0"/>
    <x v="0"/>
    <x v="0"/>
    <x v="1"/>
    <x v="1"/>
    <x v="1"/>
    <x v="9"/>
    <x v="9"/>
    <n v="56.880733944920003"/>
    <x v="0"/>
    <x v="0"/>
    <x v="1"/>
    <x v="4"/>
    <x v="5"/>
    <x v="9"/>
    <n v="61.99999999996281"/>
  </r>
  <r>
    <x v="6"/>
    <x v="0"/>
    <x v="6"/>
    <x v="6"/>
    <x v="0"/>
    <x v="3"/>
    <x v="0"/>
    <x v="0"/>
    <x v="0"/>
    <x v="0"/>
    <x v="0"/>
    <x v="0"/>
    <x v="1"/>
    <x v="1"/>
    <x v="1"/>
    <x v="26"/>
    <x v="26"/>
    <n v="5.1542752293547096"/>
    <x v="0"/>
    <x v="0"/>
    <x v="1"/>
    <x v="3"/>
    <x v="3"/>
    <x v="15"/>
    <n v="5.6181599999966343"/>
  </r>
  <r>
    <x v="6"/>
    <x v="0"/>
    <x v="6"/>
    <x v="6"/>
    <x v="0"/>
    <x v="3"/>
    <x v="0"/>
    <x v="0"/>
    <x v="0"/>
    <x v="0"/>
    <x v="0"/>
    <x v="0"/>
    <x v="2"/>
    <x v="2"/>
    <x v="2"/>
    <x v="9"/>
    <x v="9"/>
    <n v="24.7522935779668"/>
    <x v="0"/>
    <x v="0"/>
    <x v="1"/>
    <x v="4"/>
    <x v="5"/>
    <x v="9"/>
    <n v="26.979999999983814"/>
  </r>
  <r>
    <x v="6"/>
    <x v="0"/>
    <x v="6"/>
    <x v="6"/>
    <x v="0"/>
    <x v="3"/>
    <x v="0"/>
    <x v="0"/>
    <x v="0"/>
    <x v="0"/>
    <x v="0"/>
    <x v="0"/>
    <x v="2"/>
    <x v="2"/>
    <x v="2"/>
    <x v="11"/>
    <x v="11"/>
    <n v="7.6278100000000002"/>
    <x v="0"/>
    <x v="0"/>
    <x v="3"/>
    <x v="5"/>
    <x v="7"/>
    <x v="11"/>
    <n v="8.3143129000000009"/>
  </r>
  <r>
    <x v="6"/>
    <x v="0"/>
    <x v="6"/>
    <x v="6"/>
    <x v="0"/>
    <x v="3"/>
    <x v="0"/>
    <x v="0"/>
    <x v="0"/>
    <x v="0"/>
    <x v="0"/>
    <x v="0"/>
    <x v="2"/>
    <x v="2"/>
    <x v="2"/>
    <x v="12"/>
    <x v="12"/>
    <n v="2.3023255813865999"/>
    <x v="0"/>
    <x v="0"/>
    <x v="0"/>
    <x v="0"/>
    <x v="8"/>
    <x v="12"/>
    <n v="2.5095348837113942"/>
  </r>
  <r>
    <x v="6"/>
    <x v="0"/>
    <x v="6"/>
    <x v="6"/>
    <x v="0"/>
    <x v="3"/>
    <x v="0"/>
    <x v="0"/>
    <x v="0"/>
    <x v="0"/>
    <x v="0"/>
    <x v="0"/>
    <x v="2"/>
    <x v="2"/>
    <x v="2"/>
    <x v="26"/>
    <x v="26"/>
    <n v="1.1926605504579999"/>
    <x v="0"/>
    <x v="0"/>
    <x v="1"/>
    <x v="3"/>
    <x v="3"/>
    <x v="15"/>
    <n v="1.29999999999922"/>
  </r>
  <r>
    <x v="6"/>
    <x v="0"/>
    <x v="6"/>
    <x v="6"/>
    <x v="0"/>
    <x v="3"/>
    <x v="0"/>
    <x v="0"/>
    <x v="0"/>
    <x v="0"/>
    <x v="0"/>
    <x v="0"/>
    <x v="1"/>
    <x v="6"/>
    <x v="6"/>
    <x v="9"/>
    <x v="9"/>
    <n v="10.209174311920499"/>
    <x v="0"/>
    <x v="0"/>
    <x v="1"/>
    <x v="4"/>
    <x v="5"/>
    <x v="9"/>
    <n v="11.127999999993344"/>
  </r>
  <r>
    <x v="6"/>
    <x v="0"/>
    <x v="6"/>
    <x v="6"/>
    <x v="0"/>
    <x v="3"/>
    <x v="0"/>
    <x v="0"/>
    <x v="0"/>
    <x v="0"/>
    <x v="0"/>
    <x v="0"/>
    <x v="1"/>
    <x v="6"/>
    <x v="6"/>
    <x v="12"/>
    <x v="12"/>
    <n v="0.18139534883652"/>
    <x v="0"/>
    <x v="0"/>
    <x v="0"/>
    <x v="0"/>
    <x v="8"/>
    <x v="12"/>
    <n v="0.19772093023180681"/>
  </r>
  <r>
    <x v="6"/>
    <x v="0"/>
    <x v="6"/>
    <x v="6"/>
    <x v="0"/>
    <x v="3"/>
    <x v="0"/>
    <x v="0"/>
    <x v="0"/>
    <x v="0"/>
    <x v="0"/>
    <x v="0"/>
    <x v="1"/>
    <x v="6"/>
    <x v="6"/>
    <x v="26"/>
    <x v="26"/>
    <n v="10.8367064220119"/>
    <x v="0"/>
    <x v="0"/>
    <x v="1"/>
    <x v="3"/>
    <x v="3"/>
    <x v="15"/>
    <n v="11.812009999992972"/>
  </r>
  <r>
    <x v="6"/>
    <x v="0"/>
    <x v="6"/>
    <x v="6"/>
    <x v="0"/>
    <x v="3"/>
    <x v="0"/>
    <x v="0"/>
    <x v="0"/>
    <x v="0"/>
    <x v="0"/>
    <x v="0"/>
    <x v="3"/>
    <x v="7"/>
    <x v="7"/>
    <x v="9"/>
    <x v="9"/>
    <n v="34.6513761467682"/>
    <x v="0"/>
    <x v="0"/>
    <x v="1"/>
    <x v="4"/>
    <x v="5"/>
    <x v="9"/>
    <n v="37.769999999977344"/>
  </r>
  <r>
    <x v="6"/>
    <x v="0"/>
    <x v="6"/>
    <x v="6"/>
    <x v="0"/>
    <x v="3"/>
    <x v="0"/>
    <x v="0"/>
    <x v="0"/>
    <x v="0"/>
    <x v="0"/>
    <x v="0"/>
    <x v="1"/>
    <x v="8"/>
    <x v="8"/>
    <x v="9"/>
    <x v="9"/>
    <n v="270.99174311910298"/>
    <x v="0"/>
    <x v="0"/>
    <x v="1"/>
    <x v="4"/>
    <x v="5"/>
    <x v="9"/>
    <n v="295.38099999982228"/>
  </r>
  <r>
    <x v="6"/>
    <x v="0"/>
    <x v="6"/>
    <x v="6"/>
    <x v="0"/>
    <x v="3"/>
    <x v="0"/>
    <x v="0"/>
    <x v="0"/>
    <x v="0"/>
    <x v="0"/>
    <x v="0"/>
    <x v="0"/>
    <x v="9"/>
    <x v="9"/>
    <x v="9"/>
    <x v="9"/>
    <n v="472.14403669696401"/>
    <x v="0"/>
    <x v="0"/>
    <x v="1"/>
    <x v="4"/>
    <x v="5"/>
    <x v="9"/>
    <n v="514.63699999969083"/>
  </r>
  <r>
    <x v="6"/>
    <x v="0"/>
    <x v="6"/>
    <x v="6"/>
    <x v="0"/>
    <x v="3"/>
    <x v="0"/>
    <x v="0"/>
    <x v="0"/>
    <x v="0"/>
    <x v="0"/>
    <x v="0"/>
    <x v="2"/>
    <x v="10"/>
    <x v="10"/>
    <x v="9"/>
    <x v="9"/>
    <n v="188.525688073281"/>
    <x v="0"/>
    <x v="0"/>
    <x v="1"/>
    <x v="4"/>
    <x v="5"/>
    <x v="9"/>
    <n v="205.4929999998763"/>
  </r>
  <r>
    <x v="6"/>
    <x v="0"/>
    <x v="6"/>
    <x v="6"/>
    <x v="0"/>
    <x v="3"/>
    <x v="0"/>
    <x v="0"/>
    <x v="0"/>
    <x v="0"/>
    <x v="0"/>
    <x v="0"/>
    <x v="4"/>
    <x v="5"/>
    <x v="5"/>
    <x v="9"/>
    <x v="9"/>
    <n v="952.94954128383199"/>
    <x v="0"/>
    <x v="0"/>
    <x v="1"/>
    <x v="4"/>
    <x v="5"/>
    <x v="9"/>
    <n v="1038.7149999993769"/>
  </r>
  <r>
    <x v="6"/>
    <x v="0"/>
    <x v="6"/>
    <x v="6"/>
    <x v="0"/>
    <x v="5"/>
    <x v="0"/>
    <x v="0"/>
    <x v="0"/>
    <x v="0"/>
    <x v="0"/>
    <x v="0"/>
    <x v="0"/>
    <x v="4"/>
    <x v="4"/>
    <x v="11"/>
    <x v="11"/>
    <n v="8.3953500000000005"/>
    <x v="0"/>
    <x v="0"/>
    <x v="3"/>
    <x v="5"/>
    <x v="7"/>
    <x v="11"/>
    <n v="9.1509315000000004"/>
  </r>
  <r>
    <x v="6"/>
    <x v="0"/>
    <x v="6"/>
    <x v="6"/>
    <x v="0"/>
    <x v="5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6"/>
    <x v="0"/>
    <x v="6"/>
    <x v="6"/>
    <x v="0"/>
    <x v="5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6"/>
    <x v="0"/>
    <x v="6"/>
    <x v="6"/>
    <x v="0"/>
    <x v="5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6"/>
    <x v="0"/>
    <x v="6"/>
    <x v="6"/>
    <x v="0"/>
    <x v="5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6"/>
    <x v="0"/>
    <x v="6"/>
    <x v="6"/>
    <x v="0"/>
    <x v="5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6"/>
    <x v="0"/>
    <x v="6"/>
    <x v="6"/>
    <x v="0"/>
    <x v="5"/>
    <x v="0"/>
    <x v="0"/>
    <x v="0"/>
    <x v="0"/>
    <x v="0"/>
    <x v="0"/>
    <x v="2"/>
    <x v="2"/>
    <x v="2"/>
    <x v="14"/>
    <x v="14"/>
    <n v="16.7"/>
    <x v="0"/>
    <x v="0"/>
    <x v="0"/>
    <x v="0"/>
    <x v="8"/>
    <x v="14"/>
    <n v="18.202999999999999"/>
  </r>
  <r>
    <x v="6"/>
    <x v="0"/>
    <x v="6"/>
    <x v="6"/>
    <x v="0"/>
    <x v="5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6"/>
    <x v="0"/>
    <x v="6"/>
    <x v="6"/>
    <x v="0"/>
    <x v="5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6"/>
    <x v="0"/>
    <x v="6"/>
    <x v="6"/>
    <x v="0"/>
    <x v="5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6"/>
    <x v="0"/>
    <x v="6"/>
    <x v="6"/>
    <x v="0"/>
    <x v="5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6"/>
    <x v="0"/>
    <x v="6"/>
    <x v="6"/>
    <x v="0"/>
    <x v="5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6"/>
    <x v="0"/>
    <x v="6"/>
    <x v="6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6"/>
    <x v="0"/>
    <x v="6"/>
    <x v="6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6"/>
    <x v="0"/>
    <x v="6"/>
    <x v="6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6"/>
    <x v="0"/>
    <x v="6"/>
    <x v="6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6"/>
    <x v="0"/>
    <x v="6"/>
    <x v="6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6"/>
    <x v="0"/>
    <x v="6"/>
    <x v="6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6"/>
    <x v="0"/>
    <x v="6"/>
    <x v="6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6"/>
    <x v="0"/>
    <x v="6"/>
    <x v="6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6"/>
    <x v="0"/>
    <x v="6"/>
    <x v="6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6"/>
    <x v="0"/>
    <x v="6"/>
    <x v="6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6"/>
    <x v="0"/>
    <x v="6"/>
    <x v="6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6"/>
    <x v="0"/>
    <x v="6"/>
    <x v="6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6"/>
    <x v="0"/>
    <x v="6"/>
    <x v="6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6"/>
    <x v="0"/>
    <x v="6"/>
    <x v="6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6"/>
    <x v="0"/>
    <x v="6"/>
    <x v="6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6"/>
    <x v="0"/>
    <x v="6"/>
    <x v="6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6"/>
    <x v="0"/>
    <x v="6"/>
    <x v="6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6"/>
    <x v="0"/>
    <x v="6"/>
    <x v="6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6"/>
    <x v="0"/>
    <x v="6"/>
    <x v="6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6"/>
    <x v="0"/>
    <x v="6"/>
    <x v="6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6"/>
    <x v="0"/>
    <x v="6"/>
    <x v="6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6"/>
    <x v="0"/>
    <x v="6"/>
    <x v="6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6"/>
    <x v="0"/>
    <x v="6"/>
    <x v="6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6"/>
    <x v="0"/>
    <x v="6"/>
    <x v="6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6"/>
    <x v="0"/>
    <x v="6"/>
    <x v="6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6"/>
    <x v="0"/>
    <x v="6"/>
    <x v="6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6"/>
    <x v="0"/>
    <x v="6"/>
    <x v="6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6"/>
    <x v="0"/>
    <x v="6"/>
    <x v="6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6"/>
    <x v="0"/>
    <x v="6"/>
    <x v="6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6"/>
    <x v="0"/>
    <x v="6"/>
    <x v="6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6"/>
    <x v="0"/>
    <x v="6"/>
    <x v="6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6"/>
    <x v="0"/>
    <x v="6"/>
    <x v="6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6"/>
    <x v="0"/>
    <x v="6"/>
    <x v="6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6"/>
    <x v="0"/>
    <x v="6"/>
    <x v="6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6"/>
    <x v="0"/>
    <x v="6"/>
    <x v="6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6"/>
    <x v="0"/>
    <x v="6"/>
    <x v="6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6"/>
    <x v="0"/>
    <x v="6"/>
    <x v="6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6"/>
    <x v="0"/>
    <x v="6"/>
    <x v="6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6"/>
    <x v="0"/>
    <x v="6"/>
    <x v="6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6"/>
    <x v="0"/>
    <x v="6"/>
    <x v="6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6"/>
    <x v="0"/>
    <x v="6"/>
    <x v="6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6"/>
    <x v="0"/>
    <x v="6"/>
    <x v="6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6"/>
    <x v="0"/>
    <x v="6"/>
    <x v="6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6"/>
    <x v="0"/>
    <x v="6"/>
    <x v="6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6"/>
    <x v="0"/>
    <x v="6"/>
    <x v="6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6"/>
    <x v="0"/>
    <x v="6"/>
    <x v="6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6"/>
    <x v="0"/>
    <x v="6"/>
    <x v="6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6"/>
    <x v="0"/>
    <x v="6"/>
    <x v="6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6"/>
    <x v="0"/>
    <x v="6"/>
    <x v="6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6"/>
    <x v="0"/>
    <x v="6"/>
    <x v="6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6"/>
    <x v="0"/>
    <x v="6"/>
    <x v="6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6"/>
    <x v="0"/>
    <x v="6"/>
    <x v="6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6"/>
    <x v="0"/>
    <x v="6"/>
    <x v="6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6"/>
    <x v="0"/>
    <x v="6"/>
    <x v="6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6"/>
    <x v="0"/>
    <x v="6"/>
    <x v="6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6"/>
    <x v="0"/>
    <x v="6"/>
    <x v="6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6"/>
    <x v="0"/>
    <x v="6"/>
    <x v="6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6"/>
    <x v="0"/>
    <x v="6"/>
    <x v="6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6"/>
    <x v="0"/>
    <x v="6"/>
    <x v="6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6"/>
    <x v="0"/>
    <x v="6"/>
    <x v="6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6"/>
    <x v="0"/>
    <x v="6"/>
    <x v="6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6"/>
    <x v="0"/>
    <x v="6"/>
    <x v="6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6"/>
    <x v="0"/>
    <x v="6"/>
    <x v="6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6"/>
    <x v="0"/>
    <x v="6"/>
    <x v="6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6"/>
    <x v="0"/>
    <x v="6"/>
    <x v="6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6"/>
    <x v="0"/>
    <x v="6"/>
    <x v="6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6"/>
    <x v="0"/>
    <x v="6"/>
    <x v="6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6"/>
    <x v="0"/>
    <x v="6"/>
    <x v="6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6"/>
    <x v="0"/>
    <x v="6"/>
    <x v="6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6"/>
    <x v="0"/>
    <x v="6"/>
    <x v="6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6"/>
    <x v="0"/>
    <x v="6"/>
    <x v="6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6"/>
    <x v="0"/>
    <x v="6"/>
    <x v="6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6"/>
    <x v="0"/>
    <x v="6"/>
    <x v="6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6"/>
    <x v="0"/>
    <x v="6"/>
    <x v="6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6"/>
    <x v="0"/>
    <x v="6"/>
    <x v="6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6"/>
    <x v="0"/>
    <x v="6"/>
    <x v="6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6"/>
    <x v="0"/>
    <x v="6"/>
    <x v="6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6"/>
    <x v="0"/>
    <x v="6"/>
    <x v="6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6"/>
    <x v="0"/>
    <x v="6"/>
    <x v="6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6"/>
    <x v="0"/>
    <x v="6"/>
    <x v="6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6"/>
    <x v="0"/>
    <x v="6"/>
    <x v="6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6"/>
    <x v="0"/>
    <x v="6"/>
    <x v="6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6"/>
    <x v="0"/>
    <x v="6"/>
    <x v="6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6"/>
    <x v="0"/>
    <x v="6"/>
    <x v="6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6"/>
    <x v="0"/>
    <x v="6"/>
    <x v="6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6"/>
    <x v="0"/>
    <x v="6"/>
    <x v="6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6"/>
    <x v="0"/>
    <x v="6"/>
    <x v="6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6"/>
    <x v="0"/>
    <x v="6"/>
    <x v="6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6"/>
    <x v="0"/>
    <x v="6"/>
    <x v="6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6"/>
    <x v="0"/>
    <x v="6"/>
    <x v="6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6"/>
    <x v="0"/>
    <x v="6"/>
    <x v="6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6"/>
    <x v="0"/>
    <x v="6"/>
    <x v="6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6"/>
    <x v="0"/>
    <x v="6"/>
    <x v="6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6"/>
    <x v="0"/>
    <x v="6"/>
    <x v="6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6"/>
    <x v="0"/>
    <x v="6"/>
    <x v="6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6"/>
    <x v="0"/>
    <x v="6"/>
    <x v="6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6"/>
    <x v="0"/>
    <x v="6"/>
    <x v="6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6"/>
    <x v="0"/>
    <x v="6"/>
    <x v="6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6"/>
    <x v="0"/>
    <x v="6"/>
    <x v="6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6"/>
    <x v="0"/>
    <x v="6"/>
    <x v="6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6"/>
    <x v="0"/>
    <x v="6"/>
    <x v="6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6"/>
    <x v="0"/>
    <x v="6"/>
    <x v="6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6"/>
    <x v="0"/>
    <x v="6"/>
    <x v="6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6"/>
    <x v="0"/>
    <x v="6"/>
    <x v="6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6"/>
    <x v="0"/>
    <x v="6"/>
    <x v="6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6"/>
    <x v="0"/>
    <x v="6"/>
    <x v="6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6"/>
    <x v="0"/>
    <x v="6"/>
    <x v="6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6"/>
    <x v="0"/>
    <x v="6"/>
    <x v="6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6"/>
    <x v="0"/>
    <x v="6"/>
    <x v="6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6"/>
    <x v="0"/>
    <x v="6"/>
    <x v="6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6"/>
    <x v="0"/>
    <x v="6"/>
    <x v="6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6"/>
    <x v="0"/>
    <x v="6"/>
    <x v="6"/>
    <x v="0"/>
    <x v="4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6"/>
    <x v="0"/>
    <x v="6"/>
    <x v="6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6"/>
    <x v="0"/>
    <x v="6"/>
    <x v="6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6"/>
    <x v="0"/>
    <x v="6"/>
    <x v="6"/>
    <x v="0"/>
    <x v="4"/>
    <x v="0"/>
    <x v="0"/>
    <x v="0"/>
    <x v="0"/>
    <x v="0"/>
    <x v="0"/>
    <x v="4"/>
    <x v="5"/>
    <x v="5"/>
    <x v="9"/>
    <x v="9"/>
    <n v="502.52899898489102"/>
    <x v="0"/>
    <x v="0"/>
    <x v="1"/>
    <x v="4"/>
    <x v="5"/>
    <x v="9"/>
    <n v="547.75660889353128"/>
  </r>
  <r>
    <x v="6"/>
    <x v="0"/>
    <x v="6"/>
    <x v="6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6"/>
    <x v="0"/>
    <x v="6"/>
    <x v="6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6"/>
    <x v="0"/>
    <x v="6"/>
    <x v="6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6"/>
    <x v="0"/>
    <x v="6"/>
    <x v="6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6"/>
    <x v="0"/>
    <x v="6"/>
    <x v="6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6"/>
    <x v="0"/>
    <x v="6"/>
    <x v="6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6"/>
    <x v="0"/>
    <x v="6"/>
    <x v="6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6"/>
    <x v="0"/>
    <x v="6"/>
    <x v="6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6"/>
    <x v="0"/>
    <x v="6"/>
    <x v="6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6"/>
    <x v="0"/>
    <x v="6"/>
    <x v="6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6"/>
    <x v="0"/>
    <x v="6"/>
    <x v="6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6"/>
    <x v="0"/>
    <x v="6"/>
    <x v="6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6"/>
    <x v="0"/>
    <x v="6"/>
    <x v="6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6"/>
    <x v="0"/>
    <x v="6"/>
    <x v="6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6"/>
    <x v="0"/>
    <x v="6"/>
    <x v="6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6"/>
    <x v="0"/>
    <x v="6"/>
    <x v="6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6"/>
    <x v="0"/>
    <x v="6"/>
    <x v="6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6"/>
    <x v="0"/>
    <x v="6"/>
    <x v="6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6"/>
    <x v="0"/>
    <x v="6"/>
    <x v="6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6"/>
    <x v="0"/>
    <x v="6"/>
    <x v="6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6"/>
    <x v="0"/>
    <x v="6"/>
    <x v="6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6"/>
    <x v="0"/>
    <x v="6"/>
    <x v="6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6"/>
    <x v="0"/>
    <x v="6"/>
    <x v="6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6"/>
    <x v="0"/>
    <x v="6"/>
    <x v="6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6"/>
    <x v="0"/>
    <x v="6"/>
    <x v="6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6"/>
    <x v="0"/>
    <x v="6"/>
    <x v="6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6"/>
    <x v="0"/>
    <x v="6"/>
    <x v="6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6"/>
    <x v="0"/>
    <x v="6"/>
    <x v="6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6"/>
    <x v="0"/>
    <x v="6"/>
    <x v="6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6"/>
    <x v="0"/>
    <x v="6"/>
    <x v="6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6"/>
    <x v="0"/>
    <x v="6"/>
    <x v="6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6"/>
    <x v="0"/>
    <x v="6"/>
    <x v="6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6"/>
    <x v="0"/>
    <x v="6"/>
    <x v="6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6"/>
    <x v="0"/>
    <x v="6"/>
    <x v="6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6"/>
    <x v="0"/>
    <x v="6"/>
    <x v="6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6"/>
    <x v="0"/>
    <x v="6"/>
    <x v="6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6"/>
    <x v="0"/>
    <x v="6"/>
    <x v="6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6"/>
    <x v="0"/>
    <x v="6"/>
    <x v="6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6"/>
    <x v="0"/>
    <x v="6"/>
    <x v="6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6"/>
    <x v="0"/>
    <x v="6"/>
    <x v="6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6"/>
    <x v="0"/>
    <x v="6"/>
    <x v="6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6"/>
    <x v="0"/>
    <x v="6"/>
    <x v="6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6"/>
    <x v="0"/>
    <x v="6"/>
    <x v="6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6"/>
    <x v="0"/>
    <x v="6"/>
    <x v="6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6"/>
    <x v="0"/>
    <x v="6"/>
    <x v="6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6"/>
    <x v="0"/>
    <x v="6"/>
    <x v="6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6"/>
    <x v="0"/>
    <x v="6"/>
    <x v="6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6"/>
    <x v="0"/>
    <x v="6"/>
    <x v="6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6"/>
    <x v="0"/>
    <x v="6"/>
    <x v="6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6"/>
    <x v="0"/>
    <x v="6"/>
    <x v="6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6"/>
    <x v="0"/>
    <x v="6"/>
    <x v="6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6"/>
    <x v="0"/>
    <x v="6"/>
    <x v="6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6"/>
    <x v="0"/>
    <x v="6"/>
    <x v="6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6"/>
    <x v="0"/>
    <x v="6"/>
    <x v="6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6"/>
    <x v="0"/>
    <x v="6"/>
    <x v="6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6"/>
    <x v="0"/>
    <x v="6"/>
    <x v="6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6"/>
    <x v="0"/>
    <x v="6"/>
    <x v="6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6"/>
    <x v="0"/>
    <x v="6"/>
    <x v="6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6"/>
    <x v="0"/>
    <x v="6"/>
    <x v="6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6"/>
    <x v="0"/>
    <x v="6"/>
    <x v="6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6"/>
    <x v="0"/>
    <x v="6"/>
    <x v="6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6"/>
    <x v="0"/>
    <x v="6"/>
    <x v="6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6"/>
    <x v="0"/>
    <x v="6"/>
    <x v="6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6"/>
    <x v="0"/>
    <x v="6"/>
    <x v="6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6"/>
    <x v="0"/>
    <x v="6"/>
    <x v="6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6"/>
    <x v="0"/>
    <x v="6"/>
    <x v="6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6"/>
    <x v="0"/>
    <x v="6"/>
    <x v="6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6"/>
    <x v="0"/>
    <x v="6"/>
    <x v="6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6"/>
    <x v="0"/>
    <x v="6"/>
    <x v="6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6"/>
    <x v="0"/>
    <x v="6"/>
    <x v="6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6"/>
    <x v="0"/>
    <x v="6"/>
    <x v="6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6"/>
    <x v="0"/>
    <x v="6"/>
    <x v="6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6"/>
    <x v="0"/>
    <x v="6"/>
    <x v="6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6"/>
    <x v="0"/>
    <x v="6"/>
    <x v="6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6"/>
    <x v="0"/>
    <x v="6"/>
    <x v="6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6"/>
    <x v="0"/>
    <x v="6"/>
    <x v="6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6"/>
    <x v="0"/>
    <x v="6"/>
    <x v="6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6"/>
    <x v="0"/>
    <x v="6"/>
    <x v="6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6"/>
    <x v="0"/>
    <x v="6"/>
    <x v="6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6"/>
    <x v="0"/>
    <x v="6"/>
    <x v="6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6"/>
    <x v="0"/>
    <x v="6"/>
    <x v="6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6"/>
    <x v="0"/>
    <x v="6"/>
    <x v="6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6"/>
    <x v="0"/>
    <x v="6"/>
    <x v="6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6"/>
    <x v="0"/>
    <x v="6"/>
    <x v="6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6"/>
    <x v="0"/>
    <x v="6"/>
    <x v="6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6"/>
    <x v="0"/>
    <x v="6"/>
    <x v="6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6"/>
    <x v="0"/>
    <x v="6"/>
    <x v="6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6"/>
    <x v="0"/>
    <x v="6"/>
    <x v="6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6"/>
    <x v="0"/>
    <x v="6"/>
    <x v="6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6"/>
    <x v="0"/>
    <x v="6"/>
    <x v="6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6"/>
    <x v="0"/>
    <x v="6"/>
    <x v="6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6"/>
    <x v="0"/>
    <x v="6"/>
    <x v="6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6"/>
    <x v="0"/>
    <x v="6"/>
    <x v="6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6"/>
    <x v="0"/>
    <x v="6"/>
    <x v="6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6"/>
    <x v="0"/>
    <x v="6"/>
    <x v="6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6"/>
    <x v="0"/>
    <x v="6"/>
    <x v="6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6"/>
    <x v="0"/>
    <x v="6"/>
    <x v="6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6"/>
    <x v="0"/>
    <x v="6"/>
    <x v="6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6"/>
    <x v="0"/>
    <x v="6"/>
    <x v="6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6"/>
    <x v="0"/>
    <x v="6"/>
    <x v="6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6"/>
    <x v="0"/>
    <x v="6"/>
    <x v="6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6"/>
    <x v="0"/>
    <x v="6"/>
    <x v="6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6"/>
    <x v="0"/>
    <x v="6"/>
    <x v="6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6"/>
    <x v="0"/>
    <x v="6"/>
    <x v="6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6"/>
    <x v="0"/>
    <x v="6"/>
    <x v="6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6"/>
    <x v="0"/>
    <x v="6"/>
    <x v="6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6"/>
    <x v="0"/>
    <x v="6"/>
    <x v="6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6"/>
    <x v="0"/>
    <x v="6"/>
    <x v="6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6"/>
    <x v="0"/>
    <x v="6"/>
    <x v="6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6"/>
    <x v="0"/>
    <x v="6"/>
    <x v="6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6"/>
    <x v="0"/>
    <x v="6"/>
    <x v="6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6"/>
    <x v="0"/>
    <x v="6"/>
    <x v="6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6"/>
    <x v="0"/>
    <x v="6"/>
    <x v="6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6"/>
    <x v="0"/>
    <x v="6"/>
    <x v="6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6"/>
    <x v="0"/>
    <x v="6"/>
    <x v="6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6"/>
    <x v="0"/>
    <x v="6"/>
    <x v="6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6"/>
    <x v="0"/>
    <x v="6"/>
    <x v="6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6"/>
    <x v="0"/>
    <x v="6"/>
    <x v="6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6"/>
    <x v="0"/>
    <x v="6"/>
    <x v="6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6"/>
    <x v="0"/>
    <x v="6"/>
    <x v="6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6"/>
    <x v="0"/>
    <x v="6"/>
    <x v="6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6"/>
    <x v="0"/>
    <x v="6"/>
    <x v="6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6"/>
    <x v="0"/>
    <x v="6"/>
    <x v="6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6"/>
    <x v="0"/>
    <x v="6"/>
    <x v="6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6"/>
    <x v="0"/>
    <x v="6"/>
    <x v="6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6"/>
    <x v="0"/>
    <x v="6"/>
    <x v="6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6"/>
    <x v="0"/>
    <x v="6"/>
    <x v="6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6"/>
    <x v="0"/>
    <x v="6"/>
    <x v="6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6"/>
    <x v="0"/>
    <x v="6"/>
    <x v="6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6"/>
    <x v="0"/>
    <x v="6"/>
    <x v="6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6"/>
    <x v="0"/>
    <x v="6"/>
    <x v="6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6"/>
    <x v="0"/>
    <x v="6"/>
    <x v="6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6"/>
    <x v="0"/>
    <x v="6"/>
    <x v="6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6"/>
    <x v="0"/>
    <x v="6"/>
    <x v="6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6"/>
    <x v="0"/>
    <x v="6"/>
    <x v="6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6"/>
    <x v="0"/>
    <x v="6"/>
    <x v="6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6"/>
    <x v="0"/>
    <x v="6"/>
    <x v="6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6"/>
    <x v="0"/>
    <x v="6"/>
    <x v="6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6"/>
    <x v="0"/>
    <x v="6"/>
    <x v="6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6"/>
    <x v="0"/>
    <x v="6"/>
    <x v="6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6"/>
    <x v="0"/>
    <x v="6"/>
    <x v="6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6"/>
    <x v="0"/>
    <x v="6"/>
    <x v="6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6"/>
    <x v="0"/>
    <x v="6"/>
    <x v="6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6"/>
    <x v="0"/>
    <x v="6"/>
    <x v="6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6"/>
    <x v="0"/>
    <x v="6"/>
    <x v="6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6"/>
    <x v="0"/>
    <x v="6"/>
    <x v="6"/>
    <x v="1"/>
    <x v="6"/>
    <x v="0"/>
    <x v="0"/>
    <x v="0"/>
    <x v="0"/>
    <x v="2"/>
    <x v="2"/>
    <x v="2"/>
    <x v="2"/>
    <x v="2"/>
    <x v="10"/>
    <x v="10"/>
    <n v="4.1056572398809603"/>
    <x v="0"/>
    <x v="0"/>
    <x v="1"/>
    <x v="4"/>
    <x v="5"/>
    <x v="10"/>
    <n v="4.4751663914702471"/>
  </r>
  <r>
    <x v="6"/>
    <x v="0"/>
    <x v="6"/>
    <x v="6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6"/>
    <x v="0"/>
    <x v="6"/>
    <x v="6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6"/>
    <x v="0"/>
    <x v="6"/>
    <x v="6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6"/>
    <x v="0"/>
    <x v="6"/>
    <x v="6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6"/>
    <x v="0"/>
    <x v="6"/>
    <x v="6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6"/>
    <x v="0"/>
    <x v="6"/>
    <x v="6"/>
    <x v="1"/>
    <x v="6"/>
    <x v="0"/>
    <x v="0"/>
    <x v="0"/>
    <x v="0"/>
    <x v="0"/>
    <x v="0"/>
    <x v="0"/>
    <x v="4"/>
    <x v="4"/>
    <x v="9"/>
    <x v="9"/>
    <n v="27.001036388358699"/>
    <x v="0"/>
    <x v="0"/>
    <x v="1"/>
    <x v="4"/>
    <x v="5"/>
    <x v="9"/>
    <n v="29.431129663310983"/>
  </r>
  <r>
    <x v="6"/>
    <x v="0"/>
    <x v="6"/>
    <x v="6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6"/>
    <x v="0"/>
    <x v="6"/>
    <x v="6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6"/>
    <x v="0"/>
    <x v="6"/>
    <x v="6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6"/>
    <x v="0"/>
    <x v="6"/>
    <x v="6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6"/>
    <x v="0"/>
    <x v="6"/>
    <x v="6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6"/>
    <x v="0"/>
    <x v="6"/>
    <x v="6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6"/>
    <x v="0"/>
    <x v="6"/>
    <x v="6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6"/>
    <x v="0"/>
    <x v="6"/>
    <x v="6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6"/>
    <x v="0"/>
    <x v="6"/>
    <x v="6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6"/>
    <x v="0"/>
    <x v="6"/>
    <x v="6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6"/>
    <x v="0"/>
    <x v="6"/>
    <x v="6"/>
    <x v="1"/>
    <x v="6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6"/>
    <x v="0"/>
    <x v="6"/>
    <x v="6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6"/>
    <x v="0"/>
    <x v="6"/>
    <x v="6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6"/>
    <x v="0"/>
    <x v="6"/>
    <x v="6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6"/>
    <x v="0"/>
    <x v="6"/>
    <x v="6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6"/>
    <x v="0"/>
    <x v="6"/>
    <x v="6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6"/>
    <x v="0"/>
    <x v="6"/>
    <x v="6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6"/>
    <x v="0"/>
    <x v="6"/>
    <x v="6"/>
    <x v="1"/>
    <x v="6"/>
    <x v="0"/>
    <x v="0"/>
    <x v="0"/>
    <x v="0"/>
    <x v="0"/>
    <x v="0"/>
    <x v="1"/>
    <x v="1"/>
    <x v="1"/>
    <x v="27"/>
    <x v="27"/>
    <n v="7.17485360375571"/>
    <x v="0"/>
    <x v="0"/>
    <x v="1"/>
    <x v="3"/>
    <x v="3"/>
    <x v="19"/>
    <n v="7.8205904280937242"/>
  </r>
  <r>
    <x v="6"/>
    <x v="0"/>
    <x v="6"/>
    <x v="6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6"/>
    <x v="0"/>
    <x v="6"/>
    <x v="6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6"/>
    <x v="0"/>
    <x v="6"/>
    <x v="6"/>
    <x v="1"/>
    <x v="6"/>
    <x v="0"/>
    <x v="0"/>
    <x v="0"/>
    <x v="0"/>
    <x v="0"/>
    <x v="0"/>
    <x v="2"/>
    <x v="2"/>
    <x v="2"/>
    <x v="4"/>
    <x v="4"/>
    <n v="74.314550458670993"/>
    <x v="0"/>
    <x v="0"/>
    <x v="1"/>
    <x v="3"/>
    <x v="3"/>
    <x v="4"/>
    <n v="81.002859999951383"/>
  </r>
  <r>
    <x v="6"/>
    <x v="0"/>
    <x v="6"/>
    <x v="6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6"/>
    <x v="0"/>
    <x v="6"/>
    <x v="6"/>
    <x v="1"/>
    <x v="6"/>
    <x v="0"/>
    <x v="0"/>
    <x v="0"/>
    <x v="0"/>
    <x v="0"/>
    <x v="0"/>
    <x v="2"/>
    <x v="2"/>
    <x v="2"/>
    <x v="5"/>
    <x v="5"/>
    <n v="1.59803067485877"/>
    <x v="0"/>
    <x v="0"/>
    <x v="1"/>
    <x v="1"/>
    <x v="1"/>
    <x v="5"/>
    <n v="1.7418534355960595"/>
  </r>
  <r>
    <x v="6"/>
    <x v="0"/>
    <x v="6"/>
    <x v="6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6"/>
    <x v="0"/>
    <x v="6"/>
    <x v="6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6"/>
    <x v="0"/>
    <x v="6"/>
    <x v="6"/>
    <x v="1"/>
    <x v="6"/>
    <x v="0"/>
    <x v="0"/>
    <x v="0"/>
    <x v="0"/>
    <x v="0"/>
    <x v="0"/>
    <x v="2"/>
    <x v="2"/>
    <x v="2"/>
    <x v="9"/>
    <x v="9"/>
    <n v="88.266095071615098"/>
    <x v="0"/>
    <x v="0"/>
    <x v="1"/>
    <x v="4"/>
    <x v="5"/>
    <x v="9"/>
    <n v="96.210043628060461"/>
  </r>
  <r>
    <x v="6"/>
    <x v="0"/>
    <x v="6"/>
    <x v="6"/>
    <x v="1"/>
    <x v="6"/>
    <x v="0"/>
    <x v="0"/>
    <x v="0"/>
    <x v="0"/>
    <x v="0"/>
    <x v="0"/>
    <x v="2"/>
    <x v="2"/>
    <x v="2"/>
    <x v="10"/>
    <x v="10"/>
    <n v="22.253060464800601"/>
    <x v="0"/>
    <x v="0"/>
    <x v="1"/>
    <x v="4"/>
    <x v="5"/>
    <x v="10"/>
    <n v="24.255835906632658"/>
  </r>
  <r>
    <x v="6"/>
    <x v="0"/>
    <x v="6"/>
    <x v="6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6"/>
    <x v="0"/>
    <x v="6"/>
    <x v="6"/>
    <x v="1"/>
    <x v="6"/>
    <x v="0"/>
    <x v="0"/>
    <x v="0"/>
    <x v="0"/>
    <x v="0"/>
    <x v="0"/>
    <x v="2"/>
    <x v="2"/>
    <x v="2"/>
    <x v="80"/>
    <x v="80"/>
    <n v="31.4561009174123"/>
    <x v="0"/>
    <x v="0"/>
    <x v="1"/>
    <x v="4"/>
    <x v="5"/>
    <x v="10"/>
    <n v="34.287149999979412"/>
  </r>
  <r>
    <x v="6"/>
    <x v="0"/>
    <x v="6"/>
    <x v="6"/>
    <x v="1"/>
    <x v="6"/>
    <x v="0"/>
    <x v="0"/>
    <x v="0"/>
    <x v="0"/>
    <x v="0"/>
    <x v="0"/>
    <x v="2"/>
    <x v="2"/>
    <x v="2"/>
    <x v="31"/>
    <x v="31"/>
    <n v="1.8348623850000001E-5"/>
    <x v="0"/>
    <x v="0"/>
    <x v="1"/>
    <x v="4"/>
    <x v="5"/>
    <x v="10"/>
    <n v="1.9999999996500004E-5"/>
  </r>
  <r>
    <x v="6"/>
    <x v="0"/>
    <x v="6"/>
    <x v="6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6"/>
    <x v="0"/>
    <x v="6"/>
    <x v="6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6"/>
    <x v="0"/>
    <x v="6"/>
    <x v="6"/>
    <x v="1"/>
    <x v="6"/>
    <x v="0"/>
    <x v="0"/>
    <x v="0"/>
    <x v="0"/>
    <x v="0"/>
    <x v="0"/>
    <x v="2"/>
    <x v="2"/>
    <x v="2"/>
    <x v="12"/>
    <x v="12"/>
    <n v="46.811220930054702"/>
    <x v="0"/>
    <x v="0"/>
    <x v="0"/>
    <x v="0"/>
    <x v="8"/>
    <x v="12"/>
    <n v="51.02423081375963"/>
  </r>
  <r>
    <x v="6"/>
    <x v="0"/>
    <x v="6"/>
    <x v="6"/>
    <x v="1"/>
    <x v="6"/>
    <x v="0"/>
    <x v="0"/>
    <x v="0"/>
    <x v="0"/>
    <x v="0"/>
    <x v="0"/>
    <x v="2"/>
    <x v="2"/>
    <x v="2"/>
    <x v="16"/>
    <x v="16"/>
    <n v="161.46440999999999"/>
    <x v="0"/>
    <x v="0"/>
    <x v="3"/>
    <x v="5"/>
    <x v="9"/>
    <x v="16"/>
    <n v="175.9962069"/>
  </r>
  <r>
    <x v="6"/>
    <x v="0"/>
    <x v="6"/>
    <x v="6"/>
    <x v="1"/>
    <x v="6"/>
    <x v="0"/>
    <x v="0"/>
    <x v="0"/>
    <x v="0"/>
    <x v="0"/>
    <x v="0"/>
    <x v="2"/>
    <x v="2"/>
    <x v="2"/>
    <x v="21"/>
    <x v="21"/>
    <n v="1.3552201834854301"/>
    <x v="0"/>
    <x v="0"/>
    <x v="1"/>
    <x v="4"/>
    <x v="5"/>
    <x v="10"/>
    <n v="1.4771899999991189"/>
  </r>
  <r>
    <x v="6"/>
    <x v="0"/>
    <x v="6"/>
    <x v="6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6"/>
    <x v="0"/>
    <x v="6"/>
    <x v="6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6"/>
    <x v="0"/>
    <x v="6"/>
    <x v="6"/>
    <x v="1"/>
    <x v="6"/>
    <x v="0"/>
    <x v="0"/>
    <x v="0"/>
    <x v="0"/>
    <x v="0"/>
    <x v="0"/>
    <x v="2"/>
    <x v="2"/>
    <x v="2"/>
    <x v="27"/>
    <x v="27"/>
    <n v="0.34218018018743002"/>
    <x v="0"/>
    <x v="0"/>
    <x v="1"/>
    <x v="3"/>
    <x v="3"/>
    <x v="19"/>
    <n v="0.37297639640429875"/>
  </r>
  <r>
    <x v="6"/>
    <x v="0"/>
    <x v="6"/>
    <x v="6"/>
    <x v="1"/>
    <x v="6"/>
    <x v="0"/>
    <x v="0"/>
    <x v="0"/>
    <x v="0"/>
    <x v="0"/>
    <x v="0"/>
    <x v="2"/>
    <x v="2"/>
    <x v="2"/>
    <x v="87"/>
    <x v="87"/>
    <n v="0.25091999999999998"/>
    <x v="0"/>
    <x v="0"/>
    <x v="3"/>
    <x v="5"/>
    <x v="7"/>
    <x v="11"/>
    <n v="0.27350279999999999"/>
  </r>
  <r>
    <x v="6"/>
    <x v="0"/>
    <x v="6"/>
    <x v="6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6"/>
    <x v="0"/>
    <x v="6"/>
    <x v="6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6"/>
    <x v="0"/>
    <x v="6"/>
    <x v="6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6"/>
    <x v="0"/>
    <x v="6"/>
    <x v="6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6"/>
    <x v="0"/>
    <x v="6"/>
    <x v="6"/>
    <x v="1"/>
    <x v="6"/>
    <x v="0"/>
    <x v="0"/>
    <x v="0"/>
    <x v="0"/>
    <x v="0"/>
    <x v="0"/>
    <x v="2"/>
    <x v="2"/>
    <x v="2"/>
    <x v="1"/>
    <x v="1"/>
    <n v="4.88505517238693"/>
    <x v="0"/>
    <x v="0"/>
    <x v="1"/>
    <x v="1"/>
    <x v="1"/>
    <x v="1"/>
    <n v="5.3247101379017545"/>
  </r>
  <r>
    <x v="6"/>
    <x v="0"/>
    <x v="6"/>
    <x v="6"/>
    <x v="1"/>
    <x v="6"/>
    <x v="0"/>
    <x v="0"/>
    <x v="0"/>
    <x v="0"/>
    <x v="0"/>
    <x v="0"/>
    <x v="2"/>
    <x v="2"/>
    <x v="2"/>
    <x v="2"/>
    <x v="2"/>
    <n v="335.84006421998203"/>
    <x v="0"/>
    <x v="1"/>
    <x v="2"/>
    <x v="2"/>
    <x v="13"/>
    <x v="2"/>
    <n v="366.06566999978043"/>
  </r>
  <r>
    <x v="6"/>
    <x v="0"/>
    <x v="6"/>
    <x v="6"/>
    <x v="1"/>
    <x v="6"/>
    <x v="0"/>
    <x v="0"/>
    <x v="0"/>
    <x v="0"/>
    <x v="0"/>
    <x v="0"/>
    <x v="1"/>
    <x v="6"/>
    <x v="6"/>
    <x v="9"/>
    <x v="9"/>
    <n v="77.0383417816753"/>
    <x v="0"/>
    <x v="0"/>
    <x v="1"/>
    <x v="4"/>
    <x v="5"/>
    <x v="9"/>
    <n v="83.97179254202608"/>
  </r>
  <r>
    <x v="6"/>
    <x v="0"/>
    <x v="6"/>
    <x v="6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6"/>
    <x v="0"/>
    <x v="6"/>
    <x v="6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6"/>
    <x v="0"/>
    <x v="6"/>
    <x v="6"/>
    <x v="1"/>
    <x v="6"/>
    <x v="0"/>
    <x v="0"/>
    <x v="0"/>
    <x v="0"/>
    <x v="0"/>
    <x v="0"/>
    <x v="1"/>
    <x v="6"/>
    <x v="6"/>
    <x v="21"/>
    <x v="21"/>
    <n v="492.34284403640203"/>
    <x v="0"/>
    <x v="0"/>
    <x v="1"/>
    <x v="4"/>
    <x v="5"/>
    <x v="10"/>
    <n v="536.65369999967822"/>
  </r>
  <r>
    <x v="6"/>
    <x v="0"/>
    <x v="6"/>
    <x v="6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6"/>
    <x v="0"/>
    <x v="6"/>
    <x v="6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6"/>
    <x v="0"/>
    <x v="6"/>
    <x v="6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6"/>
    <x v="0"/>
    <x v="6"/>
    <x v="6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6"/>
    <x v="0"/>
    <x v="6"/>
    <x v="6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6"/>
    <x v="0"/>
    <x v="6"/>
    <x v="6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6"/>
    <x v="0"/>
    <x v="6"/>
    <x v="6"/>
    <x v="1"/>
    <x v="6"/>
    <x v="0"/>
    <x v="0"/>
    <x v="0"/>
    <x v="0"/>
    <x v="0"/>
    <x v="0"/>
    <x v="3"/>
    <x v="7"/>
    <x v="7"/>
    <x v="9"/>
    <x v="9"/>
    <n v="6.4421347175258097"/>
    <x v="0"/>
    <x v="0"/>
    <x v="1"/>
    <x v="4"/>
    <x v="5"/>
    <x v="9"/>
    <n v="7.0219268421031327"/>
  </r>
  <r>
    <x v="6"/>
    <x v="0"/>
    <x v="6"/>
    <x v="6"/>
    <x v="1"/>
    <x v="6"/>
    <x v="0"/>
    <x v="0"/>
    <x v="0"/>
    <x v="0"/>
    <x v="0"/>
    <x v="0"/>
    <x v="3"/>
    <x v="7"/>
    <x v="7"/>
    <x v="10"/>
    <x v="10"/>
    <n v="0.25658741467520002"/>
    <x v="0"/>
    <x v="0"/>
    <x v="1"/>
    <x v="4"/>
    <x v="5"/>
    <x v="10"/>
    <n v="0.27968028199596806"/>
  </r>
  <r>
    <x v="6"/>
    <x v="0"/>
    <x v="6"/>
    <x v="6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6"/>
    <x v="0"/>
    <x v="6"/>
    <x v="6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6"/>
    <x v="0"/>
    <x v="6"/>
    <x v="6"/>
    <x v="1"/>
    <x v="6"/>
    <x v="0"/>
    <x v="0"/>
    <x v="0"/>
    <x v="0"/>
    <x v="0"/>
    <x v="0"/>
    <x v="2"/>
    <x v="10"/>
    <x v="10"/>
    <x v="9"/>
    <x v="9"/>
    <n v="282.005391645918"/>
    <x v="0"/>
    <x v="0"/>
    <x v="1"/>
    <x v="4"/>
    <x v="5"/>
    <x v="9"/>
    <n v="307.38587689405063"/>
  </r>
  <r>
    <x v="6"/>
    <x v="0"/>
    <x v="6"/>
    <x v="6"/>
    <x v="1"/>
    <x v="6"/>
    <x v="0"/>
    <x v="0"/>
    <x v="0"/>
    <x v="0"/>
    <x v="0"/>
    <x v="0"/>
    <x v="2"/>
    <x v="10"/>
    <x v="10"/>
    <x v="10"/>
    <x v="10"/>
    <n v="0.25647169909312001"/>
    <x v="0"/>
    <x v="0"/>
    <x v="1"/>
    <x v="4"/>
    <x v="5"/>
    <x v="10"/>
    <n v="0.27955415201150086"/>
  </r>
  <r>
    <x v="6"/>
    <x v="0"/>
    <x v="6"/>
    <x v="6"/>
    <x v="1"/>
    <x v="6"/>
    <x v="0"/>
    <x v="0"/>
    <x v="2"/>
    <x v="2"/>
    <x v="0"/>
    <x v="0"/>
    <x v="2"/>
    <x v="10"/>
    <x v="10"/>
    <x v="38"/>
    <x v="38"/>
    <n v="86.707419999999999"/>
    <x v="1"/>
    <x v="0"/>
    <x v="4"/>
    <x v="6"/>
    <x v="10"/>
    <x v="21"/>
    <n v="94.511087800000013"/>
  </r>
  <r>
    <x v="6"/>
    <x v="0"/>
    <x v="6"/>
    <x v="6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6"/>
    <x v="0"/>
    <x v="6"/>
    <x v="6"/>
    <x v="1"/>
    <x v="6"/>
    <x v="0"/>
    <x v="0"/>
    <x v="0"/>
    <x v="0"/>
    <x v="0"/>
    <x v="0"/>
    <x v="2"/>
    <x v="10"/>
    <x v="10"/>
    <x v="21"/>
    <x v="21"/>
    <n v="29.901256880716002"/>
    <x v="0"/>
    <x v="0"/>
    <x v="1"/>
    <x v="4"/>
    <x v="5"/>
    <x v="10"/>
    <n v="32.592369999980441"/>
  </r>
  <r>
    <x v="6"/>
    <x v="0"/>
    <x v="6"/>
    <x v="6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6"/>
    <x v="0"/>
    <x v="6"/>
    <x v="6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6"/>
    <x v="0"/>
    <x v="6"/>
    <x v="6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6"/>
    <x v="0"/>
    <x v="6"/>
    <x v="6"/>
    <x v="1"/>
    <x v="6"/>
    <x v="0"/>
    <x v="0"/>
    <x v="0"/>
    <x v="0"/>
    <x v="0"/>
    <x v="0"/>
    <x v="4"/>
    <x v="5"/>
    <x v="5"/>
    <x v="9"/>
    <x v="9"/>
    <n v="1032.15163663761"/>
    <x v="0"/>
    <x v="0"/>
    <x v="1"/>
    <x v="4"/>
    <x v="5"/>
    <x v="9"/>
    <n v="1125.045283934995"/>
  </r>
  <r>
    <x v="6"/>
    <x v="0"/>
    <x v="6"/>
    <x v="6"/>
    <x v="1"/>
    <x v="6"/>
    <x v="0"/>
    <x v="0"/>
    <x v="0"/>
    <x v="0"/>
    <x v="0"/>
    <x v="0"/>
    <x v="4"/>
    <x v="5"/>
    <x v="5"/>
    <x v="10"/>
    <x v="10"/>
    <n v="56.2446420033395"/>
    <x v="0"/>
    <x v="0"/>
    <x v="1"/>
    <x v="4"/>
    <x v="5"/>
    <x v="10"/>
    <n v="61.306659783640058"/>
  </r>
  <r>
    <x v="6"/>
    <x v="0"/>
    <x v="6"/>
    <x v="6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6"/>
    <x v="0"/>
    <x v="6"/>
    <x v="6"/>
    <x v="1"/>
    <x v="6"/>
    <x v="0"/>
    <x v="0"/>
    <x v="2"/>
    <x v="2"/>
    <x v="0"/>
    <x v="0"/>
    <x v="4"/>
    <x v="5"/>
    <x v="5"/>
    <x v="38"/>
    <x v="38"/>
    <n v="250.78289000000001"/>
    <x v="1"/>
    <x v="0"/>
    <x v="4"/>
    <x v="6"/>
    <x v="10"/>
    <x v="21"/>
    <n v="273.35335010000006"/>
  </r>
  <r>
    <x v="6"/>
    <x v="0"/>
    <x v="6"/>
    <x v="6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6"/>
    <x v="0"/>
    <x v="6"/>
    <x v="6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6"/>
    <x v="0"/>
    <x v="6"/>
    <x v="6"/>
    <x v="1"/>
    <x v="6"/>
    <x v="0"/>
    <x v="0"/>
    <x v="0"/>
    <x v="0"/>
    <x v="0"/>
    <x v="0"/>
    <x v="4"/>
    <x v="5"/>
    <x v="5"/>
    <x v="21"/>
    <x v="21"/>
    <n v="98.247605504528195"/>
    <x v="0"/>
    <x v="0"/>
    <x v="1"/>
    <x v="4"/>
    <x v="5"/>
    <x v="10"/>
    <n v="107.08988999993574"/>
  </r>
  <r>
    <x v="6"/>
    <x v="0"/>
    <x v="6"/>
    <x v="6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6"/>
    <x v="0"/>
    <x v="6"/>
    <x v="6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6"/>
    <x v="0"/>
    <x v="6"/>
    <x v="6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6"/>
    <x v="0"/>
    <x v="6"/>
    <x v="6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6"/>
    <x v="0"/>
    <x v="6"/>
    <x v="6"/>
    <x v="1"/>
    <x v="6"/>
    <x v="0"/>
    <x v="0"/>
    <x v="0"/>
    <x v="0"/>
    <x v="0"/>
    <x v="0"/>
    <x v="4"/>
    <x v="5"/>
    <x v="5"/>
    <x v="2"/>
    <x v="2"/>
    <n v="57.065018348589597"/>
    <x v="0"/>
    <x v="1"/>
    <x v="2"/>
    <x v="2"/>
    <x v="13"/>
    <x v="2"/>
    <n v="62.200869999962663"/>
  </r>
  <r>
    <x v="6"/>
    <x v="0"/>
    <x v="6"/>
    <x v="6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6"/>
    <x v="0"/>
    <x v="6"/>
    <x v="6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6"/>
    <x v="0"/>
    <x v="6"/>
    <x v="6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6"/>
    <x v="0"/>
    <x v="6"/>
    <x v="6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6"/>
    <x v="0"/>
    <x v="6"/>
    <x v="6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6"/>
    <x v="0"/>
    <x v="6"/>
    <x v="6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6"/>
    <x v="0"/>
    <x v="6"/>
    <x v="6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6"/>
    <x v="0"/>
    <x v="6"/>
    <x v="6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6"/>
    <x v="0"/>
    <x v="6"/>
    <x v="6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6"/>
    <x v="0"/>
    <x v="6"/>
    <x v="6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6"/>
    <x v="0"/>
    <x v="6"/>
    <x v="6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6"/>
    <x v="0"/>
    <x v="6"/>
    <x v="6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6"/>
    <x v="0"/>
    <x v="6"/>
    <x v="6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6"/>
    <x v="0"/>
    <x v="6"/>
    <x v="6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6"/>
    <x v="0"/>
    <x v="6"/>
    <x v="6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6"/>
    <x v="0"/>
    <x v="6"/>
    <x v="6"/>
    <x v="1"/>
    <x v="6"/>
    <x v="0"/>
    <x v="0"/>
    <x v="0"/>
    <x v="0"/>
    <x v="3"/>
    <x v="3"/>
    <x v="2"/>
    <x v="2"/>
    <x v="2"/>
    <x v="5"/>
    <x v="5"/>
    <n v="45.424036810161198"/>
    <x v="0"/>
    <x v="0"/>
    <x v="1"/>
    <x v="1"/>
    <x v="1"/>
    <x v="5"/>
    <n v="49.512200123075708"/>
  </r>
  <r>
    <x v="6"/>
    <x v="0"/>
    <x v="6"/>
    <x v="6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6"/>
    <x v="0"/>
    <x v="6"/>
    <x v="6"/>
    <x v="1"/>
    <x v="6"/>
    <x v="0"/>
    <x v="0"/>
    <x v="0"/>
    <x v="0"/>
    <x v="3"/>
    <x v="3"/>
    <x v="2"/>
    <x v="2"/>
    <x v="2"/>
    <x v="9"/>
    <x v="9"/>
    <n v="16.2534131408208"/>
    <x v="0"/>
    <x v="0"/>
    <x v="1"/>
    <x v="4"/>
    <x v="5"/>
    <x v="9"/>
    <n v="17.716220323494674"/>
  </r>
  <r>
    <x v="6"/>
    <x v="0"/>
    <x v="6"/>
    <x v="6"/>
    <x v="1"/>
    <x v="6"/>
    <x v="0"/>
    <x v="0"/>
    <x v="0"/>
    <x v="0"/>
    <x v="3"/>
    <x v="3"/>
    <x v="2"/>
    <x v="2"/>
    <x v="2"/>
    <x v="10"/>
    <x v="10"/>
    <n v="26.3571930216794"/>
    <x v="0"/>
    <x v="0"/>
    <x v="1"/>
    <x v="4"/>
    <x v="5"/>
    <x v="10"/>
    <n v="28.729340393630547"/>
  </r>
  <r>
    <x v="6"/>
    <x v="0"/>
    <x v="6"/>
    <x v="6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6"/>
    <x v="0"/>
    <x v="6"/>
    <x v="6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6"/>
    <x v="0"/>
    <x v="6"/>
    <x v="6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6"/>
    <x v="0"/>
    <x v="6"/>
    <x v="6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6"/>
    <x v="0"/>
    <x v="6"/>
    <x v="6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6"/>
    <x v="0"/>
    <x v="6"/>
    <x v="6"/>
    <x v="1"/>
    <x v="6"/>
    <x v="0"/>
    <x v="0"/>
    <x v="0"/>
    <x v="0"/>
    <x v="3"/>
    <x v="3"/>
    <x v="2"/>
    <x v="2"/>
    <x v="2"/>
    <x v="16"/>
    <x v="16"/>
    <n v="18.729869999999998"/>
    <x v="0"/>
    <x v="0"/>
    <x v="3"/>
    <x v="5"/>
    <x v="9"/>
    <x v="16"/>
    <n v="20.415558300000001"/>
  </r>
  <r>
    <x v="6"/>
    <x v="0"/>
    <x v="6"/>
    <x v="6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6"/>
    <x v="0"/>
    <x v="6"/>
    <x v="6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6"/>
    <x v="0"/>
    <x v="6"/>
    <x v="6"/>
    <x v="1"/>
    <x v="6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6"/>
    <x v="0"/>
    <x v="6"/>
    <x v="6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6"/>
    <x v="0"/>
    <x v="6"/>
    <x v="6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6"/>
    <x v="0"/>
    <x v="6"/>
    <x v="6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6"/>
    <x v="0"/>
    <x v="6"/>
    <x v="6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6"/>
    <x v="0"/>
    <x v="6"/>
    <x v="6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6"/>
    <x v="0"/>
    <x v="6"/>
    <x v="6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6"/>
    <x v="0"/>
    <x v="6"/>
    <x v="6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6"/>
    <x v="0"/>
    <x v="6"/>
    <x v="6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6"/>
    <x v="0"/>
    <x v="6"/>
    <x v="6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6"/>
    <x v="0"/>
    <x v="6"/>
    <x v="6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6"/>
    <x v="0"/>
    <x v="6"/>
    <x v="6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6"/>
    <x v="0"/>
    <x v="6"/>
    <x v="6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6"/>
    <x v="0"/>
    <x v="6"/>
    <x v="6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6"/>
    <x v="0"/>
    <x v="6"/>
    <x v="6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6"/>
    <x v="0"/>
    <x v="6"/>
    <x v="6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6"/>
    <x v="0"/>
    <x v="6"/>
    <x v="6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6"/>
    <x v="0"/>
    <x v="6"/>
    <x v="6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6"/>
    <x v="0"/>
    <x v="6"/>
    <x v="6"/>
    <x v="1"/>
    <x v="6"/>
    <x v="0"/>
    <x v="0"/>
    <x v="0"/>
    <x v="0"/>
    <x v="4"/>
    <x v="4"/>
    <x v="2"/>
    <x v="2"/>
    <x v="2"/>
    <x v="10"/>
    <x v="10"/>
    <n v="4.3349230960255998"/>
    <x v="0"/>
    <x v="0"/>
    <x v="1"/>
    <x v="4"/>
    <x v="5"/>
    <x v="10"/>
    <n v="4.7250661746679041"/>
  </r>
  <r>
    <x v="6"/>
    <x v="0"/>
    <x v="6"/>
    <x v="6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6"/>
    <x v="0"/>
    <x v="6"/>
    <x v="6"/>
    <x v="1"/>
    <x v="6"/>
    <x v="0"/>
    <x v="0"/>
    <x v="0"/>
    <x v="0"/>
    <x v="4"/>
    <x v="4"/>
    <x v="2"/>
    <x v="2"/>
    <x v="2"/>
    <x v="21"/>
    <x v="21"/>
    <n v="2.9064220183468801"/>
    <x v="0"/>
    <x v="0"/>
    <x v="1"/>
    <x v="4"/>
    <x v="5"/>
    <x v="10"/>
    <n v="3.1679999999980994"/>
  </r>
  <r>
    <x v="6"/>
    <x v="0"/>
    <x v="6"/>
    <x v="6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6"/>
    <x v="0"/>
    <x v="6"/>
    <x v="6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6"/>
    <x v="0"/>
    <x v="6"/>
    <x v="6"/>
    <x v="1"/>
    <x v="6"/>
    <x v="0"/>
    <x v="0"/>
    <x v="0"/>
    <x v="0"/>
    <x v="4"/>
    <x v="4"/>
    <x v="2"/>
    <x v="2"/>
    <x v="2"/>
    <x v="26"/>
    <x v="26"/>
    <n v="2.3392477064206099"/>
    <x v="0"/>
    <x v="0"/>
    <x v="1"/>
    <x v="3"/>
    <x v="3"/>
    <x v="15"/>
    <n v="2.5497799999984649"/>
  </r>
  <r>
    <x v="6"/>
    <x v="0"/>
    <x v="6"/>
    <x v="6"/>
    <x v="1"/>
    <x v="6"/>
    <x v="0"/>
    <x v="0"/>
    <x v="0"/>
    <x v="0"/>
    <x v="4"/>
    <x v="4"/>
    <x v="2"/>
    <x v="2"/>
    <x v="2"/>
    <x v="2"/>
    <x v="2"/>
    <n v="0.98414678899024"/>
    <x v="0"/>
    <x v="1"/>
    <x v="2"/>
    <x v="2"/>
    <x v="13"/>
    <x v="2"/>
    <n v="1.0727199999993617"/>
  </r>
  <r>
    <x v="6"/>
    <x v="0"/>
    <x v="6"/>
    <x v="6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6"/>
    <x v="0"/>
    <x v="6"/>
    <x v="6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6"/>
    <x v="0"/>
    <x v="6"/>
    <x v="6"/>
    <x v="1"/>
    <x v="6"/>
    <x v="0"/>
    <x v="0"/>
    <x v="0"/>
    <x v="0"/>
    <x v="4"/>
    <x v="4"/>
    <x v="4"/>
    <x v="5"/>
    <x v="5"/>
    <x v="20"/>
    <x v="20"/>
    <n v="26.2454"/>
    <x v="0"/>
    <x v="0"/>
    <x v="1"/>
    <x v="3"/>
    <x v="3"/>
    <x v="13"/>
    <n v="28.607486000000002"/>
  </r>
  <r>
    <x v="6"/>
    <x v="0"/>
    <x v="6"/>
    <x v="6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6"/>
    <x v="0"/>
    <x v="6"/>
    <x v="6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6"/>
    <x v="0"/>
    <x v="6"/>
    <x v="6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6"/>
    <x v="0"/>
    <x v="6"/>
    <x v="6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6"/>
    <x v="0"/>
    <x v="6"/>
    <x v="6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6"/>
    <x v="0"/>
    <x v="6"/>
    <x v="6"/>
    <x v="1"/>
    <x v="6"/>
    <x v="0"/>
    <x v="0"/>
    <x v="2"/>
    <x v="2"/>
    <x v="5"/>
    <x v="5"/>
    <x v="2"/>
    <x v="2"/>
    <x v="2"/>
    <x v="40"/>
    <x v="40"/>
    <n v="10129.61513"/>
    <x v="1"/>
    <x v="2"/>
    <x v="5"/>
    <x v="7"/>
    <x v="11"/>
    <x v="22"/>
    <n v="11041.280491700001"/>
  </r>
  <r>
    <x v="6"/>
    <x v="0"/>
    <x v="6"/>
    <x v="6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6"/>
    <x v="0"/>
    <x v="6"/>
    <x v="6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6"/>
    <x v="0"/>
    <x v="6"/>
    <x v="6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6"/>
    <x v="0"/>
    <x v="6"/>
    <x v="6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6"/>
    <x v="0"/>
    <x v="6"/>
    <x v="6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6"/>
    <x v="0"/>
    <x v="6"/>
    <x v="6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6"/>
    <x v="0"/>
    <x v="6"/>
    <x v="6"/>
    <x v="1"/>
    <x v="6"/>
    <x v="0"/>
    <x v="0"/>
    <x v="2"/>
    <x v="2"/>
    <x v="5"/>
    <x v="5"/>
    <x v="1"/>
    <x v="6"/>
    <x v="6"/>
    <x v="40"/>
    <x v="40"/>
    <n v="3215.6868599999998"/>
    <x v="1"/>
    <x v="2"/>
    <x v="5"/>
    <x v="7"/>
    <x v="11"/>
    <x v="22"/>
    <n v="3505.0986773999998"/>
  </r>
  <r>
    <x v="6"/>
    <x v="0"/>
    <x v="6"/>
    <x v="6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6"/>
    <x v="0"/>
    <x v="6"/>
    <x v="6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6"/>
    <x v="0"/>
    <x v="6"/>
    <x v="6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6"/>
    <x v="0"/>
    <x v="6"/>
    <x v="6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6"/>
    <x v="0"/>
    <x v="6"/>
    <x v="6"/>
    <x v="1"/>
    <x v="6"/>
    <x v="0"/>
    <x v="0"/>
    <x v="2"/>
    <x v="2"/>
    <x v="5"/>
    <x v="5"/>
    <x v="1"/>
    <x v="8"/>
    <x v="8"/>
    <x v="40"/>
    <x v="40"/>
    <n v="137.76184000000001"/>
    <x v="1"/>
    <x v="2"/>
    <x v="5"/>
    <x v="7"/>
    <x v="11"/>
    <x v="22"/>
    <n v="150.16040560000002"/>
  </r>
  <r>
    <x v="6"/>
    <x v="0"/>
    <x v="6"/>
    <x v="6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6"/>
    <x v="0"/>
    <x v="6"/>
    <x v="6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6"/>
    <x v="0"/>
    <x v="6"/>
    <x v="6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6"/>
    <x v="0"/>
    <x v="6"/>
    <x v="6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6"/>
    <x v="0"/>
    <x v="6"/>
    <x v="6"/>
    <x v="1"/>
    <x v="6"/>
    <x v="0"/>
    <x v="0"/>
    <x v="2"/>
    <x v="2"/>
    <x v="5"/>
    <x v="5"/>
    <x v="4"/>
    <x v="5"/>
    <x v="5"/>
    <x v="40"/>
    <x v="40"/>
    <n v="623.45090000000005"/>
    <x v="1"/>
    <x v="2"/>
    <x v="5"/>
    <x v="7"/>
    <x v="11"/>
    <x v="22"/>
    <n v="679.56148100000007"/>
  </r>
  <r>
    <x v="6"/>
    <x v="0"/>
    <x v="6"/>
    <x v="6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6"/>
    <x v="0"/>
    <x v="6"/>
    <x v="6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6"/>
    <x v="0"/>
    <x v="6"/>
    <x v="6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6"/>
    <x v="0"/>
    <x v="6"/>
    <x v="6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6"/>
    <x v="0"/>
    <x v="6"/>
    <x v="6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6"/>
    <x v="0"/>
    <x v="6"/>
    <x v="6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6"/>
    <x v="0"/>
    <x v="6"/>
    <x v="6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6"/>
    <x v="0"/>
    <x v="6"/>
    <x v="6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6"/>
    <x v="0"/>
    <x v="6"/>
    <x v="6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6"/>
    <x v="0"/>
    <x v="6"/>
    <x v="6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6"/>
    <x v="0"/>
    <x v="6"/>
    <x v="6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6"/>
    <x v="0"/>
    <x v="6"/>
    <x v="6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6"/>
    <x v="0"/>
    <x v="6"/>
    <x v="6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6"/>
    <x v="0"/>
    <x v="6"/>
    <x v="6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6"/>
    <x v="0"/>
    <x v="6"/>
    <x v="6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6"/>
    <x v="0"/>
    <x v="6"/>
    <x v="6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6"/>
    <x v="0"/>
    <x v="6"/>
    <x v="6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6"/>
    <x v="0"/>
    <x v="6"/>
    <x v="6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6"/>
    <x v="0"/>
    <x v="6"/>
    <x v="6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6"/>
    <x v="0"/>
    <x v="6"/>
    <x v="6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6"/>
    <x v="0"/>
    <x v="6"/>
    <x v="6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6"/>
    <x v="0"/>
    <x v="6"/>
    <x v="6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6"/>
    <x v="0"/>
    <x v="6"/>
    <x v="6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6"/>
    <x v="0"/>
    <x v="6"/>
    <x v="6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6"/>
    <x v="0"/>
    <x v="6"/>
    <x v="6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6"/>
    <x v="0"/>
    <x v="6"/>
    <x v="6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6"/>
    <x v="0"/>
    <x v="6"/>
    <x v="6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6"/>
    <x v="0"/>
    <x v="6"/>
    <x v="6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6"/>
    <x v="0"/>
    <x v="6"/>
    <x v="6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6"/>
    <x v="0"/>
    <x v="6"/>
    <x v="6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6"/>
    <x v="0"/>
    <x v="6"/>
    <x v="6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6"/>
    <x v="0"/>
    <x v="6"/>
    <x v="6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6"/>
    <x v="0"/>
    <x v="6"/>
    <x v="6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6"/>
    <x v="0"/>
    <x v="6"/>
    <x v="6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6"/>
    <x v="0"/>
    <x v="6"/>
    <x v="6"/>
    <x v="1"/>
    <x v="6"/>
    <x v="0"/>
    <x v="0"/>
    <x v="2"/>
    <x v="2"/>
    <x v="7"/>
    <x v="7"/>
    <x v="2"/>
    <x v="2"/>
    <x v="2"/>
    <x v="40"/>
    <x v="40"/>
    <n v="2511.9098199999999"/>
    <x v="1"/>
    <x v="2"/>
    <x v="5"/>
    <x v="7"/>
    <x v="11"/>
    <x v="22"/>
    <n v="2737.9817038000001"/>
  </r>
  <r>
    <x v="6"/>
    <x v="0"/>
    <x v="6"/>
    <x v="6"/>
    <x v="1"/>
    <x v="6"/>
    <x v="0"/>
    <x v="0"/>
    <x v="2"/>
    <x v="2"/>
    <x v="7"/>
    <x v="7"/>
    <x v="2"/>
    <x v="2"/>
    <x v="2"/>
    <x v="38"/>
    <x v="38"/>
    <n v="3966.3876500000001"/>
    <x v="1"/>
    <x v="0"/>
    <x v="4"/>
    <x v="6"/>
    <x v="10"/>
    <x v="21"/>
    <n v="4323.3625385000005"/>
  </r>
  <r>
    <x v="6"/>
    <x v="0"/>
    <x v="6"/>
    <x v="6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6"/>
    <x v="0"/>
    <x v="6"/>
    <x v="6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6"/>
    <x v="0"/>
    <x v="6"/>
    <x v="6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6"/>
    <x v="0"/>
    <x v="6"/>
    <x v="6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6"/>
    <x v="0"/>
    <x v="6"/>
    <x v="6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6"/>
    <x v="0"/>
    <x v="6"/>
    <x v="6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6"/>
    <x v="0"/>
    <x v="6"/>
    <x v="6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6"/>
    <x v="0"/>
    <x v="6"/>
    <x v="6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6"/>
    <x v="0"/>
    <x v="6"/>
    <x v="6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6"/>
    <x v="0"/>
    <x v="6"/>
    <x v="6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6"/>
    <x v="0"/>
    <x v="6"/>
    <x v="6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6"/>
    <x v="0"/>
    <x v="6"/>
    <x v="6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6"/>
    <x v="0"/>
    <x v="6"/>
    <x v="6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6"/>
    <x v="0"/>
    <x v="6"/>
    <x v="6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6"/>
    <x v="0"/>
    <x v="6"/>
    <x v="6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6"/>
    <x v="0"/>
    <x v="6"/>
    <x v="6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6"/>
    <x v="0"/>
    <x v="6"/>
    <x v="6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6"/>
    <x v="0"/>
    <x v="6"/>
    <x v="6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6"/>
    <x v="0"/>
    <x v="6"/>
    <x v="6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6"/>
    <x v="0"/>
    <x v="6"/>
    <x v="6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6"/>
    <x v="0"/>
    <x v="6"/>
    <x v="6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6"/>
    <x v="0"/>
    <x v="6"/>
    <x v="6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6"/>
    <x v="0"/>
    <x v="6"/>
    <x v="6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6"/>
    <x v="0"/>
    <x v="6"/>
    <x v="6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6"/>
    <x v="0"/>
    <x v="6"/>
    <x v="6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6"/>
    <x v="0"/>
    <x v="6"/>
    <x v="6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6"/>
    <x v="0"/>
    <x v="6"/>
    <x v="6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6"/>
    <x v="0"/>
    <x v="6"/>
    <x v="6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6"/>
    <x v="0"/>
    <x v="6"/>
    <x v="6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6"/>
    <x v="0"/>
    <x v="6"/>
    <x v="6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6"/>
    <x v="0"/>
    <x v="6"/>
    <x v="6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6"/>
    <x v="0"/>
    <x v="6"/>
    <x v="6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6"/>
    <x v="0"/>
    <x v="6"/>
    <x v="6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6"/>
    <x v="0"/>
    <x v="6"/>
    <x v="6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6"/>
    <x v="0"/>
    <x v="6"/>
    <x v="6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6"/>
    <x v="0"/>
    <x v="6"/>
    <x v="6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6"/>
    <x v="0"/>
    <x v="6"/>
    <x v="6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6"/>
    <x v="0"/>
    <x v="6"/>
    <x v="6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6"/>
    <x v="0"/>
    <x v="6"/>
    <x v="6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6"/>
    <x v="0"/>
    <x v="6"/>
    <x v="6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6"/>
    <x v="0"/>
    <x v="6"/>
    <x v="6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6"/>
    <x v="0"/>
    <x v="6"/>
    <x v="6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6"/>
    <x v="0"/>
    <x v="6"/>
    <x v="6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6"/>
    <x v="0"/>
    <x v="6"/>
    <x v="6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6"/>
    <x v="0"/>
    <x v="6"/>
    <x v="6"/>
    <x v="1"/>
    <x v="6"/>
    <x v="0"/>
    <x v="0"/>
    <x v="2"/>
    <x v="2"/>
    <x v="9"/>
    <x v="9"/>
    <x v="2"/>
    <x v="2"/>
    <x v="2"/>
    <x v="40"/>
    <x v="40"/>
    <n v="13146.241760000001"/>
    <x v="1"/>
    <x v="2"/>
    <x v="5"/>
    <x v="7"/>
    <x v="11"/>
    <x v="22"/>
    <n v="14329.403518400002"/>
  </r>
  <r>
    <x v="6"/>
    <x v="0"/>
    <x v="6"/>
    <x v="6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6"/>
    <x v="0"/>
    <x v="6"/>
    <x v="6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6"/>
    <x v="0"/>
    <x v="6"/>
    <x v="6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6"/>
    <x v="0"/>
    <x v="6"/>
    <x v="6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6"/>
    <x v="0"/>
    <x v="6"/>
    <x v="6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6"/>
    <x v="0"/>
    <x v="6"/>
    <x v="6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6"/>
    <x v="0"/>
    <x v="6"/>
    <x v="6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6"/>
    <x v="0"/>
    <x v="6"/>
    <x v="6"/>
    <x v="1"/>
    <x v="6"/>
    <x v="0"/>
    <x v="0"/>
    <x v="2"/>
    <x v="2"/>
    <x v="9"/>
    <x v="9"/>
    <x v="1"/>
    <x v="6"/>
    <x v="6"/>
    <x v="40"/>
    <x v="40"/>
    <n v="25729.250899999999"/>
    <x v="1"/>
    <x v="2"/>
    <x v="5"/>
    <x v="7"/>
    <x v="11"/>
    <x v="22"/>
    <n v="28044.883481000001"/>
  </r>
  <r>
    <x v="6"/>
    <x v="0"/>
    <x v="6"/>
    <x v="6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6"/>
    <x v="0"/>
    <x v="6"/>
    <x v="6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6"/>
    <x v="0"/>
    <x v="6"/>
    <x v="6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6"/>
    <x v="0"/>
    <x v="6"/>
    <x v="6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6"/>
    <x v="0"/>
    <x v="6"/>
    <x v="6"/>
    <x v="1"/>
    <x v="6"/>
    <x v="0"/>
    <x v="0"/>
    <x v="2"/>
    <x v="2"/>
    <x v="9"/>
    <x v="9"/>
    <x v="3"/>
    <x v="7"/>
    <x v="7"/>
    <x v="40"/>
    <x v="40"/>
    <n v="232.90661"/>
    <x v="1"/>
    <x v="2"/>
    <x v="5"/>
    <x v="7"/>
    <x v="11"/>
    <x v="22"/>
    <n v="253.86820490000002"/>
  </r>
  <r>
    <x v="6"/>
    <x v="0"/>
    <x v="6"/>
    <x v="6"/>
    <x v="1"/>
    <x v="6"/>
    <x v="0"/>
    <x v="0"/>
    <x v="2"/>
    <x v="2"/>
    <x v="9"/>
    <x v="9"/>
    <x v="1"/>
    <x v="8"/>
    <x v="8"/>
    <x v="40"/>
    <x v="40"/>
    <n v="11935.041999999999"/>
    <x v="1"/>
    <x v="2"/>
    <x v="5"/>
    <x v="7"/>
    <x v="11"/>
    <x v="22"/>
    <n v="13009.19578"/>
  </r>
  <r>
    <x v="6"/>
    <x v="0"/>
    <x v="6"/>
    <x v="6"/>
    <x v="1"/>
    <x v="6"/>
    <x v="0"/>
    <x v="0"/>
    <x v="2"/>
    <x v="2"/>
    <x v="9"/>
    <x v="9"/>
    <x v="2"/>
    <x v="10"/>
    <x v="10"/>
    <x v="40"/>
    <x v="40"/>
    <n v="46.488370000000003"/>
    <x v="1"/>
    <x v="2"/>
    <x v="5"/>
    <x v="7"/>
    <x v="11"/>
    <x v="22"/>
    <n v="50.672323300000009"/>
  </r>
  <r>
    <x v="6"/>
    <x v="0"/>
    <x v="6"/>
    <x v="6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6"/>
    <x v="0"/>
    <x v="6"/>
    <x v="6"/>
    <x v="1"/>
    <x v="6"/>
    <x v="0"/>
    <x v="0"/>
    <x v="2"/>
    <x v="2"/>
    <x v="9"/>
    <x v="9"/>
    <x v="4"/>
    <x v="5"/>
    <x v="5"/>
    <x v="40"/>
    <x v="40"/>
    <n v="1790.6390200000001"/>
    <x v="1"/>
    <x v="2"/>
    <x v="5"/>
    <x v="7"/>
    <x v="11"/>
    <x v="22"/>
    <n v="1951.7965318000001"/>
  </r>
  <r>
    <x v="6"/>
    <x v="0"/>
    <x v="6"/>
    <x v="6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6"/>
    <x v="0"/>
    <x v="6"/>
    <x v="6"/>
    <x v="1"/>
    <x v="6"/>
    <x v="0"/>
    <x v="0"/>
    <x v="2"/>
    <x v="2"/>
    <x v="10"/>
    <x v="10"/>
    <x v="2"/>
    <x v="2"/>
    <x v="2"/>
    <x v="41"/>
    <x v="41"/>
    <n v="530.26019148734702"/>
    <x v="1"/>
    <x v="2"/>
    <x v="5"/>
    <x v="7"/>
    <x v="11"/>
    <x v="22"/>
    <n v="577.98360872120827"/>
  </r>
  <r>
    <x v="6"/>
    <x v="0"/>
    <x v="6"/>
    <x v="6"/>
    <x v="1"/>
    <x v="6"/>
    <x v="0"/>
    <x v="0"/>
    <x v="2"/>
    <x v="2"/>
    <x v="10"/>
    <x v="10"/>
    <x v="2"/>
    <x v="2"/>
    <x v="2"/>
    <x v="40"/>
    <x v="40"/>
    <n v="4365.2138500000001"/>
    <x v="1"/>
    <x v="2"/>
    <x v="5"/>
    <x v="7"/>
    <x v="11"/>
    <x v="22"/>
    <n v="4758.0830965000005"/>
  </r>
  <r>
    <x v="6"/>
    <x v="0"/>
    <x v="6"/>
    <x v="6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6"/>
    <x v="0"/>
    <x v="6"/>
    <x v="6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6"/>
    <x v="0"/>
    <x v="6"/>
    <x v="6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6"/>
    <x v="0"/>
    <x v="6"/>
    <x v="6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6"/>
    <x v="0"/>
    <x v="6"/>
    <x v="6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6"/>
    <x v="0"/>
    <x v="6"/>
    <x v="6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6"/>
    <x v="0"/>
    <x v="6"/>
    <x v="6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6"/>
    <x v="0"/>
    <x v="6"/>
    <x v="6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6"/>
    <x v="0"/>
    <x v="6"/>
    <x v="6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6"/>
    <x v="0"/>
    <x v="6"/>
    <x v="6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6"/>
    <x v="0"/>
    <x v="6"/>
    <x v="6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6"/>
    <x v="0"/>
    <x v="6"/>
    <x v="6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6"/>
    <x v="0"/>
    <x v="6"/>
    <x v="6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6"/>
    <x v="0"/>
    <x v="6"/>
    <x v="6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6"/>
    <x v="0"/>
    <x v="6"/>
    <x v="6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6"/>
    <x v="0"/>
    <x v="6"/>
    <x v="6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6"/>
    <x v="0"/>
    <x v="6"/>
    <x v="6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6"/>
    <x v="0"/>
    <x v="6"/>
    <x v="6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6"/>
    <x v="0"/>
    <x v="6"/>
    <x v="6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6"/>
    <x v="0"/>
    <x v="6"/>
    <x v="6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6"/>
    <x v="0"/>
    <x v="6"/>
    <x v="6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6"/>
    <x v="0"/>
    <x v="6"/>
    <x v="6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6"/>
    <x v="0"/>
    <x v="6"/>
    <x v="6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6"/>
    <x v="0"/>
    <x v="6"/>
    <x v="6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6"/>
    <x v="0"/>
    <x v="6"/>
    <x v="6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6"/>
    <x v="0"/>
    <x v="6"/>
    <x v="6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6"/>
    <x v="0"/>
    <x v="6"/>
    <x v="6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6"/>
    <x v="0"/>
    <x v="6"/>
    <x v="6"/>
    <x v="1"/>
    <x v="6"/>
    <x v="0"/>
    <x v="0"/>
    <x v="3"/>
    <x v="3"/>
    <x v="12"/>
    <x v="12"/>
    <x v="3"/>
    <x v="7"/>
    <x v="7"/>
    <x v="40"/>
    <x v="40"/>
    <n v="54.823689999999999"/>
    <x v="1"/>
    <x v="2"/>
    <x v="5"/>
    <x v="7"/>
    <x v="11"/>
    <x v="22"/>
    <n v="59.757822100000006"/>
  </r>
  <r>
    <x v="6"/>
    <x v="0"/>
    <x v="6"/>
    <x v="6"/>
    <x v="1"/>
    <x v="6"/>
    <x v="0"/>
    <x v="0"/>
    <x v="3"/>
    <x v="3"/>
    <x v="12"/>
    <x v="12"/>
    <x v="1"/>
    <x v="8"/>
    <x v="8"/>
    <x v="40"/>
    <x v="40"/>
    <n v="20.610440000000001"/>
    <x v="1"/>
    <x v="2"/>
    <x v="5"/>
    <x v="7"/>
    <x v="11"/>
    <x v="22"/>
    <n v="22.465379600000002"/>
  </r>
  <r>
    <x v="6"/>
    <x v="0"/>
    <x v="6"/>
    <x v="6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6"/>
    <x v="0"/>
    <x v="6"/>
    <x v="6"/>
    <x v="1"/>
    <x v="6"/>
    <x v="0"/>
    <x v="0"/>
    <x v="3"/>
    <x v="3"/>
    <x v="12"/>
    <x v="12"/>
    <x v="2"/>
    <x v="10"/>
    <x v="10"/>
    <x v="40"/>
    <x v="40"/>
    <n v="5.03559"/>
    <x v="1"/>
    <x v="2"/>
    <x v="5"/>
    <x v="7"/>
    <x v="11"/>
    <x v="22"/>
    <n v="5.4887931000000005"/>
  </r>
  <r>
    <x v="6"/>
    <x v="0"/>
    <x v="6"/>
    <x v="6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6"/>
    <x v="0"/>
    <x v="6"/>
    <x v="6"/>
    <x v="1"/>
    <x v="6"/>
    <x v="0"/>
    <x v="0"/>
    <x v="3"/>
    <x v="3"/>
    <x v="12"/>
    <x v="12"/>
    <x v="4"/>
    <x v="5"/>
    <x v="5"/>
    <x v="40"/>
    <x v="40"/>
    <n v="84.461550000000003"/>
    <x v="1"/>
    <x v="2"/>
    <x v="5"/>
    <x v="7"/>
    <x v="11"/>
    <x v="22"/>
    <n v="92.063089500000004"/>
  </r>
  <r>
    <x v="6"/>
    <x v="0"/>
    <x v="6"/>
    <x v="6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6"/>
    <x v="0"/>
    <x v="6"/>
    <x v="6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6"/>
    <x v="0"/>
    <x v="6"/>
    <x v="6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6"/>
    <x v="0"/>
    <x v="6"/>
    <x v="6"/>
    <x v="1"/>
    <x v="6"/>
    <x v="0"/>
    <x v="0"/>
    <x v="3"/>
    <x v="3"/>
    <x v="13"/>
    <x v="13"/>
    <x v="2"/>
    <x v="2"/>
    <x v="2"/>
    <x v="40"/>
    <x v="40"/>
    <n v="2114.7563700000001"/>
    <x v="1"/>
    <x v="2"/>
    <x v="5"/>
    <x v="7"/>
    <x v="11"/>
    <x v="22"/>
    <n v="2305.0844433000002"/>
  </r>
  <r>
    <x v="6"/>
    <x v="0"/>
    <x v="6"/>
    <x v="6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6"/>
    <x v="0"/>
    <x v="6"/>
    <x v="6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6"/>
    <x v="0"/>
    <x v="6"/>
    <x v="6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6"/>
    <x v="0"/>
    <x v="6"/>
    <x v="6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6"/>
    <x v="0"/>
    <x v="6"/>
    <x v="6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6"/>
    <x v="0"/>
    <x v="6"/>
    <x v="6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6"/>
    <x v="0"/>
    <x v="6"/>
    <x v="6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6"/>
    <x v="0"/>
    <x v="6"/>
    <x v="6"/>
    <x v="1"/>
    <x v="6"/>
    <x v="0"/>
    <x v="0"/>
    <x v="3"/>
    <x v="3"/>
    <x v="19"/>
    <x v="19"/>
    <x v="3"/>
    <x v="7"/>
    <x v="7"/>
    <x v="40"/>
    <x v="40"/>
    <n v="5669.7524899999999"/>
    <x v="1"/>
    <x v="2"/>
    <x v="5"/>
    <x v="7"/>
    <x v="11"/>
    <x v="22"/>
    <n v="6180.0302141000002"/>
  </r>
  <r>
    <x v="6"/>
    <x v="0"/>
    <x v="6"/>
    <x v="6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6"/>
    <x v="0"/>
    <x v="6"/>
    <x v="6"/>
    <x v="1"/>
    <x v="6"/>
    <x v="0"/>
    <x v="0"/>
    <x v="3"/>
    <x v="3"/>
    <x v="19"/>
    <x v="19"/>
    <x v="1"/>
    <x v="8"/>
    <x v="8"/>
    <x v="40"/>
    <x v="40"/>
    <n v="1484.27719"/>
    <x v="1"/>
    <x v="2"/>
    <x v="5"/>
    <x v="7"/>
    <x v="11"/>
    <x v="22"/>
    <n v="1617.8621371000002"/>
  </r>
  <r>
    <x v="6"/>
    <x v="0"/>
    <x v="6"/>
    <x v="6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6"/>
    <x v="0"/>
    <x v="6"/>
    <x v="6"/>
    <x v="1"/>
    <x v="6"/>
    <x v="0"/>
    <x v="0"/>
    <x v="3"/>
    <x v="3"/>
    <x v="19"/>
    <x v="19"/>
    <x v="2"/>
    <x v="10"/>
    <x v="10"/>
    <x v="40"/>
    <x v="40"/>
    <n v="780.46871999999996"/>
    <x v="1"/>
    <x v="2"/>
    <x v="5"/>
    <x v="7"/>
    <x v="11"/>
    <x v="22"/>
    <n v="850.71090479999998"/>
  </r>
  <r>
    <x v="6"/>
    <x v="0"/>
    <x v="6"/>
    <x v="6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6"/>
    <x v="0"/>
    <x v="6"/>
    <x v="6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6"/>
    <x v="0"/>
    <x v="6"/>
    <x v="6"/>
    <x v="1"/>
    <x v="6"/>
    <x v="0"/>
    <x v="0"/>
    <x v="3"/>
    <x v="3"/>
    <x v="19"/>
    <x v="19"/>
    <x v="4"/>
    <x v="5"/>
    <x v="5"/>
    <x v="40"/>
    <x v="40"/>
    <n v="8599.2951799999992"/>
    <x v="1"/>
    <x v="2"/>
    <x v="5"/>
    <x v="7"/>
    <x v="11"/>
    <x v="22"/>
    <n v="9373.2317461999992"/>
  </r>
  <r>
    <x v="6"/>
    <x v="0"/>
    <x v="6"/>
    <x v="6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6"/>
    <x v="0"/>
    <x v="6"/>
    <x v="6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6"/>
    <x v="0"/>
    <x v="6"/>
    <x v="6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6"/>
    <x v="0"/>
    <x v="6"/>
    <x v="6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6"/>
    <x v="0"/>
    <x v="6"/>
    <x v="6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6"/>
    <x v="0"/>
    <x v="6"/>
    <x v="6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6"/>
    <x v="0"/>
    <x v="6"/>
    <x v="6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6"/>
    <x v="0"/>
    <x v="6"/>
    <x v="6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6"/>
    <x v="0"/>
    <x v="6"/>
    <x v="6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6"/>
    <x v="0"/>
    <x v="6"/>
    <x v="6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6"/>
    <x v="0"/>
    <x v="6"/>
    <x v="6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6"/>
    <x v="0"/>
    <x v="6"/>
    <x v="6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6"/>
    <x v="0"/>
    <x v="6"/>
    <x v="6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6"/>
    <x v="0"/>
    <x v="6"/>
    <x v="6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6"/>
    <x v="0"/>
    <x v="6"/>
    <x v="6"/>
    <x v="1"/>
    <x v="6"/>
    <x v="0"/>
    <x v="0"/>
    <x v="2"/>
    <x v="2"/>
    <x v="14"/>
    <x v="14"/>
    <x v="4"/>
    <x v="5"/>
    <x v="5"/>
    <x v="40"/>
    <x v="40"/>
    <n v="147.00906000000001"/>
    <x v="1"/>
    <x v="2"/>
    <x v="5"/>
    <x v="7"/>
    <x v="11"/>
    <x v="22"/>
    <n v="160.23987540000002"/>
  </r>
  <r>
    <x v="6"/>
    <x v="0"/>
    <x v="6"/>
    <x v="6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6"/>
    <x v="0"/>
    <x v="6"/>
    <x v="6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6"/>
    <x v="0"/>
    <x v="6"/>
    <x v="6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6"/>
    <x v="0"/>
    <x v="6"/>
    <x v="6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6"/>
    <x v="0"/>
    <x v="6"/>
    <x v="6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6"/>
    <x v="0"/>
    <x v="6"/>
    <x v="6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6"/>
    <x v="0"/>
    <x v="6"/>
    <x v="6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6"/>
    <x v="0"/>
    <x v="6"/>
    <x v="6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6"/>
    <x v="0"/>
    <x v="6"/>
    <x v="6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6"/>
    <x v="0"/>
    <x v="6"/>
    <x v="6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6"/>
    <x v="0"/>
    <x v="6"/>
    <x v="6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6"/>
    <x v="0"/>
    <x v="6"/>
    <x v="6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6"/>
    <x v="0"/>
    <x v="6"/>
    <x v="6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6"/>
    <x v="0"/>
    <x v="6"/>
    <x v="6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6"/>
    <x v="0"/>
    <x v="6"/>
    <x v="6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6"/>
    <x v="0"/>
    <x v="6"/>
    <x v="6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6"/>
    <x v="0"/>
    <x v="6"/>
    <x v="6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6"/>
    <x v="0"/>
    <x v="6"/>
    <x v="6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6"/>
    <x v="0"/>
    <x v="6"/>
    <x v="6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6"/>
    <x v="0"/>
    <x v="6"/>
    <x v="6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6"/>
    <x v="0"/>
    <x v="6"/>
    <x v="6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6"/>
    <x v="0"/>
    <x v="6"/>
    <x v="6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6"/>
    <x v="0"/>
    <x v="6"/>
    <x v="6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6"/>
    <x v="0"/>
    <x v="6"/>
    <x v="6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6"/>
    <x v="0"/>
    <x v="6"/>
    <x v="6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6"/>
    <x v="0"/>
    <x v="6"/>
    <x v="6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6"/>
    <x v="0"/>
    <x v="6"/>
    <x v="6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6"/>
    <x v="0"/>
    <x v="6"/>
    <x v="6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6"/>
    <x v="0"/>
    <x v="6"/>
    <x v="6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6"/>
    <x v="0"/>
    <x v="6"/>
    <x v="6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6"/>
    <x v="0"/>
    <x v="6"/>
    <x v="6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6"/>
    <x v="0"/>
    <x v="6"/>
    <x v="6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6"/>
    <x v="0"/>
    <x v="6"/>
    <x v="6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6"/>
    <x v="0"/>
    <x v="6"/>
    <x v="6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6"/>
    <x v="0"/>
    <x v="6"/>
    <x v="6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6"/>
    <x v="0"/>
    <x v="6"/>
    <x v="6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6"/>
    <x v="0"/>
    <x v="6"/>
    <x v="6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6"/>
    <x v="0"/>
    <x v="6"/>
    <x v="6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6"/>
    <x v="0"/>
    <x v="6"/>
    <x v="6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6"/>
    <x v="0"/>
    <x v="6"/>
    <x v="6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6"/>
    <x v="0"/>
    <x v="6"/>
    <x v="6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6"/>
    <x v="0"/>
    <x v="6"/>
    <x v="6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6"/>
    <x v="0"/>
    <x v="6"/>
    <x v="6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6"/>
    <x v="0"/>
    <x v="6"/>
    <x v="6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6"/>
    <x v="0"/>
    <x v="6"/>
    <x v="6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6"/>
    <x v="0"/>
    <x v="6"/>
    <x v="6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6"/>
    <x v="0"/>
    <x v="6"/>
    <x v="6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6"/>
    <x v="0"/>
    <x v="6"/>
    <x v="6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6"/>
    <x v="0"/>
    <x v="6"/>
    <x v="6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6"/>
    <x v="0"/>
    <x v="6"/>
    <x v="6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6"/>
    <x v="0"/>
    <x v="6"/>
    <x v="6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6"/>
    <x v="0"/>
    <x v="6"/>
    <x v="6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6"/>
    <x v="0"/>
    <x v="6"/>
    <x v="6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6"/>
    <x v="0"/>
    <x v="6"/>
    <x v="6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6"/>
    <x v="0"/>
    <x v="6"/>
    <x v="6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6"/>
    <x v="0"/>
    <x v="6"/>
    <x v="6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6"/>
    <x v="0"/>
    <x v="6"/>
    <x v="6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6"/>
    <x v="0"/>
    <x v="6"/>
    <x v="6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6"/>
    <x v="0"/>
    <x v="6"/>
    <x v="6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6"/>
    <x v="0"/>
    <x v="6"/>
    <x v="6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6"/>
    <x v="0"/>
    <x v="6"/>
    <x v="6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6"/>
    <x v="0"/>
    <x v="6"/>
    <x v="6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6"/>
    <x v="0"/>
    <x v="6"/>
    <x v="6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6"/>
    <x v="0"/>
    <x v="6"/>
    <x v="6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6"/>
    <x v="0"/>
    <x v="6"/>
    <x v="6"/>
    <x v="1"/>
    <x v="6"/>
    <x v="0"/>
    <x v="0"/>
    <x v="2"/>
    <x v="2"/>
    <x v="17"/>
    <x v="17"/>
    <x v="1"/>
    <x v="8"/>
    <x v="8"/>
    <x v="40"/>
    <x v="40"/>
    <n v="248.85865000000001"/>
    <x v="1"/>
    <x v="2"/>
    <x v="5"/>
    <x v="7"/>
    <x v="11"/>
    <x v="22"/>
    <n v="271.25592850000004"/>
  </r>
  <r>
    <x v="6"/>
    <x v="0"/>
    <x v="6"/>
    <x v="6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6"/>
    <x v="0"/>
    <x v="6"/>
    <x v="6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6"/>
    <x v="0"/>
    <x v="6"/>
    <x v="6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6"/>
    <x v="0"/>
    <x v="6"/>
    <x v="6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6"/>
    <x v="0"/>
    <x v="6"/>
    <x v="6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6"/>
    <x v="0"/>
    <x v="6"/>
    <x v="6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6"/>
    <x v="0"/>
    <x v="6"/>
    <x v="6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6"/>
    <x v="0"/>
    <x v="6"/>
    <x v="6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6"/>
    <x v="0"/>
    <x v="6"/>
    <x v="6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6"/>
    <x v="0"/>
    <x v="6"/>
    <x v="6"/>
    <x v="1"/>
    <x v="6"/>
    <x v="0"/>
    <x v="0"/>
    <x v="2"/>
    <x v="2"/>
    <x v="17"/>
    <x v="17"/>
    <x v="4"/>
    <x v="5"/>
    <x v="5"/>
    <x v="40"/>
    <x v="40"/>
    <n v="1923.7575999999999"/>
    <x v="1"/>
    <x v="2"/>
    <x v="5"/>
    <x v="7"/>
    <x v="11"/>
    <x v="22"/>
    <n v="2096.8957840000003"/>
  </r>
  <r>
    <x v="6"/>
    <x v="0"/>
    <x v="6"/>
    <x v="6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6"/>
    <x v="0"/>
    <x v="6"/>
    <x v="6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6"/>
    <x v="0"/>
    <x v="6"/>
    <x v="6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6"/>
    <x v="0"/>
    <x v="6"/>
    <x v="6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6"/>
    <x v="0"/>
    <x v="6"/>
    <x v="6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6"/>
    <x v="0"/>
    <x v="6"/>
    <x v="6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6"/>
    <x v="0"/>
    <x v="6"/>
    <x v="6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6"/>
    <x v="0"/>
    <x v="6"/>
    <x v="6"/>
    <x v="1"/>
    <x v="7"/>
    <x v="0"/>
    <x v="0"/>
    <x v="0"/>
    <x v="0"/>
    <x v="0"/>
    <x v="0"/>
    <x v="3"/>
    <x v="3"/>
    <x v="3"/>
    <x v="11"/>
    <x v="11"/>
    <n v="260.28739000000002"/>
    <x v="0"/>
    <x v="0"/>
    <x v="3"/>
    <x v="5"/>
    <x v="7"/>
    <x v="11"/>
    <n v="283.71325510000003"/>
  </r>
  <r>
    <x v="6"/>
    <x v="0"/>
    <x v="6"/>
    <x v="6"/>
    <x v="1"/>
    <x v="7"/>
    <x v="0"/>
    <x v="0"/>
    <x v="0"/>
    <x v="0"/>
    <x v="0"/>
    <x v="0"/>
    <x v="3"/>
    <x v="3"/>
    <x v="3"/>
    <x v="32"/>
    <x v="32"/>
    <n v="3.5904255318337501"/>
    <x v="0"/>
    <x v="0"/>
    <x v="1"/>
    <x v="1"/>
    <x v="1"/>
    <x v="20"/>
    <n v="3.9135638296987878"/>
  </r>
  <r>
    <x v="6"/>
    <x v="0"/>
    <x v="6"/>
    <x v="6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6"/>
    <x v="0"/>
    <x v="6"/>
    <x v="6"/>
    <x v="1"/>
    <x v="7"/>
    <x v="0"/>
    <x v="0"/>
    <x v="0"/>
    <x v="0"/>
    <x v="0"/>
    <x v="0"/>
    <x v="0"/>
    <x v="4"/>
    <x v="4"/>
    <x v="11"/>
    <x v="11"/>
    <n v="368.16129000000001"/>
    <x v="0"/>
    <x v="0"/>
    <x v="3"/>
    <x v="5"/>
    <x v="7"/>
    <x v="11"/>
    <n v="401.29580610000005"/>
  </r>
  <r>
    <x v="6"/>
    <x v="0"/>
    <x v="6"/>
    <x v="6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6"/>
    <x v="0"/>
    <x v="6"/>
    <x v="6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6"/>
    <x v="0"/>
    <x v="6"/>
    <x v="6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6"/>
    <x v="0"/>
    <x v="6"/>
    <x v="6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6"/>
    <x v="0"/>
    <x v="6"/>
    <x v="6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6"/>
    <x v="0"/>
    <x v="6"/>
    <x v="6"/>
    <x v="1"/>
    <x v="7"/>
    <x v="0"/>
    <x v="0"/>
    <x v="0"/>
    <x v="0"/>
    <x v="0"/>
    <x v="0"/>
    <x v="2"/>
    <x v="2"/>
    <x v="2"/>
    <x v="10"/>
    <x v="10"/>
    <n v="1.9458715596318601"/>
    <x v="0"/>
    <x v="0"/>
    <x v="1"/>
    <x v="4"/>
    <x v="5"/>
    <x v="10"/>
    <n v="2.1209999999987277"/>
  </r>
  <r>
    <x v="6"/>
    <x v="0"/>
    <x v="6"/>
    <x v="6"/>
    <x v="1"/>
    <x v="7"/>
    <x v="0"/>
    <x v="0"/>
    <x v="0"/>
    <x v="0"/>
    <x v="0"/>
    <x v="0"/>
    <x v="2"/>
    <x v="2"/>
    <x v="2"/>
    <x v="11"/>
    <x v="11"/>
    <n v="577.53629000000001"/>
    <x v="0"/>
    <x v="0"/>
    <x v="3"/>
    <x v="5"/>
    <x v="7"/>
    <x v="11"/>
    <n v="629.51455610000005"/>
  </r>
  <r>
    <x v="6"/>
    <x v="0"/>
    <x v="6"/>
    <x v="6"/>
    <x v="1"/>
    <x v="7"/>
    <x v="0"/>
    <x v="0"/>
    <x v="0"/>
    <x v="0"/>
    <x v="0"/>
    <x v="0"/>
    <x v="2"/>
    <x v="2"/>
    <x v="2"/>
    <x v="32"/>
    <x v="32"/>
    <n v="2.12765957442"/>
    <x v="0"/>
    <x v="0"/>
    <x v="1"/>
    <x v="1"/>
    <x v="1"/>
    <x v="20"/>
    <n v="2.3191489361177999"/>
  </r>
  <r>
    <x v="6"/>
    <x v="0"/>
    <x v="6"/>
    <x v="6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6"/>
    <x v="0"/>
    <x v="6"/>
    <x v="6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6"/>
    <x v="0"/>
    <x v="6"/>
    <x v="6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6"/>
    <x v="0"/>
    <x v="6"/>
    <x v="6"/>
    <x v="1"/>
    <x v="7"/>
    <x v="0"/>
    <x v="0"/>
    <x v="0"/>
    <x v="0"/>
    <x v="0"/>
    <x v="0"/>
    <x v="2"/>
    <x v="2"/>
    <x v="2"/>
    <x v="18"/>
    <x v="18"/>
    <n v="35.944000000000003"/>
    <x v="0"/>
    <x v="0"/>
    <x v="0"/>
    <x v="0"/>
    <x v="4"/>
    <x v="18"/>
    <n v="39.178960000000004"/>
  </r>
  <r>
    <x v="6"/>
    <x v="0"/>
    <x v="6"/>
    <x v="6"/>
    <x v="1"/>
    <x v="7"/>
    <x v="0"/>
    <x v="0"/>
    <x v="0"/>
    <x v="0"/>
    <x v="0"/>
    <x v="0"/>
    <x v="2"/>
    <x v="2"/>
    <x v="2"/>
    <x v="26"/>
    <x v="26"/>
    <n v="370.64220183463999"/>
    <x v="0"/>
    <x v="0"/>
    <x v="1"/>
    <x v="3"/>
    <x v="3"/>
    <x v="15"/>
    <n v="403.99999999975762"/>
  </r>
  <r>
    <x v="6"/>
    <x v="0"/>
    <x v="6"/>
    <x v="6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6"/>
    <x v="0"/>
    <x v="6"/>
    <x v="6"/>
    <x v="1"/>
    <x v="7"/>
    <x v="0"/>
    <x v="0"/>
    <x v="0"/>
    <x v="0"/>
    <x v="0"/>
    <x v="0"/>
    <x v="1"/>
    <x v="6"/>
    <x v="6"/>
    <x v="11"/>
    <x v="11"/>
    <n v="51.023319999999998"/>
    <x v="0"/>
    <x v="0"/>
    <x v="3"/>
    <x v="5"/>
    <x v="7"/>
    <x v="11"/>
    <n v="55.6154188"/>
  </r>
  <r>
    <x v="6"/>
    <x v="0"/>
    <x v="6"/>
    <x v="6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6"/>
    <x v="0"/>
    <x v="6"/>
    <x v="6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6"/>
    <x v="0"/>
    <x v="6"/>
    <x v="6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6"/>
    <x v="0"/>
    <x v="6"/>
    <x v="6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6"/>
    <x v="0"/>
    <x v="6"/>
    <x v="6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6"/>
    <x v="0"/>
    <x v="6"/>
    <x v="6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6"/>
    <x v="0"/>
    <x v="6"/>
    <x v="6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7"/>
    <x v="0"/>
    <x v="7"/>
    <x v="7"/>
    <x v="0"/>
    <x v="1"/>
    <x v="0"/>
    <x v="0"/>
    <x v="0"/>
    <x v="0"/>
    <x v="0"/>
    <x v="0"/>
    <x v="3"/>
    <x v="3"/>
    <x v="3"/>
    <x v="8"/>
    <x v="8"/>
    <n v="126.90131756837999"/>
    <x v="0"/>
    <x v="1"/>
    <x v="2"/>
    <x v="2"/>
    <x v="6"/>
    <x v="8"/>
    <n v="138.32243614953421"/>
  </r>
  <r>
    <x v="7"/>
    <x v="0"/>
    <x v="7"/>
    <x v="7"/>
    <x v="0"/>
    <x v="1"/>
    <x v="0"/>
    <x v="0"/>
    <x v="0"/>
    <x v="0"/>
    <x v="0"/>
    <x v="0"/>
    <x v="3"/>
    <x v="3"/>
    <x v="3"/>
    <x v="12"/>
    <x v="12"/>
    <n v="0.11105813953446"/>
    <x v="0"/>
    <x v="0"/>
    <x v="0"/>
    <x v="0"/>
    <x v="8"/>
    <x v="12"/>
    <n v="0.12105337209256141"/>
  </r>
  <r>
    <x v="7"/>
    <x v="0"/>
    <x v="7"/>
    <x v="7"/>
    <x v="0"/>
    <x v="1"/>
    <x v="0"/>
    <x v="0"/>
    <x v="0"/>
    <x v="0"/>
    <x v="0"/>
    <x v="0"/>
    <x v="3"/>
    <x v="3"/>
    <x v="3"/>
    <x v="24"/>
    <x v="24"/>
    <n v="0.10008256880728"/>
    <x v="0"/>
    <x v="0"/>
    <x v="1"/>
    <x v="3"/>
    <x v="3"/>
    <x v="4"/>
    <n v="0.10908999999993521"/>
  </r>
  <r>
    <x v="7"/>
    <x v="0"/>
    <x v="7"/>
    <x v="7"/>
    <x v="0"/>
    <x v="1"/>
    <x v="0"/>
    <x v="0"/>
    <x v="0"/>
    <x v="0"/>
    <x v="0"/>
    <x v="0"/>
    <x v="3"/>
    <x v="3"/>
    <x v="3"/>
    <x v="18"/>
    <x v="18"/>
    <n v="213.72734"/>
    <x v="0"/>
    <x v="0"/>
    <x v="0"/>
    <x v="0"/>
    <x v="4"/>
    <x v="18"/>
    <n v="232.96280060000001"/>
  </r>
  <r>
    <x v="7"/>
    <x v="0"/>
    <x v="7"/>
    <x v="7"/>
    <x v="0"/>
    <x v="1"/>
    <x v="0"/>
    <x v="0"/>
    <x v="0"/>
    <x v="0"/>
    <x v="0"/>
    <x v="0"/>
    <x v="3"/>
    <x v="3"/>
    <x v="3"/>
    <x v="26"/>
    <x v="26"/>
    <n v="51.167073394464701"/>
    <x v="0"/>
    <x v="0"/>
    <x v="1"/>
    <x v="3"/>
    <x v="3"/>
    <x v="15"/>
    <n v="55.772109999966531"/>
  </r>
  <r>
    <x v="7"/>
    <x v="0"/>
    <x v="7"/>
    <x v="7"/>
    <x v="0"/>
    <x v="1"/>
    <x v="0"/>
    <x v="0"/>
    <x v="0"/>
    <x v="0"/>
    <x v="0"/>
    <x v="0"/>
    <x v="3"/>
    <x v="3"/>
    <x v="3"/>
    <x v="2"/>
    <x v="2"/>
    <n v="538.73178899050197"/>
    <x v="0"/>
    <x v="1"/>
    <x v="2"/>
    <x v="2"/>
    <x v="13"/>
    <x v="2"/>
    <n v="587.21764999964716"/>
  </r>
  <r>
    <x v="7"/>
    <x v="0"/>
    <x v="7"/>
    <x v="7"/>
    <x v="0"/>
    <x v="1"/>
    <x v="0"/>
    <x v="0"/>
    <x v="0"/>
    <x v="0"/>
    <x v="0"/>
    <x v="0"/>
    <x v="3"/>
    <x v="12"/>
    <x v="3"/>
    <x v="8"/>
    <x v="8"/>
    <n v="5296.4935676014602"/>
    <x v="0"/>
    <x v="1"/>
    <x v="2"/>
    <x v="2"/>
    <x v="6"/>
    <x v="8"/>
    <n v="5773.177988685592"/>
  </r>
  <r>
    <x v="7"/>
    <x v="0"/>
    <x v="7"/>
    <x v="7"/>
    <x v="0"/>
    <x v="1"/>
    <x v="0"/>
    <x v="0"/>
    <x v="0"/>
    <x v="0"/>
    <x v="0"/>
    <x v="0"/>
    <x v="3"/>
    <x v="12"/>
    <x v="3"/>
    <x v="2"/>
    <x v="2"/>
    <n v="4923.5459908227303"/>
    <x v="0"/>
    <x v="1"/>
    <x v="2"/>
    <x v="2"/>
    <x v="13"/>
    <x v="2"/>
    <n v="5366.6651299967762"/>
  </r>
  <r>
    <x v="7"/>
    <x v="0"/>
    <x v="7"/>
    <x v="7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7"/>
    <x v="0"/>
    <x v="7"/>
    <x v="7"/>
    <x v="0"/>
    <x v="1"/>
    <x v="0"/>
    <x v="0"/>
    <x v="0"/>
    <x v="0"/>
    <x v="0"/>
    <x v="0"/>
    <x v="0"/>
    <x v="4"/>
    <x v="4"/>
    <x v="8"/>
    <x v="8"/>
    <n v="30.9612162164144"/>
    <x v="0"/>
    <x v="1"/>
    <x v="2"/>
    <x v="2"/>
    <x v="6"/>
    <x v="8"/>
    <n v="33.747725675891701"/>
  </r>
  <r>
    <x v="7"/>
    <x v="0"/>
    <x v="7"/>
    <x v="7"/>
    <x v="0"/>
    <x v="1"/>
    <x v="0"/>
    <x v="0"/>
    <x v="0"/>
    <x v="0"/>
    <x v="0"/>
    <x v="0"/>
    <x v="0"/>
    <x v="4"/>
    <x v="4"/>
    <x v="9"/>
    <x v="9"/>
    <n v="7.2619266055002303"/>
    <x v="0"/>
    <x v="0"/>
    <x v="1"/>
    <x v="4"/>
    <x v="5"/>
    <x v="9"/>
    <n v="7.9154999999952516"/>
  </r>
  <r>
    <x v="7"/>
    <x v="0"/>
    <x v="7"/>
    <x v="7"/>
    <x v="0"/>
    <x v="1"/>
    <x v="0"/>
    <x v="0"/>
    <x v="0"/>
    <x v="0"/>
    <x v="0"/>
    <x v="0"/>
    <x v="0"/>
    <x v="4"/>
    <x v="4"/>
    <x v="28"/>
    <x v="28"/>
    <n v="19.869350000000001"/>
    <x v="0"/>
    <x v="0"/>
    <x v="1"/>
    <x v="3"/>
    <x v="3"/>
    <x v="13"/>
    <n v="21.657591500000002"/>
  </r>
  <r>
    <x v="7"/>
    <x v="0"/>
    <x v="7"/>
    <x v="7"/>
    <x v="0"/>
    <x v="1"/>
    <x v="0"/>
    <x v="0"/>
    <x v="0"/>
    <x v="0"/>
    <x v="0"/>
    <x v="0"/>
    <x v="0"/>
    <x v="4"/>
    <x v="4"/>
    <x v="11"/>
    <x v="11"/>
    <n v="23.910889999999998"/>
    <x v="0"/>
    <x v="0"/>
    <x v="3"/>
    <x v="5"/>
    <x v="7"/>
    <x v="11"/>
    <n v="26.062870100000001"/>
  </r>
  <r>
    <x v="7"/>
    <x v="0"/>
    <x v="7"/>
    <x v="7"/>
    <x v="0"/>
    <x v="1"/>
    <x v="0"/>
    <x v="0"/>
    <x v="0"/>
    <x v="0"/>
    <x v="0"/>
    <x v="0"/>
    <x v="0"/>
    <x v="4"/>
    <x v="4"/>
    <x v="12"/>
    <x v="12"/>
    <n v="705.87288371824798"/>
    <x v="0"/>
    <x v="0"/>
    <x v="0"/>
    <x v="0"/>
    <x v="8"/>
    <x v="12"/>
    <n v="769.40144325289032"/>
  </r>
  <r>
    <x v="7"/>
    <x v="0"/>
    <x v="7"/>
    <x v="7"/>
    <x v="0"/>
    <x v="1"/>
    <x v="0"/>
    <x v="0"/>
    <x v="0"/>
    <x v="0"/>
    <x v="0"/>
    <x v="0"/>
    <x v="0"/>
    <x v="4"/>
    <x v="4"/>
    <x v="14"/>
    <x v="14"/>
    <n v="101.1529"/>
    <x v="0"/>
    <x v="0"/>
    <x v="0"/>
    <x v="0"/>
    <x v="8"/>
    <x v="14"/>
    <n v="110.25666100000001"/>
  </r>
  <r>
    <x v="7"/>
    <x v="0"/>
    <x v="7"/>
    <x v="7"/>
    <x v="0"/>
    <x v="1"/>
    <x v="0"/>
    <x v="0"/>
    <x v="0"/>
    <x v="0"/>
    <x v="0"/>
    <x v="0"/>
    <x v="0"/>
    <x v="4"/>
    <x v="4"/>
    <x v="16"/>
    <x v="16"/>
    <n v="1663.7209800000001"/>
    <x v="0"/>
    <x v="0"/>
    <x v="3"/>
    <x v="5"/>
    <x v="9"/>
    <x v="16"/>
    <n v="1813.4558682000002"/>
  </r>
  <r>
    <x v="7"/>
    <x v="0"/>
    <x v="7"/>
    <x v="7"/>
    <x v="0"/>
    <x v="1"/>
    <x v="0"/>
    <x v="0"/>
    <x v="0"/>
    <x v="0"/>
    <x v="0"/>
    <x v="0"/>
    <x v="0"/>
    <x v="4"/>
    <x v="4"/>
    <x v="24"/>
    <x v="24"/>
    <n v="53.807073394463103"/>
    <x v="0"/>
    <x v="0"/>
    <x v="1"/>
    <x v="3"/>
    <x v="3"/>
    <x v="4"/>
    <n v="58.649709999964784"/>
  </r>
  <r>
    <x v="7"/>
    <x v="0"/>
    <x v="7"/>
    <x v="7"/>
    <x v="0"/>
    <x v="1"/>
    <x v="0"/>
    <x v="0"/>
    <x v="0"/>
    <x v="0"/>
    <x v="0"/>
    <x v="0"/>
    <x v="0"/>
    <x v="4"/>
    <x v="4"/>
    <x v="18"/>
    <x v="18"/>
    <n v="9.07"/>
    <x v="0"/>
    <x v="0"/>
    <x v="0"/>
    <x v="0"/>
    <x v="4"/>
    <x v="18"/>
    <n v="9.8863000000000003"/>
  </r>
  <r>
    <x v="7"/>
    <x v="0"/>
    <x v="7"/>
    <x v="7"/>
    <x v="0"/>
    <x v="1"/>
    <x v="0"/>
    <x v="0"/>
    <x v="0"/>
    <x v="0"/>
    <x v="0"/>
    <x v="0"/>
    <x v="0"/>
    <x v="4"/>
    <x v="4"/>
    <x v="27"/>
    <x v="27"/>
    <n v="75.700495497100306"/>
    <x v="0"/>
    <x v="0"/>
    <x v="1"/>
    <x v="3"/>
    <x v="3"/>
    <x v="19"/>
    <n v="82.513540091839346"/>
  </r>
  <r>
    <x v="7"/>
    <x v="0"/>
    <x v="7"/>
    <x v="7"/>
    <x v="0"/>
    <x v="1"/>
    <x v="0"/>
    <x v="0"/>
    <x v="0"/>
    <x v="0"/>
    <x v="0"/>
    <x v="0"/>
    <x v="0"/>
    <x v="4"/>
    <x v="4"/>
    <x v="26"/>
    <x v="26"/>
    <n v="37.950678899059803"/>
    <x v="0"/>
    <x v="0"/>
    <x v="1"/>
    <x v="3"/>
    <x v="3"/>
    <x v="15"/>
    <n v="41.366239999975186"/>
  </r>
  <r>
    <x v="7"/>
    <x v="0"/>
    <x v="7"/>
    <x v="7"/>
    <x v="0"/>
    <x v="1"/>
    <x v="0"/>
    <x v="0"/>
    <x v="0"/>
    <x v="0"/>
    <x v="0"/>
    <x v="0"/>
    <x v="0"/>
    <x v="4"/>
    <x v="4"/>
    <x v="20"/>
    <x v="20"/>
    <n v="263.90253999999999"/>
    <x v="0"/>
    <x v="0"/>
    <x v="1"/>
    <x v="3"/>
    <x v="3"/>
    <x v="13"/>
    <n v="287.65376860000003"/>
  </r>
  <r>
    <x v="7"/>
    <x v="0"/>
    <x v="7"/>
    <x v="7"/>
    <x v="0"/>
    <x v="1"/>
    <x v="0"/>
    <x v="0"/>
    <x v="0"/>
    <x v="0"/>
    <x v="0"/>
    <x v="0"/>
    <x v="0"/>
    <x v="4"/>
    <x v="4"/>
    <x v="2"/>
    <x v="2"/>
    <n v="3320.3936055025902"/>
    <x v="0"/>
    <x v="1"/>
    <x v="2"/>
    <x v="2"/>
    <x v="13"/>
    <x v="2"/>
    <n v="3619.2290299978235"/>
  </r>
  <r>
    <x v="7"/>
    <x v="0"/>
    <x v="7"/>
    <x v="7"/>
    <x v="0"/>
    <x v="1"/>
    <x v="0"/>
    <x v="0"/>
    <x v="0"/>
    <x v="0"/>
    <x v="0"/>
    <x v="0"/>
    <x v="0"/>
    <x v="4"/>
    <x v="4"/>
    <x v="3"/>
    <x v="3"/>
    <n v="155.216532007598"/>
    <x v="0"/>
    <x v="0"/>
    <x v="1"/>
    <x v="3"/>
    <x v="3"/>
    <x v="3"/>
    <n v="169.18601988828183"/>
  </r>
  <r>
    <x v="7"/>
    <x v="0"/>
    <x v="7"/>
    <x v="7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7"/>
    <x v="0"/>
    <x v="7"/>
    <x v="7"/>
    <x v="0"/>
    <x v="1"/>
    <x v="0"/>
    <x v="0"/>
    <x v="0"/>
    <x v="0"/>
    <x v="0"/>
    <x v="0"/>
    <x v="0"/>
    <x v="0"/>
    <x v="0"/>
    <x v="6"/>
    <x v="6"/>
    <n v="60.991639999999997"/>
    <x v="0"/>
    <x v="0"/>
    <x v="0"/>
    <x v="0"/>
    <x v="4"/>
    <x v="6"/>
    <n v="66.480887600000003"/>
  </r>
  <r>
    <x v="7"/>
    <x v="0"/>
    <x v="7"/>
    <x v="7"/>
    <x v="0"/>
    <x v="1"/>
    <x v="0"/>
    <x v="0"/>
    <x v="0"/>
    <x v="0"/>
    <x v="0"/>
    <x v="0"/>
    <x v="0"/>
    <x v="0"/>
    <x v="0"/>
    <x v="7"/>
    <x v="7"/>
    <n v="11.3713761467822"/>
    <x v="0"/>
    <x v="0"/>
    <x v="1"/>
    <x v="4"/>
    <x v="5"/>
    <x v="7"/>
    <n v="12.3947999999926"/>
  </r>
  <r>
    <x v="7"/>
    <x v="0"/>
    <x v="7"/>
    <x v="7"/>
    <x v="0"/>
    <x v="1"/>
    <x v="0"/>
    <x v="0"/>
    <x v="0"/>
    <x v="0"/>
    <x v="0"/>
    <x v="0"/>
    <x v="0"/>
    <x v="0"/>
    <x v="0"/>
    <x v="8"/>
    <x v="8"/>
    <n v="345.78227702923999"/>
    <x v="0"/>
    <x v="1"/>
    <x v="2"/>
    <x v="2"/>
    <x v="6"/>
    <x v="8"/>
    <n v="376.90268196187162"/>
  </r>
  <r>
    <x v="7"/>
    <x v="0"/>
    <x v="7"/>
    <x v="7"/>
    <x v="0"/>
    <x v="1"/>
    <x v="0"/>
    <x v="0"/>
    <x v="0"/>
    <x v="0"/>
    <x v="0"/>
    <x v="0"/>
    <x v="0"/>
    <x v="0"/>
    <x v="0"/>
    <x v="9"/>
    <x v="9"/>
    <n v="98.196813088949398"/>
    <x v="0"/>
    <x v="0"/>
    <x v="1"/>
    <x v="4"/>
    <x v="5"/>
    <x v="9"/>
    <n v="107.03452626695486"/>
  </r>
  <r>
    <x v="7"/>
    <x v="0"/>
    <x v="7"/>
    <x v="7"/>
    <x v="0"/>
    <x v="1"/>
    <x v="0"/>
    <x v="0"/>
    <x v="0"/>
    <x v="0"/>
    <x v="0"/>
    <x v="0"/>
    <x v="0"/>
    <x v="0"/>
    <x v="0"/>
    <x v="10"/>
    <x v="10"/>
    <n v="115.174901362405"/>
    <x v="0"/>
    <x v="0"/>
    <x v="1"/>
    <x v="4"/>
    <x v="5"/>
    <x v="10"/>
    <n v="125.54064248502145"/>
  </r>
  <r>
    <x v="7"/>
    <x v="0"/>
    <x v="7"/>
    <x v="7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7"/>
    <x v="0"/>
    <x v="7"/>
    <x v="7"/>
    <x v="0"/>
    <x v="0"/>
    <x v="0"/>
    <x v="0"/>
    <x v="0"/>
    <x v="0"/>
    <x v="2"/>
    <x v="2"/>
    <x v="2"/>
    <x v="2"/>
    <x v="2"/>
    <x v="2"/>
    <x v="2"/>
    <n v="1.107339449541E-2"/>
    <x v="0"/>
    <x v="1"/>
    <x v="2"/>
    <x v="2"/>
    <x v="13"/>
    <x v="2"/>
    <n v="1.2069999999996901E-2"/>
  </r>
  <r>
    <x v="7"/>
    <x v="0"/>
    <x v="7"/>
    <x v="7"/>
    <x v="0"/>
    <x v="0"/>
    <x v="0"/>
    <x v="0"/>
    <x v="0"/>
    <x v="0"/>
    <x v="2"/>
    <x v="2"/>
    <x v="4"/>
    <x v="5"/>
    <x v="5"/>
    <x v="18"/>
    <x v="18"/>
    <n v="1.5243199999999999"/>
    <x v="0"/>
    <x v="0"/>
    <x v="0"/>
    <x v="0"/>
    <x v="4"/>
    <x v="18"/>
    <n v="1.6615088"/>
  </r>
  <r>
    <x v="7"/>
    <x v="0"/>
    <x v="7"/>
    <x v="7"/>
    <x v="0"/>
    <x v="0"/>
    <x v="0"/>
    <x v="0"/>
    <x v="0"/>
    <x v="0"/>
    <x v="0"/>
    <x v="0"/>
    <x v="3"/>
    <x v="3"/>
    <x v="3"/>
    <x v="6"/>
    <x v="6"/>
    <n v="17.466000000000001"/>
    <x v="0"/>
    <x v="0"/>
    <x v="0"/>
    <x v="0"/>
    <x v="4"/>
    <x v="6"/>
    <n v="19.037940000000003"/>
  </r>
  <r>
    <x v="7"/>
    <x v="0"/>
    <x v="7"/>
    <x v="7"/>
    <x v="0"/>
    <x v="0"/>
    <x v="0"/>
    <x v="0"/>
    <x v="0"/>
    <x v="0"/>
    <x v="0"/>
    <x v="0"/>
    <x v="3"/>
    <x v="3"/>
    <x v="3"/>
    <x v="8"/>
    <x v="8"/>
    <n v="488.75048648961501"/>
    <x v="0"/>
    <x v="1"/>
    <x v="2"/>
    <x v="2"/>
    <x v="6"/>
    <x v="8"/>
    <n v="532.73803027368035"/>
  </r>
  <r>
    <x v="7"/>
    <x v="0"/>
    <x v="7"/>
    <x v="7"/>
    <x v="0"/>
    <x v="0"/>
    <x v="0"/>
    <x v="0"/>
    <x v="0"/>
    <x v="0"/>
    <x v="0"/>
    <x v="0"/>
    <x v="3"/>
    <x v="3"/>
    <x v="3"/>
    <x v="11"/>
    <x v="11"/>
    <n v="7.8343299999999996"/>
    <x v="0"/>
    <x v="0"/>
    <x v="3"/>
    <x v="5"/>
    <x v="7"/>
    <x v="11"/>
    <n v="8.5394196999999998"/>
  </r>
  <r>
    <x v="7"/>
    <x v="0"/>
    <x v="7"/>
    <x v="7"/>
    <x v="0"/>
    <x v="0"/>
    <x v="0"/>
    <x v="0"/>
    <x v="0"/>
    <x v="0"/>
    <x v="0"/>
    <x v="0"/>
    <x v="3"/>
    <x v="3"/>
    <x v="3"/>
    <x v="12"/>
    <x v="12"/>
    <n v="636.07004650921101"/>
    <x v="0"/>
    <x v="0"/>
    <x v="0"/>
    <x v="0"/>
    <x v="8"/>
    <x v="12"/>
    <n v="693.31635069504"/>
  </r>
  <r>
    <x v="7"/>
    <x v="0"/>
    <x v="7"/>
    <x v="7"/>
    <x v="0"/>
    <x v="0"/>
    <x v="0"/>
    <x v="0"/>
    <x v="0"/>
    <x v="0"/>
    <x v="0"/>
    <x v="0"/>
    <x v="3"/>
    <x v="3"/>
    <x v="3"/>
    <x v="32"/>
    <x v="32"/>
    <n v="1.0143640661709299"/>
    <x v="0"/>
    <x v="0"/>
    <x v="1"/>
    <x v="1"/>
    <x v="1"/>
    <x v="20"/>
    <n v="1.1056568321263136"/>
  </r>
  <r>
    <x v="7"/>
    <x v="0"/>
    <x v="7"/>
    <x v="7"/>
    <x v="0"/>
    <x v="0"/>
    <x v="0"/>
    <x v="0"/>
    <x v="0"/>
    <x v="0"/>
    <x v="0"/>
    <x v="0"/>
    <x v="3"/>
    <x v="3"/>
    <x v="3"/>
    <x v="14"/>
    <x v="14"/>
    <n v="84.5"/>
    <x v="0"/>
    <x v="0"/>
    <x v="0"/>
    <x v="0"/>
    <x v="8"/>
    <x v="14"/>
    <n v="92.105000000000004"/>
  </r>
  <r>
    <x v="7"/>
    <x v="0"/>
    <x v="7"/>
    <x v="7"/>
    <x v="0"/>
    <x v="0"/>
    <x v="0"/>
    <x v="0"/>
    <x v="0"/>
    <x v="0"/>
    <x v="0"/>
    <x v="0"/>
    <x v="3"/>
    <x v="3"/>
    <x v="3"/>
    <x v="16"/>
    <x v="16"/>
    <n v="40.151989999999998"/>
    <x v="0"/>
    <x v="0"/>
    <x v="3"/>
    <x v="5"/>
    <x v="9"/>
    <x v="16"/>
    <n v="43.765669100000004"/>
  </r>
  <r>
    <x v="7"/>
    <x v="0"/>
    <x v="7"/>
    <x v="7"/>
    <x v="0"/>
    <x v="0"/>
    <x v="0"/>
    <x v="0"/>
    <x v="0"/>
    <x v="0"/>
    <x v="0"/>
    <x v="0"/>
    <x v="3"/>
    <x v="3"/>
    <x v="3"/>
    <x v="17"/>
    <x v="17"/>
    <n v="85.41"/>
    <x v="0"/>
    <x v="0"/>
    <x v="0"/>
    <x v="0"/>
    <x v="4"/>
    <x v="17"/>
    <n v="93.096900000000005"/>
  </r>
  <r>
    <x v="7"/>
    <x v="0"/>
    <x v="7"/>
    <x v="7"/>
    <x v="0"/>
    <x v="0"/>
    <x v="0"/>
    <x v="0"/>
    <x v="0"/>
    <x v="0"/>
    <x v="0"/>
    <x v="0"/>
    <x v="3"/>
    <x v="3"/>
    <x v="3"/>
    <x v="26"/>
    <x v="26"/>
    <n v="56.444376146755097"/>
    <x v="0"/>
    <x v="0"/>
    <x v="1"/>
    <x v="3"/>
    <x v="3"/>
    <x v="15"/>
    <n v="61.524369999963064"/>
  </r>
  <r>
    <x v="7"/>
    <x v="0"/>
    <x v="7"/>
    <x v="7"/>
    <x v="0"/>
    <x v="0"/>
    <x v="0"/>
    <x v="0"/>
    <x v="0"/>
    <x v="0"/>
    <x v="0"/>
    <x v="0"/>
    <x v="3"/>
    <x v="3"/>
    <x v="3"/>
    <x v="2"/>
    <x v="2"/>
    <n v="841.99299082518303"/>
    <x v="0"/>
    <x v="1"/>
    <x v="2"/>
    <x v="2"/>
    <x v="13"/>
    <x v="2"/>
    <n v="917.77235999944958"/>
  </r>
  <r>
    <x v="7"/>
    <x v="0"/>
    <x v="7"/>
    <x v="7"/>
    <x v="0"/>
    <x v="0"/>
    <x v="0"/>
    <x v="0"/>
    <x v="0"/>
    <x v="0"/>
    <x v="0"/>
    <x v="0"/>
    <x v="3"/>
    <x v="12"/>
    <x v="3"/>
    <x v="8"/>
    <x v="8"/>
    <n v="510.81213513840402"/>
    <x v="0"/>
    <x v="1"/>
    <x v="2"/>
    <x v="2"/>
    <x v="6"/>
    <x v="8"/>
    <n v="556.78522730086047"/>
  </r>
  <r>
    <x v="7"/>
    <x v="0"/>
    <x v="7"/>
    <x v="7"/>
    <x v="0"/>
    <x v="0"/>
    <x v="0"/>
    <x v="0"/>
    <x v="0"/>
    <x v="0"/>
    <x v="0"/>
    <x v="0"/>
    <x v="3"/>
    <x v="12"/>
    <x v="3"/>
    <x v="2"/>
    <x v="2"/>
    <n v="969.26620183428099"/>
    <x v="0"/>
    <x v="1"/>
    <x v="2"/>
    <x v="2"/>
    <x v="13"/>
    <x v="2"/>
    <n v="1056.5001599993664"/>
  </r>
  <r>
    <x v="7"/>
    <x v="0"/>
    <x v="7"/>
    <x v="7"/>
    <x v="0"/>
    <x v="0"/>
    <x v="0"/>
    <x v="0"/>
    <x v="0"/>
    <x v="0"/>
    <x v="0"/>
    <x v="0"/>
    <x v="0"/>
    <x v="4"/>
    <x v="4"/>
    <x v="5"/>
    <x v="5"/>
    <n v="692.16904908501499"/>
    <x v="0"/>
    <x v="0"/>
    <x v="1"/>
    <x v="1"/>
    <x v="1"/>
    <x v="5"/>
    <n v="754.46426350266643"/>
  </r>
  <r>
    <x v="7"/>
    <x v="0"/>
    <x v="7"/>
    <x v="7"/>
    <x v="0"/>
    <x v="0"/>
    <x v="0"/>
    <x v="0"/>
    <x v="0"/>
    <x v="0"/>
    <x v="0"/>
    <x v="0"/>
    <x v="0"/>
    <x v="4"/>
    <x v="4"/>
    <x v="6"/>
    <x v="6"/>
    <n v="67.020920000000004"/>
    <x v="0"/>
    <x v="0"/>
    <x v="0"/>
    <x v="0"/>
    <x v="4"/>
    <x v="6"/>
    <n v="73.052802800000009"/>
  </r>
  <r>
    <x v="7"/>
    <x v="0"/>
    <x v="7"/>
    <x v="7"/>
    <x v="0"/>
    <x v="0"/>
    <x v="0"/>
    <x v="0"/>
    <x v="0"/>
    <x v="0"/>
    <x v="0"/>
    <x v="0"/>
    <x v="0"/>
    <x v="4"/>
    <x v="4"/>
    <x v="8"/>
    <x v="8"/>
    <n v="375.86158784024298"/>
    <x v="0"/>
    <x v="1"/>
    <x v="2"/>
    <x v="2"/>
    <x v="6"/>
    <x v="8"/>
    <n v="409.68913074586487"/>
  </r>
  <r>
    <x v="7"/>
    <x v="0"/>
    <x v="7"/>
    <x v="7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7"/>
    <x v="0"/>
    <x v="7"/>
    <x v="7"/>
    <x v="0"/>
    <x v="0"/>
    <x v="0"/>
    <x v="0"/>
    <x v="0"/>
    <x v="0"/>
    <x v="0"/>
    <x v="0"/>
    <x v="0"/>
    <x v="4"/>
    <x v="4"/>
    <x v="12"/>
    <x v="12"/>
    <n v="952.37866278707895"/>
    <x v="0"/>
    <x v="0"/>
    <x v="0"/>
    <x v="0"/>
    <x v="8"/>
    <x v="12"/>
    <n v="1038.0927424379161"/>
  </r>
  <r>
    <x v="7"/>
    <x v="0"/>
    <x v="7"/>
    <x v="7"/>
    <x v="0"/>
    <x v="0"/>
    <x v="0"/>
    <x v="0"/>
    <x v="0"/>
    <x v="0"/>
    <x v="0"/>
    <x v="0"/>
    <x v="0"/>
    <x v="4"/>
    <x v="4"/>
    <x v="14"/>
    <x v="14"/>
    <n v="130.29661999999999"/>
    <x v="0"/>
    <x v="0"/>
    <x v="0"/>
    <x v="0"/>
    <x v="8"/>
    <x v="14"/>
    <n v="142.02331580000001"/>
  </r>
  <r>
    <x v="7"/>
    <x v="0"/>
    <x v="7"/>
    <x v="7"/>
    <x v="0"/>
    <x v="0"/>
    <x v="0"/>
    <x v="0"/>
    <x v="0"/>
    <x v="0"/>
    <x v="0"/>
    <x v="0"/>
    <x v="0"/>
    <x v="4"/>
    <x v="4"/>
    <x v="16"/>
    <x v="16"/>
    <n v="173.51463000000001"/>
    <x v="0"/>
    <x v="0"/>
    <x v="3"/>
    <x v="5"/>
    <x v="9"/>
    <x v="16"/>
    <n v="189.13094670000004"/>
  </r>
  <r>
    <x v="7"/>
    <x v="0"/>
    <x v="7"/>
    <x v="7"/>
    <x v="0"/>
    <x v="0"/>
    <x v="0"/>
    <x v="0"/>
    <x v="0"/>
    <x v="0"/>
    <x v="0"/>
    <x v="0"/>
    <x v="0"/>
    <x v="4"/>
    <x v="4"/>
    <x v="17"/>
    <x v="17"/>
    <n v="28.226839999999999"/>
    <x v="0"/>
    <x v="0"/>
    <x v="0"/>
    <x v="0"/>
    <x v="4"/>
    <x v="17"/>
    <n v="30.767255600000002"/>
  </r>
  <r>
    <x v="7"/>
    <x v="0"/>
    <x v="7"/>
    <x v="7"/>
    <x v="0"/>
    <x v="0"/>
    <x v="0"/>
    <x v="0"/>
    <x v="0"/>
    <x v="0"/>
    <x v="0"/>
    <x v="0"/>
    <x v="0"/>
    <x v="4"/>
    <x v="4"/>
    <x v="18"/>
    <x v="18"/>
    <n v="114.26152999999999"/>
    <x v="0"/>
    <x v="0"/>
    <x v="0"/>
    <x v="0"/>
    <x v="4"/>
    <x v="18"/>
    <n v="124.5450677"/>
  </r>
  <r>
    <x v="7"/>
    <x v="0"/>
    <x v="7"/>
    <x v="7"/>
    <x v="0"/>
    <x v="0"/>
    <x v="0"/>
    <x v="0"/>
    <x v="0"/>
    <x v="0"/>
    <x v="0"/>
    <x v="0"/>
    <x v="0"/>
    <x v="4"/>
    <x v="4"/>
    <x v="57"/>
    <x v="57"/>
    <n v="2.6650306748668799"/>
    <x v="0"/>
    <x v="0"/>
    <x v="1"/>
    <x v="1"/>
    <x v="1"/>
    <x v="5"/>
    <n v="2.9048834356048991"/>
  </r>
  <r>
    <x v="7"/>
    <x v="0"/>
    <x v="7"/>
    <x v="7"/>
    <x v="0"/>
    <x v="0"/>
    <x v="0"/>
    <x v="0"/>
    <x v="0"/>
    <x v="0"/>
    <x v="0"/>
    <x v="0"/>
    <x v="0"/>
    <x v="4"/>
    <x v="4"/>
    <x v="2"/>
    <x v="2"/>
    <n v="714.94772477021297"/>
    <x v="0"/>
    <x v="1"/>
    <x v="2"/>
    <x v="2"/>
    <x v="13"/>
    <x v="2"/>
    <n v="779.29301999953225"/>
  </r>
  <r>
    <x v="7"/>
    <x v="0"/>
    <x v="7"/>
    <x v="7"/>
    <x v="0"/>
    <x v="0"/>
    <x v="0"/>
    <x v="0"/>
    <x v="0"/>
    <x v="0"/>
    <x v="0"/>
    <x v="0"/>
    <x v="0"/>
    <x v="0"/>
    <x v="0"/>
    <x v="5"/>
    <x v="5"/>
    <n v="24.978453987919899"/>
    <x v="0"/>
    <x v="0"/>
    <x v="1"/>
    <x v="1"/>
    <x v="1"/>
    <x v="5"/>
    <n v="27.226514846832693"/>
  </r>
  <r>
    <x v="7"/>
    <x v="0"/>
    <x v="7"/>
    <x v="7"/>
    <x v="0"/>
    <x v="0"/>
    <x v="0"/>
    <x v="0"/>
    <x v="0"/>
    <x v="0"/>
    <x v="0"/>
    <x v="0"/>
    <x v="0"/>
    <x v="0"/>
    <x v="0"/>
    <x v="6"/>
    <x v="6"/>
    <n v="121.25827"/>
    <x v="0"/>
    <x v="0"/>
    <x v="0"/>
    <x v="0"/>
    <x v="4"/>
    <x v="6"/>
    <n v="132.17151430000001"/>
  </r>
  <r>
    <x v="7"/>
    <x v="0"/>
    <x v="7"/>
    <x v="7"/>
    <x v="0"/>
    <x v="0"/>
    <x v="0"/>
    <x v="0"/>
    <x v="0"/>
    <x v="0"/>
    <x v="0"/>
    <x v="0"/>
    <x v="0"/>
    <x v="0"/>
    <x v="0"/>
    <x v="7"/>
    <x v="7"/>
    <n v="10.5543486238469"/>
    <x v="0"/>
    <x v="0"/>
    <x v="1"/>
    <x v="4"/>
    <x v="5"/>
    <x v="7"/>
    <n v="11.504239999993123"/>
  </r>
  <r>
    <x v="7"/>
    <x v="0"/>
    <x v="7"/>
    <x v="7"/>
    <x v="0"/>
    <x v="0"/>
    <x v="0"/>
    <x v="0"/>
    <x v="0"/>
    <x v="0"/>
    <x v="0"/>
    <x v="0"/>
    <x v="0"/>
    <x v="0"/>
    <x v="0"/>
    <x v="8"/>
    <x v="8"/>
    <n v="89.137297297867804"/>
    <x v="0"/>
    <x v="1"/>
    <x v="2"/>
    <x v="2"/>
    <x v="6"/>
    <x v="8"/>
    <n v="97.159654054675912"/>
  </r>
  <r>
    <x v="7"/>
    <x v="0"/>
    <x v="7"/>
    <x v="7"/>
    <x v="0"/>
    <x v="0"/>
    <x v="0"/>
    <x v="0"/>
    <x v="0"/>
    <x v="0"/>
    <x v="0"/>
    <x v="0"/>
    <x v="0"/>
    <x v="0"/>
    <x v="0"/>
    <x v="9"/>
    <x v="9"/>
    <n v="10.5006622257942"/>
    <x v="0"/>
    <x v="0"/>
    <x v="1"/>
    <x v="4"/>
    <x v="5"/>
    <x v="9"/>
    <n v="11.445721826115678"/>
  </r>
  <r>
    <x v="7"/>
    <x v="0"/>
    <x v="7"/>
    <x v="7"/>
    <x v="0"/>
    <x v="0"/>
    <x v="0"/>
    <x v="0"/>
    <x v="0"/>
    <x v="0"/>
    <x v="0"/>
    <x v="0"/>
    <x v="0"/>
    <x v="0"/>
    <x v="0"/>
    <x v="10"/>
    <x v="10"/>
    <n v="18.431148022397402"/>
    <x v="0"/>
    <x v="0"/>
    <x v="1"/>
    <x v="4"/>
    <x v="5"/>
    <x v="10"/>
    <n v="20.089951344413169"/>
  </r>
  <r>
    <x v="7"/>
    <x v="0"/>
    <x v="7"/>
    <x v="7"/>
    <x v="0"/>
    <x v="0"/>
    <x v="0"/>
    <x v="0"/>
    <x v="0"/>
    <x v="0"/>
    <x v="0"/>
    <x v="0"/>
    <x v="0"/>
    <x v="0"/>
    <x v="0"/>
    <x v="55"/>
    <x v="55"/>
    <n v="0.22535779816500001"/>
    <x v="0"/>
    <x v="0"/>
    <x v="1"/>
    <x v="3"/>
    <x v="3"/>
    <x v="15"/>
    <n v="0.24563999999985003"/>
  </r>
  <r>
    <x v="7"/>
    <x v="0"/>
    <x v="7"/>
    <x v="7"/>
    <x v="0"/>
    <x v="0"/>
    <x v="0"/>
    <x v="0"/>
    <x v="0"/>
    <x v="0"/>
    <x v="0"/>
    <x v="0"/>
    <x v="0"/>
    <x v="0"/>
    <x v="0"/>
    <x v="11"/>
    <x v="11"/>
    <n v="10.136749999999999"/>
    <x v="0"/>
    <x v="0"/>
    <x v="3"/>
    <x v="5"/>
    <x v="7"/>
    <x v="11"/>
    <n v="11.0490575"/>
  </r>
  <r>
    <x v="7"/>
    <x v="0"/>
    <x v="7"/>
    <x v="7"/>
    <x v="0"/>
    <x v="0"/>
    <x v="0"/>
    <x v="0"/>
    <x v="0"/>
    <x v="0"/>
    <x v="0"/>
    <x v="0"/>
    <x v="0"/>
    <x v="0"/>
    <x v="0"/>
    <x v="12"/>
    <x v="12"/>
    <n v="686.32497674157798"/>
    <x v="0"/>
    <x v="0"/>
    <x v="0"/>
    <x v="0"/>
    <x v="8"/>
    <x v="12"/>
    <n v="748.09422464832005"/>
  </r>
  <r>
    <x v="7"/>
    <x v="0"/>
    <x v="7"/>
    <x v="7"/>
    <x v="0"/>
    <x v="0"/>
    <x v="0"/>
    <x v="0"/>
    <x v="0"/>
    <x v="0"/>
    <x v="0"/>
    <x v="0"/>
    <x v="0"/>
    <x v="0"/>
    <x v="0"/>
    <x v="14"/>
    <x v="14"/>
    <n v="27.114719999999998"/>
    <x v="0"/>
    <x v="0"/>
    <x v="0"/>
    <x v="0"/>
    <x v="8"/>
    <x v="14"/>
    <n v="29.555044800000001"/>
  </r>
  <r>
    <x v="7"/>
    <x v="0"/>
    <x v="7"/>
    <x v="7"/>
    <x v="0"/>
    <x v="0"/>
    <x v="0"/>
    <x v="0"/>
    <x v="0"/>
    <x v="0"/>
    <x v="0"/>
    <x v="0"/>
    <x v="0"/>
    <x v="0"/>
    <x v="0"/>
    <x v="22"/>
    <x v="22"/>
    <n v="1.66814516128365"/>
    <x v="0"/>
    <x v="0"/>
    <x v="0"/>
    <x v="0"/>
    <x v="0"/>
    <x v="0"/>
    <n v="1.8182782257991785"/>
  </r>
  <r>
    <x v="7"/>
    <x v="0"/>
    <x v="7"/>
    <x v="7"/>
    <x v="0"/>
    <x v="0"/>
    <x v="0"/>
    <x v="0"/>
    <x v="0"/>
    <x v="0"/>
    <x v="0"/>
    <x v="0"/>
    <x v="0"/>
    <x v="0"/>
    <x v="0"/>
    <x v="23"/>
    <x v="23"/>
    <n v="2.1190275229345099"/>
    <x v="0"/>
    <x v="0"/>
    <x v="1"/>
    <x v="3"/>
    <x v="3"/>
    <x v="15"/>
    <n v="2.3097399999986159"/>
  </r>
  <r>
    <x v="7"/>
    <x v="0"/>
    <x v="7"/>
    <x v="7"/>
    <x v="0"/>
    <x v="0"/>
    <x v="0"/>
    <x v="0"/>
    <x v="0"/>
    <x v="0"/>
    <x v="0"/>
    <x v="0"/>
    <x v="0"/>
    <x v="0"/>
    <x v="0"/>
    <x v="24"/>
    <x v="24"/>
    <n v="1.15438532110022"/>
    <x v="0"/>
    <x v="0"/>
    <x v="1"/>
    <x v="3"/>
    <x v="3"/>
    <x v="4"/>
    <n v="1.2582799999992398"/>
  </r>
  <r>
    <x v="7"/>
    <x v="0"/>
    <x v="7"/>
    <x v="7"/>
    <x v="0"/>
    <x v="0"/>
    <x v="0"/>
    <x v="0"/>
    <x v="0"/>
    <x v="0"/>
    <x v="0"/>
    <x v="0"/>
    <x v="0"/>
    <x v="0"/>
    <x v="0"/>
    <x v="17"/>
    <x v="17"/>
    <n v="0.92512000000000005"/>
    <x v="0"/>
    <x v="0"/>
    <x v="0"/>
    <x v="0"/>
    <x v="4"/>
    <x v="17"/>
    <n v="1.0083808000000001"/>
  </r>
  <r>
    <x v="7"/>
    <x v="0"/>
    <x v="7"/>
    <x v="7"/>
    <x v="0"/>
    <x v="0"/>
    <x v="0"/>
    <x v="0"/>
    <x v="0"/>
    <x v="0"/>
    <x v="0"/>
    <x v="0"/>
    <x v="0"/>
    <x v="0"/>
    <x v="0"/>
    <x v="21"/>
    <x v="21"/>
    <n v="4.3128532110065896"/>
    <x v="0"/>
    <x v="0"/>
    <x v="1"/>
    <x v="4"/>
    <x v="5"/>
    <x v="10"/>
    <n v="4.7010099999971828"/>
  </r>
  <r>
    <x v="7"/>
    <x v="0"/>
    <x v="7"/>
    <x v="7"/>
    <x v="0"/>
    <x v="0"/>
    <x v="0"/>
    <x v="0"/>
    <x v="0"/>
    <x v="0"/>
    <x v="0"/>
    <x v="0"/>
    <x v="0"/>
    <x v="0"/>
    <x v="0"/>
    <x v="18"/>
    <x v="18"/>
    <n v="8.1359200000000005"/>
    <x v="0"/>
    <x v="0"/>
    <x v="0"/>
    <x v="0"/>
    <x v="4"/>
    <x v="18"/>
    <n v="8.8681528000000007"/>
  </r>
  <r>
    <x v="7"/>
    <x v="0"/>
    <x v="7"/>
    <x v="7"/>
    <x v="0"/>
    <x v="0"/>
    <x v="0"/>
    <x v="0"/>
    <x v="0"/>
    <x v="0"/>
    <x v="0"/>
    <x v="0"/>
    <x v="0"/>
    <x v="0"/>
    <x v="0"/>
    <x v="25"/>
    <x v="25"/>
    <n v="13.0985779816435"/>
    <x v="0"/>
    <x v="0"/>
    <x v="1"/>
    <x v="4"/>
    <x v="5"/>
    <x v="9"/>
    <n v="14.277449999991415"/>
  </r>
  <r>
    <x v="7"/>
    <x v="0"/>
    <x v="7"/>
    <x v="7"/>
    <x v="0"/>
    <x v="0"/>
    <x v="0"/>
    <x v="0"/>
    <x v="0"/>
    <x v="0"/>
    <x v="0"/>
    <x v="0"/>
    <x v="0"/>
    <x v="0"/>
    <x v="0"/>
    <x v="26"/>
    <x v="26"/>
    <n v="0.13277064220175999"/>
    <x v="0"/>
    <x v="0"/>
    <x v="1"/>
    <x v="3"/>
    <x v="3"/>
    <x v="15"/>
    <n v="0.14471999999991841"/>
  </r>
  <r>
    <x v="7"/>
    <x v="0"/>
    <x v="7"/>
    <x v="7"/>
    <x v="0"/>
    <x v="0"/>
    <x v="0"/>
    <x v="0"/>
    <x v="0"/>
    <x v="0"/>
    <x v="0"/>
    <x v="0"/>
    <x v="0"/>
    <x v="0"/>
    <x v="0"/>
    <x v="0"/>
    <x v="0"/>
    <n v="3.17847330959964"/>
    <x v="0"/>
    <x v="0"/>
    <x v="0"/>
    <x v="0"/>
    <x v="0"/>
    <x v="0"/>
    <n v="3.464535907463608"/>
  </r>
  <r>
    <x v="7"/>
    <x v="0"/>
    <x v="7"/>
    <x v="7"/>
    <x v="0"/>
    <x v="0"/>
    <x v="0"/>
    <x v="0"/>
    <x v="0"/>
    <x v="0"/>
    <x v="0"/>
    <x v="0"/>
    <x v="0"/>
    <x v="0"/>
    <x v="0"/>
    <x v="2"/>
    <x v="2"/>
    <n v="1472.02123853123"/>
    <x v="0"/>
    <x v="1"/>
    <x v="2"/>
    <x v="2"/>
    <x v="13"/>
    <x v="2"/>
    <n v="1604.5031499990407"/>
  </r>
  <r>
    <x v="7"/>
    <x v="0"/>
    <x v="7"/>
    <x v="7"/>
    <x v="0"/>
    <x v="0"/>
    <x v="0"/>
    <x v="0"/>
    <x v="0"/>
    <x v="0"/>
    <x v="0"/>
    <x v="0"/>
    <x v="0"/>
    <x v="0"/>
    <x v="0"/>
    <x v="3"/>
    <x v="3"/>
    <n v="0.17979310343425001"/>
    <x v="0"/>
    <x v="0"/>
    <x v="1"/>
    <x v="3"/>
    <x v="3"/>
    <x v="3"/>
    <n v="0.19597448274333251"/>
  </r>
  <r>
    <x v="7"/>
    <x v="0"/>
    <x v="7"/>
    <x v="7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7"/>
    <x v="0"/>
    <x v="7"/>
    <x v="7"/>
    <x v="0"/>
    <x v="0"/>
    <x v="0"/>
    <x v="0"/>
    <x v="0"/>
    <x v="0"/>
    <x v="0"/>
    <x v="0"/>
    <x v="1"/>
    <x v="1"/>
    <x v="1"/>
    <x v="5"/>
    <x v="5"/>
    <n v="31.796975460364401"/>
    <x v="0"/>
    <x v="0"/>
    <x v="1"/>
    <x v="1"/>
    <x v="1"/>
    <x v="5"/>
    <n v="34.658703251797199"/>
  </r>
  <r>
    <x v="7"/>
    <x v="0"/>
    <x v="7"/>
    <x v="7"/>
    <x v="0"/>
    <x v="0"/>
    <x v="0"/>
    <x v="0"/>
    <x v="0"/>
    <x v="0"/>
    <x v="0"/>
    <x v="0"/>
    <x v="1"/>
    <x v="1"/>
    <x v="1"/>
    <x v="6"/>
    <x v="6"/>
    <n v="80.858339999999998"/>
    <x v="0"/>
    <x v="0"/>
    <x v="0"/>
    <x v="0"/>
    <x v="4"/>
    <x v="6"/>
    <n v="88.1355906"/>
  </r>
  <r>
    <x v="7"/>
    <x v="0"/>
    <x v="7"/>
    <x v="7"/>
    <x v="0"/>
    <x v="0"/>
    <x v="0"/>
    <x v="0"/>
    <x v="0"/>
    <x v="0"/>
    <x v="0"/>
    <x v="0"/>
    <x v="1"/>
    <x v="1"/>
    <x v="1"/>
    <x v="7"/>
    <x v="7"/>
    <n v="17.539669724760099"/>
    <x v="0"/>
    <x v="0"/>
    <x v="1"/>
    <x v="4"/>
    <x v="5"/>
    <x v="7"/>
    <n v="19.118239999988511"/>
  </r>
  <r>
    <x v="7"/>
    <x v="0"/>
    <x v="7"/>
    <x v="7"/>
    <x v="0"/>
    <x v="0"/>
    <x v="0"/>
    <x v="0"/>
    <x v="0"/>
    <x v="0"/>
    <x v="0"/>
    <x v="0"/>
    <x v="1"/>
    <x v="1"/>
    <x v="1"/>
    <x v="8"/>
    <x v="8"/>
    <n v="26.030216216382801"/>
    <x v="0"/>
    <x v="1"/>
    <x v="2"/>
    <x v="2"/>
    <x v="6"/>
    <x v="8"/>
    <n v="28.372935675857256"/>
  </r>
  <r>
    <x v="7"/>
    <x v="0"/>
    <x v="7"/>
    <x v="7"/>
    <x v="0"/>
    <x v="0"/>
    <x v="0"/>
    <x v="0"/>
    <x v="0"/>
    <x v="0"/>
    <x v="0"/>
    <x v="0"/>
    <x v="1"/>
    <x v="1"/>
    <x v="1"/>
    <x v="9"/>
    <x v="9"/>
    <n v="12.472275645756399"/>
    <x v="0"/>
    <x v="0"/>
    <x v="1"/>
    <x v="4"/>
    <x v="5"/>
    <x v="9"/>
    <n v="13.594780453874476"/>
  </r>
  <r>
    <x v="7"/>
    <x v="0"/>
    <x v="7"/>
    <x v="7"/>
    <x v="0"/>
    <x v="0"/>
    <x v="0"/>
    <x v="0"/>
    <x v="0"/>
    <x v="0"/>
    <x v="0"/>
    <x v="0"/>
    <x v="1"/>
    <x v="1"/>
    <x v="1"/>
    <x v="10"/>
    <x v="10"/>
    <n v="4.0672355905433601"/>
    <x v="0"/>
    <x v="0"/>
    <x v="1"/>
    <x v="4"/>
    <x v="5"/>
    <x v="10"/>
    <n v="4.4332867936922629"/>
  </r>
  <r>
    <x v="7"/>
    <x v="0"/>
    <x v="7"/>
    <x v="7"/>
    <x v="0"/>
    <x v="0"/>
    <x v="0"/>
    <x v="0"/>
    <x v="0"/>
    <x v="0"/>
    <x v="0"/>
    <x v="0"/>
    <x v="1"/>
    <x v="1"/>
    <x v="1"/>
    <x v="55"/>
    <x v="55"/>
    <n v="0.44047706421992"/>
    <x v="0"/>
    <x v="0"/>
    <x v="1"/>
    <x v="3"/>
    <x v="3"/>
    <x v="15"/>
    <n v="0.48011999999971283"/>
  </r>
  <r>
    <x v="7"/>
    <x v="0"/>
    <x v="7"/>
    <x v="7"/>
    <x v="0"/>
    <x v="0"/>
    <x v="0"/>
    <x v="0"/>
    <x v="0"/>
    <x v="0"/>
    <x v="0"/>
    <x v="0"/>
    <x v="1"/>
    <x v="1"/>
    <x v="1"/>
    <x v="11"/>
    <x v="11"/>
    <n v="22.29148"/>
    <x v="0"/>
    <x v="0"/>
    <x v="3"/>
    <x v="5"/>
    <x v="7"/>
    <x v="11"/>
    <n v="24.2977132"/>
  </r>
  <r>
    <x v="7"/>
    <x v="0"/>
    <x v="7"/>
    <x v="7"/>
    <x v="0"/>
    <x v="0"/>
    <x v="0"/>
    <x v="0"/>
    <x v="0"/>
    <x v="0"/>
    <x v="0"/>
    <x v="0"/>
    <x v="1"/>
    <x v="1"/>
    <x v="1"/>
    <x v="12"/>
    <x v="12"/>
    <n v="299.30367441746699"/>
    <x v="0"/>
    <x v="0"/>
    <x v="0"/>
    <x v="0"/>
    <x v="8"/>
    <x v="12"/>
    <n v="326.24100511503906"/>
  </r>
  <r>
    <x v="7"/>
    <x v="0"/>
    <x v="7"/>
    <x v="7"/>
    <x v="0"/>
    <x v="0"/>
    <x v="0"/>
    <x v="0"/>
    <x v="0"/>
    <x v="0"/>
    <x v="0"/>
    <x v="0"/>
    <x v="1"/>
    <x v="1"/>
    <x v="1"/>
    <x v="14"/>
    <x v="14"/>
    <n v="179.15003999999999"/>
    <x v="0"/>
    <x v="0"/>
    <x v="0"/>
    <x v="0"/>
    <x v="8"/>
    <x v="14"/>
    <n v="195.27354360000001"/>
  </r>
  <r>
    <x v="7"/>
    <x v="0"/>
    <x v="7"/>
    <x v="7"/>
    <x v="0"/>
    <x v="0"/>
    <x v="0"/>
    <x v="0"/>
    <x v="0"/>
    <x v="0"/>
    <x v="0"/>
    <x v="0"/>
    <x v="1"/>
    <x v="1"/>
    <x v="1"/>
    <x v="15"/>
    <x v="15"/>
    <n v="7.4972477064180004E-2"/>
    <x v="0"/>
    <x v="0"/>
    <x v="1"/>
    <x v="3"/>
    <x v="3"/>
    <x v="15"/>
    <n v="8.1719999999956217E-2"/>
  </r>
  <r>
    <x v="7"/>
    <x v="0"/>
    <x v="7"/>
    <x v="7"/>
    <x v="0"/>
    <x v="0"/>
    <x v="0"/>
    <x v="0"/>
    <x v="0"/>
    <x v="0"/>
    <x v="0"/>
    <x v="0"/>
    <x v="1"/>
    <x v="1"/>
    <x v="1"/>
    <x v="22"/>
    <x v="22"/>
    <n v="0.55604838709454996"/>
    <x v="0"/>
    <x v="0"/>
    <x v="0"/>
    <x v="0"/>
    <x v="0"/>
    <x v="0"/>
    <n v="0.60609274193305951"/>
  </r>
  <r>
    <x v="7"/>
    <x v="0"/>
    <x v="7"/>
    <x v="7"/>
    <x v="0"/>
    <x v="0"/>
    <x v="0"/>
    <x v="0"/>
    <x v="0"/>
    <x v="0"/>
    <x v="0"/>
    <x v="0"/>
    <x v="1"/>
    <x v="1"/>
    <x v="1"/>
    <x v="16"/>
    <x v="16"/>
    <n v="7.5"/>
    <x v="0"/>
    <x v="0"/>
    <x v="3"/>
    <x v="5"/>
    <x v="9"/>
    <x v="16"/>
    <n v="8.1750000000000007"/>
  </r>
  <r>
    <x v="7"/>
    <x v="0"/>
    <x v="7"/>
    <x v="7"/>
    <x v="0"/>
    <x v="0"/>
    <x v="0"/>
    <x v="0"/>
    <x v="0"/>
    <x v="0"/>
    <x v="0"/>
    <x v="0"/>
    <x v="1"/>
    <x v="1"/>
    <x v="1"/>
    <x v="23"/>
    <x v="23"/>
    <n v="22.8393211009037"/>
    <x v="0"/>
    <x v="0"/>
    <x v="1"/>
    <x v="3"/>
    <x v="3"/>
    <x v="15"/>
    <n v="24.894859999985034"/>
  </r>
  <r>
    <x v="7"/>
    <x v="0"/>
    <x v="7"/>
    <x v="7"/>
    <x v="0"/>
    <x v="0"/>
    <x v="0"/>
    <x v="0"/>
    <x v="0"/>
    <x v="0"/>
    <x v="0"/>
    <x v="0"/>
    <x v="1"/>
    <x v="1"/>
    <x v="1"/>
    <x v="24"/>
    <x v="24"/>
    <n v="3.5746788990804199"/>
    <x v="0"/>
    <x v="0"/>
    <x v="1"/>
    <x v="3"/>
    <x v="3"/>
    <x v="4"/>
    <n v="3.8963999999976582"/>
  </r>
  <r>
    <x v="7"/>
    <x v="0"/>
    <x v="7"/>
    <x v="7"/>
    <x v="0"/>
    <x v="0"/>
    <x v="0"/>
    <x v="0"/>
    <x v="0"/>
    <x v="0"/>
    <x v="0"/>
    <x v="0"/>
    <x v="1"/>
    <x v="1"/>
    <x v="1"/>
    <x v="17"/>
    <x v="17"/>
    <n v="1.1195200000000001"/>
    <x v="0"/>
    <x v="0"/>
    <x v="0"/>
    <x v="0"/>
    <x v="4"/>
    <x v="17"/>
    <n v="1.2202768000000002"/>
  </r>
  <r>
    <x v="7"/>
    <x v="0"/>
    <x v="7"/>
    <x v="7"/>
    <x v="0"/>
    <x v="0"/>
    <x v="0"/>
    <x v="0"/>
    <x v="0"/>
    <x v="0"/>
    <x v="0"/>
    <x v="0"/>
    <x v="1"/>
    <x v="1"/>
    <x v="1"/>
    <x v="18"/>
    <x v="18"/>
    <n v="10.14752"/>
    <x v="0"/>
    <x v="0"/>
    <x v="0"/>
    <x v="0"/>
    <x v="4"/>
    <x v="18"/>
    <n v="11.0607968"/>
  </r>
  <r>
    <x v="7"/>
    <x v="0"/>
    <x v="7"/>
    <x v="7"/>
    <x v="0"/>
    <x v="0"/>
    <x v="0"/>
    <x v="0"/>
    <x v="0"/>
    <x v="0"/>
    <x v="0"/>
    <x v="0"/>
    <x v="1"/>
    <x v="1"/>
    <x v="1"/>
    <x v="27"/>
    <x v="27"/>
    <n v="43.180835586500997"/>
    <x v="0"/>
    <x v="0"/>
    <x v="1"/>
    <x v="3"/>
    <x v="3"/>
    <x v="19"/>
    <n v="47.06711078928609"/>
  </r>
  <r>
    <x v="7"/>
    <x v="0"/>
    <x v="7"/>
    <x v="7"/>
    <x v="0"/>
    <x v="0"/>
    <x v="0"/>
    <x v="0"/>
    <x v="0"/>
    <x v="0"/>
    <x v="0"/>
    <x v="0"/>
    <x v="1"/>
    <x v="1"/>
    <x v="1"/>
    <x v="26"/>
    <x v="26"/>
    <n v="0.99651376146728998"/>
    <x v="0"/>
    <x v="0"/>
    <x v="1"/>
    <x v="3"/>
    <x v="3"/>
    <x v="15"/>
    <n v="1.0861999999993461"/>
  </r>
  <r>
    <x v="7"/>
    <x v="0"/>
    <x v="7"/>
    <x v="7"/>
    <x v="0"/>
    <x v="0"/>
    <x v="0"/>
    <x v="0"/>
    <x v="0"/>
    <x v="0"/>
    <x v="0"/>
    <x v="0"/>
    <x v="1"/>
    <x v="1"/>
    <x v="1"/>
    <x v="0"/>
    <x v="0"/>
    <n v="3.2893558718769098"/>
    <x v="0"/>
    <x v="0"/>
    <x v="0"/>
    <x v="0"/>
    <x v="0"/>
    <x v="0"/>
    <n v="3.5853979003458321"/>
  </r>
  <r>
    <x v="7"/>
    <x v="0"/>
    <x v="7"/>
    <x v="7"/>
    <x v="0"/>
    <x v="0"/>
    <x v="0"/>
    <x v="0"/>
    <x v="0"/>
    <x v="0"/>
    <x v="0"/>
    <x v="0"/>
    <x v="1"/>
    <x v="1"/>
    <x v="1"/>
    <x v="2"/>
    <x v="2"/>
    <n v="412.83731192635798"/>
    <x v="0"/>
    <x v="1"/>
    <x v="2"/>
    <x v="2"/>
    <x v="13"/>
    <x v="2"/>
    <n v="449.99266999973025"/>
  </r>
  <r>
    <x v="7"/>
    <x v="0"/>
    <x v="7"/>
    <x v="7"/>
    <x v="0"/>
    <x v="0"/>
    <x v="0"/>
    <x v="0"/>
    <x v="0"/>
    <x v="0"/>
    <x v="0"/>
    <x v="0"/>
    <x v="1"/>
    <x v="1"/>
    <x v="1"/>
    <x v="3"/>
    <x v="3"/>
    <n v="12.8586068955487"/>
    <x v="0"/>
    <x v="0"/>
    <x v="1"/>
    <x v="3"/>
    <x v="3"/>
    <x v="3"/>
    <n v="14.015881516148085"/>
  </r>
  <r>
    <x v="7"/>
    <x v="0"/>
    <x v="7"/>
    <x v="7"/>
    <x v="0"/>
    <x v="0"/>
    <x v="0"/>
    <x v="0"/>
    <x v="0"/>
    <x v="0"/>
    <x v="0"/>
    <x v="0"/>
    <x v="2"/>
    <x v="2"/>
    <x v="2"/>
    <x v="4"/>
    <x v="4"/>
    <n v="58.420743119230998"/>
    <x v="0"/>
    <x v="0"/>
    <x v="1"/>
    <x v="3"/>
    <x v="3"/>
    <x v="4"/>
    <n v="63.678609999961793"/>
  </r>
  <r>
    <x v="7"/>
    <x v="0"/>
    <x v="7"/>
    <x v="7"/>
    <x v="0"/>
    <x v="0"/>
    <x v="0"/>
    <x v="0"/>
    <x v="0"/>
    <x v="0"/>
    <x v="0"/>
    <x v="0"/>
    <x v="2"/>
    <x v="2"/>
    <x v="2"/>
    <x v="5"/>
    <x v="5"/>
    <n v="429.663073622897"/>
    <x v="0"/>
    <x v="0"/>
    <x v="1"/>
    <x v="1"/>
    <x v="1"/>
    <x v="5"/>
    <n v="468.33275024895778"/>
  </r>
  <r>
    <x v="7"/>
    <x v="0"/>
    <x v="7"/>
    <x v="7"/>
    <x v="0"/>
    <x v="0"/>
    <x v="0"/>
    <x v="0"/>
    <x v="0"/>
    <x v="0"/>
    <x v="0"/>
    <x v="0"/>
    <x v="2"/>
    <x v="2"/>
    <x v="2"/>
    <x v="6"/>
    <x v="6"/>
    <n v="410.79232000000002"/>
    <x v="0"/>
    <x v="0"/>
    <x v="0"/>
    <x v="0"/>
    <x v="4"/>
    <x v="6"/>
    <n v="447.76362880000005"/>
  </r>
  <r>
    <x v="7"/>
    <x v="0"/>
    <x v="7"/>
    <x v="7"/>
    <x v="0"/>
    <x v="0"/>
    <x v="0"/>
    <x v="0"/>
    <x v="0"/>
    <x v="0"/>
    <x v="0"/>
    <x v="0"/>
    <x v="2"/>
    <x v="2"/>
    <x v="2"/>
    <x v="7"/>
    <x v="7"/>
    <n v="5.6885045871525497"/>
    <x v="0"/>
    <x v="0"/>
    <x v="1"/>
    <x v="4"/>
    <x v="5"/>
    <x v="7"/>
    <n v="6.2004699999962796"/>
  </r>
  <r>
    <x v="7"/>
    <x v="0"/>
    <x v="7"/>
    <x v="7"/>
    <x v="0"/>
    <x v="0"/>
    <x v="0"/>
    <x v="0"/>
    <x v="0"/>
    <x v="0"/>
    <x v="0"/>
    <x v="0"/>
    <x v="2"/>
    <x v="2"/>
    <x v="2"/>
    <x v="8"/>
    <x v="8"/>
    <n v="377.14725675916998"/>
    <x v="0"/>
    <x v="1"/>
    <x v="2"/>
    <x v="2"/>
    <x v="6"/>
    <x v="8"/>
    <n v="411.09050986749531"/>
  </r>
  <r>
    <x v="7"/>
    <x v="0"/>
    <x v="7"/>
    <x v="7"/>
    <x v="0"/>
    <x v="0"/>
    <x v="0"/>
    <x v="0"/>
    <x v="0"/>
    <x v="0"/>
    <x v="0"/>
    <x v="0"/>
    <x v="2"/>
    <x v="2"/>
    <x v="2"/>
    <x v="9"/>
    <x v="9"/>
    <n v="121.991183486165"/>
    <x v="0"/>
    <x v="0"/>
    <x v="1"/>
    <x v="4"/>
    <x v="5"/>
    <x v="9"/>
    <n v="132.97038999991986"/>
  </r>
  <r>
    <x v="7"/>
    <x v="0"/>
    <x v="7"/>
    <x v="7"/>
    <x v="0"/>
    <x v="0"/>
    <x v="0"/>
    <x v="0"/>
    <x v="0"/>
    <x v="0"/>
    <x v="0"/>
    <x v="0"/>
    <x v="2"/>
    <x v="2"/>
    <x v="2"/>
    <x v="10"/>
    <x v="10"/>
    <n v="2.4499082568792598"/>
    <x v="0"/>
    <x v="0"/>
    <x v="1"/>
    <x v="4"/>
    <x v="5"/>
    <x v="10"/>
    <n v="2.6703999999983936"/>
  </r>
  <r>
    <x v="7"/>
    <x v="0"/>
    <x v="7"/>
    <x v="7"/>
    <x v="0"/>
    <x v="0"/>
    <x v="0"/>
    <x v="0"/>
    <x v="0"/>
    <x v="0"/>
    <x v="0"/>
    <x v="0"/>
    <x v="2"/>
    <x v="2"/>
    <x v="2"/>
    <x v="28"/>
    <x v="28"/>
    <n v="9.5607199999999999"/>
    <x v="0"/>
    <x v="0"/>
    <x v="1"/>
    <x v="3"/>
    <x v="3"/>
    <x v="13"/>
    <n v="10.421184800000001"/>
  </r>
  <r>
    <x v="7"/>
    <x v="0"/>
    <x v="7"/>
    <x v="7"/>
    <x v="0"/>
    <x v="0"/>
    <x v="0"/>
    <x v="0"/>
    <x v="0"/>
    <x v="0"/>
    <x v="0"/>
    <x v="0"/>
    <x v="2"/>
    <x v="2"/>
    <x v="2"/>
    <x v="30"/>
    <x v="30"/>
    <n v="97.776041666275603"/>
    <x v="0"/>
    <x v="0"/>
    <x v="0"/>
    <x v="0"/>
    <x v="0"/>
    <x v="0"/>
    <n v="106.57588541624041"/>
  </r>
  <r>
    <x v="7"/>
    <x v="0"/>
    <x v="7"/>
    <x v="7"/>
    <x v="0"/>
    <x v="0"/>
    <x v="0"/>
    <x v="0"/>
    <x v="0"/>
    <x v="0"/>
    <x v="0"/>
    <x v="0"/>
    <x v="2"/>
    <x v="2"/>
    <x v="2"/>
    <x v="31"/>
    <x v="31"/>
    <n v="3.80690825687845"/>
    <x v="0"/>
    <x v="0"/>
    <x v="1"/>
    <x v="4"/>
    <x v="5"/>
    <x v="10"/>
    <n v="4.1495299999975108"/>
  </r>
  <r>
    <x v="7"/>
    <x v="0"/>
    <x v="7"/>
    <x v="7"/>
    <x v="0"/>
    <x v="0"/>
    <x v="0"/>
    <x v="0"/>
    <x v="0"/>
    <x v="0"/>
    <x v="0"/>
    <x v="0"/>
    <x v="2"/>
    <x v="2"/>
    <x v="2"/>
    <x v="11"/>
    <x v="11"/>
    <n v="179.63696999999999"/>
    <x v="0"/>
    <x v="0"/>
    <x v="3"/>
    <x v="5"/>
    <x v="7"/>
    <x v="11"/>
    <n v="195.8042973"/>
  </r>
  <r>
    <x v="7"/>
    <x v="0"/>
    <x v="7"/>
    <x v="7"/>
    <x v="0"/>
    <x v="0"/>
    <x v="0"/>
    <x v="0"/>
    <x v="0"/>
    <x v="0"/>
    <x v="0"/>
    <x v="0"/>
    <x v="2"/>
    <x v="2"/>
    <x v="2"/>
    <x v="88"/>
    <x v="88"/>
    <n v="2.4752660550443899"/>
    <x v="0"/>
    <x v="0"/>
    <x v="1"/>
    <x v="4"/>
    <x v="5"/>
    <x v="9"/>
    <n v="2.6980399999983851"/>
  </r>
  <r>
    <x v="7"/>
    <x v="0"/>
    <x v="7"/>
    <x v="7"/>
    <x v="0"/>
    <x v="0"/>
    <x v="0"/>
    <x v="0"/>
    <x v="0"/>
    <x v="0"/>
    <x v="0"/>
    <x v="0"/>
    <x v="2"/>
    <x v="2"/>
    <x v="2"/>
    <x v="12"/>
    <x v="12"/>
    <n v="1134.8009534840601"/>
    <x v="0"/>
    <x v="0"/>
    <x v="0"/>
    <x v="0"/>
    <x v="8"/>
    <x v="12"/>
    <n v="1236.9330392976256"/>
  </r>
  <r>
    <x v="7"/>
    <x v="0"/>
    <x v="7"/>
    <x v="7"/>
    <x v="0"/>
    <x v="0"/>
    <x v="0"/>
    <x v="0"/>
    <x v="0"/>
    <x v="0"/>
    <x v="0"/>
    <x v="0"/>
    <x v="2"/>
    <x v="2"/>
    <x v="2"/>
    <x v="32"/>
    <x v="32"/>
    <n v="14.760977541037599"/>
    <x v="0"/>
    <x v="0"/>
    <x v="1"/>
    <x v="1"/>
    <x v="1"/>
    <x v="20"/>
    <n v="16.089465519730986"/>
  </r>
  <r>
    <x v="7"/>
    <x v="0"/>
    <x v="7"/>
    <x v="7"/>
    <x v="0"/>
    <x v="0"/>
    <x v="0"/>
    <x v="0"/>
    <x v="0"/>
    <x v="0"/>
    <x v="0"/>
    <x v="0"/>
    <x v="2"/>
    <x v="2"/>
    <x v="2"/>
    <x v="14"/>
    <x v="14"/>
    <n v="390.34111000000001"/>
    <x v="0"/>
    <x v="0"/>
    <x v="0"/>
    <x v="0"/>
    <x v="8"/>
    <x v="14"/>
    <n v="425.47180990000004"/>
  </r>
  <r>
    <x v="7"/>
    <x v="0"/>
    <x v="7"/>
    <x v="7"/>
    <x v="0"/>
    <x v="0"/>
    <x v="0"/>
    <x v="0"/>
    <x v="0"/>
    <x v="0"/>
    <x v="0"/>
    <x v="0"/>
    <x v="2"/>
    <x v="2"/>
    <x v="2"/>
    <x v="22"/>
    <x v="22"/>
    <n v="16.922741935416202"/>
    <x v="0"/>
    <x v="0"/>
    <x v="0"/>
    <x v="0"/>
    <x v="0"/>
    <x v="0"/>
    <n v="18.445788709603661"/>
  </r>
  <r>
    <x v="7"/>
    <x v="0"/>
    <x v="7"/>
    <x v="7"/>
    <x v="0"/>
    <x v="0"/>
    <x v="0"/>
    <x v="0"/>
    <x v="0"/>
    <x v="0"/>
    <x v="0"/>
    <x v="0"/>
    <x v="2"/>
    <x v="2"/>
    <x v="2"/>
    <x v="16"/>
    <x v="16"/>
    <n v="596.86923000000002"/>
    <x v="0"/>
    <x v="0"/>
    <x v="3"/>
    <x v="5"/>
    <x v="9"/>
    <x v="16"/>
    <n v="650.58746070000007"/>
  </r>
  <r>
    <x v="7"/>
    <x v="0"/>
    <x v="7"/>
    <x v="7"/>
    <x v="0"/>
    <x v="0"/>
    <x v="0"/>
    <x v="0"/>
    <x v="0"/>
    <x v="0"/>
    <x v="0"/>
    <x v="0"/>
    <x v="2"/>
    <x v="2"/>
    <x v="2"/>
    <x v="24"/>
    <x v="24"/>
    <n v="9.2973577981595596"/>
    <x v="0"/>
    <x v="0"/>
    <x v="1"/>
    <x v="3"/>
    <x v="3"/>
    <x v="4"/>
    <n v="10.134119999993921"/>
  </r>
  <r>
    <x v="7"/>
    <x v="0"/>
    <x v="7"/>
    <x v="7"/>
    <x v="0"/>
    <x v="0"/>
    <x v="0"/>
    <x v="0"/>
    <x v="0"/>
    <x v="0"/>
    <x v="0"/>
    <x v="0"/>
    <x v="2"/>
    <x v="2"/>
    <x v="2"/>
    <x v="17"/>
    <x v="17"/>
    <n v="50.82582"/>
    <x v="0"/>
    <x v="0"/>
    <x v="0"/>
    <x v="0"/>
    <x v="4"/>
    <x v="17"/>
    <n v="55.400143800000002"/>
  </r>
  <r>
    <x v="7"/>
    <x v="0"/>
    <x v="7"/>
    <x v="7"/>
    <x v="0"/>
    <x v="0"/>
    <x v="0"/>
    <x v="0"/>
    <x v="0"/>
    <x v="0"/>
    <x v="0"/>
    <x v="0"/>
    <x v="2"/>
    <x v="2"/>
    <x v="2"/>
    <x v="21"/>
    <x v="21"/>
    <n v="39.698486238508302"/>
    <x v="0"/>
    <x v="0"/>
    <x v="1"/>
    <x v="4"/>
    <x v="5"/>
    <x v="10"/>
    <n v="43.271349999974049"/>
  </r>
  <r>
    <x v="7"/>
    <x v="0"/>
    <x v="7"/>
    <x v="7"/>
    <x v="0"/>
    <x v="0"/>
    <x v="0"/>
    <x v="0"/>
    <x v="0"/>
    <x v="0"/>
    <x v="0"/>
    <x v="0"/>
    <x v="2"/>
    <x v="2"/>
    <x v="2"/>
    <x v="18"/>
    <x v="18"/>
    <n v="359.40319"/>
    <x v="0"/>
    <x v="0"/>
    <x v="0"/>
    <x v="0"/>
    <x v="4"/>
    <x v="18"/>
    <n v="391.74947710000004"/>
  </r>
  <r>
    <x v="7"/>
    <x v="0"/>
    <x v="7"/>
    <x v="7"/>
    <x v="0"/>
    <x v="0"/>
    <x v="0"/>
    <x v="0"/>
    <x v="0"/>
    <x v="0"/>
    <x v="0"/>
    <x v="0"/>
    <x v="2"/>
    <x v="2"/>
    <x v="2"/>
    <x v="34"/>
    <x v="34"/>
    <n v="84.808717029125901"/>
    <x v="0"/>
    <x v="0"/>
    <x v="0"/>
    <x v="0"/>
    <x v="0"/>
    <x v="0"/>
    <n v="92.441501561747245"/>
  </r>
  <r>
    <x v="7"/>
    <x v="0"/>
    <x v="7"/>
    <x v="7"/>
    <x v="0"/>
    <x v="0"/>
    <x v="0"/>
    <x v="0"/>
    <x v="0"/>
    <x v="0"/>
    <x v="0"/>
    <x v="0"/>
    <x v="2"/>
    <x v="2"/>
    <x v="2"/>
    <x v="25"/>
    <x v="25"/>
    <n v="48.533440366943402"/>
    <x v="0"/>
    <x v="0"/>
    <x v="1"/>
    <x v="4"/>
    <x v="5"/>
    <x v="9"/>
    <n v="52.901449999968314"/>
  </r>
  <r>
    <x v="7"/>
    <x v="0"/>
    <x v="7"/>
    <x v="7"/>
    <x v="0"/>
    <x v="0"/>
    <x v="0"/>
    <x v="0"/>
    <x v="0"/>
    <x v="0"/>
    <x v="0"/>
    <x v="0"/>
    <x v="2"/>
    <x v="2"/>
    <x v="2"/>
    <x v="27"/>
    <x v="27"/>
    <n v="103.778608110308"/>
    <x v="0"/>
    <x v="0"/>
    <x v="1"/>
    <x v="3"/>
    <x v="3"/>
    <x v="19"/>
    <n v="113.11868284023572"/>
  </r>
  <r>
    <x v="7"/>
    <x v="0"/>
    <x v="7"/>
    <x v="7"/>
    <x v="0"/>
    <x v="0"/>
    <x v="0"/>
    <x v="0"/>
    <x v="0"/>
    <x v="0"/>
    <x v="0"/>
    <x v="0"/>
    <x v="2"/>
    <x v="2"/>
    <x v="2"/>
    <x v="86"/>
    <x v="86"/>
    <n v="1.8"/>
    <x v="0"/>
    <x v="0"/>
    <x v="1"/>
    <x v="3"/>
    <x v="3"/>
    <x v="13"/>
    <n v="1.9620000000000002"/>
  </r>
  <r>
    <x v="7"/>
    <x v="0"/>
    <x v="7"/>
    <x v="7"/>
    <x v="0"/>
    <x v="0"/>
    <x v="0"/>
    <x v="0"/>
    <x v="0"/>
    <x v="0"/>
    <x v="0"/>
    <x v="0"/>
    <x v="2"/>
    <x v="2"/>
    <x v="2"/>
    <x v="26"/>
    <x v="26"/>
    <n v="18.283981651365199"/>
    <x v="0"/>
    <x v="0"/>
    <x v="1"/>
    <x v="3"/>
    <x v="3"/>
    <x v="15"/>
    <n v="19.929539999988069"/>
  </r>
  <r>
    <x v="7"/>
    <x v="0"/>
    <x v="7"/>
    <x v="7"/>
    <x v="0"/>
    <x v="0"/>
    <x v="0"/>
    <x v="0"/>
    <x v="0"/>
    <x v="0"/>
    <x v="0"/>
    <x v="0"/>
    <x v="2"/>
    <x v="2"/>
    <x v="2"/>
    <x v="0"/>
    <x v="0"/>
    <n v="57.166599643967999"/>
    <x v="0"/>
    <x v="0"/>
    <x v="0"/>
    <x v="0"/>
    <x v="0"/>
    <x v="0"/>
    <n v="62.311593611925126"/>
  </r>
  <r>
    <x v="7"/>
    <x v="0"/>
    <x v="7"/>
    <x v="7"/>
    <x v="0"/>
    <x v="0"/>
    <x v="0"/>
    <x v="0"/>
    <x v="0"/>
    <x v="0"/>
    <x v="0"/>
    <x v="0"/>
    <x v="2"/>
    <x v="2"/>
    <x v="2"/>
    <x v="1"/>
    <x v="1"/>
    <n v="5.8620413792781001"/>
    <x v="0"/>
    <x v="0"/>
    <x v="1"/>
    <x v="1"/>
    <x v="1"/>
    <x v="1"/>
    <n v="6.3896251034131293"/>
  </r>
  <r>
    <x v="7"/>
    <x v="0"/>
    <x v="7"/>
    <x v="7"/>
    <x v="0"/>
    <x v="0"/>
    <x v="0"/>
    <x v="0"/>
    <x v="0"/>
    <x v="0"/>
    <x v="0"/>
    <x v="0"/>
    <x v="2"/>
    <x v="2"/>
    <x v="2"/>
    <x v="20"/>
    <x v="20"/>
    <n v="219.59164000000001"/>
    <x v="0"/>
    <x v="0"/>
    <x v="1"/>
    <x v="3"/>
    <x v="3"/>
    <x v="13"/>
    <n v="239.35488760000004"/>
  </r>
  <r>
    <x v="7"/>
    <x v="0"/>
    <x v="7"/>
    <x v="7"/>
    <x v="0"/>
    <x v="0"/>
    <x v="0"/>
    <x v="0"/>
    <x v="0"/>
    <x v="0"/>
    <x v="0"/>
    <x v="0"/>
    <x v="2"/>
    <x v="2"/>
    <x v="2"/>
    <x v="2"/>
    <x v="2"/>
    <n v="1431.00606421932"/>
    <x v="0"/>
    <x v="1"/>
    <x v="2"/>
    <x v="2"/>
    <x v="13"/>
    <x v="2"/>
    <n v="1559.796609999059"/>
  </r>
  <r>
    <x v="7"/>
    <x v="0"/>
    <x v="7"/>
    <x v="7"/>
    <x v="0"/>
    <x v="0"/>
    <x v="0"/>
    <x v="0"/>
    <x v="0"/>
    <x v="0"/>
    <x v="0"/>
    <x v="0"/>
    <x v="2"/>
    <x v="2"/>
    <x v="2"/>
    <x v="3"/>
    <x v="3"/>
    <n v="94.1108628798642"/>
    <x v="0"/>
    <x v="0"/>
    <x v="1"/>
    <x v="3"/>
    <x v="3"/>
    <x v="3"/>
    <n v="102.58084053905199"/>
  </r>
  <r>
    <x v="7"/>
    <x v="0"/>
    <x v="7"/>
    <x v="7"/>
    <x v="0"/>
    <x v="0"/>
    <x v="0"/>
    <x v="0"/>
    <x v="0"/>
    <x v="0"/>
    <x v="0"/>
    <x v="0"/>
    <x v="1"/>
    <x v="6"/>
    <x v="6"/>
    <x v="5"/>
    <x v="5"/>
    <n v="69.168177914636104"/>
    <x v="0"/>
    <x v="0"/>
    <x v="1"/>
    <x v="1"/>
    <x v="1"/>
    <x v="5"/>
    <n v="75.393313926953354"/>
  </r>
  <r>
    <x v="7"/>
    <x v="0"/>
    <x v="7"/>
    <x v="7"/>
    <x v="0"/>
    <x v="0"/>
    <x v="0"/>
    <x v="0"/>
    <x v="0"/>
    <x v="0"/>
    <x v="0"/>
    <x v="0"/>
    <x v="1"/>
    <x v="6"/>
    <x v="6"/>
    <x v="6"/>
    <x v="6"/>
    <n v="0.18654000000000001"/>
    <x v="0"/>
    <x v="0"/>
    <x v="0"/>
    <x v="0"/>
    <x v="4"/>
    <x v="6"/>
    <n v="0.20332860000000003"/>
  </r>
  <r>
    <x v="7"/>
    <x v="0"/>
    <x v="7"/>
    <x v="7"/>
    <x v="0"/>
    <x v="0"/>
    <x v="0"/>
    <x v="0"/>
    <x v="0"/>
    <x v="0"/>
    <x v="0"/>
    <x v="0"/>
    <x v="1"/>
    <x v="6"/>
    <x v="6"/>
    <x v="8"/>
    <x v="8"/>
    <n v="181.51800000116199"/>
    <x v="0"/>
    <x v="1"/>
    <x v="2"/>
    <x v="2"/>
    <x v="6"/>
    <x v="8"/>
    <n v="197.8546200012666"/>
  </r>
  <r>
    <x v="7"/>
    <x v="0"/>
    <x v="7"/>
    <x v="7"/>
    <x v="0"/>
    <x v="0"/>
    <x v="0"/>
    <x v="0"/>
    <x v="0"/>
    <x v="0"/>
    <x v="0"/>
    <x v="0"/>
    <x v="1"/>
    <x v="6"/>
    <x v="6"/>
    <x v="9"/>
    <x v="9"/>
    <n v="93.064697247650599"/>
    <x v="0"/>
    <x v="0"/>
    <x v="1"/>
    <x v="4"/>
    <x v="5"/>
    <x v="9"/>
    <n v="101.44051999993916"/>
  </r>
  <r>
    <x v="7"/>
    <x v="0"/>
    <x v="7"/>
    <x v="7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7"/>
    <x v="0"/>
    <x v="7"/>
    <x v="7"/>
    <x v="0"/>
    <x v="0"/>
    <x v="0"/>
    <x v="0"/>
    <x v="0"/>
    <x v="0"/>
    <x v="0"/>
    <x v="0"/>
    <x v="1"/>
    <x v="6"/>
    <x v="6"/>
    <x v="12"/>
    <x v="12"/>
    <n v="521.418127904995"/>
    <x v="0"/>
    <x v="0"/>
    <x v="0"/>
    <x v="0"/>
    <x v="8"/>
    <x v="12"/>
    <n v="568.34575941644459"/>
  </r>
  <r>
    <x v="7"/>
    <x v="0"/>
    <x v="7"/>
    <x v="7"/>
    <x v="0"/>
    <x v="0"/>
    <x v="0"/>
    <x v="0"/>
    <x v="0"/>
    <x v="0"/>
    <x v="0"/>
    <x v="0"/>
    <x v="1"/>
    <x v="6"/>
    <x v="6"/>
    <x v="14"/>
    <x v="14"/>
    <n v="85.523780000000002"/>
    <x v="0"/>
    <x v="0"/>
    <x v="0"/>
    <x v="0"/>
    <x v="8"/>
    <x v="14"/>
    <n v="93.220920200000009"/>
  </r>
  <r>
    <x v="7"/>
    <x v="0"/>
    <x v="7"/>
    <x v="7"/>
    <x v="0"/>
    <x v="0"/>
    <x v="0"/>
    <x v="0"/>
    <x v="0"/>
    <x v="0"/>
    <x v="0"/>
    <x v="0"/>
    <x v="1"/>
    <x v="6"/>
    <x v="6"/>
    <x v="16"/>
    <x v="16"/>
    <n v="22.82"/>
    <x v="0"/>
    <x v="0"/>
    <x v="3"/>
    <x v="5"/>
    <x v="9"/>
    <x v="16"/>
    <n v="24.873800000000003"/>
  </r>
  <r>
    <x v="7"/>
    <x v="0"/>
    <x v="7"/>
    <x v="7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7"/>
    <x v="0"/>
    <x v="7"/>
    <x v="7"/>
    <x v="0"/>
    <x v="0"/>
    <x v="0"/>
    <x v="0"/>
    <x v="0"/>
    <x v="0"/>
    <x v="0"/>
    <x v="0"/>
    <x v="1"/>
    <x v="6"/>
    <x v="6"/>
    <x v="18"/>
    <x v="18"/>
    <n v="29.5913"/>
    <x v="0"/>
    <x v="0"/>
    <x v="0"/>
    <x v="0"/>
    <x v="4"/>
    <x v="18"/>
    <n v="32.254517"/>
  </r>
  <r>
    <x v="7"/>
    <x v="0"/>
    <x v="7"/>
    <x v="7"/>
    <x v="0"/>
    <x v="0"/>
    <x v="0"/>
    <x v="0"/>
    <x v="0"/>
    <x v="0"/>
    <x v="0"/>
    <x v="0"/>
    <x v="1"/>
    <x v="6"/>
    <x v="6"/>
    <x v="26"/>
    <x v="26"/>
    <n v="13.320045871551599"/>
    <x v="0"/>
    <x v="0"/>
    <x v="1"/>
    <x v="3"/>
    <x v="3"/>
    <x v="15"/>
    <n v="14.518849999991245"/>
  </r>
  <r>
    <x v="7"/>
    <x v="0"/>
    <x v="7"/>
    <x v="7"/>
    <x v="0"/>
    <x v="0"/>
    <x v="0"/>
    <x v="0"/>
    <x v="0"/>
    <x v="0"/>
    <x v="0"/>
    <x v="0"/>
    <x v="1"/>
    <x v="6"/>
    <x v="6"/>
    <x v="0"/>
    <x v="0"/>
    <n v="2.2329181494599402"/>
    <x v="0"/>
    <x v="0"/>
    <x v="0"/>
    <x v="0"/>
    <x v="0"/>
    <x v="0"/>
    <n v="2.4338807829113351"/>
  </r>
  <r>
    <x v="7"/>
    <x v="0"/>
    <x v="7"/>
    <x v="7"/>
    <x v="0"/>
    <x v="0"/>
    <x v="0"/>
    <x v="0"/>
    <x v="0"/>
    <x v="0"/>
    <x v="0"/>
    <x v="0"/>
    <x v="1"/>
    <x v="6"/>
    <x v="6"/>
    <x v="2"/>
    <x v="2"/>
    <n v="512.47578899051803"/>
    <x v="0"/>
    <x v="1"/>
    <x v="2"/>
    <x v="2"/>
    <x v="13"/>
    <x v="2"/>
    <n v="558.59860999966475"/>
  </r>
  <r>
    <x v="7"/>
    <x v="0"/>
    <x v="7"/>
    <x v="7"/>
    <x v="0"/>
    <x v="0"/>
    <x v="0"/>
    <x v="0"/>
    <x v="0"/>
    <x v="0"/>
    <x v="0"/>
    <x v="0"/>
    <x v="3"/>
    <x v="7"/>
    <x v="7"/>
    <x v="6"/>
    <x v="6"/>
    <n v="24.161439999999999"/>
    <x v="0"/>
    <x v="0"/>
    <x v="0"/>
    <x v="0"/>
    <x v="4"/>
    <x v="6"/>
    <n v="26.335969600000002"/>
  </r>
  <r>
    <x v="7"/>
    <x v="0"/>
    <x v="7"/>
    <x v="7"/>
    <x v="0"/>
    <x v="0"/>
    <x v="0"/>
    <x v="0"/>
    <x v="0"/>
    <x v="0"/>
    <x v="0"/>
    <x v="0"/>
    <x v="3"/>
    <x v="7"/>
    <x v="7"/>
    <x v="9"/>
    <x v="9"/>
    <n v="71.813709038785007"/>
    <x v="0"/>
    <x v="0"/>
    <x v="1"/>
    <x v="4"/>
    <x v="5"/>
    <x v="9"/>
    <n v="78.276942852275667"/>
  </r>
  <r>
    <x v="7"/>
    <x v="0"/>
    <x v="7"/>
    <x v="7"/>
    <x v="0"/>
    <x v="0"/>
    <x v="0"/>
    <x v="0"/>
    <x v="0"/>
    <x v="0"/>
    <x v="0"/>
    <x v="0"/>
    <x v="3"/>
    <x v="7"/>
    <x v="7"/>
    <x v="10"/>
    <x v="10"/>
    <n v="18.781983174510099"/>
    <x v="0"/>
    <x v="0"/>
    <x v="1"/>
    <x v="4"/>
    <x v="5"/>
    <x v="10"/>
    <n v="20.472361660216009"/>
  </r>
  <r>
    <x v="7"/>
    <x v="0"/>
    <x v="7"/>
    <x v="7"/>
    <x v="0"/>
    <x v="0"/>
    <x v="0"/>
    <x v="0"/>
    <x v="0"/>
    <x v="0"/>
    <x v="0"/>
    <x v="0"/>
    <x v="3"/>
    <x v="7"/>
    <x v="7"/>
    <x v="11"/>
    <x v="11"/>
    <n v="33.10004"/>
    <x v="0"/>
    <x v="0"/>
    <x v="3"/>
    <x v="5"/>
    <x v="7"/>
    <x v="11"/>
    <n v="36.079043600000006"/>
  </r>
  <r>
    <x v="7"/>
    <x v="0"/>
    <x v="7"/>
    <x v="7"/>
    <x v="0"/>
    <x v="0"/>
    <x v="0"/>
    <x v="0"/>
    <x v="0"/>
    <x v="0"/>
    <x v="0"/>
    <x v="0"/>
    <x v="3"/>
    <x v="7"/>
    <x v="7"/>
    <x v="36"/>
    <x v="36"/>
    <n v="38.130788990802799"/>
    <x v="0"/>
    <x v="0"/>
    <x v="1"/>
    <x v="3"/>
    <x v="3"/>
    <x v="4"/>
    <n v="41.562559999975051"/>
  </r>
  <r>
    <x v="7"/>
    <x v="0"/>
    <x v="7"/>
    <x v="7"/>
    <x v="0"/>
    <x v="0"/>
    <x v="0"/>
    <x v="0"/>
    <x v="0"/>
    <x v="0"/>
    <x v="0"/>
    <x v="0"/>
    <x v="3"/>
    <x v="7"/>
    <x v="7"/>
    <x v="24"/>
    <x v="24"/>
    <n v="30.274183486220402"/>
    <x v="0"/>
    <x v="0"/>
    <x v="1"/>
    <x v="3"/>
    <x v="3"/>
    <x v="4"/>
    <n v="32.99885999998024"/>
  </r>
  <r>
    <x v="7"/>
    <x v="0"/>
    <x v="7"/>
    <x v="7"/>
    <x v="0"/>
    <x v="0"/>
    <x v="0"/>
    <x v="0"/>
    <x v="0"/>
    <x v="0"/>
    <x v="0"/>
    <x v="0"/>
    <x v="3"/>
    <x v="7"/>
    <x v="7"/>
    <x v="17"/>
    <x v="17"/>
    <n v="171.92666"/>
    <x v="0"/>
    <x v="0"/>
    <x v="0"/>
    <x v="0"/>
    <x v="4"/>
    <x v="17"/>
    <n v="187.4000594"/>
  </r>
  <r>
    <x v="7"/>
    <x v="0"/>
    <x v="7"/>
    <x v="7"/>
    <x v="0"/>
    <x v="0"/>
    <x v="0"/>
    <x v="0"/>
    <x v="0"/>
    <x v="0"/>
    <x v="0"/>
    <x v="0"/>
    <x v="3"/>
    <x v="7"/>
    <x v="7"/>
    <x v="18"/>
    <x v="18"/>
    <n v="14.20553"/>
    <x v="0"/>
    <x v="0"/>
    <x v="0"/>
    <x v="0"/>
    <x v="4"/>
    <x v="18"/>
    <n v="15.4840277"/>
  </r>
  <r>
    <x v="7"/>
    <x v="0"/>
    <x v="7"/>
    <x v="7"/>
    <x v="0"/>
    <x v="0"/>
    <x v="0"/>
    <x v="0"/>
    <x v="0"/>
    <x v="0"/>
    <x v="0"/>
    <x v="0"/>
    <x v="3"/>
    <x v="7"/>
    <x v="7"/>
    <x v="34"/>
    <x v="34"/>
    <n v="9.3830917028972607"/>
    <x v="0"/>
    <x v="0"/>
    <x v="0"/>
    <x v="0"/>
    <x v="0"/>
    <x v="0"/>
    <n v="10.227569956158016"/>
  </r>
  <r>
    <x v="7"/>
    <x v="0"/>
    <x v="7"/>
    <x v="7"/>
    <x v="0"/>
    <x v="0"/>
    <x v="0"/>
    <x v="0"/>
    <x v="0"/>
    <x v="0"/>
    <x v="0"/>
    <x v="0"/>
    <x v="3"/>
    <x v="7"/>
    <x v="7"/>
    <x v="26"/>
    <x v="26"/>
    <n v="23.845688073380199"/>
    <x v="0"/>
    <x v="0"/>
    <x v="1"/>
    <x v="3"/>
    <x v="3"/>
    <x v="15"/>
    <n v="25.991799999984419"/>
  </r>
  <r>
    <x v="7"/>
    <x v="0"/>
    <x v="7"/>
    <x v="7"/>
    <x v="0"/>
    <x v="0"/>
    <x v="0"/>
    <x v="0"/>
    <x v="0"/>
    <x v="0"/>
    <x v="0"/>
    <x v="0"/>
    <x v="1"/>
    <x v="8"/>
    <x v="8"/>
    <x v="6"/>
    <x v="6"/>
    <n v="22.675350000000002"/>
    <x v="0"/>
    <x v="0"/>
    <x v="0"/>
    <x v="0"/>
    <x v="4"/>
    <x v="6"/>
    <n v="24.716131500000003"/>
  </r>
  <r>
    <x v="7"/>
    <x v="0"/>
    <x v="7"/>
    <x v="7"/>
    <x v="0"/>
    <x v="0"/>
    <x v="0"/>
    <x v="0"/>
    <x v="0"/>
    <x v="0"/>
    <x v="0"/>
    <x v="0"/>
    <x v="1"/>
    <x v="8"/>
    <x v="8"/>
    <x v="8"/>
    <x v="8"/>
    <n v="66.262783784207897"/>
    <x v="0"/>
    <x v="1"/>
    <x v="2"/>
    <x v="2"/>
    <x v="6"/>
    <x v="8"/>
    <n v="72.226434324786609"/>
  </r>
  <r>
    <x v="7"/>
    <x v="0"/>
    <x v="7"/>
    <x v="7"/>
    <x v="0"/>
    <x v="0"/>
    <x v="0"/>
    <x v="0"/>
    <x v="0"/>
    <x v="0"/>
    <x v="0"/>
    <x v="0"/>
    <x v="1"/>
    <x v="8"/>
    <x v="8"/>
    <x v="9"/>
    <x v="9"/>
    <n v="55.543909155443899"/>
    <x v="0"/>
    <x v="0"/>
    <x v="1"/>
    <x v="4"/>
    <x v="5"/>
    <x v="9"/>
    <n v="60.542860979433854"/>
  </r>
  <r>
    <x v="7"/>
    <x v="0"/>
    <x v="7"/>
    <x v="7"/>
    <x v="0"/>
    <x v="0"/>
    <x v="0"/>
    <x v="0"/>
    <x v="0"/>
    <x v="0"/>
    <x v="0"/>
    <x v="0"/>
    <x v="1"/>
    <x v="8"/>
    <x v="8"/>
    <x v="10"/>
    <x v="10"/>
    <n v="20.303061557111"/>
    <x v="0"/>
    <x v="0"/>
    <x v="1"/>
    <x v="4"/>
    <x v="5"/>
    <x v="10"/>
    <n v="22.130337097250994"/>
  </r>
  <r>
    <x v="7"/>
    <x v="0"/>
    <x v="7"/>
    <x v="7"/>
    <x v="0"/>
    <x v="0"/>
    <x v="0"/>
    <x v="0"/>
    <x v="0"/>
    <x v="0"/>
    <x v="0"/>
    <x v="0"/>
    <x v="1"/>
    <x v="8"/>
    <x v="8"/>
    <x v="11"/>
    <x v="11"/>
    <n v="2.3505199999999999"/>
    <x v="0"/>
    <x v="0"/>
    <x v="3"/>
    <x v="5"/>
    <x v="7"/>
    <x v="11"/>
    <n v="2.5620668000000002"/>
  </r>
  <r>
    <x v="7"/>
    <x v="0"/>
    <x v="7"/>
    <x v="7"/>
    <x v="0"/>
    <x v="0"/>
    <x v="0"/>
    <x v="0"/>
    <x v="0"/>
    <x v="0"/>
    <x v="0"/>
    <x v="0"/>
    <x v="1"/>
    <x v="8"/>
    <x v="8"/>
    <x v="36"/>
    <x v="36"/>
    <n v="1.7195963302741999"/>
    <x v="0"/>
    <x v="0"/>
    <x v="1"/>
    <x v="3"/>
    <x v="3"/>
    <x v="4"/>
    <n v="1.874359999998878"/>
  </r>
  <r>
    <x v="7"/>
    <x v="0"/>
    <x v="7"/>
    <x v="7"/>
    <x v="0"/>
    <x v="0"/>
    <x v="0"/>
    <x v="0"/>
    <x v="0"/>
    <x v="0"/>
    <x v="0"/>
    <x v="0"/>
    <x v="1"/>
    <x v="8"/>
    <x v="8"/>
    <x v="24"/>
    <x v="24"/>
    <n v="36.623247706400001"/>
    <x v="0"/>
    <x v="0"/>
    <x v="1"/>
    <x v="3"/>
    <x v="3"/>
    <x v="4"/>
    <n v="39.919339999976003"/>
  </r>
  <r>
    <x v="7"/>
    <x v="0"/>
    <x v="7"/>
    <x v="7"/>
    <x v="0"/>
    <x v="0"/>
    <x v="0"/>
    <x v="0"/>
    <x v="0"/>
    <x v="0"/>
    <x v="0"/>
    <x v="0"/>
    <x v="1"/>
    <x v="8"/>
    <x v="8"/>
    <x v="17"/>
    <x v="17"/>
    <n v="11.594340000000001"/>
    <x v="0"/>
    <x v="0"/>
    <x v="0"/>
    <x v="0"/>
    <x v="4"/>
    <x v="17"/>
    <n v="12.637830600000001"/>
  </r>
  <r>
    <x v="7"/>
    <x v="0"/>
    <x v="7"/>
    <x v="7"/>
    <x v="0"/>
    <x v="0"/>
    <x v="0"/>
    <x v="0"/>
    <x v="0"/>
    <x v="0"/>
    <x v="0"/>
    <x v="0"/>
    <x v="1"/>
    <x v="8"/>
    <x v="8"/>
    <x v="21"/>
    <x v="21"/>
    <n v="2.7744587155946698"/>
    <x v="0"/>
    <x v="0"/>
    <x v="1"/>
    <x v="4"/>
    <x v="5"/>
    <x v="10"/>
    <n v="3.0241599999981905"/>
  </r>
  <r>
    <x v="7"/>
    <x v="0"/>
    <x v="7"/>
    <x v="7"/>
    <x v="0"/>
    <x v="0"/>
    <x v="0"/>
    <x v="0"/>
    <x v="0"/>
    <x v="0"/>
    <x v="0"/>
    <x v="0"/>
    <x v="1"/>
    <x v="8"/>
    <x v="8"/>
    <x v="18"/>
    <x v="18"/>
    <n v="11.37106"/>
    <x v="0"/>
    <x v="0"/>
    <x v="0"/>
    <x v="0"/>
    <x v="4"/>
    <x v="18"/>
    <n v="12.3944554"/>
  </r>
  <r>
    <x v="7"/>
    <x v="0"/>
    <x v="7"/>
    <x v="7"/>
    <x v="0"/>
    <x v="0"/>
    <x v="0"/>
    <x v="0"/>
    <x v="0"/>
    <x v="0"/>
    <x v="0"/>
    <x v="0"/>
    <x v="1"/>
    <x v="8"/>
    <x v="8"/>
    <x v="34"/>
    <x v="34"/>
    <n v="1.31719126635315"/>
    <x v="0"/>
    <x v="0"/>
    <x v="0"/>
    <x v="0"/>
    <x v="0"/>
    <x v="0"/>
    <n v="1.4357384803249336"/>
  </r>
  <r>
    <x v="7"/>
    <x v="0"/>
    <x v="7"/>
    <x v="7"/>
    <x v="0"/>
    <x v="0"/>
    <x v="0"/>
    <x v="0"/>
    <x v="0"/>
    <x v="0"/>
    <x v="0"/>
    <x v="0"/>
    <x v="1"/>
    <x v="8"/>
    <x v="8"/>
    <x v="37"/>
    <x v="37"/>
    <n v="20.5131009174189"/>
    <x v="0"/>
    <x v="0"/>
    <x v="1"/>
    <x v="3"/>
    <x v="3"/>
    <x v="4"/>
    <n v="22.359279999986601"/>
  </r>
  <r>
    <x v="7"/>
    <x v="0"/>
    <x v="7"/>
    <x v="7"/>
    <x v="0"/>
    <x v="0"/>
    <x v="0"/>
    <x v="0"/>
    <x v="0"/>
    <x v="0"/>
    <x v="0"/>
    <x v="0"/>
    <x v="1"/>
    <x v="8"/>
    <x v="8"/>
    <x v="0"/>
    <x v="0"/>
    <n v="5.0044030248970204"/>
    <x v="0"/>
    <x v="0"/>
    <x v="0"/>
    <x v="0"/>
    <x v="0"/>
    <x v="0"/>
    <n v="5.454799297137753"/>
  </r>
  <r>
    <x v="7"/>
    <x v="0"/>
    <x v="7"/>
    <x v="7"/>
    <x v="0"/>
    <x v="0"/>
    <x v="0"/>
    <x v="0"/>
    <x v="0"/>
    <x v="0"/>
    <x v="0"/>
    <x v="0"/>
    <x v="0"/>
    <x v="9"/>
    <x v="9"/>
    <x v="6"/>
    <x v="6"/>
    <n v="59.44144"/>
    <x v="0"/>
    <x v="0"/>
    <x v="0"/>
    <x v="0"/>
    <x v="4"/>
    <x v="6"/>
    <n v="64.791169600000003"/>
  </r>
  <r>
    <x v="7"/>
    <x v="0"/>
    <x v="7"/>
    <x v="7"/>
    <x v="0"/>
    <x v="0"/>
    <x v="0"/>
    <x v="0"/>
    <x v="0"/>
    <x v="0"/>
    <x v="0"/>
    <x v="0"/>
    <x v="0"/>
    <x v="9"/>
    <x v="9"/>
    <x v="7"/>
    <x v="7"/>
    <n v="48.598587155934098"/>
    <x v="0"/>
    <x v="0"/>
    <x v="1"/>
    <x v="4"/>
    <x v="5"/>
    <x v="7"/>
    <n v="52.972459999968173"/>
  </r>
  <r>
    <x v="7"/>
    <x v="0"/>
    <x v="7"/>
    <x v="7"/>
    <x v="0"/>
    <x v="0"/>
    <x v="0"/>
    <x v="0"/>
    <x v="0"/>
    <x v="0"/>
    <x v="0"/>
    <x v="0"/>
    <x v="0"/>
    <x v="9"/>
    <x v="9"/>
    <x v="9"/>
    <x v="9"/>
    <n v="178.416069147652"/>
    <x v="0"/>
    <x v="0"/>
    <x v="1"/>
    <x v="4"/>
    <x v="5"/>
    <x v="9"/>
    <n v="194.4735153709407"/>
  </r>
  <r>
    <x v="7"/>
    <x v="0"/>
    <x v="7"/>
    <x v="7"/>
    <x v="0"/>
    <x v="0"/>
    <x v="0"/>
    <x v="0"/>
    <x v="0"/>
    <x v="0"/>
    <x v="0"/>
    <x v="0"/>
    <x v="0"/>
    <x v="9"/>
    <x v="9"/>
    <x v="10"/>
    <x v="10"/>
    <n v="24.209462905230101"/>
    <x v="0"/>
    <x v="0"/>
    <x v="1"/>
    <x v="4"/>
    <x v="5"/>
    <x v="10"/>
    <n v="26.388314566700814"/>
  </r>
  <r>
    <x v="7"/>
    <x v="0"/>
    <x v="7"/>
    <x v="7"/>
    <x v="0"/>
    <x v="0"/>
    <x v="0"/>
    <x v="0"/>
    <x v="0"/>
    <x v="0"/>
    <x v="0"/>
    <x v="0"/>
    <x v="0"/>
    <x v="9"/>
    <x v="9"/>
    <x v="11"/>
    <x v="11"/>
    <n v="19.490320000000001"/>
    <x v="0"/>
    <x v="0"/>
    <x v="3"/>
    <x v="5"/>
    <x v="7"/>
    <x v="11"/>
    <n v="21.244448800000001"/>
  </r>
  <r>
    <x v="7"/>
    <x v="0"/>
    <x v="7"/>
    <x v="7"/>
    <x v="0"/>
    <x v="0"/>
    <x v="0"/>
    <x v="0"/>
    <x v="0"/>
    <x v="0"/>
    <x v="0"/>
    <x v="0"/>
    <x v="0"/>
    <x v="9"/>
    <x v="9"/>
    <x v="12"/>
    <x v="12"/>
    <n v="4.4573488371923604"/>
    <x v="0"/>
    <x v="0"/>
    <x v="0"/>
    <x v="0"/>
    <x v="8"/>
    <x v="12"/>
    <n v="4.8585102325396736"/>
  </r>
  <r>
    <x v="7"/>
    <x v="0"/>
    <x v="7"/>
    <x v="7"/>
    <x v="0"/>
    <x v="0"/>
    <x v="0"/>
    <x v="0"/>
    <x v="0"/>
    <x v="0"/>
    <x v="0"/>
    <x v="0"/>
    <x v="0"/>
    <x v="9"/>
    <x v="9"/>
    <x v="36"/>
    <x v="36"/>
    <n v="6.2943486238494302"/>
    <x v="0"/>
    <x v="0"/>
    <x v="1"/>
    <x v="3"/>
    <x v="3"/>
    <x v="4"/>
    <n v="6.8608399999958793"/>
  </r>
  <r>
    <x v="7"/>
    <x v="0"/>
    <x v="7"/>
    <x v="7"/>
    <x v="0"/>
    <x v="0"/>
    <x v="0"/>
    <x v="0"/>
    <x v="0"/>
    <x v="0"/>
    <x v="0"/>
    <x v="0"/>
    <x v="0"/>
    <x v="9"/>
    <x v="9"/>
    <x v="24"/>
    <x v="24"/>
    <n v="31.499403669705899"/>
    <x v="0"/>
    <x v="0"/>
    <x v="1"/>
    <x v="3"/>
    <x v="3"/>
    <x v="4"/>
    <n v="34.33434999997943"/>
  </r>
  <r>
    <x v="7"/>
    <x v="0"/>
    <x v="7"/>
    <x v="7"/>
    <x v="0"/>
    <x v="0"/>
    <x v="0"/>
    <x v="0"/>
    <x v="0"/>
    <x v="0"/>
    <x v="0"/>
    <x v="0"/>
    <x v="0"/>
    <x v="9"/>
    <x v="9"/>
    <x v="17"/>
    <x v="17"/>
    <n v="31.360029999999998"/>
    <x v="0"/>
    <x v="0"/>
    <x v="0"/>
    <x v="0"/>
    <x v="4"/>
    <x v="17"/>
    <n v="34.1824327"/>
  </r>
  <r>
    <x v="7"/>
    <x v="0"/>
    <x v="7"/>
    <x v="7"/>
    <x v="0"/>
    <x v="0"/>
    <x v="0"/>
    <x v="0"/>
    <x v="0"/>
    <x v="0"/>
    <x v="0"/>
    <x v="0"/>
    <x v="0"/>
    <x v="9"/>
    <x v="9"/>
    <x v="21"/>
    <x v="21"/>
    <n v="445.14788990799002"/>
    <x v="0"/>
    <x v="0"/>
    <x v="1"/>
    <x v="4"/>
    <x v="5"/>
    <x v="10"/>
    <n v="485.21119999970915"/>
  </r>
  <r>
    <x v="7"/>
    <x v="0"/>
    <x v="7"/>
    <x v="7"/>
    <x v="0"/>
    <x v="0"/>
    <x v="0"/>
    <x v="0"/>
    <x v="0"/>
    <x v="0"/>
    <x v="0"/>
    <x v="0"/>
    <x v="0"/>
    <x v="9"/>
    <x v="9"/>
    <x v="18"/>
    <x v="18"/>
    <n v="58.086539999999999"/>
    <x v="0"/>
    <x v="0"/>
    <x v="0"/>
    <x v="0"/>
    <x v="4"/>
    <x v="18"/>
    <n v="63.314328600000003"/>
  </r>
  <r>
    <x v="7"/>
    <x v="0"/>
    <x v="7"/>
    <x v="7"/>
    <x v="0"/>
    <x v="0"/>
    <x v="0"/>
    <x v="0"/>
    <x v="0"/>
    <x v="0"/>
    <x v="0"/>
    <x v="0"/>
    <x v="0"/>
    <x v="9"/>
    <x v="9"/>
    <x v="34"/>
    <x v="34"/>
    <n v="5.3265327510011504"/>
    <x v="0"/>
    <x v="0"/>
    <x v="0"/>
    <x v="0"/>
    <x v="0"/>
    <x v="0"/>
    <n v="5.8059206985912546"/>
  </r>
  <r>
    <x v="7"/>
    <x v="0"/>
    <x v="7"/>
    <x v="7"/>
    <x v="0"/>
    <x v="0"/>
    <x v="0"/>
    <x v="0"/>
    <x v="0"/>
    <x v="0"/>
    <x v="0"/>
    <x v="0"/>
    <x v="0"/>
    <x v="9"/>
    <x v="9"/>
    <x v="37"/>
    <x v="37"/>
    <n v="9.4853577981594501"/>
    <x v="0"/>
    <x v="0"/>
    <x v="1"/>
    <x v="3"/>
    <x v="3"/>
    <x v="4"/>
    <n v="10.339039999993801"/>
  </r>
  <r>
    <x v="7"/>
    <x v="0"/>
    <x v="7"/>
    <x v="7"/>
    <x v="0"/>
    <x v="0"/>
    <x v="0"/>
    <x v="0"/>
    <x v="0"/>
    <x v="0"/>
    <x v="0"/>
    <x v="0"/>
    <x v="0"/>
    <x v="9"/>
    <x v="9"/>
    <x v="26"/>
    <x v="26"/>
    <n v="9.1754495412788994"/>
    <x v="0"/>
    <x v="0"/>
    <x v="1"/>
    <x v="3"/>
    <x v="3"/>
    <x v="15"/>
    <n v="10.001239999994"/>
  </r>
  <r>
    <x v="7"/>
    <x v="0"/>
    <x v="7"/>
    <x v="7"/>
    <x v="0"/>
    <x v="0"/>
    <x v="0"/>
    <x v="0"/>
    <x v="0"/>
    <x v="0"/>
    <x v="0"/>
    <x v="0"/>
    <x v="0"/>
    <x v="9"/>
    <x v="9"/>
    <x v="0"/>
    <x v="0"/>
    <n v="0.63291903914414005"/>
    <x v="0"/>
    <x v="0"/>
    <x v="0"/>
    <x v="0"/>
    <x v="0"/>
    <x v="0"/>
    <n v="0.68988175266711271"/>
  </r>
  <r>
    <x v="7"/>
    <x v="0"/>
    <x v="7"/>
    <x v="7"/>
    <x v="0"/>
    <x v="0"/>
    <x v="0"/>
    <x v="0"/>
    <x v="0"/>
    <x v="0"/>
    <x v="0"/>
    <x v="0"/>
    <x v="0"/>
    <x v="9"/>
    <x v="9"/>
    <x v="2"/>
    <x v="2"/>
    <n v="9.1060183486183899"/>
    <x v="0"/>
    <x v="1"/>
    <x v="2"/>
    <x v="2"/>
    <x v="13"/>
    <x v="2"/>
    <n v="9.9255599999940465"/>
  </r>
  <r>
    <x v="7"/>
    <x v="0"/>
    <x v="7"/>
    <x v="7"/>
    <x v="0"/>
    <x v="0"/>
    <x v="0"/>
    <x v="0"/>
    <x v="0"/>
    <x v="0"/>
    <x v="0"/>
    <x v="0"/>
    <x v="2"/>
    <x v="10"/>
    <x v="10"/>
    <x v="6"/>
    <x v="6"/>
    <n v="43.952919999999999"/>
    <x v="0"/>
    <x v="0"/>
    <x v="0"/>
    <x v="0"/>
    <x v="4"/>
    <x v="6"/>
    <n v="47.908682800000001"/>
  </r>
  <r>
    <x v="7"/>
    <x v="0"/>
    <x v="7"/>
    <x v="7"/>
    <x v="0"/>
    <x v="0"/>
    <x v="0"/>
    <x v="0"/>
    <x v="0"/>
    <x v="0"/>
    <x v="0"/>
    <x v="0"/>
    <x v="2"/>
    <x v="10"/>
    <x v="10"/>
    <x v="7"/>
    <x v="7"/>
    <n v="6.3266972477026302"/>
    <x v="0"/>
    <x v="0"/>
    <x v="1"/>
    <x v="4"/>
    <x v="5"/>
    <x v="7"/>
    <n v="6.896099999995867"/>
  </r>
  <r>
    <x v="7"/>
    <x v="0"/>
    <x v="7"/>
    <x v="7"/>
    <x v="0"/>
    <x v="0"/>
    <x v="0"/>
    <x v="0"/>
    <x v="0"/>
    <x v="0"/>
    <x v="0"/>
    <x v="0"/>
    <x v="2"/>
    <x v="10"/>
    <x v="10"/>
    <x v="9"/>
    <x v="9"/>
    <n v="87.0464995504706"/>
    <x v="0"/>
    <x v="0"/>
    <x v="1"/>
    <x v="4"/>
    <x v="5"/>
    <x v="9"/>
    <n v="94.880684510012955"/>
  </r>
  <r>
    <x v="7"/>
    <x v="0"/>
    <x v="7"/>
    <x v="7"/>
    <x v="0"/>
    <x v="0"/>
    <x v="0"/>
    <x v="0"/>
    <x v="0"/>
    <x v="0"/>
    <x v="0"/>
    <x v="0"/>
    <x v="2"/>
    <x v="10"/>
    <x v="10"/>
    <x v="10"/>
    <x v="10"/>
    <n v="31.454345073532799"/>
    <x v="0"/>
    <x v="0"/>
    <x v="1"/>
    <x v="4"/>
    <x v="5"/>
    <x v="10"/>
    <n v="34.285236130150757"/>
  </r>
  <r>
    <x v="7"/>
    <x v="0"/>
    <x v="7"/>
    <x v="7"/>
    <x v="0"/>
    <x v="0"/>
    <x v="0"/>
    <x v="0"/>
    <x v="0"/>
    <x v="0"/>
    <x v="0"/>
    <x v="0"/>
    <x v="2"/>
    <x v="10"/>
    <x v="10"/>
    <x v="11"/>
    <x v="11"/>
    <n v="12.365919999999999"/>
    <x v="0"/>
    <x v="0"/>
    <x v="3"/>
    <x v="5"/>
    <x v="7"/>
    <x v="11"/>
    <n v="13.4788528"/>
  </r>
  <r>
    <x v="7"/>
    <x v="0"/>
    <x v="7"/>
    <x v="7"/>
    <x v="0"/>
    <x v="0"/>
    <x v="0"/>
    <x v="0"/>
    <x v="0"/>
    <x v="0"/>
    <x v="0"/>
    <x v="0"/>
    <x v="2"/>
    <x v="10"/>
    <x v="10"/>
    <x v="22"/>
    <x v="22"/>
    <n v="1.20013440859735"/>
    <x v="0"/>
    <x v="0"/>
    <x v="0"/>
    <x v="0"/>
    <x v="0"/>
    <x v="0"/>
    <n v="1.3081465053711117"/>
  </r>
  <r>
    <x v="7"/>
    <x v="0"/>
    <x v="7"/>
    <x v="7"/>
    <x v="0"/>
    <x v="0"/>
    <x v="0"/>
    <x v="0"/>
    <x v="0"/>
    <x v="0"/>
    <x v="0"/>
    <x v="0"/>
    <x v="2"/>
    <x v="10"/>
    <x v="10"/>
    <x v="36"/>
    <x v="36"/>
    <n v="13.3164403669645"/>
    <x v="0"/>
    <x v="0"/>
    <x v="1"/>
    <x v="3"/>
    <x v="3"/>
    <x v="4"/>
    <n v="14.514919999991307"/>
  </r>
  <r>
    <x v="7"/>
    <x v="0"/>
    <x v="7"/>
    <x v="7"/>
    <x v="0"/>
    <x v="0"/>
    <x v="0"/>
    <x v="0"/>
    <x v="0"/>
    <x v="0"/>
    <x v="0"/>
    <x v="0"/>
    <x v="2"/>
    <x v="10"/>
    <x v="10"/>
    <x v="24"/>
    <x v="24"/>
    <n v="19.790266055033999"/>
    <x v="0"/>
    <x v="0"/>
    <x v="1"/>
    <x v="3"/>
    <x v="3"/>
    <x v="4"/>
    <n v="21.571389999987062"/>
  </r>
  <r>
    <x v="7"/>
    <x v="0"/>
    <x v="7"/>
    <x v="7"/>
    <x v="0"/>
    <x v="0"/>
    <x v="0"/>
    <x v="0"/>
    <x v="0"/>
    <x v="0"/>
    <x v="0"/>
    <x v="0"/>
    <x v="2"/>
    <x v="10"/>
    <x v="10"/>
    <x v="17"/>
    <x v="17"/>
    <n v="12.55701"/>
    <x v="0"/>
    <x v="0"/>
    <x v="0"/>
    <x v="0"/>
    <x v="4"/>
    <x v="17"/>
    <n v="13.687140900000001"/>
  </r>
  <r>
    <x v="7"/>
    <x v="0"/>
    <x v="7"/>
    <x v="7"/>
    <x v="0"/>
    <x v="0"/>
    <x v="0"/>
    <x v="0"/>
    <x v="0"/>
    <x v="0"/>
    <x v="0"/>
    <x v="0"/>
    <x v="2"/>
    <x v="10"/>
    <x v="10"/>
    <x v="21"/>
    <x v="21"/>
    <n v="83.984155963252405"/>
    <x v="0"/>
    <x v="0"/>
    <x v="1"/>
    <x v="4"/>
    <x v="5"/>
    <x v="10"/>
    <n v="91.542729999945124"/>
  </r>
  <r>
    <x v="7"/>
    <x v="0"/>
    <x v="7"/>
    <x v="7"/>
    <x v="0"/>
    <x v="0"/>
    <x v="0"/>
    <x v="0"/>
    <x v="0"/>
    <x v="0"/>
    <x v="0"/>
    <x v="0"/>
    <x v="2"/>
    <x v="10"/>
    <x v="10"/>
    <x v="18"/>
    <x v="18"/>
    <n v="21.360040000000001"/>
    <x v="0"/>
    <x v="0"/>
    <x v="0"/>
    <x v="0"/>
    <x v="4"/>
    <x v="18"/>
    <n v="23.282443600000004"/>
  </r>
  <r>
    <x v="7"/>
    <x v="0"/>
    <x v="7"/>
    <x v="7"/>
    <x v="0"/>
    <x v="0"/>
    <x v="0"/>
    <x v="0"/>
    <x v="0"/>
    <x v="0"/>
    <x v="0"/>
    <x v="0"/>
    <x v="2"/>
    <x v="10"/>
    <x v="10"/>
    <x v="34"/>
    <x v="34"/>
    <n v="11.0995737989379"/>
    <x v="0"/>
    <x v="0"/>
    <x v="0"/>
    <x v="0"/>
    <x v="0"/>
    <x v="0"/>
    <n v="12.098535440842312"/>
  </r>
  <r>
    <x v="7"/>
    <x v="0"/>
    <x v="7"/>
    <x v="7"/>
    <x v="0"/>
    <x v="0"/>
    <x v="0"/>
    <x v="0"/>
    <x v="0"/>
    <x v="0"/>
    <x v="0"/>
    <x v="0"/>
    <x v="2"/>
    <x v="10"/>
    <x v="10"/>
    <x v="37"/>
    <x v="37"/>
    <n v="12.316293577974299"/>
    <x v="0"/>
    <x v="0"/>
    <x v="1"/>
    <x v="3"/>
    <x v="3"/>
    <x v="4"/>
    <n v="13.424759999991988"/>
  </r>
  <r>
    <x v="7"/>
    <x v="0"/>
    <x v="7"/>
    <x v="7"/>
    <x v="0"/>
    <x v="0"/>
    <x v="0"/>
    <x v="0"/>
    <x v="0"/>
    <x v="0"/>
    <x v="0"/>
    <x v="0"/>
    <x v="2"/>
    <x v="10"/>
    <x v="10"/>
    <x v="26"/>
    <x v="26"/>
    <n v="31.189577981632699"/>
    <x v="0"/>
    <x v="0"/>
    <x v="1"/>
    <x v="3"/>
    <x v="3"/>
    <x v="15"/>
    <n v="33.996639999979642"/>
  </r>
  <r>
    <x v="7"/>
    <x v="0"/>
    <x v="7"/>
    <x v="7"/>
    <x v="0"/>
    <x v="0"/>
    <x v="0"/>
    <x v="0"/>
    <x v="0"/>
    <x v="0"/>
    <x v="0"/>
    <x v="0"/>
    <x v="2"/>
    <x v="10"/>
    <x v="10"/>
    <x v="0"/>
    <x v="0"/>
    <n v="39.896356761454101"/>
    <x v="0"/>
    <x v="0"/>
    <x v="0"/>
    <x v="0"/>
    <x v="0"/>
    <x v="0"/>
    <n v="43.487028869984975"/>
  </r>
  <r>
    <x v="7"/>
    <x v="0"/>
    <x v="7"/>
    <x v="7"/>
    <x v="0"/>
    <x v="0"/>
    <x v="0"/>
    <x v="0"/>
    <x v="0"/>
    <x v="0"/>
    <x v="0"/>
    <x v="0"/>
    <x v="2"/>
    <x v="10"/>
    <x v="10"/>
    <x v="2"/>
    <x v="2"/>
    <n v="438.83845871533299"/>
    <x v="0"/>
    <x v="1"/>
    <x v="2"/>
    <x v="2"/>
    <x v="13"/>
    <x v="2"/>
    <n v="478.33391999971298"/>
  </r>
  <r>
    <x v="7"/>
    <x v="0"/>
    <x v="7"/>
    <x v="7"/>
    <x v="0"/>
    <x v="0"/>
    <x v="0"/>
    <x v="0"/>
    <x v="0"/>
    <x v="0"/>
    <x v="0"/>
    <x v="0"/>
    <x v="4"/>
    <x v="5"/>
    <x v="5"/>
    <x v="4"/>
    <x v="4"/>
    <n v="1.3341376146781001"/>
    <x v="0"/>
    <x v="0"/>
    <x v="1"/>
    <x v="3"/>
    <x v="3"/>
    <x v="4"/>
    <n v="1.4542099999991291"/>
  </r>
  <r>
    <x v="7"/>
    <x v="0"/>
    <x v="7"/>
    <x v="7"/>
    <x v="0"/>
    <x v="0"/>
    <x v="0"/>
    <x v="0"/>
    <x v="0"/>
    <x v="0"/>
    <x v="0"/>
    <x v="0"/>
    <x v="4"/>
    <x v="5"/>
    <x v="5"/>
    <x v="5"/>
    <x v="5"/>
    <n v="54.667509202869503"/>
    <x v="0"/>
    <x v="0"/>
    <x v="1"/>
    <x v="1"/>
    <x v="1"/>
    <x v="5"/>
    <n v="59.587585031127766"/>
  </r>
  <r>
    <x v="7"/>
    <x v="0"/>
    <x v="7"/>
    <x v="7"/>
    <x v="0"/>
    <x v="0"/>
    <x v="0"/>
    <x v="0"/>
    <x v="0"/>
    <x v="0"/>
    <x v="0"/>
    <x v="0"/>
    <x v="4"/>
    <x v="5"/>
    <x v="5"/>
    <x v="6"/>
    <x v="6"/>
    <n v="396.36604"/>
    <x v="0"/>
    <x v="0"/>
    <x v="0"/>
    <x v="0"/>
    <x v="4"/>
    <x v="6"/>
    <n v="432.03898360000005"/>
  </r>
  <r>
    <x v="7"/>
    <x v="0"/>
    <x v="7"/>
    <x v="7"/>
    <x v="0"/>
    <x v="0"/>
    <x v="0"/>
    <x v="0"/>
    <x v="0"/>
    <x v="0"/>
    <x v="0"/>
    <x v="0"/>
    <x v="4"/>
    <x v="5"/>
    <x v="5"/>
    <x v="7"/>
    <x v="7"/>
    <n v="4.1004770642177197"/>
    <x v="0"/>
    <x v="0"/>
    <x v="1"/>
    <x v="4"/>
    <x v="5"/>
    <x v="7"/>
    <n v="4.4695199999973152"/>
  </r>
  <r>
    <x v="7"/>
    <x v="0"/>
    <x v="7"/>
    <x v="7"/>
    <x v="0"/>
    <x v="0"/>
    <x v="0"/>
    <x v="0"/>
    <x v="0"/>
    <x v="0"/>
    <x v="0"/>
    <x v="0"/>
    <x v="4"/>
    <x v="5"/>
    <x v="5"/>
    <x v="8"/>
    <x v="8"/>
    <n v="707.69127027479999"/>
    <x v="0"/>
    <x v="1"/>
    <x v="2"/>
    <x v="2"/>
    <x v="6"/>
    <x v="8"/>
    <n v="771.38348459953204"/>
  </r>
  <r>
    <x v="7"/>
    <x v="0"/>
    <x v="7"/>
    <x v="7"/>
    <x v="0"/>
    <x v="0"/>
    <x v="0"/>
    <x v="0"/>
    <x v="0"/>
    <x v="0"/>
    <x v="0"/>
    <x v="0"/>
    <x v="4"/>
    <x v="5"/>
    <x v="5"/>
    <x v="9"/>
    <x v="9"/>
    <n v="417.37685937247102"/>
    <x v="0"/>
    <x v="0"/>
    <x v="1"/>
    <x v="4"/>
    <x v="5"/>
    <x v="9"/>
    <n v="454.94077671599342"/>
  </r>
  <r>
    <x v="7"/>
    <x v="0"/>
    <x v="7"/>
    <x v="7"/>
    <x v="0"/>
    <x v="0"/>
    <x v="0"/>
    <x v="0"/>
    <x v="0"/>
    <x v="0"/>
    <x v="0"/>
    <x v="0"/>
    <x v="4"/>
    <x v="5"/>
    <x v="5"/>
    <x v="10"/>
    <x v="10"/>
    <n v="61.5598653911808"/>
    <x v="0"/>
    <x v="0"/>
    <x v="1"/>
    <x v="4"/>
    <x v="5"/>
    <x v="10"/>
    <n v="67.100253276387079"/>
  </r>
  <r>
    <x v="7"/>
    <x v="0"/>
    <x v="7"/>
    <x v="7"/>
    <x v="0"/>
    <x v="0"/>
    <x v="0"/>
    <x v="0"/>
    <x v="0"/>
    <x v="0"/>
    <x v="0"/>
    <x v="0"/>
    <x v="4"/>
    <x v="5"/>
    <x v="5"/>
    <x v="29"/>
    <x v="29"/>
    <n v="0.51476"/>
    <x v="0"/>
    <x v="0"/>
    <x v="1"/>
    <x v="3"/>
    <x v="3"/>
    <x v="13"/>
    <n v="0.56108840000000004"/>
  </r>
  <r>
    <x v="7"/>
    <x v="0"/>
    <x v="7"/>
    <x v="7"/>
    <x v="0"/>
    <x v="0"/>
    <x v="0"/>
    <x v="0"/>
    <x v="0"/>
    <x v="0"/>
    <x v="0"/>
    <x v="0"/>
    <x v="4"/>
    <x v="5"/>
    <x v="5"/>
    <x v="35"/>
    <x v="35"/>
    <n v="156.36000999999999"/>
    <x v="0"/>
    <x v="0"/>
    <x v="0"/>
    <x v="0"/>
    <x v="0"/>
    <x v="0"/>
    <n v="170.43241090000001"/>
  </r>
  <r>
    <x v="7"/>
    <x v="0"/>
    <x v="7"/>
    <x v="7"/>
    <x v="0"/>
    <x v="0"/>
    <x v="0"/>
    <x v="0"/>
    <x v="0"/>
    <x v="0"/>
    <x v="0"/>
    <x v="0"/>
    <x v="4"/>
    <x v="5"/>
    <x v="5"/>
    <x v="55"/>
    <x v="55"/>
    <n v="1.14495412843968"/>
    <x v="0"/>
    <x v="0"/>
    <x v="1"/>
    <x v="3"/>
    <x v="3"/>
    <x v="15"/>
    <n v="1.2479999999992513"/>
  </r>
  <r>
    <x v="7"/>
    <x v="0"/>
    <x v="7"/>
    <x v="7"/>
    <x v="0"/>
    <x v="0"/>
    <x v="0"/>
    <x v="0"/>
    <x v="0"/>
    <x v="0"/>
    <x v="0"/>
    <x v="0"/>
    <x v="4"/>
    <x v="5"/>
    <x v="5"/>
    <x v="88"/>
    <x v="88"/>
    <n v="0.12270642201828"/>
    <x v="0"/>
    <x v="0"/>
    <x v="1"/>
    <x v="4"/>
    <x v="5"/>
    <x v="9"/>
    <n v="0.13374999999992521"/>
  </r>
  <r>
    <x v="7"/>
    <x v="0"/>
    <x v="7"/>
    <x v="7"/>
    <x v="0"/>
    <x v="0"/>
    <x v="0"/>
    <x v="0"/>
    <x v="0"/>
    <x v="0"/>
    <x v="0"/>
    <x v="0"/>
    <x v="4"/>
    <x v="5"/>
    <x v="5"/>
    <x v="12"/>
    <x v="12"/>
    <n v="585.75395348614597"/>
    <x v="0"/>
    <x v="0"/>
    <x v="0"/>
    <x v="0"/>
    <x v="8"/>
    <x v="12"/>
    <n v="638.47180929989918"/>
  </r>
  <r>
    <x v="7"/>
    <x v="0"/>
    <x v="7"/>
    <x v="7"/>
    <x v="0"/>
    <x v="0"/>
    <x v="0"/>
    <x v="0"/>
    <x v="0"/>
    <x v="0"/>
    <x v="0"/>
    <x v="0"/>
    <x v="4"/>
    <x v="5"/>
    <x v="5"/>
    <x v="14"/>
    <x v="14"/>
    <n v="384.06912"/>
    <x v="0"/>
    <x v="0"/>
    <x v="0"/>
    <x v="0"/>
    <x v="8"/>
    <x v="14"/>
    <n v="418.63534080000005"/>
  </r>
  <r>
    <x v="7"/>
    <x v="0"/>
    <x v="7"/>
    <x v="7"/>
    <x v="0"/>
    <x v="0"/>
    <x v="0"/>
    <x v="0"/>
    <x v="0"/>
    <x v="0"/>
    <x v="0"/>
    <x v="0"/>
    <x v="4"/>
    <x v="5"/>
    <x v="5"/>
    <x v="22"/>
    <x v="22"/>
    <n v="16.1186451612258"/>
    <x v="0"/>
    <x v="0"/>
    <x v="0"/>
    <x v="0"/>
    <x v="0"/>
    <x v="0"/>
    <n v="17.569323225736124"/>
  </r>
  <r>
    <x v="7"/>
    <x v="0"/>
    <x v="7"/>
    <x v="7"/>
    <x v="0"/>
    <x v="0"/>
    <x v="0"/>
    <x v="0"/>
    <x v="0"/>
    <x v="0"/>
    <x v="0"/>
    <x v="0"/>
    <x v="4"/>
    <x v="5"/>
    <x v="5"/>
    <x v="33"/>
    <x v="33"/>
    <n v="2.0764403669712301"/>
    <x v="0"/>
    <x v="0"/>
    <x v="1"/>
    <x v="3"/>
    <x v="3"/>
    <x v="4"/>
    <n v="2.2633199999986409"/>
  </r>
  <r>
    <x v="7"/>
    <x v="0"/>
    <x v="7"/>
    <x v="7"/>
    <x v="0"/>
    <x v="0"/>
    <x v="0"/>
    <x v="0"/>
    <x v="0"/>
    <x v="0"/>
    <x v="0"/>
    <x v="0"/>
    <x v="4"/>
    <x v="5"/>
    <x v="5"/>
    <x v="36"/>
    <x v="36"/>
    <n v="51.772550458684499"/>
    <x v="0"/>
    <x v="0"/>
    <x v="1"/>
    <x v="3"/>
    <x v="3"/>
    <x v="4"/>
    <n v="56.432079999966106"/>
  </r>
  <r>
    <x v="7"/>
    <x v="0"/>
    <x v="7"/>
    <x v="7"/>
    <x v="0"/>
    <x v="0"/>
    <x v="0"/>
    <x v="0"/>
    <x v="0"/>
    <x v="0"/>
    <x v="0"/>
    <x v="0"/>
    <x v="4"/>
    <x v="5"/>
    <x v="5"/>
    <x v="23"/>
    <x v="23"/>
    <n v="3.5579266055024501"/>
    <x v="0"/>
    <x v="0"/>
    <x v="1"/>
    <x v="3"/>
    <x v="3"/>
    <x v="15"/>
    <n v="3.8781399999976709"/>
  </r>
  <r>
    <x v="7"/>
    <x v="0"/>
    <x v="7"/>
    <x v="7"/>
    <x v="0"/>
    <x v="0"/>
    <x v="0"/>
    <x v="0"/>
    <x v="0"/>
    <x v="0"/>
    <x v="0"/>
    <x v="0"/>
    <x v="4"/>
    <x v="5"/>
    <x v="5"/>
    <x v="24"/>
    <x v="24"/>
    <n v="31.805935779797402"/>
    <x v="0"/>
    <x v="0"/>
    <x v="1"/>
    <x v="3"/>
    <x v="3"/>
    <x v="4"/>
    <n v="34.668469999979173"/>
  </r>
  <r>
    <x v="7"/>
    <x v="0"/>
    <x v="7"/>
    <x v="7"/>
    <x v="0"/>
    <x v="0"/>
    <x v="0"/>
    <x v="0"/>
    <x v="0"/>
    <x v="0"/>
    <x v="0"/>
    <x v="0"/>
    <x v="4"/>
    <x v="5"/>
    <x v="5"/>
    <x v="17"/>
    <x v="17"/>
    <n v="137.72559000000001"/>
    <x v="0"/>
    <x v="0"/>
    <x v="0"/>
    <x v="0"/>
    <x v="4"/>
    <x v="17"/>
    <n v="150.12089310000002"/>
  </r>
  <r>
    <x v="7"/>
    <x v="0"/>
    <x v="7"/>
    <x v="7"/>
    <x v="0"/>
    <x v="0"/>
    <x v="0"/>
    <x v="0"/>
    <x v="0"/>
    <x v="0"/>
    <x v="0"/>
    <x v="0"/>
    <x v="4"/>
    <x v="5"/>
    <x v="5"/>
    <x v="21"/>
    <x v="21"/>
    <n v="75.758100917385704"/>
    <x v="0"/>
    <x v="0"/>
    <x v="1"/>
    <x v="4"/>
    <x v="5"/>
    <x v="10"/>
    <n v="82.576329999950417"/>
  </r>
  <r>
    <x v="7"/>
    <x v="0"/>
    <x v="7"/>
    <x v="7"/>
    <x v="0"/>
    <x v="0"/>
    <x v="0"/>
    <x v="0"/>
    <x v="0"/>
    <x v="0"/>
    <x v="0"/>
    <x v="0"/>
    <x v="4"/>
    <x v="5"/>
    <x v="5"/>
    <x v="18"/>
    <x v="18"/>
    <n v="257.76103999999998"/>
    <x v="0"/>
    <x v="0"/>
    <x v="0"/>
    <x v="0"/>
    <x v="4"/>
    <x v="18"/>
    <n v="280.95953359999999"/>
  </r>
  <r>
    <x v="7"/>
    <x v="0"/>
    <x v="7"/>
    <x v="7"/>
    <x v="0"/>
    <x v="0"/>
    <x v="0"/>
    <x v="0"/>
    <x v="0"/>
    <x v="0"/>
    <x v="0"/>
    <x v="0"/>
    <x v="4"/>
    <x v="5"/>
    <x v="5"/>
    <x v="34"/>
    <x v="34"/>
    <n v="44.966110916266103"/>
    <x v="0"/>
    <x v="0"/>
    <x v="0"/>
    <x v="0"/>
    <x v="0"/>
    <x v="0"/>
    <n v="49.013060898730053"/>
  </r>
  <r>
    <x v="7"/>
    <x v="0"/>
    <x v="7"/>
    <x v="7"/>
    <x v="0"/>
    <x v="0"/>
    <x v="0"/>
    <x v="0"/>
    <x v="0"/>
    <x v="0"/>
    <x v="0"/>
    <x v="0"/>
    <x v="4"/>
    <x v="5"/>
    <x v="5"/>
    <x v="25"/>
    <x v="25"/>
    <n v="10.279853211002999"/>
    <x v="0"/>
    <x v="0"/>
    <x v="1"/>
    <x v="4"/>
    <x v="5"/>
    <x v="9"/>
    <n v="11.20503999999327"/>
  </r>
  <r>
    <x v="7"/>
    <x v="0"/>
    <x v="7"/>
    <x v="7"/>
    <x v="0"/>
    <x v="0"/>
    <x v="0"/>
    <x v="0"/>
    <x v="0"/>
    <x v="0"/>
    <x v="0"/>
    <x v="0"/>
    <x v="4"/>
    <x v="5"/>
    <x v="5"/>
    <x v="37"/>
    <x v="37"/>
    <n v="45.192844036670103"/>
    <x v="0"/>
    <x v="0"/>
    <x v="1"/>
    <x v="3"/>
    <x v="3"/>
    <x v="4"/>
    <n v="49.260199999970418"/>
  </r>
  <r>
    <x v="7"/>
    <x v="0"/>
    <x v="7"/>
    <x v="7"/>
    <x v="0"/>
    <x v="0"/>
    <x v="0"/>
    <x v="0"/>
    <x v="0"/>
    <x v="0"/>
    <x v="0"/>
    <x v="0"/>
    <x v="4"/>
    <x v="5"/>
    <x v="5"/>
    <x v="27"/>
    <x v="27"/>
    <n v="56.727351352554003"/>
    <x v="0"/>
    <x v="0"/>
    <x v="1"/>
    <x v="3"/>
    <x v="3"/>
    <x v="19"/>
    <n v="61.832812974283868"/>
  </r>
  <r>
    <x v="7"/>
    <x v="0"/>
    <x v="7"/>
    <x v="7"/>
    <x v="0"/>
    <x v="0"/>
    <x v="0"/>
    <x v="0"/>
    <x v="0"/>
    <x v="0"/>
    <x v="0"/>
    <x v="0"/>
    <x v="4"/>
    <x v="5"/>
    <x v="5"/>
    <x v="26"/>
    <x v="26"/>
    <n v="24.758495412829198"/>
    <x v="0"/>
    <x v="0"/>
    <x v="1"/>
    <x v="3"/>
    <x v="3"/>
    <x v="15"/>
    <n v="26.986759999983828"/>
  </r>
  <r>
    <x v="7"/>
    <x v="0"/>
    <x v="7"/>
    <x v="7"/>
    <x v="0"/>
    <x v="0"/>
    <x v="0"/>
    <x v="0"/>
    <x v="0"/>
    <x v="0"/>
    <x v="0"/>
    <x v="0"/>
    <x v="4"/>
    <x v="5"/>
    <x v="5"/>
    <x v="0"/>
    <x v="0"/>
    <n v="62.677527579895703"/>
    <x v="0"/>
    <x v="0"/>
    <x v="0"/>
    <x v="0"/>
    <x v="0"/>
    <x v="0"/>
    <n v="68.318505062086317"/>
  </r>
  <r>
    <x v="7"/>
    <x v="0"/>
    <x v="7"/>
    <x v="7"/>
    <x v="0"/>
    <x v="0"/>
    <x v="0"/>
    <x v="0"/>
    <x v="0"/>
    <x v="0"/>
    <x v="0"/>
    <x v="0"/>
    <x v="4"/>
    <x v="5"/>
    <x v="5"/>
    <x v="2"/>
    <x v="2"/>
    <n v="2328.6072660536502"/>
    <x v="0"/>
    <x v="1"/>
    <x v="2"/>
    <x v="2"/>
    <x v="13"/>
    <x v="2"/>
    <n v="2538.1819199984789"/>
  </r>
  <r>
    <x v="7"/>
    <x v="0"/>
    <x v="7"/>
    <x v="7"/>
    <x v="0"/>
    <x v="0"/>
    <x v="0"/>
    <x v="0"/>
    <x v="0"/>
    <x v="0"/>
    <x v="0"/>
    <x v="0"/>
    <x v="4"/>
    <x v="5"/>
    <x v="5"/>
    <x v="3"/>
    <x v="3"/>
    <n v="17.966761574953299"/>
    <x v="0"/>
    <x v="0"/>
    <x v="1"/>
    <x v="3"/>
    <x v="3"/>
    <x v="3"/>
    <n v="19.583770116699096"/>
  </r>
  <r>
    <x v="7"/>
    <x v="0"/>
    <x v="7"/>
    <x v="7"/>
    <x v="0"/>
    <x v="0"/>
    <x v="0"/>
    <x v="0"/>
    <x v="0"/>
    <x v="0"/>
    <x v="3"/>
    <x v="3"/>
    <x v="3"/>
    <x v="3"/>
    <x v="3"/>
    <x v="3"/>
    <x v="3"/>
    <n v="2.5415246303436301"/>
    <x v="0"/>
    <x v="0"/>
    <x v="1"/>
    <x v="3"/>
    <x v="3"/>
    <x v="3"/>
    <n v="2.7702618470745568"/>
  </r>
  <r>
    <x v="7"/>
    <x v="0"/>
    <x v="7"/>
    <x v="7"/>
    <x v="0"/>
    <x v="0"/>
    <x v="0"/>
    <x v="0"/>
    <x v="0"/>
    <x v="0"/>
    <x v="3"/>
    <x v="3"/>
    <x v="0"/>
    <x v="4"/>
    <x v="4"/>
    <x v="16"/>
    <x v="16"/>
    <n v="6.7625999999999999"/>
    <x v="0"/>
    <x v="0"/>
    <x v="3"/>
    <x v="5"/>
    <x v="9"/>
    <x v="16"/>
    <n v="7.3712340000000003"/>
  </r>
  <r>
    <x v="7"/>
    <x v="0"/>
    <x v="7"/>
    <x v="7"/>
    <x v="0"/>
    <x v="0"/>
    <x v="0"/>
    <x v="0"/>
    <x v="0"/>
    <x v="0"/>
    <x v="3"/>
    <x v="3"/>
    <x v="2"/>
    <x v="2"/>
    <x v="2"/>
    <x v="5"/>
    <x v="5"/>
    <n v="11.0658220859737"/>
    <x v="0"/>
    <x v="0"/>
    <x v="1"/>
    <x v="1"/>
    <x v="1"/>
    <x v="5"/>
    <n v="12.061746073711333"/>
  </r>
  <r>
    <x v="7"/>
    <x v="0"/>
    <x v="7"/>
    <x v="7"/>
    <x v="0"/>
    <x v="0"/>
    <x v="0"/>
    <x v="0"/>
    <x v="0"/>
    <x v="0"/>
    <x v="3"/>
    <x v="3"/>
    <x v="2"/>
    <x v="2"/>
    <x v="2"/>
    <x v="6"/>
    <x v="6"/>
    <n v="20.599409999999999"/>
    <x v="0"/>
    <x v="0"/>
    <x v="0"/>
    <x v="0"/>
    <x v="4"/>
    <x v="6"/>
    <n v="22.453356899999999"/>
  </r>
  <r>
    <x v="7"/>
    <x v="0"/>
    <x v="7"/>
    <x v="7"/>
    <x v="0"/>
    <x v="0"/>
    <x v="0"/>
    <x v="0"/>
    <x v="0"/>
    <x v="0"/>
    <x v="3"/>
    <x v="3"/>
    <x v="2"/>
    <x v="2"/>
    <x v="2"/>
    <x v="8"/>
    <x v="8"/>
    <n v="123.40137837916799"/>
    <x v="0"/>
    <x v="1"/>
    <x v="2"/>
    <x v="2"/>
    <x v="6"/>
    <x v="8"/>
    <n v="134.50750243329313"/>
  </r>
  <r>
    <x v="7"/>
    <x v="0"/>
    <x v="7"/>
    <x v="7"/>
    <x v="0"/>
    <x v="0"/>
    <x v="0"/>
    <x v="0"/>
    <x v="0"/>
    <x v="0"/>
    <x v="3"/>
    <x v="3"/>
    <x v="2"/>
    <x v="2"/>
    <x v="2"/>
    <x v="9"/>
    <x v="9"/>
    <n v="9.2110091743059994E-2"/>
    <x v="0"/>
    <x v="0"/>
    <x v="1"/>
    <x v="4"/>
    <x v="5"/>
    <x v="9"/>
    <n v="0.1003999999999354"/>
  </r>
  <r>
    <x v="7"/>
    <x v="0"/>
    <x v="7"/>
    <x v="7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7"/>
    <x v="0"/>
    <x v="7"/>
    <x v="7"/>
    <x v="0"/>
    <x v="0"/>
    <x v="0"/>
    <x v="0"/>
    <x v="0"/>
    <x v="0"/>
    <x v="3"/>
    <x v="3"/>
    <x v="2"/>
    <x v="2"/>
    <x v="2"/>
    <x v="16"/>
    <x v="16"/>
    <n v="23.55312"/>
    <x v="0"/>
    <x v="0"/>
    <x v="3"/>
    <x v="5"/>
    <x v="9"/>
    <x v="16"/>
    <n v="25.672900800000001"/>
  </r>
  <r>
    <x v="7"/>
    <x v="0"/>
    <x v="7"/>
    <x v="7"/>
    <x v="0"/>
    <x v="0"/>
    <x v="0"/>
    <x v="0"/>
    <x v="0"/>
    <x v="0"/>
    <x v="3"/>
    <x v="3"/>
    <x v="2"/>
    <x v="2"/>
    <x v="2"/>
    <x v="2"/>
    <x v="2"/>
    <n v="72.802009174268306"/>
    <x v="0"/>
    <x v="1"/>
    <x v="2"/>
    <x v="2"/>
    <x v="13"/>
    <x v="2"/>
    <n v="79.354189999952453"/>
  </r>
  <r>
    <x v="7"/>
    <x v="0"/>
    <x v="7"/>
    <x v="7"/>
    <x v="0"/>
    <x v="0"/>
    <x v="0"/>
    <x v="0"/>
    <x v="0"/>
    <x v="0"/>
    <x v="3"/>
    <x v="3"/>
    <x v="4"/>
    <x v="5"/>
    <x v="5"/>
    <x v="8"/>
    <x v="8"/>
    <n v="30.473027027221999"/>
    <x v="0"/>
    <x v="1"/>
    <x v="2"/>
    <x v="2"/>
    <x v="6"/>
    <x v="8"/>
    <n v="33.215599459671978"/>
  </r>
  <r>
    <x v="7"/>
    <x v="0"/>
    <x v="7"/>
    <x v="7"/>
    <x v="0"/>
    <x v="0"/>
    <x v="0"/>
    <x v="0"/>
    <x v="0"/>
    <x v="0"/>
    <x v="3"/>
    <x v="3"/>
    <x v="4"/>
    <x v="5"/>
    <x v="5"/>
    <x v="12"/>
    <x v="12"/>
    <n v="27.121767441757399"/>
    <x v="0"/>
    <x v="0"/>
    <x v="0"/>
    <x v="0"/>
    <x v="8"/>
    <x v="12"/>
    <n v="29.562726511515567"/>
  </r>
  <r>
    <x v="7"/>
    <x v="0"/>
    <x v="7"/>
    <x v="7"/>
    <x v="0"/>
    <x v="0"/>
    <x v="0"/>
    <x v="0"/>
    <x v="0"/>
    <x v="0"/>
    <x v="3"/>
    <x v="3"/>
    <x v="4"/>
    <x v="5"/>
    <x v="5"/>
    <x v="18"/>
    <x v="18"/>
    <n v="10.216620000000001"/>
    <x v="0"/>
    <x v="0"/>
    <x v="0"/>
    <x v="0"/>
    <x v="4"/>
    <x v="18"/>
    <n v="11.136115800000002"/>
  </r>
  <r>
    <x v="7"/>
    <x v="0"/>
    <x v="7"/>
    <x v="7"/>
    <x v="0"/>
    <x v="0"/>
    <x v="0"/>
    <x v="0"/>
    <x v="0"/>
    <x v="0"/>
    <x v="3"/>
    <x v="3"/>
    <x v="4"/>
    <x v="5"/>
    <x v="5"/>
    <x v="27"/>
    <x v="27"/>
    <n v="2.7027027027599999"/>
    <x v="0"/>
    <x v="0"/>
    <x v="1"/>
    <x v="3"/>
    <x v="3"/>
    <x v="19"/>
    <n v="2.9459459460084001"/>
  </r>
  <r>
    <x v="7"/>
    <x v="0"/>
    <x v="7"/>
    <x v="7"/>
    <x v="0"/>
    <x v="0"/>
    <x v="0"/>
    <x v="0"/>
    <x v="0"/>
    <x v="0"/>
    <x v="3"/>
    <x v="3"/>
    <x v="4"/>
    <x v="5"/>
    <x v="5"/>
    <x v="0"/>
    <x v="0"/>
    <n v="164.63119217035799"/>
    <x v="0"/>
    <x v="0"/>
    <x v="0"/>
    <x v="0"/>
    <x v="0"/>
    <x v="0"/>
    <n v="179.44799946569023"/>
  </r>
  <r>
    <x v="7"/>
    <x v="0"/>
    <x v="7"/>
    <x v="7"/>
    <x v="0"/>
    <x v="0"/>
    <x v="0"/>
    <x v="0"/>
    <x v="0"/>
    <x v="0"/>
    <x v="3"/>
    <x v="3"/>
    <x v="4"/>
    <x v="5"/>
    <x v="5"/>
    <x v="2"/>
    <x v="2"/>
    <n v="5.2369908256849298"/>
    <x v="0"/>
    <x v="1"/>
    <x v="2"/>
    <x v="2"/>
    <x v="13"/>
    <x v="2"/>
    <n v="5.7083199999965739"/>
  </r>
  <r>
    <x v="7"/>
    <x v="0"/>
    <x v="7"/>
    <x v="7"/>
    <x v="0"/>
    <x v="0"/>
    <x v="0"/>
    <x v="0"/>
    <x v="0"/>
    <x v="0"/>
    <x v="18"/>
    <x v="18"/>
    <x v="0"/>
    <x v="4"/>
    <x v="4"/>
    <x v="6"/>
    <x v="6"/>
    <n v="9.9"/>
    <x v="0"/>
    <x v="0"/>
    <x v="0"/>
    <x v="0"/>
    <x v="4"/>
    <x v="6"/>
    <n v="10.791"/>
  </r>
  <r>
    <x v="7"/>
    <x v="0"/>
    <x v="7"/>
    <x v="7"/>
    <x v="0"/>
    <x v="0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7"/>
    <x v="0"/>
    <x v="7"/>
    <x v="7"/>
    <x v="0"/>
    <x v="0"/>
    <x v="0"/>
    <x v="0"/>
    <x v="0"/>
    <x v="0"/>
    <x v="4"/>
    <x v="4"/>
    <x v="2"/>
    <x v="2"/>
    <x v="2"/>
    <x v="5"/>
    <x v="5"/>
    <n v="0.46528834356181997"/>
    <x v="0"/>
    <x v="0"/>
    <x v="1"/>
    <x v="1"/>
    <x v="1"/>
    <x v="5"/>
    <n v="0.50716429448238376"/>
  </r>
  <r>
    <x v="7"/>
    <x v="0"/>
    <x v="7"/>
    <x v="7"/>
    <x v="0"/>
    <x v="0"/>
    <x v="0"/>
    <x v="0"/>
    <x v="0"/>
    <x v="0"/>
    <x v="4"/>
    <x v="4"/>
    <x v="2"/>
    <x v="2"/>
    <x v="2"/>
    <x v="6"/>
    <x v="6"/>
    <n v="0.74"/>
    <x v="0"/>
    <x v="0"/>
    <x v="0"/>
    <x v="0"/>
    <x v="4"/>
    <x v="6"/>
    <n v="0.80660000000000009"/>
  </r>
  <r>
    <x v="7"/>
    <x v="0"/>
    <x v="7"/>
    <x v="7"/>
    <x v="0"/>
    <x v="0"/>
    <x v="0"/>
    <x v="0"/>
    <x v="0"/>
    <x v="0"/>
    <x v="4"/>
    <x v="4"/>
    <x v="2"/>
    <x v="2"/>
    <x v="2"/>
    <x v="7"/>
    <x v="7"/>
    <n v="0.48303669724741999"/>
    <x v="0"/>
    <x v="0"/>
    <x v="1"/>
    <x v="4"/>
    <x v="5"/>
    <x v="7"/>
    <n v="0.52650999999968784"/>
  </r>
  <r>
    <x v="7"/>
    <x v="0"/>
    <x v="7"/>
    <x v="7"/>
    <x v="0"/>
    <x v="0"/>
    <x v="0"/>
    <x v="0"/>
    <x v="0"/>
    <x v="0"/>
    <x v="4"/>
    <x v="4"/>
    <x v="2"/>
    <x v="2"/>
    <x v="2"/>
    <x v="8"/>
    <x v="8"/>
    <n v="4.1729729729999998E-2"/>
    <x v="0"/>
    <x v="1"/>
    <x v="2"/>
    <x v="2"/>
    <x v="6"/>
    <x v="8"/>
    <n v="4.5485405405700001E-2"/>
  </r>
  <r>
    <x v="7"/>
    <x v="0"/>
    <x v="7"/>
    <x v="7"/>
    <x v="0"/>
    <x v="0"/>
    <x v="0"/>
    <x v="0"/>
    <x v="0"/>
    <x v="0"/>
    <x v="4"/>
    <x v="4"/>
    <x v="2"/>
    <x v="2"/>
    <x v="2"/>
    <x v="9"/>
    <x v="9"/>
    <n v="4.0862385321079997E-2"/>
    <x v="0"/>
    <x v="0"/>
    <x v="1"/>
    <x v="4"/>
    <x v="5"/>
    <x v="9"/>
    <n v="4.4539999999977202E-2"/>
  </r>
  <r>
    <x v="7"/>
    <x v="0"/>
    <x v="7"/>
    <x v="7"/>
    <x v="0"/>
    <x v="0"/>
    <x v="0"/>
    <x v="0"/>
    <x v="0"/>
    <x v="0"/>
    <x v="4"/>
    <x v="4"/>
    <x v="2"/>
    <x v="2"/>
    <x v="2"/>
    <x v="11"/>
    <x v="11"/>
    <n v="0.36635000000000001"/>
    <x v="0"/>
    <x v="0"/>
    <x v="3"/>
    <x v="5"/>
    <x v="7"/>
    <x v="11"/>
    <n v="0.39932150000000005"/>
  </r>
  <r>
    <x v="7"/>
    <x v="0"/>
    <x v="7"/>
    <x v="7"/>
    <x v="0"/>
    <x v="0"/>
    <x v="0"/>
    <x v="0"/>
    <x v="0"/>
    <x v="0"/>
    <x v="4"/>
    <x v="4"/>
    <x v="2"/>
    <x v="2"/>
    <x v="2"/>
    <x v="12"/>
    <x v="12"/>
    <n v="22.180813953404101"/>
    <x v="0"/>
    <x v="0"/>
    <x v="0"/>
    <x v="0"/>
    <x v="8"/>
    <x v="12"/>
    <n v="24.177087209210473"/>
  </r>
  <r>
    <x v="7"/>
    <x v="0"/>
    <x v="7"/>
    <x v="7"/>
    <x v="0"/>
    <x v="0"/>
    <x v="0"/>
    <x v="0"/>
    <x v="0"/>
    <x v="0"/>
    <x v="4"/>
    <x v="4"/>
    <x v="2"/>
    <x v="2"/>
    <x v="2"/>
    <x v="14"/>
    <x v="14"/>
    <n v="0.46500999999999998"/>
    <x v="0"/>
    <x v="0"/>
    <x v="0"/>
    <x v="0"/>
    <x v="8"/>
    <x v="14"/>
    <n v="0.50686090000000006"/>
  </r>
  <r>
    <x v="7"/>
    <x v="0"/>
    <x v="7"/>
    <x v="7"/>
    <x v="0"/>
    <x v="0"/>
    <x v="0"/>
    <x v="0"/>
    <x v="0"/>
    <x v="0"/>
    <x v="4"/>
    <x v="4"/>
    <x v="2"/>
    <x v="2"/>
    <x v="2"/>
    <x v="16"/>
    <x v="16"/>
    <n v="6.2579500000000001"/>
    <x v="0"/>
    <x v="0"/>
    <x v="3"/>
    <x v="5"/>
    <x v="9"/>
    <x v="16"/>
    <n v="6.8211655000000002"/>
  </r>
  <r>
    <x v="7"/>
    <x v="0"/>
    <x v="7"/>
    <x v="7"/>
    <x v="0"/>
    <x v="0"/>
    <x v="0"/>
    <x v="0"/>
    <x v="0"/>
    <x v="0"/>
    <x v="4"/>
    <x v="4"/>
    <x v="2"/>
    <x v="2"/>
    <x v="2"/>
    <x v="25"/>
    <x v="25"/>
    <n v="9.7944954128380002E-2"/>
    <x v="0"/>
    <x v="0"/>
    <x v="1"/>
    <x v="4"/>
    <x v="5"/>
    <x v="9"/>
    <n v="0.10675999999993421"/>
  </r>
  <r>
    <x v="7"/>
    <x v="0"/>
    <x v="7"/>
    <x v="7"/>
    <x v="0"/>
    <x v="0"/>
    <x v="0"/>
    <x v="0"/>
    <x v="0"/>
    <x v="0"/>
    <x v="4"/>
    <x v="4"/>
    <x v="2"/>
    <x v="2"/>
    <x v="2"/>
    <x v="27"/>
    <x v="27"/>
    <n v="1.0911351351582701"/>
    <x v="0"/>
    <x v="0"/>
    <x v="1"/>
    <x v="3"/>
    <x v="3"/>
    <x v="19"/>
    <n v="1.1893372973225145"/>
  </r>
  <r>
    <x v="7"/>
    <x v="0"/>
    <x v="7"/>
    <x v="7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7"/>
    <x v="0"/>
    <x v="7"/>
    <x v="7"/>
    <x v="0"/>
    <x v="0"/>
    <x v="0"/>
    <x v="0"/>
    <x v="2"/>
    <x v="2"/>
    <x v="5"/>
    <x v="5"/>
    <x v="2"/>
    <x v="2"/>
    <x v="2"/>
    <x v="42"/>
    <x v="42"/>
    <n v="0.94367000000000001"/>
    <x v="1"/>
    <x v="2"/>
    <x v="5"/>
    <x v="7"/>
    <x v="11"/>
    <x v="22"/>
    <n v="1.0286003000000001"/>
  </r>
  <r>
    <x v="7"/>
    <x v="0"/>
    <x v="7"/>
    <x v="7"/>
    <x v="0"/>
    <x v="0"/>
    <x v="0"/>
    <x v="0"/>
    <x v="2"/>
    <x v="2"/>
    <x v="5"/>
    <x v="5"/>
    <x v="2"/>
    <x v="2"/>
    <x v="2"/>
    <x v="41"/>
    <x v="41"/>
    <n v="0.19911702127583999"/>
    <x v="1"/>
    <x v="2"/>
    <x v="5"/>
    <x v="7"/>
    <x v="11"/>
    <x v="22"/>
    <n v="0.21703755319066562"/>
  </r>
  <r>
    <x v="7"/>
    <x v="0"/>
    <x v="7"/>
    <x v="7"/>
    <x v="0"/>
    <x v="0"/>
    <x v="0"/>
    <x v="0"/>
    <x v="2"/>
    <x v="2"/>
    <x v="5"/>
    <x v="5"/>
    <x v="2"/>
    <x v="2"/>
    <x v="2"/>
    <x v="40"/>
    <x v="40"/>
    <n v="15.565110000000001"/>
    <x v="1"/>
    <x v="2"/>
    <x v="5"/>
    <x v="7"/>
    <x v="11"/>
    <x v="22"/>
    <n v="16.965969900000001"/>
  </r>
  <r>
    <x v="7"/>
    <x v="0"/>
    <x v="7"/>
    <x v="7"/>
    <x v="0"/>
    <x v="0"/>
    <x v="0"/>
    <x v="0"/>
    <x v="2"/>
    <x v="2"/>
    <x v="5"/>
    <x v="5"/>
    <x v="2"/>
    <x v="2"/>
    <x v="2"/>
    <x v="38"/>
    <x v="38"/>
    <n v="106.86297999999999"/>
    <x v="1"/>
    <x v="0"/>
    <x v="4"/>
    <x v="6"/>
    <x v="10"/>
    <x v="21"/>
    <n v="116.4806482"/>
  </r>
  <r>
    <x v="7"/>
    <x v="0"/>
    <x v="7"/>
    <x v="7"/>
    <x v="0"/>
    <x v="0"/>
    <x v="0"/>
    <x v="0"/>
    <x v="0"/>
    <x v="0"/>
    <x v="5"/>
    <x v="5"/>
    <x v="2"/>
    <x v="2"/>
    <x v="2"/>
    <x v="17"/>
    <x v="17"/>
    <n v="0.82347999999999999"/>
    <x v="0"/>
    <x v="0"/>
    <x v="0"/>
    <x v="0"/>
    <x v="4"/>
    <x v="17"/>
    <n v="0.89759320000000009"/>
  </r>
  <r>
    <x v="7"/>
    <x v="0"/>
    <x v="7"/>
    <x v="7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7"/>
    <x v="0"/>
    <x v="7"/>
    <x v="7"/>
    <x v="0"/>
    <x v="0"/>
    <x v="0"/>
    <x v="0"/>
    <x v="2"/>
    <x v="2"/>
    <x v="5"/>
    <x v="5"/>
    <x v="3"/>
    <x v="7"/>
    <x v="7"/>
    <x v="40"/>
    <x v="40"/>
    <n v="4.4611200000000002"/>
    <x v="1"/>
    <x v="2"/>
    <x v="5"/>
    <x v="7"/>
    <x v="11"/>
    <x v="22"/>
    <n v="4.8626208000000002"/>
  </r>
  <r>
    <x v="7"/>
    <x v="0"/>
    <x v="7"/>
    <x v="7"/>
    <x v="0"/>
    <x v="0"/>
    <x v="0"/>
    <x v="0"/>
    <x v="2"/>
    <x v="2"/>
    <x v="5"/>
    <x v="5"/>
    <x v="1"/>
    <x v="8"/>
    <x v="8"/>
    <x v="40"/>
    <x v="40"/>
    <n v="3.4093599999999999"/>
    <x v="1"/>
    <x v="2"/>
    <x v="5"/>
    <x v="7"/>
    <x v="11"/>
    <x v="22"/>
    <n v="3.7162024000000002"/>
  </r>
  <r>
    <x v="7"/>
    <x v="0"/>
    <x v="7"/>
    <x v="7"/>
    <x v="0"/>
    <x v="0"/>
    <x v="0"/>
    <x v="0"/>
    <x v="2"/>
    <x v="2"/>
    <x v="5"/>
    <x v="5"/>
    <x v="2"/>
    <x v="10"/>
    <x v="10"/>
    <x v="40"/>
    <x v="40"/>
    <n v="0.72255999999999998"/>
    <x v="1"/>
    <x v="2"/>
    <x v="5"/>
    <x v="7"/>
    <x v="11"/>
    <x v="22"/>
    <n v="0.78759040000000002"/>
  </r>
  <r>
    <x v="7"/>
    <x v="0"/>
    <x v="7"/>
    <x v="7"/>
    <x v="0"/>
    <x v="0"/>
    <x v="0"/>
    <x v="0"/>
    <x v="2"/>
    <x v="2"/>
    <x v="5"/>
    <x v="5"/>
    <x v="4"/>
    <x v="5"/>
    <x v="5"/>
    <x v="40"/>
    <x v="40"/>
    <n v="117.78691999999999"/>
    <x v="1"/>
    <x v="2"/>
    <x v="5"/>
    <x v="7"/>
    <x v="11"/>
    <x v="22"/>
    <n v="128.38774280000001"/>
  </r>
  <r>
    <x v="7"/>
    <x v="0"/>
    <x v="7"/>
    <x v="7"/>
    <x v="0"/>
    <x v="0"/>
    <x v="0"/>
    <x v="0"/>
    <x v="2"/>
    <x v="2"/>
    <x v="6"/>
    <x v="6"/>
    <x v="2"/>
    <x v="2"/>
    <x v="2"/>
    <x v="40"/>
    <x v="40"/>
    <n v="0.36448000000000003"/>
    <x v="1"/>
    <x v="2"/>
    <x v="5"/>
    <x v="7"/>
    <x v="11"/>
    <x v="22"/>
    <n v="0.39728320000000006"/>
  </r>
  <r>
    <x v="7"/>
    <x v="0"/>
    <x v="7"/>
    <x v="7"/>
    <x v="0"/>
    <x v="0"/>
    <x v="0"/>
    <x v="0"/>
    <x v="2"/>
    <x v="2"/>
    <x v="7"/>
    <x v="7"/>
    <x v="2"/>
    <x v="2"/>
    <x v="2"/>
    <x v="40"/>
    <x v="40"/>
    <n v="12.51863"/>
    <x v="1"/>
    <x v="2"/>
    <x v="5"/>
    <x v="7"/>
    <x v="11"/>
    <x v="22"/>
    <n v="13.645306700000001"/>
  </r>
  <r>
    <x v="7"/>
    <x v="0"/>
    <x v="7"/>
    <x v="7"/>
    <x v="0"/>
    <x v="0"/>
    <x v="0"/>
    <x v="0"/>
    <x v="2"/>
    <x v="2"/>
    <x v="7"/>
    <x v="7"/>
    <x v="2"/>
    <x v="2"/>
    <x v="2"/>
    <x v="38"/>
    <x v="38"/>
    <n v="158.97601"/>
    <x v="1"/>
    <x v="0"/>
    <x v="4"/>
    <x v="6"/>
    <x v="10"/>
    <x v="21"/>
    <n v="173.2838509"/>
  </r>
  <r>
    <x v="7"/>
    <x v="0"/>
    <x v="7"/>
    <x v="7"/>
    <x v="0"/>
    <x v="0"/>
    <x v="0"/>
    <x v="0"/>
    <x v="2"/>
    <x v="2"/>
    <x v="7"/>
    <x v="7"/>
    <x v="2"/>
    <x v="2"/>
    <x v="2"/>
    <x v="43"/>
    <x v="43"/>
    <n v="10.96421"/>
    <x v="1"/>
    <x v="0"/>
    <x v="4"/>
    <x v="6"/>
    <x v="10"/>
    <x v="21"/>
    <n v="11.9509889"/>
  </r>
  <r>
    <x v="7"/>
    <x v="0"/>
    <x v="7"/>
    <x v="7"/>
    <x v="0"/>
    <x v="0"/>
    <x v="0"/>
    <x v="0"/>
    <x v="2"/>
    <x v="2"/>
    <x v="7"/>
    <x v="7"/>
    <x v="2"/>
    <x v="2"/>
    <x v="2"/>
    <x v="44"/>
    <x v="44"/>
    <n v="8.05565"/>
    <x v="1"/>
    <x v="0"/>
    <x v="4"/>
    <x v="6"/>
    <x v="10"/>
    <x v="21"/>
    <n v="8.7806585000000013"/>
  </r>
  <r>
    <x v="7"/>
    <x v="0"/>
    <x v="7"/>
    <x v="7"/>
    <x v="0"/>
    <x v="0"/>
    <x v="0"/>
    <x v="0"/>
    <x v="0"/>
    <x v="0"/>
    <x v="7"/>
    <x v="7"/>
    <x v="2"/>
    <x v="2"/>
    <x v="2"/>
    <x v="17"/>
    <x v="17"/>
    <n v="12.61774"/>
    <x v="0"/>
    <x v="0"/>
    <x v="0"/>
    <x v="0"/>
    <x v="4"/>
    <x v="17"/>
    <n v="13.753336600000001"/>
  </r>
  <r>
    <x v="7"/>
    <x v="0"/>
    <x v="7"/>
    <x v="7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7"/>
    <x v="0"/>
    <x v="7"/>
    <x v="7"/>
    <x v="0"/>
    <x v="0"/>
    <x v="0"/>
    <x v="0"/>
    <x v="2"/>
    <x v="2"/>
    <x v="7"/>
    <x v="7"/>
    <x v="2"/>
    <x v="2"/>
    <x v="2"/>
    <x v="46"/>
    <x v="46"/>
    <n v="0.45457999999999998"/>
    <x v="1"/>
    <x v="0"/>
    <x v="4"/>
    <x v="6"/>
    <x v="10"/>
    <x v="21"/>
    <n v="0.49549219999999999"/>
  </r>
  <r>
    <x v="7"/>
    <x v="0"/>
    <x v="7"/>
    <x v="7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7"/>
    <x v="0"/>
    <x v="7"/>
    <x v="7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7"/>
    <x v="0"/>
    <x v="7"/>
    <x v="7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7"/>
    <x v="0"/>
    <x v="7"/>
    <x v="7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7"/>
    <x v="0"/>
    <x v="7"/>
    <x v="7"/>
    <x v="0"/>
    <x v="0"/>
    <x v="0"/>
    <x v="0"/>
    <x v="2"/>
    <x v="2"/>
    <x v="7"/>
    <x v="7"/>
    <x v="3"/>
    <x v="7"/>
    <x v="7"/>
    <x v="40"/>
    <x v="40"/>
    <n v="129.11011999999999"/>
    <x v="1"/>
    <x v="2"/>
    <x v="5"/>
    <x v="7"/>
    <x v="11"/>
    <x v="22"/>
    <n v="140.73003080000001"/>
  </r>
  <r>
    <x v="7"/>
    <x v="0"/>
    <x v="7"/>
    <x v="7"/>
    <x v="0"/>
    <x v="0"/>
    <x v="0"/>
    <x v="0"/>
    <x v="2"/>
    <x v="2"/>
    <x v="7"/>
    <x v="7"/>
    <x v="1"/>
    <x v="8"/>
    <x v="8"/>
    <x v="40"/>
    <x v="40"/>
    <n v="12.616239999999999"/>
    <x v="1"/>
    <x v="2"/>
    <x v="5"/>
    <x v="7"/>
    <x v="11"/>
    <x v="22"/>
    <n v="13.751701600000001"/>
  </r>
  <r>
    <x v="7"/>
    <x v="0"/>
    <x v="7"/>
    <x v="7"/>
    <x v="0"/>
    <x v="0"/>
    <x v="0"/>
    <x v="0"/>
    <x v="2"/>
    <x v="2"/>
    <x v="7"/>
    <x v="7"/>
    <x v="2"/>
    <x v="10"/>
    <x v="10"/>
    <x v="40"/>
    <x v="40"/>
    <n v="2.4086400000000001"/>
    <x v="1"/>
    <x v="2"/>
    <x v="5"/>
    <x v="7"/>
    <x v="11"/>
    <x v="22"/>
    <n v="2.6254176000000005"/>
  </r>
  <r>
    <x v="7"/>
    <x v="0"/>
    <x v="7"/>
    <x v="7"/>
    <x v="0"/>
    <x v="0"/>
    <x v="0"/>
    <x v="0"/>
    <x v="2"/>
    <x v="2"/>
    <x v="7"/>
    <x v="7"/>
    <x v="4"/>
    <x v="5"/>
    <x v="5"/>
    <x v="40"/>
    <x v="40"/>
    <n v="102.00096000000001"/>
    <x v="1"/>
    <x v="2"/>
    <x v="5"/>
    <x v="7"/>
    <x v="11"/>
    <x v="22"/>
    <n v="111.18104640000001"/>
  </r>
  <r>
    <x v="7"/>
    <x v="0"/>
    <x v="7"/>
    <x v="7"/>
    <x v="0"/>
    <x v="0"/>
    <x v="0"/>
    <x v="0"/>
    <x v="2"/>
    <x v="2"/>
    <x v="8"/>
    <x v="8"/>
    <x v="2"/>
    <x v="2"/>
    <x v="2"/>
    <x v="40"/>
    <x v="40"/>
    <n v="4.4997299999999996"/>
    <x v="1"/>
    <x v="2"/>
    <x v="5"/>
    <x v="7"/>
    <x v="11"/>
    <x v="22"/>
    <n v="4.9047057000000001"/>
  </r>
  <r>
    <x v="7"/>
    <x v="0"/>
    <x v="7"/>
    <x v="7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7"/>
    <x v="0"/>
    <x v="7"/>
    <x v="7"/>
    <x v="0"/>
    <x v="0"/>
    <x v="0"/>
    <x v="0"/>
    <x v="2"/>
    <x v="2"/>
    <x v="9"/>
    <x v="9"/>
    <x v="2"/>
    <x v="2"/>
    <x v="2"/>
    <x v="40"/>
    <x v="40"/>
    <n v="97.237740000000002"/>
    <x v="1"/>
    <x v="2"/>
    <x v="5"/>
    <x v="7"/>
    <x v="11"/>
    <x v="22"/>
    <n v="105.98913660000001"/>
  </r>
  <r>
    <x v="7"/>
    <x v="0"/>
    <x v="7"/>
    <x v="7"/>
    <x v="0"/>
    <x v="0"/>
    <x v="0"/>
    <x v="0"/>
    <x v="2"/>
    <x v="2"/>
    <x v="9"/>
    <x v="9"/>
    <x v="2"/>
    <x v="2"/>
    <x v="2"/>
    <x v="38"/>
    <x v="38"/>
    <n v="726.28138999999999"/>
    <x v="1"/>
    <x v="0"/>
    <x v="4"/>
    <x v="6"/>
    <x v="10"/>
    <x v="21"/>
    <n v="791.64671510000005"/>
  </r>
  <r>
    <x v="7"/>
    <x v="0"/>
    <x v="7"/>
    <x v="7"/>
    <x v="0"/>
    <x v="0"/>
    <x v="0"/>
    <x v="0"/>
    <x v="2"/>
    <x v="2"/>
    <x v="9"/>
    <x v="9"/>
    <x v="2"/>
    <x v="2"/>
    <x v="2"/>
    <x v="48"/>
    <x v="48"/>
    <n v="0.50541000000000003"/>
    <x v="1"/>
    <x v="0"/>
    <x v="4"/>
    <x v="6"/>
    <x v="10"/>
    <x v="21"/>
    <n v="0.55089690000000002"/>
  </r>
  <r>
    <x v="7"/>
    <x v="0"/>
    <x v="7"/>
    <x v="7"/>
    <x v="0"/>
    <x v="0"/>
    <x v="0"/>
    <x v="0"/>
    <x v="2"/>
    <x v="2"/>
    <x v="9"/>
    <x v="9"/>
    <x v="1"/>
    <x v="6"/>
    <x v="6"/>
    <x v="40"/>
    <x v="40"/>
    <n v="97.775000000000006"/>
    <x v="1"/>
    <x v="2"/>
    <x v="5"/>
    <x v="7"/>
    <x v="11"/>
    <x v="22"/>
    <n v="106.57475000000001"/>
  </r>
  <r>
    <x v="7"/>
    <x v="0"/>
    <x v="7"/>
    <x v="7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7"/>
    <x v="0"/>
    <x v="7"/>
    <x v="7"/>
    <x v="0"/>
    <x v="0"/>
    <x v="0"/>
    <x v="0"/>
    <x v="2"/>
    <x v="2"/>
    <x v="9"/>
    <x v="9"/>
    <x v="3"/>
    <x v="7"/>
    <x v="7"/>
    <x v="40"/>
    <x v="40"/>
    <n v="655.39027999999996"/>
    <x v="1"/>
    <x v="2"/>
    <x v="5"/>
    <x v="7"/>
    <x v="11"/>
    <x v="22"/>
    <n v="714.37540520000005"/>
  </r>
  <r>
    <x v="7"/>
    <x v="0"/>
    <x v="7"/>
    <x v="7"/>
    <x v="0"/>
    <x v="0"/>
    <x v="0"/>
    <x v="0"/>
    <x v="2"/>
    <x v="2"/>
    <x v="9"/>
    <x v="9"/>
    <x v="1"/>
    <x v="8"/>
    <x v="8"/>
    <x v="40"/>
    <x v="40"/>
    <n v="179.399"/>
    <x v="1"/>
    <x v="2"/>
    <x v="5"/>
    <x v="7"/>
    <x v="11"/>
    <x v="22"/>
    <n v="195.54491000000002"/>
  </r>
  <r>
    <x v="7"/>
    <x v="0"/>
    <x v="7"/>
    <x v="7"/>
    <x v="0"/>
    <x v="0"/>
    <x v="0"/>
    <x v="0"/>
    <x v="2"/>
    <x v="2"/>
    <x v="9"/>
    <x v="9"/>
    <x v="2"/>
    <x v="10"/>
    <x v="10"/>
    <x v="40"/>
    <x v="40"/>
    <n v="146.33895999999999"/>
    <x v="1"/>
    <x v="2"/>
    <x v="5"/>
    <x v="7"/>
    <x v="11"/>
    <x v="22"/>
    <n v="159.50946640000001"/>
  </r>
  <r>
    <x v="7"/>
    <x v="0"/>
    <x v="7"/>
    <x v="7"/>
    <x v="0"/>
    <x v="0"/>
    <x v="0"/>
    <x v="0"/>
    <x v="2"/>
    <x v="2"/>
    <x v="9"/>
    <x v="9"/>
    <x v="4"/>
    <x v="5"/>
    <x v="5"/>
    <x v="40"/>
    <x v="40"/>
    <n v="1049.68796"/>
    <x v="1"/>
    <x v="2"/>
    <x v="5"/>
    <x v="7"/>
    <x v="11"/>
    <x v="22"/>
    <n v="1144.1598764"/>
  </r>
  <r>
    <x v="7"/>
    <x v="0"/>
    <x v="7"/>
    <x v="7"/>
    <x v="0"/>
    <x v="0"/>
    <x v="0"/>
    <x v="0"/>
    <x v="2"/>
    <x v="2"/>
    <x v="10"/>
    <x v="10"/>
    <x v="2"/>
    <x v="2"/>
    <x v="2"/>
    <x v="41"/>
    <x v="41"/>
    <n v="0.25897872340326999"/>
    <x v="1"/>
    <x v="2"/>
    <x v="5"/>
    <x v="7"/>
    <x v="11"/>
    <x v="22"/>
    <n v="0.28228680850956434"/>
  </r>
  <r>
    <x v="7"/>
    <x v="0"/>
    <x v="7"/>
    <x v="7"/>
    <x v="0"/>
    <x v="0"/>
    <x v="0"/>
    <x v="0"/>
    <x v="2"/>
    <x v="2"/>
    <x v="10"/>
    <x v="10"/>
    <x v="2"/>
    <x v="2"/>
    <x v="2"/>
    <x v="40"/>
    <x v="40"/>
    <n v="32.513620000000003"/>
    <x v="1"/>
    <x v="2"/>
    <x v="5"/>
    <x v="7"/>
    <x v="11"/>
    <x v="22"/>
    <n v="35.439845800000008"/>
  </r>
  <r>
    <x v="7"/>
    <x v="0"/>
    <x v="7"/>
    <x v="7"/>
    <x v="0"/>
    <x v="0"/>
    <x v="0"/>
    <x v="0"/>
    <x v="0"/>
    <x v="0"/>
    <x v="11"/>
    <x v="11"/>
    <x v="4"/>
    <x v="5"/>
    <x v="5"/>
    <x v="10"/>
    <x v="10"/>
    <n v="10.6310545655501"/>
    <x v="0"/>
    <x v="0"/>
    <x v="1"/>
    <x v="4"/>
    <x v="5"/>
    <x v="10"/>
    <n v="11.587849476449609"/>
  </r>
  <r>
    <x v="7"/>
    <x v="0"/>
    <x v="7"/>
    <x v="7"/>
    <x v="0"/>
    <x v="0"/>
    <x v="0"/>
    <x v="0"/>
    <x v="3"/>
    <x v="3"/>
    <x v="12"/>
    <x v="12"/>
    <x v="2"/>
    <x v="2"/>
    <x v="2"/>
    <x v="40"/>
    <x v="40"/>
    <n v="0.73626999999999998"/>
    <x v="1"/>
    <x v="2"/>
    <x v="5"/>
    <x v="7"/>
    <x v="11"/>
    <x v="22"/>
    <n v="0.80253430000000003"/>
  </r>
  <r>
    <x v="7"/>
    <x v="0"/>
    <x v="7"/>
    <x v="7"/>
    <x v="0"/>
    <x v="0"/>
    <x v="0"/>
    <x v="0"/>
    <x v="3"/>
    <x v="3"/>
    <x v="12"/>
    <x v="12"/>
    <x v="3"/>
    <x v="7"/>
    <x v="7"/>
    <x v="40"/>
    <x v="40"/>
    <n v="6.31264"/>
    <x v="1"/>
    <x v="2"/>
    <x v="5"/>
    <x v="7"/>
    <x v="11"/>
    <x v="22"/>
    <n v="6.8807776000000009"/>
  </r>
  <r>
    <x v="7"/>
    <x v="0"/>
    <x v="7"/>
    <x v="7"/>
    <x v="0"/>
    <x v="0"/>
    <x v="0"/>
    <x v="0"/>
    <x v="3"/>
    <x v="3"/>
    <x v="12"/>
    <x v="12"/>
    <x v="4"/>
    <x v="5"/>
    <x v="5"/>
    <x v="40"/>
    <x v="40"/>
    <n v="15.431039999999999"/>
    <x v="1"/>
    <x v="2"/>
    <x v="5"/>
    <x v="7"/>
    <x v="11"/>
    <x v="22"/>
    <n v="16.819833599999999"/>
  </r>
  <r>
    <x v="7"/>
    <x v="0"/>
    <x v="7"/>
    <x v="7"/>
    <x v="0"/>
    <x v="0"/>
    <x v="0"/>
    <x v="0"/>
    <x v="3"/>
    <x v="3"/>
    <x v="13"/>
    <x v="13"/>
    <x v="2"/>
    <x v="2"/>
    <x v="2"/>
    <x v="41"/>
    <x v="41"/>
    <n v="0.23908510638207001"/>
    <x v="1"/>
    <x v="2"/>
    <x v="5"/>
    <x v="7"/>
    <x v="11"/>
    <x v="22"/>
    <n v="0.26060276595645632"/>
  </r>
  <r>
    <x v="7"/>
    <x v="0"/>
    <x v="7"/>
    <x v="7"/>
    <x v="0"/>
    <x v="0"/>
    <x v="0"/>
    <x v="0"/>
    <x v="3"/>
    <x v="3"/>
    <x v="13"/>
    <x v="13"/>
    <x v="2"/>
    <x v="2"/>
    <x v="2"/>
    <x v="40"/>
    <x v="40"/>
    <n v="16.509329999999999"/>
    <x v="1"/>
    <x v="2"/>
    <x v="5"/>
    <x v="7"/>
    <x v="11"/>
    <x v="22"/>
    <n v="17.995169699999998"/>
  </r>
  <r>
    <x v="7"/>
    <x v="0"/>
    <x v="7"/>
    <x v="7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7"/>
    <x v="0"/>
    <x v="7"/>
    <x v="7"/>
    <x v="0"/>
    <x v="0"/>
    <x v="0"/>
    <x v="0"/>
    <x v="3"/>
    <x v="3"/>
    <x v="13"/>
    <x v="13"/>
    <x v="1"/>
    <x v="8"/>
    <x v="8"/>
    <x v="40"/>
    <x v="40"/>
    <n v="2.4390800000000001"/>
    <x v="1"/>
    <x v="2"/>
    <x v="5"/>
    <x v="7"/>
    <x v="11"/>
    <x v="22"/>
    <n v="2.6585972000000004"/>
  </r>
  <r>
    <x v="7"/>
    <x v="0"/>
    <x v="7"/>
    <x v="7"/>
    <x v="0"/>
    <x v="0"/>
    <x v="0"/>
    <x v="0"/>
    <x v="3"/>
    <x v="3"/>
    <x v="13"/>
    <x v="13"/>
    <x v="4"/>
    <x v="5"/>
    <x v="5"/>
    <x v="40"/>
    <x v="40"/>
    <n v="1.14036"/>
    <x v="1"/>
    <x v="2"/>
    <x v="5"/>
    <x v="7"/>
    <x v="11"/>
    <x v="22"/>
    <n v="1.2429924000000001"/>
  </r>
  <r>
    <x v="7"/>
    <x v="0"/>
    <x v="7"/>
    <x v="7"/>
    <x v="0"/>
    <x v="0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7"/>
    <x v="0"/>
    <x v="7"/>
    <x v="7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7"/>
    <x v="0"/>
    <x v="7"/>
    <x v="7"/>
    <x v="0"/>
    <x v="0"/>
    <x v="0"/>
    <x v="0"/>
    <x v="2"/>
    <x v="2"/>
    <x v="14"/>
    <x v="14"/>
    <x v="2"/>
    <x v="2"/>
    <x v="2"/>
    <x v="40"/>
    <x v="40"/>
    <n v="4.5248900000000001"/>
    <x v="1"/>
    <x v="2"/>
    <x v="5"/>
    <x v="7"/>
    <x v="11"/>
    <x v="22"/>
    <n v="4.9321301000000002"/>
  </r>
  <r>
    <x v="7"/>
    <x v="0"/>
    <x v="7"/>
    <x v="7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7"/>
    <x v="0"/>
    <x v="7"/>
    <x v="7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7"/>
    <x v="0"/>
    <x v="7"/>
    <x v="7"/>
    <x v="0"/>
    <x v="0"/>
    <x v="0"/>
    <x v="0"/>
    <x v="2"/>
    <x v="2"/>
    <x v="17"/>
    <x v="17"/>
    <x v="2"/>
    <x v="2"/>
    <x v="2"/>
    <x v="42"/>
    <x v="42"/>
    <n v="8.0658200000000004"/>
    <x v="1"/>
    <x v="2"/>
    <x v="5"/>
    <x v="7"/>
    <x v="11"/>
    <x v="22"/>
    <n v="8.7917438000000008"/>
  </r>
  <r>
    <x v="7"/>
    <x v="0"/>
    <x v="7"/>
    <x v="7"/>
    <x v="0"/>
    <x v="0"/>
    <x v="0"/>
    <x v="0"/>
    <x v="2"/>
    <x v="2"/>
    <x v="17"/>
    <x v="17"/>
    <x v="2"/>
    <x v="2"/>
    <x v="2"/>
    <x v="40"/>
    <x v="40"/>
    <n v="11.572100000000001"/>
    <x v="1"/>
    <x v="2"/>
    <x v="5"/>
    <x v="7"/>
    <x v="11"/>
    <x v="22"/>
    <n v="12.613589000000001"/>
  </r>
  <r>
    <x v="7"/>
    <x v="0"/>
    <x v="7"/>
    <x v="7"/>
    <x v="0"/>
    <x v="0"/>
    <x v="0"/>
    <x v="0"/>
    <x v="2"/>
    <x v="2"/>
    <x v="17"/>
    <x v="17"/>
    <x v="2"/>
    <x v="2"/>
    <x v="2"/>
    <x v="38"/>
    <x v="38"/>
    <n v="33.899230000000003"/>
    <x v="1"/>
    <x v="0"/>
    <x v="4"/>
    <x v="6"/>
    <x v="10"/>
    <x v="21"/>
    <n v="36.950160700000005"/>
  </r>
  <r>
    <x v="7"/>
    <x v="0"/>
    <x v="7"/>
    <x v="7"/>
    <x v="0"/>
    <x v="0"/>
    <x v="0"/>
    <x v="0"/>
    <x v="2"/>
    <x v="2"/>
    <x v="17"/>
    <x v="17"/>
    <x v="3"/>
    <x v="7"/>
    <x v="7"/>
    <x v="7"/>
    <x v="7"/>
    <n v="9.1125905920957404"/>
    <x v="0"/>
    <x v="0"/>
    <x v="1"/>
    <x v="4"/>
    <x v="5"/>
    <x v="7"/>
    <n v="9.932723745384358"/>
  </r>
  <r>
    <x v="7"/>
    <x v="0"/>
    <x v="7"/>
    <x v="7"/>
    <x v="0"/>
    <x v="0"/>
    <x v="0"/>
    <x v="0"/>
    <x v="2"/>
    <x v="2"/>
    <x v="17"/>
    <x v="17"/>
    <x v="3"/>
    <x v="7"/>
    <x v="7"/>
    <x v="40"/>
    <x v="40"/>
    <n v="20.163039999999999"/>
    <x v="1"/>
    <x v="2"/>
    <x v="5"/>
    <x v="7"/>
    <x v="11"/>
    <x v="22"/>
    <n v="21.977713600000001"/>
  </r>
  <r>
    <x v="7"/>
    <x v="0"/>
    <x v="7"/>
    <x v="7"/>
    <x v="0"/>
    <x v="0"/>
    <x v="0"/>
    <x v="0"/>
    <x v="2"/>
    <x v="2"/>
    <x v="17"/>
    <x v="17"/>
    <x v="1"/>
    <x v="8"/>
    <x v="8"/>
    <x v="7"/>
    <x v="7"/>
    <n v="8.7235174213742308"/>
    <x v="0"/>
    <x v="0"/>
    <x v="1"/>
    <x v="4"/>
    <x v="5"/>
    <x v="7"/>
    <n v="9.5086339892979126"/>
  </r>
  <r>
    <x v="7"/>
    <x v="0"/>
    <x v="7"/>
    <x v="7"/>
    <x v="0"/>
    <x v="0"/>
    <x v="0"/>
    <x v="0"/>
    <x v="2"/>
    <x v="2"/>
    <x v="17"/>
    <x v="17"/>
    <x v="1"/>
    <x v="8"/>
    <x v="8"/>
    <x v="40"/>
    <x v="40"/>
    <n v="8.3350399999999993"/>
    <x v="1"/>
    <x v="2"/>
    <x v="5"/>
    <x v="7"/>
    <x v="11"/>
    <x v="22"/>
    <n v="9.0851936000000002"/>
  </r>
  <r>
    <x v="7"/>
    <x v="0"/>
    <x v="7"/>
    <x v="7"/>
    <x v="0"/>
    <x v="0"/>
    <x v="0"/>
    <x v="0"/>
    <x v="2"/>
    <x v="2"/>
    <x v="17"/>
    <x v="17"/>
    <x v="0"/>
    <x v="9"/>
    <x v="9"/>
    <x v="7"/>
    <x v="7"/>
    <n v="69.081012193312006"/>
    <x v="0"/>
    <x v="0"/>
    <x v="1"/>
    <x v="4"/>
    <x v="5"/>
    <x v="7"/>
    <n v="75.298303290710095"/>
  </r>
  <r>
    <x v="7"/>
    <x v="0"/>
    <x v="7"/>
    <x v="7"/>
    <x v="0"/>
    <x v="0"/>
    <x v="0"/>
    <x v="0"/>
    <x v="2"/>
    <x v="2"/>
    <x v="17"/>
    <x v="17"/>
    <x v="2"/>
    <x v="10"/>
    <x v="10"/>
    <x v="7"/>
    <x v="7"/>
    <n v="3.1793710800560699"/>
    <x v="0"/>
    <x v="0"/>
    <x v="1"/>
    <x v="4"/>
    <x v="5"/>
    <x v="7"/>
    <n v="3.4655144772611166"/>
  </r>
  <r>
    <x v="7"/>
    <x v="0"/>
    <x v="7"/>
    <x v="7"/>
    <x v="0"/>
    <x v="0"/>
    <x v="0"/>
    <x v="0"/>
    <x v="2"/>
    <x v="2"/>
    <x v="17"/>
    <x v="17"/>
    <x v="2"/>
    <x v="10"/>
    <x v="10"/>
    <x v="40"/>
    <x v="40"/>
    <n v="2.4086400000000001"/>
    <x v="1"/>
    <x v="2"/>
    <x v="5"/>
    <x v="7"/>
    <x v="11"/>
    <x v="22"/>
    <n v="2.6254176000000005"/>
  </r>
  <r>
    <x v="7"/>
    <x v="0"/>
    <x v="7"/>
    <x v="7"/>
    <x v="0"/>
    <x v="0"/>
    <x v="0"/>
    <x v="0"/>
    <x v="2"/>
    <x v="2"/>
    <x v="17"/>
    <x v="17"/>
    <x v="4"/>
    <x v="5"/>
    <x v="5"/>
    <x v="40"/>
    <x v="40"/>
    <n v="384.03678000000002"/>
    <x v="1"/>
    <x v="2"/>
    <x v="5"/>
    <x v="7"/>
    <x v="11"/>
    <x v="22"/>
    <n v="418.60009020000007"/>
  </r>
  <r>
    <x v="7"/>
    <x v="0"/>
    <x v="7"/>
    <x v="7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7"/>
    <x v="0"/>
    <x v="7"/>
    <x v="7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7"/>
    <x v="0"/>
    <x v="7"/>
    <x v="7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7"/>
    <x v="0"/>
    <x v="7"/>
    <x v="7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7"/>
    <x v="0"/>
    <x v="7"/>
    <x v="7"/>
    <x v="0"/>
    <x v="1"/>
    <x v="0"/>
    <x v="0"/>
    <x v="0"/>
    <x v="0"/>
    <x v="2"/>
    <x v="2"/>
    <x v="2"/>
    <x v="2"/>
    <x v="2"/>
    <x v="2"/>
    <x v="2"/>
    <n v="210.651954128314"/>
    <x v="0"/>
    <x v="1"/>
    <x v="2"/>
    <x v="2"/>
    <x v="13"/>
    <x v="2"/>
    <n v="229.61062999986228"/>
  </r>
  <r>
    <x v="7"/>
    <x v="0"/>
    <x v="7"/>
    <x v="7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7"/>
    <x v="0"/>
    <x v="7"/>
    <x v="7"/>
    <x v="0"/>
    <x v="1"/>
    <x v="0"/>
    <x v="0"/>
    <x v="0"/>
    <x v="0"/>
    <x v="0"/>
    <x v="0"/>
    <x v="0"/>
    <x v="0"/>
    <x v="0"/>
    <x v="11"/>
    <x v="11"/>
    <n v="52.318559999999998"/>
    <x v="0"/>
    <x v="0"/>
    <x v="3"/>
    <x v="5"/>
    <x v="7"/>
    <x v="11"/>
    <n v="57.027230400000001"/>
  </r>
  <r>
    <x v="7"/>
    <x v="0"/>
    <x v="7"/>
    <x v="7"/>
    <x v="0"/>
    <x v="1"/>
    <x v="0"/>
    <x v="0"/>
    <x v="0"/>
    <x v="0"/>
    <x v="0"/>
    <x v="0"/>
    <x v="0"/>
    <x v="0"/>
    <x v="0"/>
    <x v="12"/>
    <x v="12"/>
    <n v="745.150709299494"/>
    <x v="0"/>
    <x v="0"/>
    <x v="0"/>
    <x v="0"/>
    <x v="8"/>
    <x v="12"/>
    <n v="812.21427313644847"/>
  </r>
  <r>
    <x v="7"/>
    <x v="0"/>
    <x v="7"/>
    <x v="7"/>
    <x v="0"/>
    <x v="1"/>
    <x v="0"/>
    <x v="0"/>
    <x v="0"/>
    <x v="0"/>
    <x v="0"/>
    <x v="0"/>
    <x v="0"/>
    <x v="0"/>
    <x v="0"/>
    <x v="14"/>
    <x v="14"/>
    <n v="57.17747"/>
    <x v="0"/>
    <x v="0"/>
    <x v="0"/>
    <x v="0"/>
    <x v="8"/>
    <x v="14"/>
    <n v="62.323442300000004"/>
  </r>
  <r>
    <x v="7"/>
    <x v="0"/>
    <x v="7"/>
    <x v="7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7"/>
    <x v="0"/>
    <x v="7"/>
    <x v="7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7"/>
    <x v="0"/>
    <x v="7"/>
    <x v="7"/>
    <x v="0"/>
    <x v="1"/>
    <x v="0"/>
    <x v="0"/>
    <x v="0"/>
    <x v="0"/>
    <x v="0"/>
    <x v="0"/>
    <x v="0"/>
    <x v="0"/>
    <x v="0"/>
    <x v="24"/>
    <x v="24"/>
    <n v="12.7615045871483"/>
    <x v="0"/>
    <x v="0"/>
    <x v="1"/>
    <x v="3"/>
    <x v="3"/>
    <x v="4"/>
    <n v="13.910039999991648"/>
  </r>
  <r>
    <x v="7"/>
    <x v="0"/>
    <x v="7"/>
    <x v="7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7"/>
    <x v="0"/>
    <x v="7"/>
    <x v="7"/>
    <x v="0"/>
    <x v="1"/>
    <x v="0"/>
    <x v="0"/>
    <x v="0"/>
    <x v="0"/>
    <x v="0"/>
    <x v="0"/>
    <x v="0"/>
    <x v="0"/>
    <x v="0"/>
    <x v="21"/>
    <x v="21"/>
    <n v="14.460743119257399"/>
    <x v="0"/>
    <x v="0"/>
    <x v="1"/>
    <x v="4"/>
    <x v="5"/>
    <x v="10"/>
    <n v="15.762209999990567"/>
  </r>
  <r>
    <x v="7"/>
    <x v="0"/>
    <x v="7"/>
    <x v="7"/>
    <x v="0"/>
    <x v="1"/>
    <x v="0"/>
    <x v="0"/>
    <x v="0"/>
    <x v="0"/>
    <x v="0"/>
    <x v="0"/>
    <x v="0"/>
    <x v="0"/>
    <x v="0"/>
    <x v="18"/>
    <x v="18"/>
    <n v="44.390169999999998"/>
    <x v="0"/>
    <x v="0"/>
    <x v="0"/>
    <x v="0"/>
    <x v="4"/>
    <x v="18"/>
    <n v="48.3852853"/>
  </r>
  <r>
    <x v="7"/>
    <x v="0"/>
    <x v="7"/>
    <x v="7"/>
    <x v="0"/>
    <x v="1"/>
    <x v="0"/>
    <x v="0"/>
    <x v="0"/>
    <x v="0"/>
    <x v="0"/>
    <x v="0"/>
    <x v="0"/>
    <x v="0"/>
    <x v="0"/>
    <x v="25"/>
    <x v="25"/>
    <n v="102.359119265994"/>
    <x v="0"/>
    <x v="0"/>
    <x v="1"/>
    <x v="4"/>
    <x v="5"/>
    <x v="9"/>
    <n v="111.57143999993346"/>
  </r>
  <r>
    <x v="7"/>
    <x v="0"/>
    <x v="7"/>
    <x v="7"/>
    <x v="0"/>
    <x v="1"/>
    <x v="0"/>
    <x v="0"/>
    <x v="0"/>
    <x v="0"/>
    <x v="0"/>
    <x v="0"/>
    <x v="0"/>
    <x v="0"/>
    <x v="0"/>
    <x v="26"/>
    <x v="26"/>
    <n v="4.5527889908229602"/>
    <x v="0"/>
    <x v="0"/>
    <x v="1"/>
    <x v="3"/>
    <x v="3"/>
    <x v="15"/>
    <n v="4.962539999997027"/>
  </r>
  <r>
    <x v="7"/>
    <x v="0"/>
    <x v="7"/>
    <x v="7"/>
    <x v="0"/>
    <x v="1"/>
    <x v="0"/>
    <x v="0"/>
    <x v="0"/>
    <x v="0"/>
    <x v="0"/>
    <x v="0"/>
    <x v="0"/>
    <x v="0"/>
    <x v="0"/>
    <x v="0"/>
    <x v="0"/>
    <n v="15.750258896753"/>
    <x v="0"/>
    <x v="0"/>
    <x v="0"/>
    <x v="0"/>
    <x v="0"/>
    <x v="0"/>
    <n v="17.16778219746077"/>
  </r>
  <r>
    <x v="7"/>
    <x v="0"/>
    <x v="7"/>
    <x v="7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7"/>
    <x v="0"/>
    <x v="7"/>
    <x v="7"/>
    <x v="0"/>
    <x v="1"/>
    <x v="0"/>
    <x v="0"/>
    <x v="0"/>
    <x v="0"/>
    <x v="0"/>
    <x v="0"/>
    <x v="0"/>
    <x v="0"/>
    <x v="0"/>
    <x v="2"/>
    <x v="2"/>
    <n v="7437.5710183441597"/>
    <x v="0"/>
    <x v="1"/>
    <x v="2"/>
    <x v="2"/>
    <x v="13"/>
    <x v="2"/>
    <n v="8106.952409995135"/>
  </r>
  <r>
    <x v="7"/>
    <x v="0"/>
    <x v="7"/>
    <x v="7"/>
    <x v="0"/>
    <x v="1"/>
    <x v="0"/>
    <x v="0"/>
    <x v="0"/>
    <x v="0"/>
    <x v="0"/>
    <x v="0"/>
    <x v="0"/>
    <x v="0"/>
    <x v="0"/>
    <x v="3"/>
    <x v="3"/>
    <n v="31.868735465494499"/>
    <x v="0"/>
    <x v="0"/>
    <x v="1"/>
    <x v="3"/>
    <x v="3"/>
    <x v="3"/>
    <n v="34.736921657389004"/>
  </r>
  <r>
    <x v="7"/>
    <x v="0"/>
    <x v="7"/>
    <x v="7"/>
    <x v="0"/>
    <x v="1"/>
    <x v="0"/>
    <x v="0"/>
    <x v="0"/>
    <x v="0"/>
    <x v="0"/>
    <x v="0"/>
    <x v="1"/>
    <x v="1"/>
    <x v="1"/>
    <x v="4"/>
    <x v="4"/>
    <n v="42.778825688047696"/>
    <x v="0"/>
    <x v="0"/>
    <x v="1"/>
    <x v="3"/>
    <x v="3"/>
    <x v="4"/>
    <n v="46.628919999971991"/>
  </r>
  <r>
    <x v="7"/>
    <x v="0"/>
    <x v="7"/>
    <x v="7"/>
    <x v="0"/>
    <x v="1"/>
    <x v="0"/>
    <x v="0"/>
    <x v="0"/>
    <x v="0"/>
    <x v="0"/>
    <x v="0"/>
    <x v="1"/>
    <x v="1"/>
    <x v="1"/>
    <x v="5"/>
    <x v="5"/>
    <n v="90.992269939341895"/>
    <x v="0"/>
    <x v="0"/>
    <x v="1"/>
    <x v="1"/>
    <x v="1"/>
    <x v="5"/>
    <n v="99.181574233882671"/>
  </r>
  <r>
    <x v="7"/>
    <x v="0"/>
    <x v="7"/>
    <x v="7"/>
    <x v="0"/>
    <x v="1"/>
    <x v="0"/>
    <x v="0"/>
    <x v="0"/>
    <x v="0"/>
    <x v="0"/>
    <x v="0"/>
    <x v="1"/>
    <x v="1"/>
    <x v="1"/>
    <x v="6"/>
    <x v="6"/>
    <n v="273.25546000000003"/>
    <x v="0"/>
    <x v="0"/>
    <x v="0"/>
    <x v="0"/>
    <x v="4"/>
    <x v="6"/>
    <n v="297.84845140000004"/>
  </r>
  <r>
    <x v="7"/>
    <x v="0"/>
    <x v="7"/>
    <x v="7"/>
    <x v="0"/>
    <x v="1"/>
    <x v="0"/>
    <x v="0"/>
    <x v="0"/>
    <x v="0"/>
    <x v="0"/>
    <x v="0"/>
    <x v="1"/>
    <x v="1"/>
    <x v="1"/>
    <x v="7"/>
    <x v="7"/>
    <n v="11.3713761467822"/>
    <x v="0"/>
    <x v="0"/>
    <x v="1"/>
    <x v="4"/>
    <x v="5"/>
    <x v="7"/>
    <n v="12.3947999999926"/>
  </r>
  <r>
    <x v="7"/>
    <x v="0"/>
    <x v="7"/>
    <x v="7"/>
    <x v="0"/>
    <x v="1"/>
    <x v="0"/>
    <x v="0"/>
    <x v="0"/>
    <x v="0"/>
    <x v="0"/>
    <x v="0"/>
    <x v="1"/>
    <x v="1"/>
    <x v="1"/>
    <x v="8"/>
    <x v="8"/>
    <n v="440.56921621903598"/>
    <x v="0"/>
    <x v="1"/>
    <x v="2"/>
    <x v="2"/>
    <x v="6"/>
    <x v="8"/>
    <n v="480.22044567874923"/>
  </r>
  <r>
    <x v="7"/>
    <x v="0"/>
    <x v="7"/>
    <x v="7"/>
    <x v="0"/>
    <x v="1"/>
    <x v="0"/>
    <x v="0"/>
    <x v="0"/>
    <x v="0"/>
    <x v="0"/>
    <x v="0"/>
    <x v="1"/>
    <x v="1"/>
    <x v="1"/>
    <x v="9"/>
    <x v="9"/>
    <n v="101.067018716505"/>
    <x v="0"/>
    <x v="0"/>
    <x v="1"/>
    <x v="4"/>
    <x v="5"/>
    <x v="9"/>
    <n v="110.16305040099046"/>
  </r>
  <r>
    <x v="7"/>
    <x v="0"/>
    <x v="7"/>
    <x v="7"/>
    <x v="0"/>
    <x v="1"/>
    <x v="0"/>
    <x v="0"/>
    <x v="0"/>
    <x v="0"/>
    <x v="0"/>
    <x v="0"/>
    <x v="1"/>
    <x v="1"/>
    <x v="1"/>
    <x v="10"/>
    <x v="10"/>
    <n v="55.767388560666603"/>
    <x v="0"/>
    <x v="0"/>
    <x v="1"/>
    <x v="4"/>
    <x v="5"/>
    <x v="10"/>
    <n v="60.786453531126604"/>
  </r>
  <r>
    <x v="7"/>
    <x v="0"/>
    <x v="7"/>
    <x v="7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7"/>
    <x v="0"/>
    <x v="7"/>
    <x v="7"/>
    <x v="0"/>
    <x v="1"/>
    <x v="0"/>
    <x v="0"/>
    <x v="0"/>
    <x v="0"/>
    <x v="0"/>
    <x v="0"/>
    <x v="1"/>
    <x v="1"/>
    <x v="1"/>
    <x v="11"/>
    <x v="11"/>
    <n v="65.786900000000003"/>
    <x v="0"/>
    <x v="0"/>
    <x v="3"/>
    <x v="5"/>
    <x v="7"/>
    <x v="11"/>
    <n v="71.707721000000006"/>
  </r>
  <r>
    <x v="7"/>
    <x v="0"/>
    <x v="7"/>
    <x v="7"/>
    <x v="0"/>
    <x v="1"/>
    <x v="0"/>
    <x v="0"/>
    <x v="0"/>
    <x v="0"/>
    <x v="0"/>
    <x v="0"/>
    <x v="1"/>
    <x v="1"/>
    <x v="1"/>
    <x v="12"/>
    <x v="12"/>
    <n v="1277.51044185561"/>
    <x v="0"/>
    <x v="0"/>
    <x v="0"/>
    <x v="0"/>
    <x v="8"/>
    <x v="12"/>
    <n v="1392.486381622615"/>
  </r>
  <r>
    <x v="7"/>
    <x v="0"/>
    <x v="7"/>
    <x v="7"/>
    <x v="0"/>
    <x v="1"/>
    <x v="0"/>
    <x v="0"/>
    <x v="0"/>
    <x v="0"/>
    <x v="0"/>
    <x v="0"/>
    <x v="1"/>
    <x v="1"/>
    <x v="1"/>
    <x v="14"/>
    <x v="14"/>
    <n v="272.22802000000001"/>
    <x v="0"/>
    <x v="0"/>
    <x v="0"/>
    <x v="0"/>
    <x v="8"/>
    <x v="14"/>
    <n v="296.72854180000002"/>
  </r>
  <r>
    <x v="7"/>
    <x v="0"/>
    <x v="7"/>
    <x v="7"/>
    <x v="0"/>
    <x v="1"/>
    <x v="0"/>
    <x v="0"/>
    <x v="0"/>
    <x v="0"/>
    <x v="0"/>
    <x v="0"/>
    <x v="1"/>
    <x v="1"/>
    <x v="1"/>
    <x v="15"/>
    <x v="15"/>
    <n v="0.58105504587121004"/>
    <x v="0"/>
    <x v="0"/>
    <x v="1"/>
    <x v="3"/>
    <x v="3"/>
    <x v="15"/>
    <n v="0.63334999999961894"/>
  </r>
  <r>
    <x v="7"/>
    <x v="0"/>
    <x v="7"/>
    <x v="7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7"/>
    <x v="0"/>
    <x v="7"/>
    <x v="7"/>
    <x v="0"/>
    <x v="1"/>
    <x v="0"/>
    <x v="0"/>
    <x v="0"/>
    <x v="0"/>
    <x v="0"/>
    <x v="0"/>
    <x v="1"/>
    <x v="1"/>
    <x v="1"/>
    <x v="16"/>
    <x v="16"/>
    <n v="17.466670000000001"/>
    <x v="0"/>
    <x v="0"/>
    <x v="3"/>
    <x v="5"/>
    <x v="9"/>
    <x v="16"/>
    <n v="19.038670300000003"/>
  </r>
  <r>
    <x v="7"/>
    <x v="0"/>
    <x v="7"/>
    <x v="7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7"/>
    <x v="0"/>
    <x v="7"/>
    <x v="7"/>
    <x v="0"/>
    <x v="1"/>
    <x v="0"/>
    <x v="0"/>
    <x v="0"/>
    <x v="0"/>
    <x v="0"/>
    <x v="0"/>
    <x v="1"/>
    <x v="1"/>
    <x v="1"/>
    <x v="24"/>
    <x v="24"/>
    <n v="36.055458715574702"/>
    <x v="0"/>
    <x v="0"/>
    <x v="1"/>
    <x v="3"/>
    <x v="3"/>
    <x v="4"/>
    <n v="39.300449999976429"/>
  </r>
  <r>
    <x v="7"/>
    <x v="0"/>
    <x v="7"/>
    <x v="7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7"/>
    <x v="0"/>
    <x v="7"/>
    <x v="7"/>
    <x v="0"/>
    <x v="1"/>
    <x v="0"/>
    <x v="0"/>
    <x v="0"/>
    <x v="0"/>
    <x v="0"/>
    <x v="0"/>
    <x v="1"/>
    <x v="1"/>
    <x v="1"/>
    <x v="18"/>
    <x v="18"/>
    <n v="55.374369999999999"/>
    <x v="0"/>
    <x v="0"/>
    <x v="0"/>
    <x v="0"/>
    <x v="4"/>
    <x v="18"/>
    <n v="60.358063300000005"/>
  </r>
  <r>
    <x v="7"/>
    <x v="0"/>
    <x v="7"/>
    <x v="7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7"/>
    <x v="0"/>
    <x v="7"/>
    <x v="7"/>
    <x v="0"/>
    <x v="1"/>
    <x v="0"/>
    <x v="0"/>
    <x v="0"/>
    <x v="0"/>
    <x v="0"/>
    <x v="0"/>
    <x v="1"/>
    <x v="1"/>
    <x v="1"/>
    <x v="26"/>
    <x v="26"/>
    <n v="12.259229357790799"/>
    <x v="0"/>
    <x v="0"/>
    <x v="1"/>
    <x v="3"/>
    <x v="3"/>
    <x v="15"/>
    <n v="13.362559999991973"/>
  </r>
  <r>
    <x v="7"/>
    <x v="0"/>
    <x v="7"/>
    <x v="7"/>
    <x v="0"/>
    <x v="1"/>
    <x v="0"/>
    <x v="0"/>
    <x v="0"/>
    <x v="0"/>
    <x v="0"/>
    <x v="0"/>
    <x v="1"/>
    <x v="1"/>
    <x v="1"/>
    <x v="0"/>
    <x v="0"/>
    <n v="17.315824733047599"/>
    <x v="0"/>
    <x v="0"/>
    <x v="0"/>
    <x v="0"/>
    <x v="0"/>
    <x v="0"/>
    <n v="18.874248959021884"/>
  </r>
  <r>
    <x v="7"/>
    <x v="0"/>
    <x v="7"/>
    <x v="7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7"/>
    <x v="0"/>
    <x v="7"/>
    <x v="7"/>
    <x v="0"/>
    <x v="1"/>
    <x v="0"/>
    <x v="0"/>
    <x v="0"/>
    <x v="0"/>
    <x v="0"/>
    <x v="0"/>
    <x v="1"/>
    <x v="1"/>
    <x v="1"/>
    <x v="2"/>
    <x v="2"/>
    <n v="766.87032110045698"/>
    <x v="0"/>
    <x v="1"/>
    <x v="2"/>
    <x v="2"/>
    <x v="13"/>
    <x v="2"/>
    <n v="835.88864999949817"/>
  </r>
  <r>
    <x v="7"/>
    <x v="0"/>
    <x v="7"/>
    <x v="7"/>
    <x v="0"/>
    <x v="1"/>
    <x v="0"/>
    <x v="0"/>
    <x v="0"/>
    <x v="0"/>
    <x v="0"/>
    <x v="0"/>
    <x v="1"/>
    <x v="1"/>
    <x v="1"/>
    <x v="3"/>
    <x v="3"/>
    <n v="248.72114530079699"/>
    <x v="0"/>
    <x v="0"/>
    <x v="1"/>
    <x v="3"/>
    <x v="3"/>
    <x v="3"/>
    <n v="271.10604837786872"/>
  </r>
  <r>
    <x v="7"/>
    <x v="0"/>
    <x v="7"/>
    <x v="7"/>
    <x v="0"/>
    <x v="1"/>
    <x v="0"/>
    <x v="0"/>
    <x v="0"/>
    <x v="0"/>
    <x v="0"/>
    <x v="0"/>
    <x v="2"/>
    <x v="2"/>
    <x v="2"/>
    <x v="4"/>
    <x v="4"/>
    <n v="26.871110091727001"/>
    <x v="0"/>
    <x v="0"/>
    <x v="1"/>
    <x v="3"/>
    <x v="3"/>
    <x v="4"/>
    <n v="29.289509999982432"/>
  </r>
  <r>
    <x v="7"/>
    <x v="0"/>
    <x v="7"/>
    <x v="7"/>
    <x v="0"/>
    <x v="1"/>
    <x v="0"/>
    <x v="0"/>
    <x v="0"/>
    <x v="0"/>
    <x v="0"/>
    <x v="0"/>
    <x v="2"/>
    <x v="2"/>
    <x v="2"/>
    <x v="5"/>
    <x v="5"/>
    <n v="101.505797546784"/>
    <x v="0"/>
    <x v="0"/>
    <x v="1"/>
    <x v="1"/>
    <x v="1"/>
    <x v="5"/>
    <n v="110.64131932599456"/>
  </r>
  <r>
    <x v="7"/>
    <x v="0"/>
    <x v="7"/>
    <x v="7"/>
    <x v="0"/>
    <x v="1"/>
    <x v="0"/>
    <x v="0"/>
    <x v="0"/>
    <x v="0"/>
    <x v="0"/>
    <x v="0"/>
    <x v="2"/>
    <x v="2"/>
    <x v="2"/>
    <x v="6"/>
    <x v="6"/>
    <n v="439.18042000000003"/>
    <x v="0"/>
    <x v="0"/>
    <x v="0"/>
    <x v="0"/>
    <x v="4"/>
    <x v="6"/>
    <n v="478.70665780000007"/>
  </r>
  <r>
    <x v="7"/>
    <x v="0"/>
    <x v="7"/>
    <x v="7"/>
    <x v="0"/>
    <x v="1"/>
    <x v="0"/>
    <x v="0"/>
    <x v="0"/>
    <x v="0"/>
    <x v="0"/>
    <x v="0"/>
    <x v="2"/>
    <x v="2"/>
    <x v="2"/>
    <x v="7"/>
    <x v="7"/>
    <n v="12.7473577981575"/>
    <x v="0"/>
    <x v="0"/>
    <x v="1"/>
    <x v="4"/>
    <x v="5"/>
    <x v="7"/>
    <n v="13.894619999991676"/>
  </r>
  <r>
    <x v="7"/>
    <x v="0"/>
    <x v="7"/>
    <x v="7"/>
    <x v="0"/>
    <x v="1"/>
    <x v="0"/>
    <x v="0"/>
    <x v="0"/>
    <x v="0"/>
    <x v="0"/>
    <x v="0"/>
    <x v="2"/>
    <x v="2"/>
    <x v="2"/>
    <x v="8"/>
    <x v="8"/>
    <n v="4273.7276959732999"/>
    <x v="0"/>
    <x v="1"/>
    <x v="2"/>
    <x v="2"/>
    <x v="6"/>
    <x v="8"/>
    <n v="4658.3631886108969"/>
  </r>
  <r>
    <x v="7"/>
    <x v="0"/>
    <x v="7"/>
    <x v="7"/>
    <x v="0"/>
    <x v="1"/>
    <x v="0"/>
    <x v="0"/>
    <x v="0"/>
    <x v="0"/>
    <x v="0"/>
    <x v="0"/>
    <x v="2"/>
    <x v="2"/>
    <x v="2"/>
    <x v="9"/>
    <x v="9"/>
    <n v="29.0252201834688"/>
    <x v="0"/>
    <x v="0"/>
    <x v="1"/>
    <x v="4"/>
    <x v="5"/>
    <x v="9"/>
    <n v="31.637489999980996"/>
  </r>
  <r>
    <x v="7"/>
    <x v="0"/>
    <x v="7"/>
    <x v="7"/>
    <x v="0"/>
    <x v="1"/>
    <x v="0"/>
    <x v="0"/>
    <x v="0"/>
    <x v="0"/>
    <x v="0"/>
    <x v="0"/>
    <x v="2"/>
    <x v="2"/>
    <x v="2"/>
    <x v="28"/>
    <x v="28"/>
    <n v="19.85688"/>
    <x v="0"/>
    <x v="0"/>
    <x v="1"/>
    <x v="3"/>
    <x v="3"/>
    <x v="13"/>
    <n v="21.643999200000003"/>
  </r>
  <r>
    <x v="7"/>
    <x v="0"/>
    <x v="7"/>
    <x v="7"/>
    <x v="0"/>
    <x v="1"/>
    <x v="0"/>
    <x v="0"/>
    <x v="0"/>
    <x v="0"/>
    <x v="0"/>
    <x v="0"/>
    <x v="2"/>
    <x v="2"/>
    <x v="2"/>
    <x v="30"/>
    <x v="30"/>
    <n v="5.7289986558910604"/>
    <x v="0"/>
    <x v="0"/>
    <x v="0"/>
    <x v="0"/>
    <x v="0"/>
    <x v="0"/>
    <n v="6.2446085349212561"/>
  </r>
  <r>
    <x v="7"/>
    <x v="0"/>
    <x v="7"/>
    <x v="7"/>
    <x v="0"/>
    <x v="1"/>
    <x v="0"/>
    <x v="0"/>
    <x v="0"/>
    <x v="0"/>
    <x v="0"/>
    <x v="0"/>
    <x v="2"/>
    <x v="2"/>
    <x v="2"/>
    <x v="31"/>
    <x v="31"/>
    <n v="1.45866055045784"/>
    <x v="0"/>
    <x v="0"/>
    <x v="1"/>
    <x v="4"/>
    <x v="5"/>
    <x v="10"/>
    <n v="1.5899399999990458"/>
  </r>
  <r>
    <x v="7"/>
    <x v="0"/>
    <x v="7"/>
    <x v="7"/>
    <x v="0"/>
    <x v="1"/>
    <x v="0"/>
    <x v="0"/>
    <x v="0"/>
    <x v="0"/>
    <x v="0"/>
    <x v="0"/>
    <x v="2"/>
    <x v="2"/>
    <x v="2"/>
    <x v="11"/>
    <x v="11"/>
    <n v="92.593599999999995"/>
    <x v="0"/>
    <x v="0"/>
    <x v="3"/>
    <x v="5"/>
    <x v="7"/>
    <x v="11"/>
    <n v="100.927024"/>
  </r>
  <r>
    <x v="7"/>
    <x v="0"/>
    <x v="7"/>
    <x v="7"/>
    <x v="0"/>
    <x v="1"/>
    <x v="0"/>
    <x v="0"/>
    <x v="0"/>
    <x v="0"/>
    <x v="0"/>
    <x v="0"/>
    <x v="2"/>
    <x v="2"/>
    <x v="2"/>
    <x v="88"/>
    <x v="88"/>
    <n v="22.277394495399498"/>
    <x v="0"/>
    <x v="0"/>
    <x v="1"/>
    <x v="4"/>
    <x v="5"/>
    <x v="9"/>
    <n v="24.282359999985456"/>
  </r>
  <r>
    <x v="7"/>
    <x v="0"/>
    <x v="7"/>
    <x v="7"/>
    <x v="0"/>
    <x v="1"/>
    <x v="0"/>
    <x v="0"/>
    <x v="0"/>
    <x v="0"/>
    <x v="0"/>
    <x v="0"/>
    <x v="2"/>
    <x v="2"/>
    <x v="2"/>
    <x v="12"/>
    <x v="12"/>
    <n v="861.43268604323805"/>
    <x v="0"/>
    <x v="0"/>
    <x v="0"/>
    <x v="0"/>
    <x v="8"/>
    <x v="12"/>
    <n v="938.96162778712949"/>
  </r>
  <r>
    <x v="7"/>
    <x v="0"/>
    <x v="7"/>
    <x v="7"/>
    <x v="0"/>
    <x v="1"/>
    <x v="0"/>
    <x v="0"/>
    <x v="0"/>
    <x v="0"/>
    <x v="0"/>
    <x v="0"/>
    <x v="2"/>
    <x v="2"/>
    <x v="2"/>
    <x v="14"/>
    <x v="14"/>
    <n v="48.048279999999998"/>
    <x v="0"/>
    <x v="0"/>
    <x v="0"/>
    <x v="0"/>
    <x v="8"/>
    <x v="14"/>
    <n v="52.372625200000002"/>
  </r>
  <r>
    <x v="7"/>
    <x v="0"/>
    <x v="7"/>
    <x v="7"/>
    <x v="0"/>
    <x v="1"/>
    <x v="0"/>
    <x v="0"/>
    <x v="0"/>
    <x v="0"/>
    <x v="0"/>
    <x v="0"/>
    <x v="2"/>
    <x v="2"/>
    <x v="2"/>
    <x v="16"/>
    <x v="16"/>
    <n v="357.11322000000001"/>
    <x v="0"/>
    <x v="0"/>
    <x v="3"/>
    <x v="5"/>
    <x v="9"/>
    <x v="16"/>
    <n v="389.25340980000004"/>
  </r>
  <r>
    <x v="7"/>
    <x v="0"/>
    <x v="7"/>
    <x v="7"/>
    <x v="0"/>
    <x v="1"/>
    <x v="0"/>
    <x v="0"/>
    <x v="0"/>
    <x v="0"/>
    <x v="0"/>
    <x v="0"/>
    <x v="2"/>
    <x v="2"/>
    <x v="2"/>
    <x v="24"/>
    <x v="24"/>
    <n v="83.676220183436001"/>
    <x v="0"/>
    <x v="0"/>
    <x v="1"/>
    <x v="3"/>
    <x v="3"/>
    <x v="4"/>
    <n v="91.20707999994525"/>
  </r>
  <r>
    <x v="7"/>
    <x v="0"/>
    <x v="7"/>
    <x v="7"/>
    <x v="0"/>
    <x v="1"/>
    <x v="0"/>
    <x v="0"/>
    <x v="0"/>
    <x v="0"/>
    <x v="0"/>
    <x v="0"/>
    <x v="2"/>
    <x v="2"/>
    <x v="2"/>
    <x v="17"/>
    <x v="17"/>
    <n v="196.29974999999999"/>
    <x v="0"/>
    <x v="0"/>
    <x v="0"/>
    <x v="0"/>
    <x v="4"/>
    <x v="17"/>
    <n v="213.96672749999999"/>
  </r>
  <r>
    <x v="7"/>
    <x v="0"/>
    <x v="7"/>
    <x v="7"/>
    <x v="0"/>
    <x v="1"/>
    <x v="0"/>
    <x v="0"/>
    <x v="0"/>
    <x v="0"/>
    <x v="0"/>
    <x v="0"/>
    <x v="2"/>
    <x v="2"/>
    <x v="2"/>
    <x v="18"/>
    <x v="18"/>
    <n v="172.20286999999999"/>
    <x v="0"/>
    <x v="0"/>
    <x v="0"/>
    <x v="0"/>
    <x v="4"/>
    <x v="18"/>
    <n v="187.70112829999999"/>
  </r>
  <r>
    <x v="7"/>
    <x v="0"/>
    <x v="7"/>
    <x v="7"/>
    <x v="0"/>
    <x v="1"/>
    <x v="0"/>
    <x v="0"/>
    <x v="0"/>
    <x v="0"/>
    <x v="0"/>
    <x v="0"/>
    <x v="2"/>
    <x v="2"/>
    <x v="2"/>
    <x v="34"/>
    <x v="34"/>
    <n v="66.8097930119647"/>
    <x v="0"/>
    <x v="0"/>
    <x v="0"/>
    <x v="0"/>
    <x v="0"/>
    <x v="0"/>
    <n v="72.82267438304153"/>
  </r>
  <r>
    <x v="7"/>
    <x v="0"/>
    <x v="7"/>
    <x v="7"/>
    <x v="0"/>
    <x v="1"/>
    <x v="0"/>
    <x v="0"/>
    <x v="0"/>
    <x v="0"/>
    <x v="0"/>
    <x v="0"/>
    <x v="2"/>
    <x v="2"/>
    <x v="2"/>
    <x v="25"/>
    <x v="25"/>
    <n v="51.388348623822402"/>
    <x v="0"/>
    <x v="0"/>
    <x v="1"/>
    <x v="4"/>
    <x v="5"/>
    <x v="9"/>
    <n v="56.013299999966421"/>
  </r>
  <r>
    <x v="7"/>
    <x v="0"/>
    <x v="7"/>
    <x v="7"/>
    <x v="0"/>
    <x v="1"/>
    <x v="0"/>
    <x v="0"/>
    <x v="0"/>
    <x v="0"/>
    <x v="0"/>
    <x v="0"/>
    <x v="2"/>
    <x v="2"/>
    <x v="2"/>
    <x v="27"/>
    <x v="27"/>
    <n v="77.743358109756301"/>
    <x v="0"/>
    <x v="0"/>
    <x v="1"/>
    <x v="3"/>
    <x v="3"/>
    <x v="19"/>
    <n v="84.740260339634375"/>
  </r>
  <r>
    <x v="7"/>
    <x v="0"/>
    <x v="7"/>
    <x v="7"/>
    <x v="0"/>
    <x v="1"/>
    <x v="0"/>
    <x v="0"/>
    <x v="0"/>
    <x v="0"/>
    <x v="0"/>
    <x v="0"/>
    <x v="2"/>
    <x v="2"/>
    <x v="2"/>
    <x v="26"/>
    <x v="26"/>
    <n v="42.833724770616499"/>
    <x v="0"/>
    <x v="0"/>
    <x v="1"/>
    <x v="3"/>
    <x v="3"/>
    <x v="15"/>
    <n v="46.688759999971985"/>
  </r>
  <r>
    <x v="7"/>
    <x v="0"/>
    <x v="7"/>
    <x v="7"/>
    <x v="0"/>
    <x v="1"/>
    <x v="0"/>
    <x v="0"/>
    <x v="0"/>
    <x v="0"/>
    <x v="0"/>
    <x v="0"/>
    <x v="2"/>
    <x v="2"/>
    <x v="2"/>
    <x v="0"/>
    <x v="0"/>
    <n v="1.26982740213168"/>
    <x v="0"/>
    <x v="0"/>
    <x v="0"/>
    <x v="0"/>
    <x v="0"/>
    <x v="0"/>
    <n v="1.3841118683235314"/>
  </r>
  <r>
    <x v="7"/>
    <x v="0"/>
    <x v="7"/>
    <x v="7"/>
    <x v="0"/>
    <x v="1"/>
    <x v="0"/>
    <x v="0"/>
    <x v="0"/>
    <x v="0"/>
    <x v="0"/>
    <x v="0"/>
    <x v="2"/>
    <x v="2"/>
    <x v="2"/>
    <x v="20"/>
    <x v="20"/>
    <n v="125.13217"/>
    <x v="0"/>
    <x v="0"/>
    <x v="1"/>
    <x v="3"/>
    <x v="3"/>
    <x v="13"/>
    <n v="136.39406530000002"/>
  </r>
  <r>
    <x v="7"/>
    <x v="0"/>
    <x v="7"/>
    <x v="7"/>
    <x v="0"/>
    <x v="1"/>
    <x v="0"/>
    <x v="0"/>
    <x v="0"/>
    <x v="0"/>
    <x v="0"/>
    <x v="0"/>
    <x v="2"/>
    <x v="2"/>
    <x v="2"/>
    <x v="2"/>
    <x v="2"/>
    <n v="11069.6410733879"/>
    <x v="0"/>
    <x v="1"/>
    <x v="2"/>
    <x v="2"/>
    <x v="13"/>
    <x v="2"/>
    <n v="12065.908769992811"/>
  </r>
  <r>
    <x v="7"/>
    <x v="0"/>
    <x v="7"/>
    <x v="7"/>
    <x v="0"/>
    <x v="1"/>
    <x v="0"/>
    <x v="0"/>
    <x v="0"/>
    <x v="0"/>
    <x v="0"/>
    <x v="0"/>
    <x v="2"/>
    <x v="2"/>
    <x v="2"/>
    <x v="3"/>
    <x v="3"/>
    <n v="159.28830390595601"/>
    <x v="0"/>
    <x v="0"/>
    <x v="1"/>
    <x v="3"/>
    <x v="3"/>
    <x v="3"/>
    <n v="173.62425125749206"/>
  </r>
  <r>
    <x v="7"/>
    <x v="0"/>
    <x v="7"/>
    <x v="7"/>
    <x v="0"/>
    <x v="1"/>
    <x v="0"/>
    <x v="0"/>
    <x v="0"/>
    <x v="0"/>
    <x v="0"/>
    <x v="0"/>
    <x v="1"/>
    <x v="6"/>
    <x v="6"/>
    <x v="4"/>
    <x v="4"/>
    <n v="5.2077614678867796"/>
    <x v="0"/>
    <x v="0"/>
    <x v="1"/>
    <x v="3"/>
    <x v="3"/>
    <x v="4"/>
    <n v="5.6764599999965899"/>
  </r>
  <r>
    <x v="7"/>
    <x v="0"/>
    <x v="7"/>
    <x v="7"/>
    <x v="0"/>
    <x v="1"/>
    <x v="0"/>
    <x v="0"/>
    <x v="0"/>
    <x v="0"/>
    <x v="0"/>
    <x v="0"/>
    <x v="1"/>
    <x v="6"/>
    <x v="6"/>
    <x v="6"/>
    <x v="6"/>
    <n v="28.8752"/>
    <x v="0"/>
    <x v="0"/>
    <x v="0"/>
    <x v="0"/>
    <x v="4"/>
    <x v="6"/>
    <n v="31.473968000000003"/>
  </r>
  <r>
    <x v="7"/>
    <x v="0"/>
    <x v="7"/>
    <x v="7"/>
    <x v="0"/>
    <x v="1"/>
    <x v="0"/>
    <x v="0"/>
    <x v="0"/>
    <x v="0"/>
    <x v="0"/>
    <x v="0"/>
    <x v="1"/>
    <x v="6"/>
    <x v="6"/>
    <x v="8"/>
    <x v="8"/>
    <n v="131.58290540624799"/>
    <x v="0"/>
    <x v="1"/>
    <x v="2"/>
    <x v="2"/>
    <x v="6"/>
    <x v="8"/>
    <n v="143.42536689281033"/>
  </r>
  <r>
    <x v="7"/>
    <x v="0"/>
    <x v="7"/>
    <x v="7"/>
    <x v="0"/>
    <x v="1"/>
    <x v="0"/>
    <x v="0"/>
    <x v="0"/>
    <x v="0"/>
    <x v="0"/>
    <x v="0"/>
    <x v="1"/>
    <x v="6"/>
    <x v="6"/>
    <x v="9"/>
    <x v="9"/>
    <n v="1.7522935779805999"/>
    <x v="0"/>
    <x v="0"/>
    <x v="1"/>
    <x v="4"/>
    <x v="5"/>
    <x v="9"/>
    <n v="1.9099999999988542"/>
  </r>
  <r>
    <x v="7"/>
    <x v="0"/>
    <x v="7"/>
    <x v="7"/>
    <x v="0"/>
    <x v="1"/>
    <x v="0"/>
    <x v="0"/>
    <x v="0"/>
    <x v="0"/>
    <x v="0"/>
    <x v="0"/>
    <x v="1"/>
    <x v="6"/>
    <x v="6"/>
    <x v="28"/>
    <x v="28"/>
    <n v="1E-4"/>
    <x v="0"/>
    <x v="0"/>
    <x v="1"/>
    <x v="3"/>
    <x v="3"/>
    <x v="13"/>
    <n v="1.0900000000000001E-4"/>
  </r>
  <r>
    <x v="7"/>
    <x v="0"/>
    <x v="7"/>
    <x v="7"/>
    <x v="0"/>
    <x v="1"/>
    <x v="0"/>
    <x v="0"/>
    <x v="0"/>
    <x v="0"/>
    <x v="0"/>
    <x v="0"/>
    <x v="1"/>
    <x v="6"/>
    <x v="6"/>
    <x v="11"/>
    <x v="11"/>
    <n v="4.8129999999999997"/>
    <x v="0"/>
    <x v="0"/>
    <x v="3"/>
    <x v="5"/>
    <x v="7"/>
    <x v="11"/>
    <n v="5.2461700000000002"/>
  </r>
  <r>
    <x v="7"/>
    <x v="0"/>
    <x v="7"/>
    <x v="7"/>
    <x v="0"/>
    <x v="1"/>
    <x v="0"/>
    <x v="0"/>
    <x v="0"/>
    <x v="0"/>
    <x v="0"/>
    <x v="0"/>
    <x v="1"/>
    <x v="6"/>
    <x v="6"/>
    <x v="12"/>
    <x v="12"/>
    <n v="146.65825581339601"/>
    <x v="0"/>
    <x v="0"/>
    <x v="0"/>
    <x v="0"/>
    <x v="8"/>
    <x v="12"/>
    <n v="159.85749883660165"/>
  </r>
  <r>
    <x v="7"/>
    <x v="0"/>
    <x v="7"/>
    <x v="7"/>
    <x v="0"/>
    <x v="1"/>
    <x v="0"/>
    <x v="0"/>
    <x v="0"/>
    <x v="0"/>
    <x v="0"/>
    <x v="0"/>
    <x v="1"/>
    <x v="6"/>
    <x v="6"/>
    <x v="14"/>
    <x v="14"/>
    <n v="10.079219999999999"/>
    <x v="0"/>
    <x v="0"/>
    <x v="0"/>
    <x v="0"/>
    <x v="8"/>
    <x v="14"/>
    <n v="10.986349799999999"/>
  </r>
  <r>
    <x v="7"/>
    <x v="0"/>
    <x v="7"/>
    <x v="7"/>
    <x v="0"/>
    <x v="1"/>
    <x v="0"/>
    <x v="0"/>
    <x v="0"/>
    <x v="0"/>
    <x v="0"/>
    <x v="0"/>
    <x v="1"/>
    <x v="6"/>
    <x v="6"/>
    <x v="16"/>
    <x v="16"/>
    <n v="599.89796999999999"/>
    <x v="0"/>
    <x v="0"/>
    <x v="3"/>
    <x v="5"/>
    <x v="9"/>
    <x v="16"/>
    <n v="653.88878729999999"/>
  </r>
  <r>
    <x v="7"/>
    <x v="0"/>
    <x v="7"/>
    <x v="7"/>
    <x v="0"/>
    <x v="1"/>
    <x v="0"/>
    <x v="0"/>
    <x v="0"/>
    <x v="0"/>
    <x v="0"/>
    <x v="0"/>
    <x v="1"/>
    <x v="6"/>
    <x v="6"/>
    <x v="24"/>
    <x v="24"/>
    <n v="8.8073486238479308"/>
    <x v="0"/>
    <x v="0"/>
    <x v="1"/>
    <x v="3"/>
    <x v="3"/>
    <x v="4"/>
    <n v="9.6000099999942456"/>
  </r>
  <r>
    <x v="7"/>
    <x v="0"/>
    <x v="7"/>
    <x v="7"/>
    <x v="0"/>
    <x v="1"/>
    <x v="0"/>
    <x v="0"/>
    <x v="0"/>
    <x v="0"/>
    <x v="0"/>
    <x v="0"/>
    <x v="1"/>
    <x v="6"/>
    <x v="6"/>
    <x v="27"/>
    <x v="27"/>
    <n v="14.146085585885499"/>
    <x v="0"/>
    <x v="0"/>
    <x v="1"/>
    <x v="3"/>
    <x v="3"/>
    <x v="19"/>
    <n v="15.419233288615196"/>
  </r>
  <r>
    <x v="7"/>
    <x v="0"/>
    <x v="7"/>
    <x v="7"/>
    <x v="0"/>
    <x v="1"/>
    <x v="0"/>
    <x v="0"/>
    <x v="0"/>
    <x v="0"/>
    <x v="0"/>
    <x v="0"/>
    <x v="1"/>
    <x v="6"/>
    <x v="6"/>
    <x v="26"/>
    <x v="26"/>
    <n v="6.6551376146749099"/>
    <x v="0"/>
    <x v="0"/>
    <x v="1"/>
    <x v="3"/>
    <x v="3"/>
    <x v="15"/>
    <n v="7.2540999999956526"/>
  </r>
  <r>
    <x v="7"/>
    <x v="0"/>
    <x v="7"/>
    <x v="7"/>
    <x v="0"/>
    <x v="1"/>
    <x v="0"/>
    <x v="0"/>
    <x v="0"/>
    <x v="0"/>
    <x v="0"/>
    <x v="0"/>
    <x v="1"/>
    <x v="6"/>
    <x v="6"/>
    <x v="20"/>
    <x v="20"/>
    <n v="905.36654999999996"/>
    <x v="0"/>
    <x v="0"/>
    <x v="1"/>
    <x v="3"/>
    <x v="3"/>
    <x v="13"/>
    <n v="986.84953949999999"/>
  </r>
  <r>
    <x v="7"/>
    <x v="0"/>
    <x v="7"/>
    <x v="7"/>
    <x v="0"/>
    <x v="1"/>
    <x v="0"/>
    <x v="0"/>
    <x v="0"/>
    <x v="0"/>
    <x v="0"/>
    <x v="0"/>
    <x v="1"/>
    <x v="6"/>
    <x v="6"/>
    <x v="2"/>
    <x v="2"/>
    <n v="359.25193577960101"/>
    <x v="0"/>
    <x v="1"/>
    <x v="2"/>
    <x v="2"/>
    <x v="13"/>
    <x v="2"/>
    <n v="391.58460999976512"/>
  </r>
  <r>
    <x v="7"/>
    <x v="0"/>
    <x v="7"/>
    <x v="7"/>
    <x v="0"/>
    <x v="1"/>
    <x v="0"/>
    <x v="0"/>
    <x v="0"/>
    <x v="0"/>
    <x v="0"/>
    <x v="0"/>
    <x v="1"/>
    <x v="6"/>
    <x v="6"/>
    <x v="3"/>
    <x v="3"/>
    <n v="21.733096057418098"/>
    <x v="0"/>
    <x v="0"/>
    <x v="1"/>
    <x v="3"/>
    <x v="3"/>
    <x v="3"/>
    <n v="23.689074702585728"/>
  </r>
  <r>
    <x v="7"/>
    <x v="0"/>
    <x v="7"/>
    <x v="7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7"/>
    <x v="0"/>
    <x v="7"/>
    <x v="7"/>
    <x v="0"/>
    <x v="1"/>
    <x v="0"/>
    <x v="0"/>
    <x v="0"/>
    <x v="0"/>
    <x v="0"/>
    <x v="0"/>
    <x v="3"/>
    <x v="7"/>
    <x v="7"/>
    <x v="9"/>
    <x v="9"/>
    <n v="395.04870905393801"/>
    <x v="0"/>
    <x v="0"/>
    <x v="1"/>
    <x v="4"/>
    <x v="5"/>
    <x v="9"/>
    <n v="430.60309286879249"/>
  </r>
  <r>
    <x v="7"/>
    <x v="0"/>
    <x v="7"/>
    <x v="7"/>
    <x v="0"/>
    <x v="1"/>
    <x v="0"/>
    <x v="0"/>
    <x v="0"/>
    <x v="0"/>
    <x v="0"/>
    <x v="0"/>
    <x v="3"/>
    <x v="7"/>
    <x v="7"/>
    <x v="10"/>
    <x v="10"/>
    <n v="120.246900107584"/>
    <x v="0"/>
    <x v="0"/>
    <x v="1"/>
    <x v="4"/>
    <x v="5"/>
    <x v="10"/>
    <n v="131.06912111726658"/>
  </r>
  <r>
    <x v="7"/>
    <x v="0"/>
    <x v="7"/>
    <x v="7"/>
    <x v="0"/>
    <x v="1"/>
    <x v="0"/>
    <x v="0"/>
    <x v="0"/>
    <x v="0"/>
    <x v="0"/>
    <x v="0"/>
    <x v="3"/>
    <x v="7"/>
    <x v="7"/>
    <x v="11"/>
    <x v="11"/>
    <n v="322.72521"/>
    <x v="0"/>
    <x v="0"/>
    <x v="3"/>
    <x v="5"/>
    <x v="7"/>
    <x v="11"/>
    <n v="351.77047890000006"/>
  </r>
  <r>
    <x v="7"/>
    <x v="0"/>
    <x v="7"/>
    <x v="7"/>
    <x v="0"/>
    <x v="1"/>
    <x v="0"/>
    <x v="0"/>
    <x v="0"/>
    <x v="0"/>
    <x v="0"/>
    <x v="0"/>
    <x v="3"/>
    <x v="7"/>
    <x v="7"/>
    <x v="36"/>
    <x v="36"/>
    <n v="142.99058715587799"/>
    <x v="0"/>
    <x v="0"/>
    <x v="1"/>
    <x v="3"/>
    <x v="3"/>
    <x v="4"/>
    <n v="155.85973999990702"/>
  </r>
  <r>
    <x v="7"/>
    <x v="0"/>
    <x v="7"/>
    <x v="7"/>
    <x v="0"/>
    <x v="1"/>
    <x v="0"/>
    <x v="0"/>
    <x v="0"/>
    <x v="0"/>
    <x v="0"/>
    <x v="0"/>
    <x v="3"/>
    <x v="7"/>
    <x v="7"/>
    <x v="24"/>
    <x v="24"/>
    <n v="271.58528440350699"/>
    <x v="0"/>
    <x v="0"/>
    <x v="1"/>
    <x v="3"/>
    <x v="3"/>
    <x v="4"/>
    <n v="296.02795999982266"/>
  </r>
  <r>
    <x v="7"/>
    <x v="0"/>
    <x v="7"/>
    <x v="7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7"/>
    <x v="0"/>
    <x v="7"/>
    <x v="7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7"/>
    <x v="0"/>
    <x v="7"/>
    <x v="7"/>
    <x v="0"/>
    <x v="1"/>
    <x v="0"/>
    <x v="0"/>
    <x v="0"/>
    <x v="0"/>
    <x v="0"/>
    <x v="0"/>
    <x v="3"/>
    <x v="7"/>
    <x v="7"/>
    <x v="34"/>
    <x v="34"/>
    <n v="112.597089081055"/>
    <x v="0"/>
    <x v="0"/>
    <x v="0"/>
    <x v="0"/>
    <x v="0"/>
    <x v="0"/>
    <n v="122.73082709834996"/>
  </r>
  <r>
    <x v="7"/>
    <x v="0"/>
    <x v="7"/>
    <x v="7"/>
    <x v="0"/>
    <x v="1"/>
    <x v="0"/>
    <x v="0"/>
    <x v="0"/>
    <x v="0"/>
    <x v="0"/>
    <x v="0"/>
    <x v="3"/>
    <x v="7"/>
    <x v="7"/>
    <x v="26"/>
    <x v="26"/>
    <n v="5.9614036697211903"/>
    <x v="0"/>
    <x v="0"/>
    <x v="1"/>
    <x v="3"/>
    <x v="3"/>
    <x v="15"/>
    <n v="6.4979299999960975"/>
  </r>
  <r>
    <x v="7"/>
    <x v="0"/>
    <x v="7"/>
    <x v="7"/>
    <x v="0"/>
    <x v="1"/>
    <x v="0"/>
    <x v="0"/>
    <x v="0"/>
    <x v="0"/>
    <x v="0"/>
    <x v="0"/>
    <x v="1"/>
    <x v="8"/>
    <x v="8"/>
    <x v="6"/>
    <x v="6"/>
    <n v="145.25672"/>
    <x v="0"/>
    <x v="0"/>
    <x v="0"/>
    <x v="0"/>
    <x v="4"/>
    <x v="6"/>
    <n v="158.32982480000001"/>
  </r>
  <r>
    <x v="7"/>
    <x v="0"/>
    <x v="7"/>
    <x v="7"/>
    <x v="0"/>
    <x v="1"/>
    <x v="0"/>
    <x v="0"/>
    <x v="0"/>
    <x v="0"/>
    <x v="0"/>
    <x v="0"/>
    <x v="1"/>
    <x v="8"/>
    <x v="8"/>
    <x v="8"/>
    <x v="8"/>
    <n v="447.27361486772702"/>
    <x v="0"/>
    <x v="1"/>
    <x v="2"/>
    <x v="2"/>
    <x v="6"/>
    <x v="8"/>
    <n v="487.5282402058225"/>
  </r>
  <r>
    <x v="7"/>
    <x v="0"/>
    <x v="7"/>
    <x v="7"/>
    <x v="0"/>
    <x v="1"/>
    <x v="0"/>
    <x v="0"/>
    <x v="0"/>
    <x v="0"/>
    <x v="0"/>
    <x v="0"/>
    <x v="1"/>
    <x v="8"/>
    <x v="8"/>
    <x v="9"/>
    <x v="9"/>
    <n v="313.92050257660202"/>
    <x v="0"/>
    <x v="0"/>
    <x v="1"/>
    <x v="4"/>
    <x v="5"/>
    <x v="9"/>
    <n v="342.1733478084962"/>
  </r>
  <r>
    <x v="7"/>
    <x v="0"/>
    <x v="7"/>
    <x v="7"/>
    <x v="0"/>
    <x v="1"/>
    <x v="0"/>
    <x v="0"/>
    <x v="0"/>
    <x v="0"/>
    <x v="0"/>
    <x v="0"/>
    <x v="1"/>
    <x v="8"/>
    <x v="8"/>
    <x v="10"/>
    <x v="10"/>
    <n v="129.38670962447699"/>
    <x v="0"/>
    <x v="0"/>
    <x v="1"/>
    <x v="4"/>
    <x v="5"/>
    <x v="10"/>
    <n v="141.03151349067994"/>
  </r>
  <r>
    <x v="7"/>
    <x v="0"/>
    <x v="7"/>
    <x v="7"/>
    <x v="0"/>
    <x v="1"/>
    <x v="0"/>
    <x v="0"/>
    <x v="0"/>
    <x v="0"/>
    <x v="0"/>
    <x v="0"/>
    <x v="1"/>
    <x v="8"/>
    <x v="8"/>
    <x v="11"/>
    <x v="11"/>
    <n v="22.91752"/>
    <x v="0"/>
    <x v="0"/>
    <x v="3"/>
    <x v="5"/>
    <x v="7"/>
    <x v="11"/>
    <n v="24.980096800000002"/>
  </r>
  <r>
    <x v="7"/>
    <x v="0"/>
    <x v="7"/>
    <x v="7"/>
    <x v="0"/>
    <x v="1"/>
    <x v="0"/>
    <x v="0"/>
    <x v="0"/>
    <x v="0"/>
    <x v="0"/>
    <x v="0"/>
    <x v="1"/>
    <x v="8"/>
    <x v="8"/>
    <x v="36"/>
    <x v="36"/>
    <n v="6.4484403669686099"/>
    <x v="0"/>
    <x v="0"/>
    <x v="1"/>
    <x v="3"/>
    <x v="3"/>
    <x v="4"/>
    <n v="7.0287999999957851"/>
  </r>
  <r>
    <x v="7"/>
    <x v="0"/>
    <x v="7"/>
    <x v="7"/>
    <x v="0"/>
    <x v="1"/>
    <x v="0"/>
    <x v="0"/>
    <x v="0"/>
    <x v="0"/>
    <x v="0"/>
    <x v="0"/>
    <x v="1"/>
    <x v="8"/>
    <x v="8"/>
    <x v="24"/>
    <x v="24"/>
    <n v="321.93225688054099"/>
    <x v="0"/>
    <x v="0"/>
    <x v="1"/>
    <x v="3"/>
    <x v="3"/>
    <x v="4"/>
    <n v="350.90615999978968"/>
  </r>
  <r>
    <x v="7"/>
    <x v="0"/>
    <x v="7"/>
    <x v="7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7"/>
    <x v="0"/>
    <x v="7"/>
    <x v="7"/>
    <x v="0"/>
    <x v="1"/>
    <x v="0"/>
    <x v="0"/>
    <x v="0"/>
    <x v="0"/>
    <x v="0"/>
    <x v="0"/>
    <x v="1"/>
    <x v="8"/>
    <x v="8"/>
    <x v="21"/>
    <x v="21"/>
    <n v="22.195605504573798"/>
    <x v="0"/>
    <x v="0"/>
    <x v="1"/>
    <x v="4"/>
    <x v="5"/>
    <x v="10"/>
    <n v="24.193209999985442"/>
  </r>
  <r>
    <x v="7"/>
    <x v="0"/>
    <x v="7"/>
    <x v="7"/>
    <x v="0"/>
    <x v="1"/>
    <x v="0"/>
    <x v="0"/>
    <x v="0"/>
    <x v="0"/>
    <x v="0"/>
    <x v="0"/>
    <x v="1"/>
    <x v="8"/>
    <x v="8"/>
    <x v="18"/>
    <x v="18"/>
    <n v="51.484139999999996"/>
    <x v="0"/>
    <x v="0"/>
    <x v="0"/>
    <x v="0"/>
    <x v="4"/>
    <x v="18"/>
    <n v="56.117712599999997"/>
  </r>
  <r>
    <x v="7"/>
    <x v="0"/>
    <x v="7"/>
    <x v="7"/>
    <x v="0"/>
    <x v="1"/>
    <x v="0"/>
    <x v="0"/>
    <x v="0"/>
    <x v="0"/>
    <x v="0"/>
    <x v="0"/>
    <x v="1"/>
    <x v="8"/>
    <x v="8"/>
    <x v="34"/>
    <x v="34"/>
    <n v="15.806283842526"/>
    <x v="0"/>
    <x v="0"/>
    <x v="0"/>
    <x v="0"/>
    <x v="0"/>
    <x v="0"/>
    <n v="17.228849388353343"/>
  </r>
  <r>
    <x v="7"/>
    <x v="0"/>
    <x v="7"/>
    <x v="7"/>
    <x v="0"/>
    <x v="1"/>
    <x v="0"/>
    <x v="0"/>
    <x v="0"/>
    <x v="0"/>
    <x v="0"/>
    <x v="0"/>
    <x v="1"/>
    <x v="8"/>
    <x v="8"/>
    <x v="37"/>
    <x v="37"/>
    <n v="225.644192660415"/>
    <x v="0"/>
    <x v="0"/>
    <x v="1"/>
    <x v="3"/>
    <x v="3"/>
    <x v="4"/>
    <n v="245.95216999985237"/>
  </r>
  <r>
    <x v="7"/>
    <x v="0"/>
    <x v="7"/>
    <x v="7"/>
    <x v="0"/>
    <x v="1"/>
    <x v="0"/>
    <x v="0"/>
    <x v="0"/>
    <x v="0"/>
    <x v="0"/>
    <x v="0"/>
    <x v="1"/>
    <x v="8"/>
    <x v="8"/>
    <x v="26"/>
    <x v="26"/>
    <n v="28.761467889891001"/>
    <x v="0"/>
    <x v="0"/>
    <x v="1"/>
    <x v="3"/>
    <x v="3"/>
    <x v="15"/>
    <n v="31.349999999981193"/>
  </r>
  <r>
    <x v="7"/>
    <x v="0"/>
    <x v="7"/>
    <x v="7"/>
    <x v="0"/>
    <x v="1"/>
    <x v="0"/>
    <x v="0"/>
    <x v="0"/>
    <x v="0"/>
    <x v="0"/>
    <x v="0"/>
    <x v="1"/>
    <x v="8"/>
    <x v="8"/>
    <x v="0"/>
    <x v="0"/>
    <n v="41.286278469635299"/>
    <x v="0"/>
    <x v="0"/>
    <x v="0"/>
    <x v="0"/>
    <x v="0"/>
    <x v="0"/>
    <n v="45.00204353190248"/>
  </r>
  <r>
    <x v="7"/>
    <x v="0"/>
    <x v="7"/>
    <x v="7"/>
    <x v="0"/>
    <x v="1"/>
    <x v="0"/>
    <x v="0"/>
    <x v="0"/>
    <x v="0"/>
    <x v="0"/>
    <x v="0"/>
    <x v="0"/>
    <x v="9"/>
    <x v="9"/>
    <x v="6"/>
    <x v="6"/>
    <n v="399.09228999999999"/>
    <x v="0"/>
    <x v="0"/>
    <x v="0"/>
    <x v="0"/>
    <x v="4"/>
    <x v="6"/>
    <n v="435.01059610000004"/>
  </r>
  <r>
    <x v="7"/>
    <x v="0"/>
    <x v="7"/>
    <x v="7"/>
    <x v="0"/>
    <x v="1"/>
    <x v="0"/>
    <x v="0"/>
    <x v="0"/>
    <x v="0"/>
    <x v="0"/>
    <x v="0"/>
    <x v="0"/>
    <x v="9"/>
    <x v="9"/>
    <x v="7"/>
    <x v="7"/>
    <n v="465.587550458436"/>
    <x v="0"/>
    <x v="0"/>
    <x v="1"/>
    <x v="4"/>
    <x v="5"/>
    <x v="7"/>
    <n v="507.49042999969527"/>
  </r>
  <r>
    <x v="7"/>
    <x v="0"/>
    <x v="7"/>
    <x v="7"/>
    <x v="0"/>
    <x v="1"/>
    <x v="0"/>
    <x v="0"/>
    <x v="0"/>
    <x v="0"/>
    <x v="0"/>
    <x v="0"/>
    <x v="0"/>
    <x v="9"/>
    <x v="9"/>
    <x v="9"/>
    <x v="9"/>
    <n v="1219.14909237352"/>
    <x v="0"/>
    <x v="0"/>
    <x v="1"/>
    <x v="4"/>
    <x v="5"/>
    <x v="9"/>
    <n v="1328.872510687137"/>
  </r>
  <r>
    <x v="7"/>
    <x v="0"/>
    <x v="7"/>
    <x v="7"/>
    <x v="0"/>
    <x v="1"/>
    <x v="0"/>
    <x v="0"/>
    <x v="0"/>
    <x v="0"/>
    <x v="0"/>
    <x v="0"/>
    <x v="0"/>
    <x v="9"/>
    <x v="9"/>
    <x v="10"/>
    <x v="10"/>
    <n v="164.19891844431601"/>
    <x v="0"/>
    <x v="0"/>
    <x v="1"/>
    <x v="4"/>
    <x v="5"/>
    <x v="10"/>
    <n v="178.97682110430446"/>
  </r>
  <r>
    <x v="7"/>
    <x v="0"/>
    <x v="7"/>
    <x v="7"/>
    <x v="0"/>
    <x v="1"/>
    <x v="0"/>
    <x v="0"/>
    <x v="0"/>
    <x v="0"/>
    <x v="0"/>
    <x v="0"/>
    <x v="0"/>
    <x v="9"/>
    <x v="9"/>
    <x v="11"/>
    <x v="11"/>
    <n v="190.03046000000001"/>
    <x v="0"/>
    <x v="0"/>
    <x v="3"/>
    <x v="5"/>
    <x v="7"/>
    <x v="11"/>
    <n v="207.13320140000002"/>
  </r>
  <r>
    <x v="7"/>
    <x v="0"/>
    <x v="7"/>
    <x v="7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7"/>
    <x v="0"/>
    <x v="7"/>
    <x v="7"/>
    <x v="0"/>
    <x v="1"/>
    <x v="0"/>
    <x v="0"/>
    <x v="0"/>
    <x v="0"/>
    <x v="0"/>
    <x v="0"/>
    <x v="0"/>
    <x v="9"/>
    <x v="9"/>
    <x v="36"/>
    <x v="36"/>
    <n v="23.603880733930801"/>
    <x v="0"/>
    <x v="0"/>
    <x v="1"/>
    <x v="3"/>
    <x v="3"/>
    <x v="4"/>
    <n v="25.728229999984574"/>
  </r>
  <r>
    <x v="7"/>
    <x v="0"/>
    <x v="7"/>
    <x v="7"/>
    <x v="0"/>
    <x v="1"/>
    <x v="0"/>
    <x v="0"/>
    <x v="0"/>
    <x v="0"/>
    <x v="0"/>
    <x v="0"/>
    <x v="0"/>
    <x v="9"/>
    <x v="9"/>
    <x v="24"/>
    <x v="24"/>
    <n v="284.39766972460001"/>
    <x v="0"/>
    <x v="0"/>
    <x v="1"/>
    <x v="3"/>
    <x v="3"/>
    <x v="4"/>
    <n v="309.99345999981404"/>
  </r>
  <r>
    <x v="7"/>
    <x v="0"/>
    <x v="7"/>
    <x v="7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7"/>
    <x v="0"/>
    <x v="7"/>
    <x v="7"/>
    <x v="0"/>
    <x v="1"/>
    <x v="0"/>
    <x v="0"/>
    <x v="0"/>
    <x v="0"/>
    <x v="0"/>
    <x v="0"/>
    <x v="0"/>
    <x v="9"/>
    <x v="9"/>
    <x v="21"/>
    <x v="21"/>
    <n v="180.180871559525"/>
    <x v="0"/>
    <x v="0"/>
    <x v="1"/>
    <x v="4"/>
    <x v="5"/>
    <x v="10"/>
    <n v="196.39714999988226"/>
  </r>
  <r>
    <x v="7"/>
    <x v="0"/>
    <x v="7"/>
    <x v="7"/>
    <x v="0"/>
    <x v="1"/>
    <x v="0"/>
    <x v="0"/>
    <x v="0"/>
    <x v="0"/>
    <x v="0"/>
    <x v="0"/>
    <x v="0"/>
    <x v="9"/>
    <x v="9"/>
    <x v="18"/>
    <x v="18"/>
    <n v="262.08418"/>
    <x v="0"/>
    <x v="0"/>
    <x v="0"/>
    <x v="0"/>
    <x v="4"/>
    <x v="18"/>
    <n v="285.6717562"/>
  </r>
  <r>
    <x v="7"/>
    <x v="0"/>
    <x v="7"/>
    <x v="7"/>
    <x v="0"/>
    <x v="1"/>
    <x v="0"/>
    <x v="0"/>
    <x v="0"/>
    <x v="0"/>
    <x v="0"/>
    <x v="0"/>
    <x v="0"/>
    <x v="9"/>
    <x v="9"/>
    <x v="34"/>
    <x v="34"/>
    <n v="63.918391265288903"/>
    <x v="0"/>
    <x v="0"/>
    <x v="0"/>
    <x v="0"/>
    <x v="0"/>
    <x v="0"/>
    <n v="69.671046479164914"/>
  </r>
  <r>
    <x v="7"/>
    <x v="0"/>
    <x v="7"/>
    <x v="7"/>
    <x v="0"/>
    <x v="1"/>
    <x v="0"/>
    <x v="0"/>
    <x v="0"/>
    <x v="0"/>
    <x v="0"/>
    <x v="0"/>
    <x v="0"/>
    <x v="9"/>
    <x v="9"/>
    <x v="37"/>
    <x v="37"/>
    <n v="104.33872477058"/>
    <x v="0"/>
    <x v="0"/>
    <x v="1"/>
    <x v="3"/>
    <x v="3"/>
    <x v="4"/>
    <n v="113.72920999993221"/>
  </r>
  <r>
    <x v="7"/>
    <x v="0"/>
    <x v="7"/>
    <x v="7"/>
    <x v="0"/>
    <x v="1"/>
    <x v="0"/>
    <x v="0"/>
    <x v="0"/>
    <x v="0"/>
    <x v="0"/>
    <x v="0"/>
    <x v="0"/>
    <x v="9"/>
    <x v="9"/>
    <x v="26"/>
    <x v="26"/>
    <n v="44.8757247706153"/>
    <x v="0"/>
    <x v="0"/>
    <x v="1"/>
    <x v="3"/>
    <x v="3"/>
    <x v="15"/>
    <n v="48.914539999970678"/>
  </r>
  <r>
    <x v="7"/>
    <x v="0"/>
    <x v="7"/>
    <x v="7"/>
    <x v="0"/>
    <x v="1"/>
    <x v="0"/>
    <x v="0"/>
    <x v="0"/>
    <x v="0"/>
    <x v="0"/>
    <x v="0"/>
    <x v="0"/>
    <x v="9"/>
    <x v="9"/>
    <x v="0"/>
    <x v="0"/>
    <n v="5.2215747330814697"/>
    <x v="0"/>
    <x v="0"/>
    <x v="0"/>
    <x v="0"/>
    <x v="0"/>
    <x v="0"/>
    <n v="5.6915164590588025"/>
  </r>
  <r>
    <x v="7"/>
    <x v="0"/>
    <x v="7"/>
    <x v="7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7"/>
    <x v="0"/>
    <x v="7"/>
    <x v="7"/>
    <x v="0"/>
    <x v="1"/>
    <x v="0"/>
    <x v="0"/>
    <x v="0"/>
    <x v="0"/>
    <x v="0"/>
    <x v="0"/>
    <x v="2"/>
    <x v="10"/>
    <x v="10"/>
    <x v="6"/>
    <x v="6"/>
    <n v="462.55869999999999"/>
    <x v="0"/>
    <x v="0"/>
    <x v="0"/>
    <x v="0"/>
    <x v="4"/>
    <x v="6"/>
    <n v="504.18898300000001"/>
  </r>
  <r>
    <x v="7"/>
    <x v="0"/>
    <x v="7"/>
    <x v="7"/>
    <x v="0"/>
    <x v="1"/>
    <x v="0"/>
    <x v="0"/>
    <x v="0"/>
    <x v="0"/>
    <x v="0"/>
    <x v="0"/>
    <x v="2"/>
    <x v="10"/>
    <x v="10"/>
    <x v="7"/>
    <x v="7"/>
    <n v="56.732449541250404"/>
    <x v="0"/>
    <x v="0"/>
    <x v="1"/>
    <x v="4"/>
    <x v="5"/>
    <x v="7"/>
    <n v="61.838369999962943"/>
  </r>
  <r>
    <x v="7"/>
    <x v="0"/>
    <x v="7"/>
    <x v="7"/>
    <x v="0"/>
    <x v="1"/>
    <x v="0"/>
    <x v="0"/>
    <x v="0"/>
    <x v="0"/>
    <x v="0"/>
    <x v="0"/>
    <x v="2"/>
    <x v="10"/>
    <x v="10"/>
    <x v="9"/>
    <x v="9"/>
    <n v="536.11695272769305"/>
    <x v="0"/>
    <x v="0"/>
    <x v="1"/>
    <x v="4"/>
    <x v="5"/>
    <x v="9"/>
    <n v="584.36747847318543"/>
  </r>
  <r>
    <x v="7"/>
    <x v="0"/>
    <x v="7"/>
    <x v="7"/>
    <x v="0"/>
    <x v="1"/>
    <x v="0"/>
    <x v="0"/>
    <x v="0"/>
    <x v="0"/>
    <x v="0"/>
    <x v="0"/>
    <x v="2"/>
    <x v="10"/>
    <x v="10"/>
    <x v="10"/>
    <x v="10"/>
    <n v="165.80907314214701"/>
    <x v="0"/>
    <x v="0"/>
    <x v="1"/>
    <x v="4"/>
    <x v="5"/>
    <x v="10"/>
    <n v="180.73188972494026"/>
  </r>
  <r>
    <x v="7"/>
    <x v="0"/>
    <x v="7"/>
    <x v="7"/>
    <x v="0"/>
    <x v="1"/>
    <x v="0"/>
    <x v="0"/>
    <x v="0"/>
    <x v="0"/>
    <x v="0"/>
    <x v="0"/>
    <x v="2"/>
    <x v="10"/>
    <x v="10"/>
    <x v="11"/>
    <x v="11"/>
    <n v="120.56786"/>
    <x v="0"/>
    <x v="0"/>
    <x v="3"/>
    <x v="5"/>
    <x v="7"/>
    <x v="11"/>
    <n v="131.41896740000001"/>
  </r>
  <r>
    <x v="7"/>
    <x v="0"/>
    <x v="7"/>
    <x v="7"/>
    <x v="0"/>
    <x v="1"/>
    <x v="0"/>
    <x v="0"/>
    <x v="0"/>
    <x v="0"/>
    <x v="0"/>
    <x v="0"/>
    <x v="2"/>
    <x v="10"/>
    <x v="10"/>
    <x v="22"/>
    <x v="22"/>
    <n v="0.60006854838470003"/>
    <x v="0"/>
    <x v="0"/>
    <x v="0"/>
    <x v="0"/>
    <x v="0"/>
    <x v="0"/>
    <n v="0.65407471773932313"/>
  </r>
  <r>
    <x v="7"/>
    <x v="0"/>
    <x v="7"/>
    <x v="7"/>
    <x v="0"/>
    <x v="1"/>
    <x v="0"/>
    <x v="0"/>
    <x v="0"/>
    <x v="0"/>
    <x v="0"/>
    <x v="0"/>
    <x v="2"/>
    <x v="10"/>
    <x v="10"/>
    <x v="36"/>
    <x v="36"/>
    <n v="49.936623853180997"/>
    <x v="0"/>
    <x v="0"/>
    <x v="1"/>
    <x v="3"/>
    <x v="3"/>
    <x v="4"/>
    <n v="54.430919999967294"/>
  </r>
  <r>
    <x v="7"/>
    <x v="0"/>
    <x v="7"/>
    <x v="7"/>
    <x v="0"/>
    <x v="1"/>
    <x v="0"/>
    <x v="0"/>
    <x v="0"/>
    <x v="0"/>
    <x v="0"/>
    <x v="0"/>
    <x v="2"/>
    <x v="10"/>
    <x v="10"/>
    <x v="24"/>
    <x v="24"/>
    <n v="182.64651376135799"/>
    <x v="0"/>
    <x v="0"/>
    <x v="1"/>
    <x v="3"/>
    <x v="3"/>
    <x v="4"/>
    <n v="199.08469999988023"/>
  </r>
  <r>
    <x v="7"/>
    <x v="0"/>
    <x v="7"/>
    <x v="7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7"/>
    <x v="0"/>
    <x v="7"/>
    <x v="7"/>
    <x v="0"/>
    <x v="1"/>
    <x v="0"/>
    <x v="0"/>
    <x v="0"/>
    <x v="0"/>
    <x v="0"/>
    <x v="0"/>
    <x v="2"/>
    <x v="10"/>
    <x v="10"/>
    <x v="21"/>
    <x v="21"/>
    <n v="71.647724770599197"/>
    <x v="0"/>
    <x v="0"/>
    <x v="1"/>
    <x v="4"/>
    <x v="5"/>
    <x v="10"/>
    <n v="78.096019999953128"/>
  </r>
  <r>
    <x v="7"/>
    <x v="0"/>
    <x v="7"/>
    <x v="7"/>
    <x v="0"/>
    <x v="1"/>
    <x v="0"/>
    <x v="0"/>
    <x v="0"/>
    <x v="0"/>
    <x v="0"/>
    <x v="0"/>
    <x v="2"/>
    <x v="10"/>
    <x v="10"/>
    <x v="18"/>
    <x v="18"/>
    <n v="170.91006999999999"/>
    <x v="0"/>
    <x v="0"/>
    <x v="0"/>
    <x v="0"/>
    <x v="4"/>
    <x v="18"/>
    <n v="186.29197630000002"/>
  </r>
  <r>
    <x v="7"/>
    <x v="0"/>
    <x v="7"/>
    <x v="7"/>
    <x v="0"/>
    <x v="1"/>
    <x v="0"/>
    <x v="0"/>
    <x v="0"/>
    <x v="0"/>
    <x v="0"/>
    <x v="0"/>
    <x v="2"/>
    <x v="10"/>
    <x v="10"/>
    <x v="34"/>
    <x v="34"/>
    <n v="133.19486462655701"/>
    <x v="0"/>
    <x v="0"/>
    <x v="0"/>
    <x v="0"/>
    <x v="0"/>
    <x v="0"/>
    <n v="145.18240244294714"/>
  </r>
  <r>
    <x v="7"/>
    <x v="0"/>
    <x v="7"/>
    <x v="7"/>
    <x v="0"/>
    <x v="1"/>
    <x v="0"/>
    <x v="0"/>
    <x v="0"/>
    <x v="0"/>
    <x v="0"/>
    <x v="0"/>
    <x v="2"/>
    <x v="10"/>
    <x v="10"/>
    <x v="37"/>
    <x v="37"/>
    <n v="135.47937614670801"/>
    <x v="0"/>
    <x v="0"/>
    <x v="1"/>
    <x v="3"/>
    <x v="3"/>
    <x v="4"/>
    <n v="147.67251999991174"/>
  </r>
  <r>
    <x v="7"/>
    <x v="0"/>
    <x v="7"/>
    <x v="7"/>
    <x v="0"/>
    <x v="1"/>
    <x v="0"/>
    <x v="0"/>
    <x v="0"/>
    <x v="0"/>
    <x v="0"/>
    <x v="0"/>
    <x v="2"/>
    <x v="10"/>
    <x v="10"/>
    <x v="26"/>
    <x v="26"/>
    <n v="83.944220183435903"/>
    <x v="0"/>
    <x v="0"/>
    <x v="1"/>
    <x v="3"/>
    <x v="3"/>
    <x v="15"/>
    <n v="91.499199999945134"/>
  </r>
  <r>
    <x v="7"/>
    <x v="0"/>
    <x v="7"/>
    <x v="7"/>
    <x v="0"/>
    <x v="1"/>
    <x v="0"/>
    <x v="0"/>
    <x v="0"/>
    <x v="0"/>
    <x v="0"/>
    <x v="0"/>
    <x v="2"/>
    <x v="10"/>
    <x v="10"/>
    <x v="0"/>
    <x v="0"/>
    <n v="329.14454448306401"/>
    <x v="0"/>
    <x v="0"/>
    <x v="0"/>
    <x v="0"/>
    <x v="0"/>
    <x v="0"/>
    <n v="358.76755348653978"/>
  </r>
  <r>
    <x v="7"/>
    <x v="0"/>
    <x v="7"/>
    <x v="7"/>
    <x v="0"/>
    <x v="1"/>
    <x v="0"/>
    <x v="0"/>
    <x v="0"/>
    <x v="0"/>
    <x v="0"/>
    <x v="0"/>
    <x v="4"/>
    <x v="5"/>
    <x v="5"/>
    <x v="4"/>
    <x v="4"/>
    <n v="27.070807339433301"/>
    <x v="0"/>
    <x v="0"/>
    <x v="1"/>
    <x v="3"/>
    <x v="3"/>
    <x v="4"/>
    <n v="29.507179999982302"/>
  </r>
  <r>
    <x v="7"/>
    <x v="0"/>
    <x v="7"/>
    <x v="7"/>
    <x v="0"/>
    <x v="1"/>
    <x v="0"/>
    <x v="0"/>
    <x v="0"/>
    <x v="0"/>
    <x v="0"/>
    <x v="0"/>
    <x v="4"/>
    <x v="5"/>
    <x v="5"/>
    <x v="6"/>
    <x v="6"/>
    <n v="1214.0310300000001"/>
    <x v="0"/>
    <x v="0"/>
    <x v="0"/>
    <x v="0"/>
    <x v="4"/>
    <x v="6"/>
    <n v="1323.2938227000002"/>
  </r>
  <r>
    <x v="7"/>
    <x v="0"/>
    <x v="7"/>
    <x v="7"/>
    <x v="0"/>
    <x v="1"/>
    <x v="0"/>
    <x v="0"/>
    <x v="0"/>
    <x v="0"/>
    <x v="0"/>
    <x v="0"/>
    <x v="4"/>
    <x v="5"/>
    <x v="5"/>
    <x v="7"/>
    <x v="7"/>
    <n v="44.080091743092801"/>
    <x v="0"/>
    <x v="0"/>
    <x v="1"/>
    <x v="4"/>
    <x v="5"/>
    <x v="7"/>
    <n v="48.047299999971159"/>
  </r>
  <r>
    <x v="7"/>
    <x v="0"/>
    <x v="7"/>
    <x v="7"/>
    <x v="0"/>
    <x v="1"/>
    <x v="0"/>
    <x v="0"/>
    <x v="0"/>
    <x v="0"/>
    <x v="0"/>
    <x v="0"/>
    <x v="4"/>
    <x v="5"/>
    <x v="5"/>
    <x v="8"/>
    <x v="8"/>
    <n v="6224.6308716614603"/>
    <x v="0"/>
    <x v="1"/>
    <x v="2"/>
    <x v="2"/>
    <x v="6"/>
    <x v="8"/>
    <n v="6784.8476501109926"/>
  </r>
  <r>
    <x v="7"/>
    <x v="0"/>
    <x v="7"/>
    <x v="7"/>
    <x v="0"/>
    <x v="1"/>
    <x v="0"/>
    <x v="0"/>
    <x v="0"/>
    <x v="0"/>
    <x v="0"/>
    <x v="0"/>
    <x v="4"/>
    <x v="5"/>
    <x v="5"/>
    <x v="9"/>
    <x v="9"/>
    <n v="2614.7891447321799"/>
    <x v="0"/>
    <x v="0"/>
    <x v="1"/>
    <x v="4"/>
    <x v="5"/>
    <x v="9"/>
    <n v="2850.1201677580761"/>
  </r>
  <r>
    <x v="7"/>
    <x v="0"/>
    <x v="7"/>
    <x v="7"/>
    <x v="0"/>
    <x v="1"/>
    <x v="0"/>
    <x v="0"/>
    <x v="0"/>
    <x v="0"/>
    <x v="0"/>
    <x v="0"/>
    <x v="4"/>
    <x v="5"/>
    <x v="5"/>
    <x v="10"/>
    <x v="10"/>
    <n v="440.02593790665901"/>
    <x v="0"/>
    <x v="0"/>
    <x v="1"/>
    <x v="4"/>
    <x v="5"/>
    <x v="10"/>
    <n v="479.62827231825838"/>
  </r>
  <r>
    <x v="7"/>
    <x v="0"/>
    <x v="7"/>
    <x v="7"/>
    <x v="0"/>
    <x v="1"/>
    <x v="0"/>
    <x v="0"/>
    <x v="0"/>
    <x v="0"/>
    <x v="0"/>
    <x v="0"/>
    <x v="4"/>
    <x v="5"/>
    <x v="5"/>
    <x v="29"/>
    <x v="29"/>
    <n v="0.51473999999999998"/>
    <x v="0"/>
    <x v="0"/>
    <x v="1"/>
    <x v="3"/>
    <x v="3"/>
    <x v="13"/>
    <n v="0.56106659999999997"/>
  </r>
  <r>
    <x v="7"/>
    <x v="0"/>
    <x v="7"/>
    <x v="7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7"/>
    <x v="0"/>
    <x v="7"/>
    <x v="7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7"/>
    <x v="0"/>
    <x v="7"/>
    <x v="7"/>
    <x v="0"/>
    <x v="1"/>
    <x v="0"/>
    <x v="0"/>
    <x v="0"/>
    <x v="0"/>
    <x v="0"/>
    <x v="0"/>
    <x v="4"/>
    <x v="5"/>
    <x v="5"/>
    <x v="88"/>
    <x v="88"/>
    <n v="15.5152018348531"/>
    <x v="0"/>
    <x v="0"/>
    <x v="1"/>
    <x v="4"/>
    <x v="5"/>
    <x v="9"/>
    <n v="16.911569999989879"/>
  </r>
  <r>
    <x v="7"/>
    <x v="0"/>
    <x v="7"/>
    <x v="7"/>
    <x v="0"/>
    <x v="1"/>
    <x v="0"/>
    <x v="0"/>
    <x v="0"/>
    <x v="0"/>
    <x v="0"/>
    <x v="0"/>
    <x v="4"/>
    <x v="5"/>
    <x v="5"/>
    <x v="12"/>
    <x v="12"/>
    <n v="8.4248023255493791"/>
    <x v="0"/>
    <x v="0"/>
    <x v="0"/>
    <x v="0"/>
    <x v="8"/>
    <x v="12"/>
    <n v="9.183034534848824"/>
  </r>
  <r>
    <x v="7"/>
    <x v="0"/>
    <x v="7"/>
    <x v="7"/>
    <x v="0"/>
    <x v="1"/>
    <x v="0"/>
    <x v="0"/>
    <x v="0"/>
    <x v="0"/>
    <x v="0"/>
    <x v="0"/>
    <x v="4"/>
    <x v="5"/>
    <x v="5"/>
    <x v="14"/>
    <x v="14"/>
    <n v="114.0003"/>
    <x v="0"/>
    <x v="0"/>
    <x v="0"/>
    <x v="0"/>
    <x v="8"/>
    <x v="14"/>
    <n v="124.260327"/>
  </r>
  <r>
    <x v="7"/>
    <x v="0"/>
    <x v="7"/>
    <x v="7"/>
    <x v="0"/>
    <x v="1"/>
    <x v="0"/>
    <x v="0"/>
    <x v="0"/>
    <x v="0"/>
    <x v="0"/>
    <x v="0"/>
    <x v="4"/>
    <x v="5"/>
    <x v="5"/>
    <x v="22"/>
    <x v="22"/>
    <n v="76.186374999695204"/>
    <x v="0"/>
    <x v="0"/>
    <x v="0"/>
    <x v="0"/>
    <x v="0"/>
    <x v="0"/>
    <n v="83.043148749667779"/>
  </r>
  <r>
    <x v="7"/>
    <x v="0"/>
    <x v="7"/>
    <x v="7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7"/>
    <x v="0"/>
    <x v="7"/>
    <x v="7"/>
    <x v="0"/>
    <x v="1"/>
    <x v="0"/>
    <x v="0"/>
    <x v="0"/>
    <x v="0"/>
    <x v="0"/>
    <x v="0"/>
    <x v="4"/>
    <x v="5"/>
    <x v="5"/>
    <x v="36"/>
    <x v="36"/>
    <n v="194.14708256869099"/>
    <x v="0"/>
    <x v="0"/>
    <x v="1"/>
    <x v="3"/>
    <x v="3"/>
    <x v="4"/>
    <n v="211.6203199998732"/>
  </r>
  <r>
    <x v="7"/>
    <x v="0"/>
    <x v="7"/>
    <x v="7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7"/>
    <x v="0"/>
    <x v="7"/>
    <x v="7"/>
    <x v="0"/>
    <x v="1"/>
    <x v="0"/>
    <x v="0"/>
    <x v="0"/>
    <x v="0"/>
    <x v="0"/>
    <x v="0"/>
    <x v="4"/>
    <x v="5"/>
    <x v="5"/>
    <x v="24"/>
    <x v="24"/>
    <n v="273.61190825671702"/>
    <x v="0"/>
    <x v="0"/>
    <x v="1"/>
    <x v="3"/>
    <x v="3"/>
    <x v="4"/>
    <n v="298.23697999982159"/>
  </r>
  <r>
    <x v="7"/>
    <x v="0"/>
    <x v="7"/>
    <x v="7"/>
    <x v="0"/>
    <x v="1"/>
    <x v="0"/>
    <x v="0"/>
    <x v="0"/>
    <x v="0"/>
    <x v="0"/>
    <x v="0"/>
    <x v="4"/>
    <x v="5"/>
    <x v="5"/>
    <x v="17"/>
    <x v="17"/>
    <n v="404.88974999999999"/>
    <x v="0"/>
    <x v="0"/>
    <x v="0"/>
    <x v="0"/>
    <x v="4"/>
    <x v="17"/>
    <n v="441.32982750000002"/>
  </r>
  <r>
    <x v="7"/>
    <x v="0"/>
    <x v="7"/>
    <x v="7"/>
    <x v="0"/>
    <x v="1"/>
    <x v="0"/>
    <x v="0"/>
    <x v="0"/>
    <x v="0"/>
    <x v="0"/>
    <x v="0"/>
    <x v="4"/>
    <x v="5"/>
    <x v="5"/>
    <x v="18"/>
    <x v="18"/>
    <n v="1278.8448699999999"/>
    <x v="0"/>
    <x v="0"/>
    <x v="0"/>
    <x v="0"/>
    <x v="4"/>
    <x v="18"/>
    <n v="1393.9409083"/>
  </r>
  <r>
    <x v="7"/>
    <x v="0"/>
    <x v="7"/>
    <x v="7"/>
    <x v="0"/>
    <x v="1"/>
    <x v="0"/>
    <x v="0"/>
    <x v="0"/>
    <x v="0"/>
    <x v="0"/>
    <x v="0"/>
    <x v="4"/>
    <x v="5"/>
    <x v="5"/>
    <x v="34"/>
    <x v="34"/>
    <n v="489.079464620507"/>
    <x v="0"/>
    <x v="0"/>
    <x v="0"/>
    <x v="0"/>
    <x v="0"/>
    <x v="0"/>
    <n v="533.09661643635263"/>
  </r>
  <r>
    <x v="7"/>
    <x v="0"/>
    <x v="7"/>
    <x v="7"/>
    <x v="0"/>
    <x v="1"/>
    <x v="0"/>
    <x v="0"/>
    <x v="0"/>
    <x v="0"/>
    <x v="0"/>
    <x v="0"/>
    <x v="4"/>
    <x v="5"/>
    <x v="5"/>
    <x v="25"/>
    <x v="25"/>
    <n v="170.79194495402601"/>
    <x v="0"/>
    <x v="0"/>
    <x v="1"/>
    <x v="4"/>
    <x v="5"/>
    <x v="9"/>
    <n v="186.16321999988836"/>
  </r>
  <r>
    <x v="7"/>
    <x v="0"/>
    <x v="7"/>
    <x v="7"/>
    <x v="0"/>
    <x v="1"/>
    <x v="0"/>
    <x v="0"/>
    <x v="0"/>
    <x v="0"/>
    <x v="0"/>
    <x v="0"/>
    <x v="4"/>
    <x v="5"/>
    <x v="5"/>
    <x v="37"/>
    <x v="37"/>
    <n v="497.12111009144502"/>
    <x v="0"/>
    <x v="0"/>
    <x v="1"/>
    <x v="3"/>
    <x v="3"/>
    <x v="4"/>
    <n v="541.86200999967514"/>
  </r>
  <r>
    <x v="7"/>
    <x v="0"/>
    <x v="7"/>
    <x v="7"/>
    <x v="0"/>
    <x v="1"/>
    <x v="0"/>
    <x v="0"/>
    <x v="0"/>
    <x v="0"/>
    <x v="0"/>
    <x v="0"/>
    <x v="4"/>
    <x v="5"/>
    <x v="5"/>
    <x v="27"/>
    <x v="27"/>
    <n v="103.895054056257"/>
    <x v="0"/>
    <x v="0"/>
    <x v="1"/>
    <x v="3"/>
    <x v="3"/>
    <x v="19"/>
    <n v="113.24560892132013"/>
  </r>
  <r>
    <x v="7"/>
    <x v="0"/>
    <x v="7"/>
    <x v="7"/>
    <x v="0"/>
    <x v="1"/>
    <x v="0"/>
    <x v="0"/>
    <x v="0"/>
    <x v="0"/>
    <x v="0"/>
    <x v="0"/>
    <x v="4"/>
    <x v="5"/>
    <x v="5"/>
    <x v="26"/>
    <x v="26"/>
    <n v="25.2775688073243"/>
    <x v="0"/>
    <x v="0"/>
    <x v="1"/>
    <x v="3"/>
    <x v="3"/>
    <x v="15"/>
    <n v="27.552549999983491"/>
  </r>
  <r>
    <x v="7"/>
    <x v="0"/>
    <x v="7"/>
    <x v="7"/>
    <x v="0"/>
    <x v="1"/>
    <x v="0"/>
    <x v="0"/>
    <x v="0"/>
    <x v="0"/>
    <x v="0"/>
    <x v="0"/>
    <x v="4"/>
    <x v="5"/>
    <x v="5"/>
    <x v="0"/>
    <x v="0"/>
    <n v="245.07960854023901"/>
    <x v="0"/>
    <x v="0"/>
    <x v="0"/>
    <x v="0"/>
    <x v="0"/>
    <x v="0"/>
    <n v="267.13677330886054"/>
  </r>
  <r>
    <x v="7"/>
    <x v="0"/>
    <x v="7"/>
    <x v="7"/>
    <x v="0"/>
    <x v="1"/>
    <x v="0"/>
    <x v="0"/>
    <x v="0"/>
    <x v="0"/>
    <x v="0"/>
    <x v="0"/>
    <x v="4"/>
    <x v="5"/>
    <x v="5"/>
    <x v="2"/>
    <x v="2"/>
    <n v="17062.1638165035"/>
    <x v="0"/>
    <x v="1"/>
    <x v="2"/>
    <x v="2"/>
    <x v="13"/>
    <x v="2"/>
    <n v="18597.758559988815"/>
  </r>
  <r>
    <x v="7"/>
    <x v="0"/>
    <x v="7"/>
    <x v="7"/>
    <x v="0"/>
    <x v="1"/>
    <x v="0"/>
    <x v="0"/>
    <x v="0"/>
    <x v="0"/>
    <x v="0"/>
    <x v="0"/>
    <x v="4"/>
    <x v="5"/>
    <x v="5"/>
    <x v="3"/>
    <x v="3"/>
    <n v="21.226943840708799"/>
    <x v="0"/>
    <x v="0"/>
    <x v="1"/>
    <x v="3"/>
    <x v="3"/>
    <x v="3"/>
    <n v="23.137368786372594"/>
  </r>
  <r>
    <x v="7"/>
    <x v="0"/>
    <x v="7"/>
    <x v="7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7"/>
    <x v="0"/>
    <x v="7"/>
    <x v="7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7"/>
    <x v="0"/>
    <x v="7"/>
    <x v="7"/>
    <x v="0"/>
    <x v="1"/>
    <x v="0"/>
    <x v="0"/>
    <x v="0"/>
    <x v="0"/>
    <x v="3"/>
    <x v="3"/>
    <x v="0"/>
    <x v="4"/>
    <x v="4"/>
    <x v="16"/>
    <x v="16"/>
    <n v="4.7752100000000004"/>
    <x v="0"/>
    <x v="0"/>
    <x v="3"/>
    <x v="5"/>
    <x v="9"/>
    <x v="16"/>
    <n v="5.2049789000000004"/>
  </r>
  <r>
    <x v="7"/>
    <x v="0"/>
    <x v="7"/>
    <x v="7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7"/>
    <x v="0"/>
    <x v="7"/>
    <x v="7"/>
    <x v="0"/>
    <x v="1"/>
    <x v="0"/>
    <x v="0"/>
    <x v="0"/>
    <x v="0"/>
    <x v="3"/>
    <x v="3"/>
    <x v="2"/>
    <x v="2"/>
    <x v="2"/>
    <x v="5"/>
    <x v="5"/>
    <n v="5.0825337423699199"/>
    <x v="0"/>
    <x v="0"/>
    <x v="1"/>
    <x v="1"/>
    <x v="1"/>
    <x v="5"/>
    <n v="5.539961779183213"/>
  </r>
  <r>
    <x v="7"/>
    <x v="0"/>
    <x v="7"/>
    <x v="7"/>
    <x v="0"/>
    <x v="1"/>
    <x v="0"/>
    <x v="0"/>
    <x v="0"/>
    <x v="0"/>
    <x v="3"/>
    <x v="3"/>
    <x v="2"/>
    <x v="2"/>
    <x v="2"/>
    <x v="6"/>
    <x v="6"/>
    <n v="86.381399999999999"/>
    <x v="0"/>
    <x v="0"/>
    <x v="0"/>
    <x v="0"/>
    <x v="4"/>
    <x v="6"/>
    <n v="94.155726000000001"/>
  </r>
  <r>
    <x v="7"/>
    <x v="0"/>
    <x v="7"/>
    <x v="7"/>
    <x v="0"/>
    <x v="1"/>
    <x v="0"/>
    <x v="0"/>
    <x v="0"/>
    <x v="0"/>
    <x v="3"/>
    <x v="3"/>
    <x v="2"/>
    <x v="2"/>
    <x v="2"/>
    <x v="8"/>
    <x v="8"/>
    <n v="739.90587726710396"/>
    <x v="0"/>
    <x v="1"/>
    <x v="2"/>
    <x v="2"/>
    <x v="6"/>
    <x v="8"/>
    <n v="806.49740622114336"/>
  </r>
  <r>
    <x v="7"/>
    <x v="0"/>
    <x v="7"/>
    <x v="7"/>
    <x v="0"/>
    <x v="1"/>
    <x v="0"/>
    <x v="0"/>
    <x v="0"/>
    <x v="0"/>
    <x v="3"/>
    <x v="3"/>
    <x v="2"/>
    <x v="2"/>
    <x v="2"/>
    <x v="9"/>
    <x v="9"/>
    <n v="0.30899082568788999"/>
    <x v="0"/>
    <x v="0"/>
    <x v="1"/>
    <x v="4"/>
    <x v="5"/>
    <x v="9"/>
    <n v="0.33679999999980009"/>
  </r>
  <r>
    <x v="7"/>
    <x v="0"/>
    <x v="7"/>
    <x v="7"/>
    <x v="0"/>
    <x v="1"/>
    <x v="0"/>
    <x v="0"/>
    <x v="0"/>
    <x v="0"/>
    <x v="3"/>
    <x v="3"/>
    <x v="2"/>
    <x v="2"/>
    <x v="2"/>
    <x v="30"/>
    <x v="30"/>
    <n v="10.10752688168"/>
    <x v="0"/>
    <x v="0"/>
    <x v="0"/>
    <x v="0"/>
    <x v="0"/>
    <x v="0"/>
    <n v="11.017204301031201"/>
  </r>
  <r>
    <x v="7"/>
    <x v="0"/>
    <x v="7"/>
    <x v="7"/>
    <x v="0"/>
    <x v="1"/>
    <x v="0"/>
    <x v="0"/>
    <x v="0"/>
    <x v="0"/>
    <x v="3"/>
    <x v="3"/>
    <x v="2"/>
    <x v="2"/>
    <x v="2"/>
    <x v="16"/>
    <x v="16"/>
    <n v="15.54777"/>
    <x v="0"/>
    <x v="0"/>
    <x v="3"/>
    <x v="5"/>
    <x v="9"/>
    <x v="16"/>
    <n v="16.947069300000003"/>
  </r>
  <r>
    <x v="7"/>
    <x v="0"/>
    <x v="7"/>
    <x v="7"/>
    <x v="0"/>
    <x v="1"/>
    <x v="0"/>
    <x v="0"/>
    <x v="0"/>
    <x v="0"/>
    <x v="3"/>
    <x v="3"/>
    <x v="2"/>
    <x v="2"/>
    <x v="2"/>
    <x v="2"/>
    <x v="2"/>
    <n v="470.52679816485499"/>
    <x v="0"/>
    <x v="1"/>
    <x v="2"/>
    <x v="2"/>
    <x v="13"/>
    <x v="2"/>
    <n v="512.87420999969197"/>
  </r>
  <r>
    <x v="7"/>
    <x v="0"/>
    <x v="7"/>
    <x v="7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7"/>
    <x v="0"/>
    <x v="7"/>
    <x v="7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7"/>
    <x v="0"/>
    <x v="7"/>
    <x v="7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7"/>
    <x v="0"/>
    <x v="7"/>
    <x v="7"/>
    <x v="0"/>
    <x v="1"/>
    <x v="0"/>
    <x v="0"/>
    <x v="0"/>
    <x v="0"/>
    <x v="3"/>
    <x v="3"/>
    <x v="4"/>
    <x v="5"/>
    <x v="5"/>
    <x v="12"/>
    <x v="12"/>
    <n v="48.141151162607798"/>
    <x v="0"/>
    <x v="0"/>
    <x v="0"/>
    <x v="0"/>
    <x v="8"/>
    <x v="12"/>
    <n v="52.473854767242507"/>
  </r>
  <r>
    <x v="7"/>
    <x v="0"/>
    <x v="7"/>
    <x v="7"/>
    <x v="0"/>
    <x v="1"/>
    <x v="0"/>
    <x v="0"/>
    <x v="0"/>
    <x v="0"/>
    <x v="3"/>
    <x v="3"/>
    <x v="4"/>
    <x v="5"/>
    <x v="5"/>
    <x v="18"/>
    <x v="18"/>
    <n v="12.893660000000001"/>
    <x v="0"/>
    <x v="0"/>
    <x v="0"/>
    <x v="0"/>
    <x v="4"/>
    <x v="18"/>
    <n v="14.054089400000002"/>
  </r>
  <r>
    <x v="7"/>
    <x v="0"/>
    <x v="7"/>
    <x v="7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7"/>
    <x v="0"/>
    <x v="7"/>
    <x v="7"/>
    <x v="0"/>
    <x v="1"/>
    <x v="0"/>
    <x v="0"/>
    <x v="0"/>
    <x v="0"/>
    <x v="3"/>
    <x v="3"/>
    <x v="4"/>
    <x v="5"/>
    <x v="5"/>
    <x v="0"/>
    <x v="0"/>
    <n v="164.63075444793799"/>
    <x v="0"/>
    <x v="0"/>
    <x v="0"/>
    <x v="0"/>
    <x v="0"/>
    <x v="0"/>
    <n v="179.44752234825242"/>
  </r>
  <r>
    <x v="7"/>
    <x v="0"/>
    <x v="7"/>
    <x v="7"/>
    <x v="0"/>
    <x v="1"/>
    <x v="0"/>
    <x v="0"/>
    <x v="0"/>
    <x v="0"/>
    <x v="3"/>
    <x v="3"/>
    <x v="4"/>
    <x v="5"/>
    <x v="5"/>
    <x v="2"/>
    <x v="2"/>
    <n v="18.352302752282601"/>
    <x v="0"/>
    <x v="1"/>
    <x v="2"/>
    <x v="2"/>
    <x v="13"/>
    <x v="2"/>
    <n v="20.004009999988035"/>
  </r>
  <r>
    <x v="7"/>
    <x v="0"/>
    <x v="7"/>
    <x v="7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7"/>
    <x v="0"/>
    <x v="7"/>
    <x v="7"/>
    <x v="0"/>
    <x v="5"/>
    <x v="0"/>
    <x v="0"/>
    <x v="0"/>
    <x v="0"/>
    <x v="0"/>
    <x v="0"/>
    <x v="2"/>
    <x v="2"/>
    <x v="2"/>
    <x v="10"/>
    <x v="10"/>
    <n v="1.0091743119259999"/>
    <x v="0"/>
    <x v="0"/>
    <x v="1"/>
    <x v="4"/>
    <x v="5"/>
    <x v="10"/>
    <n v="1.09999999999934"/>
  </r>
  <r>
    <x v="7"/>
    <x v="0"/>
    <x v="7"/>
    <x v="7"/>
    <x v="0"/>
    <x v="5"/>
    <x v="0"/>
    <x v="0"/>
    <x v="0"/>
    <x v="0"/>
    <x v="0"/>
    <x v="0"/>
    <x v="2"/>
    <x v="2"/>
    <x v="2"/>
    <x v="11"/>
    <x v="11"/>
    <n v="2.6278100000000002"/>
    <x v="0"/>
    <x v="0"/>
    <x v="3"/>
    <x v="5"/>
    <x v="7"/>
    <x v="11"/>
    <n v="2.8643129000000003"/>
  </r>
  <r>
    <x v="7"/>
    <x v="0"/>
    <x v="7"/>
    <x v="7"/>
    <x v="0"/>
    <x v="5"/>
    <x v="0"/>
    <x v="0"/>
    <x v="0"/>
    <x v="0"/>
    <x v="0"/>
    <x v="0"/>
    <x v="2"/>
    <x v="2"/>
    <x v="2"/>
    <x v="14"/>
    <x v="14"/>
    <n v="16.7"/>
    <x v="0"/>
    <x v="0"/>
    <x v="0"/>
    <x v="0"/>
    <x v="8"/>
    <x v="14"/>
    <n v="18.202999999999999"/>
  </r>
  <r>
    <x v="7"/>
    <x v="0"/>
    <x v="7"/>
    <x v="7"/>
    <x v="0"/>
    <x v="5"/>
    <x v="0"/>
    <x v="0"/>
    <x v="0"/>
    <x v="0"/>
    <x v="0"/>
    <x v="0"/>
    <x v="2"/>
    <x v="2"/>
    <x v="2"/>
    <x v="16"/>
    <x v="16"/>
    <n v="15.135999999999999"/>
    <x v="0"/>
    <x v="0"/>
    <x v="3"/>
    <x v="5"/>
    <x v="9"/>
    <x v="16"/>
    <n v="16.498239999999999"/>
  </r>
  <r>
    <x v="7"/>
    <x v="0"/>
    <x v="7"/>
    <x v="7"/>
    <x v="0"/>
    <x v="5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7"/>
    <x v="0"/>
    <x v="7"/>
    <x v="7"/>
    <x v="0"/>
    <x v="5"/>
    <x v="0"/>
    <x v="0"/>
    <x v="0"/>
    <x v="0"/>
    <x v="0"/>
    <x v="0"/>
    <x v="1"/>
    <x v="6"/>
    <x v="6"/>
    <x v="16"/>
    <x v="16"/>
    <n v="5.923"/>
    <x v="0"/>
    <x v="0"/>
    <x v="3"/>
    <x v="5"/>
    <x v="9"/>
    <x v="16"/>
    <n v="6.4560700000000004"/>
  </r>
  <r>
    <x v="7"/>
    <x v="0"/>
    <x v="7"/>
    <x v="7"/>
    <x v="0"/>
    <x v="5"/>
    <x v="0"/>
    <x v="0"/>
    <x v="0"/>
    <x v="0"/>
    <x v="0"/>
    <x v="0"/>
    <x v="4"/>
    <x v="5"/>
    <x v="5"/>
    <x v="14"/>
    <x v="14"/>
    <n v="1.69255"/>
    <x v="0"/>
    <x v="0"/>
    <x v="0"/>
    <x v="0"/>
    <x v="8"/>
    <x v="14"/>
    <n v="1.8448795000000002"/>
  </r>
  <r>
    <x v="7"/>
    <x v="0"/>
    <x v="7"/>
    <x v="7"/>
    <x v="0"/>
    <x v="5"/>
    <x v="0"/>
    <x v="0"/>
    <x v="0"/>
    <x v="0"/>
    <x v="0"/>
    <x v="0"/>
    <x v="3"/>
    <x v="1"/>
    <x v="3"/>
    <x v="11"/>
    <x v="11"/>
    <n v="5.3607500000000003"/>
    <x v="0"/>
    <x v="0"/>
    <x v="3"/>
    <x v="5"/>
    <x v="7"/>
    <x v="11"/>
    <n v="5.8432175000000006"/>
  </r>
  <r>
    <x v="7"/>
    <x v="0"/>
    <x v="7"/>
    <x v="7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7"/>
    <x v="0"/>
    <x v="7"/>
    <x v="7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7"/>
    <x v="0"/>
    <x v="7"/>
    <x v="7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7"/>
    <x v="0"/>
    <x v="7"/>
    <x v="7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7"/>
    <x v="0"/>
    <x v="7"/>
    <x v="7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7"/>
    <x v="0"/>
    <x v="7"/>
    <x v="7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7"/>
    <x v="0"/>
    <x v="7"/>
    <x v="7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7"/>
    <x v="0"/>
    <x v="7"/>
    <x v="7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7"/>
    <x v="0"/>
    <x v="7"/>
    <x v="7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7"/>
    <x v="0"/>
    <x v="7"/>
    <x v="7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7"/>
    <x v="0"/>
    <x v="7"/>
    <x v="7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7"/>
    <x v="0"/>
    <x v="7"/>
    <x v="7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7"/>
    <x v="0"/>
    <x v="7"/>
    <x v="7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7"/>
    <x v="0"/>
    <x v="7"/>
    <x v="7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7"/>
    <x v="0"/>
    <x v="7"/>
    <x v="7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7"/>
    <x v="0"/>
    <x v="7"/>
    <x v="7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7"/>
    <x v="0"/>
    <x v="7"/>
    <x v="7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7"/>
    <x v="0"/>
    <x v="7"/>
    <x v="7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7"/>
    <x v="0"/>
    <x v="7"/>
    <x v="7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7"/>
    <x v="0"/>
    <x v="7"/>
    <x v="7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7"/>
    <x v="0"/>
    <x v="7"/>
    <x v="7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7"/>
    <x v="0"/>
    <x v="7"/>
    <x v="7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7"/>
    <x v="0"/>
    <x v="7"/>
    <x v="7"/>
    <x v="1"/>
    <x v="6"/>
    <x v="0"/>
    <x v="0"/>
    <x v="0"/>
    <x v="0"/>
    <x v="4"/>
    <x v="4"/>
    <x v="2"/>
    <x v="2"/>
    <x v="2"/>
    <x v="10"/>
    <x v="10"/>
    <n v="4.3349230960255998"/>
    <x v="0"/>
    <x v="0"/>
    <x v="1"/>
    <x v="4"/>
    <x v="5"/>
    <x v="10"/>
    <n v="4.7250661746679041"/>
  </r>
  <r>
    <x v="7"/>
    <x v="0"/>
    <x v="7"/>
    <x v="7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7"/>
    <x v="0"/>
    <x v="7"/>
    <x v="7"/>
    <x v="1"/>
    <x v="6"/>
    <x v="0"/>
    <x v="0"/>
    <x v="0"/>
    <x v="0"/>
    <x v="4"/>
    <x v="4"/>
    <x v="2"/>
    <x v="2"/>
    <x v="2"/>
    <x v="21"/>
    <x v="21"/>
    <n v="3.8838165137591401"/>
    <x v="0"/>
    <x v="0"/>
    <x v="1"/>
    <x v="4"/>
    <x v="5"/>
    <x v="10"/>
    <n v="4.2333599999974627"/>
  </r>
  <r>
    <x v="7"/>
    <x v="0"/>
    <x v="7"/>
    <x v="7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7"/>
    <x v="0"/>
    <x v="7"/>
    <x v="7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7"/>
    <x v="0"/>
    <x v="7"/>
    <x v="7"/>
    <x v="1"/>
    <x v="6"/>
    <x v="0"/>
    <x v="0"/>
    <x v="0"/>
    <x v="0"/>
    <x v="4"/>
    <x v="4"/>
    <x v="2"/>
    <x v="2"/>
    <x v="2"/>
    <x v="26"/>
    <x v="26"/>
    <n v="2.3392477064206099"/>
    <x v="0"/>
    <x v="0"/>
    <x v="1"/>
    <x v="3"/>
    <x v="3"/>
    <x v="15"/>
    <n v="2.5497799999984649"/>
  </r>
  <r>
    <x v="7"/>
    <x v="0"/>
    <x v="7"/>
    <x v="7"/>
    <x v="1"/>
    <x v="6"/>
    <x v="0"/>
    <x v="0"/>
    <x v="0"/>
    <x v="0"/>
    <x v="4"/>
    <x v="4"/>
    <x v="2"/>
    <x v="2"/>
    <x v="2"/>
    <x v="2"/>
    <x v="2"/>
    <n v="0.98414678899024"/>
    <x v="0"/>
    <x v="1"/>
    <x v="2"/>
    <x v="2"/>
    <x v="13"/>
    <x v="2"/>
    <n v="1.0727199999993617"/>
  </r>
  <r>
    <x v="7"/>
    <x v="0"/>
    <x v="7"/>
    <x v="7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7"/>
    <x v="0"/>
    <x v="7"/>
    <x v="7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7"/>
    <x v="0"/>
    <x v="7"/>
    <x v="7"/>
    <x v="1"/>
    <x v="6"/>
    <x v="0"/>
    <x v="0"/>
    <x v="0"/>
    <x v="0"/>
    <x v="4"/>
    <x v="4"/>
    <x v="4"/>
    <x v="5"/>
    <x v="5"/>
    <x v="20"/>
    <x v="20"/>
    <n v="25.194220000000001"/>
    <x v="0"/>
    <x v="0"/>
    <x v="1"/>
    <x v="3"/>
    <x v="3"/>
    <x v="13"/>
    <n v="27.461699800000005"/>
  </r>
  <r>
    <x v="7"/>
    <x v="0"/>
    <x v="7"/>
    <x v="7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7"/>
    <x v="0"/>
    <x v="7"/>
    <x v="7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7"/>
    <x v="0"/>
    <x v="7"/>
    <x v="7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7"/>
    <x v="0"/>
    <x v="7"/>
    <x v="7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7"/>
    <x v="0"/>
    <x v="7"/>
    <x v="7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7"/>
    <x v="0"/>
    <x v="7"/>
    <x v="7"/>
    <x v="1"/>
    <x v="6"/>
    <x v="0"/>
    <x v="0"/>
    <x v="2"/>
    <x v="2"/>
    <x v="5"/>
    <x v="5"/>
    <x v="2"/>
    <x v="2"/>
    <x v="2"/>
    <x v="40"/>
    <x v="40"/>
    <n v="10129.61513"/>
    <x v="1"/>
    <x v="2"/>
    <x v="5"/>
    <x v="7"/>
    <x v="11"/>
    <x v="22"/>
    <n v="11041.280491700001"/>
  </r>
  <r>
    <x v="7"/>
    <x v="0"/>
    <x v="7"/>
    <x v="7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7"/>
    <x v="0"/>
    <x v="7"/>
    <x v="7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7"/>
    <x v="0"/>
    <x v="7"/>
    <x v="7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7"/>
    <x v="0"/>
    <x v="7"/>
    <x v="7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7"/>
    <x v="0"/>
    <x v="7"/>
    <x v="7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7"/>
    <x v="0"/>
    <x v="7"/>
    <x v="7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7"/>
    <x v="0"/>
    <x v="7"/>
    <x v="7"/>
    <x v="1"/>
    <x v="6"/>
    <x v="0"/>
    <x v="0"/>
    <x v="2"/>
    <x v="2"/>
    <x v="5"/>
    <x v="5"/>
    <x v="1"/>
    <x v="6"/>
    <x v="6"/>
    <x v="40"/>
    <x v="40"/>
    <n v="3215.6868599999998"/>
    <x v="1"/>
    <x v="2"/>
    <x v="5"/>
    <x v="7"/>
    <x v="11"/>
    <x v="22"/>
    <n v="3505.0986773999998"/>
  </r>
  <r>
    <x v="7"/>
    <x v="0"/>
    <x v="7"/>
    <x v="7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7"/>
    <x v="0"/>
    <x v="7"/>
    <x v="7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7"/>
    <x v="0"/>
    <x v="7"/>
    <x v="7"/>
    <x v="1"/>
    <x v="6"/>
    <x v="0"/>
    <x v="0"/>
    <x v="2"/>
    <x v="2"/>
    <x v="5"/>
    <x v="5"/>
    <x v="3"/>
    <x v="7"/>
    <x v="7"/>
    <x v="40"/>
    <x v="40"/>
    <n v="488.49131"/>
    <x v="1"/>
    <x v="2"/>
    <x v="5"/>
    <x v="7"/>
    <x v="11"/>
    <x v="22"/>
    <n v="532.45552789999999"/>
  </r>
  <r>
    <x v="7"/>
    <x v="0"/>
    <x v="7"/>
    <x v="7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7"/>
    <x v="0"/>
    <x v="7"/>
    <x v="7"/>
    <x v="1"/>
    <x v="6"/>
    <x v="0"/>
    <x v="0"/>
    <x v="2"/>
    <x v="2"/>
    <x v="5"/>
    <x v="5"/>
    <x v="1"/>
    <x v="8"/>
    <x v="8"/>
    <x v="40"/>
    <x v="40"/>
    <n v="137.76184000000001"/>
    <x v="1"/>
    <x v="2"/>
    <x v="5"/>
    <x v="7"/>
    <x v="11"/>
    <x v="22"/>
    <n v="150.16040560000002"/>
  </r>
  <r>
    <x v="7"/>
    <x v="0"/>
    <x v="7"/>
    <x v="7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7"/>
    <x v="0"/>
    <x v="7"/>
    <x v="7"/>
    <x v="1"/>
    <x v="6"/>
    <x v="0"/>
    <x v="0"/>
    <x v="2"/>
    <x v="2"/>
    <x v="5"/>
    <x v="5"/>
    <x v="2"/>
    <x v="10"/>
    <x v="10"/>
    <x v="40"/>
    <x v="40"/>
    <n v="52.142429999999997"/>
    <x v="1"/>
    <x v="2"/>
    <x v="5"/>
    <x v="7"/>
    <x v="11"/>
    <x v="22"/>
    <n v="56.835248700000001"/>
  </r>
  <r>
    <x v="7"/>
    <x v="0"/>
    <x v="7"/>
    <x v="7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7"/>
    <x v="0"/>
    <x v="7"/>
    <x v="7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7"/>
    <x v="0"/>
    <x v="7"/>
    <x v="7"/>
    <x v="1"/>
    <x v="6"/>
    <x v="0"/>
    <x v="0"/>
    <x v="2"/>
    <x v="2"/>
    <x v="5"/>
    <x v="5"/>
    <x v="4"/>
    <x v="5"/>
    <x v="5"/>
    <x v="40"/>
    <x v="40"/>
    <n v="777.40785000000005"/>
    <x v="1"/>
    <x v="2"/>
    <x v="5"/>
    <x v="7"/>
    <x v="11"/>
    <x v="22"/>
    <n v="847.37455650000015"/>
  </r>
  <r>
    <x v="7"/>
    <x v="0"/>
    <x v="7"/>
    <x v="7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7"/>
    <x v="0"/>
    <x v="7"/>
    <x v="7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7"/>
    <x v="0"/>
    <x v="7"/>
    <x v="7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7"/>
    <x v="0"/>
    <x v="7"/>
    <x v="7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7"/>
    <x v="0"/>
    <x v="7"/>
    <x v="7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7"/>
    <x v="0"/>
    <x v="7"/>
    <x v="7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7"/>
    <x v="0"/>
    <x v="7"/>
    <x v="7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7"/>
    <x v="0"/>
    <x v="7"/>
    <x v="7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7"/>
    <x v="0"/>
    <x v="7"/>
    <x v="7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7"/>
    <x v="0"/>
    <x v="7"/>
    <x v="7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7"/>
    <x v="0"/>
    <x v="7"/>
    <x v="7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7"/>
    <x v="0"/>
    <x v="7"/>
    <x v="7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7"/>
    <x v="0"/>
    <x v="7"/>
    <x v="7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7"/>
    <x v="0"/>
    <x v="7"/>
    <x v="7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7"/>
    <x v="0"/>
    <x v="7"/>
    <x v="7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7"/>
    <x v="0"/>
    <x v="7"/>
    <x v="7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7"/>
    <x v="0"/>
    <x v="7"/>
    <x v="7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7"/>
    <x v="0"/>
    <x v="7"/>
    <x v="7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7"/>
    <x v="0"/>
    <x v="7"/>
    <x v="7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7"/>
    <x v="0"/>
    <x v="7"/>
    <x v="7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7"/>
    <x v="0"/>
    <x v="7"/>
    <x v="7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7"/>
    <x v="0"/>
    <x v="7"/>
    <x v="7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7"/>
    <x v="0"/>
    <x v="7"/>
    <x v="7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7"/>
    <x v="0"/>
    <x v="7"/>
    <x v="7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7"/>
    <x v="0"/>
    <x v="7"/>
    <x v="7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7"/>
    <x v="0"/>
    <x v="7"/>
    <x v="7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7"/>
    <x v="0"/>
    <x v="7"/>
    <x v="7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7"/>
    <x v="0"/>
    <x v="7"/>
    <x v="7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7"/>
    <x v="0"/>
    <x v="7"/>
    <x v="7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7"/>
    <x v="0"/>
    <x v="7"/>
    <x v="7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7"/>
    <x v="0"/>
    <x v="7"/>
    <x v="7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7"/>
    <x v="0"/>
    <x v="7"/>
    <x v="7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7"/>
    <x v="0"/>
    <x v="7"/>
    <x v="7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7"/>
    <x v="0"/>
    <x v="7"/>
    <x v="7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7"/>
    <x v="0"/>
    <x v="7"/>
    <x v="7"/>
    <x v="1"/>
    <x v="6"/>
    <x v="0"/>
    <x v="0"/>
    <x v="2"/>
    <x v="2"/>
    <x v="7"/>
    <x v="7"/>
    <x v="2"/>
    <x v="2"/>
    <x v="2"/>
    <x v="40"/>
    <x v="40"/>
    <n v="2511.9098199999999"/>
    <x v="1"/>
    <x v="2"/>
    <x v="5"/>
    <x v="7"/>
    <x v="11"/>
    <x v="22"/>
    <n v="2737.9817038000001"/>
  </r>
  <r>
    <x v="7"/>
    <x v="0"/>
    <x v="7"/>
    <x v="7"/>
    <x v="1"/>
    <x v="6"/>
    <x v="0"/>
    <x v="0"/>
    <x v="2"/>
    <x v="2"/>
    <x v="7"/>
    <x v="7"/>
    <x v="2"/>
    <x v="2"/>
    <x v="2"/>
    <x v="38"/>
    <x v="38"/>
    <n v="3966.3876500000001"/>
    <x v="1"/>
    <x v="0"/>
    <x v="4"/>
    <x v="6"/>
    <x v="10"/>
    <x v="21"/>
    <n v="4323.3625385000005"/>
  </r>
  <r>
    <x v="7"/>
    <x v="0"/>
    <x v="7"/>
    <x v="7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7"/>
    <x v="0"/>
    <x v="7"/>
    <x v="7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7"/>
    <x v="0"/>
    <x v="7"/>
    <x v="7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7"/>
    <x v="0"/>
    <x v="7"/>
    <x v="7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7"/>
    <x v="0"/>
    <x v="7"/>
    <x v="7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7"/>
    <x v="0"/>
    <x v="7"/>
    <x v="7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7"/>
    <x v="0"/>
    <x v="7"/>
    <x v="7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7"/>
    <x v="0"/>
    <x v="7"/>
    <x v="7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7"/>
    <x v="0"/>
    <x v="7"/>
    <x v="7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7"/>
    <x v="0"/>
    <x v="7"/>
    <x v="7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7"/>
    <x v="0"/>
    <x v="7"/>
    <x v="7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7"/>
    <x v="0"/>
    <x v="7"/>
    <x v="7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7"/>
    <x v="0"/>
    <x v="7"/>
    <x v="7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7"/>
    <x v="0"/>
    <x v="7"/>
    <x v="7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7"/>
    <x v="0"/>
    <x v="7"/>
    <x v="7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7"/>
    <x v="0"/>
    <x v="7"/>
    <x v="7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7"/>
    <x v="0"/>
    <x v="7"/>
    <x v="7"/>
    <x v="0"/>
    <x v="1"/>
    <x v="0"/>
    <x v="0"/>
    <x v="0"/>
    <x v="0"/>
    <x v="4"/>
    <x v="4"/>
    <x v="2"/>
    <x v="2"/>
    <x v="2"/>
    <x v="6"/>
    <x v="6"/>
    <n v="0.58875999999999995"/>
    <x v="0"/>
    <x v="0"/>
    <x v="0"/>
    <x v="0"/>
    <x v="4"/>
    <x v="6"/>
    <n v="0.6417484"/>
  </r>
  <r>
    <x v="7"/>
    <x v="0"/>
    <x v="7"/>
    <x v="7"/>
    <x v="0"/>
    <x v="1"/>
    <x v="0"/>
    <x v="0"/>
    <x v="0"/>
    <x v="0"/>
    <x v="4"/>
    <x v="4"/>
    <x v="2"/>
    <x v="2"/>
    <x v="2"/>
    <x v="7"/>
    <x v="7"/>
    <n v="0.14089908256872"/>
    <x v="0"/>
    <x v="0"/>
    <x v="1"/>
    <x v="4"/>
    <x v="5"/>
    <x v="7"/>
    <n v="0.15357999999990482"/>
  </r>
  <r>
    <x v="7"/>
    <x v="0"/>
    <x v="7"/>
    <x v="7"/>
    <x v="0"/>
    <x v="1"/>
    <x v="0"/>
    <x v="0"/>
    <x v="0"/>
    <x v="0"/>
    <x v="4"/>
    <x v="4"/>
    <x v="2"/>
    <x v="2"/>
    <x v="2"/>
    <x v="8"/>
    <x v="8"/>
    <n v="1.1004662162232599"/>
    <x v="0"/>
    <x v="1"/>
    <x v="2"/>
    <x v="2"/>
    <x v="6"/>
    <x v="8"/>
    <n v="1.1995081756833534"/>
  </r>
  <r>
    <x v="7"/>
    <x v="0"/>
    <x v="7"/>
    <x v="7"/>
    <x v="0"/>
    <x v="1"/>
    <x v="0"/>
    <x v="0"/>
    <x v="0"/>
    <x v="0"/>
    <x v="4"/>
    <x v="4"/>
    <x v="2"/>
    <x v="2"/>
    <x v="2"/>
    <x v="9"/>
    <x v="9"/>
    <n v="0.25238532110077"/>
    <x v="0"/>
    <x v="0"/>
    <x v="1"/>
    <x v="4"/>
    <x v="5"/>
    <x v="9"/>
    <n v="0.27509999999983931"/>
  </r>
  <r>
    <x v="7"/>
    <x v="0"/>
    <x v="7"/>
    <x v="7"/>
    <x v="0"/>
    <x v="1"/>
    <x v="0"/>
    <x v="0"/>
    <x v="0"/>
    <x v="0"/>
    <x v="4"/>
    <x v="4"/>
    <x v="2"/>
    <x v="2"/>
    <x v="2"/>
    <x v="11"/>
    <x v="11"/>
    <n v="0.19395000000000001"/>
    <x v="0"/>
    <x v="0"/>
    <x v="3"/>
    <x v="5"/>
    <x v="7"/>
    <x v="11"/>
    <n v="0.21140550000000002"/>
  </r>
  <r>
    <x v="7"/>
    <x v="0"/>
    <x v="7"/>
    <x v="7"/>
    <x v="0"/>
    <x v="1"/>
    <x v="0"/>
    <x v="0"/>
    <x v="0"/>
    <x v="0"/>
    <x v="4"/>
    <x v="4"/>
    <x v="2"/>
    <x v="2"/>
    <x v="2"/>
    <x v="12"/>
    <x v="12"/>
    <n v="17.0634999999352"/>
    <x v="0"/>
    <x v="0"/>
    <x v="0"/>
    <x v="0"/>
    <x v="8"/>
    <x v="12"/>
    <n v="18.599214999929369"/>
  </r>
  <r>
    <x v="7"/>
    <x v="0"/>
    <x v="7"/>
    <x v="7"/>
    <x v="0"/>
    <x v="1"/>
    <x v="0"/>
    <x v="0"/>
    <x v="0"/>
    <x v="0"/>
    <x v="4"/>
    <x v="4"/>
    <x v="2"/>
    <x v="2"/>
    <x v="2"/>
    <x v="14"/>
    <x v="14"/>
    <n v="3.5770000000000003E-2"/>
    <x v="0"/>
    <x v="0"/>
    <x v="0"/>
    <x v="0"/>
    <x v="8"/>
    <x v="14"/>
    <n v="3.8989300000000005E-2"/>
  </r>
  <r>
    <x v="7"/>
    <x v="0"/>
    <x v="7"/>
    <x v="7"/>
    <x v="0"/>
    <x v="1"/>
    <x v="0"/>
    <x v="0"/>
    <x v="0"/>
    <x v="0"/>
    <x v="4"/>
    <x v="4"/>
    <x v="2"/>
    <x v="2"/>
    <x v="2"/>
    <x v="16"/>
    <x v="16"/>
    <n v="4.9283200000000003"/>
    <x v="0"/>
    <x v="0"/>
    <x v="3"/>
    <x v="5"/>
    <x v="9"/>
    <x v="16"/>
    <n v="5.3718688000000006"/>
  </r>
  <r>
    <x v="7"/>
    <x v="0"/>
    <x v="7"/>
    <x v="7"/>
    <x v="0"/>
    <x v="1"/>
    <x v="0"/>
    <x v="0"/>
    <x v="0"/>
    <x v="0"/>
    <x v="4"/>
    <x v="4"/>
    <x v="2"/>
    <x v="2"/>
    <x v="2"/>
    <x v="25"/>
    <x v="25"/>
    <n v="0.10370642201829"/>
    <x v="0"/>
    <x v="0"/>
    <x v="1"/>
    <x v="4"/>
    <x v="5"/>
    <x v="9"/>
    <n v="0.11303999999993611"/>
  </r>
  <r>
    <x v="7"/>
    <x v="0"/>
    <x v="7"/>
    <x v="7"/>
    <x v="0"/>
    <x v="1"/>
    <x v="0"/>
    <x v="0"/>
    <x v="0"/>
    <x v="0"/>
    <x v="4"/>
    <x v="4"/>
    <x v="2"/>
    <x v="2"/>
    <x v="2"/>
    <x v="27"/>
    <x v="27"/>
    <n v="1.8704504504901001"/>
    <x v="0"/>
    <x v="0"/>
    <x v="1"/>
    <x v="3"/>
    <x v="3"/>
    <x v="19"/>
    <n v="2.038790991034209"/>
  </r>
  <r>
    <x v="7"/>
    <x v="0"/>
    <x v="7"/>
    <x v="7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7"/>
    <x v="0"/>
    <x v="7"/>
    <x v="7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7"/>
    <x v="0"/>
    <x v="7"/>
    <x v="7"/>
    <x v="0"/>
    <x v="1"/>
    <x v="0"/>
    <x v="0"/>
    <x v="2"/>
    <x v="2"/>
    <x v="5"/>
    <x v="5"/>
    <x v="2"/>
    <x v="2"/>
    <x v="2"/>
    <x v="42"/>
    <x v="42"/>
    <n v="11.656840000000001"/>
    <x v="1"/>
    <x v="2"/>
    <x v="5"/>
    <x v="7"/>
    <x v="11"/>
    <x v="22"/>
    <n v="12.705955600000001"/>
  </r>
  <r>
    <x v="7"/>
    <x v="0"/>
    <x v="7"/>
    <x v="7"/>
    <x v="0"/>
    <x v="1"/>
    <x v="0"/>
    <x v="0"/>
    <x v="2"/>
    <x v="2"/>
    <x v="5"/>
    <x v="5"/>
    <x v="2"/>
    <x v="2"/>
    <x v="2"/>
    <x v="41"/>
    <x v="41"/>
    <n v="7.7790851063534197"/>
    <x v="1"/>
    <x v="2"/>
    <x v="5"/>
    <x v="7"/>
    <x v="11"/>
    <x v="22"/>
    <n v="8.479202765925228"/>
  </r>
  <r>
    <x v="7"/>
    <x v="0"/>
    <x v="7"/>
    <x v="7"/>
    <x v="0"/>
    <x v="1"/>
    <x v="0"/>
    <x v="0"/>
    <x v="2"/>
    <x v="2"/>
    <x v="5"/>
    <x v="5"/>
    <x v="2"/>
    <x v="2"/>
    <x v="2"/>
    <x v="40"/>
    <x v="40"/>
    <n v="401.82319000000001"/>
    <x v="1"/>
    <x v="2"/>
    <x v="5"/>
    <x v="7"/>
    <x v="11"/>
    <x v="22"/>
    <n v="437.98727710000003"/>
  </r>
  <r>
    <x v="7"/>
    <x v="0"/>
    <x v="7"/>
    <x v="7"/>
    <x v="0"/>
    <x v="1"/>
    <x v="0"/>
    <x v="0"/>
    <x v="2"/>
    <x v="2"/>
    <x v="5"/>
    <x v="5"/>
    <x v="2"/>
    <x v="2"/>
    <x v="2"/>
    <x v="38"/>
    <x v="38"/>
    <n v="10.41194"/>
    <x v="1"/>
    <x v="0"/>
    <x v="4"/>
    <x v="6"/>
    <x v="10"/>
    <x v="21"/>
    <n v="11.3490146"/>
  </r>
  <r>
    <x v="7"/>
    <x v="0"/>
    <x v="7"/>
    <x v="7"/>
    <x v="0"/>
    <x v="1"/>
    <x v="0"/>
    <x v="0"/>
    <x v="0"/>
    <x v="0"/>
    <x v="5"/>
    <x v="5"/>
    <x v="2"/>
    <x v="2"/>
    <x v="2"/>
    <x v="17"/>
    <x v="17"/>
    <n v="10.17273"/>
    <x v="0"/>
    <x v="0"/>
    <x v="0"/>
    <x v="0"/>
    <x v="4"/>
    <x v="17"/>
    <n v="11.088275700000001"/>
  </r>
  <r>
    <x v="7"/>
    <x v="0"/>
    <x v="7"/>
    <x v="7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7"/>
    <x v="0"/>
    <x v="7"/>
    <x v="7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7"/>
    <x v="0"/>
    <x v="7"/>
    <x v="7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7"/>
    <x v="0"/>
    <x v="7"/>
    <x v="7"/>
    <x v="0"/>
    <x v="1"/>
    <x v="0"/>
    <x v="0"/>
    <x v="2"/>
    <x v="2"/>
    <x v="5"/>
    <x v="5"/>
    <x v="3"/>
    <x v="7"/>
    <x v="7"/>
    <x v="40"/>
    <x v="40"/>
    <n v="5.5763999999999996"/>
    <x v="1"/>
    <x v="2"/>
    <x v="5"/>
    <x v="7"/>
    <x v="11"/>
    <x v="22"/>
    <n v="6.0782759999999998"/>
  </r>
  <r>
    <x v="7"/>
    <x v="0"/>
    <x v="7"/>
    <x v="7"/>
    <x v="0"/>
    <x v="1"/>
    <x v="0"/>
    <x v="0"/>
    <x v="2"/>
    <x v="2"/>
    <x v="5"/>
    <x v="5"/>
    <x v="1"/>
    <x v="8"/>
    <x v="8"/>
    <x v="40"/>
    <x v="40"/>
    <n v="3.8074400000000002"/>
    <x v="1"/>
    <x v="2"/>
    <x v="5"/>
    <x v="7"/>
    <x v="11"/>
    <x v="22"/>
    <n v="4.1501096000000004"/>
  </r>
  <r>
    <x v="7"/>
    <x v="0"/>
    <x v="7"/>
    <x v="7"/>
    <x v="0"/>
    <x v="1"/>
    <x v="0"/>
    <x v="0"/>
    <x v="2"/>
    <x v="2"/>
    <x v="5"/>
    <x v="5"/>
    <x v="2"/>
    <x v="10"/>
    <x v="10"/>
    <x v="40"/>
    <x v="40"/>
    <n v="0.9032"/>
    <x v="1"/>
    <x v="2"/>
    <x v="5"/>
    <x v="7"/>
    <x v="11"/>
    <x v="22"/>
    <n v="0.98448800000000003"/>
  </r>
  <r>
    <x v="7"/>
    <x v="0"/>
    <x v="7"/>
    <x v="7"/>
    <x v="0"/>
    <x v="1"/>
    <x v="0"/>
    <x v="0"/>
    <x v="2"/>
    <x v="2"/>
    <x v="5"/>
    <x v="5"/>
    <x v="4"/>
    <x v="5"/>
    <x v="5"/>
    <x v="40"/>
    <x v="40"/>
    <n v="126.69952000000001"/>
    <x v="1"/>
    <x v="2"/>
    <x v="5"/>
    <x v="7"/>
    <x v="11"/>
    <x v="22"/>
    <n v="138.10247680000001"/>
  </r>
  <r>
    <x v="7"/>
    <x v="0"/>
    <x v="7"/>
    <x v="7"/>
    <x v="0"/>
    <x v="1"/>
    <x v="0"/>
    <x v="0"/>
    <x v="2"/>
    <x v="2"/>
    <x v="6"/>
    <x v="6"/>
    <x v="2"/>
    <x v="2"/>
    <x v="2"/>
    <x v="40"/>
    <x v="40"/>
    <n v="9.4608299999999996"/>
    <x v="1"/>
    <x v="2"/>
    <x v="5"/>
    <x v="7"/>
    <x v="11"/>
    <x v="22"/>
    <n v="10.3123047"/>
  </r>
  <r>
    <x v="7"/>
    <x v="0"/>
    <x v="7"/>
    <x v="7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7"/>
    <x v="0"/>
    <x v="7"/>
    <x v="7"/>
    <x v="0"/>
    <x v="1"/>
    <x v="0"/>
    <x v="0"/>
    <x v="2"/>
    <x v="2"/>
    <x v="7"/>
    <x v="7"/>
    <x v="2"/>
    <x v="2"/>
    <x v="2"/>
    <x v="40"/>
    <x v="40"/>
    <n v="117.28026"/>
    <x v="1"/>
    <x v="2"/>
    <x v="5"/>
    <x v="7"/>
    <x v="11"/>
    <x v="22"/>
    <n v="127.8354834"/>
  </r>
  <r>
    <x v="7"/>
    <x v="0"/>
    <x v="7"/>
    <x v="7"/>
    <x v="0"/>
    <x v="1"/>
    <x v="0"/>
    <x v="0"/>
    <x v="2"/>
    <x v="2"/>
    <x v="7"/>
    <x v="7"/>
    <x v="2"/>
    <x v="2"/>
    <x v="2"/>
    <x v="38"/>
    <x v="38"/>
    <n v="156.08270999999999"/>
    <x v="1"/>
    <x v="0"/>
    <x v="4"/>
    <x v="6"/>
    <x v="10"/>
    <x v="21"/>
    <n v="170.13015390000001"/>
  </r>
  <r>
    <x v="7"/>
    <x v="0"/>
    <x v="7"/>
    <x v="7"/>
    <x v="0"/>
    <x v="1"/>
    <x v="0"/>
    <x v="0"/>
    <x v="2"/>
    <x v="2"/>
    <x v="7"/>
    <x v="7"/>
    <x v="2"/>
    <x v="2"/>
    <x v="2"/>
    <x v="43"/>
    <x v="43"/>
    <n v="0.61112999999999995"/>
    <x v="1"/>
    <x v="0"/>
    <x v="4"/>
    <x v="6"/>
    <x v="10"/>
    <x v="21"/>
    <n v="0.66613169999999999"/>
  </r>
  <r>
    <x v="7"/>
    <x v="0"/>
    <x v="7"/>
    <x v="7"/>
    <x v="0"/>
    <x v="1"/>
    <x v="0"/>
    <x v="0"/>
    <x v="2"/>
    <x v="2"/>
    <x v="7"/>
    <x v="7"/>
    <x v="2"/>
    <x v="2"/>
    <x v="2"/>
    <x v="44"/>
    <x v="44"/>
    <n v="3.4094500000000001"/>
    <x v="1"/>
    <x v="0"/>
    <x v="4"/>
    <x v="6"/>
    <x v="10"/>
    <x v="21"/>
    <n v="3.7163005000000005"/>
  </r>
  <r>
    <x v="7"/>
    <x v="0"/>
    <x v="7"/>
    <x v="7"/>
    <x v="0"/>
    <x v="1"/>
    <x v="0"/>
    <x v="0"/>
    <x v="0"/>
    <x v="0"/>
    <x v="7"/>
    <x v="7"/>
    <x v="2"/>
    <x v="2"/>
    <x v="2"/>
    <x v="17"/>
    <x v="17"/>
    <n v="0.74221999999999999"/>
    <x v="0"/>
    <x v="0"/>
    <x v="0"/>
    <x v="0"/>
    <x v="4"/>
    <x v="17"/>
    <n v="0.80901980000000007"/>
  </r>
  <r>
    <x v="7"/>
    <x v="0"/>
    <x v="7"/>
    <x v="7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7"/>
    <x v="0"/>
    <x v="7"/>
    <x v="7"/>
    <x v="0"/>
    <x v="1"/>
    <x v="0"/>
    <x v="0"/>
    <x v="2"/>
    <x v="2"/>
    <x v="7"/>
    <x v="7"/>
    <x v="2"/>
    <x v="2"/>
    <x v="2"/>
    <x v="46"/>
    <x v="46"/>
    <n v="4.5457200000000002"/>
    <x v="1"/>
    <x v="0"/>
    <x v="4"/>
    <x v="6"/>
    <x v="10"/>
    <x v="21"/>
    <n v="4.9548348000000004"/>
  </r>
  <r>
    <x v="7"/>
    <x v="0"/>
    <x v="7"/>
    <x v="7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7"/>
    <x v="0"/>
    <x v="7"/>
    <x v="7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7"/>
    <x v="0"/>
    <x v="7"/>
    <x v="7"/>
    <x v="0"/>
    <x v="1"/>
    <x v="0"/>
    <x v="0"/>
    <x v="2"/>
    <x v="2"/>
    <x v="7"/>
    <x v="7"/>
    <x v="3"/>
    <x v="7"/>
    <x v="7"/>
    <x v="40"/>
    <x v="40"/>
    <n v="135.58276000000001"/>
    <x v="1"/>
    <x v="2"/>
    <x v="5"/>
    <x v="7"/>
    <x v="11"/>
    <x v="22"/>
    <n v="147.78520840000002"/>
  </r>
  <r>
    <x v="7"/>
    <x v="0"/>
    <x v="7"/>
    <x v="7"/>
    <x v="0"/>
    <x v="1"/>
    <x v="0"/>
    <x v="0"/>
    <x v="2"/>
    <x v="2"/>
    <x v="7"/>
    <x v="7"/>
    <x v="1"/>
    <x v="8"/>
    <x v="8"/>
    <x v="40"/>
    <x v="40"/>
    <n v="13.630039999999999"/>
    <x v="1"/>
    <x v="2"/>
    <x v="5"/>
    <x v="7"/>
    <x v="11"/>
    <x v="22"/>
    <n v="14.8567436"/>
  </r>
  <r>
    <x v="7"/>
    <x v="0"/>
    <x v="7"/>
    <x v="7"/>
    <x v="0"/>
    <x v="1"/>
    <x v="0"/>
    <x v="0"/>
    <x v="2"/>
    <x v="2"/>
    <x v="7"/>
    <x v="7"/>
    <x v="2"/>
    <x v="10"/>
    <x v="10"/>
    <x v="40"/>
    <x v="40"/>
    <n v="3.0108000000000001"/>
    <x v="1"/>
    <x v="2"/>
    <x v="5"/>
    <x v="7"/>
    <x v="11"/>
    <x v="22"/>
    <n v="3.2817720000000006"/>
  </r>
  <r>
    <x v="7"/>
    <x v="0"/>
    <x v="7"/>
    <x v="7"/>
    <x v="0"/>
    <x v="1"/>
    <x v="0"/>
    <x v="0"/>
    <x v="2"/>
    <x v="2"/>
    <x v="7"/>
    <x v="7"/>
    <x v="4"/>
    <x v="5"/>
    <x v="5"/>
    <x v="40"/>
    <x v="40"/>
    <n v="101.50068"/>
    <x v="1"/>
    <x v="2"/>
    <x v="5"/>
    <x v="7"/>
    <x v="11"/>
    <x v="22"/>
    <n v="110.63574120000001"/>
  </r>
  <r>
    <x v="7"/>
    <x v="0"/>
    <x v="7"/>
    <x v="7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7"/>
    <x v="0"/>
    <x v="7"/>
    <x v="7"/>
    <x v="0"/>
    <x v="1"/>
    <x v="0"/>
    <x v="0"/>
    <x v="2"/>
    <x v="2"/>
    <x v="8"/>
    <x v="8"/>
    <x v="2"/>
    <x v="2"/>
    <x v="2"/>
    <x v="40"/>
    <x v="40"/>
    <n v="83.733890000000002"/>
    <x v="1"/>
    <x v="2"/>
    <x v="5"/>
    <x v="7"/>
    <x v="11"/>
    <x v="22"/>
    <n v="91.269940100000014"/>
  </r>
  <r>
    <x v="7"/>
    <x v="0"/>
    <x v="7"/>
    <x v="7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7"/>
    <x v="0"/>
    <x v="7"/>
    <x v="7"/>
    <x v="0"/>
    <x v="1"/>
    <x v="0"/>
    <x v="0"/>
    <x v="2"/>
    <x v="2"/>
    <x v="9"/>
    <x v="9"/>
    <x v="2"/>
    <x v="2"/>
    <x v="2"/>
    <x v="40"/>
    <x v="40"/>
    <n v="756.94762000000003"/>
    <x v="1"/>
    <x v="2"/>
    <x v="5"/>
    <x v="7"/>
    <x v="11"/>
    <x v="22"/>
    <n v="825.07290580000006"/>
  </r>
  <r>
    <x v="7"/>
    <x v="0"/>
    <x v="7"/>
    <x v="7"/>
    <x v="0"/>
    <x v="1"/>
    <x v="0"/>
    <x v="0"/>
    <x v="2"/>
    <x v="2"/>
    <x v="9"/>
    <x v="9"/>
    <x v="2"/>
    <x v="2"/>
    <x v="2"/>
    <x v="38"/>
    <x v="38"/>
    <n v="235.32795999999999"/>
    <x v="1"/>
    <x v="0"/>
    <x v="4"/>
    <x v="6"/>
    <x v="10"/>
    <x v="21"/>
    <n v="256.50747640000003"/>
  </r>
  <r>
    <x v="7"/>
    <x v="0"/>
    <x v="7"/>
    <x v="7"/>
    <x v="0"/>
    <x v="1"/>
    <x v="0"/>
    <x v="0"/>
    <x v="2"/>
    <x v="2"/>
    <x v="9"/>
    <x v="9"/>
    <x v="2"/>
    <x v="2"/>
    <x v="2"/>
    <x v="48"/>
    <x v="48"/>
    <n v="33.725580000000001"/>
    <x v="1"/>
    <x v="0"/>
    <x v="4"/>
    <x v="6"/>
    <x v="10"/>
    <x v="21"/>
    <n v="36.760882200000005"/>
  </r>
  <r>
    <x v="7"/>
    <x v="0"/>
    <x v="7"/>
    <x v="7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7"/>
    <x v="0"/>
    <x v="7"/>
    <x v="7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7"/>
    <x v="0"/>
    <x v="7"/>
    <x v="7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7"/>
    <x v="0"/>
    <x v="7"/>
    <x v="7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7"/>
    <x v="0"/>
    <x v="7"/>
    <x v="7"/>
    <x v="0"/>
    <x v="1"/>
    <x v="0"/>
    <x v="0"/>
    <x v="2"/>
    <x v="2"/>
    <x v="9"/>
    <x v="9"/>
    <x v="3"/>
    <x v="7"/>
    <x v="7"/>
    <x v="40"/>
    <x v="40"/>
    <n v="673.64185999999995"/>
    <x v="1"/>
    <x v="2"/>
    <x v="5"/>
    <x v="7"/>
    <x v="11"/>
    <x v="22"/>
    <n v="734.26962739999999"/>
  </r>
  <r>
    <x v="7"/>
    <x v="0"/>
    <x v="7"/>
    <x v="7"/>
    <x v="0"/>
    <x v="1"/>
    <x v="0"/>
    <x v="0"/>
    <x v="2"/>
    <x v="2"/>
    <x v="9"/>
    <x v="9"/>
    <x v="1"/>
    <x v="8"/>
    <x v="8"/>
    <x v="40"/>
    <x v="40"/>
    <n v="185.82167999999999"/>
    <x v="1"/>
    <x v="2"/>
    <x v="5"/>
    <x v="7"/>
    <x v="11"/>
    <x v="22"/>
    <n v="202.5456312"/>
  </r>
  <r>
    <x v="7"/>
    <x v="0"/>
    <x v="7"/>
    <x v="7"/>
    <x v="0"/>
    <x v="1"/>
    <x v="0"/>
    <x v="0"/>
    <x v="2"/>
    <x v="2"/>
    <x v="9"/>
    <x v="9"/>
    <x v="2"/>
    <x v="10"/>
    <x v="10"/>
    <x v="40"/>
    <x v="40"/>
    <n v="145.07231999999999"/>
    <x v="1"/>
    <x v="2"/>
    <x v="5"/>
    <x v="7"/>
    <x v="11"/>
    <x v="22"/>
    <n v="158.12882880000001"/>
  </r>
  <r>
    <x v="7"/>
    <x v="0"/>
    <x v="7"/>
    <x v="7"/>
    <x v="0"/>
    <x v="1"/>
    <x v="0"/>
    <x v="0"/>
    <x v="2"/>
    <x v="2"/>
    <x v="9"/>
    <x v="9"/>
    <x v="4"/>
    <x v="5"/>
    <x v="5"/>
    <x v="40"/>
    <x v="40"/>
    <n v="1010.2626"/>
    <x v="1"/>
    <x v="2"/>
    <x v="5"/>
    <x v="7"/>
    <x v="11"/>
    <x v="22"/>
    <n v="1101.186234"/>
  </r>
  <r>
    <x v="7"/>
    <x v="0"/>
    <x v="7"/>
    <x v="7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7"/>
    <x v="0"/>
    <x v="7"/>
    <x v="7"/>
    <x v="0"/>
    <x v="1"/>
    <x v="0"/>
    <x v="0"/>
    <x v="2"/>
    <x v="2"/>
    <x v="10"/>
    <x v="10"/>
    <x v="2"/>
    <x v="2"/>
    <x v="2"/>
    <x v="41"/>
    <x v="41"/>
    <n v="3.1989148936048699"/>
    <x v="1"/>
    <x v="2"/>
    <x v="5"/>
    <x v="7"/>
    <x v="11"/>
    <x v="22"/>
    <n v="3.4868172340293087"/>
  </r>
  <r>
    <x v="7"/>
    <x v="0"/>
    <x v="7"/>
    <x v="7"/>
    <x v="0"/>
    <x v="1"/>
    <x v="0"/>
    <x v="0"/>
    <x v="2"/>
    <x v="2"/>
    <x v="10"/>
    <x v="10"/>
    <x v="2"/>
    <x v="2"/>
    <x v="2"/>
    <x v="40"/>
    <x v="40"/>
    <n v="308.47487000000001"/>
    <x v="1"/>
    <x v="2"/>
    <x v="5"/>
    <x v="7"/>
    <x v="11"/>
    <x v="22"/>
    <n v="336.23760830000003"/>
  </r>
  <r>
    <x v="7"/>
    <x v="0"/>
    <x v="7"/>
    <x v="7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7"/>
    <x v="0"/>
    <x v="7"/>
    <x v="7"/>
    <x v="0"/>
    <x v="1"/>
    <x v="0"/>
    <x v="0"/>
    <x v="0"/>
    <x v="0"/>
    <x v="11"/>
    <x v="11"/>
    <x v="4"/>
    <x v="5"/>
    <x v="5"/>
    <x v="10"/>
    <x v="10"/>
    <n v="53.155271469054703"/>
    <x v="0"/>
    <x v="0"/>
    <x v="1"/>
    <x v="4"/>
    <x v="5"/>
    <x v="10"/>
    <n v="57.939245901269629"/>
  </r>
  <r>
    <x v="7"/>
    <x v="0"/>
    <x v="7"/>
    <x v="7"/>
    <x v="0"/>
    <x v="1"/>
    <x v="0"/>
    <x v="0"/>
    <x v="3"/>
    <x v="3"/>
    <x v="12"/>
    <x v="12"/>
    <x v="2"/>
    <x v="2"/>
    <x v="2"/>
    <x v="40"/>
    <x v="40"/>
    <n v="9.0986899999999995"/>
    <x v="1"/>
    <x v="2"/>
    <x v="5"/>
    <x v="7"/>
    <x v="11"/>
    <x v="22"/>
    <n v="9.917572100000001"/>
  </r>
  <r>
    <x v="7"/>
    <x v="0"/>
    <x v="7"/>
    <x v="7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7"/>
    <x v="0"/>
    <x v="7"/>
    <x v="7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7"/>
    <x v="0"/>
    <x v="7"/>
    <x v="7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7"/>
    <x v="0"/>
    <x v="7"/>
    <x v="7"/>
    <x v="0"/>
    <x v="1"/>
    <x v="0"/>
    <x v="0"/>
    <x v="3"/>
    <x v="3"/>
    <x v="12"/>
    <x v="12"/>
    <x v="3"/>
    <x v="7"/>
    <x v="7"/>
    <x v="40"/>
    <x v="40"/>
    <n v="7.8907999999999996"/>
    <x v="1"/>
    <x v="2"/>
    <x v="5"/>
    <x v="7"/>
    <x v="11"/>
    <x v="22"/>
    <n v="8.6009720000000005"/>
  </r>
  <r>
    <x v="7"/>
    <x v="0"/>
    <x v="7"/>
    <x v="7"/>
    <x v="0"/>
    <x v="1"/>
    <x v="0"/>
    <x v="0"/>
    <x v="3"/>
    <x v="3"/>
    <x v="12"/>
    <x v="12"/>
    <x v="4"/>
    <x v="5"/>
    <x v="5"/>
    <x v="40"/>
    <x v="40"/>
    <n v="15.431039999999999"/>
    <x v="1"/>
    <x v="2"/>
    <x v="5"/>
    <x v="7"/>
    <x v="11"/>
    <x v="22"/>
    <n v="16.819833599999999"/>
  </r>
  <r>
    <x v="7"/>
    <x v="0"/>
    <x v="7"/>
    <x v="7"/>
    <x v="0"/>
    <x v="1"/>
    <x v="0"/>
    <x v="0"/>
    <x v="3"/>
    <x v="3"/>
    <x v="13"/>
    <x v="13"/>
    <x v="2"/>
    <x v="2"/>
    <x v="2"/>
    <x v="41"/>
    <x v="41"/>
    <n v="21.702755319066501"/>
    <x v="1"/>
    <x v="2"/>
    <x v="5"/>
    <x v="7"/>
    <x v="11"/>
    <x v="22"/>
    <n v="23.656003297782487"/>
  </r>
  <r>
    <x v="7"/>
    <x v="0"/>
    <x v="7"/>
    <x v="7"/>
    <x v="0"/>
    <x v="1"/>
    <x v="0"/>
    <x v="0"/>
    <x v="3"/>
    <x v="3"/>
    <x v="13"/>
    <x v="13"/>
    <x v="2"/>
    <x v="2"/>
    <x v="2"/>
    <x v="40"/>
    <x v="40"/>
    <n v="218.29266999999999"/>
    <x v="1"/>
    <x v="2"/>
    <x v="5"/>
    <x v="7"/>
    <x v="11"/>
    <x v="22"/>
    <n v="237.93901030000001"/>
  </r>
  <r>
    <x v="7"/>
    <x v="0"/>
    <x v="7"/>
    <x v="7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7"/>
    <x v="0"/>
    <x v="7"/>
    <x v="7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7"/>
    <x v="0"/>
    <x v="7"/>
    <x v="7"/>
    <x v="0"/>
    <x v="1"/>
    <x v="0"/>
    <x v="0"/>
    <x v="3"/>
    <x v="3"/>
    <x v="13"/>
    <x v="13"/>
    <x v="1"/>
    <x v="8"/>
    <x v="8"/>
    <x v="40"/>
    <x v="40"/>
    <n v="1.8293200000000001"/>
    <x v="1"/>
    <x v="2"/>
    <x v="5"/>
    <x v="7"/>
    <x v="11"/>
    <x v="22"/>
    <n v="1.9939588000000001"/>
  </r>
  <r>
    <x v="7"/>
    <x v="0"/>
    <x v="7"/>
    <x v="7"/>
    <x v="0"/>
    <x v="1"/>
    <x v="0"/>
    <x v="0"/>
    <x v="3"/>
    <x v="3"/>
    <x v="13"/>
    <x v="13"/>
    <x v="4"/>
    <x v="5"/>
    <x v="5"/>
    <x v="40"/>
    <x v="40"/>
    <n v="0.85524"/>
    <x v="1"/>
    <x v="2"/>
    <x v="5"/>
    <x v="7"/>
    <x v="11"/>
    <x v="22"/>
    <n v="0.93221160000000003"/>
  </r>
  <r>
    <x v="7"/>
    <x v="0"/>
    <x v="7"/>
    <x v="7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7"/>
    <x v="0"/>
    <x v="7"/>
    <x v="7"/>
    <x v="0"/>
    <x v="1"/>
    <x v="0"/>
    <x v="0"/>
    <x v="2"/>
    <x v="2"/>
    <x v="14"/>
    <x v="14"/>
    <x v="2"/>
    <x v="2"/>
    <x v="2"/>
    <x v="40"/>
    <x v="40"/>
    <n v="24.363579999999999"/>
    <x v="1"/>
    <x v="2"/>
    <x v="5"/>
    <x v="7"/>
    <x v="11"/>
    <x v="22"/>
    <n v="26.556302200000001"/>
  </r>
  <r>
    <x v="7"/>
    <x v="0"/>
    <x v="7"/>
    <x v="7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7"/>
    <x v="0"/>
    <x v="7"/>
    <x v="7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7"/>
    <x v="0"/>
    <x v="7"/>
    <x v="7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7"/>
    <x v="0"/>
    <x v="7"/>
    <x v="7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7"/>
    <x v="0"/>
    <x v="7"/>
    <x v="7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7"/>
    <x v="0"/>
    <x v="7"/>
    <x v="7"/>
    <x v="0"/>
    <x v="1"/>
    <x v="0"/>
    <x v="0"/>
    <x v="2"/>
    <x v="2"/>
    <x v="17"/>
    <x v="17"/>
    <x v="2"/>
    <x v="2"/>
    <x v="2"/>
    <x v="42"/>
    <x v="42"/>
    <n v="2.22173"/>
    <x v="1"/>
    <x v="2"/>
    <x v="5"/>
    <x v="7"/>
    <x v="11"/>
    <x v="22"/>
    <n v="2.4216857000000003"/>
  </r>
  <r>
    <x v="7"/>
    <x v="0"/>
    <x v="7"/>
    <x v="7"/>
    <x v="0"/>
    <x v="1"/>
    <x v="0"/>
    <x v="0"/>
    <x v="2"/>
    <x v="2"/>
    <x v="17"/>
    <x v="17"/>
    <x v="2"/>
    <x v="2"/>
    <x v="2"/>
    <x v="40"/>
    <x v="40"/>
    <n v="149.48448999999999"/>
    <x v="1"/>
    <x v="2"/>
    <x v="5"/>
    <x v="7"/>
    <x v="11"/>
    <x v="22"/>
    <n v="162.9380941"/>
  </r>
  <r>
    <x v="7"/>
    <x v="0"/>
    <x v="7"/>
    <x v="7"/>
    <x v="0"/>
    <x v="1"/>
    <x v="0"/>
    <x v="0"/>
    <x v="2"/>
    <x v="2"/>
    <x v="17"/>
    <x v="17"/>
    <x v="2"/>
    <x v="2"/>
    <x v="2"/>
    <x v="38"/>
    <x v="38"/>
    <n v="0.53818999999999995"/>
    <x v="1"/>
    <x v="0"/>
    <x v="4"/>
    <x v="6"/>
    <x v="10"/>
    <x v="21"/>
    <n v="0.58662709999999996"/>
  </r>
  <r>
    <x v="7"/>
    <x v="0"/>
    <x v="7"/>
    <x v="7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7"/>
    <x v="0"/>
    <x v="7"/>
    <x v="7"/>
    <x v="0"/>
    <x v="1"/>
    <x v="0"/>
    <x v="0"/>
    <x v="2"/>
    <x v="2"/>
    <x v="17"/>
    <x v="17"/>
    <x v="3"/>
    <x v="7"/>
    <x v="7"/>
    <x v="40"/>
    <x v="40"/>
    <n v="19.911799999999999"/>
    <x v="1"/>
    <x v="2"/>
    <x v="5"/>
    <x v="7"/>
    <x v="11"/>
    <x v="22"/>
    <n v="21.703862000000001"/>
  </r>
  <r>
    <x v="7"/>
    <x v="0"/>
    <x v="7"/>
    <x v="7"/>
    <x v="0"/>
    <x v="1"/>
    <x v="0"/>
    <x v="0"/>
    <x v="2"/>
    <x v="2"/>
    <x v="17"/>
    <x v="17"/>
    <x v="1"/>
    <x v="8"/>
    <x v="8"/>
    <x v="40"/>
    <x v="40"/>
    <n v="10.418799999999999"/>
    <x v="1"/>
    <x v="2"/>
    <x v="5"/>
    <x v="7"/>
    <x v="11"/>
    <x v="22"/>
    <n v="11.356491999999999"/>
  </r>
  <r>
    <x v="7"/>
    <x v="0"/>
    <x v="7"/>
    <x v="7"/>
    <x v="0"/>
    <x v="1"/>
    <x v="0"/>
    <x v="0"/>
    <x v="2"/>
    <x v="2"/>
    <x v="17"/>
    <x v="17"/>
    <x v="2"/>
    <x v="10"/>
    <x v="10"/>
    <x v="40"/>
    <x v="40"/>
    <n v="3.0108000000000001"/>
    <x v="1"/>
    <x v="2"/>
    <x v="5"/>
    <x v="7"/>
    <x v="11"/>
    <x v="22"/>
    <n v="3.2817720000000006"/>
  </r>
  <r>
    <x v="7"/>
    <x v="0"/>
    <x v="7"/>
    <x v="7"/>
    <x v="0"/>
    <x v="1"/>
    <x v="0"/>
    <x v="0"/>
    <x v="2"/>
    <x v="2"/>
    <x v="17"/>
    <x v="17"/>
    <x v="4"/>
    <x v="5"/>
    <x v="5"/>
    <x v="40"/>
    <x v="40"/>
    <n v="171.78980000000001"/>
    <x v="1"/>
    <x v="2"/>
    <x v="5"/>
    <x v="7"/>
    <x v="11"/>
    <x v="22"/>
    <n v="187.25088200000002"/>
  </r>
  <r>
    <x v="7"/>
    <x v="0"/>
    <x v="7"/>
    <x v="7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7"/>
    <x v="0"/>
    <x v="7"/>
    <x v="7"/>
    <x v="0"/>
    <x v="2"/>
    <x v="0"/>
    <x v="0"/>
    <x v="0"/>
    <x v="0"/>
    <x v="0"/>
    <x v="0"/>
    <x v="3"/>
    <x v="3"/>
    <x v="3"/>
    <x v="5"/>
    <x v="5"/>
    <n v="140.92677300720601"/>
    <x v="0"/>
    <x v="0"/>
    <x v="1"/>
    <x v="1"/>
    <x v="1"/>
    <x v="5"/>
    <n v="153.61018257785457"/>
  </r>
  <r>
    <x v="7"/>
    <x v="0"/>
    <x v="7"/>
    <x v="7"/>
    <x v="0"/>
    <x v="2"/>
    <x v="0"/>
    <x v="0"/>
    <x v="0"/>
    <x v="0"/>
    <x v="0"/>
    <x v="0"/>
    <x v="3"/>
    <x v="3"/>
    <x v="3"/>
    <x v="6"/>
    <x v="6"/>
    <n v="1.085"/>
    <x v="0"/>
    <x v="0"/>
    <x v="0"/>
    <x v="0"/>
    <x v="4"/>
    <x v="6"/>
    <n v="1.18265"/>
  </r>
  <r>
    <x v="7"/>
    <x v="0"/>
    <x v="7"/>
    <x v="7"/>
    <x v="0"/>
    <x v="2"/>
    <x v="0"/>
    <x v="0"/>
    <x v="0"/>
    <x v="0"/>
    <x v="0"/>
    <x v="0"/>
    <x v="3"/>
    <x v="3"/>
    <x v="3"/>
    <x v="9"/>
    <x v="9"/>
    <n v="18.984403669713402"/>
    <x v="0"/>
    <x v="0"/>
    <x v="1"/>
    <x v="4"/>
    <x v="5"/>
    <x v="9"/>
    <n v="20.69299999998761"/>
  </r>
  <r>
    <x v="7"/>
    <x v="0"/>
    <x v="7"/>
    <x v="7"/>
    <x v="0"/>
    <x v="2"/>
    <x v="0"/>
    <x v="0"/>
    <x v="0"/>
    <x v="0"/>
    <x v="0"/>
    <x v="0"/>
    <x v="3"/>
    <x v="3"/>
    <x v="3"/>
    <x v="11"/>
    <x v="11"/>
    <n v="-8.1619999999999998E-2"/>
    <x v="0"/>
    <x v="0"/>
    <x v="3"/>
    <x v="5"/>
    <x v="7"/>
    <x v="11"/>
    <n v="-8.8965799999999998E-2"/>
  </r>
  <r>
    <x v="7"/>
    <x v="0"/>
    <x v="7"/>
    <x v="7"/>
    <x v="0"/>
    <x v="2"/>
    <x v="0"/>
    <x v="0"/>
    <x v="0"/>
    <x v="0"/>
    <x v="0"/>
    <x v="0"/>
    <x v="3"/>
    <x v="3"/>
    <x v="3"/>
    <x v="14"/>
    <x v="14"/>
    <n v="0.80700000000000005"/>
    <x v="0"/>
    <x v="0"/>
    <x v="0"/>
    <x v="0"/>
    <x v="8"/>
    <x v="14"/>
    <n v="0.87963000000000013"/>
  </r>
  <r>
    <x v="7"/>
    <x v="0"/>
    <x v="7"/>
    <x v="7"/>
    <x v="0"/>
    <x v="2"/>
    <x v="0"/>
    <x v="0"/>
    <x v="0"/>
    <x v="0"/>
    <x v="0"/>
    <x v="0"/>
    <x v="3"/>
    <x v="3"/>
    <x v="3"/>
    <x v="16"/>
    <x v="16"/>
    <n v="400.74948000000001"/>
    <x v="0"/>
    <x v="0"/>
    <x v="3"/>
    <x v="5"/>
    <x v="9"/>
    <x v="16"/>
    <n v="436.81693320000005"/>
  </r>
  <r>
    <x v="7"/>
    <x v="0"/>
    <x v="7"/>
    <x v="7"/>
    <x v="0"/>
    <x v="2"/>
    <x v="0"/>
    <x v="0"/>
    <x v="0"/>
    <x v="0"/>
    <x v="0"/>
    <x v="0"/>
    <x v="3"/>
    <x v="3"/>
    <x v="3"/>
    <x v="26"/>
    <x v="26"/>
    <n v="2.7522935779800002"/>
    <x v="0"/>
    <x v="0"/>
    <x v="1"/>
    <x v="3"/>
    <x v="3"/>
    <x v="15"/>
    <n v="2.9999999999982006"/>
  </r>
  <r>
    <x v="7"/>
    <x v="0"/>
    <x v="7"/>
    <x v="7"/>
    <x v="0"/>
    <x v="2"/>
    <x v="0"/>
    <x v="0"/>
    <x v="0"/>
    <x v="0"/>
    <x v="0"/>
    <x v="0"/>
    <x v="3"/>
    <x v="3"/>
    <x v="3"/>
    <x v="2"/>
    <x v="2"/>
    <n v="88.043917431139803"/>
    <x v="0"/>
    <x v="1"/>
    <x v="2"/>
    <x v="2"/>
    <x v="13"/>
    <x v="2"/>
    <n v="95.967869999942394"/>
  </r>
  <r>
    <x v="7"/>
    <x v="0"/>
    <x v="7"/>
    <x v="7"/>
    <x v="0"/>
    <x v="2"/>
    <x v="0"/>
    <x v="0"/>
    <x v="0"/>
    <x v="0"/>
    <x v="0"/>
    <x v="0"/>
    <x v="3"/>
    <x v="12"/>
    <x v="3"/>
    <x v="8"/>
    <x v="8"/>
    <n v="2132.7347837974298"/>
    <x v="0"/>
    <x v="1"/>
    <x v="2"/>
    <x v="2"/>
    <x v="6"/>
    <x v="8"/>
    <n v="2324.6809143391988"/>
  </r>
  <r>
    <x v="7"/>
    <x v="0"/>
    <x v="7"/>
    <x v="7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7"/>
    <x v="0"/>
    <x v="7"/>
    <x v="7"/>
    <x v="0"/>
    <x v="2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7"/>
    <x v="0"/>
    <x v="7"/>
    <x v="7"/>
    <x v="0"/>
    <x v="2"/>
    <x v="0"/>
    <x v="0"/>
    <x v="0"/>
    <x v="0"/>
    <x v="0"/>
    <x v="0"/>
    <x v="0"/>
    <x v="4"/>
    <x v="4"/>
    <x v="8"/>
    <x v="8"/>
    <n v="15.6421621622623"/>
    <x v="0"/>
    <x v="1"/>
    <x v="2"/>
    <x v="2"/>
    <x v="6"/>
    <x v="8"/>
    <n v="17.04995675686591"/>
  </r>
  <r>
    <x v="7"/>
    <x v="0"/>
    <x v="7"/>
    <x v="7"/>
    <x v="0"/>
    <x v="2"/>
    <x v="0"/>
    <x v="0"/>
    <x v="0"/>
    <x v="0"/>
    <x v="0"/>
    <x v="0"/>
    <x v="0"/>
    <x v="4"/>
    <x v="4"/>
    <x v="9"/>
    <x v="9"/>
    <n v="258.22621432188902"/>
    <x v="0"/>
    <x v="0"/>
    <x v="1"/>
    <x v="4"/>
    <x v="5"/>
    <x v="9"/>
    <n v="281.46657361085903"/>
  </r>
  <r>
    <x v="7"/>
    <x v="0"/>
    <x v="7"/>
    <x v="7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7"/>
    <x v="0"/>
    <x v="7"/>
    <x v="7"/>
    <x v="0"/>
    <x v="2"/>
    <x v="0"/>
    <x v="0"/>
    <x v="0"/>
    <x v="0"/>
    <x v="0"/>
    <x v="0"/>
    <x v="0"/>
    <x v="4"/>
    <x v="4"/>
    <x v="88"/>
    <x v="88"/>
    <n v="7.9841009174264004"/>
    <x v="0"/>
    <x v="0"/>
    <x v="1"/>
    <x v="4"/>
    <x v="5"/>
    <x v="9"/>
    <n v="8.702669999994777"/>
  </r>
  <r>
    <x v="7"/>
    <x v="0"/>
    <x v="7"/>
    <x v="7"/>
    <x v="0"/>
    <x v="2"/>
    <x v="0"/>
    <x v="0"/>
    <x v="0"/>
    <x v="0"/>
    <x v="0"/>
    <x v="0"/>
    <x v="0"/>
    <x v="4"/>
    <x v="4"/>
    <x v="12"/>
    <x v="12"/>
    <n v="445.37023255644698"/>
    <x v="0"/>
    <x v="0"/>
    <x v="0"/>
    <x v="0"/>
    <x v="8"/>
    <x v="12"/>
    <n v="485.45355348652726"/>
  </r>
  <r>
    <x v="7"/>
    <x v="0"/>
    <x v="7"/>
    <x v="7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7"/>
    <x v="0"/>
    <x v="7"/>
    <x v="7"/>
    <x v="0"/>
    <x v="2"/>
    <x v="0"/>
    <x v="0"/>
    <x v="0"/>
    <x v="0"/>
    <x v="0"/>
    <x v="0"/>
    <x v="0"/>
    <x v="4"/>
    <x v="4"/>
    <x v="32"/>
    <x v="32"/>
    <n v="43.200540188148999"/>
    <x v="0"/>
    <x v="0"/>
    <x v="1"/>
    <x v="1"/>
    <x v="1"/>
    <x v="20"/>
    <n v="47.088588805082409"/>
  </r>
  <r>
    <x v="7"/>
    <x v="0"/>
    <x v="7"/>
    <x v="7"/>
    <x v="0"/>
    <x v="2"/>
    <x v="0"/>
    <x v="0"/>
    <x v="0"/>
    <x v="0"/>
    <x v="0"/>
    <x v="0"/>
    <x v="0"/>
    <x v="4"/>
    <x v="4"/>
    <x v="14"/>
    <x v="14"/>
    <n v="9.1258300000000006"/>
    <x v="0"/>
    <x v="0"/>
    <x v="0"/>
    <x v="0"/>
    <x v="8"/>
    <x v="14"/>
    <n v="9.9471547000000005"/>
  </r>
  <r>
    <x v="7"/>
    <x v="0"/>
    <x v="7"/>
    <x v="7"/>
    <x v="0"/>
    <x v="2"/>
    <x v="0"/>
    <x v="0"/>
    <x v="0"/>
    <x v="0"/>
    <x v="0"/>
    <x v="0"/>
    <x v="0"/>
    <x v="4"/>
    <x v="4"/>
    <x v="16"/>
    <x v="16"/>
    <n v="152.62126000000001"/>
    <x v="0"/>
    <x v="0"/>
    <x v="3"/>
    <x v="5"/>
    <x v="9"/>
    <x v="16"/>
    <n v="166.35717340000002"/>
  </r>
  <r>
    <x v="7"/>
    <x v="0"/>
    <x v="7"/>
    <x v="7"/>
    <x v="0"/>
    <x v="2"/>
    <x v="0"/>
    <x v="0"/>
    <x v="0"/>
    <x v="0"/>
    <x v="0"/>
    <x v="0"/>
    <x v="0"/>
    <x v="4"/>
    <x v="4"/>
    <x v="25"/>
    <x v="25"/>
    <n v="7.4617706421973597"/>
    <x v="0"/>
    <x v="0"/>
    <x v="1"/>
    <x v="4"/>
    <x v="5"/>
    <x v="9"/>
    <n v="8.133329999995123"/>
  </r>
  <r>
    <x v="7"/>
    <x v="0"/>
    <x v="7"/>
    <x v="7"/>
    <x v="0"/>
    <x v="2"/>
    <x v="0"/>
    <x v="0"/>
    <x v="0"/>
    <x v="0"/>
    <x v="0"/>
    <x v="0"/>
    <x v="0"/>
    <x v="4"/>
    <x v="4"/>
    <x v="2"/>
    <x v="2"/>
    <n v="4.5871559629999997E-5"/>
    <x v="0"/>
    <x v="1"/>
    <x v="2"/>
    <x v="2"/>
    <x v="13"/>
    <x v="2"/>
    <n v="4.9999999996700003E-5"/>
  </r>
  <r>
    <x v="7"/>
    <x v="0"/>
    <x v="7"/>
    <x v="7"/>
    <x v="0"/>
    <x v="2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7"/>
    <x v="0"/>
    <x v="7"/>
    <x v="7"/>
    <x v="0"/>
    <x v="2"/>
    <x v="0"/>
    <x v="0"/>
    <x v="0"/>
    <x v="0"/>
    <x v="0"/>
    <x v="0"/>
    <x v="0"/>
    <x v="0"/>
    <x v="0"/>
    <x v="7"/>
    <x v="7"/>
    <n v="39.908256880709999"/>
    <x v="0"/>
    <x v="0"/>
    <x v="1"/>
    <x v="4"/>
    <x v="5"/>
    <x v="7"/>
    <n v="43.499999999973902"/>
  </r>
  <r>
    <x v="7"/>
    <x v="0"/>
    <x v="7"/>
    <x v="7"/>
    <x v="0"/>
    <x v="2"/>
    <x v="0"/>
    <x v="0"/>
    <x v="0"/>
    <x v="0"/>
    <x v="0"/>
    <x v="0"/>
    <x v="0"/>
    <x v="0"/>
    <x v="0"/>
    <x v="8"/>
    <x v="8"/>
    <n v="2349.6510810961199"/>
    <x v="0"/>
    <x v="1"/>
    <x v="2"/>
    <x v="2"/>
    <x v="6"/>
    <x v="8"/>
    <n v="2561.1196783947707"/>
  </r>
  <r>
    <x v="7"/>
    <x v="0"/>
    <x v="7"/>
    <x v="7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7"/>
    <x v="0"/>
    <x v="7"/>
    <x v="7"/>
    <x v="0"/>
    <x v="2"/>
    <x v="0"/>
    <x v="0"/>
    <x v="0"/>
    <x v="0"/>
    <x v="0"/>
    <x v="0"/>
    <x v="0"/>
    <x v="0"/>
    <x v="0"/>
    <x v="12"/>
    <x v="12"/>
    <n v="18.7255813952777"/>
    <x v="0"/>
    <x v="0"/>
    <x v="0"/>
    <x v="0"/>
    <x v="8"/>
    <x v="12"/>
    <n v="20.410883720852695"/>
  </r>
  <r>
    <x v="7"/>
    <x v="0"/>
    <x v="7"/>
    <x v="7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7"/>
    <x v="0"/>
    <x v="7"/>
    <x v="7"/>
    <x v="0"/>
    <x v="2"/>
    <x v="0"/>
    <x v="0"/>
    <x v="0"/>
    <x v="0"/>
    <x v="0"/>
    <x v="0"/>
    <x v="1"/>
    <x v="1"/>
    <x v="1"/>
    <x v="5"/>
    <x v="5"/>
    <n v="318.300588959474"/>
    <x v="0"/>
    <x v="0"/>
    <x v="1"/>
    <x v="1"/>
    <x v="1"/>
    <x v="5"/>
    <n v="346.94764196582668"/>
  </r>
  <r>
    <x v="7"/>
    <x v="0"/>
    <x v="7"/>
    <x v="7"/>
    <x v="0"/>
    <x v="2"/>
    <x v="0"/>
    <x v="0"/>
    <x v="0"/>
    <x v="0"/>
    <x v="0"/>
    <x v="0"/>
    <x v="1"/>
    <x v="1"/>
    <x v="1"/>
    <x v="6"/>
    <x v="6"/>
    <n v="32.700000000000003"/>
    <x v="0"/>
    <x v="0"/>
    <x v="0"/>
    <x v="0"/>
    <x v="4"/>
    <x v="6"/>
    <n v="35.643000000000008"/>
  </r>
  <r>
    <x v="7"/>
    <x v="0"/>
    <x v="7"/>
    <x v="7"/>
    <x v="0"/>
    <x v="2"/>
    <x v="0"/>
    <x v="0"/>
    <x v="0"/>
    <x v="0"/>
    <x v="0"/>
    <x v="0"/>
    <x v="1"/>
    <x v="1"/>
    <x v="1"/>
    <x v="7"/>
    <x v="7"/>
    <n v="35.602788990804299"/>
    <x v="0"/>
    <x v="0"/>
    <x v="1"/>
    <x v="4"/>
    <x v="5"/>
    <x v="7"/>
    <n v="38.807039999976688"/>
  </r>
  <r>
    <x v="7"/>
    <x v="0"/>
    <x v="7"/>
    <x v="7"/>
    <x v="0"/>
    <x v="2"/>
    <x v="0"/>
    <x v="0"/>
    <x v="0"/>
    <x v="0"/>
    <x v="0"/>
    <x v="0"/>
    <x v="1"/>
    <x v="1"/>
    <x v="1"/>
    <x v="8"/>
    <x v="8"/>
    <n v="19.074324324446401"/>
    <x v="0"/>
    <x v="1"/>
    <x v="2"/>
    <x v="2"/>
    <x v="6"/>
    <x v="8"/>
    <n v="20.791013513646579"/>
  </r>
  <r>
    <x v="7"/>
    <x v="0"/>
    <x v="7"/>
    <x v="7"/>
    <x v="0"/>
    <x v="2"/>
    <x v="0"/>
    <x v="0"/>
    <x v="0"/>
    <x v="0"/>
    <x v="0"/>
    <x v="0"/>
    <x v="1"/>
    <x v="1"/>
    <x v="1"/>
    <x v="12"/>
    <x v="12"/>
    <n v="3.5987441860328402"/>
    <x v="0"/>
    <x v="0"/>
    <x v="0"/>
    <x v="0"/>
    <x v="8"/>
    <x v="12"/>
    <n v="3.9226311627757959"/>
  </r>
  <r>
    <x v="7"/>
    <x v="0"/>
    <x v="7"/>
    <x v="7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7"/>
    <x v="0"/>
    <x v="7"/>
    <x v="7"/>
    <x v="0"/>
    <x v="2"/>
    <x v="0"/>
    <x v="0"/>
    <x v="0"/>
    <x v="0"/>
    <x v="0"/>
    <x v="0"/>
    <x v="1"/>
    <x v="1"/>
    <x v="1"/>
    <x v="32"/>
    <x v="32"/>
    <n v="8.7962836877444701"/>
    <x v="0"/>
    <x v="0"/>
    <x v="1"/>
    <x v="1"/>
    <x v="1"/>
    <x v="20"/>
    <n v="9.5879492196414731"/>
  </r>
  <r>
    <x v="7"/>
    <x v="0"/>
    <x v="7"/>
    <x v="7"/>
    <x v="0"/>
    <x v="2"/>
    <x v="0"/>
    <x v="0"/>
    <x v="0"/>
    <x v="0"/>
    <x v="0"/>
    <x v="0"/>
    <x v="1"/>
    <x v="1"/>
    <x v="1"/>
    <x v="14"/>
    <x v="14"/>
    <n v="9.3636199999999992"/>
    <x v="0"/>
    <x v="0"/>
    <x v="0"/>
    <x v="0"/>
    <x v="8"/>
    <x v="14"/>
    <n v="10.206345799999999"/>
  </r>
  <r>
    <x v="7"/>
    <x v="0"/>
    <x v="7"/>
    <x v="7"/>
    <x v="0"/>
    <x v="2"/>
    <x v="0"/>
    <x v="0"/>
    <x v="0"/>
    <x v="0"/>
    <x v="0"/>
    <x v="0"/>
    <x v="2"/>
    <x v="2"/>
    <x v="2"/>
    <x v="4"/>
    <x v="4"/>
    <n v="30.717688073376099"/>
    <x v="0"/>
    <x v="0"/>
    <x v="1"/>
    <x v="3"/>
    <x v="3"/>
    <x v="4"/>
    <n v="33.482279999979951"/>
  </r>
  <r>
    <x v="7"/>
    <x v="0"/>
    <x v="7"/>
    <x v="7"/>
    <x v="0"/>
    <x v="2"/>
    <x v="0"/>
    <x v="0"/>
    <x v="0"/>
    <x v="0"/>
    <x v="0"/>
    <x v="0"/>
    <x v="2"/>
    <x v="2"/>
    <x v="2"/>
    <x v="39"/>
    <x v="39"/>
    <n v="4.41438532109827"/>
    <x v="0"/>
    <x v="0"/>
    <x v="1"/>
    <x v="4"/>
    <x v="5"/>
    <x v="9"/>
    <n v="4.8116799999971143"/>
  </r>
  <r>
    <x v="7"/>
    <x v="0"/>
    <x v="7"/>
    <x v="7"/>
    <x v="0"/>
    <x v="2"/>
    <x v="0"/>
    <x v="0"/>
    <x v="0"/>
    <x v="0"/>
    <x v="0"/>
    <x v="0"/>
    <x v="2"/>
    <x v="2"/>
    <x v="2"/>
    <x v="5"/>
    <x v="5"/>
    <n v="177.593147240614"/>
    <x v="0"/>
    <x v="0"/>
    <x v="1"/>
    <x v="1"/>
    <x v="1"/>
    <x v="5"/>
    <n v="193.57653049226928"/>
  </r>
  <r>
    <x v="7"/>
    <x v="0"/>
    <x v="7"/>
    <x v="7"/>
    <x v="0"/>
    <x v="2"/>
    <x v="0"/>
    <x v="0"/>
    <x v="0"/>
    <x v="0"/>
    <x v="0"/>
    <x v="0"/>
    <x v="2"/>
    <x v="2"/>
    <x v="2"/>
    <x v="7"/>
    <x v="7"/>
    <n v="1.5688073394486"/>
    <x v="0"/>
    <x v="0"/>
    <x v="1"/>
    <x v="4"/>
    <x v="5"/>
    <x v="7"/>
    <n v="1.7099999999989741"/>
  </r>
  <r>
    <x v="7"/>
    <x v="0"/>
    <x v="7"/>
    <x v="7"/>
    <x v="0"/>
    <x v="2"/>
    <x v="0"/>
    <x v="0"/>
    <x v="0"/>
    <x v="0"/>
    <x v="0"/>
    <x v="0"/>
    <x v="2"/>
    <x v="2"/>
    <x v="2"/>
    <x v="8"/>
    <x v="8"/>
    <n v="23.555952702853499"/>
    <x v="0"/>
    <x v="1"/>
    <x v="2"/>
    <x v="2"/>
    <x v="6"/>
    <x v="8"/>
    <n v="25.675988446110317"/>
  </r>
  <r>
    <x v="7"/>
    <x v="0"/>
    <x v="7"/>
    <x v="7"/>
    <x v="0"/>
    <x v="2"/>
    <x v="0"/>
    <x v="0"/>
    <x v="0"/>
    <x v="0"/>
    <x v="0"/>
    <x v="0"/>
    <x v="2"/>
    <x v="2"/>
    <x v="2"/>
    <x v="9"/>
    <x v="9"/>
    <n v="57.070261468068402"/>
    <x v="0"/>
    <x v="0"/>
    <x v="1"/>
    <x v="4"/>
    <x v="5"/>
    <x v="9"/>
    <n v="62.206585000194565"/>
  </r>
  <r>
    <x v="7"/>
    <x v="0"/>
    <x v="7"/>
    <x v="7"/>
    <x v="0"/>
    <x v="2"/>
    <x v="0"/>
    <x v="0"/>
    <x v="0"/>
    <x v="0"/>
    <x v="0"/>
    <x v="0"/>
    <x v="2"/>
    <x v="2"/>
    <x v="2"/>
    <x v="10"/>
    <x v="10"/>
    <n v="46.558526089388202"/>
    <x v="0"/>
    <x v="0"/>
    <x v="1"/>
    <x v="4"/>
    <x v="5"/>
    <x v="10"/>
    <n v="50.748793437433143"/>
  </r>
  <r>
    <x v="7"/>
    <x v="0"/>
    <x v="7"/>
    <x v="7"/>
    <x v="0"/>
    <x v="2"/>
    <x v="0"/>
    <x v="0"/>
    <x v="0"/>
    <x v="0"/>
    <x v="0"/>
    <x v="0"/>
    <x v="2"/>
    <x v="2"/>
    <x v="2"/>
    <x v="28"/>
    <x v="28"/>
    <n v="9.3164300000000004"/>
    <x v="0"/>
    <x v="0"/>
    <x v="1"/>
    <x v="3"/>
    <x v="3"/>
    <x v="13"/>
    <n v="10.154908700000002"/>
  </r>
  <r>
    <x v="7"/>
    <x v="0"/>
    <x v="7"/>
    <x v="7"/>
    <x v="0"/>
    <x v="2"/>
    <x v="0"/>
    <x v="0"/>
    <x v="0"/>
    <x v="0"/>
    <x v="0"/>
    <x v="0"/>
    <x v="2"/>
    <x v="2"/>
    <x v="2"/>
    <x v="31"/>
    <x v="31"/>
    <n v="2.88498165137442"/>
    <x v="0"/>
    <x v="0"/>
    <x v="1"/>
    <x v="4"/>
    <x v="5"/>
    <x v="10"/>
    <n v="3.1446299999981182"/>
  </r>
  <r>
    <x v="7"/>
    <x v="0"/>
    <x v="7"/>
    <x v="7"/>
    <x v="0"/>
    <x v="2"/>
    <x v="0"/>
    <x v="0"/>
    <x v="0"/>
    <x v="0"/>
    <x v="0"/>
    <x v="0"/>
    <x v="2"/>
    <x v="2"/>
    <x v="2"/>
    <x v="11"/>
    <x v="11"/>
    <n v="2.42"/>
    <x v="0"/>
    <x v="0"/>
    <x v="3"/>
    <x v="5"/>
    <x v="7"/>
    <x v="11"/>
    <n v="2.6377999999999999"/>
  </r>
  <r>
    <x v="7"/>
    <x v="0"/>
    <x v="7"/>
    <x v="7"/>
    <x v="0"/>
    <x v="2"/>
    <x v="0"/>
    <x v="0"/>
    <x v="0"/>
    <x v="0"/>
    <x v="0"/>
    <x v="0"/>
    <x v="2"/>
    <x v="2"/>
    <x v="2"/>
    <x v="12"/>
    <x v="12"/>
    <n v="96.785279069399706"/>
    <x v="0"/>
    <x v="0"/>
    <x v="0"/>
    <x v="0"/>
    <x v="8"/>
    <x v="12"/>
    <n v="105.49595418564569"/>
  </r>
  <r>
    <x v="7"/>
    <x v="0"/>
    <x v="7"/>
    <x v="7"/>
    <x v="0"/>
    <x v="2"/>
    <x v="0"/>
    <x v="0"/>
    <x v="0"/>
    <x v="0"/>
    <x v="0"/>
    <x v="0"/>
    <x v="2"/>
    <x v="2"/>
    <x v="2"/>
    <x v="13"/>
    <x v="13"/>
    <n v="89.596909999999994"/>
    <x v="0"/>
    <x v="0"/>
    <x v="1"/>
    <x v="3"/>
    <x v="3"/>
    <x v="13"/>
    <n v="97.660631899999998"/>
  </r>
  <r>
    <x v="7"/>
    <x v="0"/>
    <x v="7"/>
    <x v="7"/>
    <x v="0"/>
    <x v="2"/>
    <x v="0"/>
    <x v="0"/>
    <x v="0"/>
    <x v="0"/>
    <x v="0"/>
    <x v="0"/>
    <x v="2"/>
    <x v="2"/>
    <x v="2"/>
    <x v="83"/>
    <x v="83"/>
    <n v="0.25091999999999998"/>
    <x v="0"/>
    <x v="0"/>
    <x v="3"/>
    <x v="5"/>
    <x v="7"/>
    <x v="11"/>
    <n v="0.27350279999999999"/>
  </r>
  <r>
    <x v="7"/>
    <x v="0"/>
    <x v="7"/>
    <x v="7"/>
    <x v="0"/>
    <x v="2"/>
    <x v="0"/>
    <x v="0"/>
    <x v="0"/>
    <x v="0"/>
    <x v="0"/>
    <x v="0"/>
    <x v="2"/>
    <x v="2"/>
    <x v="2"/>
    <x v="14"/>
    <x v="14"/>
    <n v="91.174949999999995"/>
    <x v="0"/>
    <x v="0"/>
    <x v="0"/>
    <x v="0"/>
    <x v="8"/>
    <x v="14"/>
    <n v="99.380695500000002"/>
  </r>
  <r>
    <x v="7"/>
    <x v="0"/>
    <x v="7"/>
    <x v="7"/>
    <x v="0"/>
    <x v="2"/>
    <x v="0"/>
    <x v="0"/>
    <x v="0"/>
    <x v="0"/>
    <x v="0"/>
    <x v="0"/>
    <x v="2"/>
    <x v="2"/>
    <x v="2"/>
    <x v="16"/>
    <x v="16"/>
    <n v="28.483499999999999"/>
    <x v="0"/>
    <x v="0"/>
    <x v="3"/>
    <x v="5"/>
    <x v="9"/>
    <x v="16"/>
    <n v="31.047015000000002"/>
  </r>
  <r>
    <x v="7"/>
    <x v="0"/>
    <x v="7"/>
    <x v="7"/>
    <x v="0"/>
    <x v="2"/>
    <x v="0"/>
    <x v="0"/>
    <x v="0"/>
    <x v="0"/>
    <x v="0"/>
    <x v="0"/>
    <x v="2"/>
    <x v="2"/>
    <x v="2"/>
    <x v="21"/>
    <x v="21"/>
    <n v="4.3530366972450896"/>
    <x v="0"/>
    <x v="0"/>
    <x v="1"/>
    <x v="4"/>
    <x v="5"/>
    <x v="10"/>
    <n v="4.7448099999971483"/>
  </r>
  <r>
    <x v="7"/>
    <x v="0"/>
    <x v="7"/>
    <x v="7"/>
    <x v="0"/>
    <x v="2"/>
    <x v="0"/>
    <x v="0"/>
    <x v="0"/>
    <x v="0"/>
    <x v="0"/>
    <x v="0"/>
    <x v="2"/>
    <x v="2"/>
    <x v="2"/>
    <x v="26"/>
    <x v="26"/>
    <n v="92.515422018293094"/>
    <x v="0"/>
    <x v="0"/>
    <x v="1"/>
    <x v="3"/>
    <x v="3"/>
    <x v="15"/>
    <n v="100.84180999993949"/>
  </r>
  <r>
    <x v="7"/>
    <x v="0"/>
    <x v="7"/>
    <x v="7"/>
    <x v="0"/>
    <x v="2"/>
    <x v="0"/>
    <x v="0"/>
    <x v="0"/>
    <x v="0"/>
    <x v="0"/>
    <x v="0"/>
    <x v="2"/>
    <x v="2"/>
    <x v="2"/>
    <x v="0"/>
    <x v="0"/>
    <n v="8.8459314946371492"/>
    <x v="0"/>
    <x v="0"/>
    <x v="0"/>
    <x v="0"/>
    <x v="0"/>
    <x v="0"/>
    <n v="9.6420653291544927"/>
  </r>
  <r>
    <x v="7"/>
    <x v="0"/>
    <x v="7"/>
    <x v="7"/>
    <x v="0"/>
    <x v="2"/>
    <x v="0"/>
    <x v="0"/>
    <x v="0"/>
    <x v="0"/>
    <x v="0"/>
    <x v="0"/>
    <x v="2"/>
    <x v="2"/>
    <x v="2"/>
    <x v="1"/>
    <x v="1"/>
    <n v="205.237337929906"/>
    <x v="0"/>
    <x v="0"/>
    <x v="1"/>
    <x v="1"/>
    <x v="1"/>
    <x v="1"/>
    <n v="223.70869834359758"/>
  </r>
  <r>
    <x v="7"/>
    <x v="0"/>
    <x v="7"/>
    <x v="7"/>
    <x v="0"/>
    <x v="2"/>
    <x v="0"/>
    <x v="0"/>
    <x v="0"/>
    <x v="0"/>
    <x v="0"/>
    <x v="0"/>
    <x v="2"/>
    <x v="2"/>
    <x v="2"/>
    <x v="2"/>
    <x v="2"/>
    <n v="732.06556880690005"/>
    <x v="0"/>
    <x v="1"/>
    <x v="2"/>
    <x v="2"/>
    <x v="13"/>
    <x v="2"/>
    <n v="797.95146999952112"/>
  </r>
  <r>
    <x v="7"/>
    <x v="0"/>
    <x v="7"/>
    <x v="7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7"/>
    <x v="0"/>
    <x v="7"/>
    <x v="7"/>
    <x v="0"/>
    <x v="2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7"/>
    <x v="0"/>
    <x v="7"/>
    <x v="7"/>
    <x v="0"/>
    <x v="2"/>
    <x v="0"/>
    <x v="0"/>
    <x v="0"/>
    <x v="0"/>
    <x v="0"/>
    <x v="0"/>
    <x v="1"/>
    <x v="6"/>
    <x v="6"/>
    <x v="8"/>
    <x v="8"/>
    <n v="9.8346486487115907"/>
    <x v="0"/>
    <x v="1"/>
    <x v="2"/>
    <x v="2"/>
    <x v="6"/>
    <x v="8"/>
    <n v="10.719767027095635"/>
  </r>
  <r>
    <x v="7"/>
    <x v="0"/>
    <x v="7"/>
    <x v="7"/>
    <x v="0"/>
    <x v="2"/>
    <x v="0"/>
    <x v="0"/>
    <x v="0"/>
    <x v="0"/>
    <x v="0"/>
    <x v="0"/>
    <x v="1"/>
    <x v="6"/>
    <x v="6"/>
    <x v="9"/>
    <x v="9"/>
    <n v="47.512023258624197"/>
    <x v="0"/>
    <x v="0"/>
    <x v="1"/>
    <x v="4"/>
    <x v="5"/>
    <x v="9"/>
    <n v="51.788105351900377"/>
  </r>
  <r>
    <x v="7"/>
    <x v="0"/>
    <x v="7"/>
    <x v="7"/>
    <x v="0"/>
    <x v="2"/>
    <x v="0"/>
    <x v="0"/>
    <x v="0"/>
    <x v="0"/>
    <x v="0"/>
    <x v="0"/>
    <x v="1"/>
    <x v="6"/>
    <x v="6"/>
    <x v="10"/>
    <x v="10"/>
    <n v="22.9671417747149"/>
    <x v="0"/>
    <x v="0"/>
    <x v="1"/>
    <x v="4"/>
    <x v="5"/>
    <x v="10"/>
    <n v="25.034184534439245"/>
  </r>
  <r>
    <x v="7"/>
    <x v="0"/>
    <x v="7"/>
    <x v="7"/>
    <x v="0"/>
    <x v="2"/>
    <x v="0"/>
    <x v="0"/>
    <x v="0"/>
    <x v="0"/>
    <x v="0"/>
    <x v="0"/>
    <x v="1"/>
    <x v="6"/>
    <x v="6"/>
    <x v="88"/>
    <x v="88"/>
    <n v="10.209174311920499"/>
    <x v="0"/>
    <x v="0"/>
    <x v="1"/>
    <x v="4"/>
    <x v="5"/>
    <x v="9"/>
    <n v="11.127999999993344"/>
  </r>
  <r>
    <x v="7"/>
    <x v="0"/>
    <x v="7"/>
    <x v="7"/>
    <x v="0"/>
    <x v="2"/>
    <x v="0"/>
    <x v="0"/>
    <x v="0"/>
    <x v="0"/>
    <x v="0"/>
    <x v="0"/>
    <x v="1"/>
    <x v="6"/>
    <x v="6"/>
    <x v="12"/>
    <x v="12"/>
    <n v="90.040697674076497"/>
    <x v="0"/>
    <x v="0"/>
    <x v="0"/>
    <x v="0"/>
    <x v="8"/>
    <x v="12"/>
    <n v="98.144360464743386"/>
  </r>
  <r>
    <x v="7"/>
    <x v="0"/>
    <x v="7"/>
    <x v="7"/>
    <x v="0"/>
    <x v="2"/>
    <x v="0"/>
    <x v="0"/>
    <x v="0"/>
    <x v="0"/>
    <x v="0"/>
    <x v="0"/>
    <x v="1"/>
    <x v="6"/>
    <x v="6"/>
    <x v="32"/>
    <x v="32"/>
    <n v="13.7888593377498"/>
    <x v="0"/>
    <x v="0"/>
    <x v="1"/>
    <x v="1"/>
    <x v="1"/>
    <x v="20"/>
    <n v="15.029856678147283"/>
  </r>
  <r>
    <x v="7"/>
    <x v="0"/>
    <x v="7"/>
    <x v="7"/>
    <x v="0"/>
    <x v="2"/>
    <x v="0"/>
    <x v="0"/>
    <x v="0"/>
    <x v="0"/>
    <x v="0"/>
    <x v="0"/>
    <x v="1"/>
    <x v="6"/>
    <x v="6"/>
    <x v="14"/>
    <x v="14"/>
    <n v="78.804090000000002"/>
    <x v="0"/>
    <x v="0"/>
    <x v="0"/>
    <x v="0"/>
    <x v="8"/>
    <x v="14"/>
    <n v="85.896458100000004"/>
  </r>
  <r>
    <x v="7"/>
    <x v="0"/>
    <x v="7"/>
    <x v="7"/>
    <x v="0"/>
    <x v="2"/>
    <x v="0"/>
    <x v="0"/>
    <x v="0"/>
    <x v="0"/>
    <x v="0"/>
    <x v="0"/>
    <x v="1"/>
    <x v="6"/>
    <x v="6"/>
    <x v="16"/>
    <x v="16"/>
    <n v="0.96299999999999997"/>
    <x v="0"/>
    <x v="0"/>
    <x v="3"/>
    <x v="5"/>
    <x v="9"/>
    <x v="16"/>
    <n v="1.0496700000000001"/>
  </r>
  <r>
    <x v="7"/>
    <x v="0"/>
    <x v="7"/>
    <x v="7"/>
    <x v="0"/>
    <x v="2"/>
    <x v="0"/>
    <x v="0"/>
    <x v="0"/>
    <x v="0"/>
    <x v="0"/>
    <x v="0"/>
    <x v="1"/>
    <x v="6"/>
    <x v="6"/>
    <x v="25"/>
    <x v="25"/>
    <n v="38.633100917408001"/>
    <x v="0"/>
    <x v="0"/>
    <x v="1"/>
    <x v="4"/>
    <x v="5"/>
    <x v="9"/>
    <n v="42.110079999974722"/>
  </r>
  <r>
    <x v="7"/>
    <x v="0"/>
    <x v="7"/>
    <x v="7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7"/>
    <x v="0"/>
    <x v="7"/>
    <x v="7"/>
    <x v="0"/>
    <x v="2"/>
    <x v="0"/>
    <x v="0"/>
    <x v="0"/>
    <x v="0"/>
    <x v="0"/>
    <x v="0"/>
    <x v="1"/>
    <x v="6"/>
    <x v="6"/>
    <x v="2"/>
    <x v="2"/>
    <n v="12.1625137614606"/>
    <x v="0"/>
    <x v="1"/>
    <x v="2"/>
    <x v="2"/>
    <x v="13"/>
    <x v="2"/>
    <n v="13.257139999992056"/>
  </r>
  <r>
    <x v="7"/>
    <x v="0"/>
    <x v="7"/>
    <x v="7"/>
    <x v="0"/>
    <x v="2"/>
    <x v="0"/>
    <x v="0"/>
    <x v="0"/>
    <x v="0"/>
    <x v="0"/>
    <x v="0"/>
    <x v="3"/>
    <x v="7"/>
    <x v="7"/>
    <x v="9"/>
    <x v="9"/>
    <n v="1.796407182E-5"/>
    <x v="0"/>
    <x v="0"/>
    <x v="1"/>
    <x v="4"/>
    <x v="5"/>
    <x v="9"/>
    <n v="1.95808382838E-5"/>
  </r>
  <r>
    <x v="7"/>
    <x v="0"/>
    <x v="7"/>
    <x v="7"/>
    <x v="0"/>
    <x v="2"/>
    <x v="0"/>
    <x v="0"/>
    <x v="0"/>
    <x v="0"/>
    <x v="0"/>
    <x v="0"/>
    <x v="3"/>
    <x v="7"/>
    <x v="7"/>
    <x v="10"/>
    <x v="10"/>
    <n v="3.5778986240000002E-5"/>
    <x v="0"/>
    <x v="0"/>
    <x v="1"/>
    <x v="4"/>
    <x v="5"/>
    <x v="10"/>
    <n v="3.8999095001600002E-5"/>
  </r>
  <r>
    <x v="7"/>
    <x v="0"/>
    <x v="7"/>
    <x v="7"/>
    <x v="0"/>
    <x v="2"/>
    <x v="0"/>
    <x v="0"/>
    <x v="0"/>
    <x v="0"/>
    <x v="0"/>
    <x v="0"/>
    <x v="1"/>
    <x v="8"/>
    <x v="8"/>
    <x v="9"/>
    <x v="9"/>
    <n v="0.13008383207256"/>
    <x v="0"/>
    <x v="0"/>
    <x v="1"/>
    <x v="4"/>
    <x v="5"/>
    <x v="9"/>
    <n v="0.14179137695909041"/>
  </r>
  <r>
    <x v="7"/>
    <x v="0"/>
    <x v="7"/>
    <x v="7"/>
    <x v="0"/>
    <x v="2"/>
    <x v="0"/>
    <x v="0"/>
    <x v="0"/>
    <x v="0"/>
    <x v="0"/>
    <x v="0"/>
    <x v="1"/>
    <x v="8"/>
    <x v="8"/>
    <x v="10"/>
    <x v="10"/>
    <n v="8.1748190080000002E-5"/>
    <x v="0"/>
    <x v="0"/>
    <x v="1"/>
    <x v="4"/>
    <x v="5"/>
    <x v="10"/>
    <n v="8.9105527187200004E-5"/>
  </r>
  <r>
    <x v="7"/>
    <x v="0"/>
    <x v="7"/>
    <x v="7"/>
    <x v="0"/>
    <x v="2"/>
    <x v="0"/>
    <x v="0"/>
    <x v="0"/>
    <x v="0"/>
    <x v="0"/>
    <x v="0"/>
    <x v="0"/>
    <x v="9"/>
    <x v="9"/>
    <x v="6"/>
    <x v="6"/>
    <n v="0.64800000000000002"/>
    <x v="0"/>
    <x v="0"/>
    <x v="0"/>
    <x v="0"/>
    <x v="4"/>
    <x v="6"/>
    <n v="0.70632000000000006"/>
  </r>
  <r>
    <x v="7"/>
    <x v="0"/>
    <x v="7"/>
    <x v="7"/>
    <x v="0"/>
    <x v="2"/>
    <x v="0"/>
    <x v="0"/>
    <x v="0"/>
    <x v="0"/>
    <x v="0"/>
    <x v="0"/>
    <x v="0"/>
    <x v="9"/>
    <x v="9"/>
    <x v="9"/>
    <x v="9"/>
    <n v="7.9840319200000004E-5"/>
    <x v="0"/>
    <x v="0"/>
    <x v="1"/>
    <x v="4"/>
    <x v="5"/>
    <x v="9"/>
    <n v="8.7025947928000012E-5"/>
  </r>
  <r>
    <x v="7"/>
    <x v="0"/>
    <x v="7"/>
    <x v="7"/>
    <x v="0"/>
    <x v="2"/>
    <x v="0"/>
    <x v="0"/>
    <x v="0"/>
    <x v="0"/>
    <x v="0"/>
    <x v="0"/>
    <x v="0"/>
    <x v="9"/>
    <x v="9"/>
    <x v="10"/>
    <x v="10"/>
    <n v="7.4501813119999999E-5"/>
    <x v="0"/>
    <x v="0"/>
    <x v="1"/>
    <x v="4"/>
    <x v="5"/>
    <x v="10"/>
    <n v="8.1206976300800005E-5"/>
  </r>
  <r>
    <x v="7"/>
    <x v="0"/>
    <x v="7"/>
    <x v="7"/>
    <x v="0"/>
    <x v="2"/>
    <x v="0"/>
    <x v="0"/>
    <x v="0"/>
    <x v="0"/>
    <x v="0"/>
    <x v="0"/>
    <x v="2"/>
    <x v="10"/>
    <x v="10"/>
    <x v="6"/>
    <x v="6"/>
    <n v="6.2690099999999997"/>
    <x v="0"/>
    <x v="0"/>
    <x v="0"/>
    <x v="0"/>
    <x v="4"/>
    <x v="6"/>
    <n v="6.8332209000000006"/>
  </r>
  <r>
    <x v="7"/>
    <x v="0"/>
    <x v="7"/>
    <x v="7"/>
    <x v="0"/>
    <x v="2"/>
    <x v="0"/>
    <x v="0"/>
    <x v="0"/>
    <x v="0"/>
    <x v="0"/>
    <x v="0"/>
    <x v="2"/>
    <x v="10"/>
    <x v="10"/>
    <x v="9"/>
    <x v="9"/>
    <n v="4.9900199500000002E-6"/>
    <x v="0"/>
    <x v="0"/>
    <x v="1"/>
    <x v="4"/>
    <x v="5"/>
    <x v="9"/>
    <n v="5.4391217455000007E-6"/>
  </r>
  <r>
    <x v="7"/>
    <x v="0"/>
    <x v="7"/>
    <x v="7"/>
    <x v="0"/>
    <x v="2"/>
    <x v="0"/>
    <x v="0"/>
    <x v="0"/>
    <x v="0"/>
    <x v="0"/>
    <x v="0"/>
    <x v="2"/>
    <x v="10"/>
    <x v="10"/>
    <x v="10"/>
    <x v="10"/>
    <n v="1.3813406080000001E-4"/>
    <x v="0"/>
    <x v="0"/>
    <x v="1"/>
    <x v="4"/>
    <x v="5"/>
    <x v="10"/>
    <n v="1.5056612627200003E-4"/>
  </r>
  <r>
    <x v="7"/>
    <x v="0"/>
    <x v="7"/>
    <x v="7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7"/>
    <x v="0"/>
    <x v="7"/>
    <x v="7"/>
    <x v="0"/>
    <x v="2"/>
    <x v="0"/>
    <x v="0"/>
    <x v="0"/>
    <x v="0"/>
    <x v="0"/>
    <x v="0"/>
    <x v="4"/>
    <x v="5"/>
    <x v="5"/>
    <x v="5"/>
    <x v="5"/>
    <n v="228.26355828394301"/>
    <x v="0"/>
    <x v="0"/>
    <x v="1"/>
    <x v="1"/>
    <x v="1"/>
    <x v="5"/>
    <n v="248.80727852949789"/>
  </r>
  <r>
    <x v="7"/>
    <x v="0"/>
    <x v="7"/>
    <x v="7"/>
    <x v="0"/>
    <x v="2"/>
    <x v="0"/>
    <x v="0"/>
    <x v="0"/>
    <x v="0"/>
    <x v="0"/>
    <x v="0"/>
    <x v="4"/>
    <x v="5"/>
    <x v="5"/>
    <x v="9"/>
    <x v="9"/>
    <n v="0.43251696519417998"/>
    <x v="0"/>
    <x v="0"/>
    <x v="1"/>
    <x v="4"/>
    <x v="5"/>
    <x v="9"/>
    <n v="0.4714434920616562"/>
  </r>
  <r>
    <x v="7"/>
    <x v="0"/>
    <x v="7"/>
    <x v="7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7"/>
    <x v="0"/>
    <x v="7"/>
    <x v="7"/>
    <x v="0"/>
    <x v="2"/>
    <x v="0"/>
    <x v="0"/>
    <x v="0"/>
    <x v="0"/>
    <x v="0"/>
    <x v="0"/>
    <x v="4"/>
    <x v="5"/>
    <x v="5"/>
    <x v="12"/>
    <x v="12"/>
    <n v="7.7356744185752602"/>
    <x v="0"/>
    <x v="0"/>
    <x v="0"/>
    <x v="0"/>
    <x v="8"/>
    <x v="12"/>
    <n v="8.4318851162470345"/>
  </r>
  <r>
    <x v="7"/>
    <x v="0"/>
    <x v="7"/>
    <x v="7"/>
    <x v="0"/>
    <x v="2"/>
    <x v="0"/>
    <x v="0"/>
    <x v="0"/>
    <x v="0"/>
    <x v="0"/>
    <x v="0"/>
    <x v="4"/>
    <x v="5"/>
    <x v="5"/>
    <x v="27"/>
    <x v="27"/>
    <n v="13.5237229732597"/>
    <x v="0"/>
    <x v="0"/>
    <x v="1"/>
    <x v="3"/>
    <x v="3"/>
    <x v="19"/>
    <n v="14.740858040853073"/>
  </r>
  <r>
    <x v="7"/>
    <x v="0"/>
    <x v="7"/>
    <x v="7"/>
    <x v="0"/>
    <x v="2"/>
    <x v="0"/>
    <x v="0"/>
    <x v="0"/>
    <x v="0"/>
    <x v="0"/>
    <x v="0"/>
    <x v="4"/>
    <x v="5"/>
    <x v="5"/>
    <x v="2"/>
    <x v="2"/>
    <n v="1949.5986422006699"/>
    <x v="0"/>
    <x v="1"/>
    <x v="2"/>
    <x v="2"/>
    <x v="13"/>
    <x v="2"/>
    <n v="2125.0625199987303"/>
  </r>
  <r>
    <x v="7"/>
    <x v="0"/>
    <x v="7"/>
    <x v="7"/>
    <x v="0"/>
    <x v="2"/>
    <x v="0"/>
    <x v="0"/>
    <x v="0"/>
    <x v="0"/>
    <x v="3"/>
    <x v="3"/>
    <x v="0"/>
    <x v="4"/>
    <x v="4"/>
    <x v="16"/>
    <x v="16"/>
    <n v="7.27874"/>
    <x v="0"/>
    <x v="0"/>
    <x v="3"/>
    <x v="5"/>
    <x v="9"/>
    <x v="16"/>
    <n v="7.9338266000000006"/>
  </r>
  <r>
    <x v="7"/>
    <x v="0"/>
    <x v="7"/>
    <x v="7"/>
    <x v="0"/>
    <x v="2"/>
    <x v="0"/>
    <x v="0"/>
    <x v="0"/>
    <x v="0"/>
    <x v="3"/>
    <x v="3"/>
    <x v="2"/>
    <x v="2"/>
    <x v="2"/>
    <x v="5"/>
    <x v="5"/>
    <n v="4.51967484666012"/>
    <x v="0"/>
    <x v="0"/>
    <x v="1"/>
    <x v="1"/>
    <x v="1"/>
    <x v="5"/>
    <n v="4.9264455828595315"/>
  </r>
  <r>
    <x v="7"/>
    <x v="0"/>
    <x v="7"/>
    <x v="7"/>
    <x v="0"/>
    <x v="2"/>
    <x v="0"/>
    <x v="0"/>
    <x v="0"/>
    <x v="0"/>
    <x v="3"/>
    <x v="3"/>
    <x v="2"/>
    <x v="2"/>
    <x v="2"/>
    <x v="16"/>
    <x v="16"/>
    <n v="10.899789999999999"/>
    <x v="0"/>
    <x v="0"/>
    <x v="3"/>
    <x v="5"/>
    <x v="9"/>
    <x v="16"/>
    <n v="11.8807711"/>
  </r>
  <r>
    <x v="7"/>
    <x v="0"/>
    <x v="7"/>
    <x v="7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7"/>
    <x v="0"/>
    <x v="7"/>
    <x v="7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7"/>
    <x v="0"/>
    <x v="7"/>
    <x v="7"/>
    <x v="0"/>
    <x v="2"/>
    <x v="0"/>
    <x v="0"/>
    <x v="0"/>
    <x v="0"/>
    <x v="4"/>
    <x v="4"/>
    <x v="2"/>
    <x v="2"/>
    <x v="2"/>
    <x v="7"/>
    <x v="7"/>
    <n v="0.642201834862"/>
    <x v="0"/>
    <x v="0"/>
    <x v="1"/>
    <x v="4"/>
    <x v="5"/>
    <x v="7"/>
    <n v="0.69999999999958007"/>
  </r>
  <r>
    <x v="7"/>
    <x v="0"/>
    <x v="7"/>
    <x v="7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7"/>
    <x v="0"/>
    <x v="7"/>
    <x v="7"/>
    <x v="0"/>
    <x v="2"/>
    <x v="0"/>
    <x v="0"/>
    <x v="0"/>
    <x v="0"/>
    <x v="4"/>
    <x v="4"/>
    <x v="2"/>
    <x v="2"/>
    <x v="2"/>
    <x v="10"/>
    <x v="10"/>
    <n v="0.97260871557119999"/>
    <x v="0"/>
    <x v="0"/>
    <x v="1"/>
    <x v="4"/>
    <x v="5"/>
    <x v="10"/>
    <n v="1.060143499972608"/>
  </r>
  <r>
    <x v="7"/>
    <x v="0"/>
    <x v="7"/>
    <x v="7"/>
    <x v="0"/>
    <x v="2"/>
    <x v="0"/>
    <x v="0"/>
    <x v="2"/>
    <x v="2"/>
    <x v="5"/>
    <x v="5"/>
    <x v="2"/>
    <x v="2"/>
    <x v="2"/>
    <x v="40"/>
    <x v="40"/>
    <n v="4.0250000000000004"/>
    <x v="1"/>
    <x v="2"/>
    <x v="5"/>
    <x v="7"/>
    <x v="11"/>
    <x v="22"/>
    <n v="4.3872500000000008"/>
  </r>
  <r>
    <x v="7"/>
    <x v="0"/>
    <x v="7"/>
    <x v="7"/>
    <x v="0"/>
    <x v="2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7"/>
    <x v="0"/>
    <x v="7"/>
    <x v="7"/>
    <x v="0"/>
    <x v="2"/>
    <x v="0"/>
    <x v="0"/>
    <x v="2"/>
    <x v="2"/>
    <x v="5"/>
    <x v="5"/>
    <x v="3"/>
    <x v="7"/>
    <x v="7"/>
    <x v="40"/>
    <x v="40"/>
    <n v="141.6816"/>
    <x v="1"/>
    <x v="2"/>
    <x v="5"/>
    <x v="7"/>
    <x v="11"/>
    <x v="22"/>
    <n v="154.43294400000002"/>
  </r>
  <r>
    <x v="7"/>
    <x v="0"/>
    <x v="7"/>
    <x v="7"/>
    <x v="0"/>
    <x v="2"/>
    <x v="0"/>
    <x v="0"/>
    <x v="2"/>
    <x v="2"/>
    <x v="5"/>
    <x v="5"/>
    <x v="1"/>
    <x v="8"/>
    <x v="8"/>
    <x v="40"/>
    <x v="40"/>
    <n v="42.001800000000003"/>
    <x v="1"/>
    <x v="2"/>
    <x v="5"/>
    <x v="7"/>
    <x v="11"/>
    <x v="22"/>
    <n v="45.781962000000007"/>
  </r>
  <r>
    <x v="7"/>
    <x v="0"/>
    <x v="7"/>
    <x v="7"/>
    <x v="0"/>
    <x v="2"/>
    <x v="0"/>
    <x v="0"/>
    <x v="2"/>
    <x v="2"/>
    <x v="5"/>
    <x v="5"/>
    <x v="2"/>
    <x v="10"/>
    <x v="10"/>
    <x v="40"/>
    <x v="40"/>
    <n v="21.03"/>
    <x v="1"/>
    <x v="2"/>
    <x v="5"/>
    <x v="7"/>
    <x v="11"/>
    <x v="22"/>
    <n v="22.922700000000003"/>
  </r>
  <r>
    <x v="7"/>
    <x v="0"/>
    <x v="7"/>
    <x v="7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7"/>
    <x v="0"/>
    <x v="7"/>
    <x v="7"/>
    <x v="0"/>
    <x v="2"/>
    <x v="0"/>
    <x v="0"/>
    <x v="2"/>
    <x v="2"/>
    <x v="5"/>
    <x v="5"/>
    <x v="4"/>
    <x v="5"/>
    <x v="5"/>
    <x v="40"/>
    <x v="40"/>
    <n v="395.66460000000001"/>
    <x v="1"/>
    <x v="2"/>
    <x v="5"/>
    <x v="7"/>
    <x v="11"/>
    <x v="22"/>
    <n v="431.27441400000004"/>
  </r>
  <r>
    <x v="7"/>
    <x v="0"/>
    <x v="7"/>
    <x v="7"/>
    <x v="0"/>
    <x v="2"/>
    <x v="0"/>
    <x v="0"/>
    <x v="2"/>
    <x v="2"/>
    <x v="7"/>
    <x v="7"/>
    <x v="2"/>
    <x v="2"/>
    <x v="2"/>
    <x v="40"/>
    <x v="40"/>
    <n v="8.9250000000000007"/>
    <x v="1"/>
    <x v="2"/>
    <x v="5"/>
    <x v="7"/>
    <x v="11"/>
    <x v="22"/>
    <n v="9.728250000000001"/>
  </r>
  <r>
    <x v="7"/>
    <x v="0"/>
    <x v="7"/>
    <x v="7"/>
    <x v="0"/>
    <x v="2"/>
    <x v="0"/>
    <x v="0"/>
    <x v="2"/>
    <x v="2"/>
    <x v="7"/>
    <x v="7"/>
    <x v="2"/>
    <x v="2"/>
    <x v="2"/>
    <x v="38"/>
    <x v="38"/>
    <n v="113.876"/>
    <x v="1"/>
    <x v="0"/>
    <x v="4"/>
    <x v="6"/>
    <x v="10"/>
    <x v="21"/>
    <n v="124.12484000000002"/>
  </r>
  <r>
    <x v="7"/>
    <x v="0"/>
    <x v="7"/>
    <x v="7"/>
    <x v="0"/>
    <x v="2"/>
    <x v="0"/>
    <x v="0"/>
    <x v="2"/>
    <x v="2"/>
    <x v="7"/>
    <x v="7"/>
    <x v="3"/>
    <x v="7"/>
    <x v="7"/>
    <x v="40"/>
    <x v="40"/>
    <n v="174.273"/>
    <x v="1"/>
    <x v="2"/>
    <x v="5"/>
    <x v="7"/>
    <x v="11"/>
    <x v="22"/>
    <n v="189.95757"/>
  </r>
  <r>
    <x v="7"/>
    <x v="0"/>
    <x v="7"/>
    <x v="7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7"/>
    <x v="0"/>
    <x v="7"/>
    <x v="7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7"/>
    <x v="0"/>
    <x v="7"/>
    <x v="7"/>
    <x v="0"/>
    <x v="2"/>
    <x v="0"/>
    <x v="0"/>
    <x v="2"/>
    <x v="2"/>
    <x v="9"/>
    <x v="9"/>
    <x v="2"/>
    <x v="2"/>
    <x v="2"/>
    <x v="40"/>
    <x v="40"/>
    <n v="108.9"/>
    <x v="1"/>
    <x v="2"/>
    <x v="5"/>
    <x v="7"/>
    <x v="11"/>
    <x v="22"/>
    <n v="118.70100000000002"/>
  </r>
  <r>
    <x v="7"/>
    <x v="0"/>
    <x v="7"/>
    <x v="7"/>
    <x v="0"/>
    <x v="2"/>
    <x v="0"/>
    <x v="0"/>
    <x v="2"/>
    <x v="2"/>
    <x v="9"/>
    <x v="9"/>
    <x v="1"/>
    <x v="6"/>
    <x v="6"/>
    <x v="40"/>
    <x v="40"/>
    <n v="5.88"/>
    <x v="1"/>
    <x v="2"/>
    <x v="5"/>
    <x v="7"/>
    <x v="11"/>
    <x v="22"/>
    <n v="6.4092000000000002"/>
  </r>
  <r>
    <x v="7"/>
    <x v="0"/>
    <x v="7"/>
    <x v="7"/>
    <x v="0"/>
    <x v="2"/>
    <x v="0"/>
    <x v="0"/>
    <x v="2"/>
    <x v="2"/>
    <x v="9"/>
    <x v="9"/>
    <x v="3"/>
    <x v="7"/>
    <x v="7"/>
    <x v="40"/>
    <x v="40"/>
    <n v="518.18460000000005"/>
    <x v="1"/>
    <x v="2"/>
    <x v="5"/>
    <x v="7"/>
    <x v="11"/>
    <x v="22"/>
    <n v="564.82121400000005"/>
  </r>
  <r>
    <x v="7"/>
    <x v="0"/>
    <x v="7"/>
    <x v="7"/>
    <x v="0"/>
    <x v="2"/>
    <x v="0"/>
    <x v="0"/>
    <x v="2"/>
    <x v="2"/>
    <x v="9"/>
    <x v="9"/>
    <x v="1"/>
    <x v="8"/>
    <x v="8"/>
    <x v="40"/>
    <x v="40"/>
    <n v="591.84180000000003"/>
    <x v="1"/>
    <x v="2"/>
    <x v="5"/>
    <x v="7"/>
    <x v="11"/>
    <x v="22"/>
    <n v="645.10756200000003"/>
  </r>
  <r>
    <x v="7"/>
    <x v="0"/>
    <x v="7"/>
    <x v="7"/>
    <x v="0"/>
    <x v="2"/>
    <x v="0"/>
    <x v="0"/>
    <x v="2"/>
    <x v="2"/>
    <x v="9"/>
    <x v="9"/>
    <x v="2"/>
    <x v="10"/>
    <x v="10"/>
    <x v="40"/>
    <x v="40"/>
    <n v="150.07859999999999"/>
    <x v="1"/>
    <x v="2"/>
    <x v="5"/>
    <x v="7"/>
    <x v="11"/>
    <x v="22"/>
    <n v="163.58567400000001"/>
  </r>
  <r>
    <x v="7"/>
    <x v="0"/>
    <x v="7"/>
    <x v="7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7"/>
    <x v="0"/>
    <x v="7"/>
    <x v="7"/>
    <x v="0"/>
    <x v="2"/>
    <x v="0"/>
    <x v="0"/>
    <x v="2"/>
    <x v="2"/>
    <x v="9"/>
    <x v="9"/>
    <x v="4"/>
    <x v="5"/>
    <x v="5"/>
    <x v="40"/>
    <x v="40"/>
    <n v="1525.8168000000001"/>
    <x v="1"/>
    <x v="2"/>
    <x v="5"/>
    <x v="7"/>
    <x v="11"/>
    <x v="22"/>
    <n v="1663.1403120000002"/>
  </r>
  <r>
    <x v="7"/>
    <x v="0"/>
    <x v="7"/>
    <x v="7"/>
    <x v="0"/>
    <x v="2"/>
    <x v="0"/>
    <x v="0"/>
    <x v="2"/>
    <x v="2"/>
    <x v="10"/>
    <x v="10"/>
    <x v="2"/>
    <x v="2"/>
    <x v="2"/>
    <x v="41"/>
    <x v="41"/>
    <n v="7.4468085106100004"/>
    <x v="1"/>
    <x v="2"/>
    <x v="5"/>
    <x v="7"/>
    <x v="11"/>
    <x v="22"/>
    <n v="8.1170212765649001"/>
  </r>
  <r>
    <x v="7"/>
    <x v="0"/>
    <x v="7"/>
    <x v="7"/>
    <x v="0"/>
    <x v="2"/>
    <x v="0"/>
    <x v="0"/>
    <x v="2"/>
    <x v="2"/>
    <x v="10"/>
    <x v="10"/>
    <x v="2"/>
    <x v="2"/>
    <x v="2"/>
    <x v="40"/>
    <x v="40"/>
    <n v="197.92662999999999"/>
    <x v="1"/>
    <x v="2"/>
    <x v="5"/>
    <x v="7"/>
    <x v="11"/>
    <x v="22"/>
    <n v="215.74002670000002"/>
  </r>
  <r>
    <x v="7"/>
    <x v="0"/>
    <x v="7"/>
    <x v="7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7"/>
    <x v="0"/>
    <x v="7"/>
    <x v="7"/>
    <x v="0"/>
    <x v="2"/>
    <x v="0"/>
    <x v="0"/>
    <x v="3"/>
    <x v="3"/>
    <x v="12"/>
    <x v="12"/>
    <x v="3"/>
    <x v="7"/>
    <x v="7"/>
    <x v="40"/>
    <x v="40"/>
    <n v="126.30840000000001"/>
    <x v="1"/>
    <x v="2"/>
    <x v="5"/>
    <x v="7"/>
    <x v="11"/>
    <x v="22"/>
    <n v="137.67615600000002"/>
  </r>
  <r>
    <x v="7"/>
    <x v="0"/>
    <x v="7"/>
    <x v="7"/>
    <x v="0"/>
    <x v="2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7"/>
    <x v="0"/>
    <x v="7"/>
    <x v="7"/>
    <x v="0"/>
    <x v="2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7"/>
    <x v="0"/>
    <x v="7"/>
    <x v="7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7"/>
    <x v="0"/>
    <x v="7"/>
    <x v="7"/>
    <x v="0"/>
    <x v="2"/>
    <x v="0"/>
    <x v="0"/>
    <x v="3"/>
    <x v="3"/>
    <x v="12"/>
    <x v="12"/>
    <x v="4"/>
    <x v="5"/>
    <x v="5"/>
    <x v="40"/>
    <x v="40"/>
    <n v="147.489"/>
    <x v="1"/>
    <x v="2"/>
    <x v="5"/>
    <x v="7"/>
    <x v="11"/>
    <x v="22"/>
    <n v="160.76301000000001"/>
  </r>
  <r>
    <x v="7"/>
    <x v="0"/>
    <x v="7"/>
    <x v="7"/>
    <x v="0"/>
    <x v="2"/>
    <x v="0"/>
    <x v="0"/>
    <x v="3"/>
    <x v="3"/>
    <x v="13"/>
    <x v="13"/>
    <x v="2"/>
    <x v="2"/>
    <x v="2"/>
    <x v="40"/>
    <x v="40"/>
    <n v="41.337499999999999"/>
    <x v="1"/>
    <x v="2"/>
    <x v="5"/>
    <x v="7"/>
    <x v="11"/>
    <x v="22"/>
    <n v="45.057875000000003"/>
  </r>
  <r>
    <x v="7"/>
    <x v="0"/>
    <x v="7"/>
    <x v="7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7"/>
    <x v="0"/>
    <x v="7"/>
    <x v="7"/>
    <x v="0"/>
    <x v="2"/>
    <x v="0"/>
    <x v="0"/>
    <x v="3"/>
    <x v="3"/>
    <x v="19"/>
    <x v="19"/>
    <x v="3"/>
    <x v="7"/>
    <x v="7"/>
    <x v="40"/>
    <x v="40"/>
    <n v="561.11580000000004"/>
    <x v="1"/>
    <x v="2"/>
    <x v="5"/>
    <x v="7"/>
    <x v="11"/>
    <x v="22"/>
    <n v="611.61622200000011"/>
  </r>
  <r>
    <x v="7"/>
    <x v="0"/>
    <x v="7"/>
    <x v="7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7"/>
    <x v="0"/>
    <x v="7"/>
    <x v="7"/>
    <x v="0"/>
    <x v="2"/>
    <x v="0"/>
    <x v="0"/>
    <x v="3"/>
    <x v="3"/>
    <x v="19"/>
    <x v="19"/>
    <x v="1"/>
    <x v="8"/>
    <x v="8"/>
    <x v="40"/>
    <x v="40"/>
    <n v="459.62052"/>
    <x v="1"/>
    <x v="2"/>
    <x v="5"/>
    <x v="7"/>
    <x v="11"/>
    <x v="22"/>
    <n v="500.98636680000004"/>
  </r>
  <r>
    <x v="7"/>
    <x v="0"/>
    <x v="7"/>
    <x v="7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7"/>
    <x v="0"/>
    <x v="7"/>
    <x v="7"/>
    <x v="0"/>
    <x v="2"/>
    <x v="0"/>
    <x v="0"/>
    <x v="3"/>
    <x v="3"/>
    <x v="19"/>
    <x v="19"/>
    <x v="2"/>
    <x v="10"/>
    <x v="10"/>
    <x v="40"/>
    <x v="40"/>
    <n v="63.902999999999999"/>
    <x v="1"/>
    <x v="2"/>
    <x v="5"/>
    <x v="7"/>
    <x v="11"/>
    <x v="22"/>
    <n v="69.654269999999997"/>
  </r>
  <r>
    <x v="7"/>
    <x v="0"/>
    <x v="7"/>
    <x v="7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7"/>
    <x v="0"/>
    <x v="7"/>
    <x v="7"/>
    <x v="0"/>
    <x v="2"/>
    <x v="0"/>
    <x v="0"/>
    <x v="3"/>
    <x v="3"/>
    <x v="19"/>
    <x v="19"/>
    <x v="4"/>
    <x v="5"/>
    <x v="5"/>
    <x v="40"/>
    <x v="40"/>
    <n v="433.65660000000003"/>
    <x v="1"/>
    <x v="2"/>
    <x v="5"/>
    <x v="7"/>
    <x v="11"/>
    <x v="22"/>
    <n v="472.68569400000007"/>
  </r>
  <r>
    <x v="7"/>
    <x v="0"/>
    <x v="7"/>
    <x v="7"/>
    <x v="0"/>
    <x v="2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7"/>
    <x v="0"/>
    <x v="7"/>
    <x v="7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7"/>
    <x v="0"/>
    <x v="7"/>
    <x v="7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7"/>
    <x v="0"/>
    <x v="7"/>
    <x v="7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7"/>
    <x v="0"/>
    <x v="7"/>
    <x v="7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7"/>
    <x v="0"/>
    <x v="7"/>
    <x v="7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7"/>
    <x v="0"/>
    <x v="7"/>
    <x v="7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7"/>
    <x v="0"/>
    <x v="7"/>
    <x v="7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7"/>
    <x v="0"/>
    <x v="7"/>
    <x v="7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7"/>
    <x v="0"/>
    <x v="7"/>
    <x v="7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7"/>
    <x v="0"/>
    <x v="7"/>
    <x v="7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7"/>
    <x v="0"/>
    <x v="7"/>
    <x v="7"/>
    <x v="0"/>
    <x v="2"/>
    <x v="0"/>
    <x v="0"/>
    <x v="2"/>
    <x v="2"/>
    <x v="17"/>
    <x v="17"/>
    <x v="3"/>
    <x v="7"/>
    <x v="7"/>
    <x v="7"/>
    <x v="7"/>
    <n v="199.17935539547801"/>
    <x v="0"/>
    <x v="0"/>
    <x v="1"/>
    <x v="4"/>
    <x v="5"/>
    <x v="7"/>
    <n v="217.10549738107105"/>
  </r>
  <r>
    <x v="7"/>
    <x v="0"/>
    <x v="7"/>
    <x v="7"/>
    <x v="0"/>
    <x v="2"/>
    <x v="0"/>
    <x v="0"/>
    <x v="2"/>
    <x v="2"/>
    <x v="17"/>
    <x v="17"/>
    <x v="3"/>
    <x v="7"/>
    <x v="7"/>
    <x v="40"/>
    <x v="40"/>
    <n v="359.37720000000002"/>
    <x v="1"/>
    <x v="2"/>
    <x v="5"/>
    <x v="7"/>
    <x v="11"/>
    <x v="22"/>
    <n v="391.72114800000003"/>
  </r>
  <r>
    <x v="7"/>
    <x v="0"/>
    <x v="7"/>
    <x v="7"/>
    <x v="0"/>
    <x v="2"/>
    <x v="0"/>
    <x v="0"/>
    <x v="2"/>
    <x v="2"/>
    <x v="17"/>
    <x v="17"/>
    <x v="1"/>
    <x v="8"/>
    <x v="8"/>
    <x v="7"/>
    <x v="7"/>
    <n v="69.730860625350701"/>
    <x v="0"/>
    <x v="0"/>
    <x v="1"/>
    <x v="4"/>
    <x v="5"/>
    <x v="7"/>
    <n v="76.006638081632275"/>
  </r>
  <r>
    <x v="7"/>
    <x v="0"/>
    <x v="7"/>
    <x v="7"/>
    <x v="0"/>
    <x v="2"/>
    <x v="0"/>
    <x v="0"/>
    <x v="2"/>
    <x v="2"/>
    <x v="17"/>
    <x v="17"/>
    <x v="1"/>
    <x v="8"/>
    <x v="8"/>
    <x v="40"/>
    <x v="40"/>
    <n v="107.25360000000001"/>
    <x v="1"/>
    <x v="2"/>
    <x v="5"/>
    <x v="7"/>
    <x v="11"/>
    <x v="22"/>
    <n v="116.90642400000002"/>
  </r>
  <r>
    <x v="7"/>
    <x v="0"/>
    <x v="7"/>
    <x v="7"/>
    <x v="0"/>
    <x v="2"/>
    <x v="0"/>
    <x v="0"/>
    <x v="2"/>
    <x v="2"/>
    <x v="17"/>
    <x v="17"/>
    <x v="0"/>
    <x v="9"/>
    <x v="9"/>
    <x v="7"/>
    <x v="7"/>
    <n v="72.127817071281001"/>
    <x v="0"/>
    <x v="0"/>
    <x v="1"/>
    <x v="4"/>
    <x v="5"/>
    <x v="7"/>
    <n v="78.619320607696295"/>
  </r>
  <r>
    <x v="7"/>
    <x v="0"/>
    <x v="7"/>
    <x v="7"/>
    <x v="0"/>
    <x v="2"/>
    <x v="0"/>
    <x v="0"/>
    <x v="2"/>
    <x v="2"/>
    <x v="17"/>
    <x v="17"/>
    <x v="2"/>
    <x v="10"/>
    <x v="10"/>
    <x v="7"/>
    <x v="7"/>
    <n v="48.128245643338303"/>
    <x v="0"/>
    <x v="0"/>
    <x v="1"/>
    <x v="4"/>
    <x v="5"/>
    <x v="7"/>
    <n v="52.459787751238757"/>
  </r>
  <r>
    <x v="7"/>
    <x v="0"/>
    <x v="7"/>
    <x v="7"/>
    <x v="0"/>
    <x v="2"/>
    <x v="0"/>
    <x v="0"/>
    <x v="2"/>
    <x v="2"/>
    <x v="17"/>
    <x v="17"/>
    <x v="2"/>
    <x v="10"/>
    <x v="10"/>
    <x v="40"/>
    <x v="40"/>
    <n v="53.700600000000001"/>
    <x v="1"/>
    <x v="2"/>
    <x v="5"/>
    <x v="7"/>
    <x v="11"/>
    <x v="22"/>
    <n v="58.533654000000006"/>
  </r>
  <r>
    <x v="7"/>
    <x v="0"/>
    <x v="7"/>
    <x v="7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7"/>
    <x v="0"/>
    <x v="7"/>
    <x v="7"/>
    <x v="0"/>
    <x v="2"/>
    <x v="0"/>
    <x v="0"/>
    <x v="2"/>
    <x v="2"/>
    <x v="17"/>
    <x v="17"/>
    <x v="4"/>
    <x v="5"/>
    <x v="5"/>
    <x v="40"/>
    <x v="40"/>
    <n v="899.29139999999995"/>
    <x v="1"/>
    <x v="2"/>
    <x v="5"/>
    <x v="7"/>
    <x v="11"/>
    <x v="22"/>
    <n v="980.22762599999999"/>
  </r>
  <r>
    <x v="7"/>
    <x v="0"/>
    <x v="7"/>
    <x v="7"/>
    <x v="0"/>
    <x v="3"/>
    <x v="0"/>
    <x v="0"/>
    <x v="0"/>
    <x v="0"/>
    <x v="0"/>
    <x v="0"/>
    <x v="3"/>
    <x v="3"/>
    <x v="3"/>
    <x v="10"/>
    <x v="10"/>
    <n v="1.80657798165029"/>
    <x v="0"/>
    <x v="0"/>
    <x v="1"/>
    <x v="4"/>
    <x v="5"/>
    <x v="10"/>
    <n v="1.9691699999988164"/>
  </r>
  <r>
    <x v="7"/>
    <x v="0"/>
    <x v="7"/>
    <x v="7"/>
    <x v="0"/>
    <x v="3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7"/>
    <x v="0"/>
    <x v="7"/>
    <x v="7"/>
    <x v="0"/>
    <x v="3"/>
    <x v="0"/>
    <x v="0"/>
    <x v="0"/>
    <x v="0"/>
    <x v="0"/>
    <x v="0"/>
    <x v="0"/>
    <x v="4"/>
    <x v="4"/>
    <x v="10"/>
    <x v="10"/>
    <n v="97.066972477006004"/>
    <x v="0"/>
    <x v="0"/>
    <x v="1"/>
    <x v="4"/>
    <x v="5"/>
    <x v="10"/>
    <n v="105.80299999993655"/>
  </r>
  <r>
    <x v="7"/>
    <x v="0"/>
    <x v="7"/>
    <x v="7"/>
    <x v="0"/>
    <x v="3"/>
    <x v="0"/>
    <x v="0"/>
    <x v="0"/>
    <x v="0"/>
    <x v="0"/>
    <x v="0"/>
    <x v="0"/>
    <x v="4"/>
    <x v="4"/>
    <x v="11"/>
    <x v="11"/>
    <n v="0.55728"/>
    <x v="0"/>
    <x v="0"/>
    <x v="3"/>
    <x v="5"/>
    <x v="7"/>
    <x v="11"/>
    <n v="0.60743520000000006"/>
  </r>
  <r>
    <x v="7"/>
    <x v="0"/>
    <x v="7"/>
    <x v="7"/>
    <x v="0"/>
    <x v="3"/>
    <x v="0"/>
    <x v="0"/>
    <x v="0"/>
    <x v="0"/>
    <x v="0"/>
    <x v="0"/>
    <x v="0"/>
    <x v="4"/>
    <x v="4"/>
    <x v="26"/>
    <x v="26"/>
    <n v="932.89005504531201"/>
    <x v="0"/>
    <x v="0"/>
    <x v="1"/>
    <x v="3"/>
    <x v="3"/>
    <x v="15"/>
    <n v="1016.8501599993901"/>
  </r>
  <r>
    <x v="7"/>
    <x v="0"/>
    <x v="7"/>
    <x v="7"/>
    <x v="0"/>
    <x v="3"/>
    <x v="0"/>
    <x v="0"/>
    <x v="0"/>
    <x v="0"/>
    <x v="0"/>
    <x v="0"/>
    <x v="0"/>
    <x v="0"/>
    <x v="0"/>
    <x v="9"/>
    <x v="9"/>
    <n v="9.1651376146733998"/>
    <x v="0"/>
    <x v="0"/>
    <x v="1"/>
    <x v="4"/>
    <x v="5"/>
    <x v="9"/>
    <n v="9.9899999999940068"/>
  </r>
  <r>
    <x v="7"/>
    <x v="0"/>
    <x v="7"/>
    <x v="7"/>
    <x v="0"/>
    <x v="3"/>
    <x v="0"/>
    <x v="0"/>
    <x v="0"/>
    <x v="0"/>
    <x v="0"/>
    <x v="0"/>
    <x v="0"/>
    <x v="0"/>
    <x v="0"/>
    <x v="78"/>
    <x v="78"/>
    <n v="6.5767889908217398"/>
    <x v="0"/>
    <x v="0"/>
    <x v="1"/>
    <x v="4"/>
    <x v="5"/>
    <x v="9"/>
    <n v="7.1686999999956971"/>
  </r>
  <r>
    <x v="7"/>
    <x v="0"/>
    <x v="7"/>
    <x v="7"/>
    <x v="0"/>
    <x v="3"/>
    <x v="0"/>
    <x v="0"/>
    <x v="0"/>
    <x v="0"/>
    <x v="0"/>
    <x v="0"/>
    <x v="0"/>
    <x v="0"/>
    <x v="0"/>
    <x v="26"/>
    <x v="26"/>
    <n v="78.168100917384294"/>
    <x v="0"/>
    <x v="0"/>
    <x v="1"/>
    <x v="3"/>
    <x v="3"/>
    <x v="15"/>
    <n v="85.203229999948888"/>
  </r>
  <r>
    <x v="7"/>
    <x v="0"/>
    <x v="7"/>
    <x v="7"/>
    <x v="0"/>
    <x v="3"/>
    <x v="0"/>
    <x v="0"/>
    <x v="0"/>
    <x v="0"/>
    <x v="0"/>
    <x v="0"/>
    <x v="1"/>
    <x v="1"/>
    <x v="1"/>
    <x v="9"/>
    <x v="9"/>
    <n v="56.880733944920003"/>
    <x v="0"/>
    <x v="0"/>
    <x v="1"/>
    <x v="4"/>
    <x v="5"/>
    <x v="9"/>
    <n v="61.99999999996281"/>
  </r>
  <r>
    <x v="7"/>
    <x v="0"/>
    <x v="7"/>
    <x v="7"/>
    <x v="0"/>
    <x v="3"/>
    <x v="0"/>
    <x v="0"/>
    <x v="0"/>
    <x v="0"/>
    <x v="0"/>
    <x v="0"/>
    <x v="1"/>
    <x v="1"/>
    <x v="1"/>
    <x v="78"/>
    <x v="78"/>
    <n v="4.1131192660525802"/>
    <x v="0"/>
    <x v="0"/>
    <x v="1"/>
    <x v="4"/>
    <x v="5"/>
    <x v="9"/>
    <n v="4.4832999999973131"/>
  </r>
  <r>
    <x v="7"/>
    <x v="0"/>
    <x v="7"/>
    <x v="7"/>
    <x v="0"/>
    <x v="3"/>
    <x v="0"/>
    <x v="0"/>
    <x v="0"/>
    <x v="0"/>
    <x v="0"/>
    <x v="0"/>
    <x v="1"/>
    <x v="1"/>
    <x v="1"/>
    <x v="26"/>
    <x v="26"/>
    <n v="197.333816513643"/>
    <x v="0"/>
    <x v="0"/>
    <x v="1"/>
    <x v="3"/>
    <x v="3"/>
    <x v="15"/>
    <n v="215.09385999987089"/>
  </r>
  <r>
    <x v="7"/>
    <x v="0"/>
    <x v="7"/>
    <x v="7"/>
    <x v="0"/>
    <x v="3"/>
    <x v="0"/>
    <x v="0"/>
    <x v="0"/>
    <x v="0"/>
    <x v="0"/>
    <x v="0"/>
    <x v="2"/>
    <x v="2"/>
    <x v="2"/>
    <x v="10"/>
    <x v="10"/>
    <n v="18.5816513761356"/>
    <x v="0"/>
    <x v="0"/>
    <x v="1"/>
    <x v="4"/>
    <x v="5"/>
    <x v="10"/>
    <n v="20.253999999987805"/>
  </r>
  <r>
    <x v="7"/>
    <x v="0"/>
    <x v="7"/>
    <x v="7"/>
    <x v="0"/>
    <x v="3"/>
    <x v="0"/>
    <x v="0"/>
    <x v="0"/>
    <x v="0"/>
    <x v="0"/>
    <x v="0"/>
    <x v="2"/>
    <x v="2"/>
    <x v="2"/>
    <x v="11"/>
    <x v="11"/>
    <n v="5"/>
    <x v="0"/>
    <x v="0"/>
    <x v="3"/>
    <x v="5"/>
    <x v="7"/>
    <x v="11"/>
    <n v="5.45"/>
  </r>
  <r>
    <x v="7"/>
    <x v="0"/>
    <x v="7"/>
    <x v="7"/>
    <x v="0"/>
    <x v="3"/>
    <x v="0"/>
    <x v="0"/>
    <x v="0"/>
    <x v="0"/>
    <x v="0"/>
    <x v="0"/>
    <x v="2"/>
    <x v="2"/>
    <x v="2"/>
    <x v="26"/>
    <x v="26"/>
    <n v="39.145541284380201"/>
    <x v="0"/>
    <x v="0"/>
    <x v="1"/>
    <x v="3"/>
    <x v="3"/>
    <x v="15"/>
    <n v="42.668639999974424"/>
  </r>
  <r>
    <x v="7"/>
    <x v="0"/>
    <x v="7"/>
    <x v="7"/>
    <x v="0"/>
    <x v="3"/>
    <x v="0"/>
    <x v="0"/>
    <x v="0"/>
    <x v="0"/>
    <x v="0"/>
    <x v="0"/>
    <x v="1"/>
    <x v="6"/>
    <x v="6"/>
    <x v="10"/>
    <x v="10"/>
    <n v="4.8383761467860902"/>
    <x v="0"/>
    <x v="0"/>
    <x v="1"/>
    <x v="4"/>
    <x v="5"/>
    <x v="10"/>
    <n v="5.2738299999968383"/>
  </r>
  <r>
    <x v="7"/>
    <x v="0"/>
    <x v="7"/>
    <x v="7"/>
    <x v="0"/>
    <x v="3"/>
    <x v="0"/>
    <x v="0"/>
    <x v="0"/>
    <x v="0"/>
    <x v="0"/>
    <x v="0"/>
    <x v="1"/>
    <x v="6"/>
    <x v="6"/>
    <x v="11"/>
    <x v="11"/>
    <n v="1.0762499999999999"/>
    <x v="0"/>
    <x v="0"/>
    <x v="3"/>
    <x v="5"/>
    <x v="7"/>
    <x v="11"/>
    <n v="1.1731125"/>
  </r>
  <r>
    <x v="7"/>
    <x v="0"/>
    <x v="7"/>
    <x v="7"/>
    <x v="0"/>
    <x v="3"/>
    <x v="0"/>
    <x v="0"/>
    <x v="0"/>
    <x v="0"/>
    <x v="0"/>
    <x v="0"/>
    <x v="1"/>
    <x v="6"/>
    <x v="6"/>
    <x v="26"/>
    <x v="26"/>
    <n v="838.47542201784597"/>
    <x v="0"/>
    <x v="0"/>
    <x v="1"/>
    <x v="3"/>
    <x v="3"/>
    <x v="15"/>
    <n v="913.93820999945217"/>
  </r>
  <r>
    <x v="7"/>
    <x v="0"/>
    <x v="7"/>
    <x v="7"/>
    <x v="0"/>
    <x v="3"/>
    <x v="0"/>
    <x v="0"/>
    <x v="0"/>
    <x v="0"/>
    <x v="0"/>
    <x v="0"/>
    <x v="1"/>
    <x v="6"/>
    <x v="6"/>
    <x v="0"/>
    <x v="0"/>
    <n v="2.9772241992799202"/>
    <x v="0"/>
    <x v="0"/>
    <x v="0"/>
    <x v="0"/>
    <x v="0"/>
    <x v="0"/>
    <n v="3.2451743772151134"/>
  </r>
  <r>
    <x v="7"/>
    <x v="0"/>
    <x v="7"/>
    <x v="7"/>
    <x v="0"/>
    <x v="3"/>
    <x v="0"/>
    <x v="0"/>
    <x v="0"/>
    <x v="0"/>
    <x v="0"/>
    <x v="0"/>
    <x v="3"/>
    <x v="7"/>
    <x v="7"/>
    <x v="9"/>
    <x v="9"/>
    <n v="33.944954128420001"/>
    <x v="0"/>
    <x v="0"/>
    <x v="1"/>
    <x v="4"/>
    <x v="5"/>
    <x v="9"/>
    <n v="36.999999999977803"/>
  </r>
  <r>
    <x v="7"/>
    <x v="0"/>
    <x v="7"/>
    <x v="7"/>
    <x v="0"/>
    <x v="3"/>
    <x v="0"/>
    <x v="0"/>
    <x v="0"/>
    <x v="0"/>
    <x v="0"/>
    <x v="0"/>
    <x v="1"/>
    <x v="8"/>
    <x v="8"/>
    <x v="9"/>
    <x v="9"/>
    <n v="286.95779816496503"/>
    <x v="0"/>
    <x v="0"/>
    <x v="1"/>
    <x v="4"/>
    <x v="5"/>
    <x v="9"/>
    <n v="312.7839999998119"/>
  </r>
  <r>
    <x v="7"/>
    <x v="0"/>
    <x v="7"/>
    <x v="7"/>
    <x v="0"/>
    <x v="3"/>
    <x v="0"/>
    <x v="0"/>
    <x v="0"/>
    <x v="0"/>
    <x v="0"/>
    <x v="0"/>
    <x v="0"/>
    <x v="9"/>
    <x v="9"/>
    <x v="9"/>
    <x v="9"/>
    <n v="468.47339449513203"/>
    <x v="0"/>
    <x v="0"/>
    <x v="1"/>
    <x v="4"/>
    <x v="5"/>
    <x v="9"/>
    <n v="510.63599999969392"/>
  </r>
  <r>
    <x v="7"/>
    <x v="0"/>
    <x v="7"/>
    <x v="7"/>
    <x v="0"/>
    <x v="3"/>
    <x v="0"/>
    <x v="0"/>
    <x v="0"/>
    <x v="0"/>
    <x v="0"/>
    <x v="0"/>
    <x v="2"/>
    <x v="10"/>
    <x v="10"/>
    <x v="9"/>
    <x v="9"/>
    <n v="196.02844036685499"/>
    <x v="0"/>
    <x v="0"/>
    <x v="1"/>
    <x v="4"/>
    <x v="5"/>
    <x v="9"/>
    <n v="213.67099999987195"/>
  </r>
  <r>
    <x v="7"/>
    <x v="0"/>
    <x v="7"/>
    <x v="7"/>
    <x v="0"/>
    <x v="3"/>
    <x v="0"/>
    <x v="0"/>
    <x v="0"/>
    <x v="0"/>
    <x v="0"/>
    <x v="0"/>
    <x v="4"/>
    <x v="5"/>
    <x v="5"/>
    <x v="9"/>
    <x v="9"/>
    <n v="950.88073394438402"/>
    <x v="0"/>
    <x v="0"/>
    <x v="1"/>
    <x v="4"/>
    <x v="5"/>
    <x v="9"/>
    <n v="1036.4599999993786"/>
  </r>
  <r>
    <x v="7"/>
    <x v="0"/>
    <x v="7"/>
    <x v="7"/>
    <x v="0"/>
    <x v="3"/>
    <x v="0"/>
    <x v="0"/>
    <x v="0"/>
    <x v="0"/>
    <x v="0"/>
    <x v="0"/>
    <x v="4"/>
    <x v="5"/>
    <x v="5"/>
    <x v="26"/>
    <x v="26"/>
    <n v="35.155963302731202"/>
    <x v="0"/>
    <x v="0"/>
    <x v="1"/>
    <x v="3"/>
    <x v="3"/>
    <x v="15"/>
    <n v="38.319999999977014"/>
  </r>
  <r>
    <x v="7"/>
    <x v="0"/>
    <x v="7"/>
    <x v="7"/>
    <x v="0"/>
    <x v="5"/>
    <x v="0"/>
    <x v="0"/>
    <x v="0"/>
    <x v="0"/>
    <x v="0"/>
    <x v="0"/>
    <x v="0"/>
    <x v="4"/>
    <x v="4"/>
    <x v="11"/>
    <x v="11"/>
    <n v="2.4780000000000002"/>
    <x v="0"/>
    <x v="0"/>
    <x v="3"/>
    <x v="5"/>
    <x v="7"/>
    <x v="11"/>
    <n v="2.7010200000000002"/>
  </r>
  <r>
    <x v="7"/>
    <x v="0"/>
    <x v="7"/>
    <x v="7"/>
    <x v="0"/>
    <x v="5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7"/>
    <x v="0"/>
    <x v="7"/>
    <x v="7"/>
    <x v="0"/>
    <x v="5"/>
    <x v="0"/>
    <x v="0"/>
    <x v="0"/>
    <x v="0"/>
    <x v="0"/>
    <x v="0"/>
    <x v="0"/>
    <x v="4"/>
    <x v="4"/>
    <x v="16"/>
    <x v="16"/>
    <n v="36.200000000000003"/>
    <x v="0"/>
    <x v="0"/>
    <x v="3"/>
    <x v="5"/>
    <x v="9"/>
    <x v="16"/>
    <n v="39.458000000000006"/>
  </r>
  <r>
    <x v="7"/>
    <x v="0"/>
    <x v="7"/>
    <x v="7"/>
    <x v="0"/>
    <x v="5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7"/>
    <x v="0"/>
    <x v="7"/>
    <x v="7"/>
    <x v="0"/>
    <x v="5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7"/>
    <x v="0"/>
    <x v="7"/>
    <x v="7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7"/>
    <x v="0"/>
    <x v="7"/>
    <x v="7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7"/>
    <x v="0"/>
    <x v="7"/>
    <x v="7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7"/>
    <x v="0"/>
    <x v="7"/>
    <x v="7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7"/>
    <x v="0"/>
    <x v="7"/>
    <x v="7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7"/>
    <x v="0"/>
    <x v="7"/>
    <x v="7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7"/>
    <x v="0"/>
    <x v="7"/>
    <x v="7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7"/>
    <x v="0"/>
    <x v="7"/>
    <x v="7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7"/>
    <x v="0"/>
    <x v="7"/>
    <x v="7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7"/>
    <x v="0"/>
    <x v="7"/>
    <x v="7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7"/>
    <x v="0"/>
    <x v="7"/>
    <x v="7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7"/>
    <x v="0"/>
    <x v="7"/>
    <x v="7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7"/>
    <x v="0"/>
    <x v="7"/>
    <x v="7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7"/>
    <x v="0"/>
    <x v="7"/>
    <x v="7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7"/>
    <x v="0"/>
    <x v="7"/>
    <x v="7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7"/>
    <x v="0"/>
    <x v="7"/>
    <x v="7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7"/>
    <x v="0"/>
    <x v="7"/>
    <x v="7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7"/>
    <x v="0"/>
    <x v="7"/>
    <x v="7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7"/>
    <x v="0"/>
    <x v="7"/>
    <x v="7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7"/>
    <x v="0"/>
    <x v="7"/>
    <x v="7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7"/>
    <x v="0"/>
    <x v="7"/>
    <x v="7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7"/>
    <x v="0"/>
    <x v="7"/>
    <x v="7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7"/>
    <x v="0"/>
    <x v="7"/>
    <x v="7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7"/>
    <x v="0"/>
    <x v="7"/>
    <x v="7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7"/>
    <x v="0"/>
    <x v="7"/>
    <x v="7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7"/>
    <x v="0"/>
    <x v="7"/>
    <x v="7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7"/>
    <x v="0"/>
    <x v="7"/>
    <x v="7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7"/>
    <x v="0"/>
    <x v="7"/>
    <x v="7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7"/>
    <x v="0"/>
    <x v="7"/>
    <x v="7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7"/>
    <x v="0"/>
    <x v="7"/>
    <x v="7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7"/>
    <x v="0"/>
    <x v="7"/>
    <x v="7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7"/>
    <x v="0"/>
    <x v="7"/>
    <x v="7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7"/>
    <x v="0"/>
    <x v="7"/>
    <x v="7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7"/>
    <x v="0"/>
    <x v="7"/>
    <x v="7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7"/>
    <x v="0"/>
    <x v="7"/>
    <x v="7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7"/>
    <x v="0"/>
    <x v="7"/>
    <x v="7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7"/>
    <x v="0"/>
    <x v="7"/>
    <x v="7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7"/>
    <x v="0"/>
    <x v="7"/>
    <x v="7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7"/>
    <x v="0"/>
    <x v="7"/>
    <x v="7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7"/>
    <x v="0"/>
    <x v="7"/>
    <x v="7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7"/>
    <x v="0"/>
    <x v="7"/>
    <x v="7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7"/>
    <x v="0"/>
    <x v="7"/>
    <x v="7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7"/>
    <x v="0"/>
    <x v="7"/>
    <x v="7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7"/>
    <x v="0"/>
    <x v="7"/>
    <x v="7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7"/>
    <x v="0"/>
    <x v="7"/>
    <x v="7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7"/>
    <x v="0"/>
    <x v="7"/>
    <x v="7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7"/>
    <x v="0"/>
    <x v="7"/>
    <x v="7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7"/>
    <x v="0"/>
    <x v="7"/>
    <x v="7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7"/>
    <x v="0"/>
    <x v="7"/>
    <x v="7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7"/>
    <x v="0"/>
    <x v="7"/>
    <x v="7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7"/>
    <x v="0"/>
    <x v="7"/>
    <x v="7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7"/>
    <x v="0"/>
    <x v="7"/>
    <x v="7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7"/>
    <x v="0"/>
    <x v="7"/>
    <x v="7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7"/>
    <x v="0"/>
    <x v="7"/>
    <x v="7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7"/>
    <x v="0"/>
    <x v="7"/>
    <x v="7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7"/>
    <x v="0"/>
    <x v="7"/>
    <x v="7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7"/>
    <x v="0"/>
    <x v="7"/>
    <x v="7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7"/>
    <x v="0"/>
    <x v="7"/>
    <x v="7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7"/>
    <x v="0"/>
    <x v="7"/>
    <x v="7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7"/>
    <x v="0"/>
    <x v="7"/>
    <x v="7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7"/>
    <x v="0"/>
    <x v="7"/>
    <x v="7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7"/>
    <x v="0"/>
    <x v="7"/>
    <x v="7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7"/>
    <x v="0"/>
    <x v="7"/>
    <x v="7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7"/>
    <x v="0"/>
    <x v="7"/>
    <x v="7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7"/>
    <x v="0"/>
    <x v="7"/>
    <x v="7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7"/>
    <x v="0"/>
    <x v="7"/>
    <x v="7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7"/>
    <x v="0"/>
    <x v="7"/>
    <x v="7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7"/>
    <x v="0"/>
    <x v="7"/>
    <x v="7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7"/>
    <x v="0"/>
    <x v="7"/>
    <x v="7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7"/>
    <x v="0"/>
    <x v="7"/>
    <x v="7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7"/>
    <x v="0"/>
    <x v="7"/>
    <x v="7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7"/>
    <x v="0"/>
    <x v="7"/>
    <x v="7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7"/>
    <x v="0"/>
    <x v="7"/>
    <x v="7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7"/>
    <x v="0"/>
    <x v="7"/>
    <x v="7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7"/>
    <x v="0"/>
    <x v="7"/>
    <x v="7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7"/>
    <x v="0"/>
    <x v="7"/>
    <x v="7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7"/>
    <x v="0"/>
    <x v="7"/>
    <x v="7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7"/>
    <x v="0"/>
    <x v="7"/>
    <x v="7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7"/>
    <x v="0"/>
    <x v="7"/>
    <x v="7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7"/>
    <x v="0"/>
    <x v="7"/>
    <x v="7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7"/>
    <x v="0"/>
    <x v="7"/>
    <x v="7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7"/>
    <x v="0"/>
    <x v="7"/>
    <x v="7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7"/>
    <x v="0"/>
    <x v="7"/>
    <x v="7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7"/>
    <x v="0"/>
    <x v="7"/>
    <x v="7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7"/>
    <x v="0"/>
    <x v="7"/>
    <x v="7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7"/>
    <x v="0"/>
    <x v="7"/>
    <x v="7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7"/>
    <x v="0"/>
    <x v="7"/>
    <x v="7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7"/>
    <x v="0"/>
    <x v="7"/>
    <x v="7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7"/>
    <x v="0"/>
    <x v="7"/>
    <x v="7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7"/>
    <x v="0"/>
    <x v="7"/>
    <x v="7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7"/>
    <x v="0"/>
    <x v="7"/>
    <x v="7"/>
    <x v="0"/>
    <x v="4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7"/>
    <x v="0"/>
    <x v="7"/>
    <x v="7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7"/>
    <x v="0"/>
    <x v="7"/>
    <x v="7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7"/>
    <x v="0"/>
    <x v="7"/>
    <x v="7"/>
    <x v="0"/>
    <x v="4"/>
    <x v="0"/>
    <x v="0"/>
    <x v="0"/>
    <x v="0"/>
    <x v="0"/>
    <x v="0"/>
    <x v="4"/>
    <x v="5"/>
    <x v="5"/>
    <x v="9"/>
    <x v="9"/>
    <n v="879.23899898489105"/>
    <x v="0"/>
    <x v="0"/>
    <x v="1"/>
    <x v="4"/>
    <x v="5"/>
    <x v="9"/>
    <n v="958.37050889353134"/>
  </r>
  <r>
    <x v="7"/>
    <x v="0"/>
    <x v="7"/>
    <x v="7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7"/>
    <x v="0"/>
    <x v="7"/>
    <x v="7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7"/>
    <x v="0"/>
    <x v="7"/>
    <x v="7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7"/>
    <x v="0"/>
    <x v="7"/>
    <x v="7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7"/>
    <x v="0"/>
    <x v="7"/>
    <x v="7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7"/>
    <x v="0"/>
    <x v="7"/>
    <x v="7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7"/>
    <x v="0"/>
    <x v="7"/>
    <x v="7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7"/>
    <x v="0"/>
    <x v="7"/>
    <x v="7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7"/>
    <x v="0"/>
    <x v="7"/>
    <x v="7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7"/>
    <x v="0"/>
    <x v="7"/>
    <x v="7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7"/>
    <x v="0"/>
    <x v="7"/>
    <x v="7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7"/>
    <x v="0"/>
    <x v="7"/>
    <x v="7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7"/>
    <x v="0"/>
    <x v="7"/>
    <x v="7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7"/>
    <x v="0"/>
    <x v="7"/>
    <x v="7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7"/>
    <x v="0"/>
    <x v="7"/>
    <x v="7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7"/>
    <x v="0"/>
    <x v="7"/>
    <x v="7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7"/>
    <x v="0"/>
    <x v="7"/>
    <x v="7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7"/>
    <x v="0"/>
    <x v="7"/>
    <x v="7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7"/>
    <x v="0"/>
    <x v="7"/>
    <x v="7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7"/>
    <x v="0"/>
    <x v="7"/>
    <x v="7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7"/>
    <x v="0"/>
    <x v="7"/>
    <x v="7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7"/>
    <x v="0"/>
    <x v="7"/>
    <x v="7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7"/>
    <x v="0"/>
    <x v="7"/>
    <x v="7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7"/>
    <x v="0"/>
    <x v="7"/>
    <x v="7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7"/>
    <x v="0"/>
    <x v="7"/>
    <x v="7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7"/>
    <x v="0"/>
    <x v="7"/>
    <x v="7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7"/>
    <x v="0"/>
    <x v="7"/>
    <x v="7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7"/>
    <x v="0"/>
    <x v="7"/>
    <x v="7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7"/>
    <x v="0"/>
    <x v="7"/>
    <x v="7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7"/>
    <x v="0"/>
    <x v="7"/>
    <x v="7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7"/>
    <x v="0"/>
    <x v="7"/>
    <x v="7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7"/>
    <x v="0"/>
    <x v="7"/>
    <x v="7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7"/>
    <x v="0"/>
    <x v="7"/>
    <x v="7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7"/>
    <x v="0"/>
    <x v="7"/>
    <x v="7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7"/>
    <x v="0"/>
    <x v="7"/>
    <x v="7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7"/>
    <x v="0"/>
    <x v="7"/>
    <x v="7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7"/>
    <x v="0"/>
    <x v="7"/>
    <x v="7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7"/>
    <x v="0"/>
    <x v="7"/>
    <x v="7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7"/>
    <x v="0"/>
    <x v="7"/>
    <x v="7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7"/>
    <x v="0"/>
    <x v="7"/>
    <x v="7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7"/>
    <x v="0"/>
    <x v="7"/>
    <x v="7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7"/>
    <x v="0"/>
    <x v="7"/>
    <x v="7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7"/>
    <x v="0"/>
    <x v="7"/>
    <x v="7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7"/>
    <x v="0"/>
    <x v="7"/>
    <x v="7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7"/>
    <x v="0"/>
    <x v="7"/>
    <x v="7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7"/>
    <x v="0"/>
    <x v="7"/>
    <x v="7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7"/>
    <x v="0"/>
    <x v="7"/>
    <x v="7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7"/>
    <x v="0"/>
    <x v="7"/>
    <x v="7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7"/>
    <x v="0"/>
    <x v="7"/>
    <x v="7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7"/>
    <x v="0"/>
    <x v="7"/>
    <x v="7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7"/>
    <x v="0"/>
    <x v="7"/>
    <x v="7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7"/>
    <x v="0"/>
    <x v="7"/>
    <x v="7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7"/>
    <x v="0"/>
    <x v="7"/>
    <x v="7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7"/>
    <x v="0"/>
    <x v="7"/>
    <x v="7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7"/>
    <x v="0"/>
    <x v="7"/>
    <x v="7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7"/>
    <x v="0"/>
    <x v="7"/>
    <x v="7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7"/>
    <x v="0"/>
    <x v="7"/>
    <x v="7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7"/>
    <x v="0"/>
    <x v="7"/>
    <x v="7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7"/>
    <x v="0"/>
    <x v="7"/>
    <x v="7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7"/>
    <x v="0"/>
    <x v="7"/>
    <x v="7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7"/>
    <x v="0"/>
    <x v="7"/>
    <x v="7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7"/>
    <x v="0"/>
    <x v="7"/>
    <x v="7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7"/>
    <x v="0"/>
    <x v="7"/>
    <x v="7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7"/>
    <x v="0"/>
    <x v="7"/>
    <x v="7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7"/>
    <x v="0"/>
    <x v="7"/>
    <x v="7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7"/>
    <x v="0"/>
    <x v="7"/>
    <x v="7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7"/>
    <x v="0"/>
    <x v="7"/>
    <x v="7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7"/>
    <x v="0"/>
    <x v="7"/>
    <x v="7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7"/>
    <x v="0"/>
    <x v="7"/>
    <x v="7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7"/>
    <x v="0"/>
    <x v="7"/>
    <x v="7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7"/>
    <x v="0"/>
    <x v="7"/>
    <x v="7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7"/>
    <x v="0"/>
    <x v="7"/>
    <x v="7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7"/>
    <x v="0"/>
    <x v="7"/>
    <x v="7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7"/>
    <x v="0"/>
    <x v="7"/>
    <x v="7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7"/>
    <x v="0"/>
    <x v="7"/>
    <x v="7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7"/>
    <x v="0"/>
    <x v="7"/>
    <x v="7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7"/>
    <x v="0"/>
    <x v="7"/>
    <x v="7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7"/>
    <x v="0"/>
    <x v="7"/>
    <x v="7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7"/>
    <x v="0"/>
    <x v="7"/>
    <x v="7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7"/>
    <x v="0"/>
    <x v="7"/>
    <x v="7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7"/>
    <x v="0"/>
    <x v="7"/>
    <x v="7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7"/>
    <x v="0"/>
    <x v="7"/>
    <x v="7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7"/>
    <x v="0"/>
    <x v="7"/>
    <x v="7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7"/>
    <x v="0"/>
    <x v="7"/>
    <x v="7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7"/>
    <x v="0"/>
    <x v="7"/>
    <x v="7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7"/>
    <x v="0"/>
    <x v="7"/>
    <x v="7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7"/>
    <x v="0"/>
    <x v="7"/>
    <x v="7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7"/>
    <x v="0"/>
    <x v="7"/>
    <x v="7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7"/>
    <x v="0"/>
    <x v="7"/>
    <x v="7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7"/>
    <x v="0"/>
    <x v="7"/>
    <x v="7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7"/>
    <x v="0"/>
    <x v="7"/>
    <x v="7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7"/>
    <x v="0"/>
    <x v="7"/>
    <x v="7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7"/>
    <x v="0"/>
    <x v="7"/>
    <x v="7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7"/>
    <x v="0"/>
    <x v="7"/>
    <x v="7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7"/>
    <x v="0"/>
    <x v="7"/>
    <x v="7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7"/>
    <x v="0"/>
    <x v="7"/>
    <x v="7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7"/>
    <x v="0"/>
    <x v="7"/>
    <x v="7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7"/>
    <x v="0"/>
    <x v="7"/>
    <x v="7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7"/>
    <x v="0"/>
    <x v="7"/>
    <x v="7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7"/>
    <x v="0"/>
    <x v="7"/>
    <x v="7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7"/>
    <x v="0"/>
    <x v="7"/>
    <x v="7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7"/>
    <x v="0"/>
    <x v="7"/>
    <x v="7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7"/>
    <x v="0"/>
    <x v="7"/>
    <x v="7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7"/>
    <x v="0"/>
    <x v="7"/>
    <x v="7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7"/>
    <x v="0"/>
    <x v="7"/>
    <x v="7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7"/>
    <x v="0"/>
    <x v="7"/>
    <x v="7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7"/>
    <x v="0"/>
    <x v="7"/>
    <x v="7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7"/>
    <x v="0"/>
    <x v="7"/>
    <x v="7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7"/>
    <x v="0"/>
    <x v="7"/>
    <x v="7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7"/>
    <x v="0"/>
    <x v="7"/>
    <x v="7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7"/>
    <x v="0"/>
    <x v="7"/>
    <x v="7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7"/>
    <x v="0"/>
    <x v="7"/>
    <x v="7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7"/>
    <x v="0"/>
    <x v="7"/>
    <x v="7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7"/>
    <x v="0"/>
    <x v="7"/>
    <x v="7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7"/>
    <x v="0"/>
    <x v="7"/>
    <x v="7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7"/>
    <x v="0"/>
    <x v="7"/>
    <x v="7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7"/>
    <x v="0"/>
    <x v="7"/>
    <x v="7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7"/>
    <x v="0"/>
    <x v="7"/>
    <x v="7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7"/>
    <x v="0"/>
    <x v="7"/>
    <x v="7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7"/>
    <x v="0"/>
    <x v="7"/>
    <x v="7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7"/>
    <x v="0"/>
    <x v="7"/>
    <x v="7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7"/>
    <x v="0"/>
    <x v="7"/>
    <x v="7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7"/>
    <x v="0"/>
    <x v="7"/>
    <x v="7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7"/>
    <x v="0"/>
    <x v="7"/>
    <x v="7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7"/>
    <x v="0"/>
    <x v="7"/>
    <x v="7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7"/>
    <x v="0"/>
    <x v="7"/>
    <x v="7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7"/>
    <x v="0"/>
    <x v="7"/>
    <x v="7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7"/>
    <x v="0"/>
    <x v="7"/>
    <x v="7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7"/>
    <x v="0"/>
    <x v="7"/>
    <x v="7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7"/>
    <x v="0"/>
    <x v="7"/>
    <x v="7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7"/>
    <x v="0"/>
    <x v="7"/>
    <x v="7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7"/>
    <x v="0"/>
    <x v="7"/>
    <x v="7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7"/>
    <x v="0"/>
    <x v="7"/>
    <x v="7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7"/>
    <x v="0"/>
    <x v="7"/>
    <x v="7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7"/>
    <x v="0"/>
    <x v="7"/>
    <x v="7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7"/>
    <x v="0"/>
    <x v="7"/>
    <x v="7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7"/>
    <x v="0"/>
    <x v="7"/>
    <x v="7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7"/>
    <x v="0"/>
    <x v="7"/>
    <x v="7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7"/>
    <x v="0"/>
    <x v="7"/>
    <x v="7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7"/>
    <x v="0"/>
    <x v="7"/>
    <x v="7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7"/>
    <x v="0"/>
    <x v="7"/>
    <x v="7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7"/>
    <x v="0"/>
    <x v="7"/>
    <x v="7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7"/>
    <x v="0"/>
    <x v="7"/>
    <x v="7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7"/>
    <x v="0"/>
    <x v="7"/>
    <x v="7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7"/>
    <x v="0"/>
    <x v="7"/>
    <x v="7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7"/>
    <x v="0"/>
    <x v="7"/>
    <x v="7"/>
    <x v="1"/>
    <x v="6"/>
    <x v="0"/>
    <x v="0"/>
    <x v="0"/>
    <x v="0"/>
    <x v="2"/>
    <x v="2"/>
    <x v="2"/>
    <x v="2"/>
    <x v="2"/>
    <x v="10"/>
    <x v="10"/>
    <n v="4.0347559703129603"/>
    <x v="0"/>
    <x v="0"/>
    <x v="1"/>
    <x v="4"/>
    <x v="5"/>
    <x v="10"/>
    <n v="4.3978840076411272"/>
  </r>
  <r>
    <x v="7"/>
    <x v="0"/>
    <x v="7"/>
    <x v="7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7"/>
    <x v="0"/>
    <x v="7"/>
    <x v="7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7"/>
    <x v="0"/>
    <x v="7"/>
    <x v="7"/>
    <x v="1"/>
    <x v="6"/>
    <x v="0"/>
    <x v="0"/>
    <x v="0"/>
    <x v="0"/>
    <x v="0"/>
    <x v="0"/>
    <x v="3"/>
    <x v="3"/>
    <x v="3"/>
    <x v="11"/>
    <x v="11"/>
    <n v="9.6204199999999993"/>
    <x v="0"/>
    <x v="0"/>
    <x v="3"/>
    <x v="5"/>
    <x v="7"/>
    <x v="11"/>
    <n v="10.486257800000001"/>
  </r>
  <r>
    <x v="7"/>
    <x v="0"/>
    <x v="7"/>
    <x v="7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7"/>
    <x v="0"/>
    <x v="7"/>
    <x v="7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7"/>
    <x v="0"/>
    <x v="7"/>
    <x v="7"/>
    <x v="1"/>
    <x v="6"/>
    <x v="0"/>
    <x v="0"/>
    <x v="0"/>
    <x v="0"/>
    <x v="0"/>
    <x v="0"/>
    <x v="0"/>
    <x v="4"/>
    <x v="4"/>
    <x v="9"/>
    <x v="9"/>
    <n v="21.961560484302701"/>
    <x v="0"/>
    <x v="0"/>
    <x v="1"/>
    <x v="4"/>
    <x v="5"/>
    <x v="9"/>
    <n v="23.938100927889945"/>
  </r>
  <r>
    <x v="7"/>
    <x v="0"/>
    <x v="7"/>
    <x v="7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7"/>
    <x v="0"/>
    <x v="7"/>
    <x v="7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7"/>
    <x v="0"/>
    <x v="7"/>
    <x v="7"/>
    <x v="1"/>
    <x v="6"/>
    <x v="0"/>
    <x v="0"/>
    <x v="0"/>
    <x v="0"/>
    <x v="0"/>
    <x v="0"/>
    <x v="0"/>
    <x v="4"/>
    <x v="4"/>
    <x v="25"/>
    <x v="25"/>
    <n v="8.9154128440313496"/>
    <x v="0"/>
    <x v="0"/>
    <x v="1"/>
    <x v="4"/>
    <x v="5"/>
    <x v="9"/>
    <n v="9.7177999999941722"/>
  </r>
  <r>
    <x v="7"/>
    <x v="0"/>
    <x v="7"/>
    <x v="7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7"/>
    <x v="0"/>
    <x v="7"/>
    <x v="7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7"/>
    <x v="0"/>
    <x v="7"/>
    <x v="7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7"/>
    <x v="0"/>
    <x v="7"/>
    <x v="7"/>
    <x v="1"/>
    <x v="6"/>
    <x v="0"/>
    <x v="0"/>
    <x v="0"/>
    <x v="0"/>
    <x v="0"/>
    <x v="0"/>
    <x v="0"/>
    <x v="4"/>
    <x v="4"/>
    <x v="1"/>
    <x v="1"/>
    <n v="53.933793103151601"/>
    <x v="0"/>
    <x v="0"/>
    <x v="1"/>
    <x v="1"/>
    <x v="1"/>
    <x v="1"/>
    <n v="58.787834482435251"/>
  </r>
  <r>
    <x v="7"/>
    <x v="0"/>
    <x v="7"/>
    <x v="7"/>
    <x v="1"/>
    <x v="6"/>
    <x v="0"/>
    <x v="0"/>
    <x v="0"/>
    <x v="0"/>
    <x v="0"/>
    <x v="0"/>
    <x v="0"/>
    <x v="4"/>
    <x v="4"/>
    <x v="2"/>
    <x v="2"/>
    <n v="417.41312844011702"/>
    <x v="0"/>
    <x v="1"/>
    <x v="2"/>
    <x v="2"/>
    <x v="13"/>
    <x v="2"/>
    <n v="454.98030999972758"/>
  </r>
  <r>
    <x v="7"/>
    <x v="0"/>
    <x v="7"/>
    <x v="7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7"/>
    <x v="0"/>
    <x v="7"/>
    <x v="7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7"/>
    <x v="0"/>
    <x v="7"/>
    <x v="7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7"/>
    <x v="0"/>
    <x v="7"/>
    <x v="7"/>
    <x v="1"/>
    <x v="6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7"/>
    <x v="0"/>
    <x v="7"/>
    <x v="7"/>
    <x v="1"/>
    <x v="6"/>
    <x v="0"/>
    <x v="0"/>
    <x v="0"/>
    <x v="0"/>
    <x v="0"/>
    <x v="0"/>
    <x v="0"/>
    <x v="0"/>
    <x v="0"/>
    <x v="21"/>
    <x v="21"/>
    <n v="7.1560733944911199"/>
    <x v="0"/>
    <x v="0"/>
    <x v="1"/>
    <x v="4"/>
    <x v="5"/>
    <x v="10"/>
    <n v="7.8001199999953217"/>
  </r>
  <r>
    <x v="7"/>
    <x v="0"/>
    <x v="7"/>
    <x v="7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7"/>
    <x v="0"/>
    <x v="7"/>
    <x v="7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7"/>
    <x v="0"/>
    <x v="7"/>
    <x v="7"/>
    <x v="1"/>
    <x v="6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7"/>
    <x v="0"/>
    <x v="7"/>
    <x v="7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7"/>
    <x v="0"/>
    <x v="7"/>
    <x v="7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7"/>
    <x v="0"/>
    <x v="7"/>
    <x v="7"/>
    <x v="1"/>
    <x v="6"/>
    <x v="0"/>
    <x v="0"/>
    <x v="0"/>
    <x v="0"/>
    <x v="0"/>
    <x v="0"/>
    <x v="1"/>
    <x v="1"/>
    <x v="1"/>
    <x v="21"/>
    <x v="21"/>
    <n v="62.719376146751401"/>
    <x v="0"/>
    <x v="0"/>
    <x v="1"/>
    <x v="4"/>
    <x v="5"/>
    <x v="10"/>
    <n v="68.36411999995903"/>
  </r>
  <r>
    <x v="7"/>
    <x v="0"/>
    <x v="7"/>
    <x v="7"/>
    <x v="1"/>
    <x v="6"/>
    <x v="0"/>
    <x v="0"/>
    <x v="0"/>
    <x v="0"/>
    <x v="0"/>
    <x v="0"/>
    <x v="1"/>
    <x v="1"/>
    <x v="1"/>
    <x v="27"/>
    <x v="27"/>
    <n v="6.9908851352833397"/>
    <x v="0"/>
    <x v="0"/>
    <x v="1"/>
    <x v="3"/>
    <x v="3"/>
    <x v="19"/>
    <n v="7.6200647974588405"/>
  </r>
  <r>
    <x v="7"/>
    <x v="0"/>
    <x v="7"/>
    <x v="7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7"/>
    <x v="0"/>
    <x v="7"/>
    <x v="7"/>
    <x v="1"/>
    <x v="6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7"/>
    <x v="0"/>
    <x v="7"/>
    <x v="7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7"/>
    <x v="0"/>
    <x v="7"/>
    <x v="7"/>
    <x v="1"/>
    <x v="6"/>
    <x v="0"/>
    <x v="0"/>
    <x v="0"/>
    <x v="0"/>
    <x v="0"/>
    <x v="0"/>
    <x v="2"/>
    <x v="2"/>
    <x v="2"/>
    <x v="4"/>
    <x v="4"/>
    <n v="74.314550458670993"/>
    <x v="0"/>
    <x v="0"/>
    <x v="1"/>
    <x v="3"/>
    <x v="3"/>
    <x v="4"/>
    <n v="81.002859999951383"/>
  </r>
  <r>
    <x v="7"/>
    <x v="0"/>
    <x v="7"/>
    <x v="7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7"/>
    <x v="0"/>
    <x v="7"/>
    <x v="7"/>
    <x v="1"/>
    <x v="6"/>
    <x v="0"/>
    <x v="0"/>
    <x v="0"/>
    <x v="0"/>
    <x v="0"/>
    <x v="0"/>
    <x v="2"/>
    <x v="2"/>
    <x v="2"/>
    <x v="5"/>
    <x v="5"/>
    <n v="1.59803067485877"/>
    <x v="0"/>
    <x v="0"/>
    <x v="1"/>
    <x v="1"/>
    <x v="1"/>
    <x v="5"/>
    <n v="1.7418534355960595"/>
  </r>
  <r>
    <x v="7"/>
    <x v="0"/>
    <x v="7"/>
    <x v="7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7"/>
    <x v="0"/>
    <x v="7"/>
    <x v="7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7"/>
    <x v="0"/>
    <x v="7"/>
    <x v="7"/>
    <x v="1"/>
    <x v="6"/>
    <x v="0"/>
    <x v="0"/>
    <x v="0"/>
    <x v="0"/>
    <x v="0"/>
    <x v="0"/>
    <x v="2"/>
    <x v="2"/>
    <x v="2"/>
    <x v="9"/>
    <x v="9"/>
    <n v="71.319191912234999"/>
    <x v="0"/>
    <x v="0"/>
    <x v="1"/>
    <x v="4"/>
    <x v="5"/>
    <x v="9"/>
    <n v="77.73791918433615"/>
  </r>
  <r>
    <x v="7"/>
    <x v="0"/>
    <x v="7"/>
    <x v="7"/>
    <x v="1"/>
    <x v="6"/>
    <x v="0"/>
    <x v="0"/>
    <x v="0"/>
    <x v="0"/>
    <x v="0"/>
    <x v="0"/>
    <x v="2"/>
    <x v="2"/>
    <x v="2"/>
    <x v="10"/>
    <x v="10"/>
    <n v="22.163899004641301"/>
    <x v="0"/>
    <x v="0"/>
    <x v="1"/>
    <x v="4"/>
    <x v="5"/>
    <x v="10"/>
    <n v="24.158649915059019"/>
  </r>
  <r>
    <x v="7"/>
    <x v="0"/>
    <x v="7"/>
    <x v="7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7"/>
    <x v="0"/>
    <x v="7"/>
    <x v="7"/>
    <x v="1"/>
    <x v="6"/>
    <x v="0"/>
    <x v="0"/>
    <x v="0"/>
    <x v="0"/>
    <x v="0"/>
    <x v="0"/>
    <x v="2"/>
    <x v="2"/>
    <x v="2"/>
    <x v="80"/>
    <x v="80"/>
    <n v="31.4561009174123"/>
    <x v="0"/>
    <x v="0"/>
    <x v="1"/>
    <x v="4"/>
    <x v="5"/>
    <x v="10"/>
    <n v="34.287149999979412"/>
  </r>
  <r>
    <x v="7"/>
    <x v="0"/>
    <x v="7"/>
    <x v="7"/>
    <x v="1"/>
    <x v="6"/>
    <x v="0"/>
    <x v="0"/>
    <x v="0"/>
    <x v="0"/>
    <x v="0"/>
    <x v="0"/>
    <x v="2"/>
    <x v="2"/>
    <x v="2"/>
    <x v="31"/>
    <x v="31"/>
    <n v="1.8348623850000001E-5"/>
    <x v="0"/>
    <x v="0"/>
    <x v="1"/>
    <x v="4"/>
    <x v="5"/>
    <x v="10"/>
    <n v="1.9999999996500004E-5"/>
  </r>
  <r>
    <x v="7"/>
    <x v="0"/>
    <x v="7"/>
    <x v="7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7"/>
    <x v="0"/>
    <x v="7"/>
    <x v="7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7"/>
    <x v="0"/>
    <x v="7"/>
    <x v="7"/>
    <x v="1"/>
    <x v="6"/>
    <x v="0"/>
    <x v="0"/>
    <x v="0"/>
    <x v="0"/>
    <x v="0"/>
    <x v="0"/>
    <x v="2"/>
    <x v="2"/>
    <x v="2"/>
    <x v="12"/>
    <x v="12"/>
    <n v="59.943918604423402"/>
    <x v="0"/>
    <x v="0"/>
    <x v="0"/>
    <x v="0"/>
    <x v="8"/>
    <x v="12"/>
    <n v="65.338871278821514"/>
  </r>
  <r>
    <x v="7"/>
    <x v="0"/>
    <x v="7"/>
    <x v="7"/>
    <x v="1"/>
    <x v="6"/>
    <x v="0"/>
    <x v="0"/>
    <x v="0"/>
    <x v="0"/>
    <x v="0"/>
    <x v="0"/>
    <x v="2"/>
    <x v="2"/>
    <x v="2"/>
    <x v="16"/>
    <x v="16"/>
    <n v="161.46440999999999"/>
    <x v="0"/>
    <x v="0"/>
    <x v="3"/>
    <x v="5"/>
    <x v="9"/>
    <x v="16"/>
    <n v="175.9962069"/>
  </r>
  <r>
    <x v="7"/>
    <x v="0"/>
    <x v="7"/>
    <x v="7"/>
    <x v="1"/>
    <x v="6"/>
    <x v="0"/>
    <x v="0"/>
    <x v="0"/>
    <x v="0"/>
    <x v="0"/>
    <x v="0"/>
    <x v="2"/>
    <x v="2"/>
    <x v="2"/>
    <x v="21"/>
    <x v="21"/>
    <n v="22.475266055032399"/>
    <x v="0"/>
    <x v="0"/>
    <x v="1"/>
    <x v="4"/>
    <x v="5"/>
    <x v="10"/>
    <n v="24.498039999985316"/>
  </r>
  <r>
    <x v="7"/>
    <x v="0"/>
    <x v="7"/>
    <x v="7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7"/>
    <x v="0"/>
    <x v="7"/>
    <x v="7"/>
    <x v="1"/>
    <x v="6"/>
    <x v="0"/>
    <x v="0"/>
    <x v="0"/>
    <x v="0"/>
    <x v="0"/>
    <x v="0"/>
    <x v="2"/>
    <x v="2"/>
    <x v="2"/>
    <x v="25"/>
    <x v="25"/>
    <n v="53.331422018316601"/>
    <x v="0"/>
    <x v="0"/>
    <x v="1"/>
    <x v="4"/>
    <x v="5"/>
    <x v="9"/>
    <n v="58.1312499999651"/>
  </r>
  <r>
    <x v="7"/>
    <x v="0"/>
    <x v="7"/>
    <x v="7"/>
    <x v="1"/>
    <x v="6"/>
    <x v="0"/>
    <x v="0"/>
    <x v="0"/>
    <x v="0"/>
    <x v="0"/>
    <x v="0"/>
    <x v="2"/>
    <x v="2"/>
    <x v="2"/>
    <x v="27"/>
    <x v="27"/>
    <n v="0.34218018018743002"/>
    <x v="0"/>
    <x v="0"/>
    <x v="1"/>
    <x v="3"/>
    <x v="3"/>
    <x v="19"/>
    <n v="0.37297639640429875"/>
  </r>
  <r>
    <x v="7"/>
    <x v="0"/>
    <x v="7"/>
    <x v="7"/>
    <x v="1"/>
    <x v="6"/>
    <x v="0"/>
    <x v="0"/>
    <x v="0"/>
    <x v="0"/>
    <x v="0"/>
    <x v="0"/>
    <x v="2"/>
    <x v="2"/>
    <x v="2"/>
    <x v="87"/>
    <x v="87"/>
    <n v="0.25091999999999998"/>
    <x v="0"/>
    <x v="0"/>
    <x v="3"/>
    <x v="5"/>
    <x v="7"/>
    <x v="11"/>
    <n v="0.27350279999999999"/>
  </r>
  <r>
    <x v="7"/>
    <x v="0"/>
    <x v="7"/>
    <x v="7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7"/>
    <x v="0"/>
    <x v="7"/>
    <x v="7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7"/>
    <x v="0"/>
    <x v="7"/>
    <x v="7"/>
    <x v="1"/>
    <x v="6"/>
    <x v="0"/>
    <x v="0"/>
    <x v="0"/>
    <x v="0"/>
    <x v="0"/>
    <x v="0"/>
    <x v="2"/>
    <x v="2"/>
    <x v="2"/>
    <x v="26"/>
    <x v="26"/>
    <n v="117.357155963232"/>
    <x v="0"/>
    <x v="0"/>
    <x v="1"/>
    <x v="3"/>
    <x v="3"/>
    <x v="15"/>
    <n v="127.9192999999229"/>
  </r>
  <r>
    <x v="7"/>
    <x v="0"/>
    <x v="7"/>
    <x v="7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7"/>
    <x v="0"/>
    <x v="7"/>
    <x v="7"/>
    <x v="1"/>
    <x v="6"/>
    <x v="0"/>
    <x v="0"/>
    <x v="0"/>
    <x v="0"/>
    <x v="0"/>
    <x v="0"/>
    <x v="2"/>
    <x v="2"/>
    <x v="2"/>
    <x v="1"/>
    <x v="1"/>
    <n v="4.88505517238693"/>
    <x v="0"/>
    <x v="0"/>
    <x v="1"/>
    <x v="1"/>
    <x v="1"/>
    <x v="1"/>
    <n v="5.3247101379017545"/>
  </r>
  <r>
    <x v="7"/>
    <x v="0"/>
    <x v="7"/>
    <x v="7"/>
    <x v="1"/>
    <x v="6"/>
    <x v="0"/>
    <x v="0"/>
    <x v="0"/>
    <x v="0"/>
    <x v="0"/>
    <x v="0"/>
    <x v="2"/>
    <x v="2"/>
    <x v="2"/>
    <x v="2"/>
    <x v="2"/>
    <n v="229.27256880720199"/>
    <x v="0"/>
    <x v="1"/>
    <x v="2"/>
    <x v="2"/>
    <x v="13"/>
    <x v="2"/>
    <n v="249.9070999998502"/>
  </r>
  <r>
    <x v="7"/>
    <x v="0"/>
    <x v="7"/>
    <x v="7"/>
    <x v="1"/>
    <x v="6"/>
    <x v="0"/>
    <x v="0"/>
    <x v="0"/>
    <x v="0"/>
    <x v="0"/>
    <x v="0"/>
    <x v="1"/>
    <x v="6"/>
    <x v="6"/>
    <x v="9"/>
    <x v="9"/>
    <n v="29.4216678347345"/>
    <x v="0"/>
    <x v="0"/>
    <x v="1"/>
    <x v="4"/>
    <x v="5"/>
    <x v="9"/>
    <n v="32.069617939860606"/>
  </r>
  <r>
    <x v="7"/>
    <x v="0"/>
    <x v="7"/>
    <x v="7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7"/>
    <x v="0"/>
    <x v="7"/>
    <x v="7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7"/>
    <x v="0"/>
    <x v="7"/>
    <x v="7"/>
    <x v="1"/>
    <x v="6"/>
    <x v="0"/>
    <x v="0"/>
    <x v="0"/>
    <x v="0"/>
    <x v="0"/>
    <x v="0"/>
    <x v="1"/>
    <x v="6"/>
    <x v="6"/>
    <x v="21"/>
    <x v="21"/>
    <n v="492.34284403640203"/>
    <x v="0"/>
    <x v="0"/>
    <x v="1"/>
    <x v="4"/>
    <x v="5"/>
    <x v="10"/>
    <n v="536.65369999967822"/>
  </r>
  <r>
    <x v="7"/>
    <x v="0"/>
    <x v="7"/>
    <x v="7"/>
    <x v="1"/>
    <x v="6"/>
    <x v="0"/>
    <x v="0"/>
    <x v="0"/>
    <x v="0"/>
    <x v="0"/>
    <x v="0"/>
    <x v="1"/>
    <x v="6"/>
    <x v="6"/>
    <x v="25"/>
    <x v="25"/>
    <n v="6.5086238532070997"/>
    <x v="0"/>
    <x v="0"/>
    <x v="1"/>
    <x v="4"/>
    <x v="5"/>
    <x v="9"/>
    <n v="7.0943999999957388"/>
  </r>
  <r>
    <x v="7"/>
    <x v="0"/>
    <x v="7"/>
    <x v="7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7"/>
    <x v="0"/>
    <x v="7"/>
    <x v="7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7"/>
    <x v="0"/>
    <x v="7"/>
    <x v="7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7"/>
    <x v="0"/>
    <x v="7"/>
    <x v="7"/>
    <x v="1"/>
    <x v="6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7"/>
    <x v="0"/>
    <x v="7"/>
    <x v="7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7"/>
    <x v="0"/>
    <x v="7"/>
    <x v="7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7"/>
    <x v="0"/>
    <x v="7"/>
    <x v="7"/>
    <x v="1"/>
    <x v="6"/>
    <x v="0"/>
    <x v="0"/>
    <x v="0"/>
    <x v="0"/>
    <x v="0"/>
    <x v="0"/>
    <x v="3"/>
    <x v="7"/>
    <x v="7"/>
    <x v="9"/>
    <x v="9"/>
    <n v="6.4421347175258097"/>
    <x v="0"/>
    <x v="0"/>
    <x v="1"/>
    <x v="4"/>
    <x v="5"/>
    <x v="9"/>
    <n v="7.0219268421031327"/>
  </r>
  <r>
    <x v="7"/>
    <x v="0"/>
    <x v="7"/>
    <x v="7"/>
    <x v="1"/>
    <x v="6"/>
    <x v="0"/>
    <x v="0"/>
    <x v="0"/>
    <x v="0"/>
    <x v="0"/>
    <x v="0"/>
    <x v="3"/>
    <x v="7"/>
    <x v="7"/>
    <x v="10"/>
    <x v="10"/>
    <n v="8.7092393088000005E-4"/>
    <x v="0"/>
    <x v="0"/>
    <x v="1"/>
    <x v="4"/>
    <x v="5"/>
    <x v="10"/>
    <n v="9.4930708465920015E-4"/>
  </r>
  <r>
    <x v="7"/>
    <x v="0"/>
    <x v="7"/>
    <x v="7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7"/>
    <x v="0"/>
    <x v="7"/>
    <x v="7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7"/>
    <x v="0"/>
    <x v="7"/>
    <x v="7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7"/>
    <x v="0"/>
    <x v="7"/>
    <x v="7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7"/>
    <x v="0"/>
    <x v="7"/>
    <x v="7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7"/>
    <x v="0"/>
    <x v="7"/>
    <x v="7"/>
    <x v="1"/>
    <x v="6"/>
    <x v="0"/>
    <x v="0"/>
    <x v="0"/>
    <x v="0"/>
    <x v="0"/>
    <x v="0"/>
    <x v="1"/>
    <x v="8"/>
    <x v="8"/>
    <x v="9"/>
    <x v="9"/>
    <n v="350.655236816627"/>
    <x v="0"/>
    <x v="0"/>
    <x v="1"/>
    <x v="4"/>
    <x v="5"/>
    <x v="9"/>
    <n v="382.21420813012344"/>
  </r>
  <r>
    <x v="7"/>
    <x v="0"/>
    <x v="7"/>
    <x v="7"/>
    <x v="1"/>
    <x v="6"/>
    <x v="0"/>
    <x v="0"/>
    <x v="0"/>
    <x v="0"/>
    <x v="0"/>
    <x v="0"/>
    <x v="1"/>
    <x v="8"/>
    <x v="8"/>
    <x v="10"/>
    <x v="10"/>
    <n v="7.9190178252249597"/>
    <x v="0"/>
    <x v="0"/>
    <x v="1"/>
    <x v="4"/>
    <x v="5"/>
    <x v="10"/>
    <n v="8.6317294294952074"/>
  </r>
  <r>
    <x v="7"/>
    <x v="0"/>
    <x v="7"/>
    <x v="7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7"/>
    <x v="0"/>
    <x v="7"/>
    <x v="7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7"/>
    <x v="0"/>
    <x v="7"/>
    <x v="7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7"/>
    <x v="0"/>
    <x v="7"/>
    <x v="7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7"/>
    <x v="0"/>
    <x v="7"/>
    <x v="7"/>
    <x v="1"/>
    <x v="6"/>
    <x v="0"/>
    <x v="0"/>
    <x v="0"/>
    <x v="0"/>
    <x v="0"/>
    <x v="0"/>
    <x v="0"/>
    <x v="9"/>
    <x v="9"/>
    <x v="9"/>
    <x v="9"/>
    <n v="1235.0775154692201"/>
    <x v="0"/>
    <x v="0"/>
    <x v="1"/>
    <x v="4"/>
    <x v="5"/>
    <x v="9"/>
    <n v="1346.2344918614499"/>
  </r>
  <r>
    <x v="7"/>
    <x v="0"/>
    <x v="7"/>
    <x v="7"/>
    <x v="1"/>
    <x v="6"/>
    <x v="0"/>
    <x v="0"/>
    <x v="0"/>
    <x v="0"/>
    <x v="0"/>
    <x v="0"/>
    <x v="0"/>
    <x v="9"/>
    <x v="9"/>
    <x v="10"/>
    <x v="10"/>
    <n v="4.8894475639039996"/>
    <x v="0"/>
    <x v="0"/>
    <x v="1"/>
    <x v="4"/>
    <x v="5"/>
    <x v="10"/>
    <n v="5.3294978446553598"/>
  </r>
  <r>
    <x v="7"/>
    <x v="0"/>
    <x v="7"/>
    <x v="7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70.4292935"/>
  </r>
  <r>
    <x v="7"/>
    <x v="0"/>
    <x v="7"/>
    <x v="7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7"/>
    <x v="0"/>
    <x v="7"/>
    <x v="7"/>
    <x v="1"/>
    <x v="6"/>
    <x v="0"/>
    <x v="0"/>
    <x v="0"/>
    <x v="0"/>
    <x v="0"/>
    <x v="0"/>
    <x v="0"/>
    <x v="9"/>
    <x v="9"/>
    <x v="21"/>
    <x v="21"/>
    <n v="107.004266054982"/>
    <x v="0"/>
    <x v="0"/>
    <x v="1"/>
    <x v="4"/>
    <x v="5"/>
    <x v="10"/>
    <n v="116.63464999993039"/>
  </r>
  <r>
    <x v="7"/>
    <x v="0"/>
    <x v="7"/>
    <x v="7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7"/>
    <x v="0"/>
    <x v="7"/>
    <x v="7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7"/>
    <x v="0"/>
    <x v="7"/>
    <x v="7"/>
    <x v="1"/>
    <x v="6"/>
    <x v="0"/>
    <x v="0"/>
    <x v="0"/>
    <x v="0"/>
    <x v="0"/>
    <x v="0"/>
    <x v="2"/>
    <x v="10"/>
    <x v="10"/>
    <x v="9"/>
    <x v="9"/>
    <n v="281.65251639713"/>
    <x v="0"/>
    <x v="0"/>
    <x v="1"/>
    <x v="4"/>
    <x v="5"/>
    <x v="9"/>
    <n v="307.00124287287173"/>
  </r>
  <r>
    <x v="7"/>
    <x v="0"/>
    <x v="7"/>
    <x v="7"/>
    <x v="1"/>
    <x v="6"/>
    <x v="0"/>
    <x v="0"/>
    <x v="0"/>
    <x v="0"/>
    <x v="0"/>
    <x v="0"/>
    <x v="2"/>
    <x v="10"/>
    <x v="10"/>
    <x v="10"/>
    <x v="10"/>
    <n v="1.64334242496E-3"/>
    <x v="0"/>
    <x v="0"/>
    <x v="1"/>
    <x v="4"/>
    <x v="5"/>
    <x v="10"/>
    <n v="1.7912432432064002E-3"/>
  </r>
  <r>
    <x v="7"/>
    <x v="0"/>
    <x v="7"/>
    <x v="7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96.729891800000004"/>
  </r>
  <r>
    <x v="7"/>
    <x v="0"/>
    <x v="7"/>
    <x v="7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7"/>
    <x v="0"/>
    <x v="7"/>
    <x v="7"/>
    <x v="1"/>
    <x v="6"/>
    <x v="0"/>
    <x v="0"/>
    <x v="0"/>
    <x v="0"/>
    <x v="0"/>
    <x v="0"/>
    <x v="2"/>
    <x v="10"/>
    <x v="10"/>
    <x v="21"/>
    <x v="21"/>
    <n v="30.678495412825601"/>
    <x v="0"/>
    <x v="0"/>
    <x v="1"/>
    <x v="4"/>
    <x v="5"/>
    <x v="10"/>
    <n v="33.439559999979906"/>
  </r>
  <r>
    <x v="7"/>
    <x v="0"/>
    <x v="7"/>
    <x v="7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7"/>
    <x v="0"/>
    <x v="7"/>
    <x v="7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7"/>
    <x v="0"/>
    <x v="7"/>
    <x v="7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7"/>
    <x v="0"/>
    <x v="7"/>
    <x v="7"/>
    <x v="1"/>
    <x v="6"/>
    <x v="0"/>
    <x v="0"/>
    <x v="0"/>
    <x v="0"/>
    <x v="0"/>
    <x v="0"/>
    <x v="4"/>
    <x v="5"/>
    <x v="5"/>
    <x v="9"/>
    <x v="9"/>
    <n v="1026.7644001215399"/>
    <x v="0"/>
    <x v="0"/>
    <x v="1"/>
    <x v="4"/>
    <x v="5"/>
    <x v="9"/>
    <n v="1119.1731961324786"/>
  </r>
  <r>
    <x v="7"/>
    <x v="0"/>
    <x v="7"/>
    <x v="7"/>
    <x v="1"/>
    <x v="6"/>
    <x v="0"/>
    <x v="0"/>
    <x v="0"/>
    <x v="0"/>
    <x v="0"/>
    <x v="0"/>
    <x v="4"/>
    <x v="5"/>
    <x v="5"/>
    <x v="10"/>
    <x v="10"/>
    <n v="54.971123861315803"/>
    <x v="0"/>
    <x v="0"/>
    <x v="1"/>
    <x v="4"/>
    <x v="5"/>
    <x v="10"/>
    <n v="59.91852500883423"/>
  </r>
  <r>
    <x v="7"/>
    <x v="0"/>
    <x v="7"/>
    <x v="7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7"/>
    <x v="0"/>
    <x v="7"/>
    <x v="7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285.27934530000005"/>
  </r>
  <r>
    <x v="7"/>
    <x v="0"/>
    <x v="7"/>
    <x v="7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7"/>
    <x v="0"/>
    <x v="7"/>
    <x v="7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7"/>
    <x v="0"/>
    <x v="7"/>
    <x v="7"/>
    <x v="1"/>
    <x v="6"/>
    <x v="0"/>
    <x v="0"/>
    <x v="0"/>
    <x v="0"/>
    <x v="0"/>
    <x v="0"/>
    <x v="4"/>
    <x v="5"/>
    <x v="5"/>
    <x v="21"/>
    <x v="21"/>
    <n v="99.024825688014005"/>
    <x v="0"/>
    <x v="0"/>
    <x v="1"/>
    <x v="4"/>
    <x v="5"/>
    <x v="10"/>
    <n v="107.93705999993527"/>
  </r>
  <r>
    <x v="7"/>
    <x v="0"/>
    <x v="7"/>
    <x v="7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7"/>
    <x v="0"/>
    <x v="7"/>
    <x v="7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7"/>
    <x v="0"/>
    <x v="7"/>
    <x v="7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7"/>
    <x v="0"/>
    <x v="7"/>
    <x v="7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7"/>
    <x v="0"/>
    <x v="7"/>
    <x v="7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7"/>
    <x v="0"/>
    <x v="7"/>
    <x v="7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7"/>
    <x v="0"/>
    <x v="7"/>
    <x v="7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7"/>
    <x v="0"/>
    <x v="7"/>
    <x v="7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7"/>
    <x v="0"/>
    <x v="7"/>
    <x v="7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7"/>
    <x v="0"/>
    <x v="7"/>
    <x v="7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7"/>
    <x v="0"/>
    <x v="7"/>
    <x v="7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7"/>
    <x v="0"/>
    <x v="7"/>
    <x v="7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7"/>
    <x v="0"/>
    <x v="7"/>
    <x v="7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7"/>
    <x v="0"/>
    <x v="7"/>
    <x v="7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7"/>
    <x v="0"/>
    <x v="7"/>
    <x v="7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7"/>
    <x v="0"/>
    <x v="7"/>
    <x v="7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7"/>
    <x v="0"/>
    <x v="7"/>
    <x v="7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7"/>
    <x v="0"/>
    <x v="7"/>
    <x v="7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7"/>
    <x v="0"/>
    <x v="7"/>
    <x v="7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7"/>
    <x v="0"/>
    <x v="7"/>
    <x v="7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7"/>
    <x v="0"/>
    <x v="7"/>
    <x v="7"/>
    <x v="1"/>
    <x v="6"/>
    <x v="0"/>
    <x v="0"/>
    <x v="0"/>
    <x v="0"/>
    <x v="3"/>
    <x v="3"/>
    <x v="2"/>
    <x v="2"/>
    <x v="2"/>
    <x v="5"/>
    <x v="5"/>
    <n v="41.007926380679798"/>
    <x v="0"/>
    <x v="0"/>
    <x v="1"/>
    <x v="1"/>
    <x v="1"/>
    <x v="5"/>
    <n v="44.698639754940984"/>
  </r>
  <r>
    <x v="7"/>
    <x v="0"/>
    <x v="7"/>
    <x v="7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7"/>
    <x v="0"/>
    <x v="7"/>
    <x v="7"/>
    <x v="1"/>
    <x v="6"/>
    <x v="0"/>
    <x v="0"/>
    <x v="0"/>
    <x v="0"/>
    <x v="3"/>
    <x v="3"/>
    <x v="2"/>
    <x v="2"/>
    <x v="2"/>
    <x v="9"/>
    <x v="9"/>
    <n v="19.362155649511202"/>
    <x v="0"/>
    <x v="0"/>
    <x v="1"/>
    <x v="4"/>
    <x v="5"/>
    <x v="9"/>
    <n v="21.104749657967211"/>
  </r>
  <r>
    <x v="7"/>
    <x v="0"/>
    <x v="7"/>
    <x v="7"/>
    <x v="1"/>
    <x v="6"/>
    <x v="0"/>
    <x v="0"/>
    <x v="0"/>
    <x v="0"/>
    <x v="3"/>
    <x v="3"/>
    <x v="2"/>
    <x v="2"/>
    <x v="2"/>
    <x v="10"/>
    <x v="10"/>
    <n v="26.3571930216794"/>
    <x v="0"/>
    <x v="0"/>
    <x v="1"/>
    <x v="4"/>
    <x v="5"/>
    <x v="10"/>
    <n v="28.729340393630547"/>
  </r>
  <r>
    <x v="7"/>
    <x v="0"/>
    <x v="7"/>
    <x v="7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7"/>
    <x v="0"/>
    <x v="7"/>
    <x v="7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7"/>
    <x v="0"/>
    <x v="7"/>
    <x v="7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7"/>
    <x v="0"/>
    <x v="7"/>
    <x v="7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7"/>
    <x v="0"/>
    <x v="7"/>
    <x v="7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7"/>
    <x v="0"/>
    <x v="7"/>
    <x v="7"/>
    <x v="1"/>
    <x v="6"/>
    <x v="0"/>
    <x v="0"/>
    <x v="0"/>
    <x v="0"/>
    <x v="3"/>
    <x v="3"/>
    <x v="2"/>
    <x v="2"/>
    <x v="2"/>
    <x v="16"/>
    <x v="16"/>
    <n v="18.729869999999998"/>
    <x v="0"/>
    <x v="0"/>
    <x v="3"/>
    <x v="5"/>
    <x v="9"/>
    <x v="16"/>
    <n v="20.415558300000001"/>
  </r>
  <r>
    <x v="7"/>
    <x v="0"/>
    <x v="7"/>
    <x v="7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7"/>
    <x v="0"/>
    <x v="7"/>
    <x v="7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7"/>
    <x v="0"/>
    <x v="7"/>
    <x v="7"/>
    <x v="1"/>
    <x v="6"/>
    <x v="0"/>
    <x v="0"/>
    <x v="0"/>
    <x v="0"/>
    <x v="3"/>
    <x v="3"/>
    <x v="2"/>
    <x v="2"/>
    <x v="2"/>
    <x v="27"/>
    <x v="27"/>
    <n v="0.72072072073600002"/>
    <x v="0"/>
    <x v="0"/>
    <x v="1"/>
    <x v="3"/>
    <x v="3"/>
    <x v="19"/>
    <n v="0.78558558560224012"/>
  </r>
  <r>
    <x v="7"/>
    <x v="0"/>
    <x v="7"/>
    <x v="7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7"/>
    <x v="0"/>
    <x v="7"/>
    <x v="7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7"/>
    <x v="0"/>
    <x v="7"/>
    <x v="7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7"/>
    <x v="0"/>
    <x v="7"/>
    <x v="7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7"/>
    <x v="0"/>
    <x v="7"/>
    <x v="7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7"/>
    <x v="0"/>
    <x v="7"/>
    <x v="7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7"/>
    <x v="0"/>
    <x v="7"/>
    <x v="7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7"/>
    <x v="0"/>
    <x v="7"/>
    <x v="7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7"/>
    <x v="0"/>
    <x v="7"/>
    <x v="7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7"/>
    <x v="0"/>
    <x v="7"/>
    <x v="7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7"/>
    <x v="0"/>
    <x v="7"/>
    <x v="7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7"/>
    <x v="0"/>
    <x v="7"/>
    <x v="7"/>
    <x v="1"/>
    <x v="6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7"/>
    <x v="0"/>
    <x v="7"/>
    <x v="7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7"/>
    <x v="0"/>
    <x v="7"/>
    <x v="7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7"/>
    <x v="0"/>
    <x v="7"/>
    <x v="7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7"/>
    <x v="0"/>
    <x v="7"/>
    <x v="7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7"/>
    <x v="0"/>
    <x v="7"/>
    <x v="7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7"/>
    <x v="0"/>
    <x v="7"/>
    <x v="7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7"/>
    <x v="0"/>
    <x v="7"/>
    <x v="7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7"/>
    <x v="0"/>
    <x v="7"/>
    <x v="7"/>
    <x v="1"/>
    <x v="6"/>
    <x v="0"/>
    <x v="0"/>
    <x v="3"/>
    <x v="3"/>
    <x v="19"/>
    <x v="19"/>
    <x v="4"/>
    <x v="5"/>
    <x v="5"/>
    <x v="40"/>
    <x v="40"/>
    <n v="8798.9641499999998"/>
    <x v="1"/>
    <x v="2"/>
    <x v="5"/>
    <x v="7"/>
    <x v="11"/>
    <x v="22"/>
    <n v="9590.8709235000006"/>
  </r>
  <r>
    <x v="7"/>
    <x v="0"/>
    <x v="7"/>
    <x v="7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7"/>
    <x v="0"/>
    <x v="7"/>
    <x v="7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7"/>
    <x v="0"/>
    <x v="7"/>
    <x v="7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7"/>
    <x v="0"/>
    <x v="7"/>
    <x v="7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7"/>
    <x v="0"/>
    <x v="7"/>
    <x v="7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7"/>
    <x v="0"/>
    <x v="7"/>
    <x v="7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7"/>
    <x v="0"/>
    <x v="7"/>
    <x v="7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7"/>
    <x v="0"/>
    <x v="7"/>
    <x v="7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7"/>
    <x v="0"/>
    <x v="7"/>
    <x v="7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7"/>
    <x v="0"/>
    <x v="7"/>
    <x v="7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7"/>
    <x v="0"/>
    <x v="7"/>
    <x v="7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7"/>
    <x v="0"/>
    <x v="7"/>
    <x v="7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7"/>
    <x v="0"/>
    <x v="7"/>
    <x v="7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7"/>
    <x v="0"/>
    <x v="7"/>
    <x v="7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7"/>
    <x v="0"/>
    <x v="7"/>
    <x v="7"/>
    <x v="1"/>
    <x v="6"/>
    <x v="0"/>
    <x v="0"/>
    <x v="2"/>
    <x v="2"/>
    <x v="14"/>
    <x v="14"/>
    <x v="4"/>
    <x v="5"/>
    <x v="5"/>
    <x v="40"/>
    <x v="40"/>
    <n v="147.00906000000001"/>
    <x v="1"/>
    <x v="2"/>
    <x v="5"/>
    <x v="7"/>
    <x v="11"/>
    <x v="22"/>
    <n v="160.23987540000002"/>
  </r>
  <r>
    <x v="7"/>
    <x v="0"/>
    <x v="7"/>
    <x v="7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7"/>
    <x v="0"/>
    <x v="7"/>
    <x v="7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7"/>
    <x v="0"/>
    <x v="7"/>
    <x v="7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7"/>
    <x v="0"/>
    <x v="7"/>
    <x v="7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7"/>
    <x v="0"/>
    <x v="7"/>
    <x v="7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7"/>
    <x v="0"/>
    <x v="7"/>
    <x v="7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7"/>
    <x v="0"/>
    <x v="7"/>
    <x v="7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7"/>
    <x v="0"/>
    <x v="7"/>
    <x v="7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7"/>
    <x v="0"/>
    <x v="7"/>
    <x v="7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7"/>
    <x v="0"/>
    <x v="7"/>
    <x v="7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7"/>
    <x v="0"/>
    <x v="7"/>
    <x v="7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7"/>
    <x v="0"/>
    <x v="7"/>
    <x v="7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7"/>
    <x v="0"/>
    <x v="7"/>
    <x v="7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7"/>
    <x v="0"/>
    <x v="7"/>
    <x v="7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7"/>
    <x v="0"/>
    <x v="7"/>
    <x v="7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7"/>
    <x v="0"/>
    <x v="7"/>
    <x v="7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7"/>
    <x v="0"/>
    <x v="7"/>
    <x v="7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7"/>
    <x v="0"/>
    <x v="7"/>
    <x v="7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7"/>
    <x v="0"/>
    <x v="7"/>
    <x v="7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7"/>
    <x v="0"/>
    <x v="7"/>
    <x v="7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7"/>
    <x v="0"/>
    <x v="7"/>
    <x v="7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7"/>
    <x v="0"/>
    <x v="7"/>
    <x v="7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7"/>
    <x v="0"/>
    <x v="7"/>
    <x v="7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7"/>
    <x v="0"/>
    <x v="7"/>
    <x v="7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7"/>
    <x v="0"/>
    <x v="7"/>
    <x v="7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7"/>
    <x v="0"/>
    <x v="7"/>
    <x v="7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7"/>
    <x v="0"/>
    <x v="7"/>
    <x v="7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7"/>
    <x v="0"/>
    <x v="7"/>
    <x v="7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7"/>
    <x v="0"/>
    <x v="7"/>
    <x v="7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7"/>
    <x v="0"/>
    <x v="7"/>
    <x v="7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7"/>
    <x v="0"/>
    <x v="7"/>
    <x v="7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7"/>
    <x v="0"/>
    <x v="7"/>
    <x v="7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7"/>
    <x v="0"/>
    <x v="7"/>
    <x v="7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7"/>
    <x v="0"/>
    <x v="7"/>
    <x v="7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7"/>
    <x v="0"/>
    <x v="7"/>
    <x v="7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7"/>
    <x v="0"/>
    <x v="7"/>
    <x v="7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7"/>
    <x v="0"/>
    <x v="7"/>
    <x v="7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7"/>
    <x v="0"/>
    <x v="7"/>
    <x v="7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7"/>
    <x v="0"/>
    <x v="7"/>
    <x v="7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7"/>
    <x v="0"/>
    <x v="7"/>
    <x v="7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7"/>
    <x v="0"/>
    <x v="7"/>
    <x v="7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7"/>
    <x v="0"/>
    <x v="7"/>
    <x v="7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7"/>
    <x v="0"/>
    <x v="7"/>
    <x v="7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7"/>
    <x v="0"/>
    <x v="7"/>
    <x v="7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7"/>
    <x v="0"/>
    <x v="7"/>
    <x v="7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7"/>
    <x v="0"/>
    <x v="7"/>
    <x v="7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7"/>
    <x v="0"/>
    <x v="7"/>
    <x v="7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7"/>
    <x v="0"/>
    <x v="7"/>
    <x v="7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7"/>
    <x v="0"/>
    <x v="7"/>
    <x v="7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7"/>
    <x v="0"/>
    <x v="7"/>
    <x v="7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7"/>
    <x v="0"/>
    <x v="7"/>
    <x v="7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7"/>
    <x v="0"/>
    <x v="7"/>
    <x v="7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7"/>
    <x v="0"/>
    <x v="7"/>
    <x v="7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7"/>
    <x v="0"/>
    <x v="7"/>
    <x v="7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7"/>
    <x v="0"/>
    <x v="7"/>
    <x v="7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7"/>
    <x v="0"/>
    <x v="7"/>
    <x v="7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7"/>
    <x v="0"/>
    <x v="7"/>
    <x v="7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7"/>
    <x v="0"/>
    <x v="7"/>
    <x v="7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7"/>
    <x v="0"/>
    <x v="7"/>
    <x v="7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7"/>
    <x v="0"/>
    <x v="7"/>
    <x v="7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7"/>
    <x v="0"/>
    <x v="7"/>
    <x v="7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7"/>
    <x v="0"/>
    <x v="7"/>
    <x v="7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7"/>
    <x v="0"/>
    <x v="7"/>
    <x v="7"/>
    <x v="1"/>
    <x v="6"/>
    <x v="0"/>
    <x v="0"/>
    <x v="2"/>
    <x v="2"/>
    <x v="17"/>
    <x v="17"/>
    <x v="3"/>
    <x v="7"/>
    <x v="7"/>
    <x v="40"/>
    <x v="40"/>
    <n v="1186.50056"/>
    <x v="1"/>
    <x v="2"/>
    <x v="5"/>
    <x v="7"/>
    <x v="11"/>
    <x v="22"/>
    <n v="1293.2856104"/>
  </r>
  <r>
    <x v="7"/>
    <x v="0"/>
    <x v="7"/>
    <x v="7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7"/>
    <x v="0"/>
    <x v="7"/>
    <x v="7"/>
    <x v="1"/>
    <x v="6"/>
    <x v="0"/>
    <x v="0"/>
    <x v="2"/>
    <x v="2"/>
    <x v="17"/>
    <x v="17"/>
    <x v="1"/>
    <x v="8"/>
    <x v="8"/>
    <x v="40"/>
    <x v="40"/>
    <n v="248.85865000000001"/>
    <x v="1"/>
    <x v="2"/>
    <x v="5"/>
    <x v="7"/>
    <x v="11"/>
    <x v="22"/>
    <n v="271.25592850000004"/>
  </r>
  <r>
    <x v="7"/>
    <x v="0"/>
    <x v="7"/>
    <x v="7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7"/>
    <x v="0"/>
    <x v="7"/>
    <x v="7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7"/>
    <x v="0"/>
    <x v="7"/>
    <x v="7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7"/>
    <x v="0"/>
    <x v="7"/>
    <x v="7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7"/>
    <x v="0"/>
    <x v="7"/>
    <x v="7"/>
    <x v="1"/>
    <x v="6"/>
    <x v="0"/>
    <x v="0"/>
    <x v="2"/>
    <x v="2"/>
    <x v="17"/>
    <x v="17"/>
    <x v="2"/>
    <x v="10"/>
    <x v="10"/>
    <x v="40"/>
    <x v="40"/>
    <n v="189.49683999999999"/>
    <x v="1"/>
    <x v="2"/>
    <x v="5"/>
    <x v="7"/>
    <x v="11"/>
    <x v="22"/>
    <n v="206.5515556"/>
  </r>
  <r>
    <x v="7"/>
    <x v="0"/>
    <x v="7"/>
    <x v="7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7"/>
    <x v="0"/>
    <x v="7"/>
    <x v="7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7"/>
    <x v="0"/>
    <x v="7"/>
    <x v="7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7"/>
    <x v="0"/>
    <x v="7"/>
    <x v="7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7"/>
    <x v="0"/>
    <x v="7"/>
    <x v="7"/>
    <x v="1"/>
    <x v="6"/>
    <x v="0"/>
    <x v="0"/>
    <x v="2"/>
    <x v="2"/>
    <x v="17"/>
    <x v="17"/>
    <x v="4"/>
    <x v="5"/>
    <x v="5"/>
    <x v="40"/>
    <x v="40"/>
    <n v="2073.1933800000002"/>
    <x v="1"/>
    <x v="2"/>
    <x v="5"/>
    <x v="7"/>
    <x v="11"/>
    <x v="22"/>
    <n v="2259.7807842000002"/>
  </r>
  <r>
    <x v="7"/>
    <x v="0"/>
    <x v="7"/>
    <x v="7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7"/>
    <x v="0"/>
    <x v="7"/>
    <x v="7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7"/>
    <x v="0"/>
    <x v="7"/>
    <x v="7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7"/>
    <x v="0"/>
    <x v="7"/>
    <x v="7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7"/>
    <x v="0"/>
    <x v="7"/>
    <x v="7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7"/>
    <x v="0"/>
    <x v="7"/>
    <x v="7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7"/>
    <x v="0"/>
    <x v="7"/>
    <x v="7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7"/>
    <x v="0"/>
    <x v="7"/>
    <x v="7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7"/>
    <x v="0"/>
    <x v="7"/>
    <x v="7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7"/>
    <x v="0"/>
    <x v="7"/>
    <x v="7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7"/>
    <x v="0"/>
    <x v="7"/>
    <x v="7"/>
    <x v="1"/>
    <x v="6"/>
    <x v="0"/>
    <x v="0"/>
    <x v="2"/>
    <x v="2"/>
    <x v="7"/>
    <x v="7"/>
    <x v="3"/>
    <x v="7"/>
    <x v="7"/>
    <x v="40"/>
    <x v="40"/>
    <n v="3.7345100000000002"/>
    <x v="1"/>
    <x v="2"/>
    <x v="5"/>
    <x v="7"/>
    <x v="11"/>
    <x v="22"/>
    <n v="4.0706159000000008"/>
  </r>
  <r>
    <x v="7"/>
    <x v="0"/>
    <x v="7"/>
    <x v="7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7"/>
    <x v="0"/>
    <x v="7"/>
    <x v="7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7"/>
    <x v="0"/>
    <x v="7"/>
    <x v="7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7"/>
    <x v="0"/>
    <x v="7"/>
    <x v="7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7"/>
    <x v="0"/>
    <x v="7"/>
    <x v="7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7"/>
    <x v="0"/>
    <x v="7"/>
    <x v="7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7"/>
    <x v="0"/>
    <x v="7"/>
    <x v="7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7"/>
    <x v="0"/>
    <x v="7"/>
    <x v="7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7"/>
    <x v="0"/>
    <x v="7"/>
    <x v="7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7"/>
    <x v="0"/>
    <x v="7"/>
    <x v="7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7"/>
    <x v="0"/>
    <x v="7"/>
    <x v="7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7"/>
    <x v="0"/>
    <x v="7"/>
    <x v="7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7"/>
    <x v="0"/>
    <x v="7"/>
    <x v="7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7"/>
    <x v="0"/>
    <x v="7"/>
    <x v="7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7"/>
    <x v="0"/>
    <x v="7"/>
    <x v="7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7"/>
    <x v="0"/>
    <x v="7"/>
    <x v="7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7"/>
    <x v="0"/>
    <x v="7"/>
    <x v="7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7"/>
    <x v="0"/>
    <x v="7"/>
    <x v="7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7"/>
    <x v="0"/>
    <x v="7"/>
    <x v="7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7"/>
    <x v="0"/>
    <x v="7"/>
    <x v="7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7"/>
    <x v="0"/>
    <x v="7"/>
    <x v="7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7"/>
    <x v="0"/>
    <x v="7"/>
    <x v="7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7"/>
    <x v="0"/>
    <x v="7"/>
    <x v="7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7"/>
    <x v="0"/>
    <x v="7"/>
    <x v="7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7"/>
    <x v="0"/>
    <x v="7"/>
    <x v="7"/>
    <x v="1"/>
    <x v="6"/>
    <x v="0"/>
    <x v="0"/>
    <x v="2"/>
    <x v="2"/>
    <x v="9"/>
    <x v="9"/>
    <x v="2"/>
    <x v="2"/>
    <x v="2"/>
    <x v="40"/>
    <x v="40"/>
    <n v="13150.179260000001"/>
    <x v="1"/>
    <x v="2"/>
    <x v="5"/>
    <x v="7"/>
    <x v="11"/>
    <x v="22"/>
    <n v="14333.695393400001"/>
  </r>
  <r>
    <x v="7"/>
    <x v="0"/>
    <x v="7"/>
    <x v="7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7"/>
    <x v="0"/>
    <x v="7"/>
    <x v="7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7"/>
    <x v="0"/>
    <x v="7"/>
    <x v="7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7"/>
    <x v="0"/>
    <x v="7"/>
    <x v="7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7"/>
    <x v="0"/>
    <x v="7"/>
    <x v="7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7"/>
    <x v="0"/>
    <x v="7"/>
    <x v="7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7"/>
    <x v="0"/>
    <x v="7"/>
    <x v="7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7"/>
    <x v="0"/>
    <x v="7"/>
    <x v="7"/>
    <x v="1"/>
    <x v="6"/>
    <x v="0"/>
    <x v="0"/>
    <x v="2"/>
    <x v="2"/>
    <x v="9"/>
    <x v="9"/>
    <x v="1"/>
    <x v="6"/>
    <x v="6"/>
    <x v="40"/>
    <x v="40"/>
    <n v="25729.250899999999"/>
    <x v="1"/>
    <x v="2"/>
    <x v="5"/>
    <x v="7"/>
    <x v="11"/>
    <x v="22"/>
    <n v="28044.883481000001"/>
  </r>
  <r>
    <x v="7"/>
    <x v="0"/>
    <x v="7"/>
    <x v="7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7"/>
    <x v="0"/>
    <x v="7"/>
    <x v="7"/>
    <x v="1"/>
    <x v="6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7"/>
    <x v="0"/>
    <x v="7"/>
    <x v="7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7"/>
    <x v="0"/>
    <x v="7"/>
    <x v="7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7"/>
    <x v="0"/>
    <x v="7"/>
    <x v="7"/>
    <x v="1"/>
    <x v="6"/>
    <x v="0"/>
    <x v="0"/>
    <x v="2"/>
    <x v="2"/>
    <x v="9"/>
    <x v="9"/>
    <x v="3"/>
    <x v="7"/>
    <x v="7"/>
    <x v="40"/>
    <x v="40"/>
    <n v="232.90661"/>
    <x v="1"/>
    <x v="2"/>
    <x v="5"/>
    <x v="7"/>
    <x v="11"/>
    <x v="22"/>
    <n v="253.86820490000002"/>
  </r>
  <r>
    <x v="7"/>
    <x v="0"/>
    <x v="7"/>
    <x v="7"/>
    <x v="1"/>
    <x v="6"/>
    <x v="0"/>
    <x v="0"/>
    <x v="2"/>
    <x v="2"/>
    <x v="9"/>
    <x v="9"/>
    <x v="1"/>
    <x v="8"/>
    <x v="8"/>
    <x v="40"/>
    <x v="40"/>
    <n v="11935.041999999999"/>
    <x v="1"/>
    <x v="2"/>
    <x v="5"/>
    <x v="7"/>
    <x v="11"/>
    <x v="22"/>
    <n v="13009.19578"/>
  </r>
  <r>
    <x v="7"/>
    <x v="0"/>
    <x v="7"/>
    <x v="7"/>
    <x v="1"/>
    <x v="6"/>
    <x v="0"/>
    <x v="0"/>
    <x v="2"/>
    <x v="2"/>
    <x v="9"/>
    <x v="9"/>
    <x v="2"/>
    <x v="10"/>
    <x v="10"/>
    <x v="40"/>
    <x v="40"/>
    <n v="46.488370000000003"/>
    <x v="1"/>
    <x v="2"/>
    <x v="5"/>
    <x v="7"/>
    <x v="11"/>
    <x v="22"/>
    <n v="50.672323300000009"/>
  </r>
  <r>
    <x v="7"/>
    <x v="0"/>
    <x v="7"/>
    <x v="7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7"/>
    <x v="0"/>
    <x v="7"/>
    <x v="7"/>
    <x v="1"/>
    <x v="6"/>
    <x v="0"/>
    <x v="0"/>
    <x v="2"/>
    <x v="2"/>
    <x v="9"/>
    <x v="9"/>
    <x v="4"/>
    <x v="5"/>
    <x v="5"/>
    <x v="40"/>
    <x v="40"/>
    <n v="1790.6390200000001"/>
    <x v="1"/>
    <x v="2"/>
    <x v="5"/>
    <x v="7"/>
    <x v="11"/>
    <x v="22"/>
    <n v="1951.7965318000001"/>
  </r>
  <r>
    <x v="7"/>
    <x v="0"/>
    <x v="7"/>
    <x v="7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7"/>
    <x v="0"/>
    <x v="7"/>
    <x v="7"/>
    <x v="1"/>
    <x v="6"/>
    <x v="0"/>
    <x v="0"/>
    <x v="2"/>
    <x v="2"/>
    <x v="10"/>
    <x v="10"/>
    <x v="2"/>
    <x v="2"/>
    <x v="2"/>
    <x v="41"/>
    <x v="41"/>
    <n v="530.26019148734702"/>
    <x v="1"/>
    <x v="2"/>
    <x v="5"/>
    <x v="7"/>
    <x v="11"/>
    <x v="22"/>
    <n v="577.98360872120827"/>
  </r>
  <r>
    <x v="7"/>
    <x v="0"/>
    <x v="7"/>
    <x v="7"/>
    <x v="1"/>
    <x v="6"/>
    <x v="0"/>
    <x v="0"/>
    <x v="2"/>
    <x v="2"/>
    <x v="10"/>
    <x v="10"/>
    <x v="2"/>
    <x v="2"/>
    <x v="2"/>
    <x v="40"/>
    <x v="40"/>
    <n v="4365.2138500000001"/>
    <x v="1"/>
    <x v="2"/>
    <x v="5"/>
    <x v="7"/>
    <x v="11"/>
    <x v="22"/>
    <n v="4758.0830965000005"/>
  </r>
  <r>
    <x v="7"/>
    <x v="0"/>
    <x v="7"/>
    <x v="7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7"/>
    <x v="0"/>
    <x v="7"/>
    <x v="7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7"/>
    <x v="0"/>
    <x v="7"/>
    <x v="7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7"/>
    <x v="0"/>
    <x v="7"/>
    <x v="7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7"/>
    <x v="0"/>
    <x v="7"/>
    <x v="7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7"/>
    <x v="0"/>
    <x v="7"/>
    <x v="7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7"/>
    <x v="0"/>
    <x v="7"/>
    <x v="7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7"/>
    <x v="0"/>
    <x v="7"/>
    <x v="7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7"/>
    <x v="0"/>
    <x v="7"/>
    <x v="7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7"/>
    <x v="0"/>
    <x v="7"/>
    <x v="7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7"/>
    <x v="0"/>
    <x v="7"/>
    <x v="7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7"/>
    <x v="0"/>
    <x v="7"/>
    <x v="7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7"/>
    <x v="0"/>
    <x v="7"/>
    <x v="7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7"/>
    <x v="0"/>
    <x v="7"/>
    <x v="7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7"/>
    <x v="0"/>
    <x v="7"/>
    <x v="7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7"/>
    <x v="0"/>
    <x v="7"/>
    <x v="7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7"/>
    <x v="0"/>
    <x v="7"/>
    <x v="7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7"/>
    <x v="0"/>
    <x v="7"/>
    <x v="7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7"/>
    <x v="0"/>
    <x v="7"/>
    <x v="7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7"/>
    <x v="0"/>
    <x v="7"/>
    <x v="7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7"/>
    <x v="0"/>
    <x v="7"/>
    <x v="7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7"/>
    <x v="0"/>
    <x v="7"/>
    <x v="7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7"/>
    <x v="0"/>
    <x v="7"/>
    <x v="7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7"/>
    <x v="0"/>
    <x v="7"/>
    <x v="7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7"/>
    <x v="0"/>
    <x v="7"/>
    <x v="7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7"/>
    <x v="0"/>
    <x v="7"/>
    <x v="7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7"/>
    <x v="0"/>
    <x v="7"/>
    <x v="7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7"/>
    <x v="0"/>
    <x v="7"/>
    <x v="7"/>
    <x v="1"/>
    <x v="6"/>
    <x v="0"/>
    <x v="0"/>
    <x v="3"/>
    <x v="3"/>
    <x v="12"/>
    <x v="12"/>
    <x v="3"/>
    <x v="7"/>
    <x v="7"/>
    <x v="40"/>
    <x v="40"/>
    <n v="54.823689999999999"/>
    <x v="1"/>
    <x v="2"/>
    <x v="5"/>
    <x v="7"/>
    <x v="11"/>
    <x v="22"/>
    <n v="59.757822100000006"/>
  </r>
  <r>
    <x v="7"/>
    <x v="0"/>
    <x v="7"/>
    <x v="7"/>
    <x v="1"/>
    <x v="6"/>
    <x v="0"/>
    <x v="0"/>
    <x v="3"/>
    <x v="3"/>
    <x v="12"/>
    <x v="12"/>
    <x v="1"/>
    <x v="8"/>
    <x v="8"/>
    <x v="40"/>
    <x v="40"/>
    <n v="20.610440000000001"/>
    <x v="1"/>
    <x v="2"/>
    <x v="5"/>
    <x v="7"/>
    <x v="11"/>
    <x v="22"/>
    <n v="22.465379600000002"/>
  </r>
  <r>
    <x v="7"/>
    <x v="0"/>
    <x v="7"/>
    <x v="7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7"/>
    <x v="0"/>
    <x v="7"/>
    <x v="7"/>
    <x v="1"/>
    <x v="6"/>
    <x v="0"/>
    <x v="0"/>
    <x v="3"/>
    <x v="3"/>
    <x v="12"/>
    <x v="12"/>
    <x v="2"/>
    <x v="10"/>
    <x v="10"/>
    <x v="40"/>
    <x v="40"/>
    <n v="5.03559"/>
    <x v="1"/>
    <x v="2"/>
    <x v="5"/>
    <x v="7"/>
    <x v="11"/>
    <x v="22"/>
    <n v="5.4887931000000005"/>
  </r>
  <r>
    <x v="7"/>
    <x v="0"/>
    <x v="7"/>
    <x v="7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7"/>
    <x v="0"/>
    <x v="7"/>
    <x v="7"/>
    <x v="1"/>
    <x v="6"/>
    <x v="0"/>
    <x v="0"/>
    <x v="3"/>
    <x v="3"/>
    <x v="12"/>
    <x v="12"/>
    <x v="4"/>
    <x v="5"/>
    <x v="5"/>
    <x v="40"/>
    <x v="40"/>
    <n v="90.032920000000004"/>
    <x v="1"/>
    <x v="2"/>
    <x v="5"/>
    <x v="7"/>
    <x v="11"/>
    <x v="22"/>
    <n v="98.135882800000019"/>
  </r>
  <r>
    <x v="7"/>
    <x v="0"/>
    <x v="7"/>
    <x v="7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7"/>
    <x v="0"/>
    <x v="7"/>
    <x v="7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7"/>
    <x v="0"/>
    <x v="7"/>
    <x v="7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7"/>
    <x v="0"/>
    <x v="7"/>
    <x v="7"/>
    <x v="1"/>
    <x v="6"/>
    <x v="0"/>
    <x v="0"/>
    <x v="3"/>
    <x v="3"/>
    <x v="13"/>
    <x v="13"/>
    <x v="2"/>
    <x v="2"/>
    <x v="2"/>
    <x v="40"/>
    <x v="40"/>
    <n v="2114.7563700000001"/>
    <x v="1"/>
    <x v="2"/>
    <x v="5"/>
    <x v="7"/>
    <x v="11"/>
    <x v="22"/>
    <n v="2305.0844433000002"/>
  </r>
  <r>
    <x v="7"/>
    <x v="0"/>
    <x v="7"/>
    <x v="7"/>
    <x v="1"/>
    <x v="6"/>
    <x v="0"/>
    <x v="0"/>
    <x v="3"/>
    <x v="3"/>
    <x v="13"/>
    <x v="13"/>
    <x v="2"/>
    <x v="2"/>
    <x v="2"/>
    <x v="12"/>
    <x v="12"/>
    <n v="44.075581395181402"/>
    <x v="0"/>
    <x v="0"/>
    <x v="0"/>
    <x v="0"/>
    <x v="8"/>
    <x v="12"/>
    <n v="48.042383720747729"/>
  </r>
  <r>
    <x v="7"/>
    <x v="0"/>
    <x v="7"/>
    <x v="7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7"/>
    <x v="0"/>
    <x v="7"/>
    <x v="7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7"/>
    <x v="0"/>
    <x v="7"/>
    <x v="7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7"/>
    <x v="0"/>
    <x v="7"/>
    <x v="7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7"/>
    <x v="0"/>
    <x v="7"/>
    <x v="7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7"/>
    <x v="0"/>
    <x v="7"/>
    <x v="7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7"/>
    <x v="0"/>
    <x v="7"/>
    <x v="7"/>
    <x v="1"/>
    <x v="6"/>
    <x v="0"/>
    <x v="0"/>
    <x v="3"/>
    <x v="3"/>
    <x v="19"/>
    <x v="19"/>
    <x v="3"/>
    <x v="7"/>
    <x v="7"/>
    <x v="40"/>
    <x v="40"/>
    <n v="6117.2904900000003"/>
    <x v="1"/>
    <x v="2"/>
    <x v="5"/>
    <x v="7"/>
    <x v="11"/>
    <x v="22"/>
    <n v="6667.8466341000012"/>
  </r>
  <r>
    <x v="7"/>
    <x v="0"/>
    <x v="7"/>
    <x v="7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7"/>
    <x v="0"/>
    <x v="7"/>
    <x v="7"/>
    <x v="1"/>
    <x v="6"/>
    <x v="0"/>
    <x v="0"/>
    <x v="3"/>
    <x v="3"/>
    <x v="19"/>
    <x v="19"/>
    <x v="1"/>
    <x v="8"/>
    <x v="8"/>
    <x v="40"/>
    <x v="40"/>
    <n v="1630.70516"/>
    <x v="1"/>
    <x v="2"/>
    <x v="5"/>
    <x v="7"/>
    <x v="11"/>
    <x v="22"/>
    <n v="1777.4686244000002"/>
  </r>
  <r>
    <x v="7"/>
    <x v="0"/>
    <x v="7"/>
    <x v="7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7"/>
    <x v="0"/>
    <x v="7"/>
    <x v="7"/>
    <x v="1"/>
    <x v="6"/>
    <x v="0"/>
    <x v="0"/>
    <x v="3"/>
    <x v="3"/>
    <x v="19"/>
    <x v="19"/>
    <x v="2"/>
    <x v="10"/>
    <x v="10"/>
    <x v="40"/>
    <x v="40"/>
    <n v="827.36663999999996"/>
    <x v="1"/>
    <x v="2"/>
    <x v="5"/>
    <x v="7"/>
    <x v="11"/>
    <x v="22"/>
    <n v="901.82963760000007"/>
  </r>
  <r>
    <x v="7"/>
    <x v="0"/>
    <x v="7"/>
    <x v="7"/>
    <x v="1"/>
    <x v="7"/>
    <x v="0"/>
    <x v="0"/>
    <x v="0"/>
    <x v="0"/>
    <x v="0"/>
    <x v="0"/>
    <x v="3"/>
    <x v="3"/>
    <x v="3"/>
    <x v="11"/>
    <x v="11"/>
    <n v="260.28739000000002"/>
    <x v="0"/>
    <x v="0"/>
    <x v="3"/>
    <x v="5"/>
    <x v="7"/>
    <x v="11"/>
    <n v="283.71325510000003"/>
  </r>
  <r>
    <x v="7"/>
    <x v="0"/>
    <x v="7"/>
    <x v="7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7"/>
    <x v="0"/>
    <x v="7"/>
    <x v="7"/>
    <x v="1"/>
    <x v="7"/>
    <x v="0"/>
    <x v="0"/>
    <x v="0"/>
    <x v="0"/>
    <x v="0"/>
    <x v="0"/>
    <x v="0"/>
    <x v="4"/>
    <x v="4"/>
    <x v="11"/>
    <x v="11"/>
    <n v="374.07864000000001"/>
    <x v="0"/>
    <x v="0"/>
    <x v="3"/>
    <x v="5"/>
    <x v="7"/>
    <x v="11"/>
    <n v="407.74571760000003"/>
  </r>
  <r>
    <x v="7"/>
    <x v="0"/>
    <x v="7"/>
    <x v="7"/>
    <x v="1"/>
    <x v="7"/>
    <x v="0"/>
    <x v="0"/>
    <x v="0"/>
    <x v="0"/>
    <x v="0"/>
    <x v="0"/>
    <x v="0"/>
    <x v="4"/>
    <x v="4"/>
    <x v="16"/>
    <x v="16"/>
    <n v="8"/>
    <x v="0"/>
    <x v="0"/>
    <x v="3"/>
    <x v="5"/>
    <x v="9"/>
    <x v="16"/>
    <n v="8.7200000000000006"/>
  </r>
  <r>
    <x v="7"/>
    <x v="0"/>
    <x v="7"/>
    <x v="7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7"/>
    <x v="0"/>
    <x v="7"/>
    <x v="7"/>
    <x v="1"/>
    <x v="7"/>
    <x v="0"/>
    <x v="0"/>
    <x v="0"/>
    <x v="0"/>
    <x v="0"/>
    <x v="0"/>
    <x v="2"/>
    <x v="2"/>
    <x v="2"/>
    <x v="5"/>
    <x v="5"/>
    <n v="10.4951595092822"/>
    <x v="0"/>
    <x v="0"/>
    <x v="1"/>
    <x v="1"/>
    <x v="1"/>
    <x v="5"/>
    <n v="11.439723865117598"/>
  </r>
  <r>
    <x v="7"/>
    <x v="0"/>
    <x v="7"/>
    <x v="7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7"/>
    <x v="0"/>
    <x v="7"/>
    <x v="7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7"/>
    <x v="0"/>
    <x v="7"/>
    <x v="7"/>
    <x v="1"/>
    <x v="7"/>
    <x v="0"/>
    <x v="0"/>
    <x v="0"/>
    <x v="0"/>
    <x v="0"/>
    <x v="0"/>
    <x v="2"/>
    <x v="2"/>
    <x v="2"/>
    <x v="10"/>
    <x v="10"/>
    <n v="1.9458715596318601"/>
    <x v="0"/>
    <x v="0"/>
    <x v="1"/>
    <x v="4"/>
    <x v="5"/>
    <x v="10"/>
    <n v="2.1209999999987277"/>
  </r>
  <r>
    <x v="7"/>
    <x v="0"/>
    <x v="7"/>
    <x v="7"/>
    <x v="1"/>
    <x v="7"/>
    <x v="0"/>
    <x v="0"/>
    <x v="0"/>
    <x v="0"/>
    <x v="0"/>
    <x v="0"/>
    <x v="2"/>
    <x v="2"/>
    <x v="2"/>
    <x v="11"/>
    <x v="11"/>
    <n v="577.53629000000001"/>
    <x v="0"/>
    <x v="0"/>
    <x v="3"/>
    <x v="5"/>
    <x v="7"/>
    <x v="11"/>
    <n v="629.51455610000005"/>
  </r>
  <r>
    <x v="7"/>
    <x v="0"/>
    <x v="7"/>
    <x v="7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7"/>
    <x v="0"/>
    <x v="7"/>
    <x v="7"/>
    <x v="1"/>
    <x v="7"/>
    <x v="0"/>
    <x v="0"/>
    <x v="0"/>
    <x v="0"/>
    <x v="0"/>
    <x v="0"/>
    <x v="2"/>
    <x v="2"/>
    <x v="2"/>
    <x v="16"/>
    <x v="16"/>
    <n v="3.5"/>
    <x v="0"/>
    <x v="0"/>
    <x v="3"/>
    <x v="5"/>
    <x v="9"/>
    <x v="16"/>
    <n v="3.8150000000000004"/>
  </r>
  <r>
    <x v="7"/>
    <x v="0"/>
    <x v="7"/>
    <x v="7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7"/>
    <x v="0"/>
    <x v="7"/>
    <x v="7"/>
    <x v="1"/>
    <x v="7"/>
    <x v="0"/>
    <x v="0"/>
    <x v="0"/>
    <x v="0"/>
    <x v="0"/>
    <x v="0"/>
    <x v="2"/>
    <x v="2"/>
    <x v="2"/>
    <x v="18"/>
    <x v="18"/>
    <n v="35.944000000000003"/>
    <x v="0"/>
    <x v="0"/>
    <x v="0"/>
    <x v="0"/>
    <x v="4"/>
    <x v="18"/>
    <n v="39.178960000000004"/>
  </r>
  <r>
    <x v="7"/>
    <x v="0"/>
    <x v="7"/>
    <x v="7"/>
    <x v="1"/>
    <x v="7"/>
    <x v="0"/>
    <x v="0"/>
    <x v="0"/>
    <x v="0"/>
    <x v="0"/>
    <x v="0"/>
    <x v="2"/>
    <x v="2"/>
    <x v="2"/>
    <x v="26"/>
    <x v="26"/>
    <n v="347.70642201814002"/>
    <x v="0"/>
    <x v="0"/>
    <x v="1"/>
    <x v="3"/>
    <x v="3"/>
    <x v="15"/>
    <n v="378.99999999977263"/>
  </r>
  <r>
    <x v="7"/>
    <x v="0"/>
    <x v="7"/>
    <x v="7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7"/>
    <x v="0"/>
    <x v="7"/>
    <x v="7"/>
    <x v="1"/>
    <x v="7"/>
    <x v="0"/>
    <x v="0"/>
    <x v="0"/>
    <x v="0"/>
    <x v="0"/>
    <x v="0"/>
    <x v="1"/>
    <x v="6"/>
    <x v="6"/>
    <x v="11"/>
    <x v="11"/>
    <n v="51.023319999999998"/>
    <x v="0"/>
    <x v="0"/>
    <x v="3"/>
    <x v="5"/>
    <x v="7"/>
    <x v="11"/>
    <n v="55.6154188"/>
  </r>
  <r>
    <x v="7"/>
    <x v="0"/>
    <x v="7"/>
    <x v="7"/>
    <x v="1"/>
    <x v="7"/>
    <x v="0"/>
    <x v="0"/>
    <x v="0"/>
    <x v="0"/>
    <x v="0"/>
    <x v="0"/>
    <x v="1"/>
    <x v="6"/>
    <x v="6"/>
    <x v="16"/>
    <x v="16"/>
    <n v="20"/>
    <x v="0"/>
    <x v="0"/>
    <x v="3"/>
    <x v="5"/>
    <x v="9"/>
    <x v="16"/>
    <n v="21.8"/>
  </r>
  <r>
    <x v="7"/>
    <x v="0"/>
    <x v="7"/>
    <x v="7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7"/>
    <x v="0"/>
    <x v="7"/>
    <x v="7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7"/>
    <x v="0"/>
    <x v="7"/>
    <x v="7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7"/>
    <x v="0"/>
    <x v="7"/>
    <x v="7"/>
    <x v="1"/>
    <x v="7"/>
    <x v="0"/>
    <x v="0"/>
    <x v="0"/>
    <x v="0"/>
    <x v="3"/>
    <x v="3"/>
    <x v="0"/>
    <x v="4"/>
    <x v="4"/>
    <x v="11"/>
    <x v="11"/>
    <n v="0.30718000000000001"/>
    <x v="0"/>
    <x v="0"/>
    <x v="3"/>
    <x v="5"/>
    <x v="7"/>
    <x v="11"/>
    <n v="0.33482620000000002"/>
  </r>
  <r>
    <x v="7"/>
    <x v="0"/>
    <x v="7"/>
    <x v="7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7"/>
    <x v="0"/>
    <x v="7"/>
    <x v="7"/>
    <x v="1"/>
    <x v="7"/>
    <x v="0"/>
    <x v="0"/>
    <x v="0"/>
    <x v="0"/>
    <x v="3"/>
    <x v="3"/>
    <x v="1"/>
    <x v="6"/>
    <x v="6"/>
    <x v="11"/>
    <x v="11"/>
    <n v="13"/>
    <x v="0"/>
    <x v="0"/>
    <x v="3"/>
    <x v="5"/>
    <x v="7"/>
    <x v="11"/>
    <n v="14.170000000000002"/>
  </r>
  <r>
    <x v="8"/>
    <x v="0"/>
    <x v="8"/>
    <x v="8"/>
    <x v="0"/>
    <x v="0"/>
    <x v="0"/>
    <x v="0"/>
    <x v="0"/>
    <x v="0"/>
    <x v="2"/>
    <x v="2"/>
    <x v="2"/>
    <x v="2"/>
    <x v="2"/>
    <x v="2"/>
    <x v="2"/>
    <n v="7.9266055045800008E-3"/>
    <x v="0"/>
    <x v="1"/>
    <x v="2"/>
    <x v="2"/>
    <x v="13"/>
    <x v="2"/>
    <n v="8.6399999999922008E-3"/>
  </r>
  <r>
    <x v="8"/>
    <x v="0"/>
    <x v="8"/>
    <x v="8"/>
    <x v="0"/>
    <x v="0"/>
    <x v="0"/>
    <x v="0"/>
    <x v="0"/>
    <x v="0"/>
    <x v="2"/>
    <x v="2"/>
    <x v="4"/>
    <x v="5"/>
    <x v="5"/>
    <x v="18"/>
    <x v="18"/>
    <n v="1.14324"/>
    <x v="0"/>
    <x v="0"/>
    <x v="0"/>
    <x v="0"/>
    <x v="4"/>
    <x v="18"/>
    <n v="1.2461316000000002"/>
  </r>
  <r>
    <x v="8"/>
    <x v="0"/>
    <x v="8"/>
    <x v="8"/>
    <x v="0"/>
    <x v="0"/>
    <x v="0"/>
    <x v="0"/>
    <x v="0"/>
    <x v="0"/>
    <x v="0"/>
    <x v="0"/>
    <x v="3"/>
    <x v="3"/>
    <x v="3"/>
    <x v="8"/>
    <x v="8"/>
    <n v="46.469054054351503"/>
    <x v="0"/>
    <x v="1"/>
    <x v="2"/>
    <x v="2"/>
    <x v="6"/>
    <x v="8"/>
    <n v="50.651268919243144"/>
  </r>
  <r>
    <x v="8"/>
    <x v="0"/>
    <x v="8"/>
    <x v="8"/>
    <x v="0"/>
    <x v="0"/>
    <x v="0"/>
    <x v="0"/>
    <x v="0"/>
    <x v="0"/>
    <x v="0"/>
    <x v="0"/>
    <x v="3"/>
    <x v="3"/>
    <x v="3"/>
    <x v="11"/>
    <x v="11"/>
    <n v="7.1169999999999997E-2"/>
    <x v="0"/>
    <x v="0"/>
    <x v="3"/>
    <x v="5"/>
    <x v="7"/>
    <x v="11"/>
    <n v="7.75753E-2"/>
  </r>
  <r>
    <x v="8"/>
    <x v="0"/>
    <x v="8"/>
    <x v="8"/>
    <x v="0"/>
    <x v="0"/>
    <x v="0"/>
    <x v="0"/>
    <x v="0"/>
    <x v="0"/>
    <x v="0"/>
    <x v="0"/>
    <x v="3"/>
    <x v="3"/>
    <x v="3"/>
    <x v="12"/>
    <x v="12"/>
    <n v="635.98146511386199"/>
    <x v="0"/>
    <x v="0"/>
    <x v="0"/>
    <x v="0"/>
    <x v="8"/>
    <x v="12"/>
    <n v="693.21979697410961"/>
  </r>
  <r>
    <x v="8"/>
    <x v="0"/>
    <x v="8"/>
    <x v="8"/>
    <x v="0"/>
    <x v="0"/>
    <x v="0"/>
    <x v="0"/>
    <x v="0"/>
    <x v="0"/>
    <x v="0"/>
    <x v="0"/>
    <x v="3"/>
    <x v="3"/>
    <x v="3"/>
    <x v="14"/>
    <x v="14"/>
    <n v="10.7"/>
    <x v="0"/>
    <x v="0"/>
    <x v="0"/>
    <x v="0"/>
    <x v="8"/>
    <x v="14"/>
    <n v="11.663"/>
  </r>
  <r>
    <x v="8"/>
    <x v="0"/>
    <x v="8"/>
    <x v="8"/>
    <x v="0"/>
    <x v="0"/>
    <x v="0"/>
    <x v="0"/>
    <x v="0"/>
    <x v="0"/>
    <x v="0"/>
    <x v="0"/>
    <x v="3"/>
    <x v="3"/>
    <x v="3"/>
    <x v="16"/>
    <x v="16"/>
    <n v="8.2331000000000003"/>
    <x v="0"/>
    <x v="0"/>
    <x v="3"/>
    <x v="5"/>
    <x v="9"/>
    <x v="16"/>
    <n v="8.9740790000000015"/>
  </r>
  <r>
    <x v="8"/>
    <x v="0"/>
    <x v="8"/>
    <x v="8"/>
    <x v="0"/>
    <x v="0"/>
    <x v="0"/>
    <x v="0"/>
    <x v="0"/>
    <x v="0"/>
    <x v="0"/>
    <x v="0"/>
    <x v="3"/>
    <x v="3"/>
    <x v="3"/>
    <x v="26"/>
    <x v="26"/>
    <n v="56.444376146755097"/>
    <x v="0"/>
    <x v="0"/>
    <x v="1"/>
    <x v="3"/>
    <x v="3"/>
    <x v="15"/>
    <n v="61.524369999963064"/>
  </r>
  <r>
    <x v="8"/>
    <x v="0"/>
    <x v="8"/>
    <x v="8"/>
    <x v="0"/>
    <x v="0"/>
    <x v="0"/>
    <x v="0"/>
    <x v="0"/>
    <x v="0"/>
    <x v="0"/>
    <x v="0"/>
    <x v="3"/>
    <x v="3"/>
    <x v="3"/>
    <x v="2"/>
    <x v="2"/>
    <n v="1002.29077981591"/>
    <x v="0"/>
    <x v="1"/>
    <x v="2"/>
    <x v="2"/>
    <x v="13"/>
    <x v="2"/>
    <n v="1092.496949999342"/>
  </r>
  <r>
    <x v="8"/>
    <x v="0"/>
    <x v="8"/>
    <x v="8"/>
    <x v="0"/>
    <x v="0"/>
    <x v="0"/>
    <x v="0"/>
    <x v="0"/>
    <x v="0"/>
    <x v="0"/>
    <x v="0"/>
    <x v="3"/>
    <x v="12"/>
    <x v="3"/>
    <x v="8"/>
    <x v="8"/>
    <n v="383.109101353803"/>
    <x v="0"/>
    <x v="1"/>
    <x v="2"/>
    <x v="2"/>
    <x v="6"/>
    <x v="8"/>
    <n v="417.5889204756453"/>
  </r>
  <r>
    <x v="8"/>
    <x v="0"/>
    <x v="8"/>
    <x v="8"/>
    <x v="0"/>
    <x v="0"/>
    <x v="0"/>
    <x v="0"/>
    <x v="0"/>
    <x v="0"/>
    <x v="0"/>
    <x v="0"/>
    <x v="3"/>
    <x v="12"/>
    <x v="3"/>
    <x v="12"/>
    <x v="12"/>
    <n v="95.829383720566099"/>
    <x v="0"/>
    <x v="0"/>
    <x v="0"/>
    <x v="0"/>
    <x v="8"/>
    <x v="12"/>
    <n v="104.45402825541706"/>
  </r>
  <r>
    <x v="8"/>
    <x v="0"/>
    <x v="8"/>
    <x v="8"/>
    <x v="0"/>
    <x v="0"/>
    <x v="0"/>
    <x v="0"/>
    <x v="0"/>
    <x v="0"/>
    <x v="0"/>
    <x v="0"/>
    <x v="3"/>
    <x v="12"/>
    <x v="3"/>
    <x v="2"/>
    <x v="2"/>
    <n v="184.21033944943099"/>
    <x v="0"/>
    <x v="1"/>
    <x v="2"/>
    <x v="2"/>
    <x v="13"/>
    <x v="2"/>
    <n v="200.78926999987979"/>
  </r>
  <r>
    <x v="8"/>
    <x v="0"/>
    <x v="8"/>
    <x v="8"/>
    <x v="0"/>
    <x v="0"/>
    <x v="0"/>
    <x v="0"/>
    <x v="0"/>
    <x v="0"/>
    <x v="0"/>
    <x v="0"/>
    <x v="0"/>
    <x v="4"/>
    <x v="4"/>
    <x v="5"/>
    <x v="5"/>
    <n v="276.949423314988"/>
    <x v="0"/>
    <x v="0"/>
    <x v="1"/>
    <x v="1"/>
    <x v="1"/>
    <x v="5"/>
    <n v="301.87487141333696"/>
  </r>
  <r>
    <x v="8"/>
    <x v="0"/>
    <x v="8"/>
    <x v="8"/>
    <x v="0"/>
    <x v="0"/>
    <x v="0"/>
    <x v="0"/>
    <x v="0"/>
    <x v="0"/>
    <x v="0"/>
    <x v="0"/>
    <x v="0"/>
    <x v="4"/>
    <x v="4"/>
    <x v="6"/>
    <x v="6"/>
    <n v="51.357460000000003"/>
    <x v="0"/>
    <x v="0"/>
    <x v="0"/>
    <x v="0"/>
    <x v="4"/>
    <x v="6"/>
    <n v="55.979631400000009"/>
  </r>
  <r>
    <x v="8"/>
    <x v="0"/>
    <x v="8"/>
    <x v="8"/>
    <x v="0"/>
    <x v="0"/>
    <x v="0"/>
    <x v="0"/>
    <x v="0"/>
    <x v="0"/>
    <x v="0"/>
    <x v="0"/>
    <x v="0"/>
    <x v="4"/>
    <x v="4"/>
    <x v="8"/>
    <x v="8"/>
    <n v="104.18022973039599"/>
    <x v="0"/>
    <x v="1"/>
    <x v="2"/>
    <x v="2"/>
    <x v="6"/>
    <x v="8"/>
    <n v="113.55645040613165"/>
  </r>
  <r>
    <x v="8"/>
    <x v="0"/>
    <x v="8"/>
    <x v="8"/>
    <x v="0"/>
    <x v="0"/>
    <x v="0"/>
    <x v="0"/>
    <x v="0"/>
    <x v="0"/>
    <x v="0"/>
    <x v="0"/>
    <x v="0"/>
    <x v="4"/>
    <x v="4"/>
    <x v="9"/>
    <x v="9"/>
    <n v="56.5012844036358"/>
    <x v="0"/>
    <x v="0"/>
    <x v="1"/>
    <x v="4"/>
    <x v="5"/>
    <x v="9"/>
    <n v="61.586399999963028"/>
  </r>
  <r>
    <x v="8"/>
    <x v="0"/>
    <x v="8"/>
    <x v="8"/>
    <x v="0"/>
    <x v="0"/>
    <x v="0"/>
    <x v="0"/>
    <x v="0"/>
    <x v="0"/>
    <x v="0"/>
    <x v="0"/>
    <x v="0"/>
    <x v="4"/>
    <x v="4"/>
    <x v="11"/>
    <x v="11"/>
    <n v="12.932700000000001"/>
    <x v="0"/>
    <x v="0"/>
    <x v="3"/>
    <x v="5"/>
    <x v="7"/>
    <x v="11"/>
    <n v="14.096643000000002"/>
  </r>
  <r>
    <x v="8"/>
    <x v="0"/>
    <x v="8"/>
    <x v="8"/>
    <x v="0"/>
    <x v="0"/>
    <x v="0"/>
    <x v="0"/>
    <x v="0"/>
    <x v="0"/>
    <x v="0"/>
    <x v="0"/>
    <x v="0"/>
    <x v="4"/>
    <x v="4"/>
    <x v="12"/>
    <x v="12"/>
    <n v="440.56540697507"/>
    <x v="0"/>
    <x v="0"/>
    <x v="0"/>
    <x v="0"/>
    <x v="8"/>
    <x v="12"/>
    <n v="480.21629360282634"/>
  </r>
  <r>
    <x v="8"/>
    <x v="0"/>
    <x v="8"/>
    <x v="8"/>
    <x v="0"/>
    <x v="0"/>
    <x v="0"/>
    <x v="0"/>
    <x v="0"/>
    <x v="0"/>
    <x v="0"/>
    <x v="0"/>
    <x v="0"/>
    <x v="4"/>
    <x v="4"/>
    <x v="14"/>
    <x v="14"/>
    <n v="162.47206"/>
    <x v="0"/>
    <x v="0"/>
    <x v="0"/>
    <x v="0"/>
    <x v="8"/>
    <x v="14"/>
    <n v="177.09454540000002"/>
  </r>
  <r>
    <x v="8"/>
    <x v="0"/>
    <x v="8"/>
    <x v="8"/>
    <x v="0"/>
    <x v="0"/>
    <x v="0"/>
    <x v="0"/>
    <x v="0"/>
    <x v="0"/>
    <x v="0"/>
    <x v="0"/>
    <x v="0"/>
    <x v="4"/>
    <x v="4"/>
    <x v="16"/>
    <x v="16"/>
    <n v="172.71463"/>
    <x v="0"/>
    <x v="0"/>
    <x v="3"/>
    <x v="5"/>
    <x v="9"/>
    <x v="16"/>
    <n v="188.25894670000002"/>
  </r>
  <r>
    <x v="8"/>
    <x v="0"/>
    <x v="8"/>
    <x v="8"/>
    <x v="0"/>
    <x v="0"/>
    <x v="0"/>
    <x v="0"/>
    <x v="0"/>
    <x v="0"/>
    <x v="0"/>
    <x v="0"/>
    <x v="0"/>
    <x v="4"/>
    <x v="4"/>
    <x v="17"/>
    <x v="17"/>
    <n v="33.176839999999999"/>
    <x v="0"/>
    <x v="0"/>
    <x v="0"/>
    <x v="0"/>
    <x v="4"/>
    <x v="17"/>
    <n v="36.162755600000004"/>
  </r>
  <r>
    <x v="8"/>
    <x v="0"/>
    <x v="8"/>
    <x v="8"/>
    <x v="0"/>
    <x v="0"/>
    <x v="0"/>
    <x v="0"/>
    <x v="0"/>
    <x v="0"/>
    <x v="0"/>
    <x v="0"/>
    <x v="0"/>
    <x v="4"/>
    <x v="4"/>
    <x v="18"/>
    <x v="18"/>
    <n v="114.85153"/>
    <x v="0"/>
    <x v="0"/>
    <x v="0"/>
    <x v="0"/>
    <x v="4"/>
    <x v="18"/>
    <n v="125.18816770000001"/>
  </r>
  <r>
    <x v="8"/>
    <x v="0"/>
    <x v="8"/>
    <x v="8"/>
    <x v="0"/>
    <x v="0"/>
    <x v="0"/>
    <x v="0"/>
    <x v="0"/>
    <x v="0"/>
    <x v="0"/>
    <x v="0"/>
    <x v="0"/>
    <x v="4"/>
    <x v="4"/>
    <x v="2"/>
    <x v="2"/>
    <n v="595.72059632991795"/>
    <x v="0"/>
    <x v="1"/>
    <x v="2"/>
    <x v="2"/>
    <x v="13"/>
    <x v="2"/>
    <n v="649.33544999961066"/>
  </r>
  <r>
    <x v="8"/>
    <x v="0"/>
    <x v="8"/>
    <x v="8"/>
    <x v="0"/>
    <x v="0"/>
    <x v="0"/>
    <x v="0"/>
    <x v="0"/>
    <x v="0"/>
    <x v="0"/>
    <x v="0"/>
    <x v="0"/>
    <x v="0"/>
    <x v="0"/>
    <x v="5"/>
    <x v="5"/>
    <n v="3.9371226994164301"/>
    <x v="0"/>
    <x v="0"/>
    <x v="1"/>
    <x v="1"/>
    <x v="1"/>
    <x v="5"/>
    <n v="4.2914637423639093"/>
  </r>
  <r>
    <x v="8"/>
    <x v="0"/>
    <x v="8"/>
    <x v="8"/>
    <x v="0"/>
    <x v="0"/>
    <x v="0"/>
    <x v="0"/>
    <x v="0"/>
    <x v="0"/>
    <x v="0"/>
    <x v="0"/>
    <x v="0"/>
    <x v="0"/>
    <x v="0"/>
    <x v="6"/>
    <x v="6"/>
    <n v="114.10380000000001"/>
    <x v="0"/>
    <x v="0"/>
    <x v="0"/>
    <x v="0"/>
    <x v="4"/>
    <x v="6"/>
    <n v="124.37314200000002"/>
  </r>
  <r>
    <x v="8"/>
    <x v="0"/>
    <x v="8"/>
    <x v="8"/>
    <x v="0"/>
    <x v="0"/>
    <x v="0"/>
    <x v="0"/>
    <x v="0"/>
    <x v="0"/>
    <x v="0"/>
    <x v="0"/>
    <x v="0"/>
    <x v="0"/>
    <x v="0"/>
    <x v="7"/>
    <x v="7"/>
    <n v="10.247036697241599"/>
    <x v="0"/>
    <x v="0"/>
    <x v="1"/>
    <x v="4"/>
    <x v="5"/>
    <x v="7"/>
    <n v="11.169269999993343"/>
  </r>
  <r>
    <x v="8"/>
    <x v="0"/>
    <x v="8"/>
    <x v="8"/>
    <x v="0"/>
    <x v="0"/>
    <x v="0"/>
    <x v="0"/>
    <x v="0"/>
    <x v="0"/>
    <x v="0"/>
    <x v="0"/>
    <x v="0"/>
    <x v="0"/>
    <x v="0"/>
    <x v="8"/>
    <x v="8"/>
    <n v="85.983020270820603"/>
    <x v="0"/>
    <x v="1"/>
    <x v="2"/>
    <x v="2"/>
    <x v="6"/>
    <x v="8"/>
    <n v="93.721492095194463"/>
  </r>
  <r>
    <x v="8"/>
    <x v="0"/>
    <x v="8"/>
    <x v="8"/>
    <x v="0"/>
    <x v="0"/>
    <x v="0"/>
    <x v="0"/>
    <x v="0"/>
    <x v="0"/>
    <x v="0"/>
    <x v="0"/>
    <x v="0"/>
    <x v="0"/>
    <x v="0"/>
    <x v="9"/>
    <x v="9"/>
    <n v="7.6484419767220002"/>
    <x v="0"/>
    <x v="0"/>
    <x v="1"/>
    <x v="4"/>
    <x v="5"/>
    <x v="9"/>
    <n v="8.3368017546269808"/>
  </r>
  <r>
    <x v="8"/>
    <x v="0"/>
    <x v="8"/>
    <x v="8"/>
    <x v="0"/>
    <x v="0"/>
    <x v="0"/>
    <x v="0"/>
    <x v="0"/>
    <x v="0"/>
    <x v="0"/>
    <x v="0"/>
    <x v="0"/>
    <x v="0"/>
    <x v="0"/>
    <x v="10"/>
    <x v="10"/>
    <n v="14.551258450183701"/>
    <x v="0"/>
    <x v="0"/>
    <x v="1"/>
    <x v="4"/>
    <x v="5"/>
    <x v="10"/>
    <n v="15.860871710700234"/>
  </r>
  <r>
    <x v="8"/>
    <x v="0"/>
    <x v="8"/>
    <x v="8"/>
    <x v="0"/>
    <x v="0"/>
    <x v="0"/>
    <x v="0"/>
    <x v="0"/>
    <x v="0"/>
    <x v="0"/>
    <x v="0"/>
    <x v="0"/>
    <x v="0"/>
    <x v="0"/>
    <x v="55"/>
    <x v="55"/>
    <n v="0.16901834862375001"/>
    <x v="0"/>
    <x v="0"/>
    <x v="1"/>
    <x v="3"/>
    <x v="3"/>
    <x v="15"/>
    <n v="0.18422999999988751"/>
  </r>
  <r>
    <x v="8"/>
    <x v="0"/>
    <x v="8"/>
    <x v="8"/>
    <x v="0"/>
    <x v="0"/>
    <x v="0"/>
    <x v="0"/>
    <x v="0"/>
    <x v="0"/>
    <x v="0"/>
    <x v="0"/>
    <x v="0"/>
    <x v="0"/>
    <x v="0"/>
    <x v="11"/>
    <x v="11"/>
    <n v="9.1501699999999992"/>
    <x v="0"/>
    <x v="0"/>
    <x v="3"/>
    <x v="5"/>
    <x v="7"/>
    <x v="11"/>
    <n v="9.9736852999999996"/>
  </r>
  <r>
    <x v="8"/>
    <x v="0"/>
    <x v="8"/>
    <x v="8"/>
    <x v="0"/>
    <x v="0"/>
    <x v="0"/>
    <x v="0"/>
    <x v="0"/>
    <x v="0"/>
    <x v="0"/>
    <x v="0"/>
    <x v="0"/>
    <x v="0"/>
    <x v="0"/>
    <x v="12"/>
    <x v="12"/>
    <n v="544.82539534676698"/>
    <x v="0"/>
    <x v="0"/>
    <x v="0"/>
    <x v="0"/>
    <x v="8"/>
    <x v="12"/>
    <n v="593.859680927976"/>
  </r>
  <r>
    <x v="8"/>
    <x v="0"/>
    <x v="8"/>
    <x v="8"/>
    <x v="0"/>
    <x v="0"/>
    <x v="0"/>
    <x v="0"/>
    <x v="0"/>
    <x v="0"/>
    <x v="0"/>
    <x v="0"/>
    <x v="0"/>
    <x v="0"/>
    <x v="0"/>
    <x v="14"/>
    <x v="14"/>
    <n v="25.742999999999999"/>
    <x v="0"/>
    <x v="0"/>
    <x v="0"/>
    <x v="0"/>
    <x v="8"/>
    <x v="14"/>
    <n v="28.05987"/>
  </r>
  <r>
    <x v="8"/>
    <x v="0"/>
    <x v="8"/>
    <x v="8"/>
    <x v="0"/>
    <x v="0"/>
    <x v="0"/>
    <x v="0"/>
    <x v="0"/>
    <x v="0"/>
    <x v="0"/>
    <x v="0"/>
    <x v="0"/>
    <x v="0"/>
    <x v="0"/>
    <x v="22"/>
    <x v="22"/>
    <n v="1.25110887096274"/>
    <x v="0"/>
    <x v="0"/>
    <x v="0"/>
    <x v="0"/>
    <x v="0"/>
    <x v="0"/>
    <n v="1.3637086693493867"/>
  </r>
  <r>
    <x v="8"/>
    <x v="0"/>
    <x v="8"/>
    <x v="8"/>
    <x v="0"/>
    <x v="0"/>
    <x v="0"/>
    <x v="0"/>
    <x v="0"/>
    <x v="0"/>
    <x v="0"/>
    <x v="0"/>
    <x v="0"/>
    <x v="0"/>
    <x v="0"/>
    <x v="23"/>
    <x v="23"/>
    <n v="1.9961376146776999"/>
    <x v="0"/>
    <x v="0"/>
    <x v="1"/>
    <x v="3"/>
    <x v="3"/>
    <x v="15"/>
    <n v="2.1757899999986932"/>
  </r>
  <r>
    <x v="8"/>
    <x v="0"/>
    <x v="8"/>
    <x v="8"/>
    <x v="0"/>
    <x v="0"/>
    <x v="0"/>
    <x v="0"/>
    <x v="0"/>
    <x v="0"/>
    <x v="0"/>
    <x v="0"/>
    <x v="0"/>
    <x v="0"/>
    <x v="0"/>
    <x v="24"/>
    <x v="24"/>
    <n v="0.86181651376095003"/>
    <x v="0"/>
    <x v="0"/>
    <x v="1"/>
    <x v="3"/>
    <x v="3"/>
    <x v="4"/>
    <n v="0.93937999999943556"/>
  </r>
  <r>
    <x v="8"/>
    <x v="0"/>
    <x v="8"/>
    <x v="8"/>
    <x v="0"/>
    <x v="0"/>
    <x v="0"/>
    <x v="0"/>
    <x v="0"/>
    <x v="0"/>
    <x v="0"/>
    <x v="0"/>
    <x v="0"/>
    <x v="0"/>
    <x v="0"/>
    <x v="17"/>
    <x v="17"/>
    <n v="0.69384000000000001"/>
    <x v="0"/>
    <x v="0"/>
    <x v="0"/>
    <x v="0"/>
    <x v="4"/>
    <x v="17"/>
    <n v="0.75628560000000011"/>
  </r>
  <r>
    <x v="8"/>
    <x v="0"/>
    <x v="8"/>
    <x v="8"/>
    <x v="0"/>
    <x v="0"/>
    <x v="0"/>
    <x v="0"/>
    <x v="0"/>
    <x v="0"/>
    <x v="0"/>
    <x v="0"/>
    <x v="0"/>
    <x v="0"/>
    <x v="0"/>
    <x v="21"/>
    <x v="21"/>
    <n v="3.2183119266035698"/>
    <x v="0"/>
    <x v="0"/>
    <x v="1"/>
    <x v="4"/>
    <x v="5"/>
    <x v="10"/>
    <n v="3.5079599999978912"/>
  </r>
  <r>
    <x v="8"/>
    <x v="0"/>
    <x v="8"/>
    <x v="8"/>
    <x v="0"/>
    <x v="0"/>
    <x v="0"/>
    <x v="0"/>
    <x v="0"/>
    <x v="0"/>
    <x v="0"/>
    <x v="0"/>
    <x v="0"/>
    <x v="0"/>
    <x v="0"/>
    <x v="18"/>
    <x v="18"/>
    <n v="6.1019399999999999"/>
    <x v="0"/>
    <x v="0"/>
    <x v="0"/>
    <x v="0"/>
    <x v="4"/>
    <x v="18"/>
    <n v="6.6511146000000005"/>
  </r>
  <r>
    <x v="8"/>
    <x v="0"/>
    <x v="8"/>
    <x v="8"/>
    <x v="0"/>
    <x v="0"/>
    <x v="0"/>
    <x v="0"/>
    <x v="0"/>
    <x v="0"/>
    <x v="0"/>
    <x v="0"/>
    <x v="0"/>
    <x v="0"/>
    <x v="0"/>
    <x v="25"/>
    <x v="25"/>
    <n v="9.6904954128382208"/>
    <x v="0"/>
    <x v="0"/>
    <x v="1"/>
    <x v="4"/>
    <x v="5"/>
    <x v="9"/>
    <n v="10.562639999993662"/>
  </r>
  <r>
    <x v="8"/>
    <x v="0"/>
    <x v="8"/>
    <x v="8"/>
    <x v="0"/>
    <x v="0"/>
    <x v="0"/>
    <x v="0"/>
    <x v="0"/>
    <x v="0"/>
    <x v="0"/>
    <x v="0"/>
    <x v="0"/>
    <x v="0"/>
    <x v="0"/>
    <x v="78"/>
    <x v="78"/>
    <n v="1.6441926605494701"/>
    <x v="0"/>
    <x v="0"/>
    <x v="1"/>
    <x v="4"/>
    <x v="5"/>
    <x v="9"/>
    <n v="1.7921699999989225"/>
  </r>
  <r>
    <x v="8"/>
    <x v="0"/>
    <x v="8"/>
    <x v="8"/>
    <x v="0"/>
    <x v="0"/>
    <x v="0"/>
    <x v="0"/>
    <x v="0"/>
    <x v="0"/>
    <x v="0"/>
    <x v="0"/>
    <x v="0"/>
    <x v="0"/>
    <x v="0"/>
    <x v="26"/>
    <x v="26"/>
    <n v="6.3945963302713897"/>
    <x v="0"/>
    <x v="0"/>
    <x v="1"/>
    <x v="3"/>
    <x v="3"/>
    <x v="15"/>
    <n v="6.9701099999958149"/>
  </r>
  <r>
    <x v="8"/>
    <x v="0"/>
    <x v="8"/>
    <x v="8"/>
    <x v="0"/>
    <x v="0"/>
    <x v="0"/>
    <x v="0"/>
    <x v="0"/>
    <x v="0"/>
    <x v="0"/>
    <x v="0"/>
    <x v="0"/>
    <x v="0"/>
    <x v="0"/>
    <x v="0"/>
    <x v="0"/>
    <n v="2.38385587187945"/>
    <x v="0"/>
    <x v="0"/>
    <x v="0"/>
    <x v="0"/>
    <x v="0"/>
    <x v="0"/>
    <n v="2.5984029003486007"/>
  </r>
  <r>
    <x v="8"/>
    <x v="0"/>
    <x v="8"/>
    <x v="8"/>
    <x v="0"/>
    <x v="0"/>
    <x v="0"/>
    <x v="0"/>
    <x v="0"/>
    <x v="0"/>
    <x v="0"/>
    <x v="0"/>
    <x v="0"/>
    <x v="0"/>
    <x v="0"/>
    <x v="2"/>
    <x v="2"/>
    <n v="395.05155045847903"/>
    <x v="0"/>
    <x v="1"/>
    <x v="2"/>
    <x v="2"/>
    <x v="13"/>
    <x v="2"/>
    <n v="430.60618999974218"/>
  </r>
  <r>
    <x v="8"/>
    <x v="0"/>
    <x v="8"/>
    <x v="8"/>
    <x v="0"/>
    <x v="0"/>
    <x v="0"/>
    <x v="0"/>
    <x v="0"/>
    <x v="0"/>
    <x v="0"/>
    <x v="0"/>
    <x v="0"/>
    <x v="0"/>
    <x v="0"/>
    <x v="3"/>
    <x v="3"/>
    <n v="0.13484482757569"/>
    <x v="0"/>
    <x v="0"/>
    <x v="1"/>
    <x v="3"/>
    <x v="3"/>
    <x v="3"/>
    <n v="0.1469808620575021"/>
  </r>
  <r>
    <x v="8"/>
    <x v="0"/>
    <x v="8"/>
    <x v="8"/>
    <x v="0"/>
    <x v="0"/>
    <x v="0"/>
    <x v="0"/>
    <x v="0"/>
    <x v="0"/>
    <x v="0"/>
    <x v="0"/>
    <x v="1"/>
    <x v="1"/>
    <x v="1"/>
    <x v="4"/>
    <x v="4"/>
    <n v="1.06615596330211"/>
    <x v="0"/>
    <x v="0"/>
    <x v="1"/>
    <x v="3"/>
    <x v="3"/>
    <x v="4"/>
    <n v="1.1621099999993001"/>
  </r>
  <r>
    <x v="8"/>
    <x v="0"/>
    <x v="8"/>
    <x v="8"/>
    <x v="0"/>
    <x v="0"/>
    <x v="0"/>
    <x v="0"/>
    <x v="0"/>
    <x v="0"/>
    <x v="0"/>
    <x v="0"/>
    <x v="1"/>
    <x v="1"/>
    <x v="1"/>
    <x v="5"/>
    <x v="5"/>
    <n v="6.5481288344055901"/>
    <x v="0"/>
    <x v="0"/>
    <x v="1"/>
    <x v="1"/>
    <x v="1"/>
    <x v="5"/>
    <n v="7.1374604295020934"/>
  </r>
  <r>
    <x v="8"/>
    <x v="0"/>
    <x v="8"/>
    <x v="8"/>
    <x v="0"/>
    <x v="0"/>
    <x v="0"/>
    <x v="0"/>
    <x v="0"/>
    <x v="0"/>
    <x v="0"/>
    <x v="0"/>
    <x v="1"/>
    <x v="1"/>
    <x v="1"/>
    <x v="6"/>
    <x v="6"/>
    <n v="69.864639999999994"/>
    <x v="0"/>
    <x v="0"/>
    <x v="0"/>
    <x v="0"/>
    <x v="4"/>
    <x v="6"/>
    <n v="76.152457600000005"/>
  </r>
  <r>
    <x v="8"/>
    <x v="0"/>
    <x v="8"/>
    <x v="8"/>
    <x v="0"/>
    <x v="0"/>
    <x v="0"/>
    <x v="0"/>
    <x v="0"/>
    <x v="0"/>
    <x v="0"/>
    <x v="0"/>
    <x v="1"/>
    <x v="1"/>
    <x v="1"/>
    <x v="7"/>
    <x v="7"/>
    <n v="17.232357798154801"/>
    <x v="0"/>
    <x v="0"/>
    <x v="1"/>
    <x v="4"/>
    <x v="5"/>
    <x v="7"/>
    <n v="18.783269999988736"/>
  </r>
  <r>
    <x v="8"/>
    <x v="0"/>
    <x v="8"/>
    <x v="8"/>
    <x v="0"/>
    <x v="0"/>
    <x v="0"/>
    <x v="0"/>
    <x v="0"/>
    <x v="0"/>
    <x v="0"/>
    <x v="0"/>
    <x v="1"/>
    <x v="1"/>
    <x v="1"/>
    <x v="8"/>
    <x v="8"/>
    <n v="24.4817837839405"/>
    <x v="0"/>
    <x v="1"/>
    <x v="2"/>
    <x v="2"/>
    <x v="6"/>
    <x v="8"/>
    <n v="26.685144324495148"/>
  </r>
  <r>
    <x v="8"/>
    <x v="0"/>
    <x v="8"/>
    <x v="8"/>
    <x v="0"/>
    <x v="0"/>
    <x v="0"/>
    <x v="0"/>
    <x v="0"/>
    <x v="0"/>
    <x v="0"/>
    <x v="0"/>
    <x v="1"/>
    <x v="1"/>
    <x v="1"/>
    <x v="9"/>
    <x v="9"/>
    <n v="9.8792633579858506"/>
    <x v="0"/>
    <x v="0"/>
    <x v="1"/>
    <x v="4"/>
    <x v="5"/>
    <x v="9"/>
    <n v="10.768397060204578"/>
  </r>
  <r>
    <x v="8"/>
    <x v="0"/>
    <x v="8"/>
    <x v="8"/>
    <x v="0"/>
    <x v="0"/>
    <x v="0"/>
    <x v="0"/>
    <x v="0"/>
    <x v="0"/>
    <x v="0"/>
    <x v="0"/>
    <x v="1"/>
    <x v="1"/>
    <x v="1"/>
    <x v="10"/>
    <x v="10"/>
    <n v="3.1095401452051199"/>
    <x v="0"/>
    <x v="0"/>
    <x v="1"/>
    <x v="4"/>
    <x v="5"/>
    <x v="10"/>
    <n v="3.3893987582735807"/>
  </r>
  <r>
    <x v="8"/>
    <x v="0"/>
    <x v="8"/>
    <x v="8"/>
    <x v="0"/>
    <x v="0"/>
    <x v="0"/>
    <x v="0"/>
    <x v="0"/>
    <x v="0"/>
    <x v="0"/>
    <x v="0"/>
    <x v="1"/>
    <x v="1"/>
    <x v="1"/>
    <x v="55"/>
    <x v="55"/>
    <n v="0.33035779816493999"/>
    <x v="0"/>
    <x v="0"/>
    <x v="1"/>
    <x v="3"/>
    <x v="3"/>
    <x v="15"/>
    <n v="0.36008999999978464"/>
  </r>
  <r>
    <x v="8"/>
    <x v="0"/>
    <x v="8"/>
    <x v="8"/>
    <x v="0"/>
    <x v="0"/>
    <x v="0"/>
    <x v="0"/>
    <x v="0"/>
    <x v="0"/>
    <x v="0"/>
    <x v="0"/>
    <x v="1"/>
    <x v="1"/>
    <x v="1"/>
    <x v="11"/>
    <x v="11"/>
    <n v="20.00675"/>
    <x v="0"/>
    <x v="0"/>
    <x v="3"/>
    <x v="5"/>
    <x v="7"/>
    <x v="11"/>
    <n v="21.807357500000002"/>
  </r>
  <r>
    <x v="8"/>
    <x v="0"/>
    <x v="8"/>
    <x v="8"/>
    <x v="0"/>
    <x v="0"/>
    <x v="0"/>
    <x v="0"/>
    <x v="0"/>
    <x v="0"/>
    <x v="0"/>
    <x v="0"/>
    <x v="1"/>
    <x v="1"/>
    <x v="1"/>
    <x v="12"/>
    <x v="12"/>
    <n v="283.131872091947"/>
    <x v="0"/>
    <x v="0"/>
    <x v="0"/>
    <x v="0"/>
    <x v="8"/>
    <x v="12"/>
    <n v="308.61374058022227"/>
  </r>
  <r>
    <x v="8"/>
    <x v="0"/>
    <x v="8"/>
    <x v="8"/>
    <x v="0"/>
    <x v="0"/>
    <x v="0"/>
    <x v="0"/>
    <x v="0"/>
    <x v="0"/>
    <x v="0"/>
    <x v="0"/>
    <x v="1"/>
    <x v="1"/>
    <x v="1"/>
    <x v="14"/>
    <x v="14"/>
    <n v="145.12631999999999"/>
    <x v="0"/>
    <x v="0"/>
    <x v="0"/>
    <x v="0"/>
    <x v="8"/>
    <x v="14"/>
    <n v="158.18768879999999"/>
  </r>
  <r>
    <x v="8"/>
    <x v="0"/>
    <x v="8"/>
    <x v="8"/>
    <x v="0"/>
    <x v="0"/>
    <x v="0"/>
    <x v="0"/>
    <x v="0"/>
    <x v="0"/>
    <x v="0"/>
    <x v="0"/>
    <x v="1"/>
    <x v="1"/>
    <x v="1"/>
    <x v="15"/>
    <x v="15"/>
    <n v="5.5376146788960003E-2"/>
    <x v="0"/>
    <x v="0"/>
    <x v="1"/>
    <x v="3"/>
    <x v="3"/>
    <x v="15"/>
    <n v="6.0359999999966406E-2"/>
  </r>
  <r>
    <x v="8"/>
    <x v="0"/>
    <x v="8"/>
    <x v="8"/>
    <x v="0"/>
    <x v="0"/>
    <x v="0"/>
    <x v="0"/>
    <x v="0"/>
    <x v="0"/>
    <x v="0"/>
    <x v="0"/>
    <x v="1"/>
    <x v="1"/>
    <x v="1"/>
    <x v="22"/>
    <x v="22"/>
    <n v="0.41703629032091"/>
    <x v="0"/>
    <x v="0"/>
    <x v="0"/>
    <x v="0"/>
    <x v="0"/>
    <x v="0"/>
    <n v="0.45456955644979191"/>
  </r>
  <r>
    <x v="8"/>
    <x v="0"/>
    <x v="8"/>
    <x v="8"/>
    <x v="0"/>
    <x v="0"/>
    <x v="0"/>
    <x v="0"/>
    <x v="0"/>
    <x v="0"/>
    <x v="0"/>
    <x v="0"/>
    <x v="1"/>
    <x v="1"/>
    <x v="1"/>
    <x v="16"/>
    <x v="16"/>
    <n v="30.969360000000002"/>
    <x v="0"/>
    <x v="0"/>
    <x v="3"/>
    <x v="5"/>
    <x v="9"/>
    <x v="16"/>
    <n v="33.756602400000006"/>
  </r>
  <r>
    <x v="8"/>
    <x v="0"/>
    <x v="8"/>
    <x v="8"/>
    <x v="0"/>
    <x v="0"/>
    <x v="0"/>
    <x v="0"/>
    <x v="0"/>
    <x v="0"/>
    <x v="0"/>
    <x v="0"/>
    <x v="1"/>
    <x v="1"/>
    <x v="1"/>
    <x v="23"/>
    <x v="23"/>
    <n v="21.355990825675299"/>
    <x v="0"/>
    <x v="0"/>
    <x v="1"/>
    <x v="3"/>
    <x v="3"/>
    <x v="15"/>
    <n v="23.278029999986078"/>
  </r>
  <r>
    <x v="8"/>
    <x v="0"/>
    <x v="8"/>
    <x v="8"/>
    <x v="0"/>
    <x v="0"/>
    <x v="0"/>
    <x v="0"/>
    <x v="0"/>
    <x v="0"/>
    <x v="0"/>
    <x v="0"/>
    <x v="1"/>
    <x v="1"/>
    <x v="1"/>
    <x v="24"/>
    <x v="24"/>
    <n v="2.6697247706406002"/>
    <x v="0"/>
    <x v="0"/>
    <x v="1"/>
    <x v="3"/>
    <x v="3"/>
    <x v="4"/>
    <n v="2.9099999999982544"/>
  </r>
  <r>
    <x v="8"/>
    <x v="0"/>
    <x v="8"/>
    <x v="8"/>
    <x v="0"/>
    <x v="0"/>
    <x v="0"/>
    <x v="0"/>
    <x v="0"/>
    <x v="0"/>
    <x v="0"/>
    <x v="0"/>
    <x v="1"/>
    <x v="1"/>
    <x v="1"/>
    <x v="17"/>
    <x v="17"/>
    <n v="0.83964000000000005"/>
    <x v="0"/>
    <x v="0"/>
    <x v="0"/>
    <x v="0"/>
    <x v="4"/>
    <x v="17"/>
    <n v="0.91520760000000012"/>
  </r>
  <r>
    <x v="8"/>
    <x v="0"/>
    <x v="8"/>
    <x v="8"/>
    <x v="0"/>
    <x v="0"/>
    <x v="0"/>
    <x v="0"/>
    <x v="0"/>
    <x v="0"/>
    <x v="0"/>
    <x v="0"/>
    <x v="1"/>
    <x v="1"/>
    <x v="1"/>
    <x v="18"/>
    <x v="18"/>
    <n v="58.360439999999997"/>
    <x v="0"/>
    <x v="0"/>
    <x v="0"/>
    <x v="0"/>
    <x v="4"/>
    <x v="18"/>
    <n v="63.612879599999999"/>
  </r>
  <r>
    <x v="8"/>
    <x v="0"/>
    <x v="8"/>
    <x v="8"/>
    <x v="0"/>
    <x v="0"/>
    <x v="0"/>
    <x v="0"/>
    <x v="0"/>
    <x v="0"/>
    <x v="0"/>
    <x v="0"/>
    <x v="1"/>
    <x v="1"/>
    <x v="1"/>
    <x v="27"/>
    <x v="27"/>
    <n v="42.381189190087703"/>
    <x v="0"/>
    <x v="0"/>
    <x v="1"/>
    <x v="3"/>
    <x v="3"/>
    <x v="19"/>
    <n v="46.195496217195597"/>
  </r>
  <r>
    <x v="8"/>
    <x v="0"/>
    <x v="8"/>
    <x v="8"/>
    <x v="0"/>
    <x v="0"/>
    <x v="0"/>
    <x v="0"/>
    <x v="0"/>
    <x v="0"/>
    <x v="0"/>
    <x v="0"/>
    <x v="1"/>
    <x v="1"/>
    <x v="1"/>
    <x v="78"/>
    <x v="78"/>
    <n v="1.0282844036691099"/>
    <x v="0"/>
    <x v="0"/>
    <x v="1"/>
    <x v="4"/>
    <x v="5"/>
    <x v="9"/>
    <n v="1.1208299999993299"/>
  </r>
  <r>
    <x v="8"/>
    <x v="0"/>
    <x v="8"/>
    <x v="8"/>
    <x v="0"/>
    <x v="0"/>
    <x v="0"/>
    <x v="0"/>
    <x v="0"/>
    <x v="0"/>
    <x v="0"/>
    <x v="0"/>
    <x v="1"/>
    <x v="1"/>
    <x v="1"/>
    <x v="26"/>
    <x v="26"/>
    <n v="2.4111192660535998"/>
    <x v="0"/>
    <x v="0"/>
    <x v="1"/>
    <x v="3"/>
    <x v="3"/>
    <x v="15"/>
    <n v="2.6281199999984239"/>
  </r>
  <r>
    <x v="8"/>
    <x v="0"/>
    <x v="8"/>
    <x v="8"/>
    <x v="0"/>
    <x v="0"/>
    <x v="0"/>
    <x v="0"/>
    <x v="0"/>
    <x v="0"/>
    <x v="0"/>
    <x v="0"/>
    <x v="1"/>
    <x v="1"/>
    <x v="1"/>
    <x v="0"/>
    <x v="0"/>
    <n v="2.4670177935874"/>
    <x v="0"/>
    <x v="0"/>
    <x v="0"/>
    <x v="0"/>
    <x v="0"/>
    <x v="0"/>
    <n v="2.6890493950102661"/>
  </r>
  <r>
    <x v="8"/>
    <x v="0"/>
    <x v="8"/>
    <x v="8"/>
    <x v="0"/>
    <x v="0"/>
    <x v="0"/>
    <x v="0"/>
    <x v="0"/>
    <x v="0"/>
    <x v="0"/>
    <x v="0"/>
    <x v="1"/>
    <x v="1"/>
    <x v="1"/>
    <x v="2"/>
    <x v="2"/>
    <n v="337.83002752273302"/>
    <x v="0"/>
    <x v="1"/>
    <x v="2"/>
    <x v="2"/>
    <x v="13"/>
    <x v="2"/>
    <n v="368.23472999977901"/>
  </r>
  <r>
    <x v="8"/>
    <x v="0"/>
    <x v="8"/>
    <x v="8"/>
    <x v="0"/>
    <x v="0"/>
    <x v="0"/>
    <x v="0"/>
    <x v="0"/>
    <x v="0"/>
    <x v="0"/>
    <x v="0"/>
    <x v="1"/>
    <x v="1"/>
    <x v="1"/>
    <x v="3"/>
    <x v="3"/>
    <n v="9.6439551716615597"/>
    <x v="0"/>
    <x v="0"/>
    <x v="1"/>
    <x v="3"/>
    <x v="3"/>
    <x v="3"/>
    <n v="10.511911137111101"/>
  </r>
  <r>
    <x v="8"/>
    <x v="0"/>
    <x v="8"/>
    <x v="8"/>
    <x v="0"/>
    <x v="0"/>
    <x v="0"/>
    <x v="0"/>
    <x v="0"/>
    <x v="0"/>
    <x v="0"/>
    <x v="0"/>
    <x v="2"/>
    <x v="2"/>
    <x v="2"/>
    <x v="4"/>
    <x v="4"/>
    <n v="42.342385321075497"/>
    <x v="0"/>
    <x v="0"/>
    <x v="1"/>
    <x v="3"/>
    <x v="3"/>
    <x v="4"/>
    <n v="46.153199999972294"/>
  </r>
  <r>
    <x v="8"/>
    <x v="0"/>
    <x v="8"/>
    <x v="8"/>
    <x v="0"/>
    <x v="0"/>
    <x v="0"/>
    <x v="0"/>
    <x v="0"/>
    <x v="0"/>
    <x v="0"/>
    <x v="0"/>
    <x v="2"/>
    <x v="2"/>
    <x v="2"/>
    <x v="5"/>
    <x v="5"/>
    <n v="311.55898159745999"/>
    <x v="0"/>
    <x v="0"/>
    <x v="1"/>
    <x v="1"/>
    <x v="1"/>
    <x v="5"/>
    <n v="339.5992899412314"/>
  </r>
  <r>
    <x v="8"/>
    <x v="0"/>
    <x v="8"/>
    <x v="8"/>
    <x v="0"/>
    <x v="0"/>
    <x v="0"/>
    <x v="0"/>
    <x v="0"/>
    <x v="0"/>
    <x v="0"/>
    <x v="0"/>
    <x v="2"/>
    <x v="2"/>
    <x v="2"/>
    <x v="6"/>
    <x v="6"/>
    <n v="292.24216000000001"/>
    <x v="0"/>
    <x v="0"/>
    <x v="0"/>
    <x v="0"/>
    <x v="4"/>
    <x v="6"/>
    <n v="318.54395440000002"/>
  </r>
  <r>
    <x v="8"/>
    <x v="0"/>
    <x v="8"/>
    <x v="8"/>
    <x v="0"/>
    <x v="0"/>
    <x v="0"/>
    <x v="0"/>
    <x v="0"/>
    <x v="0"/>
    <x v="0"/>
    <x v="0"/>
    <x v="2"/>
    <x v="2"/>
    <x v="2"/>
    <x v="7"/>
    <x v="7"/>
    <n v="5.5393486238498904"/>
    <x v="0"/>
    <x v="0"/>
    <x v="1"/>
    <x v="4"/>
    <x v="5"/>
    <x v="7"/>
    <n v="6.0378899999963807"/>
  </r>
  <r>
    <x v="8"/>
    <x v="0"/>
    <x v="8"/>
    <x v="8"/>
    <x v="0"/>
    <x v="0"/>
    <x v="0"/>
    <x v="0"/>
    <x v="0"/>
    <x v="0"/>
    <x v="0"/>
    <x v="0"/>
    <x v="2"/>
    <x v="2"/>
    <x v="2"/>
    <x v="8"/>
    <x v="8"/>
    <n v="244.144670346205"/>
    <x v="0"/>
    <x v="1"/>
    <x v="2"/>
    <x v="2"/>
    <x v="6"/>
    <x v="8"/>
    <n v="266.1176906773635"/>
  </r>
  <r>
    <x v="8"/>
    <x v="0"/>
    <x v="8"/>
    <x v="8"/>
    <x v="0"/>
    <x v="0"/>
    <x v="0"/>
    <x v="0"/>
    <x v="0"/>
    <x v="0"/>
    <x v="0"/>
    <x v="0"/>
    <x v="2"/>
    <x v="2"/>
    <x v="2"/>
    <x v="9"/>
    <x v="9"/>
    <n v="62.520999999962498"/>
    <x v="0"/>
    <x v="0"/>
    <x v="1"/>
    <x v="4"/>
    <x v="5"/>
    <x v="9"/>
    <n v="68.147889999959133"/>
  </r>
  <r>
    <x v="8"/>
    <x v="0"/>
    <x v="8"/>
    <x v="8"/>
    <x v="0"/>
    <x v="0"/>
    <x v="0"/>
    <x v="0"/>
    <x v="0"/>
    <x v="0"/>
    <x v="0"/>
    <x v="0"/>
    <x v="2"/>
    <x v="2"/>
    <x v="2"/>
    <x v="10"/>
    <x v="10"/>
    <n v="3.1669357798146098"/>
    <x v="0"/>
    <x v="0"/>
    <x v="1"/>
    <x v="4"/>
    <x v="5"/>
    <x v="10"/>
    <n v="3.4519599999979249"/>
  </r>
  <r>
    <x v="8"/>
    <x v="0"/>
    <x v="8"/>
    <x v="8"/>
    <x v="0"/>
    <x v="0"/>
    <x v="0"/>
    <x v="0"/>
    <x v="0"/>
    <x v="0"/>
    <x v="0"/>
    <x v="0"/>
    <x v="2"/>
    <x v="2"/>
    <x v="2"/>
    <x v="28"/>
    <x v="28"/>
    <n v="6.7901999999999996"/>
    <x v="0"/>
    <x v="0"/>
    <x v="1"/>
    <x v="3"/>
    <x v="3"/>
    <x v="13"/>
    <n v="7.4013179999999998"/>
  </r>
  <r>
    <x v="8"/>
    <x v="0"/>
    <x v="8"/>
    <x v="8"/>
    <x v="0"/>
    <x v="0"/>
    <x v="0"/>
    <x v="0"/>
    <x v="0"/>
    <x v="0"/>
    <x v="0"/>
    <x v="0"/>
    <x v="2"/>
    <x v="2"/>
    <x v="2"/>
    <x v="30"/>
    <x v="30"/>
    <n v="58.012161290090503"/>
    <x v="0"/>
    <x v="0"/>
    <x v="0"/>
    <x v="0"/>
    <x v="0"/>
    <x v="0"/>
    <n v="63.233255806198656"/>
  </r>
  <r>
    <x v="8"/>
    <x v="0"/>
    <x v="8"/>
    <x v="8"/>
    <x v="0"/>
    <x v="0"/>
    <x v="0"/>
    <x v="0"/>
    <x v="0"/>
    <x v="0"/>
    <x v="0"/>
    <x v="0"/>
    <x v="2"/>
    <x v="2"/>
    <x v="2"/>
    <x v="80"/>
    <x v="80"/>
    <n v="0.7018348623849"/>
    <x v="0"/>
    <x v="0"/>
    <x v="1"/>
    <x v="4"/>
    <x v="5"/>
    <x v="10"/>
    <n v="0.76499999999954105"/>
  </r>
  <r>
    <x v="8"/>
    <x v="0"/>
    <x v="8"/>
    <x v="8"/>
    <x v="0"/>
    <x v="0"/>
    <x v="0"/>
    <x v="0"/>
    <x v="0"/>
    <x v="0"/>
    <x v="0"/>
    <x v="0"/>
    <x v="2"/>
    <x v="2"/>
    <x v="2"/>
    <x v="31"/>
    <x v="31"/>
    <n v="0.88858715596277005"/>
    <x v="0"/>
    <x v="0"/>
    <x v="1"/>
    <x v="4"/>
    <x v="5"/>
    <x v="10"/>
    <n v="0.96855999999941944"/>
  </r>
  <r>
    <x v="8"/>
    <x v="0"/>
    <x v="8"/>
    <x v="8"/>
    <x v="0"/>
    <x v="0"/>
    <x v="0"/>
    <x v="0"/>
    <x v="0"/>
    <x v="0"/>
    <x v="0"/>
    <x v="0"/>
    <x v="2"/>
    <x v="2"/>
    <x v="2"/>
    <x v="11"/>
    <x v="11"/>
    <n v="119.81402"/>
    <x v="0"/>
    <x v="0"/>
    <x v="3"/>
    <x v="5"/>
    <x v="7"/>
    <x v="11"/>
    <n v="130.59728180000002"/>
  </r>
  <r>
    <x v="8"/>
    <x v="0"/>
    <x v="8"/>
    <x v="8"/>
    <x v="0"/>
    <x v="0"/>
    <x v="0"/>
    <x v="0"/>
    <x v="0"/>
    <x v="0"/>
    <x v="0"/>
    <x v="0"/>
    <x v="2"/>
    <x v="2"/>
    <x v="2"/>
    <x v="88"/>
    <x v="88"/>
    <n v="2.4752660550443899"/>
    <x v="0"/>
    <x v="0"/>
    <x v="1"/>
    <x v="4"/>
    <x v="5"/>
    <x v="9"/>
    <n v="2.6980399999983851"/>
  </r>
  <r>
    <x v="8"/>
    <x v="0"/>
    <x v="8"/>
    <x v="8"/>
    <x v="0"/>
    <x v="0"/>
    <x v="0"/>
    <x v="0"/>
    <x v="0"/>
    <x v="0"/>
    <x v="0"/>
    <x v="0"/>
    <x v="2"/>
    <x v="2"/>
    <x v="2"/>
    <x v="12"/>
    <x v="12"/>
    <n v="731.58660464838295"/>
    <x v="0"/>
    <x v="0"/>
    <x v="0"/>
    <x v="0"/>
    <x v="8"/>
    <x v="12"/>
    <n v="797.42939906673746"/>
  </r>
  <r>
    <x v="8"/>
    <x v="0"/>
    <x v="8"/>
    <x v="8"/>
    <x v="0"/>
    <x v="0"/>
    <x v="0"/>
    <x v="0"/>
    <x v="0"/>
    <x v="0"/>
    <x v="0"/>
    <x v="0"/>
    <x v="2"/>
    <x v="2"/>
    <x v="2"/>
    <x v="32"/>
    <x v="32"/>
    <n v="1.41843971628"/>
    <x v="0"/>
    <x v="0"/>
    <x v="1"/>
    <x v="1"/>
    <x v="1"/>
    <x v="20"/>
    <n v="1.5460992907452"/>
  </r>
  <r>
    <x v="8"/>
    <x v="0"/>
    <x v="8"/>
    <x v="8"/>
    <x v="0"/>
    <x v="0"/>
    <x v="0"/>
    <x v="0"/>
    <x v="0"/>
    <x v="0"/>
    <x v="0"/>
    <x v="0"/>
    <x v="2"/>
    <x v="2"/>
    <x v="2"/>
    <x v="14"/>
    <x v="14"/>
    <n v="147.59790000000001"/>
    <x v="0"/>
    <x v="0"/>
    <x v="0"/>
    <x v="0"/>
    <x v="8"/>
    <x v="14"/>
    <n v="160.88171100000002"/>
  </r>
  <r>
    <x v="8"/>
    <x v="0"/>
    <x v="8"/>
    <x v="8"/>
    <x v="0"/>
    <x v="0"/>
    <x v="0"/>
    <x v="0"/>
    <x v="0"/>
    <x v="0"/>
    <x v="0"/>
    <x v="0"/>
    <x v="2"/>
    <x v="2"/>
    <x v="2"/>
    <x v="22"/>
    <x v="22"/>
    <n v="0.30875268817080997"/>
    <x v="0"/>
    <x v="0"/>
    <x v="0"/>
    <x v="0"/>
    <x v="0"/>
    <x v="0"/>
    <n v="0.3365404301061829"/>
  </r>
  <r>
    <x v="8"/>
    <x v="0"/>
    <x v="8"/>
    <x v="8"/>
    <x v="0"/>
    <x v="0"/>
    <x v="0"/>
    <x v="0"/>
    <x v="0"/>
    <x v="0"/>
    <x v="0"/>
    <x v="0"/>
    <x v="2"/>
    <x v="2"/>
    <x v="2"/>
    <x v="16"/>
    <x v="16"/>
    <n v="443.44677999999999"/>
    <x v="0"/>
    <x v="0"/>
    <x v="3"/>
    <x v="5"/>
    <x v="9"/>
    <x v="16"/>
    <n v="483.35699020000004"/>
  </r>
  <r>
    <x v="8"/>
    <x v="0"/>
    <x v="8"/>
    <x v="8"/>
    <x v="0"/>
    <x v="0"/>
    <x v="0"/>
    <x v="0"/>
    <x v="0"/>
    <x v="0"/>
    <x v="0"/>
    <x v="0"/>
    <x v="2"/>
    <x v="2"/>
    <x v="2"/>
    <x v="24"/>
    <x v="24"/>
    <n v="9.1675963302697294"/>
    <x v="0"/>
    <x v="0"/>
    <x v="1"/>
    <x v="3"/>
    <x v="3"/>
    <x v="4"/>
    <n v="9.9926799999940066"/>
  </r>
  <r>
    <x v="8"/>
    <x v="0"/>
    <x v="8"/>
    <x v="8"/>
    <x v="0"/>
    <x v="0"/>
    <x v="0"/>
    <x v="0"/>
    <x v="0"/>
    <x v="0"/>
    <x v="0"/>
    <x v="0"/>
    <x v="2"/>
    <x v="2"/>
    <x v="2"/>
    <x v="17"/>
    <x v="17"/>
    <n v="33.157179999999997"/>
    <x v="0"/>
    <x v="0"/>
    <x v="0"/>
    <x v="0"/>
    <x v="4"/>
    <x v="17"/>
    <n v="36.141326200000002"/>
  </r>
  <r>
    <x v="8"/>
    <x v="0"/>
    <x v="8"/>
    <x v="8"/>
    <x v="0"/>
    <x v="0"/>
    <x v="0"/>
    <x v="0"/>
    <x v="0"/>
    <x v="0"/>
    <x v="0"/>
    <x v="0"/>
    <x v="2"/>
    <x v="2"/>
    <x v="2"/>
    <x v="21"/>
    <x v="21"/>
    <n v="23.3562201834722"/>
    <x v="0"/>
    <x v="0"/>
    <x v="1"/>
    <x v="4"/>
    <x v="5"/>
    <x v="10"/>
    <n v="25.4582799999847"/>
  </r>
  <r>
    <x v="8"/>
    <x v="0"/>
    <x v="8"/>
    <x v="8"/>
    <x v="0"/>
    <x v="0"/>
    <x v="0"/>
    <x v="0"/>
    <x v="0"/>
    <x v="0"/>
    <x v="0"/>
    <x v="0"/>
    <x v="2"/>
    <x v="2"/>
    <x v="2"/>
    <x v="18"/>
    <x v="18"/>
    <n v="325.88816000000003"/>
    <x v="0"/>
    <x v="0"/>
    <x v="0"/>
    <x v="0"/>
    <x v="4"/>
    <x v="18"/>
    <n v="355.21809440000004"/>
  </r>
  <r>
    <x v="8"/>
    <x v="0"/>
    <x v="8"/>
    <x v="8"/>
    <x v="0"/>
    <x v="0"/>
    <x v="0"/>
    <x v="0"/>
    <x v="0"/>
    <x v="0"/>
    <x v="0"/>
    <x v="0"/>
    <x v="2"/>
    <x v="2"/>
    <x v="2"/>
    <x v="34"/>
    <x v="34"/>
    <n v="69.893143230252903"/>
    <x v="0"/>
    <x v="0"/>
    <x v="0"/>
    <x v="0"/>
    <x v="0"/>
    <x v="0"/>
    <n v="76.183526120975671"/>
  </r>
  <r>
    <x v="8"/>
    <x v="0"/>
    <x v="8"/>
    <x v="8"/>
    <x v="0"/>
    <x v="0"/>
    <x v="0"/>
    <x v="0"/>
    <x v="0"/>
    <x v="0"/>
    <x v="0"/>
    <x v="0"/>
    <x v="2"/>
    <x v="2"/>
    <x v="2"/>
    <x v="25"/>
    <x v="25"/>
    <n v="30.7271559632843"/>
    <x v="0"/>
    <x v="0"/>
    <x v="1"/>
    <x v="4"/>
    <x v="5"/>
    <x v="9"/>
    <n v="33.492599999979888"/>
  </r>
  <r>
    <x v="8"/>
    <x v="0"/>
    <x v="8"/>
    <x v="8"/>
    <x v="0"/>
    <x v="0"/>
    <x v="0"/>
    <x v="0"/>
    <x v="0"/>
    <x v="0"/>
    <x v="0"/>
    <x v="0"/>
    <x v="2"/>
    <x v="2"/>
    <x v="2"/>
    <x v="27"/>
    <x v="27"/>
    <n v="64.098054055412902"/>
    <x v="0"/>
    <x v="0"/>
    <x v="1"/>
    <x v="3"/>
    <x v="3"/>
    <x v="19"/>
    <n v="69.866878920400069"/>
  </r>
  <r>
    <x v="8"/>
    <x v="0"/>
    <x v="8"/>
    <x v="8"/>
    <x v="0"/>
    <x v="0"/>
    <x v="0"/>
    <x v="0"/>
    <x v="0"/>
    <x v="0"/>
    <x v="0"/>
    <x v="0"/>
    <x v="2"/>
    <x v="2"/>
    <x v="2"/>
    <x v="86"/>
    <x v="86"/>
    <n v="1.8"/>
    <x v="0"/>
    <x v="0"/>
    <x v="1"/>
    <x v="3"/>
    <x v="3"/>
    <x v="13"/>
    <n v="1.9620000000000002"/>
  </r>
  <r>
    <x v="8"/>
    <x v="0"/>
    <x v="8"/>
    <x v="8"/>
    <x v="0"/>
    <x v="0"/>
    <x v="0"/>
    <x v="0"/>
    <x v="0"/>
    <x v="0"/>
    <x v="0"/>
    <x v="0"/>
    <x v="2"/>
    <x v="2"/>
    <x v="2"/>
    <x v="26"/>
    <x v="26"/>
    <n v="4.6464220183458398"/>
    <x v="0"/>
    <x v="0"/>
    <x v="1"/>
    <x v="3"/>
    <x v="3"/>
    <x v="15"/>
    <n v="5.0645999999969655"/>
  </r>
  <r>
    <x v="8"/>
    <x v="0"/>
    <x v="8"/>
    <x v="8"/>
    <x v="0"/>
    <x v="0"/>
    <x v="0"/>
    <x v="0"/>
    <x v="0"/>
    <x v="0"/>
    <x v="0"/>
    <x v="0"/>
    <x v="2"/>
    <x v="2"/>
    <x v="2"/>
    <x v="0"/>
    <x v="0"/>
    <n v="24.6065587187923"/>
    <x v="0"/>
    <x v="0"/>
    <x v="0"/>
    <x v="0"/>
    <x v="0"/>
    <x v="0"/>
    <n v="26.821149003483608"/>
  </r>
  <r>
    <x v="8"/>
    <x v="0"/>
    <x v="8"/>
    <x v="8"/>
    <x v="0"/>
    <x v="0"/>
    <x v="0"/>
    <x v="0"/>
    <x v="0"/>
    <x v="0"/>
    <x v="0"/>
    <x v="0"/>
    <x v="2"/>
    <x v="2"/>
    <x v="2"/>
    <x v="20"/>
    <x v="20"/>
    <n v="182.05044000000001"/>
    <x v="0"/>
    <x v="0"/>
    <x v="1"/>
    <x v="3"/>
    <x v="3"/>
    <x v="13"/>
    <n v="198.43497960000002"/>
  </r>
  <r>
    <x v="8"/>
    <x v="0"/>
    <x v="8"/>
    <x v="8"/>
    <x v="0"/>
    <x v="0"/>
    <x v="0"/>
    <x v="0"/>
    <x v="0"/>
    <x v="0"/>
    <x v="0"/>
    <x v="0"/>
    <x v="2"/>
    <x v="2"/>
    <x v="2"/>
    <x v="2"/>
    <x v="2"/>
    <n v="766.57183486192503"/>
    <x v="0"/>
    <x v="1"/>
    <x v="2"/>
    <x v="2"/>
    <x v="13"/>
    <x v="2"/>
    <n v="835.56329999949833"/>
  </r>
  <r>
    <x v="8"/>
    <x v="0"/>
    <x v="8"/>
    <x v="8"/>
    <x v="0"/>
    <x v="0"/>
    <x v="0"/>
    <x v="0"/>
    <x v="0"/>
    <x v="0"/>
    <x v="0"/>
    <x v="0"/>
    <x v="2"/>
    <x v="2"/>
    <x v="2"/>
    <x v="3"/>
    <x v="3"/>
    <n v="76.854157042154995"/>
    <x v="0"/>
    <x v="0"/>
    <x v="1"/>
    <x v="3"/>
    <x v="3"/>
    <x v="3"/>
    <n v="83.771031175948949"/>
  </r>
  <r>
    <x v="8"/>
    <x v="0"/>
    <x v="8"/>
    <x v="8"/>
    <x v="0"/>
    <x v="0"/>
    <x v="0"/>
    <x v="0"/>
    <x v="0"/>
    <x v="0"/>
    <x v="0"/>
    <x v="0"/>
    <x v="1"/>
    <x v="6"/>
    <x v="6"/>
    <x v="5"/>
    <x v="5"/>
    <n v="24.8376687118452"/>
    <x v="0"/>
    <x v="0"/>
    <x v="1"/>
    <x v="1"/>
    <x v="1"/>
    <x v="5"/>
    <n v="27.07305889591127"/>
  </r>
  <r>
    <x v="8"/>
    <x v="0"/>
    <x v="8"/>
    <x v="8"/>
    <x v="0"/>
    <x v="0"/>
    <x v="0"/>
    <x v="0"/>
    <x v="0"/>
    <x v="0"/>
    <x v="0"/>
    <x v="0"/>
    <x v="1"/>
    <x v="6"/>
    <x v="6"/>
    <x v="6"/>
    <x v="6"/>
    <n v="20.919"/>
    <x v="0"/>
    <x v="0"/>
    <x v="0"/>
    <x v="0"/>
    <x v="4"/>
    <x v="6"/>
    <n v="22.801710000000003"/>
  </r>
  <r>
    <x v="8"/>
    <x v="0"/>
    <x v="8"/>
    <x v="8"/>
    <x v="0"/>
    <x v="0"/>
    <x v="0"/>
    <x v="0"/>
    <x v="0"/>
    <x v="0"/>
    <x v="0"/>
    <x v="0"/>
    <x v="1"/>
    <x v="6"/>
    <x v="6"/>
    <x v="8"/>
    <x v="8"/>
    <n v="73.813202703175094"/>
    <x v="0"/>
    <x v="1"/>
    <x v="2"/>
    <x v="2"/>
    <x v="6"/>
    <x v="8"/>
    <n v="80.456390946460857"/>
  </r>
  <r>
    <x v="8"/>
    <x v="0"/>
    <x v="8"/>
    <x v="8"/>
    <x v="0"/>
    <x v="0"/>
    <x v="0"/>
    <x v="0"/>
    <x v="0"/>
    <x v="0"/>
    <x v="0"/>
    <x v="0"/>
    <x v="1"/>
    <x v="6"/>
    <x v="6"/>
    <x v="9"/>
    <x v="9"/>
    <n v="2.8246972477047301"/>
    <x v="0"/>
    <x v="0"/>
    <x v="1"/>
    <x v="4"/>
    <x v="5"/>
    <x v="9"/>
    <n v="3.0789199999981558"/>
  </r>
  <r>
    <x v="8"/>
    <x v="0"/>
    <x v="8"/>
    <x v="8"/>
    <x v="0"/>
    <x v="0"/>
    <x v="0"/>
    <x v="0"/>
    <x v="0"/>
    <x v="0"/>
    <x v="0"/>
    <x v="0"/>
    <x v="1"/>
    <x v="6"/>
    <x v="6"/>
    <x v="35"/>
    <x v="35"/>
    <n v="157.66428999999999"/>
    <x v="0"/>
    <x v="0"/>
    <x v="0"/>
    <x v="0"/>
    <x v="0"/>
    <x v="0"/>
    <n v="171.85407610000001"/>
  </r>
  <r>
    <x v="8"/>
    <x v="0"/>
    <x v="8"/>
    <x v="8"/>
    <x v="0"/>
    <x v="0"/>
    <x v="0"/>
    <x v="0"/>
    <x v="0"/>
    <x v="0"/>
    <x v="0"/>
    <x v="0"/>
    <x v="1"/>
    <x v="6"/>
    <x v="6"/>
    <x v="12"/>
    <x v="12"/>
    <n v="336.93405813825501"/>
    <x v="0"/>
    <x v="0"/>
    <x v="0"/>
    <x v="0"/>
    <x v="8"/>
    <x v="12"/>
    <n v="367.258123370698"/>
  </r>
  <r>
    <x v="8"/>
    <x v="0"/>
    <x v="8"/>
    <x v="8"/>
    <x v="0"/>
    <x v="0"/>
    <x v="0"/>
    <x v="0"/>
    <x v="0"/>
    <x v="0"/>
    <x v="0"/>
    <x v="0"/>
    <x v="1"/>
    <x v="6"/>
    <x v="6"/>
    <x v="14"/>
    <x v="14"/>
    <n v="59.938699999999997"/>
    <x v="0"/>
    <x v="0"/>
    <x v="0"/>
    <x v="0"/>
    <x v="8"/>
    <x v="14"/>
    <n v="65.333183000000005"/>
  </r>
  <r>
    <x v="8"/>
    <x v="0"/>
    <x v="8"/>
    <x v="8"/>
    <x v="0"/>
    <x v="0"/>
    <x v="0"/>
    <x v="0"/>
    <x v="0"/>
    <x v="0"/>
    <x v="0"/>
    <x v="0"/>
    <x v="1"/>
    <x v="6"/>
    <x v="6"/>
    <x v="16"/>
    <x v="16"/>
    <n v="24.221"/>
    <x v="0"/>
    <x v="0"/>
    <x v="3"/>
    <x v="5"/>
    <x v="9"/>
    <x v="16"/>
    <n v="26.40089"/>
  </r>
  <r>
    <x v="8"/>
    <x v="0"/>
    <x v="8"/>
    <x v="8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8"/>
    <x v="0"/>
    <x v="8"/>
    <x v="8"/>
    <x v="0"/>
    <x v="0"/>
    <x v="0"/>
    <x v="0"/>
    <x v="0"/>
    <x v="0"/>
    <x v="0"/>
    <x v="0"/>
    <x v="1"/>
    <x v="6"/>
    <x v="6"/>
    <x v="18"/>
    <x v="18"/>
    <n v="34.427300000000002"/>
    <x v="0"/>
    <x v="0"/>
    <x v="0"/>
    <x v="0"/>
    <x v="4"/>
    <x v="18"/>
    <n v="37.525757000000006"/>
  </r>
  <r>
    <x v="8"/>
    <x v="0"/>
    <x v="8"/>
    <x v="8"/>
    <x v="0"/>
    <x v="0"/>
    <x v="0"/>
    <x v="0"/>
    <x v="0"/>
    <x v="0"/>
    <x v="0"/>
    <x v="0"/>
    <x v="1"/>
    <x v="6"/>
    <x v="6"/>
    <x v="26"/>
    <x v="26"/>
    <n v="13.320045871551599"/>
    <x v="0"/>
    <x v="0"/>
    <x v="1"/>
    <x v="3"/>
    <x v="3"/>
    <x v="15"/>
    <n v="14.518849999991245"/>
  </r>
  <r>
    <x v="8"/>
    <x v="0"/>
    <x v="8"/>
    <x v="8"/>
    <x v="0"/>
    <x v="0"/>
    <x v="0"/>
    <x v="0"/>
    <x v="0"/>
    <x v="0"/>
    <x v="0"/>
    <x v="0"/>
    <x v="1"/>
    <x v="6"/>
    <x v="6"/>
    <x v="0"/>
    <x v="0"/>
    <n v="4.4658362989198803"/>
    <x v="0"/>
    <x v="0"/>
    <x v="0"/>
    <x v="0"/>
    <x v="0"/>
    <x v="0"/>
    <n v="4.8677615658226703"/>
  </r>
  <r>
    <x v="8"/>
    <x v="0"/>
    <x v="8"/>
    <x v="8"/>
    <x v="0"/>
    <x v="0"/>
    <x v="0"/>
    <x v="0"/>
    <x v="0"/>
    <x v="0"/>
    <x v="0"/>
    <x v="0"/>
    <x v="1"/>
    <x v="6"/>
    <x v="6"/>
    <x v="2"/>
    <x v="2"/>
    <n v="570.44297247672205"/>
    <x v="0"/>
    <x v="1"/>
    <x v="2"/>
    <x v="2"/>
    <x v="13"/>
    <x v="2"/>
    <n v="621.78283999962707"/>
  </r>
  <r>
    <x v="8"/>
    <x v="0"/>
    <x v="8"/>
    <x v="8"/>
    <x v="0"/>
    <x v="0"/>
    <x v="0"/>
    <x v="0"/>
    <x v="0"/>
    <x v="0"/>
    <x v="0"/>
    <x v="0"/>
    <x v="3"/>
    <x v="7"/>
    <x v="7"/>
    <x v="6"/>
    <x v="6"/>
    <n v="18.121099999999998"/>
    <x v="0"/>
    <x v="0"/>
    <x v="0"/>
    <x v="0"/>
    <x v="4"/>
    <x v="6"/>
    <n v="19.751999000000001"/>
  </r>
  <r>
    <x v="8"/>
    <x v="0"/>
    <x v="8"/>
    <x v="8"/>
    <x v="0"/>
    <x v="0"/>
    <x v="0"/>
    <x v="0"/>
    <x v="0"/>
    <x v="0"/>
    <x v="0"/>
    <x v="0"/>
    <x v="3"/>
    <x v="7"/>
    <x v="7"/>
    <x v="9"/>
    <x v="9"/>
    <n v="79.197368806484604"/>
    <x v="0"/>
    <x v="0"/>
    <x v="1"/>
    <x v="4"/>
    <x v="5"/>
    <x v="9"/>
    <n v="86.325131999068219"/>
  </r>
  <r>
    <x v="8"/>
    <x v="0"/>
    <x v="8"/>
    <x v="8"/>
    <x v="0"/>
    <x v="0"/>
    <x v="0"/>
    <x v="0"/>
    <x v="0"/>
    <x v="0"/>
    <x v="0"/>
    <x v="0"/>
    <x v="3"/>
    <x v="7"/>
    <x v="7"/>
    <x v="10"/>
    <x v="10"/>
    <n v="15.683366489673601"/>
    <x v="0"/>
    <x v="0"/>
    <x v="1"/>
    <x v="4"/>
    <x v="5"/>
    <x v="10"/>
    <n v="17.094869473744225"/>
  </r>
  <r>
    <x v="8"/>
    <x v="0"/>
    <x v="8"/>
    <x v="8"/>
    <x v="0"/>
    <x v="0"/>
    <x v="0"/>
    <x v="0"/>
    <x v="0"/>
    <x v="0"/>
    <x v="0"/>
    <x v="0"/>
    <x v="3"/>
    <x v="7"/>
    <x v="7"/>
    <x v="11"/>
    <x v="11"/>
    <n v="24.810929999999999"/>
    <x v="0"/>
    <x v="0"/>
    <x v="3"/>
    <x v="5"/>
    <x v="7"/>
    <x v="11"/>
    <n v="27.043913700000001"/>
  </r>
  <r>
    <x v="8"/>
    <x v="0"/>
    <x v="8"/>
    <x v="8"/>
    <x v="0"/>
    <x v="0"/>
    <x v="0"/>
    <x v="0"/>
    <x v="0"/>
    <x v="0"/>
    <x v="0"/>
    <x v="0"/>
    <x v="3"/>
    <x v="7"/>
    <x v="7"/>
    <x v="36"/>
    <x v="36"/>
    <n v="29.440018348606198"/>
    <x v="0"/>
    <x v="0"/>
    <x v="1"/>
    <x v="3"/>
    <x v="3"/>
    <x v="4"/>
    <n v="32.089619999980762"/>
  </r>
  <r>
    <x v="8"/>
    <x v="0"/>
    <x v="8"/>
    <x v="8"/>
    <x v="0"/>
    <x v="0"/>
    <x v="0"/>
    <x v="0"/>
    <x v="0"/>
    <x v="0"/>
    <x v="0"/>
    <x v="0"/>
    <x v="3"/>
    <x v="7"/>
    <x v="7"/>
    <x v="24"/>
    <x v="24"/>
    <n v="22.6070825687938"/>
    <x v="0"/>
    <x v="0"/>
    <x v="1"/>
    <x v="3"/>
    <x v="3"/>
    <x v="4"/>
    <n v="24.641719999985245"/>
  </r>
  <r>
    <x v="8"/>
    <x v="0"/>
    <x v="8"/>
    <x v="8"/>
    <x v="0"/>
    <x v="0"/>
    <x v="0"/>
    <x v="0"/>
    <x v="0"/>
    <x v="0"/>
    <x v="0"/>
    <x v="0"/>
    <x v="3"/>
    <x v="7"/>
    <x v="7"/>
    <x v="17"/>
    <x v="17"/>
    <n v="128.94505000000001"/>
    <x v="0"/>
    <x v="0"/>
    <x v="0"/>
    <x v="0"/>
    <x v="4"/>
    <x v="17"/>
    <n v="140.55010450000003"/>
  </r>
  <r>
    <x v="8"/>
    <x v="0"/>
    <x v="8"/>
    <x v="8"/>
    <x v="0"/>
    <x v="0"/>
    <x v="0"/>
    <x v="0"/>
    <x v="0"/>
    <x v="0"/>
    <x v="0"/>
    <x v="0"/>
    <x v="3"/>
    <x v="7"/>
    <x v="7"/>
    <x v="18"/>
    <x v="18"/>
    <n v="10.65415"/>
    <x v="0"/>
    <x v="0"/>
    <x v="0"/>
    <x v="0"/>
    <x v="4"/>
    <x v="18"/>
    <n v="11.613023500000001"/>
  </r>
  <r>
    <x v="8"/>
    <x v="0"/>
    <x v="8"/>
    <x v="8"/>
    <x v="0"/>
    <x v="0"/>
    <x v="0"/>
    <x v="0"/>
    <x v="0"/>
    <x v="0"/>
    <x v="0"/>
    <x v="0"/>
    <x v="3"/>
    <x v="7"/>
    <x v="7"/>
    <x v="34"/>
    <x v="34"/>
    <n v="7.1133598252065804"/>
    <x v="0"/>
    <x v="0"/>
    <x v="0"/>
    <x v="0"/>
    <x v="0"/>
    <x v="0"/>
    <n v="7.7535622094751728"/>
  </r>
  <r>
    <x v="8"/>
    <x v="0"/>
    <x v="8"/>
    <x v="8"/>
    <x v="0"/>
    <x v="0"/>
    <x v="0"/>
    <x v="0"/>
    <x v="0"/>
    <x v="0"/>
    <x v="0"/>
    <x v="0"/>
    <x v="3"/>
    <x v="7"/>
    <x v="7"/>
    <x v="26"/>
    <x v="26"/>
    <n v="21.0339633027397"/>
    <x v="0"/>
    <x v="0"/>
    <x v="1"/>
    <x v="3"/>
    <x v="3"/>
    <x v="15"/>
    <n v="22.927019999986275"/>
  </r>
  <r>
    <x v="8"/>
    <x v="0"/>
    <x v="8"/>
    <x v="8"/>
    <x v="0"/>
    <x v="0"/>
    <x v="0"/>
    <x v="0"/>
    <x v="0"/>
    <x v="0"/>
    <x v="0"/>
    <x v="0"/>
    <x v="1"/>
    <x v="8"/>
    <x v="8"/>
    <x v="6"/>
    <x v="6"/>
    <n v="16.95927"/>
    <x v="0"/>
    <x v="0"/>
    <x v="0"/>
    <x v="0"/>
    <x v="4"/>
    <x v="6"/>
    <n v="18.485604300000002"/>
  </r>
  <r>
    <x v="8"/>
    <x v="0"/>
    <x v="8"/>
    <x v="8"/>
    <x v="0"/>
    <x v="0"/>
    <x v="0"/>
    <x v="0"/>
    <x v="0"/>
    <x v="0"/>
    <x v="0"/>
    <x v="0"/>
    <x v="1"/>
    <x v="8"/>
    <x v="8"/>
    <x v="8"/>
    <x v="8"/>
    <n v="49.697087838155902"/>
    <x v="0"/>
    <x v="1"/>
    <x v="2"/>
    <x v="2"/>
    <x v="6"/>
    <x v="8"/>
    <n v="54.169825743589939"/>
  </r>
  <r>
    <x v="8"/>
    <x v="0"/>
    <x v="8"/>
    <x v="8"/>
    <x v="0"/>
    <x v="0"/>
    <x v="0"/>
    <x v="0"/>
    <x v="0"/>
    <x v="0"/>
    <x v="0"/>
    <x v="0"/>
    <x v="1"/>
    <x v="8"/>
    <x v="8"/>
    <x v="9"/>
    <x v="9"/>
    <n v="55.301060634720798"/>
    <x v="0"/>
    <x v="0"/>
    <x v="1"/>
    <x v="4"/>
    <x v="5"/>
    <x v="9"/>
    <n v="60.278156091845673"/>
  </r>
  <r>
    <x v="8"/>
    <x v="0"/>
    <x v="8"/>
    <x v="8"/>
    <x v="0"/>
    <x v="0"/>
    <x v="0"/>
    <x v="0"/>
    <x v="0"/>
    <x v="0"/>
    <x v="0"/>
    <x v="0"/>
    <x v="1"/>
    <x v="8"/>
    <x v="8"/>
    <x v="10"/>
    <x v="10"/>
    <n v="16.459811025502699"/>
    <x v="0"/>
    <x v="0"/>
    <x v="1"/>
    <x v="4"/>
    <x v="5"/>
    <x v="10"/>
    <n v="17.941194017797944"/>
  </r>
  <r>
    <x v="8"/>
    <x v="0"/>
    <x v="8"/>
    <x v="8"/>
    <x v="0"/>
    <x v="0"/>
    <x v="0"/>
    <x v="0"/>
    <x v="0"/>
    <x v="0"/>
    <x v="0"/>
    <x v="0"/>
    <x v="1"/>
    <x v="8"/>
    <x v="8"/>
    <x v="11"/>
    <x v="11"/>
    <n v="1.7619"/>
    <x v="0"/>
    <x v="0"/>
    <x v="3"/>
    <x v="5"/>
    <x v="7"/>
    <x v="11"/>
    <n v="1.9204710000000003"/>
  </r>
  <r>
    <x v="8"/>
    <x v="0"/>
    <x v="8"/>
    <x v="8"/>
    <x v="0"/>
    <x v="0"/>
    <x v="0"/>
    <x v="0"/>
    <x v="0"/>
    <x v="0"/>
    <x v="0"/>
    <x v="0"/>
    <x v="1"/>
    <x v="8"/>
    <x v="8"/>
    <x v="36"/>
    <x v="36"/>
    <n v="1.32765137614599"/>
    <x v="0"/>
    <x v="0"/>
    <x v="1"/>
    <x v="3"/>
    <x v="3"/>
    <x v="4"/>
    <n v="1.4471399999991292"/>
  </r>
  <r>
    <x v="8"/>
    <x v="0"/>
    <x v="8"/>
    <x v="8"/>
    <x v="0"/>
    <x v="0"/>
    <x v="0"/>
    <x v="0"/>
    <x v="0"/>
    <x v="0"/>
    <x v="0"/>
    <x v="0"/>
    <x v="1"/>
    <x v="8"/>
    <x v="8"/>
    <x v="24"/>
    <x v="24"/>
    <n v="27.344944954112002"/>
    <x v="0"/>
    <x v="0"/>
    <x v="1"/>
    <x v="3"/>
    <x v="3"/>
    <x v="4"/>
    <n v="29.805989999982085"/>
  </r>
  <r>
    <x v="8"/>
    <x v="0"/>
    <x v="8"/>
    <x v="8"/>
    <x v="0"/>
    <x v="0"/>
    <x v="0"/>
    <x v="0"/>
    <x v="0"/>
    <x v="0"/>
    <x v="0"/>
    <x v="0"/>
    <x v="1"/>
    <x v="8"/>
    <x v="8"/>
    <x v="17"/>
    <x v="17"/>
    <n v="8.6957599999999999"/>
    <x v="0"/>
    <x v="0"/>
    <x v="0"/>
    <x v="0"/>
    <x v="4"/>
    <x v="17"/>
    <n v="9.4783784000000004"/>
  </r>
  <r>
    <x v="8"/>
    <x v="0"/>
    <x v="8"/>
    <x v="8"/>
    <x v="0"/>
    <x v="0"/>
    <x v="0"/>
    <x v="0"/>
    <x v="0"/>
    <x v="0"/>
    <x v="0"/>
    <x v="0"/>
    <x v="1"/>
    <x v="8"/>
    <x v="8"/>
    <x v="21"/>
    <x v="21"/>
    <n v="2.08378899082444"/>
    <x v="0"/>
    <x v="0"/>
    <x v="1"/>
    <x v="4"/>
    <x v="5"/>
    <x v="10"/>
    <n v="2.2713299999986396"/>
  </r>
  <r>
    <x v="8"/>
    <x v="0"/>
    <x v="8"/>
    <x v="8"/>
    <x v="0"/>
    <x v="0"/>
    <x v="0"/>
    <x v="0"/>
    <x v="0"/>
    <x v="0"/>
    <x v="0"/>
    <x v="0"/>
    <x v="1"/>
    <x v="8"/>
    <x v="8"/>
    <x v="18"/>
    <x v="18"/>
    <n v="8.5282999999999998"/>
    <x v="0"/>
    <x v="0"/>
    <x v="0"/>
    <x v="0"/>
    <x v="4"/>
    <x v="18"/>
    <n v="9.2958470000000002"/>
  </r>
  <r>
    <x v="8"/>
    <x v="0"/>
    <x v="8"/>
    <x v="8"/>
    <x v="0"/>
    <x v="0"/>
    <x v="0"/>
    <x v="0"/>
    <x v="0"/>
    <x v="0"/>
    <x v="0"/>
    <x v="0"/>
    <x v="1"/>
    <x v="8"/>
    <x v="8"/>
    <x v="34"/>
    <x v="34"/>
    <n v="0.99856768557254005"/>
    <x v="0"/>
    <x v="0"/>
    <x v="0"/>
    <x v="0"/>
    <x v="0"/>
    <x v="0"/>
    <n v="1.0884387772740687"/>
  </r>
  <r>
    <x v="8"/>
    <x v="0"/>
    <x v="8"/>
    <x v="8"/>
    <x v="0"/>
    <x v="0"/>
    <x v="0"/>
    <x v="0"/>
    <x v="0"/>
    <x v="0"/>
    <x v="0"/>
    <x v="0"/>
    <x v="1"/>
    <x v="8"/>
    <x v="8"/>
    <x v="37"/>
    <x v="37"/>
    <n v="15.383229357788901"/>
    <x v="0"/>
    <x v="0"/>
    <x v="1"/>
    <x v="3"/>
    <x v="3"/>
    <x v="4"/>
    <n v="16.767719999989904"/>
  </r>
  <r>
    <x v="8"/>
    <x v="0"/>
    <x v="8"/>
    <x v="8"/>
    <x v="0"/>
    <x v="0"/>
    <x v="0"/>
    <x v="0"/>
    <x v="0"/>
    <x v="0"/>
    <x v="0"/>
    <x v="0"/>
    <x v="1"/>
    <x v="8"/>
    <x v="8"/>
    <x v="0"/>
    <x v="0"/>
    <n v="3.7533051601318399"/>
    <x v="0"/>
    <x v="0"/>
    <x v="0"/>
    <x v="0"/>
    <x v="0"/>
    <x v="0"/>
    <n v="4.0911026245437059"/>
  </r>
  <r>
    <x v="8"/>
    <x v="0"/>
    <x v="8"/>
    <x v="8"/>
    <x v="0"/>
    <x v="0"/>
    <x v="0"/>
    <x v="0"/>
    <x v="0"/>
    <x v="0"/>
    <x v="0"/>
    <x v="0"/>
    <x v="0"/>
    <x v="9"/>
    <x v="9"/>
    <x v="6"/>
    <x v="6"/>
    <n v="43.793259999999997"/>
    <x v="0"/>
    <x v="0"/>
    <x v="0"/>
    <x v="0"/>
    <x v="4"/>
    <x v="6"/>
    <n v="47.734653399999999"/>
  </r>
  <r>
    <x v="8"/>
    <x v="0"/>
    <x v="8"/>
    <x v="8"/>
    <x v="0"/>
    <x v="0"/>
    <x v="0"/>
    <x v="0"/>
    <x v="0"/>
    <x v="0"/>
    <x v="0"/>
    <x v="0"/>
    <x v="0"/>
    <x v="9"/>
    <x v="9"/>
    <x v="7"/>
    <x v="7"/>
    <n v="36.692761467867903"/>
    <x v="0"/>
    <x v="0"/>
    <x v="1"/>
    <x v="4"/>
    <x v="5"/>
    <x v="7"/>
    <n v="39.995109999976016"/>
  </r>
  <r>
    <x v="8"/>
    <x v="0"/>
    <x v="8"/>
    <x v="8"/>
    <x v="0"/>
    <x v="0"/>
    <x v="0"/>
    <x v="0"/>
    <x v="0"/>
    <x v="0"/>
    <x v="0"/>
    <x v="0"/>
    <x v="0"/>
    <x v="9"/>
    <x v="9"/>
    <x v="9"/>
    <x v="9"/>
    <n v="137.13411803555201"/>
    <x v="0"/>
    <x v="0"/>
    <x v="1"/>
    <x v="4"/>
    <x v="5"/>
    <x v="9"/>
    <n v="149.47618865875171"/>
  </r>
  <r>
    <x v="8"/>
    <x v="0"/>
    <x v="8"/>
    <x v="8"/>
    <x v="0"/>
    <x v="0"/>
    <x v="0"/>
    <x v="0"/>
    <x v="0"/>
    <x v="0"/>
    <x v="0"/>
    <x v="0"/>
    <x v="0"/>
    <x v="9"/>
    <x v="9"/>
    <x v="10"/>
    <x v="10"/>
    <n v="18.883244499047699"/>
    <x v="0"/>
    <x v="0"/>
    <x v="1"/>
    <x v="4"/>
    <x v="5"/>
    <x v="10"/>
    <n v="20.582736503961993"/>
  </r>
  <r>
    <x v="8"/>
    <x v="0"/>
    <x v="8"/>
    <x v="8"/>
    <x v="0"/>
    <x v="0"/>
    <x v="0"/>
    <x v="0"/>
    <x v="0"/>
    <x v="0"/>
    <x v="0"/>
    <x v="0"/>
    <x v="0"/>
    <x v="9"/>
    <x v="9"/>
    <x v="11"/>
    <x v="11"/>
    <n v="14.60943"/>
    <x v="0"/>
    <x v="0"/>
    <x v="3"/>
    <x v="5"/>
    <x v="7"/>
    <x v="11"/>
    <n v="15.9242787"/>
  </r>
  <r>
    <x v="8"/>
    <x v="0"/>
    <x v="8"/>
    <x v="8"/>
    <x v="0"/>
    <x v="0"/>
    <x v="0"/>
    <x v="0"/>
    <x v="0"/>
    <x v="0"/>
    <x v="0"/>
    <x v="0"/>
    <x v="0"/>
    <x v="9"/>
    <x v="9"/>
    <x v="12"/>
    <x v="12"/>
    <n v="3.3430116278942701"/>
    <x v="0"/>
    <x v="0"/>
    <x v="0"/>
    <x v="0"/>
    <x v="8"/>
    <x v="12"/>
    <n v="3.6438826744047548"/>
  </r>
  <r>
    <x v="8"/>
    <x v="0"/>
    <x v="8"/>
    <x v="8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8"/>
    <x v="0"/>
    <x v="8"/>
    <x v="8"/>
    <x v="0"/>
    <x v="0"/>
    <x v="0"/>
    <x v="0"/>
    <x v="0"/>
    <x v="0"/>
    <x v="0"/>
    <x v="0"/>
    <x v="0"/>
    <x v="9"/>
    <x v="9"/>
    <x v="36"/>
    <x v="36"/>
    <n v="4.8597522935750703"/>
    <x v="0"/>
    <x v="0"/>
    <x v="1"/>
    <x v="3"/>
    <x v="3"/>
    <x v="4"/>
    <n v="5.2971299999968267"/>
  </r>
  <r>
    <x v="8"/>
    <x v="0"/>
    <x v="8"/>
    <x v="8"/>
    <x v="0"/>
    <x v="0"/>
    <x v="0"/>
    <x v="0"/>
    <x v="0"/>
    <x v="0"/>
    <x v="0"/>
    <x v="0"/>
    <x v="0"/>
    <x v="9"/>
    <x v="9"/>
    <x v="24"/>
    <x v="24"/>
    <n v="23.522917431178499"/>
    <x v="0"/>
    <x v="0"/>
    <x v="1"/>
    <x v="3"/>
    <x v="3"/>
    <x v="4"/>
    <n v="25.639979999984565"/>
  </r>
  <r>
    <x v="8"/>
    <x v="0"/>
    <x v="8"/>
    <x v="8"/>
    <x v="0"/>
    <x v="0"/>
    <x v="0"/>
    <x v="0"/>
    <x v="0"/>
    <x v="0"/>
    <x v="0"/>
    <x v="0"/>
    <x v="0"/>
    <x v="9"/>
    <x v="9"/>
    <x v="17"/>
    <x v="17"/>
    <n v="23.520029999999998"/>
    <x v="0"/>
    <x v="0"/>
    <x v="0"/>
    <x v="0"/>
    <x v="4"/>
    <x v="17"/>
    <n v="25.636832699999999"/>
  </r>
  <r>
    <x v="8"/>
    <x v="0"/>
    <x v="8"/>
    <x v="8"/>
    <x v="0"/>
    <x v="0"/>
    <x v="0"/>
    <x v="0"/>
    <x v="0"/>
    <x v="0"/>
    <x v="0"/>
    <x v="0"/>
    <x v="0"/>
    <x v="9"/>
    <x v="9"/>
    <x v="21"/>
    <x v="21"/>
    <n v="336.34859633007301"/>
    <x v="0"/>
    <x v="0"/>
    <x v="1"/>
    <x v="4"/>
    <x v="5"/>
    <x v="10"/>
    <n v="366.61996999977958"/>
  </r>
  <r>
    <x v="8"/>
    <x v="0"/>
    <x v="8"/>
    <x v="8"/>
    <x v="0"/>
    <x v="0"/>
    <x v="0"/>
    <x v="0"/>
    <x v="0"/>
    <x v="0"/>
    <x v="0"/>
    <x v="0"/>
    <x v="0"/>
    <x v="9"/>
    <x v="9"/>
    <x v="18"/>
    <x v="18"/>
    <n v="43.564920000000001"/>
    <x v="0"/>
    <x v="0"/>
    <x v="0"/>
    <x v="0"/>
    <x v="4"/>
    <x v="18"/>
    <n v="47.485762800000003"/>
  </r>
  <r>
    <x v="8"/>
    <x v="0"/>
    <x v="8"/>
    <x v="8"/>
    <x v="0"/>
    <x v="0"/>
    <x v="0"/>
    <x v="0"/>
    <x v="0"/>
    <x v="0"/>
    <x v="0"/>
    <x v="0"/>
    <x v="0"/>
    <x v="9"/>
    <x v="9"/>
    <x v="34"/>
    <x v="34"/>
    <n v="4.0380663754772002"/>
    <x v="0"/>
    <x v="0"/>
    <x v="0"/>
    <x v="0"/>
    <x v="0"/>
    <x v="0"/>
    <n v="4.4014923492701481"/>
  </r>
  <r>
    <x v="8"/>
    <x v="0"/>
    <x v="8"/>
    <x v="8"/>
    <x v="0"/>
    <x v="0"/>
    <x v="0"/>
    <x v="0"/>
    <x v="0"/>
    <x v="0"/>
    <x v="0"/>
    <x v="0"/>
    <x v="0"/>
    <x v="9"/>
    <x v="9"/>
    <x v="37"/>
    <x v="37"/>
    <n v="7.1132752293535297"/>
    <x v="0"/>
    <x v="0"/>
    <x v="1"/>
    <x v="3"/>
    <x v="3"/>
    <x v="4"/>
    <n v="7.7534699999953478"/>
  </r>
  <r>
    <x v="8"/>
    <x v="0"/>
    <x v="8"/>
    <x v="8"/>
    <x v="0"/>
    <x v="0"/>
    <x v="0"/>
    <x v="0"/>
    <x v="0"/>
    <x v="0"/>
    <x v="0"/>
    <x v="0"/>
    <x v="0"/>
    <x v="9"/>
    <x v="9"/>
    <x v="26"/>
    <x v="26"/>
    <n v="8.0935596330226698"/>
    <x v="0"/>
    <x v="0"/>
    <x v="1"/>
    <x v="3"/>
    <x v="3"/>
    <x v="15"/>
    <n v="8.8219799999947099"/>
  </r>
  <r>
    <x v="8"/>
    <x v="0"/>
    <x v="8"/>
    <x v="8"/>
    <x v="0"/>
    <x v="0"/>
    <x v="0"/>
    <x v="0"/>
    <x v="0"/>
    <x v="0"/>
    <x v="0"/>
    <x v="0"/>
    <x v="0"/>
    <x v="9"/>
    <x v="9"/>
    <x v="0"/>
    <x v="0"/>
    <n v="0.47468950177802999"/>
    <x v="0"/>
    <x v="0"/>
    <x v="0"/>
    <x v="0"/>
    <x v="0"/>
    <x v="0"/>
    <n v="0.51741155693805274"/>
  </r>
  <r>
    <x v="8"/>
    <x v="0"/>
    <x v="8"/>
    <x v="8"/>
    <x v="0"/>
    <x v="0"/>
    <x v="0"/>
    <x v="0"/>
    <x v="0"/>
    <x v="0"/>
    <x v="0"/>
    <x v="0"/>
    <x v="0"/>
    <x v="9"/>
    <x v="9"/>
    <x v="2"/>
    <x v="2"/>
    <n v="6.8295137614637902"/>
    <x v="0"/>
    <x v="1"/>
    <x v="2"/>
    <x v="2"/>
    <x v="13"/>
    <x v="2"/>
    <n v="7.4441699999955322"/>
  </r>
  <r>
    <x v="8"/>
    <x v="0"/>
    <x v="8"/>
    <x v="8"/>
    <x v="0"/>
    <x v="0"/>
    <x v="0"/>
    <x v="0"/>
    <x v="0"/>
    <x v="0"/>
    <x v="0"/>
    <x v="0"/>
    <x v="2"/>
    <x v="10"/>
    <x v="10"/>
    <x v="6"/>
    <x v="6"/>
    <n v="32.470529999999997"/>
    <x v="0"/>
    <x v="0"/>
    <x v="0"/>
    <x v="0"/>
    <x v="4"/>
    <x v="6"/>
    <n v="35.3928777"/>
  </r>
  <r>
    <x v="8"/>
    <x v="0"/>
    <x v="8"/>
    <x v="8"/>
    <x v="0"/>
    <x v="0"/>
    <x v="0"/>
    <x v="0"/>
    <x v="0"/>
    <x v="0"/>
    <x v="0"/>
    <x v="0"/>
    <x v="2"/>
    <x v="10"/>
    <x v="10"/>
    <x v="7"/>
    <x v="7"/>
    <n v="4.81102752293289"/>
    <x v="0"/>
    <x v="0"/>
    <x v="1"/>
    <x v="4"/>
    <x v="5"/>
    <x v="7"/>
    <n v="5.2440199999968504"/>
  </r>
  <r>
    <x v="8"/>
    <x v="0"/>
    <x v="8"/>
    <x v="8"/>
    <x v="0"/>
    <x v="0"/>
    <x v="0"/>
    <x v="0"/>
    <x v="0"/>
    <x v="0"/>
    <x v="0"/>
    <x v="0"/>
    <x v="2"/>
    <x v="10"/>
    <x v="10"/>
    <x v="9"/>
    <x v="9"/>
    <n v="76.283523322601596"/>
    <x v="0"/>
    <x v="0"/>
    <x v="1"/>
    <x v="4"/>
    <x v="5"/>
    <x v="9"/>
    <n v="83.149040421635746"/>
  </r>
  <r>
    <x v="8"/>
    <x v="0"/>
    <x v="8"/>
    <x v="8"/>
    <x v="0"/>
    <x v="0"/>
    <x v="0"/>
    <x v="0"/>
    <x v="0"/>
    <x v="0"/>
    <x v="0"/>
    <x v="0"/>
    <x v="2"/>
    <x v="10"/>
    <x v="10"/>
    <x v="10"/>
    <x v="10"/>
    <n v="29.832334170748801"/>
    <x v="0"/>
    <x v="0"/>
    <x v="1"/>
    <x v="4"/>
    <x v="5"/>
    <x v="10"/>
    <n v="32.517244246116199"/>
  </r>
  <r>
    <x v="8"/>
    <x v="0"/>
    <x v="8"/>
    <x v="8"/>
    <x v="0"/>
    <x v="0"/>
    <x v="0"/>
    <x v="0"/>
    <x v="0"/>
    <x v="0"/>
    <x v="0"/>
    <x v="0"/>
    <x v="2"/>
    <x v="10"/>
    <x v="10"/>
    <x v="11"/>
    <x v="11"/>
    <n v="9.26919"/>
    <x v="0"/>
    <x v="0"/>
    <x v="3"/>
    <x v="5"/>
    <x v="7"/>
    <x v="11"/>
    <n v="10.103417100000001"/>
  </r>
  <r>
    <x v="8"/>
    <x v="0"/>
    <x v="8"/>
    <x v="8"/>
    <x v="0"/>
    <x v="0"/>
    <x v="0"/>
    <x v="0"/>
    <x v="0"/>
    <x v="0"/>
    <x v="0"/>
    <x v="0"/>
    <x v="2"/>
    <x v="10"/>
    <x v="10"/>
    <x v="22"/>
    <x v="22"/>
    <n v="0.90010080644801005"/>
    <x v="0"/>
    <x v="0"/>
    <x v="0"/>
    <x v="0"/>
    <x v="0"/>
    <x v="0"/>
    <n v="0.98110987902833102"/>
  </r>
  <r>
    <x v="8"/>
    <x v="0"/>
    <x v="8"/>
    <x v="8"/>
    <x v="0"/>
    <x v="0"/>
    <x v="0"/>
    <x v="0"/>
    <x v="0"/>
    <x v="0"/>
    <x v="0"/>
    <x v="0"/>
    <x v="2"/>
    <x v="10"/>
    <x v="10"/>
    <x v="36"/>
    <x v="36"/>
    <n v="10.281357798159"/>
    <x v="0"/>
    <x v="0"/>
    <x v="1"/>
    <x v="3"/>
    <x v="3"/>
    <x v="4"/>
    <n v="11.206679999993311"/>
  </r>
  <r>
    <x v="8"/>
    <x v="0"/>
    <x v="8"/>
    <x v="8"/>
    <x v="0"/>
    <x v="0"/>
    <x v="0"/>
    <x v="0"/>
    <x v="0"/>
    <x v="0"/>
    <x v="0"/>
    <x v="0"/>
    <x v="2"/>
    <x v="10"/>
    <x v="10"/>
    <x v="24"/>
    <x v="24"/>
    <n v="14.7807981651288"/>
    <x v="0"/>
    <x v="0"/>
    <x v="1"/>
    <x v="3"/>
    <x v="3"/>
    <x v="4"/>
    <n v="16.111069999990395"/>
  </r>
  <r>
    <x v="8"/>
    <x v="0"/>
    <x v="8"/>
    <x v="8"/>
    <x v="0"/>
    <x v="0"/>
    <x v="0"/>
    <x v="0"/>
    <x v="0"/>
    <x v="0"/>
    <x v="0"/>
    <x v="0"/>
    <x v="2"/>
    <x v="10"/>
    <x v="10"/>
    <x v="17"/>
    <x v="17"/>
    <n v="9.4177599999999995"/>
    <x v="0"/>
    <x v="0"/>
    <x v="0"/>
    <x v="0"/>
    <x v="4"/>
    <x v="17"/>
    <n v="10.2653584"/>
  </r>
  <r>
    <x v="8"/>
    <x v="0"/>
    <x v="8"/>
    <x v="8"/>
    <x v="0"/>
    <x v="0"/>
    <x v="0"/>
    <x v="0"/>
    <x v="0"/>
    <x v="0"/>
    <x v="0"/>
    <x v="0"/>
    <x v="2"/>
    <x v="10"/>
    <x v="10"/>
    <x v="21"/>
    <x v="21"/>
    <n v="65.461082568768106"/>
    <x v="0"/>
    <x v="0"/>
    <x v="1"/>
    <x v="4"/>
    <x v="5"/>
    <x v="10"/>
    <n v="71.352579999957243"/>
  </r>
  <r>
    <x v="8"/>
    <x v="0"/>
    <x v="8"/>
    <x v="8"/>
    <x v="0"/>
    <x v="0"/>
    <x v="0"/>
    <x v="0"/>
    <x v="0"/>
    <x v="0"/>
    <x v="0"/>
    <x v="0"/>
    <x v="2"/>
    <x v="10"/>
    <x v="10"/>
    <x v="18"/>
    <x v="18"/>
    <n v="16.020029999999998"/>
    <x v="0"/>
    <x v="0"/>
    <x v="0"/>
    <x v="0"/>
    <x v="4"/>
    <x v="18"/>
    <n v="17.461832699999999"/>
  </r>
  <r>
    <x v="8"/>
    <x v="0"/>
    <x v="8"/>
    <x v="8"/>
    <x v="0"/>
    <x v="0"/>
    <x v="0"/>
    <x v="0"/>
    <x v="0"/>
    <x v="0"/>
    <x v="0"/>
    <x v="0"/>
    <x v="2"/>
    <x v="10"/>
    <x v="10"/>
    <x v="34"/>
    <x v="34"/>
    <n v="8.4146314409049907"/>
    <x v="0"/>
    <x v="0"/>
    <x v="0"/>
    <x v="0"/>
    <x v="0"/>
    <x v="0"/>
    <n v="9.1719482705864408"/>
  </r>
  <r>
    <x v="8"/>
    <x v="0"/>
    <x v="8"/>
    <x v="8"/>
    <x v="0"/>
    <x v="0"/>
    <x v="0"/>
    <x v="0"/>
    <x v="0"/>
    <x v="0"/>
    <x v="0"/>
    <x v="0"/>
    <x v="2"/>
    <x v="10"/>
    <x v="10"/>
    <x v="37"/>
    <x v="37"/>
    <n v="9.2362568807283996"/>
    <x v="0"/>
    <x v="0"/>
    <x v="1"/>
    <x v="3"/>
    <x v="3"/>
    <x v="4"/>
    <n v="10.067519999993957"/>
  </r>
  <r>
    <x v="8"/>
    <x v="0"/>
    <x v="8"/>
    <x v="8"/>
    <x v="0"/>
    <x v="0"/>
    <x v="0"/>
    <x v="0"/>
    <x v="0"/>
    <x v="0"/>
    <x v="0"/>
    <x v="0"/>
    <x v="2"/>
    <x v="10"/>
    <x v="10"/>
    <x v="26"/>
    <x v="26"/>
    <n v="27.5119266054881"/>
    <x v="0"/>
    <x v="0"/>
    <x v="1"/>
    <x v="3"/>
    <x v="3"/>
    <x v="15"/>
    <n v="29.98799999998203"/>
  </r>
  <r>
    <x v="8"/>
    <x v="0"/>
    <x v="8"/>
    <x v="8"/>
    <x v="0"/>
    <x v="0"/>
    <x v="0"/>
    <x v="0"/>
    <x v="0"/>
    <x v="0"/>
    <x v="0"/>
    <x v="0"/>
    <x v="2"/>
    <x v="10"/>
    <x v="10"/>
    <x v="0"/>
    <x v="0"/>
    <n v="29.922285587104799"/>
    <x v="0"/>
    <x v="0"/>
    <x v="0"/>
    <x v="0"/>
    <x v="0"/>
    <x v="0"/>
    <n v="32.615291289944231"/>
  </r>
  <r>
    <x v="8"/>
    <x v="0"/>
    <x v="8"/>
    <x v="8"/>
    <x v="0"/>
    <x v="0"/>
    <x v="0"/>
    <x v="0"/>
    <x v="0"/>
    <x v="0"/>
    <x v="0"/>
    <x v="0"/>
    <x v="2"/>
    <x v="10"/>
    <x v="10"/>
    <x v="2"/>
    <x v="2"/>
    <n v="423.16574311901201"/>
    <x v="0"/>
    <x v="1"/>
    <x v="2"/>
    <x v="2"/>
    <x v="13"/>
    <x v="2"/>
    <n v="461.2506599997231"/>
  </r>
  <r>
    <x v="8"/>
    <x v="0"/>
    <x v="8"/>
    <x v="8"/>
    <x v="0"/>
    <x v="0"/>
    <x v="0"/>
    <x v="0"/>
    <x v="0"/>
    <x v="0"/>
    <x v="0"/>
    <x v="0"/>
    <x v="4"/>
    <x v="5"/>
    <x v="5"/>
    <x v="4"/>
    <x v="4"/>
    <n v="1.08831192660485"/>
    <x v="0"/>
    <x v="0"/>
    <x v="1"/>
    <x v="3"/>
    <x v="3"/>
    <x v="4"/>
    <n v="1.1862599999992867"/>
  </r>
  <r>
    <x v="8"/>
    <x v="0"/>
    <x v="8"/>
    <x v="8"/>
    <x v="0"/>
    <x v="0"/>
    <x v="0"/>
    <x v="0"/>
    <x v="0"/>
    <x v="0"/>
    <x v="0"/>
    <x v="0"/>
    <x v="4"/>
    <x v="5"/>
    <x v="5"/>
    <x v="6"/>
    <x v="6"/>
    <n v="305.71478000000002"/>
    <x v="0"/>
    <x v="0"/>
    <x v="0"/>
    <x v="0"/>
    <x v="4"/>
    <x v="6"/>
    <n v="333.22911020000004"/>
  </r>
  <r>
    <x v="8"/>
    <x v="0"/>
    <x v="8"/>
    <x v="8"/>
    <x v="0"/>
    <x v="0"/>
    <x v="0"/>
    <x v="0"/>
    <x v="0"/>
    <x v="0"/>
    <x v="0"/>
    <x v="0"/>
    <x v="4"/>
    <x v="5"/>
    <x v="5"/>
    <x v="7"/>
    <x v="7"/>
    <n v="3.0738990825669599"/>
    <x v="0"/>
    <x v="0"/>
    <x v="1"/>
    <x v="4"/>
    <x v="5"/>
    <x v="7"/>
    <n v="3.3505499999979866"/>
  </r>
  <r>
    <x v="8"/>
    <x v="0"/>
    <x v="8"/>
    <x v="8"/>
    <x v="0"/>
    <x v="0"/>
    <x v="0"/>
    <x v="0"/>
    <x v="0"/>
    <x v="0"/>
    <x v="0"/>
    <x v="0"/>
    <x v="4"/>
    <x v="5"/>
    <x v="5"/>
    <x v="8"/>
    <x v="8"/>
    <n v="532.16331757097305"/>
    <x v="0"/>
    <x v="1"/>
    <x v="2"/>
    <x v="2"/>
    <x v="6"/>
    <x v="8"/>
    <n v="580.05801615236066"/>
  </r>
  <r>
    <x v="8"/>
    <x v="0"/>
    <x v="8"/>
    <x v="8"/>
    <x v="0"/>
    <x v="0"/>
    <x v="0"/>
    <x v="0"/>
    <x v="0"/>
    <x v="0"/>
    <x v="0"/>
    <x v="0"/>
    <x v="4"/>
    <x v="5"/>
    <x v="5"/>
    <x v="9"/>
    <x v="9"/>
    <n v="313.31713303626498"/>
    <x v="0"/>
    <x v="0"/>
    <x v="1"/>
    <x v="4"/>
    <x v="5"/>
    <x v="9"/>
    <n v="341.51567500952888"/>
  </r>
  <r>
    <x v="8"/>
    <x v="0"/>
    <x v="8"/>
    <x v="8"/>
    <x v="0"/>
    <x v="0"/>
    <x v="0"/>
    <x v="0"/>
    <x v="0"/>
    <x v="0"/>
    <x v="0"/>
    <x v="0"/>
    <x v="4"/>
    <x v="5"/>
    <x v="5"/>
    <x v="10"/>
    <x v="10"/>
    <n v="45.620087211473297"/>
    <x v="0"/>
    <x v="0"/>
    <x v="1"/>
    <x v="4"/>
    <x v="5"/>
    <x v="10"/>
    <n v="49.725895060505898"/>
  </r>
  <r>
    <x v="8"/>
    <x v="0"/>
    <x v="8"/>
    <x v="8"/>
    <x v="0"/>
    <x v="0"/>
    <x v="0"/>
    <x v="0"/>
    <x v="0"/>
    <x v="0"/>
    <x v="0"/>
    <x v="0"/>
    <x v="4"/>
    <x v="5"/>
    <x v="5"/>
    <x v="29"/>
    <x v="29"/>
    <n v="0.35298000000000002"/>
    <x v="0"/>
    <x v="0"/>
    <x v="1"/>
    <x v="3"/>
    <x v="3"/>
    <x v="13"/>
    <n v="0.38474820000000004"/>
  </r>
  <r>
    <x v="8"/>
    <x v="0"/>
    <x v="8"/>
    <x v="8"/>
    <x v="0"/>
    <x v="0"/>
    <x v="0"/>
    <x v="0"/>
    <x v="0"/>
    <x v="0"/>
    <x v="0"/>
    <x v="0"/>
    <x v="4"/>
    <x v="5"/>
    <x v="5"/>
    <x v="35"/>
    <x v="35"/>
    <n v="117.27"/>
    <x v="0"/>
    <x v="0"/>
    <x v="0"/>
    <x v="0"/>
    <x v="0"/>
    <x v="0"/>
    <n v="127.82430000000001"/>
  </r>
  <r>
    <x v="8"/>
    <x v="0"/>
    <x v="8"/>
    <x v="8"/>
    <x v="0"/>
    <x v="0"/>
    <x v="0"/>
    <x v="0"/>
    <x v="0"/>
    <x v="0"/>
    <x v="0"/>
    <x v="0"/>
    <x v="4"/>
    <x v="5"/>
    <x v="5"/>
    <x v="55"/>
    <x v="55"/>
    <n v="0.85871559632976002"/>
    <x v="0"/>
    <x v="0"/>
    <x v="1"/>
    <x v="3"/>
    <x v="3"/>
    <x v="15"/>
    <n v="0.9359999999994385"/>
  </r>
  <r>
    <x v="8"/>
    <x v="0"/>
    <x v="8"/>
    <x v="8"/>
    <x v="0"/>
    <x v="0"/>
    <x v="0"/>
    <x v="0"/>
    <x v="0"/>
    <x v="0"/>
    <x v="0"/>
    <x v="0"/>
    <x v="4"/>
    <x v="5"/>
    <x v="5"/>
    <x v="88"/>
    <x v="88"/>
    <n v="0.12270642201828"/>
    <x v="0"/>
    <x v="0"/>
    <x v="1"/>
    <x v="4"/>
    <x v="5"/>
    <x v="9"/>
    <n v="0.13374999999992521"/>
  </r>
  <r>
    <x v="8"/>
    <x v="0"/>
    <x v="8"/>
    <x v="8"/>
    <x v="0"/>
    <x v="0"/>
    <x v="0"/>
    <x v="0"/>
    <x v="0"/>
    <x v="0"/>
    <x v="0"/>
    <x v="0"/>
    <x v="4"/>
    <x v="5"/>
    <x v="5"/>
    <x v="12"/>
    <x v="12"/>
    <n v="55.608767441649199"/>
    <x v="0"/>
    <x v="0"/>
    <x v="0"/>
    <x v="0"/>
    <x v="8"/>
    <x v="12"/>
    <n v="60.613556511397633"/>
  </r>
  <r>
    <x v="8"/>
    <x v="0"/>
    <x v="8"/>
    <x v="8"/>
    <x v="0"/>
    <x v="0"/>
    <x v="0"/>
    <x v="0"/>
    <x v="0"/>
    <x v="0"/>
    <x v="0"/>
    <x v="0"/>
    <x v="4"/>
    <x v="5"/>
    <x v="5"/>
    <x v="14"/>
    <x v="14"/>
    <n v="195.56556"/>
    <x v="0"/>
    <x v="0"/>
    <x v="0"/>
    <x v="0"/>
    <x v="8"/>
    <x v="14"/>
    <n v="213.16646040000003"/>
  </r>
  <r>
    <x v="8"/>
    <x v="0"/>
    <x v="8"/>
    <x v="8"/>
    <x v="0"/>
    <x v="0"/>
    <x v="0"/>
    <x v="0"/>
    <x v="0"/>
    <x v="0"/>
    <x v="0"/>
    <x v="0"/>
    <x v="4"/>
    <x v="5"/>
    <x v="5"/>
    <x v="22"/>
    <x v="22"/>
    <n v="12.3317258064023"/>
    <x v="0"/>
    <x v="0"/>
    <x v="0"/>
    <x v="0"/>
    <x v="0"/>
    <x v="0"/>
    <n v="13.441581128978507"/>
  </r>
  <r>
    <x v="8"/>
    <x v="0"/>
    <x v="8"/>
    <x v="8"/>
    <x v="0"/>
    <x v="0"/>
    <x v="0"/>
    <x v="0"/>
    <x v="0"/>
    <x v="0"/>
    <x v="0"/>
    <x v="0"/>
    <x v="4"/>
    <x v="5"/>
    <x v="5"/>
    <x v="33"/>
    <x v="33"/>
    <n v="1.5573302752284199"/>
    <x v="0"/>
    <x v="0"/>
    <x v="1"/>
    <x v="3"/>
    <x v="3"/>
    <x v="4"/>
    <n v="1.6974899999989779"/>
  </r>
  <r>
    <x v="8"/>
    <x v="0"/>
    <x v="8"/>
    <x v="8"/>
    <x v="0"/>
    <x v="0"/>
    <x v="0"/>
    <x v="0"/>
    <x v="0"/>
    <x v="0"/>
    <x v="0"/>
    <x v="0"/>
    <x v="4"/>
    <x v="5"/>
    <x v="5"/>
    <x v="36"/>
    <x v="36"/>
    <n v="39.972522935755798"/>
    <x v="0"/>
    <x v="0"/>
    <x v="1"/>
    <x v="3"/>
    <x v="3"/>
    <x v="4"/>
    <n v="43.570049999973826"/>
  </r>
  <r>
    <x v="8"/>
    <x v="0"/>
    <x v="8"/>
    <x v="8"/>
    <x v="0"/>
    <x v="0"/>
    <x v="0"/>
    <x v="0"/>
    <x v="0"/>
    <x v="0"/>
    <x v="0"/>
    <x v="0"/>
    <x v="4"/>
    <x v="5"/>
    <x v="5"/>
    <x v="23"/>
    <x v="23"/>
    <n v="3.2960550458695801"/>
    <x v="0"/>
    <x v="0"/>
    <x v="1"/>
    <x v="3"/>
    <x v="3"/>
    <x v="15"/>
    <n v="3.5926999999978424"/>
  </r>
  <r>
    <x v="8"/>
    <x v="0"/>
    <x v="8"/>
    <x v="8"/>
    <x v="0"/>
    <x v="0"/>
    <x v="0"/>
    <x v="0"/>
    <x v="0"/>
    <x v="0"/>
    <x v="0"/>
    <x v="0"/>
    <x v="4"/>
    <x v="5"/>
    <x v="5"/>
    <x v="24"/>
    <x v="24"/>
    <n v="23.397587155949299"/>
    <x v="0"/>
    <x v="0"/>
    <x v="1"/>
    <x v="3"/>
    <x v="3"/>
    <x v="4"/>
    <n v="25.503369999984738"/>
  </r>
  <r>
    <x v="8"/>
    <x v="0"/>
    <x v="8"/>
    <x v="8"/>
    <x v="0"/>
    <x v="0"/>
    <x v="0"/>
    <x v="0"/>
    <x v="0"/>
    <x v="0"/>
    <x v="0"/>
    <x v="0"/>
    <x v="4"/>
    <x v="5"/>
    <x v="5"/>
    <x v="17"/>
    <x v="17"/>
    <n v="253.23521"/>
    <x v="0"/>
    <x v="0"/>
    <x v="0"/>
    <x v="0"/>
    <x v="4"/>
    <x v="17"/>
    <n v="276.0263789"/>
  </r>
  <r>
    <x v="8"/>
    <x v="0"/>
    <x v="8"/>
    <x v="8"/>
    <x v="0"/>
    <x v="0"/>
    <x v="0"/>
    <x v="0"/>
    <x v="0"/>
    <x v="0"/>
    <x v="0"/>
    <x v="0"/>
    <x v="4"/>
    <x v="5"/>
    <x v="5"/>
    <x v="21"/>
    <x v="21"/>
    <n v="59.4645229357441"/>
    <x v="0"/>
    <x v="0"/>
    <x v="1"/>
    <x v="4"/>
    <x v="5"/>
    <x v="10"/>
    <n v="64.81632999996107"/>
  </r>
  <r>
    <x v="8"/>
    <x v="0"/>
    <x v="8"/>
    <x v="8"/>
    <x v="0"/>
    <x v="0"/>
    <x v="0"/>
    <x v="0"/>
    <x v="0"/>
    <x v="0"/>
    <x v="0"/>
    <x v="0"/>
    <x v="4"/>
    <x v="5"/>
    <x v="5"/>
    <x v="18"/>
    <x v="18"/>
    <n v="189.72671"/>
    <x v="0"/>
    <x v="0"/>
    <x v="0"/>
    <x v="0"/>
    <x v="4"/>
    <x v="18"/>
    <n v="206.80211390000002"/>
  </r>
  <r>
    <x v="8"/>
    <x v="0"/>
    <x v="8"/>
    <x v="8"/>
    <x v="0"/>
    <x v="0"/>
    <x v="0"/>
    <x v="0"/>
    <x v="0"/>
    <x v="0"/>
    <x v="0"/>
    <x v="0"/>
    <x v="4"/>
    <x v="5"/>
    <x v="5"/>
    <x v="34"/>
    <x v="34"/>
    <n v="34.054880348765998"/>
    <x v="0"/>
    <x v="0"/>
    <x v="0"/>
    <x v="0"/>
    <x v="0"/>
    <x v="0"/>
    <n v="37.119819580154939"/>
  </r>
  <r>
    <x v="8"/>
    <x v="0"/>
    <x v="8"/>
    <x v="8"/>
    <x v="0"/>
    <x v="0"/>
    <x v="0"/>
    <x v="0"/>
    <x v="0"/>
    <x v="0"/>
    <x v="0"/>
    <x v="0"/>
    <x v="4"/>
    <x v="5"/>
    <x v="5"/>
    <x v="25"/>
    <x v="25"/>
    <n v="8.0600091743070905"/>
    <x v="0"/>
    <x v="0"/>
    <x v="1"/>
    <x v="4"/>
    <x v="5"/>
    <x v="9"/>
    <n v="8.7854099999947302"/>
  </r>
  <r>
    <x v="8"/>
    <x v="0"/>
    <x v="8"/>
    <x v="8"/>
    <x v="0"/>
    <x v="0"/>
    <x v="0"/>
    <x v="0"/>
    <x v="0"/>
    <x v="0"/>
    <x v="0"/>
    <x v="0"/>
    <x v="4"/>
    <x v="5"/>
    <x v="5"/>
    <x v="37"/>
    <x v="37"/>
    <n v="33.891110091722801"/>
    <x v="0"/>
    <x v="0"/>
    <x v="1"/>
    <x v="3"/>
    <x v="3"/>
    <x v="4"/>
    <n v="36.941309999977854"/>
  </r>
  <r>
    <x v="8"/>
    <x v="0"/>
    <x v="8"/>
    <x v="8"/>
    <x v="0"/>
    <x v="0"/>
    <x v="0"/>
    <x v="0"/>
    <x v="0"/>
    <x v="0"/>
    <x v="0"/>
    <x v="0"/>
    <x v="4"/>
    <x v="5"/>
    <x v="5"/>
    <x v="27"/>
    <x v="27"/>
    <n v="51.381781532620799"/>
    <x v="0"/>
    <x v="0"/>
    <x v="1"/>
    <x v="3"/>
    <x v="3"/>
    <x v="19"/>
    <n v="56.006141870556675"/>
  </r>
  <r>
    <x v="8"/>
    <x v="0"/>
    <x v="8"/>
    <x v="8"/>
    <x v="0"/>
    <x v="0"/>
    <x v="0"/>
    <x v="0"/>
    <x v="0"/>
    <x v="0"/>
    <x v="0"/>
    <x v="0"/>
    <x v="4"/>
    <x v="5"/>
    <x v="5"/>
    <x v="26"/>
    <x v="26"/>
    <n v="22.546899082555299"/>
    <x v="0"/>
    <x v="0"/>
    <x v="1"/>
    <x v="3"/>
    <x v="3"/>
    <x v="15"/>
    <n v="24.576119999985277"/>
  </r>
  <r>
    <x v="8"/>
    <x v="0"/>
    <x v="8"/>
    <x v="8"/>
    <x v="0"/>
    <x v="0"/>
    <x v="0"/>
    <x v="0"/>
    <x v="0"/>
    <x v="0"/>
    <x v="0"/>
    <x v="0"/>
    <x v="4"/>
    <x v="5"/>
    <x v="5"/>
    <x v="0"/>
    <x v="0"/>
    <n v="47.008054270331002"/>
    <x v="0"/>
    <x v="0"/>
    <x v="0"/>
    <x v="0"/>
    <x v="0"/>
    <x v="0"/>
    <n v="51.238779154660797"/>
  </r>
  <r>
    <x v="8"/>
    <x v="0"/>
    <x v="8"/>
    <x v="8"/>
    <x v="0"/>
    <x v="0"/>
    <x v="0"/>
    <x v="0"/>
    <x v="0"/>
    <x v="0"/>
    <x v="0"/>
    <x v="0"/>
    <x v="4"/>
    <x v="5"/>
    <x v="5"/>
    <x v="2"/>
    <x v="2"/>
    <n v="2078.4579633015101"/>
    <x v="0"/>
    <x v="1"/>
    <x v="2"/>
    <x v="2"/>
    <x v="13"/>
    <x v="2"/>
    <n v="2265.519179998646"/>
  </r>
  <r>
    <x v="8"/>
    <x v="0"/>
    <x v="8"/>
    <x v="8"/>
    <x v="0"/>
    <x v="0"/>
    <x v="0"/>
    <x v="0"/>
    <x v="0"/>
    <x v="0"/>
    <x v="0"/>
    <x v="0"/>
    <x v="4"/>
    <x v="5"/>
    <x v="5"/>
    <x v="3"/>
    <x v="3"/>
    <n v="13.475071427520399"/>
    <x v="0"/>
    <x v="0"/>
    <x v="1"/>
    <x v="3"/>
    <x v="3"/>
    <x v="3"/>
    <n v="14.687827855997236"/>
  </r>
  <r>
    <x v="8"/>
    <x v="0"/>
    <x v="8"/>
    <x v="8"/>
    <x v="0"/>
    <x v="0"/>
    <x v="0"/>
    <x v="0"/>
    <x v="0"/>
    <x v="0"/>
    <x v="3"/>
    <x v="3"/>
    <x v="3"/>
    <x v="3"/>
    <x v="3"/>
    <x v="3"/>
    <x v="3"/>
    <n v="2.54152709339782"/>
    <x v="0"/>
    <x v="0"/>
    <x v="1"/>
    <x v="3"/>
    <x v="3"/>
    <x v="3"/>
    <n v="2.7702645318036239"/>
  </r>
  <r>
    <x v="8"/>
    <x v="0"/>
    <x v="8"/>
    <x v="8"/>
    <x v="0"/>
    <x v="0"/>
    <x v="0"/>
    <x v="0"/>
    <x v="0"/>
    <x v="0"/>
    <x v="3"/>
    <x v="3"/>
    <x v="0"/>
    <x v="4"/>
    <x v="4"/>
    <x v="16"/>
    <x v="16"/>
    <n v="6.7625999999999999"/>
    <x v="0"/>
    <x v="0"/>
    <x v="3"/>
    <x v="5"/>
    <x v="9"/>
    <x v="16"/>
    <n v="7.3712340000000003"/>
  </r>
  <r>
    <x v="8"/>
    <x v="0"/>
    <x v="8"/>
    <x v="8"/>
    <x v="0"/>
    <x v="0"/>
    <x v="0"/>
    <x v="0"/>
    <x v="0"/>
    <x v="0"/>
    <x v="3"/>
    <x v="3"/>
    <x v="2"/>
    <x v="2"/>
    <x v="2"/>
    <x v="5"/>
    <x v="5"/>
    <n v="7.9146625767472703"/>
    <x v="0"/>
    <x v="0"/>
    <x v="1"/>
    <x v="1"/>
    <x v="1"/>
    <x v="5"/>
    <n v="8.6269822086545247"/>
  </r>
  <r>
    <x v="8"/>
    <x v="0"/>
    <x v="8"/>
    <x v="8"/>
    <x v="0"/>
    <x v="0"/>
    <x v="0"/>
    <x v="0"/>
    <x v="0"/>
    <x v="0"/>
    <x v="3"/>
    <x v="3"/>
    <x v="2"/>
    <x v="2"/>
    <x v="2"/>
    <x v="6"/>
    <x v="6"/>
    <n v="11.62368"/>
    <x v="0"/>
    <x v="0"/>
    <x v="0"/>
    <x v="0"/>
    <x v="4"/>
    <x v="6"/>
    <n v="12.669811200000002"/>
  </r>
  <r>
    <x v="8"/>
    <x v="0"/>
    <x v="8"/>
    <x v="8"/>
    <x v="0"/>
    <x v="0"/>
    <x v="0"/>
    <x v="0"/>
    <x v="0"/>
    <x v="0"/>
    <x v="3"/>
    <x v="3"/>
    <x v="2"/>
    <x v="2"/>
    <x v="2"/>
    <x v="8"/>
    <x v="8"/>
    <n v="177.65322700336699"/>
    <x v="0"/>
    <x v="1"/>
    <x v="2"/>
    <x v="2"/>
    <x v="6"/>
    <x v="8"/>
    <n v="193.64201743367005"/>
  </r>
  <r>
    <x v="8"/>
    <x v="0"/>
    <x v="8"/>
    <x v="8"/>
    <x v="0"/>
    <x v="0"/>
    <x v="0"/>
    <x v="0"/>
    <x v="0"/>
    <x v="0"/>
    <x v="3"/>
    <x v="3"/>
    <x v="2"/>
    <x v="2"/>
    <x v="2"/>
    <x v="9"/>
    <x v="9"/>
    <n v="8.9247706421960005E-2"/>
    <x v="0"/>
    <x v="0"/>
    <x v="1"/>
    <x v="4"/>
    <x v="5"/>
    <x v="9"/>
    <n v="9.7279999999936417E-2"/>
  </r>
  <r>
    <x v="8"/>
    <x v="0"/>
    <x v="8"/>
    <x v="8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8"/>
    <x v="0"/>
    <x v="8"/>
    <x v="8"/>
    <x v="0"/>
    <x v="0"/>
    <x v="0"/>
    <x v="0"/>
    <x v="0"/>
    <x v="0"/>
    <x v="3"/>
    <x v="3"/>
    <x v="2"/>
    <x v="2"/>
    <x v="2"/>
    <x v="30"/>
    <x v="30"/>
    <n v="10.10752688168"/>
    <x v="0"/>
    <x v="0"/>
    <x v="0"/>
    <x v="0"/>
    <x v="0"/>
    <x v="0"/>
    <n v="11.017204301031201"/>
  </r>
  <r>
    <x v="8"/>
    <x v="0"/>
    <x v="8"/>
    <x v="8"/>
    <x v="0"/>
    <x v="0"/>
    <x v="0"/>
    <x v="0"/>
    <x v="0"/>
    <x v="0"/>
    <x v="3"/>
    <x v="3"/>
    <x v="2"/>
    <x v="2"/>
    <x v="2"/>
    <x v="16"/>
    <x v="16"/>
    <n v="18.580559999999998"/>
    <x v="0"/>
    <x v="0"/>
    <x v="3"/>
    <x v="5"/>
    <x v="9"/>
    <x v="16"/>
    <n v="20.252810400000001"/>
  </r>
  <r>
    <x v="8"/>
    <x v="0"/>
    <x v="8"/>
    <x v="8"/>
    <x v="0"/>
    <x v="0"/>
    <x v="0"/>
    <x v="0"/>
    <x v="0"/>
    <x v="0"/>
    <x v="3"/>
    <x v="3"/>
    <x v="2"/>
    <x v="2"/>
    <x v="2"/>
    <x v="17"/>
    <x v="17"/>
    <n v="5.3650000000000002"/>
    <x v="0"/>
    <x v="0"/>
    <x v="0"/>
    <x v="0"/>
    <x v="4"/>
    <x v="17"/>
    <n v="5.8478500000000011"/>
  </r>
  <r>
    <x v="8"/>
    <x v="0"/>
    <x v="8"/>
    <x v="8"/>
    <x v="0"/>
    <x v="0"/>
    <x v="0"/>
    <x v="0"/>
    <x v="0"/>
    <x v="0"/>
    <x v="3"/>
    <x v="3"/>
    <x v="2"/>
    <x v="2"/>
    <x v="2"/>
    <x v="2"/>
    <x v="2"/>
    <n v="6.6605504587120001E-2"/>
    <x v="0"/>
    <x v="1"/>
    <x v="2"/>
    <x v="2"/>
    <x v="13"/>
    <x v="2"/>
    <n v="7.2599999999960807E-2"/>
  </r>
  <r>
    <x v="8"/>
    <x v="0"/>
    <x v="8"/>
    <x v="8"/>
    <x v="0"/>
    <x v="0"/>
    <x v="0"/>
    <x v="0"/>
    <x v="0"/>
    <x v="0"/>
    <x v="3"/>
    <x v="3"/>
    <x v="1"/>
    <x v="6"/>
    <x v="6"/>
    <x v="5"/>
    <x v="5"/>
    <n v="15.475141104412099"/>
    <x v="0"/>
    <x v="0"/>
    <x v="1"/>
    <x v="1"/>
    <x v="1"/>
    <x v="5"/>
    <n v="16.867903803809188"/>
  </r>
  <r>
    <x v="8"/>
    <x v="0"/>
    <x v="8"/>
    <x v="8"/>
    <x v="0"/>
    <x v="0"/>
    <x v="0"/>
    <x v="0"/>
    <x v="0"/>
    <x v="0"/>
    <x v="3"/>
    <x v="3"/>
    <x v="4"/>
    <x v="5"/>
    <x v="5"/>
    <x v="8"/>
    <x v="8"/>
    <n v="22.854770270416498"/>
    <x v="0"/>
    <x v="1"/>
    <x v="2"/>
    <x v="2"/>
    <x v="6"/>
    <x v="8"/>
    <n v="24.911699594753983"/>
  </r>
  <r>
    <x v="8"/>
    <x v="0"/>
    <x v="8"/>
    <x v="8"/>
    <x v="0"/>
    <x v="0"/>
    <x v="0"/>
    <x v="0"/>
    <x v="0"/>
    <x v="0"/>
    <x v="3"/>
    <x v="3"/>
    <x v="4"/>
    <x v="5"/>
    <x v="5"/>
    <x v="12"/>
    <x v="12"/>
    <n v="15.715604651103099"/>
    <x v="0"/>
    <x v="0"/>
    <x v="0"/>
    <x v="0"/>
    <x v="8"/>
    <x v="12"/>
    <n v="17.130009069702378"/>
  </r>
  <r>
    <x v="8"/>
    <x v="0"/>
    <x v="8"/>
    <x v="8"/>
    <x v="0"/>
    <x v="0"/>
    <x v="0"/>
    <x v="0"/>
    <x v="0"/>
    <x v="0"/>
    <x v="3"/>
    <x v="3"/>
    <x v="4"/>
    <x v="5"/>
    <x v="5"/>
    <x v="18"/>
    <x v="18"/>
    <n v="6.9601499999999996"/>
    <x v="0"/>
    <x v="0"/>
    <x v="0"/>
    <x v="0"/>
    <x v="4"/>
    <x v="18"/>
    <n v="7.5865635000000005"/>
  </r>
  <r>
    <x v="8"/>
    <x v="0"/>
    <x v="8"/>
    <x v="8"/>
    <x v="0"/>
    <x v="0"/>
    <x v="0"/>
    <x v="0"/>
    <x v="0"/>
    <x v="0"/>
    <x v="3"/>
    <x v="3"/>
    <x v="4"/>
    <x v="5"/>
    <x v="5"/>
    <x v="27"/>
    <x v="27"/>
    <n v="2.0270270270699999"/>
    <x v="0"/>
    <x v="0"/>
    <x v="1"/>
    <x v="3"/>
    <x v="3"/>
    <x v="19"/>
    <n v="2.2094594595063"/>
  </r>
  <r>
    <x v="8"/>
    <x v="0"/>
    <x v="8"/>
    <x v="8"/>
    <x v="0"/>
    <x v="0"/>
    <x v="0"/>
    <x v="0"/>
    <x v="0"/>
    <x v="0"/>
    <x v="3"/>
    <x v="3"/>
    <x v="4"/>
    <x v="5"/>
    <x v="5"/>
    <x v="0"/>
    <x v="0"/>
    <n v="123.473927935597"/>
    <x v="0"/>
    <x v="0"/>
    <x v="0"/>
    <x v="0"/>
    <x v="0"/>
    <x v="0"/>
    <n v="134.58658144980075"/>
  </r>
  <r>
    <x v="8"/>
    <x v="0"/>
    <x v="8"/>
    <x v="8"/>
    <x v="0"/>
    <x v="0"/>
    <x v="0"/>
    <x v="0"/>
    <x v="0"/>
    <x v="0"/>
    <x v="3"/>
    <x v="3"/>
    <x v="4"/>
    <x v="5"/>
    <x v="5"/>
    <x v="2"/>
    <x v="2"/>
    <n v="1.00343119265995"/>
    <x v="0"/>
    <x v="1"/>
    <x v="2"/>
    <x v="2"/>
    <x v="13"/>
    <x v="2"/>
    <n v="1.0937399999993456"/>
  </r>
  <r>
    <x v="8"/>
    <x v="0"/>
    <x v="8"/>
    <x v="8"/>
    <x v="0"/>
    <x v="0"/>
    <x v="0"/>
    <x v="0"/>
    <x v="0"/>
    <x v="0"/>
    <x v="18"/>
    <x v="18"/>
    <x v="0"/>
    <x v="4"/>
    <x v="4"/>
    <x v="16"/>
    <x v="16"/>
    <n v="0.87190000000000001"/>
    <x v="0"/>
    <x v="0"/>
    <x v="3"/>
    <x v="5"/>
    <x v="9"/>
    <x v="16"/>
    <n v="0.95037100000000008"/>
  </r>
  <r>
    <x v="8"/>
    <x v="0"/>
    <x v="8"/>
    <x v="8"/>
    <x v="0"/>
    <x v="0"/>
    <x v="0"/>
    <x v="0"/>
    <x v="0"/>
    <x v="0"/>
    <x v="4"/>
    <x v="4"/>
    <x v="2"/>
    <x v="2"/>
    <x v="2"/>
    <x v="5"/>
    <x v="5"/>
    <n v="0.46534969325506997"/>
    <x v="0"/>
    <x v="0"/>
    <x v="1"/>
    <x v="1"/>
    <x v="1"/>
    <x v="5"/>
    <n v="0.50723116564802628"/>
  </r>
  <r>
    <x v="8"/>
    <x v="0"/>
    <x v="8"/>
    <x v="8"/>
    <x v="0"/>
    <x v="0"/>
    <x v="0"/>
    <x v="0"/>
    <x v="0"/>
    <x v="0"/>
    <x v="4"/>
    <x v="4"/>
    <x v="2"/>
    <x v="2"/>
    <x v="2"/>
    <x v="6"/>
    <x v="6"/>
    <n v="0.49331999999999998"/>
    <x v="0"/>
    <x v="0"/>
    <x v="0"/>
    <x v="0"/>
    <x v="4"/>
    <x v="6"/>
    <n v="0.53771880000000005"/>
  </r>
  <r>
    <x v="8"/>
    <x v="0"/>
    <x v="8"/>
    <x v="8"/>
    <x v="0"/>
    <x v="0"/>
    <x v="0"/>
    <x v="0"/>
    <x v="0"/>
    <x v="0"/>
    <x v="4"/>
    <x v="4"/>
    <x v="2"/>
    <x v="2"/>
    <x v="2"/>
    <x v="7"/>
    <x v="7"/>
    <n v="0.45592660550431002"/>
    <x v="0"/>
    <x v="0"/>
    <x v="1"/>
    <x v="4"/>
    <x v="5"/>
    <x v="7"/>
    <n v="0.49695999999969798"/>
  </r>
  <r>
    <x v="8"/>
    <x v="0"/>
    <x v="8"/>
    <x v="8"/>
    <x v="0"/>
    <x v="0"/>
    <x v="0"/>
    <x v="0"/>
    <x v="0"/>
    <x v="0"/>
    <x v="4"/>
    <x v="4"/>
    <x v="2"/>
    <x v="2"/>
    <x v="2"/>
    <x v="8"/>
    <x v="8"/>
    <n v="4.1729729729999998E-2"/>
    <x v="0"/>
    <x v="1"/>
    <x v="2"/>
    <x v="2"/>
    <x v="6"/>
    <x v="8"/>
    <n v="4.5485405405700001E-2"/>
  </r>
  <r>
    <x v="8"/>
    <x v="0"/>
    <x v="8"/>
    <x v="8"/>
    <x v="0"/>
    <x v="0"/>
    <x v="0"/>
    <x v="0"/>
    <x v="0"/>
    <x v="0"/>
    <x v="4"/>
    <x v="4"/>
    <x v="2"/>
    <x v="2"/>
    <x v="2"/>
    <x v="9"/>
    <x v="9"/>
    <n v="3.0055045871539999E-2"/>
    <x v="0"/>
    <x v="0"/>
    <x v="1"/>
    <x v="4"/>
    <x v="5"/>
    <x v="9"/>
    <n v="3.2759999999978598E-2"/>
  </r>
  <r>
    <x v="8"/>
    <x v="0"/>
    <x v="8"/>
    <x v="8"/>
    <x v="0"/>
    <x v="0"/>
    <x v="0"/>
    <x v="0"/>
    <x v="0"/>
    <x v="0"/>
    <x v="4"/>
    <x v="4"/>
    <x v="2"/>
    <x v="2"/>
    <x v="2"/>
    <x v="11"/>
    <x v="11"/>
    <n v="0.30564000000000002"/>
    <x v="0"/>
    <x v="0"/>
    <x v="3"/>
    <x v="5"/>
    <x v="7"/>
    <x v="11"/>
    <n v="0.33314760000000004"/>
  </r>
  <r>
    <x v="8"/>
    <x v="0"/>
    <x v="8"/>
    <x v="8"/>
    <x v="0"/>
    <x v="0"/>
    <x v="0"/>
    <x v="0"/>
    <x v="0"/>
    <x v="0"/>
    <x v="4"/>
    <x v="4"/>
    <x v="2"/>
    <x v="2"/>
    <x v="2"/>
    <x v="12"/>
    <x v="12"/>
    <n v="21.692034883638499"/>
    <x v="0"/>
    <x v="0"/>
    <x v="0"/>
    <x v="0"/>
    <x v="8"/>
    <x v="12"/>
    <n v="23.644318023165965"/>
  </r>
  <r>
    <x v="8"/>
    <x v="0"/>
    <x v="8"/>
    <x v="8"/>
    <x v="0"/>
    <x v="0"/>
    <x v="0"/>
    <x v="0"/>
    <x v="0"/>
    <x v="0"/>
    <x v="4"/>
    <x v="4"/>
    <x v="2"/>
    <x v="2"/>
    <x v="2"/>
    <x v="14"/>
    <x v="14"/>
    <n v="0.28616000000000003"/>
    <x v="0"/>
    <x v="0"/>
    <x v="0"/>
    <x v="0"/>
    <x v="8"/>
    <x v="14"/>
    <n v="0.31191440000000004"/>
  </r>
  <r>
    <x v="8"/>
    <x v="0"/>
    <x v="8"/>
    <x v="8"/>
    <x v="0"/>
    <x v="0"/>
    <x v="0"/>
    <x v="0"/>
    <x v="0"/>
    <x v="0"/>
    <x v="4"/>
    <x v="4"/>
    <x v="2"/>
    <x v="2"/>
    <x v="2"/>
    <x v="16"/>
    <x v="16"/>
    <n v="5.2690799999999998"/>
    <x v="0"/>
    <x v="0"/>
    <x v="3"/>
    <x v="5"/>
    <x v="9"/>
    <x v="16"/>
    <n v="5.7432971999999998"/>
  </r>
  <r>
    <x v="8"/>
    <x v="0"/>
    <x v="8"/>
    <x v="8"/>
    <x v="0"/>
    <x v="0"/>
    <x v="0"/>
    <x v="0"/>
    <x v="0"/>
    <x v="0"/>
    <x v="4"/>
    <x v="4"/>
    <x v="2"/>
    <x v="2"/>
    <x v="2"/>
    <x v="25"/>
    <x v="25"/>
    <n v="8.0587155963250001E-2"/>
    <x v="0"/>
    <x v="0"/>
    <x v="1"/>
    <x v="4"/>
    <x v="5"/>
    <x v="9"/>
    <n v="8.7839999999942506E-2"/>
  </r>
  <r>
    <x v="8"/>
    <x v="0"/>
    <x v="8"/>
    <x v="8"/>
    <x v="0"/>
    <x v="0"/>
    <x v="0"/>
    <x v="0"/>
    <x v="0"/>
    <x v="0"/>
    <x v="4"/>
    <x v="4"/>
    <x v="2"/>
    <x v="2"/>
    <x v="2"/>
    <x v="27"/>
    <x v="27"/>
    <n v="1.07681981984265"/>
    <x v="0"/>
    <x v="0"/>
    <x v="1"/>
    <x v="3"/>
    <x v="3"/>
    <x v="19"/>
    <n v="1.1737336036284884"/>
  </r>
  <r>
    <x v="8"/>
    <x v="0"/>
    <x v="8"/>
    <x v="8"/>
    <x v="0"/>
    <x v="0"/>
    <x v="0"/>
    <x v="0"/>
    <x v="0"/>
    <x v="0"/>
    <x v="4"/>
    <x v="4"/>
    <x v="2"/>
    <x v="2"/>
    <x v="2"/>
    <x v="0"/>
    <x v="0"/>
    <n v="0.73879003558512002"/>
    <x v="0"/>
    <x v="0"/>
    <x v="0"/>
    <x v="0"/>
    <x v="0"/>
    <x v="0"/>
    <n v="0.80528113878778085"/>
  </r>
  <r>
    <x v="8"/>
    <x v="0"/>
    <x v="8"/>
    <x v="8"/>
    <x v="0"/>
    <x v="0"/>
    <x v="0"/>
    <x v="0"/>
    <x v="2"/>
    <x v="2"/>
    <x v="5"/>
    <x v="5"/>
    <x v="2"/>
    <x v="2"/>
    <x v="2"/>
    <x v="42"/>
    <x v="42"/>
    <n v="0.68111999999999995"/>
    <x v="1"/>
    <x v="2"/>
    <x v="5"/>
    <x v="7"/>
    <x v="11"/>
    <x v="22"/>
    <n v="0.74242079999999999"/>
  </r>
  <r>
    <x v="8"/>
    <x v="0"/>
    <x v="8"/>
    <x v="8"/>
    <x v="0"/>
    <x v="0"/>
    <x v="0"/>
    <x v="0"/>
    <x v="2"/>
    <x v="2"/>
    <x v="5"/>
    <x v="5"/>
    <x v="2"/>
    <x v="2"/>
    <x v="2"/>
    <x v="41"/>
    <x v="41"/>
    <n v="0.14374468085052"/>
    <x v="1"/>
    <x v="2"/>
    <x v="5"/>
    <x v="7"/>
    <x v="11"/>
    <x v="22"/>
    <n v="0.15668170212706681"/>
  </r>
  <r>
    <x v="8"/>
    <x v="0"/>
    <x v="8"/>
    <x v="8"/>
    <x v="0"/>
    <x v="0"/>
    <x v="0"/>
    <x v="0"/>
    <x v="2"/>
    <x v="2"/>
    <x v="5"/>
    <x v="5"/>
    <x v="2"/>
    <x v="2"/>
    <x v="2"/>
    <x v="40"/>
    <x v="40"/>
    <n v="11.62161"/>
    <x v="1"/>
    <x v="2"/>
    <x v="5"/>
    <x v="7"/>
    <x v="11"/>
    <x v="22"/>
    <n v="12.667554900000001"/>
  </r>
  <r>
    <x v="8"/>
    <x v="0"/>
    <x v="8"/>
    <x v="8"/>
    <x v="0"/>
    <x v="0"/>
    <x v="0"/>
    <x v="0"/>
    <x v="2"/>
    <x v="2"/>
    <x v="5"/>
    <x v="5"/>
    <x v="2"/>
    <x v="2"/>
    <x v="2"/>
    <x v="38"/>
    <x v="38"/>
    <n v="105.59316"/>
    <x v="1"/>
    <x v="0"/>
    <x v="4"/>
    <x v="6"/>
    <x v="10"/>
    <x v="21"/>
    <n v="115.0965444"/>
  </r>
  <r>
    <x v="8"/>
    <x v="0"/>
    <x v="8"/>
    <x v="8"/>
    <x v="0"/>
    <x v="0"/>
    <x v="0"/>
    <x v="0"/>
    <x v="0"/>
    <x v="0"/>
    <x v="5"/>
    <x v="5"/>
    <x v="2"/>
    <x v="2"/>
    <x v="2"/>
    <x v="17"/>
    <x v="17"/>
    <n v="0.59448000000000001"/>
    <x v="0"/>
    <x v="0"/>
    <x v="0"/>
    <x v="0"/>
    <x v="4"/>
    <x v="17"/>
    <n v="0.64798320000000009"/>
  </r>
  <r>
    <x v="8"/>
    <x v="0"/>
    <x v="8"/>
    <x v="8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8"/>
    <x v="0"/>
    <x v="8"/>
    <x v="8"/>
    <x v="0"/>
    <x v="0"/>
    <x v="0"/>
    <x v="0"/>
    <x v="2"/>
    <x v="2"/>
    <x v="5"/>
    <x v="5"/>
    <x v="3"/>
    <x v="7"/>
    <x v="7"/>
    <x v="40"/>
    <x v="40"/>
    <n v="3.7640699999999998"/>
    <x v="1"/>
    <x v="2"/>
    <x v="5"/>
    <x v="7"/>
    <x v="11"/>
    <x v="22"/>
    <n v="4.1028362999999999"/>
  </r>
  <r>
    <x v="8"/>
    <x v="0"/>
    <x v="8"/>
    <x v="8"/>
    <x v="0"/>
    <x v="0"/>
    <x v="0"/>
    <x v="0"/>
    <x v="2"/>
    <x v="2"/>
    <x v="5"/>
    <x v="5"/>
    <x v="1"/>
    <x v="8"/>
    <x v="8"/>
    <x v="40"/>
    <x v="40"/>
    <n v="2.9050500000000001"/>
    <x v="1"/>
    <x v="2"/>
    <x v="5"/>
    <x v="7"/>
    <x v="11"/>
    <x v="22"/>
    <n v="3.1665045000000003"/>
  </r>
  <r>
    <x v="8"/>
    <x v="0"/>
    <x v="8"/>
    <x v="8"/>
    <x v="0"/>
    <x v="0"/>
    <x v="0"/>
    <x v="0"/>
    <x v="2"/>
    <x v="2"/>
    <x v="5"/>
    <x v="5"/>
    <x v="2"/>
    <x v="10"/>
    <x v="10"/>
    <x v="40"/>
    <x v="40"/>
    <n v="0.60965999999999998"/>
    <x v="1"/>
    <x v="2"/>
    <x v="5"/>
    <x v="7"/>
    <x v="11"/>
    <x v="22"/>
    <n v="0.66452940000000005"/>
  </r>
  <r>
    <x v="8"/>
    <x v="0"/>
    <x v="8"/>
    <x v="8"/>
    <x v="0"/>
    <x v="0"/>
    <x v="0"/>
    <x v="0"/>
    <x v="2"/>
    <x v="2"/>
    <x v="5"/>
    <x v="5"/>
    <x v="4"/>
    <x v="5"/>
    <x v="5"/>
    <x v="40"/>
    <x v="40"/>
    <n v="100.48466999999999"/>
    <x v="1"/>
    <x v="2"/>
    <x v="5"/>
    <x v="7"/>
    <x v="11"/>
    <x v="22"/>
    <n v="109.52829029999999"/>
  </r>
  <r>
    <x v="8"/>
    <x v="0"/>
    <x v="8"/>
    <x v="8"/>
    <x v="0"/>
    <x v="0"/>
    <x v="0"/>
    <x v="0"/>
    <x v="2"/>
    <x v="2"/>
    <x v="6"/>
    <x v="6"/>
    <x v="2"/>
    <x v="2"/>
    <x v="2"/>
    <x v="40"/>
    <x v="40"/>
    <n v="0.26435999999999998"/>
    <x v="1"/>
    <x v="2"/>
    <x v="5"/>
    <x v="7"/>
    <x v="11"/>
    <x v="22"/>
    <n v="0.28815240000000003"/>
  </r>
  <r>
    <x v="8"/>
    <x v="0"/>
    <x v="8"/>
    <x v="8"/>
    <x v="0"/>
    <x v="0"/>
    <x v="0"/>
    <x v="0"/>
    <x v="2"/>
    <x v="2"/>
    <x v="7"/>
    <x v="7"/>
    <x v="2"/>
    <x v="2"/>
    <x v="2"/>
    <x v="40"/>
    <x v="40"/>
    <n v="10.85976"/>
    <x v="1"/>
    <x v="2"/>
    <x v="5"/>
    <x v="7"/>
    <x v="11"/>
    <x v="22"/>
    <n v="11.837138400000001"/>
  </r>
  <r>
    <x v="8"/>
    <x v="0"/>
    <x v="8"/>
    <x v="8"/>
    <x v="0"/>
    <x v="0"/>
    <x v="0"/>
    <x v="0"/>
    <x v="2"/>
    <x v="2"/>
    <x v="7"/>
    <x v="7"/>
    <x v="2"/>
    <x v="2"/>
    <x v="2"/>
    <x v="38"/>
    <x v="38"/>
    <n v="156.63845000000001"/>
    <x v="1"/>
    <x v="0"/>
    <x v="4"/>
    <x v="6"/>
    <x v="10"/>
    <x v="21"/>
    <n v="170.73591050000002"/>
  </r>
  <r>
    <x v="8"/>
    <x v="0"/>
    <x v="8"/>
    <x v="8"/>
    <x v="0"/>
    <x v="0"/>
    <x v="0"/>
    <x v="0"/>
    <x v="2"/>
    <x v="2"/>
    <x v="7"/>
    <x v="7"/>
    <x v="2"/>
    <x v="2"/>
    <x v="2"/>
    <x v="43"/>
    <x v="43"/>
    <n v="10.728680000000001"/>
    <x v="1"/>
    <x v="0"/>
    <x v="4"/>
    <x v="6"/>
    <x v="10"/>
    <x v="21"/>
    <n v="11.694261200000001"/>
  </r>
  <r>
    <x v="8"/>
    <x v="0"/>
    <x v="8"/>
    <x v="8"/>
    <x v="0"/>
    <x v="0"/>
    <x v="0"/>
    <x v="0"/>
    <x v="2"/>
    <x v="2"/>
    <x v="7"/>
    <x v="7"/>
    <x v="2"/>
    <x v="2"/>
    <x v="2"/>
    <x v="44"/>
    <x v="44"/>
    <n v="7.9616400000000001"/>
    <x v="1"/>
    <x v="0"/>
    <x v="4"/>
    <x v="6"/>
    <x v="10"/>
    <x v="21"/>
    <n v="8.6781876000000011"/>
  </r>
  <r>
    <x v="8"/>
    <x v="0"/>
    <x v="8"/>
    <x v="8"/>
    <x v="0"/>
    <x v="0"/>
    <x v="0"/>
    <x v="0"/>
    <x v="0"/>
    <x v="0"/>
    <x v="7"/>
    <x v="7"/>
    <x v="2"/>
    <x v="2"/>
    <x v="2"/>
    <x v="17"/>
    <x v="17"/>
    <n v="12.33216"/>
    <x v="0"/>
    <x v="0"/>
    <x v="0"/>
    <x v="0"/>
    <x v="4"/>
    <x v="17"/>
    <n v="13.442054400000002"/>
  </r>
  <r>
    <x v="8"/>
    <x v="0"/>
    <x v="8"/>
    <x v="8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8"/>
    <x v="0"/>
    <x v="8"/>
    <x v="8"/>
    <x v="0"/>
    <x v="0"/>
    <x v="0"/>
    <x v="0"/>
    <x v="2"/>
    <x v="2"/>
    <x v="7"/>
    <x v="7"/>
    <x v="2"/>
    <x v="2"/>
    <x v="2"/>
    <x v="46"/>
    <x v="46"/>
    <n v="0.32963999999999999"/>
    <x v="1"/>
    <x v="0"/>
    <x v="4"/>
    <x v="6"/>
    <x v="10"/>
    <x v="21"/>
    <n v="0.3593076"/>
  </r>
  <r>
    <x v="8"/>
    <x v="0"/>
    <x v="8"/>
    <x v="8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8"/>
    <x v="0"/>
    <x v="8"/>
    <x v="8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8"/>
    <x v="0"/>
    <x v="8"/>
    <x v="8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8"/>
    <x v="0"/>
    <x v="8"/>
    <x v="8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8"/>
    <x v="0"/>
    <x v="8"/>
    <x v="8"/>
    <x v="0"/>
    <x v="0"/>
    <x v="0"/>
    <x v="0"/>
    <x v="2"/>
    <x v="2"/>
    <x v="7"/>
    <x v="7"/>
    <x v="3"/>
    <x v="7"/>
    <x v="7"/>
    <x v="40"/>
    <x v="40"/>
    <n v="110.31905999999999"/>
    <x v="1"/>
    <x v="2"/>
    <x v="5"/>
    <x v="7"/>
    <x v="11"/>
    <x v="22"/>
    <n v="120.24777539999999"/>
  </r>
  <r>
    <x v="8"/>
    <x v="0"/>
    <x v="8"/>
    <x v="8"/>
    <x v="0"/>
    <x v="0"/>
    <x v="0"/>
    <x v="0"/>
    <x v="2"/>
    <x v="2"/>
    <x v="7"/>
    <x v="7"/>
    <x v="1"/>
    <x v="8"/>
    <x v="8"/>
    <x v="40"/>
    <x v="40"/>
    <n v="10.778729999999999"/>
    <x v="1"/>
    <x v="2"/>
    <x v="5"/>
    <x v="7"/>
    <x v="11"/>
    <x v="22"/>
    <n v="11.7488157"/>
  </r>
  <r>
    <x v="8"/>
    <x v="0"/>
    <x v="8"/>
    <x v="8"/>
    <x v="0"/>
    <x v="0"/>
    <x v="0"/>
    <x v="0"/>
    <x v="2"/>
    <x v="2"/>
    <x v="7"/>
    <x v="7"/>
    <x v="2"/>
    <x v="10"/>
    <x v="10"/>
    <x v="40"/>
    <x v="40"/>
    <n v="2.0322900000000002"/>
    <x v="1"/>
    <x v="2"/>
    <x v="5"/>
    <x v="7"/>
    <x v="11"/>
    <x v="22"/>
    <n v="2.2151961000000004"/>
  </r>
  <r>
    <x v="8"/>
    <x v="0"/>
    <x v="8"/>
    <x v="8"/>
    <x v="0"/>
    <x v="0"/>
    <x v="0"/>
    <x v="0"/>
    <x v="2"/>
    <x v="2"/>
    <x v="7"/>
    <x v="7"/>
    <x v="4"/>
    <x v="5"/>
    <x v="5"/>
    <x v="40"/>
    <x v="40"/>
    <n v="87.465149999999994"/>
    <x v="1"/>
    <x v="2"/>
    <x v="5"/>
    <x v="7"/>
    <x v="11"/>
    <x v="22"/>
    <n v="95.337013499999998"/>
  </r>
  <r>
    <x v="8"/>
    <x v="0"/>
    <x v="8"/>
    <x v="8"/>
    <x v="0"/>
    <x v="0"/>
    <x v="0"/>
    <x v="0"/>
    <x v="2"/>
    <x v="2"/>
    <x v="8"/>
    <x v="8"/>
    <x v="2"/>
    <x v="2"/>
    <x v="2"/>
    <x v="40"/>
    <x v="40"/>
    <n v="3.25176"/>
    <x v="1"/>
    <x v="2"/>
    <x v="5"/>
    <x v="7"/>
    <x v="11"/>
    <x v="22"/>
    <n v="3.5444184000000001"/>
  </r>
  <r>
    <x v="8"/>
    <x v="0"/>
    <x v="8"/>
    <x v="8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8"/>
    <x v="0"/>
    <x v="8"/>
    <x v="8"/>
    <x v="0"/>
    <x v="0"/>
    <x v="0"/>
    <x v="0"/>
    <x v="2"/>
    <x v="2"/>
    <x v="9"/>
    <x v="9"/>
    <x v="2"/>
    <x v="2"/>
    <x v="2"/>
    <x v="40"/>
    <x v="40"/>
    <n v="82.987160000000003"/>
    <x v="1"/>
    <x v="2"/>
    <x v="5"/>
    <x v="7"/>
    <x v="11"/>
    <x v="22"/>
    <n v="90.456004400000012"/>
  </r>
  <r>
    <x v="8"/>
    <x v="0"/>
    <x v="8"/>
    <x v="8"/>
    <x v="0"/>
    <x v="0"/>
    <x v="0"/>
    <x v="0"/>
    <x v="2"/>
    <x v="2"/>
    <x v="9"/>
    <x v="9"/>
    <x v="2"/>
    <x v="2"/>
    <x v="2"/>
    <x v="38"/>
    <x v="38"/>
    <n v="717.63987999999995"/>
    <x v="1"/>
    <x v="0"/>
    <x v="4"/>
    <x v="6"/>
    <x v="10"/>
    <x v="21"/>
    <n v="782.22746919999997"/>
  </r>
  <r>
    <x v="8"/>
    <x v="0"/>
    <x v="8"/>
    <x v="8"/>
    <x v="0"/>
    <x v="0"/>
    <x v="0"/>
    <x v="0"/>
    <x v="2"/>
    <x v="2"/>
    <x v="9"/>
    <x v="9"/>
    <x v="2"/>
    <x v="2"/>
    <x v="2"/>
    <x v="48"/>
    <x v="48"/>
    <n v="0.36048000000000002"/>
    <x v="1"/>
    <x v="0"/>
    <x v="4"/>
    <x v="6"/>
    <x v="10"/>
    <x v="21"/>
    <n v="0.39292320000000003"/>
  </r>
  <r>
    <x v="8"/>
    <x v="0"/>
    <x v="8"/>
    <x v="8"/>
    <x v="0"/>
    <x v="0"/>
    <x v="0"/>
    <x v="0"/>
    <x v="2"/>
    <x v="2"/>
    <x v="9"/>
    <x v="9"/>
    <x v="1"/>
    <x v="6"/>
    <x v="6"/>
    <x v="40"/>
    <x v="40"/>
    <n v="97.775000000000006"/>
    <x v="1"/>
    <x v="2"/>
    <x v="5"/>
    <x v="7"/>
    <x v="11"/>
    <x v="22"/>
    <n v="106.57475000000001"/>
  </r>
  <r>
    <x v="8"/>
    <x v="0"/>
    <x v="8"/>
    <x v="8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8"/>
    <x v="0"/>
    <x v="8"/>
    <x v="8"/>
    <x v="0"/>
    <x v="0"/>
    <x v="0"/>
    <x v="0"/>
    <x v="2"/>
    <x v="2"/>
    <x v="9"/>
    <x v="9"/>
    <x v="3"/>
    <x v="7"/>
    <x v="7"/>
    <x v="40"/>
    <x v="40"/>
    <n v="562.19721000000004"/>
    <x v="1"/>
    <x v="2"/>
    <x v="5"/>
    <x v="7"/>
    <x v="11"/>
    <x v="22"/>
    <n v="612.7949589000001"/>
  </r>
  <r>
    <x v="8"/>
    <x v="0"/>
    <x v="8"/>
    <x v="8"/>
    <x v="0"/>
    <x v="0"/>
    <x v="0"/>
    <x v="0"/>
    <x v="2"/>
    <x v="2"/>
    <x v="9"/>
    <x v="9"/>
    <x v="1"/>
    <x v="8"/>
    <x v="8"/>
    <x v="40"/>
    <x v="40"/>
    <n v="153.90492"/>
    <x v="1"/>
    <x v="2"/>
    <x v="5"/>
    <x v="7"/>
    <x v="11"/>
    <x v="22"/>
    <n v="167.75636280000001"/>
  </r>
  <r>
    <x v="8"/>
    <x v="0"/>
    <x v="8"/>
    <x v="8"/>
    <x v="0"/>
    <x v="0"/>
    <x v="0"/>
    <x v="0"/>
    <x v="2"/>
    <x v="2"/>
    <x v="9"/>
    <x v="9"/>
    <x v="2"/>
    <x v="10"/>
    <x v="10"/>
    <x v="40"/>
    <x v="40"/>
    <n v="125.98653"/>
    <x v="1"/>
    <x v="2"/>
    <x v="5"/>
    <x v="7"/>
    <x v="11"/>
    <x v="22"/>
    <n v="137.3253177"/>
  </r>
  <r>
    <x v="8"/>
    <x v="0"/>
    <x v="8"/>
    <x v="8"/>
    <x v="0"/>
    <x v="0"/>
    <x v="0"/>
    <x v="0"/>
    <x v="2"/>
    <x v="2"/>
    <x v="9"/>
    <x v="9"/>
    <x v="4"/>
    <x v="5"/>
    <x v="5"/>
    <x v="40"/>
    <x v="40"/>
    <n v="867.83471999999995"/>
    <x v="1"/>
    <x v="2"/>
    <x v="5"/>
    <x v="7"/>
    <x v="11"/>
    <x v="22"/>
    <n v="945.93984480000006"/>
  </r>
  <r>
    <x v="8"/>
    <x v="0"/>
    <x v="8"/>
    <x v="8"/>
    <x v="0"/>
    <x v="0"/>
    <x v="0"/>
    <x v="0"/>
    <x v="2"/>
    <x v="2"/>
    <x v="10"/>
    <x v="10"/>
    <x v="2"/>
    <x v="2"/>
    <x v="2"/>
    <x v="41"/>
    <x v="41"/>
    <n v="0.18689361702057"/>
    <x v="1"/>
    <x v="2"/>
    <x v="5"/>
    <x v="7"/>
    <x v="11"/>
    <x v="22"/>
    <n v="0.20371404255242131"/>
  </r>
  <r>
    <x v="8"/>
    <x v="0"/>
    <x v="8"/>
    <x v="8"/>
    <x v="0"/>
    <x v="0"/>
    <x v="0"/>
    <x v="0"/>
    <x v="2"/>
    <x v="2"/>
    <x v="10"/>
    <x v="10"/>
    <x v="2"/>
    <x v="2"/>
    <x v="2"/>
    <x v="40"/>
    <x v="40"/>
    <n v="25.184539999999998"/>
    <x v="1"/>
    <x v="2"/>
    <x v="5"/>
    <x v="7"/>
    <x v="11"/>
    <x v="22"/>
    <n v="27.4511486"/>
  </r>
  <r>
    <x v="8"/>
    <x v="0"/>
    <x v="8"/>
    <x v="8"/>
    <x v="0"/>
    <x v="0"/>
    <x v="0"/>
    <x v="0"/>
    <x v="0"/>
    <x v="0"/>
    <x v="11"/>
    <x v="11"/>
    <x v="4"/>
    <x v="5"/>
    <x v="5"/>
    <x v="10"/>
    <x v="10"/>
    <n v="10.6310545655501"/>
    <x v="0"/>
    <x v="0"/>
    <x v="1"/>
    <x v="4"/>
    <x v="5"/>
    <x v="10"/>
    <n v="11.587849476449609"/>
  </r>
  <r>
    <x v="8"/>
    <x v="0"/>
    <x v="8"/>
    <x v="8"/>
    <x v="0"/>
    <x v="0"/>
    <x v="0"/>
    <x v="0"/>
    <x v="3"/>
    <x v="3"/>
    <x v="12"/>
    <x v="12"/>
    <x v="2"/>
    <x v="2"/>
    <x v="2"/>
    <x v="40"/>
    <x v="40"/>
    <n v="0.53208"/>
    <x v="1"/>
    <x v="2"/>
    <x v="5"/>
    <x v="7"/>
    <x v="11"/>
    <x v="22"/>
    <n v="0.57996720000000002"/>
  </r>
  <r>
    <x v="8"/>
    <x v="0"/>
    <x v="8"/>
    <x v="8"/>
    <x v="0"/>
    <x v="0"/>
    <x v="0"/>
    <x v="0"/>
    <x v="3"/>
    <x v="3"/>
    <x v="12"/>
    <x v="12"/>
    <x v="3"/>
    <x v="7"/>
    <x v="7"/>
    <x v="40"/>
    <x v="40"/>
    <n v="5.3262900000000002"/>
    <x v="1"/>
    <x v="2"/>
    <x v="5"/>
    <x v="7"/>
    <x v="11"/>
    <x v="22"/>
    <n v="5.8056561000000002"/>
  </r>
  <r>
    <x v="8"/>
    <x v="0"/>
    <x v="8"/>
    <x v="8"/>
    <x v="0"/>
    <x v="0"/>
    <x v="0"/>
    <x v="0"/>
    <x v="3"/>
    <x v="3"/>
    <x v="12"/>
    <x v="12"/>
    <x v="4"/>
    <x v="5"/>
    <x v="5"/>
    <x v="40"/>
    <x v="40"/>
    <n v="13.226610000000001"/>
    <x v="1"/>
    <x v="2"/>
    <x v="5"/>
    <x v="7"/>
    <x v="11"/>
    <x v="22"/>
    <n v="14.417004900000002"/>
  </r>
  <r>
    <x v="8"/>
    <x v="0"/>
    <x v="8"/>
    <x v="8"/>
    <x v="0"/>
    <x v="0"/>
    <x v="0"/>
    <x v="0"/>
    <x v="3"/>
    <x v="3"/>
    <x v="13"/>
    <x v="13"/>
    <x v="2"/>
    <x v="2"/>
    <x v="2"/>
    <x v="41"/>
    <x v="41"/>
    <n v="0.17246808510573"/>
    <x v="1"/>
    <x v="2"/>
    <x v="5"/>
    <x v="7"/>
    <x v="11"/>
    <x v="22"/>
    <n v="0.18799021276524572"/>
  </r>
  <r>
    <x v="8"/>
    <x v="0"/>
    <x v="8"/>
    <x v="8"/>
    <x v="0"/>
    <x v="0"/>
    <x v="0"/>
    <x v="0"/>
    <x v="3"/>
    <x v="3"/>
    <x v="13"/>
    <x v="13"/>
    <x v="2"/>
    <x v="2"/>
    <x v="2"/>
    <x v="40"/>
    <x v="40"/>
    <n v="13.46663"/>
    <x v="1"/>
    <x v="2"/>
    <x v="5"/>
    <x v="7"/>
    <x v="11"/>
    <x v="22"/>
    <n v="14.678626700000001"/>
  </r>
  <r>
    <x v="8"/>
    <x v="0"/>
    <x v="8"/>
    <x v="8"/>
    <x v="0"/>
    <x v="0"/>
    <x v="0"/>
    <x v="0"/>
    <x v="3"/>
    <x v="3"/>
    <x v="13"/>
    <x v="13"/>
    <x v="2"/>
    <x v="2"/>
    <x v="2"/>
    <x v="12"/>
    <x v="12"/>
    <n v="22.037860465032502"/>
    <x v="0"/>
    <x v="0"/>
    <x v="0"/>
    <x v="0"/>
    <x v="8"/>
    <x v="12"/>
    <n v="24.021267906885427"/>
  </r>
  <r>
    <x v="8"/>
    <x v="0"/>
    <x v="8"/>
    <x v="8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8"/>
    <x v="0"/>
    <x v="8"/>
    <x v="8"/>
    <x v="0"/>
    <x v="0"/>
    <x v="0"/>
    <x v="0"/>
    <x v="3"/>
    <x v="3"/>
    <x v="13"/>
    <x v="13"/>
    <x v="1"/>
    <x v="8"/>
    <x v="8"/>
    <x v="40"/>
    <x v="40"/>
    <n v="2.1341999999999999"/>
    <x v="1"/>
    <x v="2"/>
    <x v="5"/>
    <x v="7"/>
    <x v="11"/>
    <x v="22"/>
    <n v="2.3262779999999998"/>
  </r>
  <r>
    <x v="8"/>
    <x v="0"/>
    <x v="8"/>
    <x v="8"/>
    <x v="0"/>
    <x v="0"/>
    <x v="0"/>
    <x v="0"/>
    <x v="3"/>
    <x v="3"/>
    <x v="13"/>
    <x v="13"/>
    <x v="4"/>
    <x v="5"/>
    <x v="5"/>
    <x v="40"/>
    <x v="40"/>
    <n v="0.99780000000000002"/>
    <x v="1"/>
    <x v="2"/>
    <x v="5"/>
    <x v="7"/>
    <x v="11"/>
    <x v="22"/>
    <n v="1.0876020000000002"/>
  </r>
  <r>
    <x v="8"/>
    <x v="0"/>
    <x v="8"/>
    <x v="8"/>
    <x v="0"/>
    <x v="0"/>
    <x v="0"/>
    <x v="0"/>
    <x v="3"/>
    <x v="3"/>
    <x v="19"/>
    <x v="19"/>
    <x v="4"/>
    <x v="5"/>
    <x v="5"/>
    <x v="40"/>
    <x v="40"/>
    <n v="1.47027"/>
    <x v="1"/>
    <x v="2"/>
    <x v="5"/>
    <x v="7"/>
    <x v="11"/>
    <x v="22"/>
    <n v="1.6025943"/>
  </r>
  <r>
    <x v="8"/>
    <x v="0"/>
    <x v="8"/>
    <x v="8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8"/>
    <x v="0"/>
    <x v="8"/>
    <x v="8"/>
    <x v="0"/>
    <x v="0"/>
    <x v="0"/>
    <x v="0"/>
    <x v="2"/>
    <x v="2"/>
    <x v="14"/>
    <x v="14"/>
    <x v="2"/>
    <x v="2"/>
    <x v="2"/>
    <x v="40"/>
    <x v="40"/>
    <n v="4.2074400000000001"/>
    <x v="1"/>
    <x v="2"/>
    <x v="5"/>
    <x v="7"/>
    <x v="11"/>
    <x v="22"/>
    <n v="4.5861096000000003"/>
  </r>
  <r>
    <x v="8"/>
    <x v="0"/>
    <x v="8"/>
    <x v="8"/>
    <x v="0"/>
    <x v="0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8"/>
    <x v="0"/>
    <x v="8"/>
    <x v="8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8"/>
    <x v="0"/>
    <x v="8"/>
    <x v="8"/>
    <x v="0"/>
    <x v="0"/>
    <x v="0"/>
    <x v="0"/>
    <x v="2"/>
    <x v="2"/>
    <x v="17"/>
    <x v="17"/>
    <x v="2"/>
    <x v="2"/>
    <x v="2"/>
    <x v="42"/>
    <x v="42"/>
    <n v="7.8531599999999999"/>
    <x v="1"/>
    <x v="2"/>
    <x v="5"/>
    <x v="7"/>
    <x v="11"/>
    <x v="22"/>
    <n v="8.5599444000000009"/>
  </r>
  <r>
    <x v="8"/>
    <x v="0"/>
    <x v="8"/>
    <x v="8"/>
    <x v="0"/>
    <x v="0"/>
    <x v="0"/>
    <x v="0"/>
    <x v="2"/>
    <x v="2"/>
    <x v="17"/>
    <x v="17"/>
    <x v="2"/>
    <x v="2"/>
    <x v="2"/>
    <x v="40"/>
    <x v="40"/>
    <n v="9.92774"/>
    <x v="1"/>
    <x v="2"/>
    <x v="5"/>
    <x v="7"/>
    <x v="11"/>
    <x v="22"/>
    <n v="10.821236600000001"/>
  </r>
  <r>
    <x v="8"/>
    <x v="0"/>
    <x v="8"/>
    <x v="8"/>
    <x v="0"/>
    <x v="0"/>
    <x v="0"/>
    <x v="0"/>
    <x v="2"/>
    <x v="2"/>
    <x v="17"/>
    <x v="17"/>
    <x v="2"/>
    <x v="2"/>
    <x v="2"/>
    <x v="38"/>
    <x v="38"/>
    <n v="33.692279999999997"/>
    <x v="1"/>
    <x v="0"/>
    <x v="4"/>
    <x v="6"/>
    <x v="10"/>
    <x v="21"/>
    <n v="36.7245852"/>
  </r>
  <r>
    <x v="8"/>
    <x v="0"/>
    <x v="8"/>
    <x v="8"/>
    <x v="0"/>
    <x v="0"/>
    <x v="0"/>
    <x v="0"/>
    <x v="2"/>
    <x v="2"/>
    <x v="17"/>
    <x v="17"/>
    <x v="3"/>
    <x v="7"/>
    <x v="7"/>
    <x v="7"/>
    <x v="7"/>
    <n v="9.1125905920957404"/>
    <x v="0"/>
    <x v="0"/>
    <x v="1"/>
    <x v="4"/>
    <x v="5"/>
    <x v="7"/>
    <n v="9.932723745384358"/>
  </r>
  <r>
    <x v="8"/>
    <x v="0"/>
    <x v="8"/>
    <x v="8"/>
    <x v="0"/>
    <x v="0"/>
    <x v="0"/>
    <x v="0"/>
    <x v="2"/>
    <x v="2"/>
    <x v="17"/>
    <x v="17"/>
    <x v="3"/>
    <x v="7"/>
    <x v="7"/>
    <x v="40"/>
    <x v="40"/>
    <n v="17.508690000000001"/>
    <x v="1"/>
    <x v="2"/>
    <x v="5"/>
    <x v="7"/>
    <x v="11"/>
    <x v="22"/>
    <n v="19.084472100000003"/>
  </r>
  <r>
    <x v="8"/>
    <x v="0"/>
    <x v="8"/>
    <x v="8"/>
    <x v="0"/>
    <x v="0"/>
    <x v="0"/>
    <x v="0"/>
    <x v="2"/>
    <x v="2"/>
    <x v="17"/>
    <x v="17"/>
    <x v="1"/>
    <x v="8"/>
    <x v="8"/>
    <x v="7"/>
    <x v="7"/>
    <n v="8.7235174213742308"/>
    <x v="0"/>
    <x v="0"/>
    <x v="1"/>
    <x v="4"/>
    <x v="5"/>
    <x v="7"/>
    <n v="9.5086339892979126"/>
  </r>
  <r>
    <x v="8"/>
    <x v="0"/>
    <x v="8"/>
    <x v="8"/>
    <x v="0"/>
    <x v="0"/>
    <x v="0"/>
    <x v="0"/>
    <x v="2"/>
    <x v="2"/>
    <x v="17"/>
    <x v="17"/>
    <x v="1"/>
    <x v="8"/>
    <x v="8"/>
    <x v="40"/>
    <x v="40"/>
    <n v="7.0326899999999997"/>
    <x v="1"/>
    <x v="2"/>
    <x v="5"/>
    <x v="7"/>
    <x v="11"/>
    <x v="22"/>
    <n v="7.6656320999999998"/>
  </r>
  <r>
    <x v="8"/>
    <x v="0"/>
    <x v="8"/>
    <x v="8"/>
    <x v="0"/>
    <x v="0"/>
    <x v="0"/>
    <x v="0"/>
    <x v="2"/>
    <x v="2"/>
    <x v="17"/>
    <x v="17"/>
    <x v="0"/>
    <x v="9"/>
    <x v="9"/>
    <x v="7"/>
    <x v="7"/>
    <n v="69.081012193312006"/>
    <x v="0"/>
    <x v="0"/>
    <x v="1"/>
    <x v="4"/>
    <x v="5"/>
    <x v="7"/>
    <n v="75.298303290710095"/>
  </r>
  <r>
    <x v="8"/>
    <x v="0"/>
    <x v="8"/>
    <x v="8"/>
    <x v="0"/>
    <x v="0"/>
    <x v="0"/>
    <x v="0"/>
    <x v="2"/>
    <x v="2"/>
    <x v="17"/>
    <x v="17"/>
    <x v="2"/>
    <x v="10"/>
    <x v="10"/>
    <x v="7"/>
    <x v="7"/>
    <n v="3.1793710800560699"/>
    <x v="0"/>
    <x v="0"/>
    <x v="1"/>
    <x v="4"/>
    <x v="5"/>
    <x v="7"/>
    <n v="3.4655144772611166"/>
  </r>
  <r>
    <x v="8"/>
    <x v="0"/>
    <x v="8"/>
    <x v="8"/>
    <x v="0"/>
    <x v="0"/>
    <x v="0"/>
    <x v="0"/>
    <x v="2"/>
    <x v="2"/>
    <x v="17"/>
    <x v="17"/>
    <x v="2"/>
    <x v="10"/>
    <x v="10"/>
    <x v="40"/>
    <x v="40"/>
    <n v="2.0322900000000002"/>
    <x v="1"/>
    <x v="2"/>
    <x v="5"/>
    <x v="7"/>
    <x v="11"/>
    <x v="22"/>
    <n v="2.2151961000000004"/>
  </r>
  <r>
    <x v="8"/>
    <x v="0"/>
    <x v="8"/>
    <x v="8"/>
    <x v="0"/>
    <x v="0"/>
    <x v="0"/>
    <x v="0"/>
    <x v="2"/>
    <x v="2"/>
    <x v="17"/>
    <x v="17"/>
    <x v="4"/>
    <x v="5"/>
    <x v="5"/>
    <x v="40"/>
    <x v="40"/>
    <n v="151.33063999999999"/>
    <x v="1"/>
    <x v="2"/>
    <x v="5"/>
    <x v="7"/>
    <x v="11"/>
    <x v="22"/>
    <n v="164.9503976"/>
  </r>
  <r>
    <x v="8"/>
    <x v="0"/>
    <x v="8"/>
    <x v="8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8"/>
    <x v="0"/>
    <x v="8"/>
    <x v="8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8"/>
    <x v="0"/>
    <x v="8"/>
    <x v="8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8"/>
    <x v="0"/>
    <x v="8"/>
    <x v="8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8"/>
    <x v="0"/>
    <x v="8"/>
    <x v="8"/>
    <x v="0"/>
    <x v="1"/>
    <x v="0"/>
    <x v="0"/>
    <x v="0"/>
    <x v="0"/>
    <x v="2"/>
    <x v="2"/>
    <x v="2"/>
    <x v="2"/>
    <x v="2"/>
    <x v="2"/>
    <x v="2"/>
    <n v="210.655770642075"/>
    <x v="0"/>
    <x v="1"/>
    <x v="2"/>
    <x v="2"/>
    <x v="13"/>
    <x v="2"/>
    <n v="229.61478999986176"/>
  </r>
  <r>
    <x v="8"/>
    <x v="0"/>
    <x v="8"/>
    <x v="8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8"/>
    <x v="0"/>
    <x v="8"/>
    <x v="8"/>
    <x v="0"/>
    <x v="1"/>
    <x v="0"/>
    <x v="0"/>
    <x v="0"/>
    <x v="0"/>
    <x v="0"/>
    <x v="0"/>
    <x v="3"/>
    <x v="3"/>
    <x v="3"/>
    <x v="8"/>
    <x v="8"/>
    <n v="119.06085810886999"/>
    <x v="0"/>
    <x v="1"/>
    <x v="2"/>
    <x v="2"/>
    <x v="6"/>
    <x v="8"/>
    <n v="129.7763353386683"/>
  </r>
  <r>
    <x v="8"/>
    <x v="0"/>
    <x v="8"/>
    <x v="8"/>
    <x v="0"/>
    <x v="1"/>
    <x v="0"/>
    <x v="0"/>
    <x v="0"/>
    <x v="0"/>
    <x v="0"/>
    <x v="0"/>
    <x v="3"/>
    <x v="3"/>
    <x v="3"/>
    <x v="12"/>
    <x v="12"/>
    <n v="0.11105813953446"/>
    <x v="0"/>
    <x v="0"/>
    <x v="0"/>
    <x v="0"/>
    <x v="8"/>
    <x v="12"/>
    <n v="0.12105337209256141"/>
  </r>
  <r>
    <x v="8"/>
    <x v="0"/>
    <x v="8"/>
    <x v="8"/>
    <x v="0"/>
    <x v="1"/>
    <x v="0"/>
    <x v="0"/>
    <x v="0"/>
    <x v="0"/>
    <x v="0"/>
    <x v="0"/>
    <x v="3"/>
    <x v="3"/>
    <x v="3"/>
    <x v="13"/>
    <x v="13"/>
    <n v="9.1364900000000002"/>
    <x v="0"/>
    <x v="0"/>
    <x v="1"/>
    <x v="3"/>
    <x v="3"/>
    <x v="13"/>
    <n v="9.9587741000000012"/>
  </r>
  <r>
    <x v="8"/>
    <x v="0"/>
    <x v="8"/>
    <x v="8"/>
    <x v="0"/>
    <x v="1"/>
    <x v="0"/>
    <x v="0"/>
    <x v="0"/>
    <x v="0"/>
    <x v="0"/>
    <x v="0"/>
    <x v="3"/>
    <x v="3"/>
    <x v="3"/>
    <x v="24"/>
    <x v="24"/>
    <n v="0.10008256880728"/>
    <x v="0"/>
    <x v="0"/>
    <x v="1"/>
    <x v="3"/>
    <x v="3"/>
    <x v="4"/>
    <n v="0.10908999999993521"/>
  </r>
  <r>
    <x v="8"/>
    <x v="0"/>
    <x v="8"/>
    <x v="8"/>
    <x v="0"/>
    <x v="1"/>
    <x v="0"/>
    <x v="0"/>
    <x v="0"/>
    <x v="0"/>
    <x v="0"/>
    <x v="0"/>
    <x v="3"/>
    <x v="3"/>
    <x v="3"/>
    <x v="26"/>
    <x v="26"/>
    <n v="83.363330275179294"/>
    <x v="0"/>
    <x v="0"/>
    <x v="1"/>
    <x v="3"/>
    <x v="3"/>
    <x v="15"/>
    <n v="90.866029999945439"/>
  </r>
  <r>
    <x v="8"/>
    <x v="0"/>
    <x v="8"/>
    <x v="8"/>
    <x v="0"/>
    <x v="1"/>
    <x v="0"/>
    <x v="0"/>
    <x v="0"/>
    <x v="0"/>
    <x v="0"/>
    <x v="0"/>
    <x v="3"/>
    <x v="3"/>
    <x v="3"/>
    <x v="2"/>
    <x v="2"/>
    <n v="509.07855963272198"/>
    <x v="0"/>
    <x v="1"/>
    <x v="2"/>
    <x v="2"/>
    <x v="13"/>
    <x v="2"/>
    <n v="554.89562999966699"/>
  </r>
  <r>
    <x v="8"/>
    <x v="0"/>
    <x v="8"/>
    <x v="8"/>
    <x v="0"/>
    <x v="1"/>
    <x v="0"/>
    <x v="0"/>
    <x v="0"/>
    <x v="0"/>
    <x v="0"/>
    <x v="0"/>
    <x v="3"/>
    <x v="12"/>
    <x v="3"/>
    <x v="8"/>
    <x v="8"/>
    <n v="7781.8174595092596"/>
    <x v="0"/>
    <x v="1"/>
    <x v="2"/>
    <x v="2"/>
    <x v="6"/>
    <x v="8"/>
    <n v="8482.1810308650929"/>
  </r>
  <r>
    <x v="8"/>
    <x v="0"/>
    <x v="8"/>
    <x v="8"/>
    <x v="0"/>
    <x v="1"/>
    <x v="0"/>
    <x v="0"/>
    <x v="0"/>
    <x v="0"/>
    <x v="0"/>
    <x v="0"/>
    <x v="3"/>
    <x v="12"/>
    <x v="3"/>
    <x v="12"/>
    <x v="12"/>
    <n v="2523.4985116183202"/>
    <x v="0"/>
    <x v="0"/>
    <x v="0"/>
    <x v="0"/>
    <x v="8"/>
    <x v="12"/>
    <n v="2750.613377663969"/>
  </r>
  <r>
    <x v="8"/>
    <x v="0"/>
    <x v="8"/>
    <x v="8"/>
    <x v="0"/>
    <x v="1"/>
    <x v="0"/>
    <x v="0"/>
    <x v="0"/>
    <x v="0"/>
    <x v="0"/>
    <x v="0"/>
    <x v="3"/>
    <x v="12"/>
    <x v="3"/>
    <x v="2"/>
    <x v="2"/>
    <n v="7980.9141192612697"/>
    <x v="0"/>
    <x v="1"/>
    <x v="2"/>
    <x v="2"/>
    <x v="13"/>
    <x v="2"/>
    <n v="8699.1963899947841"/>
  </r>
  <r>
    <x v="8"/>
    <x v="0"/>
    <x v="8"/>
    <x v="8"/>
    <x v="0"/>
    <x v="1"/>
    <x v="0"/>
    <x v="0"/>
    <x v="0"/>
    <x v="0"/>
    <x v="0"/>
    <x v="0"/>
    <x v="0"/>
    <x v="4"/>
    <x v="4"/>
    <x v="6"/>
    <x v="6"/>
    <n v="9.9"/>
    <x v="0"/>
    <x v="0"/>
    <x v="0"/>
    <x v="0"/>
    <x v="4"/>
    <x v="6"/>
    <n v="10.791"/>
  </r>
  <r>
    <x v="8"/>
    <x v="0"/>
    <x v="8"/>
    <x v="8"/>
    <x v="0"/>
    <x v="1"/>
    <x v="0"/>
    <x v="0"/>
    <x v="0"/>
    <x v="0"/>
    <x v="0"/>
    <x v="0"/>
    <x v="0"/>
    <x v="4"/>
    <x v="4"/>
    <x v="7"/>
    <x v="7"/>
    <n v="222.35412844023401"/>
    <x v="0"/>
    <x v="0"/>
    <x v="1"/>
    <x v="4"/>
    <x v="5"/>
    <x v="7"/>
    <n v="242.36599999985509"/>
  </r>
  <r>
    <x v="8"/>
    <x v="0"/>
    <x v="8"/>
    <x v="8"/>
    <x v="0"/>
    <x v="1"/>
    <x v="0"/>
    <x v="0"/>
    <x v="0"/>
    <x v="0"/>
    <x v="0"/>
    <x v="0"/>
    <x v="0"/>
    <x v="4"/>
    <x v="4"/>
    <x v="8"/>
    <x v="8"/>
    <n v="79.172655405912096"/>
    <x v="0"/>
    <x v="1"/>
    <x v="2"/>
    <x v="2"/>
    <x v="6"/>
    <x v="8"/>
    <n v="86.298194392444188"/>
  </r>
  <r>
    <x v="8"/>
    <x v="0"/>
    <x v="8"/>
    <x v="8"/>
    <x v="0"/>
    <x v="1"/>
    <x v="0"/>
    <x v="0"/>
    <x v="0"/>
    <x v="0"/>
    <x v="0"/>
    <x v="0"/>
    <x v="0"/>
    <x v="4"/>
    <x v="4"/>
    <x v="9"/>
    <x v="9"/>
    <n v="15.8187247706327"/>
    <x v="0"/>
    <x v="0"/>
    <x v="1"/>
    <x v="4"/>
    <x v="5"/>
    <x v="9"/>
    <n v="17.242409999989643"/>
  </r>
  <r>
    <x v="8"/>
    <x v="0"/>
    <x v="8"/>
    <x v="8"/>
    <x v="0"/>
    <x v="1"/>
    <x v="0"/>
    <x v="0"/>
    <x v="0"/>
    <x v="0"/>
    <x v="0"/>
    <x v="0"/>
    <x v="0"/>
    <x v="4"/>
    <x v="4"/>
    <x v="28"/>
    <x v="28"/>
    <n v="19.869350000000001"/>
    <x v="0"/>
    <x v="0"/>
    <x v="1"/>
    <x v="3"/>
    <x v="3"/>
    <x v="13"/>
    <n v="21.657591500000002"/>
  </r>
  <r>
    <x v="8"/>
    <x v="0"/>
    <x v="8"/>
    <x v="8"/>
    <x v="0"/>
    <x v="1"/>
    <x v="0"/>
    <x v="0"/>
    <x v="0"/>
    <x v="0"/>
    <x v="0"/>
    <x v="0"/>
    <x v="0"/>
    <x v="4"/>
    <x v="4"/>
    <x v="29"/>
    <x v="29"/>
    <n v="69.011930000000007"/>
    <x v="0"/>
    <x v="0"/>
    <x v="1"/>
    <x v="3"/>
    <x v="3"/>
    <x v="13"/>
    <n v="75.223003700000007"/>
  </r>
  <r>
    <x v="8"/>
    <x v="0"/>
    <x v="8"/>
    <x v="8"/>
    <x v="0"/>
    <x v="1"/>
    <x v="0"/>
    <x v="0"/>
    <x v="0"/>
    <x v="0"/>
    <x v="0"/>
    <x v="0"/>
    <x v="0"/>
    <x v="4"/>
    <x v="4"/>
    <x v="80"/>
    <x v="80"/>
    <n v="43.434862385294998"/>
    <x v="0"/>
    <x v="0"/>
    <x v="1"/>
    <x v="4"/>
    <x v="5"/>
    <x v="10"/>
    <n v="47.343999999971551"/>
  </r>
  <r>
    <x v="8"/>
    <x v="0"/>
    <x v="8"/>
    <x v="8"/>
    <x v="0"/>
    <x v="1"/>
    <x v="0"/>
    <x v="0"/>
    <x v="0"/>
    <x v="0"/>
    <x v="0"/>
    <x v="0"/>
    <x v="0"/>
    <x v="4"/>
    <x v="4"/>
    <x v="11"/>
    <x v="11"/>
    <n v="22.684470000000001"/>
    <x v="0"/>
    <x v="0"/>
    <x v="3"/>
    <x v="5"/>
    <x v="7"/>
    <x v="11"/>
    <n v="24.726072300000002"/>
  </r>
  <r>
    <x v="8"/>
    <x v="0"/>
    <x v="8"/>
    <x v="8"/>
    <x v="0"/>
    <x v="1"/>
    <x v="0"/>
    <x v="0"/>
    <x v="0"/>
    <x v="0"/>
    <x v="0"/>
    <x v="0"/>
    <x v="0"/>
    <x v="4"/>
    <x v="4"/>
    <x v="12"/>
    <x v="12"/>
    <n v="1217.6861395302601"/>
    <x v="0"/>
    <x v="0"/>
    <x v="0"/>
    <x v="0"/>
    <x v="8"/>
    <x v="12"/>
    <n v="1327.2778920879837"/>
  </r>
  <r>
    <x v="8"/>
    <x v="0"/>
    <x v="8"/>
    <x v="8"/>
    <x v="0"/>
    <x v="1"/>
    <x v="0"/>
    <x v="0"/>
    <x v="0"/>
    <x v="0"/>
    <x v="0"/>
    <x v="0"/>
    <x v="0"/>
    <x v="4"/>
    <x v="4"/>
    <x v="14"/>
    <x v="14"/>
    <n v="138.10328999999999"/>
    <x v="0"/>
    <x v="0"/>
    <x v="0"/>
    <x v="0"/>
    <x v="8"/>
    <x v="14"/>
    <n v="150.5325861"/>
  </r>
  <r>
    <x v="8"/>
    <x v="0"/>
    <x v="8"/>
    <x v="8"/>
    <x v="0"/>
    <x v="1"/>
    <x v="0"/>
    <x v="0"/>
    <x v="0"/>
    <x v="0"/>
    <x v="0"/>
    <x v="0"/>
    <x v="0"/>
    <x v="4"/>
    <x v="4"/>
    <x v="16"/>
    <x v="16"/>
    <n v="1515.61241"/>
    <x v="0"/>
    <x v="0"/>
    <x v="3"/>
    <x v="5"/>
    <x v="9"/>
    <x v="16"/>
    <n v="1652.0175269000001"/>
  </r>
  <r>
    <x v="8"/>
    <x v="0"/>
    <x v="8"/>
    <x v="8"/>
    <x v="0"/>
    <x v="1"/>
    <x v="0"/>
    <x v="0"/>
    <x v="0"/>
    <x v="0"/>
    <x v="0"/>
    <x v="0"/>
    <x v="0"/>
    <x v="4"/>
    <x v="4"/>
    <x v="24"/>
    <x v="24"/>
    <n v="53.807073394463103"/>
    <x v="0"/>
    <x v="0"/>
    <x v="1"/>
    <x v="3"/>
    <x v="3"/>
    <x v="4"/>
    <n v="58.649709999964784"/>
  </r>
  <r>
    <x v="8"/>
    <x v="0"/>
    <x v="8"/>
    <x v="8"/>
    <x v="0"/>
    <x v="1"/>
    <x v="0"/>
    <x v="0"/>
    <x v="0"/>
    <x v="0"/>
    <x v="0"/>
    <x v="0"/>
    <x v="0"/>
    <x v="4"/>
    <x v="4"/>
    <x v="26"/>
    <x v="26"/>
    <n v="970.82766972418801"/>
    <x v="0"/>
    <x v="0"/>
    <x v="1"/>
    <x v="3"/>
    <x v="3"/>
    <x v="15"/>
    <n v="1058.202159999365"/>
  </r>
  <r>
    <x v="8"/>
    <x v="0"/>
    <x v="8"/>
    <x v="8"/>
    <x v="0"/>
    <x v="1"/>
    <x v="0"/>
    <x v="0"/>
    <x v="0"/>
    <x v="0"/>
    <x v="0"/>
    <x v="0"/>
    <x v="0"/>
    <x v="4"/>
    <x v="4"/>
    <x v="20"/>
    <x v="20"/>
    <n v="151.32289"/>
    <x v="0"/>
    <x v="0"/>
    <x v="1"/>
    <x v="3"/>
    <x v="3"/>
    <x v="13"/>
    <n v="164.94195010000001"/>
  </r>
  <r>
    <x v="8"/>
    <x v="0"/>
    <x v="8"/>
    <x v="8"/>
    <x v="0"/>
    <x v="1"/>
    <x v="0"/>
    <x v="0"/>
    <x v="0"/>
    <x v="0"/>
    <x v="0"/>
    <x v="0"/>
    <x v="0"/>
    <x v="4"/>
    <x v="4"/>
    <x v="2"/>
    <x v="2"/>
    <n v="3607.78621100701"/>
    <x v="0"/>
    <x v="1"/>
    <x v="2"/>
    <x v="2"/>
    <x v="13"/>
    <x v="2"/>
    <n v="3932.4869699976412"/>
  </r>
  <r>
    <x v="8"/>
    <x v="0"/>
    <x v="8"/>
    <x v="8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8"/>
    <x v="0"/>
    <x v="8"/>
    <x v="8"/>
    <x v="0"/>
    <x v="1"/>
    <x v="0"/>
    <x v="0"/>
    <x v="0"/>
    <x v="0"/>
    <x v="0"/>
    <x v="0"/>
    <x v="0"/>
    <x v="0"/>
    <x v="0"/>
    <x v="6"/>
    <x v="6"/>
    <n v="69.095190000000002"/>
    <x v="0"/>
    <x v="0"/>
    <x v="0"/>
    <x v="0"/>
    <x v="4"/>
    <x v="6"/>
    <n v="75.313757100000004"/>
  </r>
  <r>
    <x v="8"/>
    <x v="0"/>
    <x v="8"/>
    <x v="8"/>
    <x v="0"/>
    <x v="1"/>
    <x v="0"/>
    <x v="0"/>
    <x v="0"/>
    <x v="0"/>
    <x v="0"/>
    <x v="0"/>
    <x v="0"/>
    <x v="0"/>
    <x v="0"/>
    <x v="7"/>
    <x v="7"/>
    <n v="11.6786880733875"/>
    <x v="0"/>
    <x v="0"/>
    <x v="1"/>
    <x v="4"/>
    <x v="5"/>
    <x v="7"/>
    <n v="12.729769999992376"/>
  </r>
  <r>
    <x v="8"/>
    <x v="0"/>
    <x v="8"/>
    <x v="8"/>
    <x v="0"/>
    <x v="1"/>
    <x v="0"/>
    <x v="0"/>
    <x v="0"/>
    <x v="0"/>
    <x v="0"/>
    <x v="0"/>
    <x v="0"/>
    <x v="0"/>
    <x v="0"/>
    <x v="8"/>
    <x v="8"/>
    <n v="4137.4291419183701"/>
    <x v="0"/>
    <x v="1"/>
    <x v="2"/>
    <x v="2"/>
    <x v="6"/>
    <x v="8"/>
    <n v="4509.797764691024"/>
  </r>
  <r>
    <x v="8"/>
    <x v="0"/>
    <x v="8"/>
    <x v="8"/>
    <x v="0"/>
    <x v="1"/>
    <x v="0"/>
    <x v="0"/>
    <x v="0"/>
    <x v="0"/>
    <x v="0"/>
    <x v="0"/>
    <x v="0"/>
    <x v="0"/>
    <x v="0"/>
    <x v="9"/>
    <x v="9"/>
    <n v="93.349139414923101"/>
    <x v="0"/>
    <x v="0"/>
    <x v="1"/>
    <x v="4"/>
    <x v="5"/>
    <x v="9"/>
    <n v="101.75056196226619"/>
  </r>
  <r>
    <x v="8"/>
    <x v="0"/>
    <x v="8"/>
    <x v="8"/>
    <x v="0"/>
    <x v="1"/>
    <x v="0"/>
    <x v="0"/>
    <x v="0"/>
    <x v="0"/>
    <x v="0"/>
    <x v="0"/>
    <x v="0"/>
    <x v="0"/>
    <x v="0"/>
    <x v="10"/>
    <x v="10"/>
    <n v="119.05477802701"/>
    <x v="0"/>
    <x v="0"/>
    <x v="1"/>
    <x v="4"/>
    <x v="5"/>
    <x v="10"/>
    <n v="129.76970804944091"/>
  </r>
  <r>
    <x v="8"/>
    <x v="0"/>
    <x v="8"/>
    <x v="8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8"/>
    <x v="0"/>
    <x v="8"/>
    <x v="8"/>
    <x v="0"/>
    <x v="1"/>
    <x v="0"/>
    <x v="0"/>
    <x v="0"/>
    <x v="0"/>
    <x v="0"/>
    <x v="0"/>
    <x v="0"/>
    <x v="0"/>
    <x v="0"/>
    <x v="11"/>
    <x v="11"/>
    <n v="53.702910000000003"/>
    <x v="0"/>
    <x v="0"/>
    <x v="3"/>
    <x v="5"/>
    <x v="7"/>
    <x v="11"/>
    <n v="58.536171900000006"/>
  </r>
  <r>
    <x v="8"/>
    <x v="0"/>
    <x v="8"/>
    <x v="8"/>
    <x v="0"/>
    <x v="1"/>
    <x v="0"/>
    <x v="0"/>
    <x v="0"/>
    <x v="0"/>
    <x v="0"/>
    <x v="0"/>
    <x v="0"/>
    <x v="0"/>
    <x v="0"/>
    <x v="12"/>
    <x v="12"/>
    <n v="710.94022092753096"/>
    <x v="0"/>
    <x v="0"/>
    <x v="0"/>
    <x v="0"/>
    <x v="8"/>
    <x v="12"/>
    <n v="774.92484081100883"/>
  </r>
  <r>
    <x v="8"/>
    <x v="0"/>
    <x v="8"/>
    <x v="8"/>
    <x v="0"/>
    <x v="1"/>
    <x v="0"/>
    <x v="0"/>
    <x v="0"/>
    <x v="0"/>
    <x v="0"/>
    <x v="0"/>
    <x v="0"/>
    <x v="0"/>
    <x v="0"/>
    <x v="14"/>
    <x v="14"/>
    <n v="59.343710000000002"/>
    <x v="0"/>
    <x v="0"/>
    <x v="0"/>
    <x v="0"/>
    <x v="8"/>
    <x v="14"/>
    <n v="64.684643900000012"/>
  </r>
  <r>
    <x v="8"/>
    <x v="0"/>
    <x v="8"/>
    <x v="8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8"/>
    <x v="0"/>
    <x v="8"/>
    <x v="8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8"/>
    <x v="0"/>
    <x v="8"/>
    <x v="8"/>
    <x v="0"/>
    <x v="1"/>
    <x v="0"/>
    <x v="0"/>
    <x v="0"/>
    <x v="0"/>
    <x v="0"/>
    <x v="0"/>
    <x v="0"/>
    <x v="0"/>
    <x v="0"/>
    <x v="24"/>
    <x v="24"/>
    <n v="12.7615045871483"/>
    <x v="0"/>
    <x v="0"/>
    <x v="1"/>
    <x v="3"/>
    <x v="3"/>
    <x v="4"/>
    <n v="13.910039999991648"/>
  </r>
  <r>
    <x v="8"/>
    <x v="0"/>
    <x v="8"/>
    <x v="8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8"/>
    <x v="0"/>
    <x v="8"/>
    <x v="8"/>
    <x v="0"/>
    <x v="1"/>
    <x v="0"/>
    <x v="0"/>
    <x v="0"/>
    <x v="0"/>
    <x v="0"/>
    <x v="0"/>
    <x v="0"/>
    <x v="0"/>
    <x v="0"/>
    <x v="21"/>
    <x v="21"/>
    <n v="15.5551743119173"/>
    <x v="0"/>
    <x v="0"/>
    <x v="1"/>
    <x v="4"/>
    <x v="5"/>
    <x v="10"/>
    <n v="16.955139999989857"/>
  </r>
  <r>
    <x v="8"/>
    <x v="0"/>
    <x v="8"/>
    <x v="8"/>
    <x v="0"/>
    <x v="1"/>
    <x v="0"/>
    <x v="0"/>
    <x v="0"/>
    <x v="0"/>
    <x v="0"/>
    <x v="0"/>
    <x v="0"/>
    <x v="0"/>
    <x v="0"/>
    <x v="18"/>
    <x v="18"/>
    <n v="48.509889999999999"/>
    <x v="0"/>
    <x v="0"/>
    <x v="0"/>
    <x v="0"/>
    <x v="4"/>
    <x v="18"/>
    <n v="52.8757801"/>
  </r>
  <r>
    <x v="8"/>
    <x v="0"/>
    <x v="8"/>
    <x v="8"/>
    <x v="0"/>
    <x v="1"/>
    <x v="0"/>
    <x v="0"/>
    <x v="0"/>
    <x v="0"/>
    <x v="0"/>
    <x v="0"/>
    <x v="0"/>
    <x v="0"/>
    <x v="0"/>
    <x v="25"/>
    <x v="25"/>
    <n v="105.766495412781"/>
    <x v="0"/>
    <x v="0"/>
    <x v="1"/>
    <x v="4"/>
    <x v="5"/>
    <x v="9"/>
    <n v="115.2854799999313"/>
  </r>
  <r>
    <x v="8"/>
    <x v="0"/>
    <x v="8"/>
    <x v="8"/>
    <x v="0"/>
    <x v="1"/>
    <x v="0"/>
    <x v="0"/>
    <x v="0"/>
    <x v="0"/>
    <x v="0"/>
    <x v="0"/>
    <x v="0"/>
    <x v="0"/>
    <x v="0"/>
    <x v="78"/>
    <x v="78"/>
    <n v="4.9325963302722702"/>
    <x v="0"/>
    <x v="0"/>
    <x v="1"/>
    <x v="4"/>
    <x v="5"/>
    <x v="9"/>
    <n v="5.3765299999967748"/>
  </r>
  <r>
    <x v="8"/>
    <x v="0"/>
    <x v="8"/>
    <x v="8"/>
    <x v="0"/>
    <x v="1"/>
    <x v="0"/>
    <x v="0"/>
    <x v="0"/>
    <x v="0"/>
    <x v="0"/>
    <x v="0"/>
    <x v="0"/>
    <x v="0"/>
    <x v="0"/>
    <x v="26"/>
    <x v="26"/>
    <n v="195.91725688061601"/>
    <x v="0"/>
    <x v="0"/>
    <x v="1"/>
    <x v="3"/>
    <x v="3"/>
    <x v="15"/>
    <n v="213.54980999987146"/>
  </r>
  <r>
    <x v="8"/>
    <x v="0"/>
    <x v="8"/>
    <x v="8"/>
    <x v="0"/>
    <x v="1"/>
    <x v="0"/>
    <x v="0"/>
    <x v="0"/>
    <x v="0"/>
    <x v="0"/>
    <x v="0"/>
    <x v="0"/>
    <x v="0"/>
    <x v="0"/>
    <x v="0"/>
    <x v="0"/>
    <n v="15.8677553380339"/>
    <x v="0"/>
    <x v="0"/>
    <x v="0"/>
    <x v="0"/>
    <x v="0"/>
    <x v="0"/>
    <n v="17.295853318456953"/>
  </r>
  <r>
    <x v="8"/>
    <x v="0"/>
    <x v="8"/>
    <x v="8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8"/>
    <x v="0"/>
    <x v="8"/>
    <x v="8"/>
    <x v="0"/>
    <x v="1"/>
    <x v="0"/>
    <x v="0"/>
    <x v="0"/>
    <x v="0"/>
    <x v="0"/>
    <x v="0"/>
    <x v="0"/>
    <x v="0"/>
    <x v="0"/>
    <x v="2"/>
    <x v="2"/>
    <n v="12002.9643853139"/>
    <x v="0"/>
    <x v="1"/>
    <x v="2"/>
    <x v="2"/>
    <x v="13"/>
    <x v="2"/>
    <n v="13083.231179992152"/>
  </r>
  <r>
    <x v="8"/>
    <x v="0"/>
    <x v="8"/>
    <x v="8"/>
    <x v="0"/>
    <x v="1"/>
    <x v="0"/>
    <x v="0"/>
    <x v="0"/>
    <x v="0"/>
    <x v="0"/>
    <x v="0"/>
    <x v="0"/>
    <x v="0"/>
    <x v="0"/>
    <x v="3"/>
    <x v="3"/>
    <n v="0.22474137929282001"/>
    <x v="0"/>
    <x v="0"/>
    <x v="1"/>
    <x v="3"/>
    <x v="3"/>
    <x v="3"/>
    <n v="0.24496810342917383"/>
  </r>
  <r>
    <x v="8"/>
    <x v="0"/>
    <x v="8"/>
    <x v="8"/>
    <x v="0"/>
    <x v="1"/>
    <x v="0"/>
    <x v="0"/>
    <x v="0"/>
    <x v="0"/>
    <x v="0"/>
    <x v="0"/>
    <x v="1"/>
    <x v="1"/>
    <x v="1"/>
    <x v="4"/>
    <x v="4"/>
    <n v="42.661321100891797"/>
    <x v="0"/>
    <x v="0"/>
    <x v="1"/>
    <x v="3"/>
    <x v="3"/>
    <x v="4"/>
    <n v="46.500839999972065"/>
  </r>
  <r>
    <x v="8"/>
    <x v="0"/>
    <x v="8"/>
    <x v="8"/>
    <x v="0"/>
    <x v="1"/>
    <x v="0"/>
    <x v="0"/>
    <x v="0"/>
    <x v="0"/>
    <x v="0"/>
    <x v="0"/>
    <x v="1"/>
    <x v="1"/>
    <x v="1"/>
    <x v="5"/>
    <x v="5"/>
    <n v="90.992269939341895"/>
    <x v="0"/>
    <x v="0"/>
    <x v="1"/>
    <x v="1"/>
    <x v="1"/>
    <x v="5"/>
    <n v="99.181574233882671"/>
  </r>
  <r>
    <x v="8"/>
    <x v="0"/>
    <x v="8"/>
    <x v="8"/>
    <x v="0"/>
    <x v="1"/>
    <x v="0"/>
    <x v="0"/>
    <x v="0"/>
    <x v="0"/>
    <x v="0"/>
    <x v="0"/>
    <x v="1"/>
    <x v="1"/>
    <x v="1"/>
    <x v="6"/>
    <x v="6"/>
    <n v="281.22825999999998"/>
    <x v="0"/>
    <x v="0"/>
    <x v="0"/>
    <x v="0"/>
    <x v="4"/>
    <x v="6"/>
    <n v="306.53880340000001"/>
  </r>
  <r>
    <x v="8"/>
    <x v="0"/>
    <x v="8"/>
    <x v="8"/>
    <x v="0"/>
    <x v="1"/>
    <x v="0"/>
    <x v="0"/>
    <x v="0"/>
    <x v="0"/>
    <x v="0"/>
    <x v="0"/>
    <x v="1"/>
    <x v="1"/>
    <x v="1"/>
    <x v="7"/>
    <x v="7"/>
    <n v="23.028266055031999"/>
    <x v="0"/>
    <x v="0"/>
    <x v="1"/>
    <x v="4"/>
    <x v="5"/>
    <x v="7"/>
    <n v="25.100809999984879"/>
  </r>
  <r>
    <x v="8"/>
    <x v="0"/>
    <x v="8"/>
    <x v="8"/>
    <x v="0"/>
    <x v="1"/>
    <x v="0"/>
    <x v="0"/>
    <x v="0"/>
    <x v="0"/>
    <x v="0"/>
    <x v="0"/>
    <x v="1"/>
    <x v="1"/>
    <x v="1"/>
    <x v="8"/>
    <x v="8"/>
    <n v="516.57345946276598"/>
    <x v="0"/>
    <x v="1"/>
    <x v="2"/>
    <x v="2"/>
    <x v="6"/>
    <x v="8"/>
    <n v="563.06507081441498"/>
  </r>
  <r>
    <x v="8"/>
    <x v="0"/>
    <x v="8"/>
    <x v="8"/>
    <x v="0"/>
    <x v="1"/>
    <x v="0"/>
    <x v="0"/>
    <x v="0"/>
    <x v="0"/>
    <x v="0"/>
    <x v="0"/>
    <x v="1"/>
    <x v="1"/>
    <x v="1"/>
    <x v="9"/>
    <x v="9"/>
    <n v="117.728169372357"/>
    <x v="0"/>
    <x v="0"/>
    <x v="1"/>
    <x v="4"/>
    <x v="5"/>
    <x v="9"/>
    <n v="128.32370461586913"/>
  </r>
  <r>
    <x v="8"/>
    <x v="0"/>
    <x v="8"/>
    <x v="8"/>
    <x v="0"/>
    <x v="1"/>
    <x v="0"/>
    <x v="0"/>
    <x v="0"/>
    <x v="0"/>
    <x v="0"/>
    <x v="0"/>
    <x v="1"/>
    <x v="1"/>
    <x v="1"/>
    <x v="10"/>
    <x v="10"/>
    <n v="56.725084006004899"/>
    <x v="0"/>
    <x v="0"/>
    <x v="1"/>
    <x v="4"/>
    <x v="5"/>
    <x v="10"/>
    <n v="61.830341566545343"/>
  </r>
  <r>
    <x v="8"/>
    <x v="0"/>
    <x v="8"/>
    <x v="8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8"/>
    <x v="0"/>
    <x v="8"/>
    <x v="8"/>
    <x v="0"/>
    <x v="1"/>
    <x v="0"/>
    <x v="0"/>
    <x v="0"/>
    <x v="0"/>
    <x v="0"/>
    <x v="0"/>
    <x v="1"/>
    <x v="1"/>
    <x v="1"/>
    <x v="11"/>
    <x v="11"/>
    <n v="71.553430000000006"/>
    <x v="0"/>
    <x v="0"/>
    <x v="3"/>
    <x v="5"/>
    <x v="7"/>
    <x v="11"/>
    <n v="77.993238700000006"/>
  </r>
  <r>
    <x v="8"/>
    <x v="0"/>
    <x v="8"/>
    <x v="8"/>
    <x v="0"/>
    <x v="1"/>
    <x v="0"/>
    <x v="0"/>
    <x v="0"/>
    <x v="0"/>
    <x v="0"/>
    <x v="0"/>
    <x v="1"/>
    <x v="1"/>
    <x v="1"/>
    <x v="12"/>
    <x v="12"/>
    <n v="1967.7587209227599"/>
    <x v="0"/>
    <x v="0"/>
    <x v="0"/>
    <x v="0"/>
    <x v="8"/>
    <x v="12"/>
    <n v="2144.8570058058085"/>
  </r>
  <r>
    <x v="8"/>
    <x v="0"/>
    <x v="8"/>
    <x v="8"/>
    <x v="0"/>
    <x v="1"/>
    <x v="0"/>
    <x v="0"/>
    <x v="0"/>
    <x v="0"/>
    <x v="0"/>
    <x v="0"/>
    <x v="1"/>
    <x v="1"/>
    <x v="1"/>
    <x v="14"/>
    <x v="14"/>
    <n v="307.51409000000001"/>
    <x v="0"/>
    <x v="0"/>
    <x v="0"/>
    <x v="0"/>
    <x v="8"/>
    <x v="14"/>
    <n v="335.19035810000003"/>
  </r>
  <r>
    <x v="8"/>
    <x v="0"/>
    <x v="8"/>
    <x v="8"/>
    <x v="0"/>
    <x v="1"/>
    <x v="0"/>
    <x v="0"/>
    <x v="0"/>
    <x v="0"/>
    <x v="0"/>
    <x v="0"/>
    <x v="1"/>
    <x v="1"/>
    <x v="1"/>
    <x v="15"/>
    <x v="15"/>
    <n v="0.57220183486204002"/>
    <x v="0"/>
    <x v="0"/>
    <x v="1"/>
    <x v="3"/>
    <x v="3"/>
    <x v="15"/>
    <n v="0.62369999999962367"/>
  </r>
  <r>
    <x v="8"/>
    <x v="0"/>
    <x v="8"/>
    <x v="8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8"/>
    <x v="0"/>
    <x v="8"/>
    <x v="8"/>
    <x v="0"/>
    <x v="1"/>
    <x v="0"/>
    <x v="0"/>
    <x v="0"/>
    <x v="0"/>
    <x v="0"/>
    <x v="0"/>
    <x v="1"/>
    <x v="1"/>
    <x v="1"/>
    <x v="16"/>
    <x v="16"/>
    <n v="692.00005999999996"/>
    <x v="0"/>
    <x v="0"/>
    <x v="3"/>
    <x v="5"/>
    <x v="9"/>
    <x v="16"/>
    <n v="754.28006540000001"/>
  </r>
  <r>
    <x v="8"/>
    <x v="0"/>
    <x v="8"/>
    <x v="8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8"/>
    <x v="0"/>
    <x v="8"/>
    <x v="8"/>
    <x v="0"/>
    <x v="1"/>
    <x v="0"/>
    <x v="0"/>
    <x v="0"/>
    <x v="0"/>
    <x v="0"/>
    <x v="0"/>
    <x v="1"/>
    <x v="1"/>
    <x v="1"/>
    <x v="24"/>
    <x v="24"/>
    <n v="36.046348623831598"/>
    <x v="0"/>
    <x v="0"/>
    <x v="1"/>
    <x v="3"/>
    <x v="3"/>
    <x v="4"/>
    <n v="39.290519999976446"/>
  </r>
  <r>
    <x v="8"/>
    <x v="0"/>
    <x v="8"/>
    <x v="8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8"/>
    <x v="0"/>
    <x v="8"/>
    <x v="8"/>
    <x v="0"/>
    <x v="1"/>
    <x v="0"/>
    <x v="0"/>
    <x v="0"/>
    <x v="0"/>
    <x v="0"/>
    <x v="0"/>
    <x v="1"/>
    <x v="1"/>
    <x v="1"/>
    <x v="18"/>
    <x v="18"/>
    <n v="58.784649999999999"/>
    <x v="0"/>
    <x v="0"/>
    <x v="0"/>
    <x v="0"/>
    <x v="4"/>
    <x v="18"/>
    <n v="64.075268500000007"/>
  </r>
  <r>
    <x v="8"/>
    <x v="0"/>
    <x v="8"/>
    <x v="8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8"/>
    <x v="0"/>
    <x v="8"/>
    <x v="8"/>
    <x v="0"/>
    <x v="1"/>
    <x v="0"/>
    <x v="0"/>
    <x v="0"/>
    <x v="0"/>
    <x v="0"/>
    <x v="0"/>
    <x v="1"/>
    <x v="1"/>
    <x v="1"/>
    <x v="78"/>
    <x v="78"/>
    <n v="3.0848348623834698"/>
    <x v="0"/>
    <x v="0"/>
    <x v="1"/>
    <x v="4"/>
    <x v="5"/>
    <x v="9"/>
    <n v="3.3624699999979826"/>
  </r>
  <r>
    <x v="8"/>
    <x v="0"/>
    <x v="8"/>
    <x v="8"/>
    <x v="0"/>
    <x v="1"/>
    <x v="0"/>
    <x v="0"/>
    <x v="0"/>
    <x v="0"/>
    <x v="0"/>
    <x v="0"/>
    <x v="1"/>
    <x v="1"/>
    <x v="1"/>
    <x v="26"/>
    <x v="26"/>
    <n v="240.948999999855"/>
    <x v="0"/>
    <x v="0"/>
    <x v="1"/>
    <x v="3"/>
    <x v="3"/>
    <x v="15"/>
    <n v="262.63440999984198"/>
  </r>
  <r>
    <x v="8"/>
    <x v="0"/>
    <x v="8"/>
    <x v="8"/>
    <x v="0"/>
    <x v="1"/>
    <x v="0"/>
    <x v="0"/>
    <x v="0"/>
    <x v="0"/>
    <x v="0"/>
    <x v="0"/>
    <x v="1"/>
    <x v="1"/>
    <x v="1"/>
    <x v="0"/>
    <x v="0"/>
    <n v="17.445505338029399"/>
    <x v="0"/>
    <x v="0"/>
    <x v="0"/>
    <x v="0"/>
    <x v="0"/>
    <x v="0"/>
    <n v="19.015600818452047"/>
  </r>
  <r>
    <x v="8"/>
    <x v="0"/>
    <x v="8"/>
    <x v="8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8"/>
    <x v="0"/>
    <x v="8"/>
    <x v="8"/>
    <x v="0"/>
    <x v="1"/>
    <x v="0"/>
    <x v="0"/>
    <x v="0"/>
    <x v="0"/>
    <x v="0"/>
    <x v="0"/>
    <x v="1"/>
    <x v="1"/>
    <x v="1"/>
    <x v="2"/>
    <x v="2"/>
    <n v="886.853036696716"/>
    <x v="0"/>
    <x v="1"/>
    <x v="2"/>
    <x v="2"/>
    <x v="13"/>
    <x v="2"/>
    <n v="966.66980999942052"/>
  </r>
  <r>
    <x v="8"/>
    <x v="0"/>
    <x v="8"/>
    <x v="8"/>
    <x v="0"/>
    <x v="1"/>
    <x v="0"/>
    <x v="0"/>
    <x v="0"/>
    <x v="0"/>
    <x v="0"/>
    <x v="0"/>
    <x v="1"/>
    <x v="1"/>
    <x v="1"/>
    <x v="3"/>
    <x v="3"/>
    <n v="16.073273397761099"/>
    <x v="0"/>
    <x v="0"/>
    <x v="1"/>
    <x v="3"/>
    <x v="3"/>
    <x v="3"/>
    <n v="17.519868003559598"/>
  </r>
  <r>
    <x v="8"/>
    <x v="0"/>
    <x v="8"/>
    <x v="8"/>
    <x v="0"/>
    <x v="1"/>
    <x v="0"/>
    <x v="0"/>
    <x v="0"/>
    <x v="0"/>
    <x v="0"/>
    <x v="0"/>
    <x v="2"/>
    <x v="2"/>
    <x v="2"/>
    <x v="4"/>
    <x v="4"/>
    <n v="35.285321100896297"/>
    <x v="0"/>
    <x v="0"/>
    <x v="1"/>
    <x v="3"/>
    <x v="3"/>
    <x v="4"/>
    <n v="38.46099999997697"/>
  </r>
  <r>
    <x v="8"/>
    <x v="0"/>
    <x v="8"/>
    <x v="8"/>
    <x v="0"/>
    <x v="1"/>
    <x v="0"/>
    <x v="0"/>
    <x v="0"/>
    <x v="0"/>
    <x v="0"/>
    <x v="0"/>
    <x v="2"/>
    <x v="2"/>
    <x v="2"/>
    <x v="5"/>
    <x v="5"/>
    <n v="96.061368098889602"/>
    <x v="0"/>
    <x v="0"/>
    <x v="1"/>
    <x v="1"/>
    <x v="1"/>
    <x v="5"/>
    <n v="104.70689122778967"/>
  </r>
  <r>
    <x v="8"/>
    <x v="0"/>
    <x v="8"/>
    <x v="8"/>
    <x v="0"/>
    <x v="1"/>
    <x v="0"/>
    <x v="0"/>
    <x v="0"/>
    <x v="0"/>
    <x v="0"/>
    <x v="0"/>
    <x v="2"/>
    <x v="2"/>
    <x v="2"/>
    <x v="6"/>
    <x v="6"/>
    <n v="429.60379999999998"/>
    <x v="0"/>
    <x v="0"/>
    <x v="0"/>
    <x v="0"/>
    <x v="4"/>
    <x v="6"/>
    <n v="468.26814200000001"/>
  </r>
  <r>
    <x v="8"/>
    <x v="0"/>
    <x v="8"/>
    <x v="8"/>
    <x v="0"/>
    <x v="1"/>
    <x v="0"/>
    <x v="0"/>
    <x v="0"/>
    <x v="0"/>
    <x v="0"/>
    <x v="0"/>
    <x v="2"/>
    <x v="2"/>
    <x v="2"/>
    <x v="7"/>
    <x v="7"/>
    <n v="21.478605504574301"/>
    <x v="0"/>
    <x v="0"/>
    <x v="1"/>
    <x v="4"/>
    <x v="5"/>
    <x v="7"/>
    <n v="23.411679999985989"/>
  </r>
  <r>
    <x v="8"/>
    <x v="0"/>
    <x v="8"/>
    <x v="8"/>
    <x v="0"/>
    <x v="1"/>
    <x v="0"/>
    <x v="0"/>
    <x v="0"/>
    <x v="0"/>
    <x v="0"/>
    <x v="0"/>
    <x v="2"/>
    <x v="2"/>
    <x v="2"/>
    <x v="8"/>
    <x v="8"/>
    <n v="4412.8261148931097"/>
    <x v="0"/>
    <x v="1"/>
    <x v="2"/>
    <x v="2"/>
    <x v="6"/>
    <x v="8"/>
    <n v="4809.9804652334897"/>
  </r>
  <r>
    <x v="8"/>
    <x v="0"/>
    <x v="8"/>
    <x v="8"/>
    <x v="0"/>
    <x v="1"/>
    <x v="0"/>
    <x v="0"/>
    <x v="0"/>
    <x v="0"/>
    <x v="0"/>
    <x v="0"/>
    <x v="2"/>
    <x v="2"/>
    <x v="2"/>
    <x v="9"/>
    <x v="9"/>
    <n v="21.0766605504461"/>
    <x v="0"/>
    <x v="0"/>
    <x v="1"/>
    <x v="4"/>
    <x v="5"/>
    <x v="9"/>
    <n v="22.97355999998625"/>
  </r>
  <r>
    <x v="8"/>
    <x v="0"/>
    <x v="8"/>
    <x v="8"/>
    <x v="0"/>
    <x v="1"/>
    <x v="0"/>
    <x v="0"/>
    <x v="0"/>
    <x v="0"/>
    <x v="0"/>
    <x v="0"/>
    <x v="2"/>
    <x v="2"/>
    <x v="2"/>
    <x v="10"/>
    <x v="10"/>
    <n v="11.771614678892"/>
    <x v="0"/>
    <x v="0"/>
    <x v="1"/>
    <x v="4"/>
    <x v="5"/>
    <x v="10"/>
    <n v="12.831059999992281"/>
  </r>
  <r>
    <x v="8"/>
    <x v="0"/>
    <x v="8"/>
    <x v="8"/>
    <x v="0"/>
    <x v="1"/>
    <x v="0"/>
    <x v="0"/>
    <x v="0"/>
    <x v="0"/>
    <x v="0"/>
    <x v="0"/>
    <x v="2"/>
    <x v="2"/>
    <x v="2"/>
    <x v="28"/>
    <x v="28"/>
    <n v="15.277950000000001"/>
    <x v="0"/>
    <x v="0"/>
    <x v="1"/>
    <x v="3"/>
    <x v="3"/>
    <x v="13"/>
    <n v="16.652965500000001"/>
  </r>
  <r>
    <x v="8"/>
    <x v="0"/>
    <x v="8"/>
    <x v="8"/>
    <x v="0"/>
    <x v="1"/>
    <x v="0"/>
    <x v="0"/>
    <x v="0"/>
    <x v="0"/>
    <x v="0"/>
    <x v="0"/>
    <x v="2"/>
    <x v="2"/>
    <x v="2"/>
    <x v="29"/>
    <x v="29"/>
    <n v="63.2224"/>
    <x v="0"/>
    <x v="0"/>
    <x v="1"/>
    <x v="3"/>
    <x v="3"/>
    <x v="13"/>
    <n v="68.912416000000007"/>
  </r>
  <r>
    <x v="8"/>
    <x v="0"/>
    <x v="8"/>
    <x v="8"/>
    <x v="0"/>
    <x v="1"/>
    <x v="0"/>
    <x v="0"/>
    <x v="0"/>
    <x v="0"/>
    <x v="0"/>
    <x v="0"/>
    <x v="2"/>
    <x v="2"/>
    <x v="2"/>
    <x v="30"/>
    <x v="30"/>
    <n v="46.7723467740065"/>
    <x v="0"/>
    <x v="0"/>
    <x v="0"/>
    <x v="0"/>
    <x v="0"/>
    <x v="0"/>
    <n v="50.981857983667091"/>
  </r>
  <r>
    <x v="8"/>
    <x v="0"/>
    <x v="8"/>
    <x v="8"/>
    <x v="0"/>
    <x v="1"/>
    <x v="0"/>
    <x v="0"/>
    <x v="0"/>
    <x v="0"/>
    <x v="0"/>
    <x v="0"/>
    <x v="2"/>
    <x v="2"/>
    <x v="2"/>
    <x v="80"/>
    <x v="80"/>
    <n v="6.3165137614641003"/>
    <x v="0"/>
    <x v="0"/>
    <x v="1"/>
    <x v="4"/>
    <x v="5"/>
    <x v="10"/>
    <n v="6.8849999999958698"/>
  </r>
  <r>
    <x v="8"/>
    <x v="0"/>
    <x v="8"/>
    <x v="8"/>
    <x v="0"/>
    <x v="1"/>
    <x v="0"/>
    <x v="0"/>
    <x v="0"/>
    <x v="0"/>
    <x v="0"/>
    <x v="0"/>
    <x v="2"/>
    <x v="2"/>
    <x v="2"/>
    <x v="31"/>
    <x v="31"/>
    <n v="1.55251376146696"/>
    <x v="0"/>
    <x v="0"/>
    <x v="1"/>
    <x v="4"/>
    <x v="5"/>
    <x v="10"/>
    <n v="1.6922399999989866"/>
  </r>
  <r>
    <x v="8"/>
    <x v="0"/>
    <x v="8"/>
    <x v="8"/>
    <x v="0"/>
    <x v="1"/>
    <x v="0"/>
    <x v="0"/>
    <x v="0"/>
    <x v="0"/>
    <x v="0"/>
    <x v="0"/>
    <x v="2"/>
    <x v="2"/>
    <x v="2"/>
    <x v="11"/>
    <x v="11"/>
    <n v="406.76182999999997"/>
    <x v="0"/>
    <x v="0"/>
    <x v="3"/>
    <x v="5"/>
    <x v="7"/>
    <x v="11"/>
    <n v="443.37039470000002"/>
  </r>
  <r>
    <x v="8"/>
    <x v="0"/>
    <x v="8"/>
    <x v="8"/>
    <x v="0"/>
    <x v="1"/>
    <x v="0"/>
    <x v="0"/>
    <x v="0"/>
    <x v="0"/>
    <x v="0"/>
    <x v="0"/>
    <x v="2"/>
    <x v="2"/>
    <x v="2"/>
    <x v="88"/>
    <x v="88"/>
    <n v="22.277394495399498"/>
    <x v="0"/>
    <x v="0"/>
    <x v="1"/>
    <x v="4"/>
    <x v="5"/>
    <x v="9"/>
    <n v="24.282359999985456"/>
  </r>
  <r>
    <x v="8"/>
    <x v="0"/>
    <x v="8"/>
    <x v="8"/>
    <x v="0"/>
    <x v="1"/>
    <x v="0"/>
    <x v="0"/>
    <x v="0"/>
    <x v="0"/>
    <x v="0"/>
    <x v="0"/>
    <x v="2"/>
    <x v="2"/>
    <x v="2"/>
    <x v="12"/>
    <x v="12"/>
    <n v="1063.59343022852"/>
    <x v="0"/>
    <x v="0"/>
    <x v="0"/>
    <x v="0"/>
    <x v="8"/>
    <x v="12"/>
    <n v="1159.3168389490868"/>
  </r>
  <r>
    <x v="8"/>
    <x v="0"/>
    <x v="8"/>
    <x v="8"/>
    <x v="0"/>
    <x v="1"/>
    <x v="0"/>
    <x v="0"/>
    <x v="0"/>
    <x v="0"/>
    <x v="0"/>
    <x v="0"/>
    <x v="2"/>
    <x v="2"/>
    <x v="2"/>
    <x v="14"/>
    <x v="14"/>
    <n v="283.59433000000001"/>
    <x v="0"/>
    <x v="0"/>
    <x v="0"/>
    <x v="0"/>
    <x v="8"/>
    <x v="14"/>
    <n v="309.11781970000004"/>
  </r>
  <r>
    <x v="8"/>
    <x v="0"/>
    <x v="8"/>
    <x v="8"/>
    <x v="0"/>
    <x v="1"/>
    <x v="0"/>
    <x v="0"/>
    <x v="0"/>
    <x v="0"/>
    <x v="0"/>
    <x v="0"/>
    <x v="2"/>
    <x v="2"/>
    <x v="2"/>
    <x v="16"/>
    <x v="16"/>
    <n v="453.17752999999999"/>
    <x v="0"/>
    <x v="0"/>
    <x v="3"/>
    <x v="5"/>
    <x v="9"/>
    <x v="16"/>
    <n v="493.96350770000004"/>
  </r>
  <r>
    <x v="8"/>
    <x v="0"/>
    <x v="8"/>
    <x v="8"/>
    <x v="0"/>
    <x v="1"/>
    <x v="0"/>
    <x v="0"/>
    <x v="0"/>
    <x v="0"/>
    <x v="0"/>
    <x v="0"/>
    <x v="2"/>
    <x v="2"/>
    <x v="2"/>
    <x v="24"/>
    <x v="24"/>
    <n v="82.508366972427595"/>
    <x v="0"/>
    <x v="0"/>
    <x v="1"/>
    <x v="3"/>
    <x v="3"/>
    <x v="4"/>
    <n v="89.934119999946091"/>
  </r>
  <r>
    <x v="8"/>
    <x v="0"/>
    <x v="8"/>
    <x v="8"/>
    <x v="0"/>
    <x v="1"/>
    <x v="0"/>
    <x v="0"/>
    <x v="0"/>
    <x v="0"/>
    <x v="0"/>
    <x v="0"/>
    <x v="2"/>
    <x v="2"/>
    <x v="2"/>
    <x v="17"/>
    <x v="17"/>
    <n v="196.47627"/>
    <x v="0"/>
    <x v="0"/>
    <x v="0"/>
    <x v="0"/>
    <x v="4"/>
    <x v="17"/>
    <n v="214.15913430000001"/>
  </r>
  <r>
    <x v="8"/>
    <x v="0"/>
    <x v="8"/>
    <x v="8"/>
    <x v="0"/>
    <x v="1"/>
    <x v="0"/>
    <x v="0"/>
    <x v="0"/>
    <x v="0"/>
    <x v="0"/>
    <x v="0"/>
    <x v="2"/>
    <x v="2"/>
    <x v="2"/>
    <x v="18"/>
    <x v="18"/>
    <n v="153.23996"/>
    <x v="0"/>
    <x v="0"/>
    <x v="0"/>
    <x v="0"/>
    <x v="4"/>
    <x v="18"/>
    <n v="167.0315564"/>
  </r>
  <r>
    <x v="8"/>
    <x v="0"/>
    <x v="8"/>
    <x v="8"/>
    <x v="0"/>
    <x v="1"/>
    <x v="0"/>
    <x v="0"/>
    <x v="0"/>
    <x v="0"/>
    <x v="0"/>
    <x v="0"/>
    <x v="2"/>
    <x v="2"/>
    <x v="2"/>
    <x v="34"/>
    <x v="34"/>
    <n v="70.285027073040993"/>
    <x v="0"/>
    <x v="0"/>
    <x v="0"/>
    <x v="0"/>
    <x v="0"/>
    <x v="0"/>
    <n v="76.610679509614684"/>
  </r>
  <r>
    <x v="8"/>
    <x v="0"/>
    <x v="8"/>
    <x v="8"/>
    <x v="0"/>
    <x v="1"/>
    <x v="0"/>
    <x v="0"/>
    <x v="0"/>
    <x v="0"/>
    <x v="0"/>
    <x v="0"/>
    <x v="2"/>
    <x v="2"/>
    <x v="2"/>
    <x v="25"/>
    <x v="25"/>
    <n v="46.090733944926498"/>
    <x v="0"/>
    <x v="0"/>
    <x v="1"/>
    <x v="4"/>
    <x v="5"/>
    <x v="9"/>
    <n v="50.238899999969888"/>
  </r>
  <r>
    <x v="8"/>
    <x v="0"/>
    <x v="8"/>
    <x v="8"/>
    <x v="0"/>
    <x v="1"/>
    <x v="0"/>
    <x v="0"/>
    <x v="0"/>
    <x v="0"/>
    <x v="0"/>
    <x v="0"/>
    <x v="2"/>
    <x v="2"/>
    <x v="2"/>
    <x v="27"/>
    <x v="27"/>
    <n v="73.136063064613595"/>
    <x v="0"/>
    <x v="0"/>
    <x v="1"/>
    <x v="3"/>
    <x v="3"/>
    <x v="19"/>
    <n v="79.718308740428824"/>
  </r>
  <r>
    <x v="8"/>
    <x v="0"/>
    <x v="8"/>
    <x v="8"/>
    <x v="0"/>
    <x v="1"/>
    <x v="0"/>
    <x v="0"/>
    <x v="0"/>
    <x v="0"/>
    <x v="0"/>
    <x v="0"/>
    <x v="2"/>
    <x v="2"/>
    <x v="2"/>
    <x v="26"/>
    <x v="26"/>
    <n v="94.055963302695901"/>
    <x v="0"/>
    <x v="0"/>
    <x v="1"/>
    <x v="3"/>
    <x v="3"/>
    <x v="15"/>
    <n v="102.52099999993854"/>
  </r>
  <r>
    <x v="8"/>
    <x v="0"/>
    <x v="8"/>
    <x v="8"/>
    <x v="0"/>
    <x v="1"/>
    <x v="0"/>
    <x v="0"/>
    <x v="0"/>
    <x v="0"/>
    <x v="0"/>
    <x v="0"/>
    <x v="2"/>
    <x v="2"/>
    <x v="2"/>
    <x v="0"/>
    <x v="0"/>
    <n v="11.0281263344887"/>
    <x v="0"/>
    <x v="0"/>
    <x v="0"/>
    <x v="0"/>
    <x v="0"/>
    <x v="0"/>
    <n v="12.020657704592685"/>
  </r>
  <r>
    <x v="8"/>
    <x v="0"/>
    <x v="8"/>
    <x v="8"/>
    <x v="0"/>
    <x v="1"/>
    <x v="0"/>
    <x v="0"/>
    <x v="0"/>
    <x v="0"/>
    <x v="0"/>
    <x v="0"/>
    <x v="2"/>
    <x v="2"/>
    <x v="2"/>
    <x v="20"/>
    <x v="20"/>
    <n v="159.08754999999999"/>
    <x v="0"/>
    <x v="0"/>
    <x v="1"/>
    <x v="3"/>
    <x v="3"/>
    <x v="13"/>
    <n v="173.4054295"/>
  </r>
  <r>
    <x v="8"/>
    <x v="0"/>
    <x v="8"/>
    <x v="8"/>
    <x v="0"/>
    <x v="1"/>
    <x v="0"/>
    <x v="0"/>
    <x v="0"/>
    <x v="0"/>
    <x v="0"/>
    <x v="0"/>
    <x v="2"/>
    <x v="2"/>
    <x v="2"/>
    <x v="2"/>
    <x v="2"/>
    <n v="13674.302899074401"/>
    <x v="0"/>
    <x v="1"/>
    <x v="2"/>
    <x v="2"/>
    <x v="13"/>
    <x v="2"/>
    <n v="14904.990159991097"/>
  </r>
  <r>
    <x v="8"/>
    <x v="0"/>
    <x v="8"/>
    <x v="8"/>
    <x v="0"/>
    <x v="1"/>
    <x v="0"/>
    <x v="0"/>
    <x v="0"/>
    <x v="0"/>
    <x v="0"/>
    <x v="0"/>
    <x v="2"/>
    <x v="2"/>
    <x v="2"/>
    <x v="3"/>
    <x v="3"/>
    <n v="149.81614958394499"/>
    <x v="0"/>
    <x v="0"/>
    <x v="1"/>
    <x v="3"/>
    <x v="3"/>
    <x v="3"/>
    <n v="163.29960304650004"/>
  </r>
  <r>
    <x v="8"/>
    <x v="0"/>
    <x v="8"/>
    <x v="8"/>
    <x v="0"/>
    <x v="1"/>
    <x v="0"/>
    <x v="0"/>
    <x v="0"/>
    <x v="0"/>
    <x v="0"/>
    <x v="0"/>
    <x v="1"/>
    <x v="6"/>
    <x v="6"/>
    <x v="7"/>
    <x v="7"/>
    <n v="6.34516513761087"/>
    <x v="0"/>
    <x v="0"/>
    <x v="1"/>
    <x v="4"/>
    <x v="5"/>
    <x v="7"/>
    <n v="6.9162299999958492"/>
  </r>
  <r>
    <x v="8"/>
    <x v="0"/>
    <x v="8"/>
    <x v="8"/>
    <x v="0"/>
    <x v="1"/>
    <x v="0"/>
    <x v="0"/>
    <x v="0"/>
    <x v="0"/>
    <x v="0"/>
    <x v="0"/>
    <x v="1"/>
    <x v="6"/>
    <x v="6"/>
    <x v="8"/>
    <x v="8"/>
    <n v="116.97979054128901"/>
    <x v="0"/>
    <x v="1"/>
    <x v="2"/>
    <x v="2"/>
    <x v="6"/>
    <x v="8"/>
    <n v="127.50797169000502"/>
  </r>
  <r>
    <x v="8"/>
    <x v="0"/>
    <x v="8"/>
    <x v="8"/>
    <x v="0"/>
    <x v="1"/>
    <x v="0"/>
    <x v="0"/>
    <x v="0"/>
    <x v="0"/>
    <x v="0"/>
    <x v="0"/>
    <x v="1"/>
    <x v="6"/>
    <x v="6"/>
    <x v="9"/>
    <x v="9"/>
    <n v="5.7239266055011502"/>
    <x v="0"/>
    <x v="0"/>
    <x v="1"/>
    <x v="4"/>
    <x v="5"/>
    <x v="9"/>
    <n v="6.2390799999962541"/>
  </r>
  <r>
    <x v="8"/>
    <x v="0"/>
    <x v="8"/>
    <x v="8"/>
    <x v="0"/>
    <x v="1"/>
    <x v="0"/>
    <x v="0"/>
    <x v="0"/>
    <x v="0"/>
    <x v="0"/>
    <x v="0"/>
    <x v="1"/>
    <x v="6"/>
    <x v="6"/>
    <x v="28"/>
    <x v="28"/>
    <n v="1E-4"/>
    <x v="0"/>
    <x v="0"/>
    <x v="1"/>
    <x v="3"/>
    <x v="3"/>
    <x v="13"/>
    <n v="1.0900000000000001E-4"/>
  </r>
  <r>
    <x v="8"/>
    <x v="0"/>
    <x v="8"/>
    <x v="8"/>
    <x v="0"/>
    <x v="1"/>
    <x v="0"/>
    <x v="0"/>
    <x v="0"/>
    <x v="0"/>
    <x v="0"/>
    <x v="0"/>
    <x v="1"/>
    <x v="6"/>
    <x v="6"/>
    <x v="29"/>
    <x v="29"/>
    <n v="8.8408200000000008"/>
    <x v="0"/>
    <x v="0"/>
    <x v="1"/>
    <x v="3"/>
    <x v="3"/>
    <x v="13"/>
    <n v="9.636493800000002"/>
  </r>
  <r>
    <x v="8"/>
    <x v="0"/>
    <x v="8"/>
    <x v="8"/>
    <x v="0"/>
    <x v="1"/>
    <x v="0"/>
    <x v="0"/>
    <x v="0"/>
    <x v="0"/>
    <x v="0"/>
    <x v="0"/>
    <x v="1"/>
    <x v="6"/>
    <x v="6"/>
    <x v="11"/>
    <x v="11"/>
    <n v="4.8129999999999997"/>
    <x v="0"/>
    <x v="0"/>
    <x v="3"/>
    <x v="5"/>
    <x v="7"/>
    <x v="11"/>
    <n v="5.2461700000000002"/>
  </r>
  <r>
    <x v="8"/>
    <x v="0"/>
    <x v="8"/>
    <x v="8"/>
    <x v="0"/>
    <x v="1"/>
    <x v="0"/>
    <x v="0"/>
    <x v="0"/>
    <x v="0"/>
    <x v="0"/>
    <x v="0"/>
    <x v="1"/>
    <x v="6"/>
    <x v="6"/>
    <x v="12"/>
    <x v="12"/>
    <n v="340.95172092893699"/>
    <x v="0"/>
    <x v="0"/>
    <x v="0"/>
    <x v="0"/>
    <x v="8"/>
    <x v="12"/>
    <n v="371.63737581254134"/>
  </r>
  <r>
    <x v="8"/>
    <x v="0"/>
    <x v="8"/>
    <x v="8"/>
    <x v="0"/>
    <x v="1"/>
    <x v="0"/>
    <x v="0"/>
    <x v="0"/>
    <x v="0"/>
    <x v="0"/>
    <x v="0"/>
    <x v="1"/>
    <x v="6"/>
    <x v="6"/>
    <x v="14"/>
    <x v="14"/>
    <n v="114.46839"/>
    <x v="0"/>
    <x v="0"/>
    <x v="0"/>
    <x v="0"/>
    <x v="8"/>
    <x v="14"/>
    <n v="124.77054510000001"/>
  </r>
  <r>
    <x v="8"/>
    <x v="0"/>
    <x v="8"/>
    <x v="8"/>
    <x v="0"/>
    <x v="1"/>
    <x v="0"/>
    <x v="0"/>
    <x v="0"/>
    <x v="0"/>
    <x v="0"/>
    <x v="0"/>
    <x v="1"/>
    <x v="6"/>
    <x v="6"/>
    <x v="16"/>
    <x v="16"/>
    <n v="594.7912"/>
    <x v="0"/>
    <x v="0"/>
    <x v="3"/>
    <x v="5"/>
    <x v="9"/>
    <x v="16"/>
    <n v="648.322408"/>
  </r>
  <r>
    <x v="8"/>
    <x v="0"/>
    <x v="8"/>
    <x v="8"/>
    <x v="0"/>
    <x v="1"/>
    <x v="0"/>
    <x v="0"/>
    <x v="0"/>
    <x v="0"/>
    <x v="0"/>
    <x v="0"/>
    <x v="1"/>
    <x v="6"/>
    <x v="6"/>
    <x v="24"/>
    <x v="24"/>
    <n v="8.8073486238479308"/>
    <x v="0"/>
    <x v="0"/>
    <x v="1"/>
    <x v="3"/>
    <x v="3"/>
    <x v="4"/>
    <n v="9.6000099999942456"/>
  </r>
  <r>
    <x v="8"/>
    <x v="0"/>
    <x v="8"/>
    <x v="8"/>
    <x v="0"/>
    <x v="1"/>
    <x v="0"/>
    <x v="0"/>
    <x v="0"/>
    <x v="0"/>
    <x v="0"/>
    <x v="0"/>
    <x v="1"/>
    <x v="6"/>
    <x v="6"/>
    <x v="27"/>
    <x v="27"/>
    <n v="9.2485630632591302"/>
    <x v="0"/>
    <x v="0"/>
    <x v="1"/>
    <x v="3"/>
    <x v="3"/>
    <x v="19"/>
    <n v="10.080933738952453"/>
  </r>
  <r>
    <x v="8"/>
    <x v="0"/>
    <x v="8"/>
    <x v="8"/>
    <x v="0"/>
    <x v="1"/>
    <x v="0"/>
    <x v="0"/>
    <x v="0"/>
    <x v="0"/>
    <x v="0"/>
    <x v="0"/>
    <x v="1"/>
    <x v="6"/>
    <x v="6"/>
    <x v="26"/>
    <x v="26"/>
    <n v="844.76358715545598"/>
    <x v="0"/>
    <x v="0"/>
    <x v="1"/>
    <x v="3"/>
    <x v="3"/>
    <x v="15"/>
    <n v="920.79230999944707"/>
  </r>
  <r>
    <x v="8"/>
    <x v="0"/>
    <x v="8"/>
    <x v="8"/>
    <x v="0"/>
    <x v="1"/>
    <x v="0"/>
    <x v="0"/>
    <x v="0"/>
    <x v="0"/>
    <x v="0"/>
    <x v="0"/>
    <x v="1"/>
    <x v="6"/>
    <x v="6"/>
    <x v="0"/>
    <x v="0"/>
    <n v="0.74430604981998005"/>
    <x v="0"/>
    <x v="0"/>
    <x v="0"/>
    <x v="0"/>
    <x v="0"/>
    <x v="0"/>
    <n v="0.81129359430377834"/>
  </r>
  <r>
    <x v="8"/>
    <x v="0"/>
    <x v="8"/>
    <x v="8"/>
    <x v="0"/>
    <x v="1"/>
    <x v="0"/>
    <x v="0"/>
    <x v="0"/>
    <x v="0"/>
    <x v="0"/>
    <x v="0"/>
    <x v="1"/>
    <x v="6"/>
    <x v="6"/>
    <x v="20"/>
    <x v="20"/>
    <n v="12.51333"/>
    <x v="0"/>
    <x v="0"/>
    <x v="1"/>
    <x v="3"/>
    <x v="3"/>
    <x v="13"/>
    <n v="13.639529700000001"/>
  </r>
  <r>
    <x v="8"/>
    <x v="0"/>
    <x v="8"/>
    <x v="8"/>
    <x v="0"/>
    <x v="1"/>
    <x v="0"/>
    <x v="0"/>
    <x v="0"/>
    <x v="0"/>
    <x v="0"/>
    <x v="0"/>
    <x v="1"/>
    <x v="6"/>
    <x v="6"/>
    <x v="2"/>
    <x v="2"/>
    <n v="645.70815596291504"/>
    <x v="0"/>
    <x v="1"/>
    <x v="2"/>
    <x v="2"/>
    <x v="13"/>
    <x v="2"/>
    <n v="703.82188999957748"/>
  </r>
  <r>
    <x v="8"/>
    <x v="0"/>
    <x v="8"/>
    <x v="8"/>
    <x v="0"/>
    <x v="1"/>
    <x v="0"/>
    <x v="0"/>
    <x v="0"/>
    <x v="0"/>
    <x v="0"/>
    <x v="0"/>
    <x v="1"/>
    <x v="6"/>
    <x v="6"/>
    <x v="3"/>
    <x v="3"/>
    <n v="10.4274364523886"/>
    <x v="0"/>
    <x v="0"/>
    <x v="1"/>
    <x v="3"/>
    <x v="3"/>
    <x v="3"/>
    <n v="11.365905733103574"/>
  </r>
  <r>
    <x v="8"/>
    <x v="0"/>
    <x v="8"/>
    <x v="8"/>
    <x v="0"/>
    <x v="1"/>
    <x v="0"/>
    <x v="0"/>
    <x v="0"/>
    <x v="0"/>
    <x v="0"/>
    <x v="0"/>
    <x v="2"/>
    <x v="13"/>
    <x v="2"/>
    <x v="2"/>
    <x v="2"/>
    <n v="81.6990825687583"/>
    <x v="0"/>
    <x v="1"/>
    <x v="2"/>
    <x v="2"/>
    <x v="13"/>
    <x v="2"/>
    <n v="89.05199999994656"/>
  </r>
  <r>
    <x v="8"/>
    <x v="0"/>
    <x v="8"/>
    <x v="8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8"/>
    <x v="0"/>
    <x v="8"/>
    <x v="8"/>
    <x v="0"/>
    <x v="1"/>
    <x v="0"/>
    <x v="0"/>
    <x v="0"/>
    <x v="0"/>
    <x v="0"/>
    <x v="0"/>
    <x v="3"/>
    <x v="7"/>
    <x v="7"/>
    <x v="9"/>
    <x v="9"/>
    <n v="523.84685427031798"/>
    <x v="0"/>
    <x v="0"/>
    <x v="1"/>
    <x v="4"/>
    <x v="5"/>
    <x v="9"/>
    <n v="570.9930711546466"/>
  </r>
  <r>
    <x v="8"/>
    <x v="0"/>
    <x v="8"/>
    <x v="8"/>
    <x v="0"/>
    <x v="1"/>
    <x v="0"/>
    <x v="0"/>
    <x v="0"/>
    <x v="0"/>
    <x v="0"/>
    <x v="0"/>
    <x v="3"/>
    <x v="7"/>
    <x v="7"/>
    <x v="10"/>
    <x v="10"/>
    <n v="120.24695060577299"/>
    <x v="0"/>
    <x v="0"/>
    <x v="1"/>
    <x v="4"/>
    <x v="5"/>
    <x v="10"/>
    <n v="131.06917616029259"/>
  </r>
  <r>
    <x v="8"/>
    <x v="0"/>
    <x v="8"/>
    <x v="8"/>
    <x v="0"/>
    <x v="1"/>
    <x v="0"/>
    <x v="0"/>
    <x v="0"/>
    <x v="0"/>
    <x v="0"/>
    <x v="0"/>
    <x v="3"/>
    <x v="7"/>
    <x v="7"/>
    <x v="11"/>
    <x v="11"/>
    <n v="322.54228999999998"/>
    <x v="0"/>
    <x v="0"/>
    <x v="3"/>
    <x v="5"/>
    <x v="7"/>
    <x v="11"/>
    <n v="351.57109609999998"/>
  </r>
  <r>
    <x v="8"/>
    <x v="0"/>
    <x v="8"/>
    <x v="8"/>
    <x v="0"/>
    <x v="1"/>
    <x v="0"/>
    <x v="0"/>
    <x v="0"/>
    <x v="0"/>
    <x v="0"/>
    <x v="0"/>
    <x v="3"/>
    <x v="7"/>
    <x v="7"/>
    <x v="36"/>
    <x v="36"/>
    <n v="147.20009174303101"/>
    <x v="0"/>
    <x v="0"/>
    <x v="1"/>
    <x v="3"/>
    <x v="3"/>
    <x v="4"/>
    <n v="160.4480999999038"/>
  </r>
  <r>
    <x v="8"/>
    <x v="0"/>
    <x v="8"/>
    <x v="8"/>
    <x v="0"/>
    <x v="1"/>
    <x v="0"/>
    <x v="0"/>
    <x v="0"/>
    <x v="0"/>
    <x v="0"/>
    <x v="0"/>
    <x v="3"/>
    <x v="7"/>
    <x v="7"/>
    <x v="24"/>
    <x v="24"/>
    <n v="271.53438532093799"/>
    <x v="0"/>
    <x v="0"/>
    <x v="1"/>
    <x v="3"/>
    <x v="3"/>
    <x v="4"/>
    <n v="295.97247999982244"/>
  </r>
  <r>
    <x v="8"/>
    <x v="0"/>
    <x v="8"/>
    <x v="8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8"/>
    <x v="0"/>
    <x v="8"/>
    <x v="8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8"/>
    <x v="0"/>
    <x v="8"/>
    <x v="8"/>
    <x v="0"/>
    <x v="1"/>
    <x v="0"/>
    <x v="0"/>
    <x v="0"/>
    <x v="0"/>
    <x v="0"/>
    <x v="0"/>
    <x v="3"/>
    <x v="7"/>
    <x v="7"/>
    <x v="34"/>
    <x v="34"/>
    <n v="116.244890827718"/>
    <x v="0"/>
    <x v="0"/>
    <x v="0"/>
    <x v="0"/>
    <x v="0"/>
    <x v="0"/>
    <n v="126.70693100221263"/>
  </r>
  <r>
    <x v="8"/>
    <x v="0"/>
    <x v="8"/>
    <x v="8"/>
    <x v="0"/>
    <x v="1"/>
    <x v="0"/>
    <x v="0"/>
    <x v="0"/>
    <x v="0"/>
    <x v="0"/>
    <x v="0"/>
    <x v="3"/>
    <x v="7"/>
    <x v="7"/>
    <x v="26"/>
    <x v="26"/>
    <n v="7.0113302752251503"/>
    <x v="0"/>
    <x v="0"/>
    <x v="1"/>
    <x v="3"/>
    <x v="3"/>
    <x v="15"/>
    <n v="7.6423499999954148"/>
  </r>
  <r>
    <x v="8"/>
    <x v="0"/>
    <x v="8"/>
    <x v="8"/>
    <x v="0"/>
    <x v="1"/>
    <x v="0"/>
    <x v="0"/>
    <x v="0"/>
    <x v="0"/>
    <x v="0"/>
    <x v="0"/>
    <x v="1"/>
    <x v="8"/>
    <x v="8"/>
    <x v="6"/>
    <x v="6"/>
    <n v="145.08331000000001"/>
    <x v="0"/>
    <x v="0"/>
    <x v="0"/>
    <x v="0"/>
    <x v="4"/>
    <x v="6"/>
    <n v="158.14080790000003"/>
  </r>
  <r>
    <x v="8"/>
    <x v="0"/>
    <x v="8"/>
    <x v="8"/>
    <x v="0"/>
    <x v="1"/>
    <x v="0"/>
    <x v="0"/>
    <x v="0"/>
    <x v="0"/>
    <x v="0"/>
    <x v="0"/>
    <x v="1"/>
    <x v="8"/>
    <x v="8"/>
    <x v="8"/>
    <x v="8"/>
    <n v="447.273628381241"/>
    <x v="0"/>
    <x v="1"/>
    <x v="2"/>
    <x v="2"/>
    <x v="6"/>
    <x v="8"/>
    <n v="487.5282549355527"/>
  </r>
  <r>
    <x v="8"/>
    <x v="0"/>
    <x v="8"/>
    <x v="8"/>
    <x v="0"/>
    <x v="1"/>
    <x v="0"/>
    <x v="0"/>
    <x v="0"/>
    <x v="0"/>
    <x v="0"/>
    <x v="0"/>
    <x v="1"/>
    <x v="8"/>
    <x v="8"/>
    <x v="9"/>
    <x v="9"/>
    <n v="371.96678075446999"/>
    <x v="0"/>
    <x v="0"/>
    <x v="1"/>
    <x v="4"/>
    <x v="5"/>
    <x v="9"/>
    <n v="405.4437910223723"/>
  </r>
  <r>
    <x v="8"/>
    <x v="0"/>
    <x v="8"/>
    <x v="8"/>
    <x v="0"/>
    <x v="1"/>
    <x v="0"/>
    <x v="0"/>
    <x v="0"/>
    <x v="0"/>
    <x v="0"/>
    <x v="0"/>
    <x v="1"/>
    <x v="8"/>
    <x v="8"/>
    <x v="10"/>
    <x v="10"/>
    <n v="129.87315256922199"/>
    <x v="0"/>
    <x v="0"/>
    <x v="1"/>
    <x v="4"/>
    <x v="5"/>
    <x v="10"/>
    <n v="141.56173630045197"/>
  </r>
  <r>
    <x v="8"/>
    <x v="0"/>
    <x v="8"/>
    <x v="8"/>
    <x v="0"/>
    <x v="1"/>
    <x v="0"/>
    <x v="0"/>
    <x v="0"/>
    <x v="0"/>
    <x v="0"/>
    <x v="0"/>
    <x v="1"/>
    <x v="8"/>
    <x v="8"/>
    <x v="11"/>
    <x v="11"/>
    <n v="22.904520000000002"/>
    <x v="0"/>
    <x v="0"/>
    <x v="3"/>
    <x v="5"/>
    <x v="7"/>
    <x v="11"/>
    <n v="24.965926800000002"/>
  </r>
  <r>
    <x v="8"/>
    <x v="0"/>
    <x v="8"/>
    <x v="8"/>
    <x v="0"/>
    <x v="1"/>
    <x v="0"/>
    <x v="0"/>
    <x v="0"/>
    <x v="0"/>
    <x v="0"/>
    <x v="0"/>
    <x v="1"/>
    <x v="8"/>
    <x v="8"/>
    <x v="36"/>
    <x v="36"/>
    <n v="6.6382935779776702"/>
    <x v="0"/>
    <x v="0"/>
    <x v="1"/>
    <x v="3"/>
    <x v="3"/>
    <x v="4"/>
    <n v="7.2357399999956611"/>
  </r>
  <r>
    <x v="8"/>
    <x v="0"/>
    <x v="8"/>
    <x v="8"/>
    <x v="0"/>
    <x v="1"/>
    <x v="0"/>
    <x v="0"/>
    <x v="0"/>
    <x v="0"/>
    <x v="0"/>
    <x v="0"/>
    <x v="1"/>
    <x v="8"/>
    <x v="8"/>
    <x v="24"/>
    <x v="24"/>
    <n v="321.89939449522001"/>
    <x v="0"/>
    <x v="0"/>
    <x v="1"/>
    <x v="3"/>
    <x v="3"/>
    <x v="4"/>
    <n v="350.87033999978985"/>
  </r>
  <r>
    <x v="8"/>
    <x v="0"/>
    <x v="8"/>
    <x v="8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8"/>
    <x v="0"/>
    <x v="8"/>
    <x v="8"/>
    <x v="0"/>
    <x v="1"/>
    <x v="0"/>
    <x v="0"/>
    <x v="0"/>
    <x v="0"/>
    <x v="0"/>
    <x v="0"/>
    <x v="1"/>
    <x v="8"/>
    <x v="8"/>
    <x v="21"/>
    <x v="21"/>
    <n v="22.2270183486105"/>
    <x v="0"/>
    <x v="0"/>
    <x v="1"/>
    <x v="4"/>
    <x v="5"/>
    <x v="10"/>
    <n v="24.227449999985446"/>
  </r>
  <r>
    <x v="8"/>
    <x v="0"/>
    <x v="8"/>
    <x v="8"/>
    <x v="0"/>
    <x v="1"/>
    <x v="0"/>
    <x v="0"/>
    <x v="0"/>
    <x v="0"/>
    <x v="0"/>
    <x v="0"/>
    <x v="1"/>
    <x v="8"/>
    <x v="8"/>
    <x v="18"/>
    <x v="18"/>
    <n v="51.48413"/>
    <x v="0"/>
    <x v="0"/>
    <x v="0"/>
    <x v="0"/>
    <x v="4"/>
    <x v="18"/>
    <n v="56.117701700000005"/>
  </r>
  <r>
    <x v="8"/>
    <x v="0"/>
    <x v="8"/>
    <x v="8"/>
    <x v="0"/>
    <x v="1"/>
    <x v="0"/>
    <x v="0"/>
    <x v="0"/>
    <x v="0"/>
    <x v="0"/>
    <x v="0"/>
    <x v="1"/>
    <x v="8"/>
    <x v="8"/>
    <x v="34"/>
    <x v="34"/>
    <n v="16.318351091425601"/>
    <x v="0"/>
    <x v="0"/>
    <x v="0"/>
    <x v="0"/>
    <x v="0"/>
    <x v="0"/>
    <n v="17.787002689653907"/>
  </r>
  <r>
    <x v="8"/>
    <x v="0"/>
    <x v="8"/>
    <x v="8"/>
    <x v="0"/>
    <x v="1"/>
    <x v="0"/>
    <x v="0"/>
    <x v="0"/>
    <x v="0"/>
    <x v="0"/>
    <x v="0"/>
    <x v="1"/>
    <x v="8"/>
    <x v="8"/>
    <x v="37"/>
    <x v="37"/>
    <n v="225.62076146775499"/>
    <x v="0"/>
    <x v="0"/>
    <x v="1"/>
    <x v="3"/>
    <x v="3"/>
    <x v="4"/>
    <n v="245.92662999985296"/>
  </r>
  <r>
    <x v="8"/>
    <x v="0"/>
    <x v="8"/>
    <x v="8"/>
    <x v="0"/>
    <x v="1"/>
    <x v="0"/>
    <x v="0"/>
    <x v="0"/>
    <x v="0"/>
    <x v="0"/>
    <x v="0"/>
    <x v="1"/>
    <x v="8"/>
    <x v="8"/>
    <x v="26"/>
    <x v="26"/>
    <n v="28.761467889891001"/>
    <x v="0"/>
    <x v="0"/>
    <x v="1"/>
    <x v="3"/>
    <x v="3"/>
    <x v="15"/>
    <n v="31.349999999981193"/>
  </r>
  <r>
    <x v="8"/>
    <x v="0"/>
    <x v="8"/>
    <x v="8"/>
    <x v="0"/>
    <x v="1"/>
    <x v="0"/>
    <x v="0"/>
    <x v="0"/>
    <x v="0"/>
    <x v="0"/>
    <x v="0"/>
    <x v="1"/>
    <x v="8"/>
    <x v="8"/>
    <x v="0"/>
    <x v="0"/>
    <n v="41.616572063940403"/>
    <x v="0"/>
    <x v="0"/>
    <x v="0"/>
    <x v="0"/>
    <x v="0"/>
    <x v="0"/>
    <n v="45.362063549695044"/>
  </r>
  <r>
    <x v="8"/>
    <x v="0"/>
    <x v="8"/>
    <x v="8"/>
    <x v="0"/>
    <x v="1"/>
    <x v="0"/>
    <x v="0"/>
    <x v="0"/>
    <x v="0"/>
    <x v="0"/>
    <x v="0"/>
    <x v="0"/>
    <x v="9"/>
    <x v="9"/>
    <x v="6"/>
    <x v="6"/>
    <n v="396.20384000000001"/>
    <x v="0"/>
    <x v="0"/>
    <x v="0"/>
    <x v="0"/>
    <x v="4"/>
    <x v="6"/>
    <n v="431.86218560000003"/>
  </r>
  <r>
    <x v="8"/>
    <x v="0"/>
    <x v="8"/>
    <x v="8"/>
    <x v="0"/>
    <x v="1"/>
    <x v="0"/>
    <x v="0"/>
    <x v="0"/>
    <x v="0"/>
    <x v="0"/>
    <x v="0"/>
    <x v="0"/>
    <x v="9"/>
    <x v="9"/>
    <x v="7"/>
    <x v="7"/>
    <n v="465.169844036418"/>
    <x v="0"/>
    <x v="0"/>
    <x v="1"/>
    <x v="4"/>
    <x v="5"/>
    <x v="7"/>
    <n v="507.03512999969564"/>
  </r>
  <r>
    <x v="8"/>
    <x v="0"/>
    <x v="8"/>
    <x v="8"/>
    <x v="0"/>
    <x v="1"/>
    <x v="0"/>
    <x v="0"/>
    <x v="0"/>
    <x v="0"/>
    <x v="0"/>
    <x v="0"/>
    <x v="0"/>
    <x v="9"/>
    <x v="9"/>
    <x v="9"/>
    <x v="9"/>
    <n v="3109.5390276942398"/>
    <x v="0"/>
    <x v="0"/>
    <x v="1"/>
    <x v="4"/>
    <x v="5"/>
    <x v="9"/>
    <n v="3389.3975401867215"/>
  </r>
  <r>
    <x v="8"/>
    <x v="0"/>
    <x v="8"/>
    <x v="8"/>
    <x v="0"/>
    <x v="1"/>
    <x v="0"/>
    <x v="0"/>
    <x v="0"/>
    <x v="0"/>
    <x v="0"/>
    <x v="0"/>
    <x v="0"/>
    <x v="9"/>
    <x v="9"/>
    <x v="10"/>
    <x v="10"/>
    <n v="164.40596441775901"/>
    <x v="0"/>
    <x v="0"/>
    <x v="1"/>
    <x v="4"/>
    <x v="5"/>
    <x v="10"/>
    <n v="179.20250121535733"/>
  </r>
  <r>
    <x v="8"/>
    <x v="0"/>
    <x v="8"/>
    <x v="8"/>
    <x v="0"/>
    <x v="1"/>
    <x v="0"/>
    <x v="0"/>
    <x v="0"/>
    <x v="0"/>
    <x v="0"/>
    <x v="0"/>
    <x v="0"/>
    <x v="9"/>
    <x v="9"/>
    <x v="11"/>
    <x v="11"/>
    <n v="189.92275000000001"/>
    <x v="0"/>
    <x v="0"/>
    <x v="3"/>
    <x v="5"/>
    <x v="7"/>
    <x v="11"/>
    <n v="207.01579750000002"/>
  </r>
  <r>
    <x v="8"/>
    <x v="0"/>
    <x v="8"/>
    <x v="8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8"/>
    <x v="0"/>
    <x v="8"/>
    <x v="8"/>
    <x v="0"/>
    <x v="1"/>
    <x v="0"/>
    <x v="0"/>
    <x v="0"/>
    <x v="0"/>
    <x v="0"/>
    <x v="0"/>
    <x v="0"/>
    <x v="9"/>
    <x v="9"/>
    <x v="36"/>
    <x v="36"/>
    <n v="24.298743119251501"/>
    <x v="0"/>
    <x v="0"/>
    <x v="1"/>
    <x v="3"/>
    <x v="3"/>
    <x v="4"/>
    <n v="26.485629999984138"/>
  </r>
  <r>
    <x v="8"/>
    <x v="0"/>
    <x v="8"/>
    <x v="8"/>
    <x v="0"/>
    <x v="1"/>
    <x v="0"/>
    <x v="0"/>
    <x v="0"/>
    <x v="0"/>
    <x v="0"/>
    <x v="0"/>
    <x v="0"/>
    <x v="9"/>
    <x v="9"/>
    <x v="24"/>
    <x v="24"/>
    <n v="284.33678899065501"/>
    <x v="0"/>
    <x v="0"/>
    <x v="1"/>
    <x v="3"/>
    <x v="3"/>
    <x v="4"/>
    <n v="309.927099999814"/>
  </r>
  <r>
    <x v="8"/>
    <x v="0"/>
    <x v="8"/>
    <x v="8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8"/>
    <x v="0"/>
    <x v="8"/>
    <x v="8"/>
    <x v="0"/>
    <x v="1"/>
    <x v="0"/>
    <x v="0"/>
    <x v="0"/>
    <x v="0"/>
    <x v="0"/>
    <x v="0"/>
    <x v="0"/>
    <x v="9"/>
    <x v="9"/>
    <x v="21"/>
    <x v="21"/>
    <n v="180.43589908246099"/>
    <x v="0"/>
    <x v="0"/>
    <x v="1"/>
    <x v="4"/>
    <x v="5"/>
    <x v="10"/>
    <n v="196.6751299998825"/>
  </r>
  <r>
    <x v="8"/>
    <x v="0"/>
    <x v="8"/>
    <x v="8"/>
    <x v="0"/>
    <x v="1"/>
    <x v="0"/>
    <x v="0"/>
    <x v="0"/>
    <x v="0"/>
    <x v="0"/>
    <x v="0"/>
    <x v="0"/>
    <x v="9"/>
    <x v="9"/>
    <x v="18"/>
    <x v="18"/>
    <n v="262.08415000000002"/>
    <x v="0"/>
    <x v="0"/>
    <x v="0"/>
    <x v="0"/>
    <x v="4"/>
    <x v="18"/>
    <n v="285.67172350000004"/>
  </r>
  <r>
    <x v="8"/>
    <x v="0"/>
    <x v="8"/>
    <x v="8"/>
    <x v="0"/>
    <x v="1"/>
    <x v="0"/>
    <x v="0"/>
    <x v="0"/>
    <x v="0"/>
    <x v="0"/>
    <x v="0"/>
    <x v="0"/>
    <x v="9"/>
    <x v="9"/>
    <x v="34"/>
    <x v="34"/>
    <n v="65.989156330755904"/>
    <x v="0"/>
    <x v="0"/>
    <x v="0"/>
    <x v="0"/>
    <x v="0"/>
    <x v="0"/>
    <n v="71.928180400523942"/>
  </r>
  <r>
    <x v="8"/>
    <x v="0"/>
    <x v="8"/>
    <x v="8"/>
    <x v="0"/>
    <x v="1"/>
    <x v="0"/>
    <x v="0"/>
    <x v="0"/>
    <x v="0"/>
    <x v="0"/>
    <x v="0"/>
    <x v="0"/>
    <x v="9"/>
    <x v="9"/>
    <x v="37"/>
    <x v="37"/>
    <n v="104.327889908194"/>
    <x v="0"/>
    <x v="0"/>
    <x v="1"/>
    <x v="3"/>
    <x v="3"/>
    <x v="4"/>
    <n v="113.71739999993146"/>
  </r>
  <r>
    <x v="8"/>
    <x v="0"/>
    <x v="8"/>
    <x v="8"/>
    <x v="0"/>
    <x v="1"/>
    <x v="0"/>
    <x v="0"/>
    <x v="0"/>
    <x v="0"/>
    <x v="0"/>
    <x v="0"/>
    <x v="0"/>
    <x v="9"/>
    <x v="9"/>
    <x v="26"/>
    <x v="26"/>
    <n v="45.279697247679302"/>
    <x v="0"/>
    <x v="0"/>
    <x v="1"/>
    <x v="3"/>
    <x v="3"/>
    <x v="15"/>
    <n v="49.35486999997044"/>
  </r>
  <r>
    <x v="8"/>
    <x v="0"/>
    <x v="8"/>
    <x v="8"/>
    <x v="0"/>
    <x v="1"/>
    <x v="0"/>
    <x v="0"/>
    <x v="0"/>
    <x v="0"/>
    <x v="0"/>
    <x v="0"/>
    <x v="0"/>
    <x v="9"/>
    <x v="9"/>
    <x v="0"/>
    <x v="0"/>
    <n v="5.2633434163553696"/>
    <x v="0"/>
    <x v="0"/>
    <x v="0"/>
    <x v="0"/>
    <x v="0"/>
    <x v="0"/>
    <n v="5.7370443238273534"/>
  </r>
  <r>
    <x v="8"/>
    <x v="0"/>
    <x v="8"/>
    <x v="8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8"/>
    <x v="0"/>
    <x v="8"/>
    <x v="8"/>
    <x v="0"/>
    <x v="1"/>
    <x v="0"/>
    <x v="0"/>
    <x v="0"/>
    <x v="0"/>
    <x v="0"/>
    <x v="0"/>
    <x v="2"/>
    <x v="10"/>
    <x v="10"/>
    <x v="6"/>
    <x v="6"/>
    <n v="456.55689000000001"/>
    <x v="0"/>
    <x v="0"/>
    <x v="0"/>
    <x v="0"/>
    <x v="4"/>
    <x v="6"/>
    <n v="497.64701010000005"/>
  </r>
  <r>
    <x v="8"/>
    <x v="0"/>
    <x v="8"/>
    <x v="8"/>
    <x v="0"/>
    <x v="1"/>
    <x v="0"/>
    <x v="0"/>
    <x v="0"/>
    <x v="0"/>
    <x v="0"/>
    <x v="0"/>
    <x v="2"/>
    <x v="10"/>
    <x v="10"/>
    <x v="7"/>
    <x v="7"/>
    <n v="56.706568807305402"/>
    <x v="0"/>
    <x v="0"/>
    <x v="1"/>
    <x v="4"/>
    <x v="5"/>
    <x v="7"/>
    <n v="61.810159999962892"/>
  </r>
  <r>
    <x v="8"/>
    <x v="0"/>
    <x v="8"/>
    <x v="8"/>
    <x v="0"/>
    <x v="1"/>
    <x v="0"/>
    <x v="0"/>
    <x v="0"/>
    <x v="0"/>
    <x v="0"/>
    <x v="0"/>
    <x v="2"/>
    <x v="10"/>
    <x v="10"/>
    <x v="9"/>
    <x v="9"/>
    <n v="957.610596623123"/>
    <x v="0"/>
    <x v="0"/>
    <x v="1"/>
    <x v="4"/>
    <x v="5"/>
    <x v="9"/>
    <n v="1043.795550319204"/>
  </r>
  <r>
    <x v="8"/>
    <x v="0"/>
    <x v="8"/>
    <x v="8"/>
    <x v="0"/>
    <x v="1"/>
    <x v="0"/>
    <x v="0"/>
    <x v="0"/>
    <x v="0"/>
    <x v="0"/>
    <x v="0"/>
    <x v="2"/>
    <x v="10"/>
    <x v="10"/>
    <x v="10"/>
    <x v="10"/>
    <n v="165.80909827801699"/>
    <x v="0"/>
    <x v="0"/>
    <x v="1"/>
    <x v="4"/>
    <x v="5"/>
    <x v="10"/>
    <n v="180.73191712303853"/>
  </r>
  <r>
    <x v="8"/>
    <x v="0"/>
    <x v="8"/>
    <x v="8"/>
    <x v="0"/>
    <x v="1"/>
    <x v="0"/>
    <x v="0"/>
    <x v="0"/>
    <x v="0"/>
    <x v="0"/>
    <x v="0"/>
    <x v="2"/>
    <x v="10"/>
    <x v="10"/>
    <x v="11"/>
    <x v="11"/>
    <n v="120.4995"/>
    <x v="0"/>
    <x v="0"/>
    <x v="3"/>
    <x v="5"/>
    <x v="7"/>
    <x v="11"/>
    <n v="131.34445500000001"/>
  </r>
  <r>
    <x v="8"/>
    <x v="0"/>
    <x v="8"/>
    <x v="8"/>
    <x v="0"/>
    <x v="1"/>
    <x v="0"/>
    <x v="0"/>
    <x v="0"/>
    <x v="0"/>
    <x v="0"/>
    <x v="0"/>
    <x v="2"/>
    <x v="10"/>
    <x v="10"/>
    <x v="22"/>
    <x v="22"/>
    <n v="0.60006854838470003"/>
    <x v="0"/>
    <x v="0"/>
    <x v="0"/>
    <x v="0"/>
    <x v="0"/>
    <x v="0"/>
    <n v="0.65407471773932313"/>
  </r>
  <r>
    <x v="8"/>
    <x v="0"/>
    <x v="8"/>
    <x v="8"/>
    <x v="0"/>
    <x v="1"/>
    <x v="0"/>
    <x v="0"/>
    <x v="0"/>
    <x v="0"/>
    <x v="0"/>
    <x v="0"/>
    <x v="2"/>
    <x v="10"/>
    <x v="10"/>
    <x v="36"/>
    <x v="36"/>
    <n v="51.406715596299399"/>
    <x v="0"/>
    <x v="0"/>
    <x v="1"/>
    <x v="3"/>
    <x v="3"/>
    <x v="4"/>
    <n v="56.033319999966352"/>
  </r>
  <r>
    <x v="8"/>
    <x v="0"/>
    <x v="8"/>
    <x v="8"/>
    <x v="0"/>
    <x v="1"/>
    <x v="0"/>
    <x v="0"/>
    <x v="0"/>
    <x v="0"/>
    <x v="0"/>
    <x v="0"/>
    <x v="2"/>
    <x v="10"/>
    <x v="10"/>
    <x v="24"/>
    <x v="24"/>
    <n v="182.59103669713801"/>
    <x v="0"/>
    <x v="0"/>
    <x v="1"/>
    <x v="3"/>
    <x v="3"/>
    <x v="4"/>
    <n v="199.02422999988045"/>
  </r>
  <r>
    <x v="8"/>
    <x v="0"/>
    <x v="8"/>
    <x v="8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8"/>
    <x v="0"/>
    <x v="8"/>
    <x v="8"/>
    <x v="0"/>
    <x v="1"/>
    <x v="0"/>
    <x v="0"/>
    <x v="0"/>
    <x v="0"/>
    <x v="0"/>
    <x v="0"/>
    <x v="2"/>
    <x v="10"/>
    <x v="10"/>
    <x v="21"/>
    <x v="21"/>
    <n v="71.749146788947797"/>
    <x v="0"/>
    <x v="0"/>
    <x v="1"/>
    <x v="4"/>
    <x v="5"/>
    <x v="10"/>
    <n v="78.206569999953103"/>
  </r>
  <r>
    <x v="8"/>
    <x v="0"/>
    <x v="8"/>
    <x v="8"/>
    <x v="0"/>
    <x v="1"/>
    <x v="0"/>
    <x v="0"/>
    <x v="0"/>
    <x v="0"/>
    <x v="0"/>
    <x v="0"/>
    <x v="2"/>
    <x v="10"/>
    <x v="10"/>
    <x v="18"/>
    <x v="18"/>
    <n v="170.91009"/>
    <x v="0"/>
    <x v="0"/>
    <x v="0"/>
    <x v="0"/>
    <x v="4"/>
    <x v="18"/>
    <n v="186.2919981"/>
  </r>
  <r>
    <x v="8"/>
    <x v="0"/>
    <x v="8"/>
    <x v="8"/>
    <x v="0"/>
    <x v="1"/>
    <x v="0"/>
    <x v="0"/>
    <x v="0"/>
    <x v="0"/>
    <x v="0"/>
    <x v="0"/>
    <x v="2"/>
    <x v="10"/>
    <x v="10"/>
    <x v="34"/>
    <x v="34"/>
    <n v="137.509980783689"/>
    <x v="0"/>
    <x v="0"/>
    <x v="0"/>
    <x v="0"/>
    <x v="0"/>
    <x v="0"/>
    <n v="149.88587905422102"/>
  </r>
  <r>
    <x v="8"/>
    <x v="0"/>
    <x v="8"/>
    <x v="8"/>
    <x v="0"/>
    <x v="1"/>
    <x v="0"/>
    <x v="0"/>
    <x v="0"/>
    <x v="0"/>
    <x v="0"/>
    <x v="0"/>
    <x v="2"/>
    <x v="10"/>
    <x v="10"/>
    <x v="37"/>
    <x v="37"/>
    <n v="135.46530275221201"/>
    <x v="0"/>
    <x v="0"/>
    <x v="1"/>
    <x v="3"/>
    <x v="3"/>
    <x v="4"/>
    <n v="147.65717999991111"/>
  </r>
  <r>
    <x v="8"/>
    <x v="0"/>
    <x v="8"/>
    <x v="8"/>
    <x v="0"/>
    <x v="1"/>
    <x v="0"/>
    <x v="0"/>
    <x v="0"/>
    <x v="0"/>
    <x v="0"/>
    <x v="0"/>
    <x v="2"/>
    <x v="10"/>
    <x v="10"/>
    <x v="26"/>
    <x v="26"/>
    <n v="85.317477064168997"/>
    <x v="0"/>
    <x v="0"/>
    <x v="1"/>
    <x v="3"/>
    <x v="3"/>
    <x v="15"/>
    <n v="92.996049999944219"/>
  </r>
  <r>
    <x v="8"/>
    <x v="0"/>
    <x v="8"/>
    <x v="8"/>
    <x v="0"/>
    <x v="1"/>
    <x v="0"/>
    <x v="0"/>
    <x v="0"/>
    <x v="0"/>
    <x v="0"/>
    <x v="0"/>
    <x v="2"/>
    <x v="10"/>
    <x v="10"/>
    <x v="0"/>
    <x v="0"/>
    <n v="331.77770373572599"/>
    <x v="0"/>
    <x v="0"/>
    <x v="0"/>
    <x v="0"/>
    <x v="0"/>
    <x v="0"/>
    <n v="361.63769707194137"/>
  </r>
  <r>
    <x v="8"/>
    <x v="0"/>
    <x v="8"/>
    <x v="8"/>
    <x v="0"/>
    <x v="1"/>
    <x v="0"/>
    <x v="0"/>
    <x v="0"/>
    <x v="0"/>
    <x v="0"/>
    <x v="0"/>
    <x v="4"/>
    <x v="5"/>
    <x v="5"/>
    <x v="4"/>
    <x v="4"/>
    <n v="27.0065137614517"/>
    <x v="0"/>
    <x v="0"/>
    <x v="1"/>
    <x v="3"/>
    <x v="3"/>
    <x v="4"/>
    <n v="29.437099999982355"/>
  </r>
  <r>
    <x v="8"/>
    <x v="0"/>
    <x v="8"/>
    <x v="8"/>
    <x v="0"/>
    <x v="1"/>
    <x v="0"/>
    <x v="0"/>
    <x v="0"/>
    <x v="0"/>
    <x v="0"/>
    <x v="0"/>
    <x v="4"/>
    <x v="5"/>
    <x v="5"/>
    <x v="6"/>
    <x v="6"/>
    <n v="1267.7824000000001"/>
    <x v="0"/>
    <x v="0"/>
    <x v="0"/>
    <x v="0"/>
    <x v="4"/>
    <x v="6"/>
    <n v="1381.882816"/>
  </r>
  <r>
    <x v="8"/>
    <x v="0"/>
    <x v="8"/>
    <x v="8"/>
    <x v="0"/>
    <x v="1"/>
    <x v="0"/>
    <x v="0"/>
    <x v="0"/>
    <x v="0"/>
    <x v="0"/>
    <x v="0"/>
    <x v="4"/>
    <x v="5"/>
    <x v="5"/>
    <x v="7"/>
    <x v="7"/>
    <n v="44.0592660550194"/>
    <x v="0"/>
    <x v="0"/>
    <x v="1"/>
    <x v="4"/>
    <x v="5"/>
    <x v="7"/>
    <n v="48.024599999971151"/>
  </r>
  <r>
    <x v="8"/>
    <x v="0"/>
    <x v="8"/>
    <x v="8"/>
    <x v="0"/>
    <x v="1"/>
    <x v="0"/>
    <x v="0"/>
    <x v="0"/>
    <x v="0"/>
    <x v="0"/>
    <x v="0"/>
    <x v="4"/>
    <x v="5"/>
    <x v="5"/>
    <x v="8"/>
    <x v="8"/>
    <n v="6226.8872365263396"/>
    <x v="0"/>
    <x v="1"/>
    <x v="2"/>
    <x v="2"/>
    <x v="6"/>
    <x v="8"/>
    <n v="6787.3070878137105"/>
  </r>
  <r>
    <x v="8"/>
    <x v="0"/>
    <x v="8"/>
    <x v="8"/>
    <x v="0"/>
    <x v="1"/>
    <x v="0"/>
    <x v="0"/>
    <x v="0"/>
    <x v="0"/>
    <x v="0"/>
    <x v="0"/>
    <x v="4"/>
    <x v="5"/>
    <x v="5"/>
    <x v="9"/>
    <x v="9"/>
    <n v="8786.0752821890001"/>
    <x v="0"/>
    <x v="0"/>
    <x v="1"/>
    <x v="4"/>
    <x v="5"/>
    <x v="9"/>
    <n v="9576.8220575860105"/>
  </r>
  <r>
    <x v="8"/>
    <x v="0"/>
    <x v="8"/>
    <x v="8"/>
    <x v="0"/>
    <x v="1"/>
    <x v="0"/>
    <x v="0"/>
    <x v="0"/>
    <x v="0"/>
    <x v="0"/>
    <x v="0"/>
    <x v="4"/>
    <x v="5"/>
    <x v="5"/>
    <x v="10"/>
    <x v="10"/>
    <n v="438.74313285321301"/>
    <x v="0"/>
    <x v="0"/>
    <x v="1"/>
    <x v="4"/>
    <x v="5"/>
    <x v="10"/>
    <n v="478.23001481000222"/>
  </r>
  <r>
    <x v="8"/>
    <x v="0"/>
    <x v="8"/>
    <x v="8"/>
    <x v="0"/>
    <x v="1"/>
    <x v="0"/>
    <x v="0"/>
    <x v="0"/>
    <x v="0"/>
    <x v="0"/>
    <x v="0"/>
    <x v="4"/>
    <x v="5"/>
    <x v="5"/>
    <x v="29"/>
    <x v="29"/>
    <n v="0.47061999999999998"/>
    <x v="0"/>
    <x v="0"/>
    <x v="1"/>
    <x v="3"/>
    <x v="3"/>
    <x v="13"/>
    <n v="0.51297579999999998"/>
  </r>
  <r>
    <x v="8"/>
    <x v="0"/>
    <x v="8"/>
    <x v="8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8"/>
    <x v="0"/>
    <x v="8"/>
    <x v="8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8"/>
    <x v="0"/>
    <x v="8"/>
    <x v="8"/>
    <x v="0"/>
    <x v="1"/>
    <x v="0"/>
    <x v="0"/>
    <x v="0"/>
    <x v="0"/>
    <x v="0"/>
    <x v="0"/>
    <x v="4"/>
    <x v="5"/>
    <x v="5"/>
    <x v="88"/>
    <x v="88"/>
    <n v="15.5152018348531"/>
    <x v="0"/>
    <x v="0"/>
    <x v="1"/>
    <x v="4"/>
    <x v="5"/>
    <x v="9"/>
    <n v="16.911569999989879"/>
  </r>
  <r>
    <x v="8"/>
    <x v="0"/>
    <x v="8"/>
    <x v="8"/>
    <x v="0"/>
    <x v="1"/>
    <x v="0"/>
    <x v="0"/>
    <x v="0"/>
    <x v="0"/>
    <x v="0"/>
    <x v="0"/>
    <x v="4"/>
    <x v="5"/>
    <x v="5"/>
    <x v="12"/>
    <x v="12"/>
    <n v="1284.92333720442"/>
    <x v="0"/>
    <x v="0"/>
    <x v="0"/>
    <x v="0"/>
    <x v="8"/>
    <x v="12"/>
    <n v="1400.5664375528179"/>
  </r>
  <r>
    <x v="8"/>
    <x v="0"/>
    <x v="8"/>
    <x v="8"/>
    <x v="0"/>
    <x v="1"/>
    <x v="0"/>
    <x v="0"/>
    <x v="0"/>
    <x v="0"/>
    <x v="0"/>
    <x v="0"/>
    <x v="4"/>
    <x v="5"/>
    <x v="5"/>
    <x v="14"/>
    <x v="14"/>
    <n v="295.98957000000001"/>
    <x v="0"/>
    <x v="0"/>
    <x v="0"/>
    <x v="0"/>
    <x v="8"/>
    <x v="14"/>
    <n v="322.62863130000005"/>
  </r>
  <r>
    <x v="8"/>
    <x v="0"/>
    <x v="8"/>
    <x v="8"/>
    <x v="0"/>
    <x v="1"/>
    <x v="0"/>
    <x v="0"/>
    <x v="0"/>
    <x v="0"/>
    <x v="0"/>
    <x v="0"/>
    <x v="4"/>
    <x v="5"/>
    <x v="5"/>
    <x v="22"/>
    <x v="22"/>
    <n v="76.685973117972793"/>
    <x v="0"/>
    <x v="0"/>
    <x v="0"/>
    <x v="0"/>
    <x v="0"/>
    <x v="0"/>
    <n v="83.587710698590357"/>
  </r>
  <r>
    <x v="8"/>
    <x v="0"/>
    <x v="8"/>
    <x v="8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8"/>
    <x v="0"/>
    <x v="8"/>
    <x v="8"/>
    <x v="0"/>
    <x v="1"/>
    <x v="0"/>
    <x v="0"/>
    <x v="0"/>
    <x v="0"/>
    <x v="0"/>
    <x v="0"/>
    <x v="4"/>
    <x v="5"/>
    <x v="5"/>
    <x v="36"/>
    <x v="36"/>
    <n v="199.86263302740301"/>
    <x v="0"/>
    <x v="0"/>
    <x v="1"/>
    <x v="3"/>
    <x v="3"/>
    <x v="4"/>
    <n v="217.85026999986928"/>
  </r>
  <r>
    <x v="8"/>
    <x v="0"/>
    <x v="8"/>
    <x v="8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8"/>
    <x v="0"/>
    <x v="8"/>
    <x v="8"/>
    <x v="0"/>
    <x v="1"/>
    <x v="0"/>
    <x v="0"/>
    <x v="0"/>
    <x v="0"/>
    <x v="0"/>
    <x v="0"/>
    <x v="4"/>
    <x v="5"/>
    <x v="5"/>
    <x v="24"/>
    <x v="24"/>
    <n v="273.60399999983599"/>
    <x v="0"/>
    <x v="0"/>
    <x v="1"/>
    <x v="3"/>
    <x v="3"/>
    <x v="4"/>
    <n v="298.22835999982124"/>
  </r>
  <r>
    <x v="8"/>
    <x v="0"/>
    <x v="8"/>
    <x v="8"/>
    <x v="0"/>
    <x v="1"/>
    <x v="0"/>
    <x v="0"/>
    <x v="0"/>
    <x v="0"/>
    <x v="0"/>
    <x v="0"/>
    <x v="4"/>
    <x v="5"/>
    <x v="5"/>
    <x v="17"/>
    <x v="17"/>
    <n v="449.38923"/>
    <x v="0"/>
    <x v="0"/>
    <x v="0"/>
    <x v="0"/>
    <x v="4"/>
    <x v="17"/>
    <n v="489.83426070000002"/>
  </r>
  <r>
    <x v="8"/>
    <x v="0"/>
    <x v="8"/>
    <x v="8"/>
    <x v="0"/>
    <x v="1"/>
    <x v="0"/>
    <x v="0"/>
    <x v="0"/>
    <x v="0"/>
    <x v="0"/>
    <x v="0"/>
    <x v="4"/>
    <x v="5"/>
    <x v="5"/>
    <x v="18"/>
    <x v="18"/>
    <n v="1333.9105999999999"/>
    <x v="0"/>
    <x v="0"/>
    <x v="0"/>
    <x v="0"/>
    <x v="4"/>
    <x v="18"/>
    <n v="1453.962554"/>
  </r>
  <r>
    <x v="8"/>
    <x v="0"/>
    <x v="8"/>
    <x v="8"/>
    <x v="0"/>
    <x v="1"/>
    <x v="0"/>
    <x v="0"/>
    <x v="0"/>
    <x v="0"/>
    <x v="0"/>
    <x v="0"/>
    <x v="4"/>
    <x v="5"/>
    <x v="5"/>
    <x v="34"/>
    <x v="34"/>
    <n v="517.55262968552495"/>
    <x v="0"/>
    <x v="0"/>
    <x v="0"/>
    <x v="0"/>
    <x v="0"/>
    <x v="0"/>
    <n v="564.13236635722228"/>
  </r>
  <r>
    <x v="8"/>
    <x v="0"/>
    <x v="8"/>
    <x v="8"/>
    <x v="0"/>
    <x v="1"/>
    <x v="0"/>
    <x v="0"/>
    <x v="0"/>
    <x v="0"/>
    <x v="0"/>
    <x v="0"/>
    <x v="4"/>
    <x v="5"/>
    <x v="5"/>
    <x v="25"/>
    <x v="25"/>
    <n v="170.79194495402601"/>
    <x v="0"/>
    <x v="0"/>
    <x v="1"/>
    <x v="4"/>
    <x v="5"/>
    <x v="9"/>
    <n v="186.16321999988836"/>
  </r>
  <r>
    <x v="8"/>
    <x v="0"/>
    <x v="8"/>
    <x v="8"/>
    <x v="0"/>
    <x v="1"/>
    <x v="0"/>
    <x v="0"/>
    <x v="0"/>
    <x v="0"/>
    <x v="0"/>
    <x v="0"/>
    <x v="4"/>
    <x v="5"/>
    <x v="5"/>
    <x v="37"/>
    <x v="37"/>
    <n v="497.06948623823399"/>
    <x v="0"/>
    <x v="0"/>
    <x v="1"/>
    <x v="3"/>
    <x v="3"/>
    <x v="4"/>
    <n v="541.8057399996751"/>
  </r>
  <r>
    <x v="8"/>
    <x v="0"/>
    <x v="8"/>
    <x v="8"/>
    <x v="0"/>
    <x v="1"/>
    <x v="0"/>
    <x v="0"/>
    <x v="0"/>
    <x v="0"/>
    <x v="0"/>
    <x v="0"/>
    <x v="4"/>
    <x v="5"/>
    <x v="5"/>
    <x v="27"/>
    <x v="27"/>
    <n v="104.81417793015"/>
    <x v="0"/>
    <x v="0"/>
    <x v="1"/>
    <x v="3"/>
    <x v="3"/>
    <x v="19"/>
    <n v="114.2474539438635"/>
  </r>
  <r>
    <x v="8"/>
    <x v="0"/>
    <x v="8"/>
    <x v="8"/>
    <x v="0"/>
    <x v="1"/>
    <x v="0"/>
    <x v="0"/>
    <x v="0"/>
    <x v="0"/>
    <x v="0"/>
    <x v="0"/>
    <x v="4"/>
    <x v="5"/>
    <x v="5"/>
    <x v="26"/>
    <x v="26"/>
    <n v="76.852091743073103"/>
    <x v="0"/>
    <x v="0"/>
    <x v="1"/>
    <x v="3"/>
    <x v="3"/>
    <x v="15"/>
    <n v="83.768779999949686"/>
  </r>
  <r>
    <x v="8"/>
    <x v="0"/>
    <x v="8"/>
    <x v="8"/>
    <x v="0"/>
    <x v="1"/>
    <x v="0"/>
    <x v="0"/>
    <x v="0"/>
    <x v="0"/>
    <x v="0"/>
    <x v="0"/>
    <x v="4"/>
    <x v="5"/>
    <x v="5"/>
    <x v="0"/>
    <x v="0"/>
    <n v="272.11617971454098"/>
    <x v="0"/>
    <x v="0"/>
    <x v="0"/>
    <x v="0"/>
    <x v="0"/>
    <x v="0"/>
    <n v="296.60663588884967"/>
  </r>
  <r>
    <x v="8"/>
    <x v="0"/>
    <x v="8"/>
    <x v="8"/>
    <x v="0"/>
    <x v="1"/>
    <x v="0"/>
    <x v="0"/>
    <x v="0"/>
    <x v="0"/>
    <x v="0"/>
    <x v="0"/>
    <x v="4"/>
    <x v="5"/>
    <x v="5"/>
    <x v="2"/>
    <x v="2"/>
    <n v="16853.3999541183"/>
    <x v="0"/>
    <x v="1"/>
    <x v="2"/>
    <x v="2"/>
    <x v="13"/>
    <x v="2"/>
    <n v="18370.205949988947"/>
  </r>
  <r>
    <x v="8"/>
    <x v="0"/>
    <x v="8"/>
    <x v="8"/>
    <x v="0"/>
    <x v="1"/>
    <x v="0"/>
    <x v="0"/>
    <x v="0"/>
    <x v="0"/>
    <x v="0"/>
    <x v="0"/>
    <x v="4"/>
    <x v="5"/>
    <x v="5"/>
    <x v="3"/>
    <x v="3"/>
    <n v="21.226943840708799"/>
    <x v="0"/>
    <x v="0"/>
    <x v="1"/>
    <x v="3"/>
    <x v="3"/>
    <x v="3"/>
    <n v="23.137368786372594"/>
  </r>
  <r>
    <x v="8"/>
    <x v="0"/>
    <x v="8"/>
    <x v="8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8"/>
    <x v="0"/>
    <x v="8"/>
    <x v="8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8"/>
    <x v="0"/>
    <x v="8"/>
    <x v="8"/>
    <x v="0"/>
    <x v="1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0782171"/>
  </r>
  <r>
    <x v="8"/>
    <x v="0"/>
    <x v="8"/>
    <x v="8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8"/>
    <x v="0"/>
    <x v="8"/>
    <x v="8"/>
    <x v="0"/>
    <x v="1"/>
    <x v="0"/>
    <x v="0"/>
    <x v="0"/>
    <x v="0"/>
    <x v="3"/>
    <x v="3"/>
    <x v="2"/>
    <x v="2"/>
    <x v="2"/>
    <x v="5"/>
    <x v="5"/>
    <n v="5.5999141104720103"/>
    <x v="0"/>
    <x v="0"/>
    <x v="1"/>
    <x v="1"/>
    <x v="1"/>
    <x v="5"/>
    <n v="6.1039063804144913"/>
  </r>
  <r>
    <x v="8"/>
    <x v="0"/>
    <x v="8"/>
    <x v="8"/>
    <x v="0"/>
    <x v="1"/>
    <x v="0"/>
    <x v="0"/>
    <x v="0"/>
    <x v="0"/>
    <x v="3"/>
    <x v="3"/>
    <x v="2"/>
    <x v="2"/>
    <x v="2"/>
    <x v="6"/>
    <x v="6"/>
    <n v="100.86726"/>
    <x v="0"/>
    <x v="0"/>
    <x v="0"/>
    <x v="0"/>
    <x v="4"/>
    <x v="6"/>
    <n v="109.9453134"/>
  </r>
  <r>
    <x v="8"/>
    <x v="0"/>
    <x v="8"/>
    <x v="8"/>
    <x v="0"/>
    <x v="1"/>
    <x v="0"/>
    <x v="0"/>
    <x v="0"/>
    <x v="0"/>
    <x v="3"/>
    <x v="3"/>
    <x v="2"/>
    <x v="2"/>
    <x v="2"/>
    <x v="8"/>
    <x v="8"/>
    <n v="631.15245946349899"/>
    <x v="0"/>
    <x v="1"/>
    <x v="2"/>
    <x v="2"/>
    <x v="6"/>
    <x v="8"/>
    <n v="687.956180815214"/>
  </r>
  <r>
    <x v="8"/>
    <x v="0"/>
    <x v="8"/>
    <x v="8"/>
    <x v="0"/>
    <x v="1"/>
    <x v="0"/>
    <x v="0"/>
    <x v="0"/>
    <x v="0"/>
    <x v="3"/>
    <x v="3"/>
    <x v="2"/>
    <x v="2"/>
    <x v="2"/>
    <x v="9"/>
    <x v="9"/>
    <n v="1.4129908256872299"/>
    <x v="0"/>
    <x v="0"/>
    <x v="1"/>
    <x v="4"/>
    <x v="5"/>
    <x v="9"/>
    <n v="1.5401599999990807"/>
  </r>
  <r>
    <x v="8"/>
    <x v="0"/>
    <x v="8"/>
    <x v="8"/>
    <x v="0"/>
    <x v="1"/>
    <x v="0"/>
    <x v="0"/>
    <x v="0"/>
    <x v="0"/>
    <x v="3"/>
    <x v="3"/>
    <x v="2"/>
    <x v="2"/>
    <x v="2"/>
    <x v="16"/>
    <x v="16"/>
    <n v="17.559920000000002"/>
    <x v="0"/>
    <x v="0"/>
    <x v="3"/>
    <x v="5"/>
    <x v="9"/>
    <x v="16"/>
    <n v="19.140312800000004"/>
  </r>
  <r>
    <x v="8"/>
    <x v="0"/>
    <x v="8"/>
    <x v="8"/>
    <x v="0"/>
    <x v="1"/>
    <x v="0"/>
    <x v="0"/>
    <x v="0"/>
    <x v="0"/>
    <x v="3"/>
    <x v="3"/>
    <x v="2"/>
    <x v="2"/>
    <x v="2"/>
    <x v="2"/>
    <x v="2"/>
    <n v="458.82213761440403"/>
    <x v="0"/>
    <x v="1"/>
    <x v="2"/>
    <x v="2"/>
    <x v="13"/>
    <x v="2"/>
    <n v="500.11612999970043"/>
  </r>
  <r>
    <x v="8"/>
    <x v="0"/>
    <x v="8"/>
    <x v="8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8"/>
    <x v="0"/>
    <x v="8"/>
    <x v="8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8"/>
    <x v="0"/>
    <x v="8"/>
    <x v="8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8"/>
    <x v="0"/>
    <x v="8"/>
    <x v="8"/>
    <x v="0"/>
    <x v="1"/>
    <x v="0"/>
    <x v="0"/>
    <x v="0"/>
    <x v="0"/>
    <x v="3"/>
    <x v="3"/>
    <x v="4"/>
    <x v="5"/>
    <x v="5"/>
    <x v="12"/>
    <x v="12"/>
    <n v="57.192546511410598"/>
    <x v="0"/>
    <x v="0"/>
    <x v="0"/>
    <x v="0"/>
    <x v="8"/>
    <x v="12"/>
    <n v="62.339875697437556"/>
  </r>
  <r>
    <x v="8"/>
    <x v="0"/>
    <x v="8"/>
    <x v="8"/>
    <x v="0"/>
    <x v="1"/>
    <x v="0"/>
    <x v="0"/>
    <x v="0"/>
    <x v="0"/>
    <x v="3"/>
    <x v="3"/>
    <x v="4"/>
    <x v="5"/>
    <x v="5"/>
    <x v="18"/>
    <x v="18"/>
    <n v="12.893660000000001"/>
    <x v="0"/>
    <x v="0"/>
    <x v="0"/>
    <x v="0"/>
    <x v="4"/>
    <x v="18"/>
    <n v="14.054089400000002"/>
  </r>
  <r>
    <x v="8"/>
    <x v="0"/>
    <x v="8"/>
    <x v="8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8"/>
    <x v="0"/>
    <x v="8"/>
    <x v="8"/>
    <x v="0"/>
    <x v="1"/>
    <x v="0"/>
    <x v="0"/>
    <x v="0"/>
    <x v="0"/>
    <x v="3"/>
    <x v="3"/>
    <x v="4"/>
    <x v="5"/>
    <x v="5"/>
    <x v="0"/>
    <x v="0"/>
    <n v="164.63233807783101"/>
    <x v="0"/>
    <x v="0"/>
    <x v="0"/>
    <x v="0"/>
    <x v="0"/>
    <x v="0"/>
    <n v="179.44924850483582"/>
  </r>
  <r>
    <x v="8"/>
    <x v="0"/>
    <x v="8"/>
    <x v="8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8"/>
    <x v="0"/>
    <x v="8"/>
    <x v="8"/>
    <x v="0"/>
    <x v="1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8"/>
    <x v="0"/>
    <x v="8"/>
    <x v="8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8"/>
    <x v="0"/>
    <x v="8"/>
    <x v="8"/>
    <x v="0"/>
    <x v="1"/>
    <x v="0"/>
    <x v="0"/>
    <x v="0"/>
    <x v="0"/>
    <x v="4"/>
    <x v="4"/>
    <x v="2"/>
    <x v="2"/>
    <x v="2"/>
    <x v="6"/>
    <x v="6"/>
    <n v="0.83542000000000005"/>
    <x v="0"/>
    <x v="0"/>
    <x v="0"/>
    <x v="0"/>
    <x v="4"/>
    <x v="6"/>
    <n v="0.91060780000000008"/>
  </r>
  <r>
    <x v="8"/>
    <x v="0"/>
    <x v="8"/>
    <x v="8"/>
    <x v="0"/>
    <x v="1"/>
    <x v="0"/>
    <x v="0"/>
    <x v="0"/>
    <x v="0"/>
    <x v="4"/>
    <x v="4"/>
    <x v="2"/>
    <x v="2"/>
    <x v="2"/>
    <x v="7"/>
    <x v="7"/>
    <n v="0.37460550458692998"/>
    <x v="0"/>
    <x v="0"/>
    <x v="1"/>
    <x v="4"/>
    <x v="5"/>
    <x v="7"/>
    <n v="0.40831999999975371"/>
  </r>
  <r>
    <x v="8"/>
    <x v="0"/>
    <x v="8"/>
    <x v="8"/>
    <x v="0"/>
    <x v="1"/>
    <x v="0"/>
    <x v="0"/>
    <x v="0"/>
    <x v="0"/>
    <x v="4"/>
    <x v="4"/>
    <x v="2"/>
    <x v="2"/>
    <x v="2"/>
    <x v="8"/>
    <x v="8"/>
    <n v="1.1004662162232599"/>
    <x v="0"/>
    <x v="1"/>
    <x v="2"/>
    <x v="2"/>
    <x v="6"/>
    <x v="8"/>
    <n v="1.1995081756833534"/>
  </r>
  <r>
    <x v="8"/>
    <x v="0"/>
    <x v="8"/>
    <x v="8"/>
    <x v="0"/>
    <x v="1"/>
    <x v="0"/>
    <x v="0"/>
    <x v="0"/>
    <x v="0"/>
    <x v="4"/>
    <x v="4"/>
    <x v="2"/>
    <x v="2"/>
    <x v="2"/>
    <x v="9"/>
    <x v="9"/>
    <n v="0.26298165137599"/>
    <x v="0"/>
    <x v="0"/>
    <x v="1"/>
    <x v="4"/>
    <x v="5"/>
    <x v="9"/>
    <n v="0.2866499999998291"/>
  </r>
  <r>
    <x v="8"/>
    <x v="0"/>
    <x v="8"/>
    <x v="8"/>
    <x v="0"/>
    <x v="1"/>
    <x v="0"/>
    <x v="0"/>
    <x v="0"/>
    <x v="0"/>
    <x v="4"/>
    <x v="4"/>
    <x v="2"/>
    <x v="2"/>
    <x v="2"/>
    <x v="29"/>
    <x v="29"/>
    <n v="1.0132000000000001"/>
    <x v="0"/>
    <x v="0"/>
    <x v="1"/>
    <x v="3"/>
    <x v="3"/>
    <x v="13"/>
    <n v="1.1043880000000001"/>
  </r>
  <r>
    <x v="8"/>
    <x v="0"/>
    <x v="8"/>
    <x v="8"/>
    <x v="0"/>
    <x v="1"/>
    <x v="0"/>
    <x v="0"/>
    <x v="0"/>
    <x v="0"/>
    <x v="4"/>
    <x v="4"/>
    <x v="2"/>
    <x v="2"/>
    <x v="2"/>
    <x v="11"/>
    <x v="11"/>
    <n v="0.25469999999999998"/>
    <x v="0"/>
    <x v="0"/>
    <x v="3"/>
    <x v="5"/>
    <x v="7"/>
    <x v="11"/>
    <n v="0.27762300000000001"/>
  </r>
  <r>
    <x v="8"/>
    <x v="0"/>
    <x v="8"/>
    <x v="8"/>
    <x v="0"/>
    <x v="1"/>
    <x v="0"/>
    <x v="0"/>
    <x v="0"/>
    <x v="0"/>
    <x v="4"/>
    <x v="4"/>
    <x v="2"/>
    <x v="2"/>
    <x v="2"/>
    <x v="12"/>
    <x v="12"/>
    <n v="17.552093023189101"/>
    <x v="0"/>
    <x v="0"/>
    <x v="0"/>
    <x v="0"/>
    <x v="8"/>
    <x v="12"/>
    <n v="19.131781395276121"/>
  </r>
  <r>
    <x v="8"/>
    <x v="0"/>
    <x v="8"/>
    <x v="8"/>
    <x v="0"/>
    <x v="1"/>
    <x v="0"/>
    <x v="0"/>
    <x v="0"/>
    <x v="0"/>
    <x v="4"/>
    <x v="4"/>
    <x v="2"/>
    <x v="2"/>
    <x v="2"/>
    <x v="14"/>
    <x v="14"/>
    <n v="0.21462000000000001"/>
    <x v="0"/>
    <x v="0"/>
    <x v="0"/>
    <x v="0"/>
    <x v="8"/>
    <x v="14"/>
    <n v="0.23393580000000003"/>
  </r>
  <r>
    <x v="8"/>
    <x v="0"/>
    <x v="8"/>
    <x v="8"/>
    <x v="0"/>
    <x v="1"/>
    <x v="0"/>
    <x v="0"/>
    <x v="0"/>
    <x v="0"/>
    <x v="4"/>
    <x v="4"/>
    <x v="2"/>
    <x v="2"/>
    <x v="2"/>
    <x v="16"/>
    <x v="16"/>
    <n v="5.9173200000000001"/>
    <x v="0"/>
    <x v="0"/>
    <x v="3"/>
    <x v="5"/>
    <x v="9"/>
    <x v="16"/>
    <n v="6.4498788000000005"/>
  </r>
  <r>
    <x v="8"/>
    <x v="0"/>
    <x v="8"/>
    <x v="8"/>
    <x v="0"/>
    <x v="1"/>
    <x v="0"/>
    <x v="0"/>
    <x v="0"/>
    <x v="0"/>
    <x v="4"/>
    <x v="4"/>
    <x v="2"/>
    <x v="2"/>
    <x v="2"/>
    <x v="25"/>
    <x v="25"/>
    <n v="0.12088073394488"/>
    <x v="0"/>
    <x v="0"/>
    <x v="1"/>
    <x v="4"/>
    <x v="5"/>
    <x v="9"/>
    <n v="0.13175999999991922"/>
  </r>
  <r>
    <x v="8"/>
    <x v="0"/>
    <x v="8"/>
    <x v="8"/>
    <x v="0"/>
    <x v="1"/>
    <x v="0"/>
    <x v="0"/>
    <x v="0"/>
    <x v="0"/>
    <x v="4"/>
    <x v="4"/>
    <x v="2"/>
    <x v="2"/>
    <x v="2"/>
    <x v="27"/>
    <x v="27"/>
    <n v="1.88476801805798"/>
    <x v="0"/>
    <x v="0"/>
    <x v="1"/>
    <x v="3"/>
    <x v="3"/>
    <x v="19"/>
    <n v="2.0543971396831981"/>
  </r>
  <r>
    <x v="8"/>
    <x v="0"/>
    <x v="8"/>
    <x v="8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8"/>
    <x v="0"/>
    <x v="8"/>
    <x v="8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8"/>
    <x v="0"/>
    <x v="8"/>
    <x v="8"/>
    <x v="0"/>
    <x v="1"/>
    <x v="0"/>
    <x v="0"/>
    <x v="2"/>
    <x v="2"/>
    <x v="5"/>
    <x v="5"/>
    <x v="2"/>
    <x v="2"/>
    <x v="2"/>
    <x v="42"/>
    <x v="42"/>
    <n v="11.919370000000001"/>
    <x v="1"/>
    <x v="2"/>
    <x v="5"/>
    <x v="7"/>
    <x v="11"/>
    <x v="22"/>
    <n v="12.992113300000002"/>
  </r>
  <r>
    <x v="8"/>
    <x v="0"/>
    <x v="8"/>
    <x v="8"/>
    <x v="0"/>
    <x v="1"/>
    <x v="0"/>
    <x v="0"/>
    <x v="2"/>
    <x v="2"/>
    <x v="5"/>
    <x v="5"/>
    <x v="2"/>
    <x v="2"/>
    <x v="2"/>
    <x v="41"/>
    <x v="41"/>
    <n v="7.83477659571491"/>
    <x v="1"/>
    <x v="2"/>
    <x v="5"/>
    <x v="7"/>
    <x v="11"/>
    <x v="22"/>
    <n v="8.5399064893292529"/>
  </r>
  <r>
    <x v="8"/>
    <x v="0"/>
    <x v="8"/>
    <x v="8"/>
    <x v="0"/>
    <x v="1"/>
    <x v="0"/>
    <x v="0"/>
    <x v="2"/>
    <x v="2"/>
    <x v="5"/>
    <x v="5"/>
    <x v="2"/>
    <x v="2"/>
    <x v="2"/>
    <x v="40"/>
    <x v="40"/>
    <n v="405.76337999999998"/>
    <x v="1"/>
    <x v="2"/>
    <x v="5"/>
    <x v="7"/>
    <x v="11"/>
    <x v="22"/>
    <n v="442.28208420000004"/>
  </r>
  <r>
    <x v="8"/>
    <x v="0"/>
    <x v="8"/>
    <x v="8"/>
    <x v="0"/>
    <x v="1"/>
    <x v="0"/>
    <x v="0"/>
    <x v="2"/>
    <x v="2"/>
    <x v="5"/>
    <x v="5"/>
    <x v="2"/>
    <x v="2"/>
    <x v="2"/>
    <x v="38"/>
    <x v="38"/>
    <n v="11.681929999999999"/>
    <x v="1"/>
    <x v="0"/>
    <x v="4"/>
    <x v="6"/>
    <x v="10"/>
    <x v="21"/>
    <n v="12.7333037"/>
  </r>
  <r>
    <x v="8"/>
    <x v="0"/>
    <x v="8"/>
    <x v="8"/>
    <x v="0"/>
    <x v="1"/>
    <x v="0"/>
    <x v="0"/>
    <x v="0"/>
    <x v="0"/>
    <x v="5"/>
    <x v="5"/>
    <x v="2"/>
    <x v="2"/>
    <x v="2"/>
    <x v="17"/>
    <x v="17"/>
    <n v="10.40307"/>
    <x v="0"/>
    <x v="0"/>
    <x v="0"/>
    <x v="0"/>
    <x v="4"/>
    <x v="17"/>
    <n v="11.339346300000001"/>
  </r>
  <r>
    <x v="8"/>
    <x v="0"/>
    <x v="8"/>
    <x v="8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8"/>
    <x v="0"/>
    <x v="8"/>
    <x v="8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8"/>
    <x v="0"/>
    <x v="8"/>
    <x v="8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8"/>
    <x v="0"/>
    <x v="8"/>
    <x v="8"/>
    <x v="0"/>
    <x v="1"/>
    <x v="0"/>
    <x v="0"/>
    <x v="2"/>
    <x v="2"/>
    <x v="5"/>
    <x v="5"/>
    <x v="3"/>
    <x v="7"/>
    <x v="7"/>
    <x v="40"/>
    <x v="40"/>
    <n v="6.2734500000000004"/>
    <x v="1"/>
    <x v="2"/>
    <x v="5"/>
    <x v="7"/>
    <x v="11"/>
    <x v="22"/>
    <n v="6.838060500000001"/>
  </r>
  <r>
    <x v="8"/>
    <x v="0"/>
    <x v="8"/>
    <x v="8"/>
    <x v="0"/>
    <x v="1"/>
    <x v="0"/>
    <x v="0"/>
    <x v="2"/>
    <x v="2"/>
    <x v="5"/>
    <x v="5"/>
    <x v="1"/>
    <x v="8"/>
    <x v="8"/>
    <x v="40"/>
    <x v="40"/>
    <n v="4.31175"/>
    <x v="1"/>
    <x v="2"/>
    <x v="5"/>
    <x v="7"/>
    <x v="11"/>
    <x v="22"/>
    <n v="4.6998075000000004"/>
  </r>
  <r>
    <x v="8"/>
    <x v="0"/>
    <x v="8"/>
    <x v="8"/>
    <x v="0"/>
    <x v="1"/>
    <x v="0"/>
    <x v="0"/>
    <x v="2"/>
    <x v="2"/>
    <x v="5"/>
    <x v="5"/>
    <x v="2"/>
    <x v="10"/>
    <x v="10"/>
    <x v="40"/>
    <x v="40"/>
    <n v="1.0161"/>
    <x v="1"/>
    <x v="2"/>
    <x v="5"/>
    <x v="7"/>
    <x v="11"/>
    <x v="22"/>
    <n v="1.1075490000000001"/>
  </r>
  <r>
    <x v="8"/>
    <x v="0"/>
    <x v="8"/>
    <x v="8"/>
    <x v="0"/>
    <x v="1"/>
    <x v="0"/>
    <x v="0"/>
    <x v="2"/>
    <x v="2"/>
    <x v="5"/>
    <x v="5"/>
    <x v="4"/>
    <x v="5"/>
    <x v="5"/>
    <x v="40"/>
    <x v="40"/>
    <n v="144.00176999999999"/>
    <x v="1"/>
    <x v="2"/>
    <x v="5"/>
    <x v="7"/>
    <x v="11"/>
    <x v="22"/>
    <n v="156.96192930000001"/>
  </r>
  <r>
    <x v="8"/>
    <x v="0"/>
    <x v="8"/>
    <x v="8"/>
    <x v="0"/>
    <x v="1"/>
    <x v="0"/>
    <x v="0"/>
    <x v="2"/>
    <x v="2"/>
    <x v="6"/>
    <x v="6"/>
    <x v="2"/>
    <x v="2"/>
    <x v="2"/>
    <x v="40"/>
    <x v="40"/>
    <n v="9.5593000000000004"/>
    <x v="1"/>
    <x v="2"/>
    <x v="5"/>
    <x v="7"/>
    <x v="11"/>
    <x v="22"/>
    <n v="10.419637000000002"/>
  </r>
  <r>
    <x v="8"/>
    <x v="0"/>
    <x v="8"/>
    <x v="8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8"/>
    <x v="0"/>
    <x v="8"/>
    <x v="8"/>
    <x v="0"/>
    <x v="1"/>
    <x v="0"/>
    <x v="0"/>
    <x v="2"/>
    <x v="2"/>
    <x v="7"/>
    <x v="7"/>
    <x v="2"/>
    <x v="2"/>
    <x v="2"/>
    <x v="40"/>
    <x v="40"/>
    <n v="118.94197"/>
    <x v="1"/>
    <x v="2"/>
    <x v="5"/>
    <x v="7"/>
    <x v="11"/>
    <x v="22"/>
    <n v="129.64674730000002"/>
  </r>
  <r>
    <x v="8"/>
    <x v="0"/>
    <x v="8"/>
    <x v="8"/>
    <x v="0"/>
    <x v="1"/>
    <x v="0"/>
    <x v="0"/>
    <x v="2"/>
    <x v="2"/>
    <x v="7"/>
    <x v="7"/>
    <x v="2"/>
    <x v="2"/>
    <x v="2"/>
    <x v="38"/>
    <x v="38"/>
    <n v="158.42107999999999"/>
    <x v="1"/>
    <x v="0"/>
    <x v="4"/>
    <x v="6"/>
    <x v="10"/>
    <x v="21"/>
    <n v="172.67897719999999"/>
  </r>
  <r>
    <x v="8"/>
    <x v="0"/>
    <x v="8"/>
    <x v="8"/>
    <x v="0"/>
    <x v="1"/>
    <x v="0"/>
    <x v="0"/>
    <x v="2"/>
    <x v="2"/>
    <x v="7"/>
    <x v="7"/>
    <x v="2"/>
    <x v="2"/>
    <x v="2"/>
    <x v="43"/>
    <x v="43"/>
    <n v="0.84614"/>
    <x v="1"/>
    <x v="0"/>
    <x v="4"/>
    <x v="6"/>
    <x v="10"/>
    <x v="21"/>
    <n v="0.92229260000000002"/>
  </r>
  <r>
    <x v="8"/>
    <x v="0"/>
    <x v="8"/>
    <x v="8"/>
    <x v="0"/>
    <x v="1"/>
    <x v="0"/>
    <x v="0"/>
    <x v="2"/>
    <x v="2"/>
    <x v="7"/>
    <x v="7"/>
    <x v="2"/>
    <x v="2"/>
    <x v="2"/>
    <x v="44"/>
    <x v="44"/>
    <n v="3.5034700000000001"/>
    <x v="1"/>
    <x v="0"/>
    <x v="4"/>
    <x v="6"/>
    <x v="10"/>
    <x v="21"/>
    <n v="3.8187823000000005"/>
  </r>
  <r>
    <x v="8"/>
    <x v="0"/>
    <x v="8"/>
    <x v="8"/>
    <x v="0"/>
    <x v="1"/>
    <x v="0"/>
    <x v="0"/>
    <x v="0"/>
    <x v="0"/>
    <x v="7"/>
    <x v="7"/>
    <x v="2"/>
    <x v="2"/>
    <x v="2"/>
    <x v="17"/>
    <x v="17"/>
    <n v="1.0276799999999999"/>
    <x v="0"/>
    <x v="0"/>
    <x v="0"/>
    <x v="0"/>
    <x v="4"/>
    <x v="17"/>
    <n v="1.1201711999999999"/>
  </r>
  <r>
    <x v="8"/>
    <x v="0"/>
    <x v="8"/>
    <x v="8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8"/>
    <x v="0"/>
    <x v="8"/>
    <x v="8"/>
    <x v="0"/>
    <x v="1"/>
    <x v="0"/>
    <x v="0"/>
    <x v="2"/>
    <x v="2"/>
    <x v="7"/>
    <x v="7"/>
    <x v="2"/>
    <x v="2"/>
    <x v="2"/>
    <x v="46"/>
    <x v="46"/>
    <n v="4.6699799999999998"/>
    <x v="1"/>
    <x v="0"/>
    <x v="4"/>
    <x v="6"/>
    <x v="10"/>
    <x v="21"/>
    <n v="5.0902782000000002"/>
  </r>
  <r>
    <x v="8"/>
    <x v="0"/>
    <x v="8"/>
    <x v="8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8"/>
    <x v="0"/>
    <x v="8"/>
    <x v="8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8"/>
    <x v="0"/>
    <x v="8"/>
    <x v="8"/>
    <x v="0"/>
    <x v="1"/>
    <x v="0"/>
    <x v="0"/>
    <x v="2"/>
    <x v="2"/>
    <x v="7"/>
    <x v="7"/>
    <x v="3"/>
    <x v="7"/>
    <x v="7"/>
    <x v="40"/>
    <x v="40"/>
    <n v="154.37381999999999"/>
    <x v="1"/>
    <x v="2"/>
    <x v="5"/>
    <x v="7"/>
    <x v="11"/>
    <x v="22"/>
    <n v="168.2674638"/>
  </r>
  <r>
    <x v="8"/>
    <x v="0"/>
    <x v="8"/>
    <x v="8"/>
    <x v="0"/>
    <x v="1"/>
    <x v="0"/>
    <x v="0"/>
    <x v="2"/>
    <x v="2"/>
    <x v="7"/>
    <x v="7"/>
    <x v="1"/>
    <x v="8"/>
    <x v="8"/>
    <x v="40"/>
    <x v="40"/>
    <n v="15.467549999999999"/>
    <x v="1"/>
    <x v="2"/>
    <x v="5"/>
    <x v="7"/>
    <x v="11"/>
    <x v="22"/>
    <n v="16.8596295"/>
  </r>
  <r>
    <x v="8"/>
    <x v="0"/>
    <x v="8"/>
    <x v="8"/>
    <x v="0"/>
    <x v="1"/>
    <x v="0"/>
    <x v="0"/>
    <x v="2"/>
    <x v="2"/>
    <x v="7"/>
    <x v="7"/>
    <x v="2"/>
    <x v="10"/>
    <x v="10"/>
    <x v="40"/>
    <x v="40"/>
    <n v="3.3871500000000001"/>
    <x v="1"/>
    <x v="2"/>
    <x v="5"/>
    <x v="7"/>
    <x v="11"/>
    <x v="22"/>
    <n v="3.6919935000000006"/>
  </r>
  <r>
    <x v="8"/>
    <x v="0"/>
    <x v="8"/>
    <x v="8"/>
    <x v="0"/>
    <x v="1"/>
    <x v="0"/>
    <x v="0"/>
    <x v="2"/>
    <x v="2"/>
    <x v="7"/>
    <x v="7"/>
    <x v="4"/>
    <x v="5"/>
    <x v="5"/>
    <x v="40"/>
    <x v="40"/>
    <n v="116.03649"/>
    <x v="1"/>
    <x v="2"/>
    <x v="5"/>
    <x v="7"/>
    <x v="11"/>
    <x v="22"/>
    <n v="126.47977410000001"/>
  </r>
  <r>
    <x v="8"/>
    <x v="0"/>
    <x v="8"/>
    <x v="8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8"/>
    <x v="0"/>
    <x v="8"/>
    <x v="8"/>
    <x v="0"/>
    <x v="1"/>
    <x v="0"/>
    <x v="0"/>
    <x v="2"/>
    <x v="2"/>
    <x v="8"/>
    <x v="8"/>
    <x v="2"/>
    <x v="2"/>
    <x v="2"/>
    <x v="40"/>
    <x v="40"/>
    <n v="84.984279999999998"/>
    <x v="1"/>
    <x v="2"/>
    <x v="5"/>
    <x v="7"/>
    <x v="11"/>
    <x v="22"/>
    <n v="92.632865200000012"/>
  </r>
  <r>
    <x v="8"/>
    <x v="0"/>
    <x v="8"/>
    <x v="8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8"/>
    <x v="0"/>
    <x v="8"/>
    <x v="8"/>
    <x v="0"/>
    <x v="1"/>
    <x v="0"/>
    <x v="0"/>
    <x v="2"/>
    <x v="2"/>
    <x v="9"/>
    <x v="9"/>
    <x v="2"/>
    <x v="2"/>
    <x v="2"/>
    <x v="40"/>
    <x v="40"/>
    <n v="771.20066999999995"/>
    <x v="1"/>
    <x v="2"/>
    <x v="5"/>
    <x v="7"/>
    <x v="11"/>
    <x v="22"/>
    <n v="840.60873030000005"/>
  </r>
  <r>
    <x v="8"/>
    <x v="0"/>
    <x v="8"/>
    <x v="8"/>
    <x v="0"/>
    <x v="1"/>
    <x v="0"/>
    <x v="0"/>
    <x v="2"/>
    <x v="2"/>
    <x v="9"/>
    <x v="9"/>
    <x v="2"/>
    <x v="2"/>
    <x v="2"/>
    <x v="38"/>
    <x v="38"/>
    <n v="243.46203"/>
    <x v="1"/>
    <x v="0"/>
    <x v="4"/>
    <x v="6"/>
    <x v="10"/>
    <x v="21"/>
    <n v="265.37361270000002"/>
  </r>
  <r>
    <x v="8"/>
    <x v="0"/>
    <x v="8"/>
    <x v="8"/>
    <x v="0"/>
    <x v="1"/>
    <x v="0"/>
    <x v="0"/>
    <x v="2"/>
    <x v="2"/>
    <x v="9"/>
    <x v="9"/>
    <x v="2"/>
    <x v="2"/>
    <x v="2"/>
    <x v="48"/>
    <x v="48"/>
    <n v="33.872750000000003"/>
    <x v="1"/>
    <x v="0"/>
    <x v="4"/>
    <x v="6"/>
    <x v="10"/>
    <x v="21"/>
    <n v="36.921297500000009"/>
  </r>
  <r>
    <x v="8"/>
    <x v="0"/>
    <x v="8"/>
    <x v="8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8"/>
    <x v="0"/>
    <x v="8"/>
    <x v="8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8"/>
    <x v="0"/>
    <x v="8"/>
    <x v="8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8"/>
    <x v="0"/>
    <x v="8"/>
    <x v="8"/>
    <x v="0"/>
    <x v="1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8"/>
    <x v="0"/>
    <x v="8"/>
    <x v="8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8"/>
    <x v="0"/>
    <x v="8"/>
    <x v="8"/>
    <x v="0"/>
    <x v="1"/>
    <x v="0"/>
    <x v="0"/>
    <x v="2"/>
    <x v="2"/>
    <x v="9"/>
    <x v="9"/>
    <x v="3"/>
    <x v="7"/>
    <x v="7"/>
    <x v="40"/>
    <x v="40"/>
    <n v="766.83492999999999"/>
    <x v="1"/>
    <x v="2"/>
    <x v="5"/>
    <x v="7"/>
    <x v="11"/>
    <x v="22"/>
    <n v="835.85007370000005"/>
  </r>
  <r>
    <x v="8"/>
    <x v="0"/>
    <x v="8"/>
    <x v="8"/>
    <x v="0"/>
    <x v="1"/>
    <x v="0"/>
    <x v="0"/>
    <x v="2"/>
    <x v="2"/>
    <x v="9"/>
    <x v="9"/>
    <x v="1"/>
    <x v="8"/>
    <x v="8"/>
    <x v="40"/>
    <x v="40"/>
    <n v="211.31576000000001"/>
    <x v="1"/>
    <x v="2"/>
    <x v="5"/>
    <x v="7"/>
    <x v="11"/>
    <x v="22"/>
    <n v="230.33417840000004"/>
  </r>
  <r>
    <x v="8"/>
    <x v="0"/>
    <x v="8"/>
    <x v="8"/>
    <x v="0"/>
    <x v="1"/>
    <x v="0"/>
    <x v="0"/>
    <x v="2"/>
    <x v="2"/>
    <x v="9"/>
    <x v="9"/>
    <x v="2"/>
    <x v="10"/>
    <x v="10"/>
    <x v="40"/>
    <x v="40"/>
    <n v="165.42474999999999"/>
    <x v="1"/>
    <x v="2"/>
    <x v="5"/>
    <x v="7"/>
    <x v="11"/>
    <x v="22"/>
    <n v="180.31297749999999"/>
  </r>
  <r>
    <x v="8"/>
    <x v="0"/>
    <x v="8"/>
    <x v="8"/>
    <x v="0"/>
    <x v="1"/>
    <x v="0"/>
    <x v="0"/>
    <x v="2"/>
    <x v="2"/>
    <x v="9"/>
    <x v="9"/>
    <x v="4"/>
    <x v="5"/>
    <x v="5"/>
    <x v="40"/>
    <x v="40"/>
    <n v="1153.83584"/>
    <x v="1"/>
    <x v="2"/>
    <x v="5"/>
    <x v="7"/>
    <x v="11"/>
    <x v="22"/>
    <n v="1257.6810656"/>
  </r>
  <r>
    <x v="8"/>
    <x v="0"/>
    <x v="8"/>
    <x v="8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8"/>
    <x v="0"/>
    <x v="8"/>
    <x v="8"/>
    <x v="0"/>
    <x v="1"/>
    <x v="0"/>
    <x v="0"/>
    <x v="2"/>
    <x v="2"/>
    <x v="10"/>
    <x v="10"/>
    <x v="2"/>
    <x v="2"/>
    <x v="2"/>
    <x v="41"/>
    <x v="41"/>
    <n v="3.2706063829662999"/>
    <x v="1"/>
    <x v="2"/>
    <x v="5"/>
    <x v="7"/>
    <x v="11"/>
    <x v="22"/>
    <n v="3.564960957433267"/>
  </r>
  <r>
    <x v="8"/>
    <x v="0"/>
    <x v="8"/>
    <x v="8"/>
    <x v="0"/>
    <x v="1"/>
    <x v="0"/>
    <x v="0"/>
    <x v="2"/>
    <x v="2"/>
    <x v="10"/>
    <x v="10"/>
    <x v="2"/>
    <x v="2"/>
    <x v="2"/>
    <x v="40"/>
    <x v="40"/>
    <n v="315.80585000000002"/>
    <x v="1"/>
    <x v="2"/>
    <x v="5"/>
    <x v="7"/>
    <x v="11"/>
    <x v="22"/>
    <n v="344.22837650000002"/>
  </r>
  <r>
    <x v="8"/>
    <x v="0"/>
    <x v="8"/>
    <x v="8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8"/>
    <x v="0"/>
    <x v="8"/>
    <x v="8"/>
    <x v="0"/>
    <x v="1"/>
    <x v="0"/>
    <x v="0"/>
    <x v="0"/>
    <x v="0"/>
    <x v="11"/>
    <x v="11"/>
    <x v="4"/>
    <x v="5"/>
    <x v="5"/>
    <x v="10"/>
    <x v="10"/>
    <n v="53.155271469054703"/>
    <x v="0"/>
    <x v="0"/>
    <x v="1"/>
    <x v="4"/>
    <x v="5"/>
    <x v="10"/>
    <n v="57.939245901269629"/>
  </r>
  <r>
    <x v="8"/>
    <x v="0"/>
    <x v="8"/>
    <x v="8"/>
    <x v="0"/>
    <x v="1"/>
    <x v="0"/>
    <x v="0"/>
    <x v="3"/>
    <x v="3"/>
    <x v="12"/>
    <x v="12"/>
    <x v="2"/>
    <x v="2"/>
    <x v="2"/>
    <x v="40"/>
    <x v="40"/>
    <n v="9.3108799999999992"/>
    <x v="1"/>
    <x v="2"/>
    <x v="5"/>
    <x v="7"/>
    <x v="11"/>
    <x v="22"/>
    <n v="10.1488592"/>
  </r>
  <r>
    <x v="8"/>
    <x v="0"/>
    <x v="8"/>
    <x v="8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8"/>
    <x v="0"/>
    <x v="8"/>
    <x v="8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8"/>
    <x v="0"/>
    <x v="8"/>
    <x v="8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8"/>
    <x v="0"/>
    <x v="8"/>
    <x v="8"/>
    <x v="0"/>
    <x v="1"/>
    <x v="0"/>
    <x v="0"/>
    <x v="3"/>
    <x v="3"/>
    <x v="12"/>
    <x v="12"/>
    <x v="3"/>
    <x v="7"/>
    <x v="7"/>
    <x v="40"/>
    <x v="40"/>
    <n v="8.8771500000000003"/>
    <x v="1"/>
    <x v="2"/>
    <x v="5"/>
    <x v="7"/>
    <x v="11"/>
    <x v="22"/>
    <n v="9.6760935000000003"/>
  </r>
  <r>
    <x v="8"/>
    <x v="0"/>
    <x v="8"/>
    <x v="8"/>
    <x v="0"/>
    <x v="1"/>
    <x v="0"/>
    <x v="0"/>
    <x v="3"/>
    <x v="3"/>
    <x v="12"/>
    <x v="12"/>
    <x v="4"/>
    <x v="5"/>
    <x v="5"/>
    <x v="40"/>
    <x v="40"/>
    <n v="17.635470000000002"/>
    <x v="1"/>
    <x v="2"/>
    <x v="5"/>
    <x v="7"/>
    <x v="11"/>
    <x v="22"/>
    <n v="19.222662300000003"/>
  </r>
  <r>
    <x v="8"/>
    <x v="0"/>
    <x v="8"/>
    <x v="8"/>
    <x v="0"/>
    <x v="1"/>
    <x v="0"/>
    <x v="0"/>
    <x v="3"/>
    <x v="3"/>
    <x v="13"/>
    <x v="13"/>
    <x v="2"/>
    <x v="2"/>
    <x v="2"/>
    <x v="41"/>
    <x v="41"/>
    <n v="21.768148936087499"/>
    <x v="1"/>
    <x v="2"/>
    <x v="5"/>
    <x v="7"/>
    <x v="11"/>
    <x v="22"/>
    <n v="23.727282340335375"/>
  </r>
  <r>
    <x v="8"/>
    <x v="0"/>
    <x v="8"/>
    <x v="8"/>
    <x v="0"/>
    <x v="1"/>
    <x v="0"/>
    <x v="0"/>
    <x v="3"/>
    <x v="3"/>
    <x v="13"/>
    <x v="13"/>
    <x v="2"/>
    <x v="2"/>
    <x v="2"/>
    <x v="40"/>
    <x v="40"/>
    <n v="221.34504999999999"/>
    <x v="1"/>
    <x v="2"/>
    <x v="5"/>
    <x v="7"/>
    <x v="11"/>
    <x v="22"/>
    <n v="241.26610450000001"/>
  </r>
  <r>
    <x v="8"/>
    <x v="0"/>
    <x v="8"/>
    <x v="8"/>
    <x v="0"/>
    <x v="1"/>
    <x v="0"/>
    <x v="0"/>
    <x v="3"/>
    <x v="3"/>
    <x v="13"/>
    <x v="13"/>
    <x v="2"/>
    <x v="2"/>
    <x v="2"/>
    <x v="12"/>
    <x v="12"/>
    <n v="22.037860465032502"/>
    <x v="0"/>
    <x v="0"/>
    <x v="0"/>
    <x v="0"/>
    <x v="8"/>
    <x v="12"/>
    <n v="24.021267906885427"/>
  </r>
  <r>
    <x v="8"/>
    <x v="0"/>
    <x v="8"/>
    <x v="8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8"/>
    <x v="0"/>
    <x v="8"/>
    <x v="8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8"/>
    <x v="0"/>
    <x v="8"/>
    <x v="8"/>
    <x v="0"/>
    <x v="1"/>
    <x v="0"/>
    <x v="0"/>
    <x v="3"/>
    <x v="3"/>
    <x v="13"/>
    <x v="13"/>
    <x v="1"/>
    <x v="8"/>
    <x v="8"/>
    <x v="40"/>
    <x v="40"/>
    <n v="2.1341999999999999"/>
    <x v="1"/>
    <x v="2"/>
    <x v="5"/>
    <x v="7"/>
    <x v="11"/>
    <x v="22"/>
    <n v="2.3262779999999998"/>
  </r>
  <r>
    <x v="8"/>
    <x v="0"/>
    <x v="8"/>
    <x v="8"/>
    <x v="0"/>
    <x v="1"/>
    <x v="0"/>
    <x v="0"/>
    <x v="3"/>
    <x v="3"/>
    <x v="13"/>
    <x v="13"/>
    <x v="4"/>
    <x v="5"/>
    <x v="5"/>
    <x v="40"/>
    <x v="40"/>
    <n v="0.99780000000000002"/>
    <x v="1"/>
    <x v="2"/>
    <x v="5"/>
    <x v="7"/>
    <x v="11"/>
    <x v="22"/>
    <n v="1.0876020000000002"/>
  </r>
  <r>
    <x v="8"/>
    <x v="0"/>
    <x v="8"/>
    <x v="8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8"/>
    <x v="0"/>
    <x v="8"/>
    <x v="8"/>
    <x v="0"/>
    <x v="1"/>
    <x v="0"/>
    <x v="0"/>
    <x v="2"/>
    <x v="2"/>
    <x v="14"/>
    <x v="14"/>
    <x v="2"/>
    <x v="2"/>
    <x v="2"/>
    <x v="40"/>
    <x v="40"/>
    <n v="24.680389999999999"/>
    <x v="1"/>
    <x v="2"/>
    <x v="5"/>
    <x v="7"/>
    <x v="11"/>
    <x v="22"/>
    <n v="26.9016251"/>
  </r>
  <r>
    <x v="8"/>
    <x v="0"/>
    <x v="8"/>
    <x v="8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8"/>
    <x v="0"/>
    <x v="8"/>
    <x v="8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8"/>
    <x v="0"/>
    <x v="8"/>
    <x v="8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8"/>
    <x v="0"/>
    <x v="8"/>
    <x v="8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8"/>
    <x v="0"/>
    <x v="8"/>
    <x v="8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8"/>
    <x v="0"/>
    <x v="8"/>
    <x v="8"/>
    <x v="0"/>
    <x v="1"/>
    <x v="0"/>
    <x v="0"/>
    <x v="2"/>
    <x v="2"/>
    <x v="17"/>
    <x v="17"/>
    <x v="2"/>
    <x v="2"/>
    <x v="2"/>
    <x v="42"/>
    <x v="42"/>
    <n v="2.43303"/>
    <x v="1"/>
    <x v="2"/>
    <x v="5"/>
    <x v="7"/>
    <x v="11"/>
    <x v="22"/>
    <n v="2.6520027000000002"/>
  </r>
  <r>
    <x v="8"/>
    <x v="0"/>
    <x v="8"/>
    <x v="8"/>
    <x v="0"/>
    <x v="1"/>
    <x v="0"/>
    <x v="0"/>
    <x v="2"/>
    <x v="2"/>
    <x v="17"/>
    <x v="17"/>
    <x v="2"/>
    <x v="2"/>
    <x v="2"/>
    <x v="40"/>
    <x v="40"/>
    <n v="151.13470000000001"/>
    <x v="1"/>
    <x v="2"/>
    <x v="5"/>
    <x v="7"/>
    <x v="11"/>
    <x v="22"/>
    <n v="164.73682300000002"/>
  </r>
  <r>
    <x v="8"/>
    <x v="0"/>
    <x v="8"/>
    <x v="8"/>
    <x v="0"/>
    <x v="1"/>
    <x v="0"/>
    <x v="0"/>
    <x v="2"/>
    <x v="2"/>
    <x v="17"/>
    <x v="17"/>
    <x v="2"/>
    <x v="2"/>
    <x v="2"/>
    <x v="38"/>
    <x v="38"/>
    <n v="0.74519000000000002"/>
    <x v="1"/>
    <x v="0"/>
    <x v="4"/>
    <x v="6"/>
    <x v="10"/>
    <x v="21"/>
    <n v="0.81225710000000007"/>
  </r>
  <r>
    <x v="8"/>
    <x v="0"/>
    <x v="8"/>
    <x v="8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8"/>
    <x v="0"/>
    <x v="8"/>
    <x v="8"/>
    <x v="0"/>
    <x v="1"/>
    <x v="0"/>
    <x v="0"/>
    <x v="2"/>
    <x v="2"/>
    <x v="17"/>
    <x v="17"/>
    <x v="3"/>
    <x v="7"/>
    <x v="7"/>
    <x v="40"/>
    <x v="40"/>
    <n v="22.56615"/>
    <x v="1"/>
    <x v="2"/>
    <x v="5"/>
    <x v="7"/>
    <x v="11"/>
    <x v="22"/>
    <n v="24.597103500000003"/>
  </r>
  <r>
    <x v="8"/>
    <x v="0"/>
    <x v="8"/>
    <x v="8"/>
    <x v="0"/>
    <x v="1"/>
    <x v="0"/>
    <x v="0"/>
    <x v="2"/>
    <x v="2"/>
    <x v="17"/>
    <x v="17"/>
    <x v="1"/>
    <x v="8"/>
    <x v="8"/>
    <x v="40"/>
    <x v="40"/>
    <n v="11.72115"/>
    <x v="1"/>
    <x v="2"/>
    <x v="5"/>
    <x v="7"/>
    <x v="11"/>
    <x v="22"/>
    <n v="12.776053500000002"/>
  </r>
  <r>
    <x v="8"/>
    <x v="0"/>
    <x v="8"/>
    <x v="8"/>
    <x v="0"/>
    <x v="1"/>
    <x v="0"/>
    <x v="0"/>
    <x v="2"/>
    <x v="2"/>
    <x v="17"/>
    <x v="17"/>
    <x v="2"/>
    <x v="10"/>
    <x v="10"/>
    <x v="40"/>
    <x v="40"/>
    <n v="3.3871500000000001"/>
    <x v="1"/>
    <x v="2"/>
    <x v="5"/>
    <x v="7"/>
    <x v="11"/>
    <x v="22"/>
    <n v="3.6919935000000006"/>
  </r>
  <r>
    <x v="8"/>
    <x v="0"/>
    <x v="8"/>
    <x v="8"/>
    <x v="0"/>
    <x v="1"/>
    <x v="0"/>
    <x v="0"/>
    <x v="2"/>
    <x v="2"/>
    <x v="17"/>
    <x v="17"/>
    <x v="4"/>
    <x v="5"/>
    <x v="5"/>
    <x v="40"/>
    <x v="40"/>
    <n v="196.33203"/>
    <x v="1"/>
    <x v="2"/>
    <x v="5"/>
    <x v="7"/>
    <x v="11"/>
    <x v="22"/>
    <n v="214.00191270000002"/>
  </r>
  <r>
    <x v="8"/>
    <x v="0"/>
    <x v="8"/>
    <x v="8"/>
    <x v="0"/>
    <x v="2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8"/>
    <x v="0"/>
    <x v="8"/>
    <x v="8"/>
    <x v="0"/>
    <x v="2"/>
    <x v="0"/>
    <x v="0"/>
    <x v="0"/>
    <x v="0"/>
    <x v="0"/>
    <x v="0"/>
    <x v="3"/>
    <x v="3"/>
    <x v="3"/>
    <x v="9"/>
    <x v="9"/>
    <n v="6.3761467889869996"/>
    <x v="0"/>
    <x v="0"/>
    <x v="1"/>
    <x v="4"/>
    <x v="5"/>
    <x v="9"/>
    <n v="6.9499999999958302"/>
  </r>
  <r>
    <x v="8"/>
    <x v="0"/>
    <x v="8"/>
    <x v="8"/>
    <x v="0"/>
    <x v="2"/>
    <x v="0"/>
    <x v="0"/>
    <x v="0"/>
    <x v="0"/>
    <x v="0"/>
    <x v="0"/>
    <x v="3"/>
    <x v="3"/>
    <x v="3"/>
    <x v="10"/>
    <x v="10"/>
    <n v="1.80657798165029"/>
    <x v="0"/>
    <x v="0"/>
    <x v="1"/>
    <x v="4"/>
    <x v="5"/>
    <x v="10"/>
    <n v="1.9691699999988164"/>
  </r>
  <r>
    <x v="8"/>
    <x v="0"/>
    <x v="8"/>
    <x v="8"/>
    <x v="0"/>
    <x v="2"/>
    <x v="0"/>
    <x v="0"/>
    <x v="0"/>
    <x v="0"/>
    <x v="0"/>
    <x v="0"/>
    <x v="3"/>
    <x v="3"/>
    <x v="3"/>
    <x v="11"/>
    <x v="11"/>
    <n v="6.9815500000000004"/>
    <x v="0"/>
    <x v="0"/>
    <x v="3"/>
    <x v="5"/>
    <x v="7"/>
    <x v="11"/>
    <n v="7.6098895000000013"/>
  </r>
  <r>
    <x v="8"/>
    <x v="0"/>
    <x v="8"/>
    <x v="8"/>
    <x v="0"/>
    <x v="2"/>
    <x v="0"/>
    <x v="0"/>
    <x v="0"/>
    <x v="0"/>
    <x v="0"/>
    <x v="0"/>
    <x v="3"/>
    <x v="3"/>
    <x v="3"/>
    <x v="14"/>
    <x v="14"/>
    <n v="79.499989999999997"/>
    <x v="0"/>
    <x v="0"/>
    <x v="0"/>
    <x v="0"/>
    <x v="8"/>
    <x v="14"/>
    <n v="86.654989100000009"/>
  </r>
  <r>
    <x v="8"/>
    <x v="0"/>
    <x v="8"/>
    <x v="8"/>
    <x v="0"/>
    <x v="2"/>
    <x v="0"/>
    <x v="0"/>
    <x v="0"/>
    <x v="0"/>
    <x v="0"/>
    <x v="0"/>
    <x v="3"/>
    <x v="3"/>
    <x v="3"/>
    <x v="16"/>
    <x v="16"/>
    <n v="225.70296999999999"/>
    <x v="0"/>
    <x v="0"/>
    <x v="3"/>
    <x v="5"/>
    <x v="9"/>
    <x v="16"/>
    <n v="246.0162373"/>
  </r>
  <r>
    <x v="8"/>
    <x v="0"/>
    <x v="8"/>
    <x v="8"/>
    <x v="0"/>
    <x v="2"/>
    <x v="0"/>
    <x v="0"/>
    <x v="0"/>
    <x v="0"/>
    <x v="0"/>
    <x v="0"/>
    <x v="3"/>
    <x v="3"/>
    <x v="3"/>
    <x v="26"/>
    <x v="26"/>
    <n v="2.7522935779800002"/>
    <x v="0"/>
    <x v="0"/>
    <x v="1"/>
    <x v="3"/>
    <x v="3"/>
    <x v="15"/>
    <n v="2.9999999999982006"/>
  </r>
  <r>
    <x v="8"/>
    <x v="0"/>
    <x v="8"/>
    <x v="8"/>
    <x v="0"/>
    <x v="2"/>
    <x v="0"/>
    <x v="0"/>
    <x v="0"/>
    <x v="0"/>
    <x v="0"/>
    <x v="0"/>
    <x v="3"/>
    <x v="3"/>
    <x v="3"/>
    <x v="2"/>
    <x v="2"/>
    <n v="12.8379266054969"/>
    <x v="0"/>
    <x v="1"/>
    <x v="2"/>
    <x v="2"/>
    <x v="13"/>
    <x v="2"/>
    <n v="13.993339999991623"/>
  </r>
  <r>
    <x v="8"/>
    <x v="0"/>
    <x v="8"/>
    <x v="8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8"/>
    <x v="0"/>
    <x v="8"/>
    <x v="8"/>
    <x v="0"/>
    <x v="2"/>
    <x v="0"/>
    <x v="0"/>
    <x v="3"/>
    <x v="3"/>
    <x v="12"/>
    <x v="12"/>
    <x v="3"/>
    <x v="7"/>
    <x v="7"/>
    <x v="40"/>
    <x v="40"/>
    <n v="126.30840000000001"/>
    <x v="1"/>
    <x v="2"/>
    <x v="5"/>
    <x v="7"/>
    <x v="11"/>
    <x v="22"/>
    <n v="137.67615600000002"/>
  </r>
  <r>
    <x v="8"/>
    <x v="0"/>
    <x v="8"/>
    <x v="8"/>
    <x v="0"/>
    <x v="2"/>
    <x v="0"/>
    <x v="0"/>
    <x v="3"/>
    <x v="3"/>
    <x v="12"/>
    <x v="12"/>
    <x v="1"/>
    <x v="8"/>
    <x v="8"/>
    <x v="40"/>
    <x v="40"/>
    <n v="62.307600000000001"/>
    <x v="1"/>
    <x v="2"/>
    <x v="5"/>
    <x v="7"/>
    <x v="11"/>
    <x v="22"/>
    <n v="67.915284"/>
  </r>
  <r>
    <x v="8"/>
    <x v="0"/>
    <x v="8"/>
    <x v="8"/>
    <x v="0"/>
    <x v="2"/>
    <x v="0"/>
    <x v="0"/>
    <x v="3"/>
    <x v="3"/>
    <x v="12"/>
    <x v="12"/>
    <x v="2"/>
    <x v="10"/>
    <x v="10"/>
    <x v="40"/>
    <x v="40"/>
    <n v="12.939"/>
    <x v="1"/>
    <x v="2"/>
    <x v="5"/>
    <x v="7"/>
    <x v="11"/>
    <x v="22"/>
    <n v="14.103510000000002"/>
  </r>
  <r>
    <x v="8"/>
    <x v="0"/>
    <x v="8"/>
    <x v="8"/>
    <x v="0"/>
    <x v="2"/>
    <x v="0"/>
    <x v="0"/>
    <x v="3"/>
    <x v="3"/>
    <x v="12"/>
    <x v="12"/>
    <x v="4"/>
    <x v="5"/>
    <x v="5"/>
    <x v="41"/>
    <x v="41"/>
    <n v="8.9234042552852397"/>
    <x v="1"/>
    <x v="2"/>
    <x v="5"/>
    <x v="7"/>
    <x v="11"/>
    <x v="22"/>
    <n v="9.7265106382609119"/>
  </r>
  <r>
    <x v="8"/>
    <x v="0"/>
    <x v="8"/>
    <x v="8"/>
    <x v="0"/>
    <x v="2"/>
    <x v="0"/>
    <x v="0"/>
    <x v="3"/>
    <x v="3"/>
    <x v="12"/>
    <x v="12"/>
    <x v="4"/>
    <x v="5"/>
    <x v="5"/>
    <x v="40"/>
    <x v="40"/>
    <n v="147.489"/>
    <x v="1"/>
    <x v="2"/>
    <x v="5"/>
    <x v="7"/>
    <x v="11"/>
    <x v="22"/>
    <n v="160.76301000000001"/>
  </r>
  <r>
    <x v="8"/>
    <x v="0"/>
    <x v="8"/>
    <x v="8"/>
    <x v="0"/>
    <x v="2"/>
    <x v="0"/>
    <x v="0"/>
    <x v="3"/>
    <x v="3"/>
    <x v="13"/>
    <x v="13"/>
    <x v="2"/>
    <x v="2"/>
    <x v="2"/>
    <x v="40"/>
    <x v="40"/>
    <n v="41.337499999999999"/>
    <x v="1"/>
    <x v="2"/>
    <x v="5"/>
    <x v="7"/>
    <x v="11"/>
    <x v="22"/>
    <n v="45.057875000000003"/>
  </r>
  <r>
    <x v="8"/>
    <x v="0"/>
    <x v="8"/>
    <x v="8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8"/>
    <x v="0"/>
    <x v="8"/>
    <x v="8"/>
    <x v="0"/>
    <x v="2"/>
    <x v="0"/>
    <x v="0"/>
    <x v="3"/>
    <x v="3"/>
    <x v="19"/>
    <x v="19"/>
    <x v="3"/>
    <x v="7"/>
    <x v="7"/>
    <x v="40"/>
    <x v="40"/>
    <n v="561.11580000000004"/>
    <x v="1"/>
    <x v="2"/>
    <x v="5"/>
    <x v="7"/>
    <x v="11"/>
    <x v="22"/>
    <n v="611.61622200000011"/>
  </r>
  <r>
    <x v="8"/>
    <x v="0"/>
    <x v="8"/>
    <x v="8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8"/>
    <x v="0"/>
    <x v="8"/>
    <x v="8"/>
    <x v="0"/>
    <x v="2"/>
    <x v="0"/>
    <x v="0"/>
    <x v="3"/>
    <x v="3"/>
    <x v="19"/>
    <x v="19"/>
    <x v="1"/>
    <x v="8"/>
    <x v="8"/>
    <x v="40"/>
    <x v="40"/>
    <n v="459.62052"/>
    <x v="1"/>
    <x v="2"/>
    <x v="5"/>
    <x v="7"/>
    <x v="11"/>
    <x v="22"/>
    <n v="500.98636680000004"/>
  </r>
  <r>
    <x v="8"/>
    <x v="0"/>
    <x v="8"/>
    <x v="8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8"/>
    <x v="0"/>
    <x v="8"/>
    <x v="8"/>
    <x v="0"/>
    <x v="2"/>
    <x v="0"/>
    <x v="0"/>
    <x v="3"/>
    <x v="3"/>
    <x v="19"/>
    <x v="19"/>
    <x v="2"/>
    <x v="10"/>
    <x v="10"/>
    <x v="40"/>
    <x v="40"/>
    <n v="63.902999999999999"/>
    <x v="1"/>
    <x v="2"/>
    <x v="5"/>
    <x v="7"/>
    <x v="11"/>
    <x v="22"/>
    <n v="69.654269999999997"/>
  </r>
  <r>
    <x v="8"/>
    <x v="0"/>
    <x v="8"/>
    <x v="8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8"/>
    <x v="0"/>
    <x v="8"/>
    <x v="8"/>
    <x v="0"/>
    <x v="2"/>
    <x v="0"/>
    <x v="0"/>
    <x v="3"/>
    <x v="3"/>
    <x v="19"/>
    <x v="19"/>
    <x v="4"/>
    <x v="5"/>
    <x v="5"/>
    <x v="40"/>
    <x v="40"/>
    <n v="434.2176"/>
    <x v="1"/>
    <x v="2"/>
    <x v="5"/>
    <x v="7"/>
    <x v="11"/>
    <x v="22"/>
    <n v="473.29718400000002"/>
  </r>
  <r>
    <x v="8"/>
    <x v="0"/>
    <x v="8"/>
    <x v="8"/>
    <x v="0"/>
    <x v="2"/>
    <x v="0"/>
    <x v="0"/>
    <x v="2"/>
    <x v="2"/>
    <x v="14"/>
    <x v="14"/>
    <x v="4"/>
    <x v="5"/>
    <x v="5"/>
    <x v="40"/>
    <x v="40"/>
    <n v="142.0986"/>
    <x v="1"/>
    <x v="2"/>
    <x v="5"/>
    <x v="7"/>
    <x v="11"/>
    <x v="22"/>
    <n v="154.88747400000003"/>
  </r>
  <r>
    <x v="8"/>
    <x v="0"/>
    <x v="8"/>
    <x v="8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8"/>
    <x v="0"/>
    <x v="8"/>
    <x v="8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8"/>
    <x v="0"/>
    <x v="8"/>
    <x v="8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8"/>
    <x v="0"/>
    <x v="8"/>
    <x v="8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8"/>
    <x v="0"/>
    <x v="8"/>
    <x v="8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8"/>
    <x v="0"/>
    <x v="8"/>
    <x v="8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8"/>
    <x v="0"/>
    <x v="8"/>
    <x v="8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8"/>
    <x v="0"/>
    <x v="8"/>
    <x v="8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8"/>
    <x v="0"/>
    <x v="8"/>
    <x v="8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8"/>
    <x v="0"/>
    <x v="8"/>
    <x v="8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8"/>
    <x v="0"/>
    <x v="8"/>
    <x v="8"/>
    <x v="0"/>
    <x v="2"/>
    <x v="0"/>
    <x v="0"/>
    <x v="2"/>
    <x v="2"/>
    <x v="17"/>
    <x v="17"/>
    <x v="3"/>
    <x v="7"/>
    <x v="7"/>
    <x v="7"/>
    <x v="7"/>
    <n v="199.17935539547801"/>
    <x v="0"/>
    <x v="0"/>
    <x v="1"/>
    <x v="4"/>
    <x v="5"/>
    <x v="7"/>
    <n v="217.10549738107105"/>
  </r>
  <r>
    <x v="8"/>
    <x v="0"/>
    <x v="8"/>
    <x v="8"/>
    <x v="0"/>
    <x v="2"/>
    <x v="0"/>
    <x v="0"/>
    <x v="2"/>
    <x v="2"/>
    <x v="17"/>
    <x v="17"/>
    <x v="1"/>
    <x v="8"/>
    <x v="8"/>
    <x v="7"/>
    <x v="7"/>
    <n v="69.730860625350701"/>
    <x v="0"/>
    <x v="0"/>
    <x v="1"/>
    <x v="4"/>
    <x v="5"/>
    <x v="7"/>
    <n v="76.006638081632275"/>
  </r>
  <r>
    <x v="8"/>
    <x v="0"/>
    <x v="8"/>
    <x v="8"/>
    <x v="0"/>
    <x v="2"/>
    <x v="0"/>
    <x v="0"/>
    <x v="2"/>
    <x v="2"/>
    <x v="17"/>
    <x v="17"/>
    <x v="0"/>
    <x v="9"/>
    <x v="9"/>
    <x v="7"/>
    <x v="7"/>
    <n v="72.127817071281001"/>
    <x v="0"/>
    <x v="0"/>
    <x v="1"/>
    <x v="4"/>
    <x v="5"/>
    <x v="7"/>
    <n v="78.619320607696295"/>
  </r>
  <r>
    <x v="8"/>
    <x v="0"/>
    <x v="8"/>
    <x v="8"/>
    <x v="0"/>
    <x v="2"/>
    <x v="0"/>
    <x v="0"/>
    <x v="2"/>
    <x v="2"/>
    <x v="17"/>
    <x v="17"/>
    <x v="2"/>
    <x v="10"/>
    <x v="10"/>
    <x v="7"/>
    <x v="7"/>
    <n v="48.128245643338303"/>
    <x v="0"/>
    <x v="0"/>
    <x v="1"/>
    <x v="4"/>
    <x v="5"/>
    <x v="7"/>
    <n v="52.459787751238757"/>
  </r>
  <r>
    <x v="8"/>
    <x v="0"/>
    <x v="8"/>
    <x v="8"/>
    <x v="0"/>
    <x v="2"/>
    <x v="0"/>
    <x v="0"/>
    <x v="2"/>
    <x v="2"/>
    <x v="17"/>
    <x v="17"/>
    <x v="4"/>
    <x v="5"/>
    <x v="5"/>
    <x v="41"/>
    <x v="41"/>
    <n v="18.957446808438601"/>
    <x v="1"/>
    <x v="2"/>
    <x v="5"/>
    <x v="7"/>
    <x v="11"/>
    <x v="22"/>
    <n v="20.663617021198075"/>
  </r>
  <r>
    <x v="8"/>
    <x v="0"/>
    <x v="8"/>
    <x v="8"/>
    <x v="0"/>
    <x v="2"/>
    <x v="0"/>
    <x v="0"/>
    <x v="2"/>
    <x v="2"/>
    <x v="17"/>
    <x v="17"/>
    <x v="4"/>
    <x v="5"/>
    <x v="5"/>
    <x v="40"/>
    <x v="40"/>
    <n v="907.78490999999997"/>
    <x v="1"/>
    <x v="2"/>
    <x v="5"/>
    <x v="7"/>
    <x v="11"/>
    <x v="22"/>
    <n v="989.48555190000002"/>
  </r>
  <r>
    <x v="8"/>
    <x v="0"/>
    <x v="8"/>
    <x v="8"/>
    <x v="0"/>
    <x v="3"/>
    <x v="0"/>
    <x v="0"/>
    <x v="0"/>
    <x v="0"/>
    <x v="0"/>
    <x v="0"/>
    <x v="3"/>
    <x v="3"/>
    <x v="3"/>
    <x v="9"/>
    <x v="9"/>
    <n v="19.856880733933"/>
    <x v="0"/>
    <x v="0"/>
    <x v="1"/>
    <x v="4"/>
    <x v="5"/>
    <x v="9"/>
    <n v="21.643999999986971"/>
  </r>
  <r>
    <x v="8"/>
    <x v="0"/>
    <x v="8"/>
    <x v="8"/>
    <x v="0"/>
    <x v="3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4500000000000004"/>
  </r>
  <r>
    <x v="8"/>
    <x v="0"/>
    <x v="8"/>
    <x v="8"/>
    <x v="0"/>
    <x v="3"/>
    <x v="0"/>
    <x v="0"/>
    <x v="0"/>
    <x v="0"/>
    <x v="0"/>
    <x v="0"/>
    <x v="3"/>
    <x v="3"/>
    <x v="3"/>
    <x v="16"/>
    <x v="16"/>
    <n v="232.12389999999999"/>
    <x v="0"/>
    <x v="0"/>
    <x v="3"/>
    <x v="5"/>
    <x v="9"/>
    <x v="16"/>
    <n v="253.015051"/>
  </r>
  <r>
    <x v="8"/>
    <x v="0"/>
    <x v="8"/>
    <x v="8"/>
    <x v="0"/>
    <x v="3"/>
    <x v="0"/>
    <x v="0"/>
    <x v="0"/>
    <x v="0"/>
    <x v="0"/>
    <x v="0"/>
    <x v="0"/>
    <x v="4"/>
    <x v="4"/>
    <x v="9"/>
    <x v="9"/>
    <n v="123.787155963228"/>
    <x v="0"/>
    <x v="0"/>
    <x v="1"/>
    <x v="4"/>
    <x v="5"/>
    <x v="9"/>
    <n v="134.92799999991854"/>
  </r>
  <r>
    <x v="8"/>
    <x v="0"/>
    <x v="8"/>
    <x v="8"/>
    <x v="0"/>
    <x v="3"/>
    <x v="0"/>
    <x v="0"/>
    <x v="0"/>
    <x v="0"/>
    <x v="0"/>
    <x v="0"/>
    <x v="0"/>
    <x v="4"/>
    <x v="4"/>
    <x v="10"/>
    <x v="10"/>
    <n v="97.066972477006004"/>
    <x v="0"/>
    <x v="0"/>
    <x v="1"/>
    <x v="4"/>
    <x v="5"/>
    <x v="10"/>
    <n v="105.80299999993655"/>
  </r>
  <r>
    <x v="8"/>
    <x v="0"/>
    <x v="8"/>
    <x v="8"/>
    <x v="0"/>
    <x v="3"/>
    <x v="0"/>
    <x v="0"/>
    <x v="0"/>
    <x v="0"/>
    <x v="0"/>
    <x v="0"/>
    <x v="0"/>
    <x v="4"/>
    <x v="4"/>
    <x v="11"/>
    <x v="11"/>
    <n v="144.91591"/>
    <x v="0"/>
    <x v="0"/>
    <x v="3"/>
    <x v="5"/>
    <x v="7"/>
    <x v="11"/>
    <n v="157.95834190000002"/>
  </r>
  <r>
    <x v="8"/>
    <x v="0"/>
    <x v="8"/>
    <x v="8"/>
    <x v="0"/>
    <x v="3"/>
    <x v="0"/>
    <x v="0"/>
    <x v="0"/>
    <x v="0"/>
    <x v="0"/>
    <x v="0"/>
    <x v="0"/>
    <x v="4"/>
    <x v="4"/>
    <x v="16"/>
    <x v="16"/>
    <n v="45.64687"/>
    <x v="0"/>
    <x v="0"/>
    <x v="3"/>
    <x v="5"/>
    <x v="9"/>
    <x v="16"/>
    <n v="49.755088300000004"/>
  </r>
  <r>
    <x v="8"/>
    <x v="0"/>
    <x v="8"/>
    <x v="8"/>
    <x v="0"/>
    <x v="3"/>
    <x v="0"/>
    <x v="0"/>
    <x v="0"/>
    <x v="0"/>
    <x v="0"/>
    <x v="0"/>
    <x v="0"/>
    <x v="0"/>
    <x v="0"/>
    <x v="9"/>
    <x v="9"/>
    <n v="15.5871559632934"/>
    <x v="0"/>
    <x v="0"/>
    <x v="1"/>
    <x v="4"/>
    <x v="5"/>
    <x v="9"/>
    <n v="16.989999999989806"/>
  </r>
  <r>
    <x v="8"/>
    <x v="0"/>
    <x v="8"/>
    <x v="8"/>
    <x v="0"/>
    <x v="3"/>
    <x v="0"/>
    <x v="0"/>
    <x v="0"/>
    <x v="0"/>
    <x v="0"/>
    <x v="0"/>
    <x v="0"/>
    <x v="0"/>
    <x v="0"/>
    <x v="11"/>
    <x v="11"/>
    <n v="23.290749999999999"/>
    <x v="0"/>
    <x v="0"/>
    <x v="3"/>
    <x v="5"/>
    <x v="7"/>
    <x v="11"/>
    <n v="25.386917500000003"/>
  </r>
  <r>
    <x v="8"/>
    <x v="0"/>
    <x v="8"/>
    <x v="8"/>
    <x v="0"/>
    <x v="3"/>
    <x v="0"/>
    <x v="0"/>
    <x v="0"/>
    <x v="0"/>
    <x v="0"/>
    <x v="0"/>
    <x v="1"/>
    <x v="1"/>
    <x v="1"/>
    <x v="9"/>
    <x v="9"/>
    <n v="77.06422018344"/>
    <x v="0"/>
    <x v="0"/>
    <x v="1"/>
    <x v="4"/>
    <x v="5"/>
    <x v="9"/>
    <n v="83.999999999949608"/>
  </r>
  <r>
    <x v="8"/>
    <x v="0"/>
    <x v="8"/>
    <x v="8"/>
    <x v="0"/>
    <x v="3"/>
    <x v="0"/>
    <x v="0"/>
    <x v="0"/>
    <x v="0"/>
    <x v="0"/>
    <x v="0"/>
    <x v="1"/>
    <x v="1"/>
    <x v="1"/>
    <x v="11"/>
    <x v="11"/>
    <n v="20.412980000000001"/>
    <x v="0"/>
    <x v="0"/>
    <x v="3"/>
    <x v="5"/>
    <x v="7"/>
    <x v="11"/>
    <n v="22.250148200000002"/>
  </r>
  <r>
    <x v="8"/>
    <x v="0"/>
    <x v="8"/>
    <x v="8"/>
    <x v="0"/>
    <x v="3"/>
    <x v="0"/>
    <x v="0"/>
    <x v="0"/>
    <x v="0"/>
    <x v="0"/>
    <x v="0"/>
    <x v="1"/>
    <x v="1"/>
    <x v="1"/>
    <x v="16"/>
    <x v="16"/>
    <n v="20"/>
    <x v="0"/>
    <x v="0"/>
    <x v="3"/>
    <x v="5"/>
    <x v="9"/>
    <x v="16"/>
    <n v="21.8"/>
  </r>
  <r>
    <x v="8"/>
    <x v="0"/>
    <x v="8"/>
    <x v="8"/>
    <x v="0"/>
    <x v="2"/>
    <x v="0"/>
    <x v="0"/>
    <x v="0"/>
    <x v="0"/>
    <x v="0"/>
    <x v="0"/>
    <x v="3"/>
    <x v="12"/>
    <x v="3"/>
    <x v="8"/>
    <x v="8"/>
    <n v="2132.7347837974298"/>
    <x v="0"/>
    <x v="1"/>
    <x v="2"/>
    <x v="2"/>
    <x v="6"/>
    <x v="8"/>
    <n v="2324.6809143391988"/>
  </r>
  <r>
    <x v="8"/>
    <x v="0"/>
    <x v="8"/>
    <x v="8"/>
    <x v="0"/>
    <x v="2"/>
    <x v="0"/>
    <x v="0"/>
    <x v="0"/>
    <x v="0"/>
    <x v="0"/>
    <x v="0"/>
    <x v="3"/>
    <x v="12"/>
    <x v="3"/>
    <x v="2"/>
    <x v="2"/>
    <n v="54.803229357765296"/>
    <x v="0"/>
    <x v="1"/>
    <x v="2"/>
    <x v="2"/>
    <x v="13"/>
    <x v="2"/>
    <n v="59.735519999964175"/>
  </r>
  <r>
    <x v="8"/>
    <x v="0"/>
    <x v="8"/>
    <x v="8"/>
    <x v="0"/>
    <x v="2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8"/>
    <x v="0"/>
    <x v="8"/>
    <x v="8"/>
    <x v="0"/>
    <x v="2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8"/>
    <x v="0"/>
    <x v="8"/>
    <x v="8"/>
    <x v="0"/>
    <x v="2"/>
    <x v="0"/>
    <x v="0"/>
    <x v="0"/>
    <x v="0"/>
    <x v="0"/>
    <x v="0"/>
    <x v="0"/>
    <x v="4"/>
    <x v="4"/>
    <x v="9"/>
    <x v="9"/>
    <n v="9.9214678899022992"/>
    <x v="0"/>
    <x v="0"/>
    <x v="1"/>
    <x v="4"/>
    <x v="5"/>
    <x v="9"/>
    <n v="10.814399999993507"/>
  </r>
  <r>
    <x v="8"/>
    <x v="0"/>
    <x v="8"/>
    <x v="8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8"/>
    <x v="0"/>
    <x v="8"/>
    <x v="8"/>
    <x v="0"/>
    <x v="2"/>
    <x v="0"/>
    <x v="0"/>
    <x v="0"/>
    <x v="0"/>
    <x v="0"/>
    <x v="0"/>
    <x v="0"/>
    <x v="4"/>
    <x v="4"/>
    <x v="12"/>
    <x v="12"/>
    <n v="226.51093023169699"/>
    <x v="0"/>
    <x v="0"/>
    <x v="0"/>
    <x v="0"/>
    <x v="8"/>
    <x v="12"/>
    <n v="246.89691395254974"/>
  </r>
  <r>
    <x v="8"/>
    <x v="0"/>
    <x v="8"/>
    <x v="8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8"/>
    <x v="0"/>
    <x v="8"/>
    <x v="8"/>
    <x v="0"/>
    <x v="2"/>
    <x v="0"/>
    <x v="0"/>
    <x v="0"/>
    <x v="0"/>
    <x v="0"/>
    <x v="0"/>
    <x v="0"/>
    <x v="4"/>
    <x v="4"/>
    <x v="14"/>
    <x v="14"/>
    <n v="7.30002"/>
    <x v="0"/>
    <x v="0"/>
    <x v="0"/>
    <x v="0"/>
    <x v="8"/>
    <x v="14"/>
    <n v="7.9570218000000006"/>
  </r>
  <r>
    <x v="8"/>
    <x v="0"/>
    <x v="8"/>
    <x v="8"/>
    <x v="0"/>
    <x v="2"/>
    <x v="0"/>
    <x v="0"/>
    <x v="0"/>
    <x v="0"/>
    <x v="0"/>
    <x v="0"/>
    <x v="0"/>
    <x v="4"/>
    <x v="4"/>
    <x v="16"/>
    <x v="16"/>
    <n v="0.74587999999999999"/>
    <x v="0"/>
    <x v="0"/>
    <x v="3"/>
    <x v="5"/>
    <x v="9"/>
    <x v="16"/>
    <n v="0.8130092000000001"/>
  </r>
  <r>
    <x v="8"/>
    <x v="0"/>
    <x v="8"/>
    <x v="8"/>
    <x v="0"/>
    <x v="2"/>
    <x v="0"/>
    <x v="0"/>
    <x v="0"/>
    <x v="0"/>
    <x v="0"/>
    <x v="0"/>
    <x v="0"/>
    <x v="4"/>
    <x v="4"/>
    <x v="25"/>
    <x v="25"/>
    <n v="7.4617706421973597"/>
    <x v="0"/>
    <x v="0"/>
    <x v="1"/>
    <x v="4"/>
    <x v="5"/>
    <x v="9"/>
    <n v="8.133329999995123"/>
  </r>
  <r>
    <x v="8"/>
    <x v="0"/>
    <x v="8"/>
    <x v="8"/>
    <x v="0"/>
    <x v="2"/>
    <x v="0"/>
    <x v="0"/>
    <x v="0"/>
    <x v="0"/>
    <x v="0"/>
    <x v="0"/>
    <x v="0"/>
    <x v="4"/>
    <x v="4"/>
    <x v="2"/>
    <x v="2"/>
    <n v="90.580614678844697"/>
    <x v="0"/>
    <x v="1"/>
    <x v="2"/>
    <x v="2"/>
    <x v="13"/>
    <x v="2"/>
    <n v="98.732869999940732"/>
  </r>
  <r>
    <x v="8"/>
    <x v="0"/>
    <x v="8"/>
    <x v="8"/>
    <x v="0"/>
    <x v="2"/>
    <x v="0"/>
    <x v="0"/>
    <x v="0"/>
    <x v="0"/>
    <x v="0"/>
    <x v="0"/>
    <x v="0"/>
    <x v="0"/>
    <x v="0"/>
    <x v="5"/>
    <x v="5"/>
    <n v="19.728957055364699"/>
    <x v="0"/>
    <x v="0"/>
    <x v="1"/>
    <x v="1"/>
    <x v="1"/>
    <x v="5"/>
    <n v="21.504563190347522"/>
  </r>
  <r>
    <x v="8"/>
    <x v="0"/>
    <x v="8"/>
    <x v="8"/>
    <x v="0"/>
    <x v="2"/>
    <x v="0"/>
    <x v="0"/>
    <x v="0"/>
    <x v="0"/>
    <x v="0"/>
    <x v="0"/>
    <x v="0"/>
    <x v="0"/>
    <x v="0"/>
    <x v="7"/>
    <x v="7"/>
    <n v="39.908256880709999"/>
    <x v="0"/>
    <x v="0"/>
    <x v="1"/>
    <x v="4"/>
    <x v="5"/>
    <x v="7"/>
    <n v="43.499999999973902"/>
  </r>
  <r>
    <x v="8"/>
    <x v="0"/>
    <x v="8"/>
    <x v="8"/>
    <x v="0"/>
    <x v="2"/>
    <x v="0"/>
    <x v="0"/>
    <x v="0"/>
    <x v="0"/>
    <x v="0"/>
    <x v="0"/>
    <x v="0"/>
    <x v="0"/>
    <x v="0"/>
    <x v="8"/>
    <x v="8"/>
    <n v="2349.6510810961199"/>
    <x v="0"/>
    <x v="1"/>
    <x v="2"/>
    <x v="2"/>
    <x v="6"/>
    <x v="8"/>
    <n v="2561.1196783947707"/>
  </r>
  <r>
    <x v="8"/>
    <x v="0"/>
    <x v="8"/>
    <x v="8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8"/>
    <x v="0"/>
    <x v="8"/>
    <x v="8"/>
    <x v="0"/>
    <x v="2"/>
    <x v="0"/>
    <x v="0"/>
    <x v="0"/>
    <x v="0"/>
    <x v="0"/>
    <x v="0"/>
    <x v="0"/>
    <x v="0"/>
    <x v="0"/>
    <x v="12"/>
    <x v="12"/>
    <n v="8.6976279069436906"/>
    <x v="0"/>
    <x v="0"/>
    <x v="0"/>
    <x v="0"/>
    <x v="8"/>
    <x v="12"/>
    <n v="9.480414418568623"/>
  </r>
  <r>
    <x v="8"/>
    <x v="0"/>
    <x v="8"/>
    <x v="8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8"/>
    <x v="0"/>
    <x v="8"/>
    <x v="8"/>
    <x v="0"/>
    <x v="2"/>
    <x v="0"/>
    <x v="0"/>
    <x v="0"/>
    <x v="0"/>
    <x v="0"/>
    <x v="0"/>
    <x v="0"/>
    <x v="0"/>
    <x v="0"/>
    <x v="2"/>
    <x v="2"/>
    <n v="148.72844036688301"/>
    <x v="0"/>
    <x v="1"/>
    <x v="2"/>
    <x v="2"/>
    <x v="13"/>
    <x v="2"/>
    <n v="162.11399999990249"/>
  </r>
  <r>
    <x v="8"/>
    <x v="0"/>
    <x v="8"/>
    <x v="8"/>
    <x v="0"/>
    <x v="2"/>
    <x v="0"/>
    <x v="0"/>
    <x v="0"/>
    <x v="0"/>
    <x v="0"/>
    <x v="0"/>
    <x v="1"/>
    <x v="1"/>
    <x v="1"/>
    <x v="5"/>
    <x v="5"/>
    <n v="54.550527607776601"/>
    <x v="0"/>
    <x v="0"/>
    <x v="1"/>
    <x v="1"/>
    <x v="1"/>
    <x v="5"/>
    <n v="59.460075092476501"/>
  </r>
  <r>
    <x v="8"/>
    <x v="0"/>
    <x v="8"/>
    <x v="8"/>
    <x v="0"/>
    <x v="2"/>
    <x v="0"/>
    <x v="0"/>
    <x v="0"/>
    <x v="0"/>
    <x v="0"/>
    <x v="0"/>
    <x v="1"/>
    <x v="1"/>
    <x v="1"/>
    <x v="6"/>
    <x v="6"/>
    <n v="32.700000000000003"/>
    <x v="0"/>
    <x v="0"/>
    <x v="0"/>
    <x v="0"/>
    <x v="4"/>
    <x v="6"/>
    <n v="35.643000000000008"/>
  </r>
  <r>
    <x v="8"/>
    <x v="0"/>
    <x v="8"/>
    <x v="8"/>
    <x v="0"/>
    <x v="2"/>
    <x v="0"/>
    <x v="0"/>
    <x v="0"/>
    <x v="0"/>
    <x v="0"/>
    <x v="0"/>
    <x v="1"/>
    <x v="1"/>
    <x v="1"/>
    <x v="7"/>
    <x v="7"/>
    <n v="35.602788990804299"/>
    <x v="0"/>
    <x v="0"/>
    <x v="1"/>
    <x v="4"/>
    <x v="5"/>
    <x v="7"/>
    <n v="38.807039999976688"/>
  </r>
  <r>
    <x v="8"/>
    <x v="0"/>
    <x v="8"/>
    <x v="8"/>
    <x v="0"/>
    <x v="2"/>
    <x v="0"/>
    <x v="0"/>
    <x v="0"/>
    <x v="0"/>
    <x v="0"/>
    <x v="0"/>
    <x v="1"/>
    <x v="1"/>
    <x v="1"/>
    <x v="8"/>
    <x v="8"/>
    <n v="19.074324324446401"/>
    <x v="0"/>
    <x v="1"/>
    <x v="2"/>
    <x v="2"/>
    <x v="6"/>
    <x v="8"/>
    <n v="20.791013513646579"/>
  </r>
  <r>
    <x v="8"/>
    <x v="0"/>
    <x v="8"/>
    <x v="8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8"/>
    <x v="0"/>
    <x v="8"/>
    <x v="8"/>
    <x v="0"/>
    <x v="2"/>
    <x v="0"/>
    <x v="0"/>
    <x v="0"/>
    <x v="0"/>
    <x v="0"/>
    <x v="0"/>
    <x v="1"/>
    <x v="1"/>
    <x v="1"/>
    <x v="2"/>
    <x v="2"/>
    <n v="9.0433761467835598"/>
    <x v="0"/>
    <x v="1"/>
    <x v="2"/>
    <x v="2"/>
    <x v="13"/>
    <x v="2"/>
    <n v="9.8572799999940806"/>
  </r>
  <r>
    <x v="8"/>
    <x v="0"/>
    <x v="8"/>
    <x v="8"/>
    <x v="0"/>
    <x v="2"/>
    <x v="0"/>
    <x v="0"/>
    <x v="0"/>
    <x v="0"/>
    <x v="0"/>
    <x v="0"/>
    <x v="2"/>
    <x v="2"/>
    <x v="2"/>
    <x v="4"/>
    <x v="4"/>
    <n v="30.717688073376099"/>
    <x v="0"/>
    <x v="0"/>
    <x v="1"/>
    <x v="3"/>
    <x v="3"/>
    <x v="4"/>
    <n v="33.482279999979951"/>
  </r>
  <r>
    <x v="8"/>
    <x v="0"/>
    <x v="8"/>
    <x v="8"/>
    <x v="0"/>
    <x v="2"/>
    <x v="0"/>
    <x v="0"/>
    <x v="0"/>
    <x v="0"/>
    <x v="0"/>
    <x v="0"/>
    <x v="2"/>
    <x v="2"/>
    <x v="2"/>
    <x v="39"/>
    <x v="39"/>
    <n v="1.0519174311920301"/>
    <x v="0"/>
    <x v="0"/>
    <x v="1"/>
    <x v="4"/>
    <x v="5"/>
    <x v="9"/>
    <n v="1.1465899999993128"/>
  </r>
  <r>
    <x v="8"/>
    <x v="0"/>
    <x v="8"/>
    <x v="8"/>
    <x v="0"/>
    <x v="2"/>
    <x v="0"/>
    <x v="0"/>
    <x v="0"/>
    <x v="0"/>
    <x v="0"/>
    <x v="0"/>
    <x v="2"/>
    <x v="2"/>
    <x v="2"/>
    <x v="5"/>
    <x v="5"/>
    <n v="103.13765644250201"/>
    <x v="0"/>
    <x v="0"/>
    <x v="1"/>
    <x v="1"/>
    <x v="1"/>
    <x v="5"/>
    <n v="112.4200455223272"/>
  </r>
  <r>
    <x v="8"/>
    <x v="0"/>
    <x v="8"/>
    <x v="8"/>
    <x v="0"/>
    <x v="2"/>
    <x v="0"/>
    <x v="0"/>
    <x v="0"/>
    <x v="0"/>
    <x v="0"/>
    <x v="0"/>
    <x v="2"/>
    <x v="2"/>
    <x v="2"/>
    <x v="6"/>
    <x v="6"/>
    <n v="2.4790000000000001"/>
    <x v="0"/>
    <x v="0"/>
    <x v="0"/>
    <x v="0"/>
    <x v="4"/>
    <x v="6"/>
    <n v="2.7021100000000002"/>
  </r>
  <r>
    <x v="8"/>
    <x v="0"/>
    <x v="8"/>
    <x v="8"/>
    <x v="0"/>
    <x v="2"/>
    <x v="0"/>
    <x v="0"/>
    <x v="0"/>
    <x v="0"/>
    <x v="0"/>
    <x v="0"/>
    <x v="2"/>
    <x v="2"/>
    <x v="2"/>
    <x v="7"/>
    <x v="7"/>
    <n v="1.5688073394486"/>
    <x v="0"/>
    <x v="0"/>
    <x v="1"/>
    <x v="4"/>
    <x v="5"/>
    <x v="7"/>
    <n v="1.7099999999989741"/>
  </r>
  <r>
    <x v="8"/>
    <x v="0"/>
    <x v="8"/>
    <x v="8"/>
    <x v="0"/>
    <x v="2"/>
    <x v="0"/>
    <x v="0"/>
    <x v="0"/>
    <x v="0"/>
    <x v="0"/>
    <x v="0"/>
    <x v="2"/>
    <x v="2"/>
    <x v="2"/>
    <x v="8"/>
    <x v="8"/>
    <n v="23.401493243392999"/>
    <x v="0"/>
    <x v="1"/>
    <x v="2"/>
    <x v="2"/>
    <x v="6"/>
    <x v="8"/>
    <n v="25.50762763529837"/>
  </r>
  <r>
    <x v="8"/>
    <x v="0"/>
    <x v="8"/>
    <x v="8"/>
    <x v="0"/>
    <x v="2"/>
    <x v="0"/>
    <x v="0"/>
    <x v="0"/>
    <x v="0"/>
    <x v="0"/>
    <x v="0"/>
    <x v="2"/>
    <x v="2"/>
    <x v="2"/>
    <x v="9"/>
    <x v="9"/>
    <n v="77.591614620949798"/>
    <x v="0"/>
    <x v="0"/>
    <x v="1"/>
    <x v="4"/>
    <x v="5"/>
    <x v="9"/>
    <n v="84.574859936835281"/>
  </r>
  <r>
    <x v="8"/>
    <x v="0"/>
    <x v="8"/>
    <x v="8"/>
    <x v="0"/>
    <x v="2"/>
    <x v="0"/>
    <x v="0"/>
    <x v="0"/>
    <x v="0"/>
    <x v="0"/>
    <x v="0"/>
    <x v="2"/>
    <x v="2"/>
    <x v="2"/>
    <x v="10"/>
    <x v="10"/>
    <n v="9.8868661445120001"/>
    <x v="0"/>
    <x v="0"/>
    <x v="1"/>
    <x v="4"/>
    <x v="5"/>
    <x v="10"/>
    <n v="10.77668409751808"/>
  </r>
  <r>
    <x v="8"/>
    <x v="0"/>
    <x v="8"/>
    <x v="8"/>
    <x v="0"/>
    <x v="2"/>
    <x v="0"/>
    <x v="0"/>
    <x v="0"/>
    <x v="0"/>
    <x v="0"/>
    <x v="0"/>
    <x v="2"/>
    <x v="2"/>
    <x v="2"/>
    <x v="28"/>
    <x v="28"/>
    <n v="4.8"/>
    <x v="0"/>
    <x v="0"/>
    <x v="1"/>
    <x v="3"/>
    <x v="3"/>
    <x v="13"/>
    <n v="5.2320000000000002"/>
  </r>
  <r>
    <x v="8"/>
    <x v="0"/>
    <x v="8"/>
    <x v="8"/>
    <x v="0"/>
    <x v="2"/>
    <x v="0"/>
    <x v="0"/>
    <x v="0"/>
    <x v="0"/>
    <x v="0"/>
    <x v="0"/>
    <x v="2"/>
    <x v="2"/>
    <x v="2"/>
    <x v="30"/>
    <x v="30"/>
    <n v="0.29793951612783998"/>
    <x v="0"/>
    <x v="0"/>
    <x v="0"/>
    <x v="0"/>
    <x v="0"/>
    <x v="0"/>
    <n v="0.32475407257934558"/>
  </r>
  <r>
    <x v="8"/>
    <x v="0"/>
    <x v="8"/>
    <x v="8"/>
    <x v="0"/>
    <x v="2"/>
    <x v="0"/>
    <x v="0"/>
    <x v="0"/>
    <x v="0"/>
    <x v="0"/>
    <x v="0"/>
    <x v="2"/>
    <x v="2"/>
    <x v="2"/>
    <x v="31"/>
    <x v="31"/>
    <n v="0.72901834862341997"/>
    <x v="0"/>
    <x v="0"/>
    <x v="1"/>
    <x v="4"/>
    <x v="5"/>
    <x v="10"/>
    <n v="0.79462999999952777"/>
  </r>
  <r>
    <x v="8"/>
    <x v="0"/>
    <x v="8"/>
    <x v="8"/>
    <x v="0"/>
    <x v="2"/>
    <x v="0"/>
    <x v="0"/>
    <x v="0"/>
    <x v="0"/>
    <x v="0"/>
    <x v="0"/>
    <x v="2"/>
    <x v="2"/>
    <x v="2"/>
    <x v="11"/>
    <x v="11"/>
    <n v="1.74"/>
    <x v="0"/>
    <x v="0"/>
    <x v="3"/>
    <x v="5"/>
    <x v="7"/>
    <x v="11"/>
    <n v="1.8966000000000001"/>
  </r>
  <r>
    <x v="8"/>
    <x v="0"/>
    <x v="8"/>
    <x v="8"/>
    <x v="0"/>
    <x v="2"/>
    <x v="0"/>
    <x v="0"/>
    <x v="0"/>
    <x v="0"/>
    <x v="0"/>
    <x v="0"/>
    <x v="2"/>
    <x v="2"/>
    <x v="2"/>
    <x v="12"/>
    <x v="12"/>
    <n v="43.451069767276699"/>
    <x v="0"/>
    <x v="0"/>
    <x v="0"/>
    <x v="0"/>
    <x v="8"/>
    <x v="12"/>
    <n v="47.361666046331607"/>
  </r>
  <r>
    <x v="8"/>
    <x v="0"/>
    <x v="8"/>
    <x v="8"/>
    <x v="0"/>
    <x v="2"/>
    <x v="0"/>
    <x v="0"/>
    <x v="0"/>
    <x v="0"/>
    <x v="0"/>
    <x v="0"/>
    <x v="2"/>
    <x v="2"/>
    <x v="2"/>
    <x v="13"/>
    <x v="13"/>
    <n v="89.596909999999994"/>
    <x v="0"/>
    <x v="0"/>
    <x v="1"/>
    <x v="3"/>
    <x v="3"/>
    <x v="13"/>
    <n v="97.660631899999998"/>
  </r>
  <r>
    <x v="8"/>
    <x v="0"/>
    <x v="8"/>
    <x v="8"/>
    <x v="0"/>
    <x v="2"/>
    <x v="0"/>
    <x v="0"/>
    <x v="0"/>
    <x v="0"/>
    <x v="0"/>
    <x v="0"/>
    <x v="2"/>
    <x v="2"/>
    <x v="2"/>
    <x v="32"/>
    <x v="32"/>
    <n v="5.9519609927732899"/>
    <x v="0"/>
    <x v="0"/>
    <x v="1"/>
    <x v="1"/>
    <x v="1"/>
    <x v="20"/>
    <n v="6.4876374821228868"/>
  </r>
  <r>
    <x v="8"/>
    <x v="0"/>
    <x v="8"/>
    <x v="8"/>
    <x v="0"/>
    <x v="2"/>
    <x v="0"/>
    <x v="0"/>
    <x v="0"/>
    <x v="0"/>
    <x v="0"/>
    <x v="0"/>
    <x v="2"/>
    <x v="2"/>
    <x v="2"/>
    <x v="14"/>
    <x v="14"/>
    <n v="101.13142000000001"/>
    <x v="0"/>
    <x v="0"/>
    <x v="0"/>
    <x v="0"/>
    <x v="8"/>
    <x v="14"/>
    <n v="110.23324780000002"/>
  </r>
  <r>
    <x v="8"/>
    <x v="0"/>
    <x v="8"/>
    <x v="8"/>
    <x v="0"/>
    <x v="2"/>
    <x v="0"/>
    <x v="0"/>
    <x v="0"/>
    <x v="0"/>
    <x v="0"/>
    <x v="0"/>
    <x v="2"/>
    <x v="2"/>
    <x v="2"/>
    <x v="22"/>
    <x v="22"/>
    <n v="12.7923655913467"/>
    <x v="0"/>
    <x v="0"/>
    <x v="0"/>
    <x v="0"/>
    <x v="0"/>
    <x v="0"/>
    <n v="13.943678494567903"/>
  </r>
  <r>
    <x v="8"/>
    <x v="0"/>
    <x v="8"/>
    <x v="8"/>
    <x v="0"/>
    <x v="2"/>
    <x v="0"/>
    <x v="0"/>
    <x v="0"/>
    <x v="0"/>
    <x v="0"/>
    <x v="0"/>
    <x v="2"/>
    <x v="2"/>
    <x v="2"/>
    <x v="16"/>
    <x v="16"/>
    <n v="22.070789999999999"/>
    <x v="0"/>
    <x v="0"/>
    <x v="3"/>
    <x v="5"/>
    <x v="9"/>
    <x v="16"/>
    <n v="24.057161100000002"/>
  </r>
  <r>
    <x v="8"/>
    <x v="0"/>
    <x v="8"/>
    <x v="8"/>
    <x v="0"/>
    <x v="2"/>
    <x v="0"/>
    <x v="0"/>
    <x v="0"/>
    <x v="0"/>
    <x v="0"/>
    <x v="0"/>
    <x v="2"/>
    <x v="2"/>
    <x v="2"/>
    <x v="21"/>
    <x v="21"/>
    <n v="4.2333577981625998"/>
    <x v="0"/>
    <x v="0"/>
    <x v="1"/>
    <x v="4"/>
    <x v="5"/>
    <x v="10"/>
    <n v="4.6143599999972338"/>
  </r>
  <r>
    <x v="8"/>
    <x v="0"/>
    <x v="8"/>
    <x v="8"/>
    <x v="0"/>
    <x v="2"/>
    <x v="0"/>
    <x v="0"/>
    <x v="0"/>
    <x v="0"/>
    <x v="0"/>
    <x v="0"/>
    <x v="2"/>
    <x v="2"/>
    <x v="2"/>
    <x v="26"/>
    <x v="26"/>
    <n v="94.643431192603799"/>
    <x v="0"/>
    <x v="0"/>
    <x v="1"/>
    <x v="3"/>
    <x v="3"/>
    <x v="15"/>
    <n v="103.16133999993815"/>
  </r>
  <r>
    <x v="8"/>
    <x v="0"/>
    <x v="8"/>
    <x v="8"/>
    <x v="0"/>
    <x v="2"/>
    <x v="0"/>
    <x v="0"/>
    <x v="0"/>
    <x v="0"/>
    <x v="0"/>
    <x v="0"/>
    <x v="2"/>
    <x v="2"/>
    <x v="2"/>
    <x v="0"/>
    <x v="0"/>
    <n v="19.714716192115599"/>
    <x v="0"/>
    <x v="0"/>
    <x v="0"/>
    <x v="0"/>
    <x v="0"/>
    <x v="0"/>
    <n v="21.489040649406004"/>
  </r>
  <r>
    <x v="8"/>
    <x v="0"/>
    <x v="8"/>
    <x v="8"/>
    <x v="0"/>
    <x v="2"/>
    <x v="0"/>
    <x v="0"/>
    <x v="0"/>
    <x v="0"/>
    <x v="0"/>
    <x v="0"/>
    <x v="2"/>
    <x v="2"/>
    <x v="2"/>
    <x v="1"/>
    <x v="1"/>
    <n v="159.70378620601801"/>
    <x v="0"/>
    <x v="0"/>
    <x v="1"/>
    <x v="1"/>
    <x v="1"/>
    <x v="1"/>
    <n v="174.07712696455965"/>
  </r>
  <r>
    <x v="8"/>
    <x v="0"/>
    <x v="8"/>
    <x v="8"/>
    <x v="0"/>
    <x v="2"/>
    <x v="0"/>
    <x v="0"/>
    <x v="0"/>
    <x v="0"/>
    <x v="0"/>
    <x v="0"/>
    <x v="2"/>
    <x v="2"/>
    <x v="2"/>
    <x v="2"/>
    <x v="2"/>
    <n v="306.089990825504"/>
    <x v="0"/>
    <x v="1"/>
    <x v="2"/>
    <x v="2"/>
    <x v="13"/>
    <x v="2"/>
    <n v="333.63808999979938"/>
  </r>
  <r>
    <x v="8"/>
    <x v="0"/>
    <x v="8"/>
    <x v="8"/>
    <x v="0"/>
    <x v="2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8"/>
    <x v="0"/>
    <x v="8"/>
    <x v="8"/>
    <x v="0"/>
    <x v="2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8"/>
    <x v="0"/>
    <x v="8"/>
    <x v="8"/>
    <x v="0"/>
    <x v="2"/>
    <x v="0"/>
    <x v="0"/>
    <x v="0"/>
    <x v="0"/>
    <x v="0"/>
    <x v="0"/>
    <x v="1"/>
    <x v="6"/>
    <x v="6"/>
    <x v="9"/>
    <x v="9"/>
    <n v="41.873577981626198"/>
    <x v="0"/>
    <x v="0"/>
    <x v="1"/>
    <x v="4"/>
    <x v="5"/>
    <x v="9"/>
    <n v="45.642199999972561"/>
  </r>
  <r>
    <x v="8"/>
    <x v="0"/>
    <x v="8"/>
    <x v="8"/>
    <x v="0"/>
    <x v="2"/>
    <x v="0"/>
    <x v="0"/>
    <x v="0"/>
    <x v="0"/>
    <x v="0"/>
    <x v="0"/>
    <x v="1"/>
    <x v="6"/>
    <x v="6"/>
    <x v="10"/>
    <x v="10"/>
    <n v="4.8383761467860902"/>
    <x v="0"/>
    <x v="0"/>
    <x v="1"/>
    <x v="4"/>
    <x v="5"/>
    <x v="10"/>
    <n v="5.2738299999968383"/>
  </r>
  <r>
    <x v="8"/>
    <x v="0"/>
    <x v="8"/>
    <x v="8"/>
    <x v="0"/>
    <x v="2"/>
    <x v="0"/>
    <x v="0"/>
    <x v="0"/>
    <x v="0"/>
    <x v="0"/>
    <x v="0"/>
    <x v="1"/>
    <x v="6"/>
    <x v="6"/>
    <x v="12"/>
    <x v="12"/>
    <n v="156.212790697081"/>
    <x v="0"/>
    <x v="0"/>
    <x v="0"/>
    <x v="0"/>
    <x v="8"/>
    <x v="12"/>
    <n v="170.2719418598183"/>
  </r>
  <r>
    <x v="8"/>
    <x v="0"/>
    <x v="8"/>
    <x v="8"/>
    <x v="0"/>
    <x v="2"/>
    <x v="0"/>
    <x v="0"/>
    <x v="0"/>
    <x v="0"/>
    <x v="0"/>
    <x v="0"/>
    <x v="1"/>
    <x v="6"/>
    <x v="6"/>
    <x v="16"/>
    <x v="16"/>
    <n v="7.6980300000000002"/>
    <x v="0"/>
    <x v="0"/>
    <x v="3"/>
    <x v="5"/>
    <x v="9"/>
    <x v="16"/>
    <n v="8.3908526999999999"/>
  </r>
  <r>
    <x v="8"/>
    <x v="0"/>
    <x v="8"/>
    <x v="8"/>
    <x v="0"/>
    <x v="2"/>
    <x v="0"/>
    <x v="0"/>
    <x v="0"/>
    <x v="0"/>
    <x v="0"/>
    <x v="0"/>
    <x v="1"/>
    <x v="6"/>
    <x v="6"/>
    <x v="25"/>
    <x v="25"/>
    <n v="2.3164495412830099"/>
    <x v="0"/>
    <x v="0"/>
    <x v="1"/>
    <x v="4"/>
    <x v="5"/>
    <x v="9"/>
    <n v="2.5249299999984811"/>
  </r>
  <r>
    <x v="8"/>
    <x v="0"/>
    <x v="8"/>
    <x v="8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8"/>
    <x v="0"/>
    <x v="8"/>
    <x v="8"/>
    <x v="0"/>
    <x v="2"/>
    <x v="0"/>
    <x v="0"/>
    <x v="0"/>
    <x v="0"/>
    <x v="0"/>
    <x v="0"/>
    <x v="1"/>
    <x v="6"/>
    <x v="6"/>
    <x v="2"/>
    <x v="2"/>
    <n v="35.805568807317997"/>
    <x v="0"/>
    <x v="1"/>
    <x v="2"/>
    <x v="2"/>
    <x v="13"/>
    <x v="2"/>
    <n v="39.028069999976616"/>
  </r>
  <r>
    <x v="8"/>
    <x v="0"/>
    <x v="8"/>
    <x v="8"/>
    <x v="0"/>
    <x v="2"/>
    <x v="0"/>
    <x v="0"/>
    <x v="0"/>
    <x v="0"/>
    <x v="0"/>
    <x v="0"/>
    <x v="3"/>
    <x v="7"/>
    <x v="7"/>
    <x v="9"/>
    <x v="9"/>
    <n v="1.796407182E-5"/>
    <x v="0"/>
    <x v="0"/>
    <x v="1"/>
    <x v="4"/>
    <x v="5"/>
    <x v="9"/>
    <n v="1.95808382838E-5"/>
  </r>
  <r>
    <x v="8"/>
    <x v="0"/>
    <x v="8"/>
    <x v="8"/>
    <x v="0"/>
    <x v="2"/>
    <x v="0"/>
    <x v="0"/>
    <x v="0"/>
    <x v="0"/>
    <x v="0"/>
    <x v="0"/>
    <x v="3"/>
    <x v="7"/>
    <x v="7"/>
    <x v="3"/>
    <x v="3"/>
    <n v="4.4809778321628002"/>
    <x v="0"/>
    <x v="0"/>
    <x v="1"/>
    <x v="3"/>
    <x v="3"/>
    <x v="3"/>
    <n v="4.8842658370574528"/>
  </r>
  <r>
    <x v="8"/>
    <x v="0"/>
    <x v="8"/>
    <x v="8"/>
    <x v="0"/>
    <x v="2"/>
    <x v="0"/>
    <x v="0"/>
    <x v="0"/>
    <x v="0"/>
    <x v="0"/>
    <x v="0"/>
    <x v="1"/>
    <x v="8"/>
    <x v="8"/>
    <x v="9"/>
    <x v="9"/>
    <n v="0.10705489000331"/>
    <x v="0"/>
    <x v="0"/>
    <x v="1"/>
    <x v="4"/>
    <x v="5"/>
    <x v="9"/>
    <n v="0.11668983010360791"/>
  </r>
  <r>
    <x v="8"/>
    <x v="0"/>
    <x v="8"/>
    <x v="8"/>
    <x v="0"/>
    <x v="2"/>
    <x v="0"/>
    <x v="0"/>
    <x v="0"/>
    <x v="0"/>
    <x v="0"/>
    <x v="0"/>
    <x v="1"/>
    <x v="8"/>
    <x v="8"/>
    <x v="10"/>
    <x v="10"/>
    <n v="5.797101568E-5"/>
    <x v="0"/>
    <x v="0"/>
    <x v="1"/>
    <x v="4"/>
    <x v="5"/>
    <x v="10"/>
    <n v="6.3188407091200002E-5"/>
  </r>
  <r>
    <x v="8"/>
    <x v="0"/>
    <x v="8"/>
    <x v="8"/>
    <x v="0"/>
    <x v="2"/>
    <x v="0"/>
    <x v="0"/>
    <x v="0"/>
    <x v="0"/>
    <x v="0"/>
    <x v="0"/>
    <x v="0"/>
    <x v="9"/>
    <x v="9"/>
    <x v="6"/>
    <x v="6"/>
    <n v="0.64800000000000002"/>
    <x v="0"/>
    <x v="0"/>
    <x v="0"/>
    <x v="0"/>
    <x v="4"/>
    <x v="6"/>
    <n v="0.70632000000000006"/>
  </r>
  <r>
    <x v="8"/>
    <x v="0"/>
    <x v="8"/>
    <x v="8"/>
    <x v="0"/>
    <x v="2"/>
    <x v="0"/>
    <x v="0"/>
    <x v="0"/>
    <x v="0"/>
    <x v="0"/>
    <x v="0"/>
    <x v="0"/>
    <x v="9"/>
    <x v="9"/>
    <x v="9"/>
    <x v="9"/>
    <n v="0.24146606737651"/>
    <x v="0"/>
    <x v="0"/>
    <x v="1"/>
    <x v="4"/>
    <x v="5"/>
    <x v="9"/>
    <n v="0.26319801344039589"/>
  </r>
  <r>
    <x v="8"/>
    <x v="0"/>
    <x v="8"/>
    <x v="8"/>
    <x v="0"/>
    <x v="2"/>
    <x v="0"/>
    <x v="0"/>
    <x v="0"/>
    <x v="0"/>
    <x v="0"/>
    <x v="0"/>
    <x v="0"/>
    <x v="9"/>
    <x v="9"/>
    <x v="10"/>
    <x v="10"/>
    <n v="5.797101568E-5"/>
    <x v="0"/>
    <x v="0"/>
    <x v="1"/>
    <x v="4"/>
    <x v="5"/>
    <x v="10"/>
    <n v="6.3188407091200002E-5"/>
  </r>
  <r>
    <x v="8"/>
    <x v="0"/>
    <x v="8"/>
    <x v="8"/>
    <x v="0"/>
    <x v="2"/>
    <x v="0"/>
    <x v="0"/>
    <x v="0"/>
    <x v="0"/>
    <x v="0"/>
    <x v="0"/>
    <x v="0"/>
    <x v="9"/>
    <x v="9"/>
    <x v="3"/>
    <x v="3"/>
    <n v="2.9016344825322902"/>
    <x v="0"/>
    <x v="0"/>
    <x v="1"/>
    <x v="3"/>
    <x v="3"/>
    <x v="3"/>
    <n v="3.1627815859601967"/>
  </r>
  <r>
    <x v="8"/>
    <x v="0"/>
    <x v="8"/>
    <x v="8"/>
    <x v="0"/>
    <x v="2"/>
    <x v="0"/>
    <x v="0"/>
    <x v="0"/>
    <x v="0"/>
    <x v="0"/>
    <x v="0"/>
    <x v="2"/>
    <x v="10"/>
    <x v="10"/>
    <x v="6"/>
    <x v="6"/>
    <n v="6.2690099999999997"/>
    <x v="0"/>
    <x v="0"/>
    <x v="0"/>
    <x v="0"/>
    <x v="4"/>
    <x v="6"/>
    <n v="6.8332209000000006"/>
  </r>
  <r>
    <x v="8"/>
    <x v="0"/>
    <x v="8"/>
    <x v="8"/>
    <x v="0"/>
    <x v="2"/>
    <x v="0"/>
    <x v="0"/>
    <x v="0"/>
    <x v="0"/>
    <x v="0"/>
    <x v="0"/>
    <x v="2"/>
    <x v="10"/>
    <x v="10"/>
    <x v="9"/>
    <x v="9"/>
    <n v="5.1915169555809999E-2"/>
    <x v="0"/>
    <x v="0"/>
    <x v="1"/>
    <x v="4"/>
    <x v="5"/>
    <x v="9"/>
    <n v="5.6587534815832903E-2"/>
  </r>
  <r>
    <x v="8"/>
    <x v="0"/>
    <x v="8"/>
    <x v="8"/>
    <x v="0"/>
    <x v="2"/>
    <x v="0"/>
    <x v="0"/>
    <x v="0"/>
    <x v="0"/>
    <x v="0"/>
    <x v="0"/>
    <x v="2"/>
    <x v="10"/>
    <x v="10"/>
    <x v="3"/>
    <x v="3"/>
    <n v="5.6678610833017498"/>
    <x v="0"/>
    <x v="0"/>
    <x v="1"/>
    <x v="3"/>
    <x v="3"/>
    <x v="3"/>
    <n v="6.1779685807989075"/>
  </r>
  <r>
    <x v="8"/>
    <x v="0"/>
    <x v="8"/>
    <x v="8"/>
    <x v="0"/>
    <x v="2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8"/>
    <x v="0"/>
    <x v="8"/>
    <x v="8"/>
    <x v="0"/>
    <x v="2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8"/>
    <x v="0"/>
    <x v="8"/>
    <x v="8"/>
    <x v="0"/>
    <x v="2"/>
    <x v="0"/>
    <x v="0"/>
    <x v="0"/>
    <x v="0"/>
    <x v="0"/>
    <x v="0"/>
    <x v="4"/>
    <x v="5"/>
    <x v="5"/>
    <x v="9"/>
    <x v="9"/>
    <n v="3.1793872191265402"/>
    <x v="0"/>
    <x v="0"/>
    <x v="1"/>
    <x v="4"/>
    <x v="5"/>
    <x v="9"/>
    <n v="3.4655320688479292"/>
  </r>
  <r>
    <x v="8"/>
    <x v="0"/>
    <x v="8"/>
    <x v="8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8"/>
    <x v="0"/>
    <x v="8"/>
    <x v="8"/>
    <x v="0"/>
    <x v="2"/>
    <x v="0"/>
    <x v="0"/>
    <x v="0"/>
    <x v="0"/>
    <x v="0"/>
    <x v="0"/>
    <x v="4"/>
    <x v="5"/>
    <x v="5"/>
    <x v="14"/>
    <x v="14"/>
    <n v="1.6926000000000001"/>
    <x v="0"/>
    <x v="0"/>
    <x v="0"/>
    <x v="0"/>
    <x v="8"/>
    <x v="14"/>
    <n v="1.8449340000000003"/>
  </r>
  <r>
    <x v="8"/>
    <x v="0"/>
    <x v="8"/>
    <x v="8"/>
    <x v="0"/>
    <x v="2"/>
    <x v="0"/>
    <x v="0"/>
    <x v="0"/>
    <x v="0"/>
    <x v="0"/>
    <x v="0"/>
    <x v="4"/>
    <x v="5"/>
    <x v="5"/>
    <x v="27"/>
    <x v="27"/>
    <n v="12.2942950453057"/>
    <x v="0"/>
    <x v="0"/>
    <x v="1"/>
    <x v="3"/>
    <x v="3"/>
    <x v="19"/>
    <n v="13.400781599383215"/>
  </r>
  <r>
    <x v="8"/>
    <x v="0"/>
    <x v="8"/>
    <x v="8"/>
    <x v="0"/>
    <x v="2"/>
    <x v="0"/>
    <x v="0"/>
    <x v="0"/>
    <x v="0"/>
    <x v="0"/>
    <x v="0"/>
    <x v="4"/>
    <x v="5"/>
    <x v="5"/>
    <x v="2"/>
    <x v="2"/>
    <n v="1989.0205779804601"/>
    <x v="0"/>
    <x v="1"/>
    <x v="2"/>
    <x v="2"/>
    <x v="13"/>
    <x v="2"/>
    <n v="2168.0324299987014"/>
  </r>
  <r>
    <x v="8"/>
    <x v="0"/>
    <x v="8"/>
    <x v="8"/>
    <x v="0"/>
    <x v="2"/>
    <x v="0"/>
    <x v="0"/>
    <x v="0"/>
    <x v="0"/>
    <x v="0"/>
    <x v="0"/>
    <x v="4"/>
    <x v="5"/>
    <x v="5"/>
    <x v="3"/>
    <x v="3"/>
    <n v="15.9658896539271"/>
    <x v="0"/>
    <x v="0"/>
    <x v="1"/>
    <x v="3"/>
    <x v="3"/>
    <x v="3"/>
    <n v="17.402819722780539"/>
  </r>
  <r>
    <x v="8"/>
    <x v="0"/>
    <x v="8"/>
    <x v="8"/>
    <x v="0"/>
    <x v="2"/>
    <x v="0"/>
    <x v="0"/>
    <x v="0"/>
    <x v="0"/>
    <x v="3"/>
    <x v="3"/>
    <x v="2"/>
    <x v="2"/>
    <x v="2"/>
    <x v="5"/>
    <x v="5"/>
    <n v="5.0354355828603596"/>
    <x v="0"/>
    <x v="0"/>
    <x v="1"/>
    <x v="1"/>
    <x v="1"/>
    <x v="5"/>
    <n v="5.4886247853177927"/>
  </r>
  <r>
    <x v="8"/>
    <x v="0"/>
    <x v="8"/>
    <x v="8"/>
    <x v="0"/>
    <x v="2"/>
    <x v="0"/>
    <x v="0"/>
    <x v="0"/>
    <x v="0"/>
    <x v="3"/>
    <x v="3"/>
    <x v="2"/>
    <x v="2"/>
    <x v="2"/>
    <x v="16"/>
    <x v="16"/>
    <n v="3.1499100000000002"/>
    <x v="0"/>
    <x v="0"/>
    <x v="3"/>
    <x v="5"/>
    <x v="9"/>
    <x v="16"/>
    <n v="3.4334019000000007"/>
  </r>
  <r>
    <x v="8"/>
    <x v="0"/>
    <x v="8"/>
    <x v="8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8"/>
    <x v="0"/>
    <x v="8"/>
    <x v="8"/>
    <x v="0"/>
    <x v="2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8"/>
    <x v="0"/>
    <x v="8"/>
    <x v="8"/>
    <x v="0"/>
    <x v="2"/>
    <x v="0"/>
    <x v="0"/>
    <x v="0"/>
    <x v="0"/>
    <x v="4"/>
    <x v="4"/>
    <x v="2"/>
    <x v="2"/>
    <x v="2"/>
    <x v="7"/>
    <x v="7"/>
    <n v="0.642201834862"/>
    <x v="0"/>
    <x v="0"/>
    <x v="1"/>
    <x v="4"/>
    <x v="5"/>
    <x v="7"/>
    <n v="0.69999999999958007"/>
  </r>
  <r>
    <x v="8"/>
    <x v="0"/>
    <x v="8"/>
    <x v="8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8"/>
    <x v="0"/>
    <x v="8"/>
    <x v="8"/>
    <x v="0"/>
    <x v="2"/>
    <x v="0"/>
    <x v="0"/>
    <x v="0"/>
    <x v="0"/>
    <x v="4"/>
    <x v="4"/>
    <x v="2"/>
    <x v="2"/>
    <x v="2"/>
    <x v="10"/>
    <x v="10"/>
    <n v="0.53494566312960001"/>
    <x v="0"/>
    <x v="0"/>
    <x v="1"/>
    <x v="4"/>
    <x v="5"/>
    <x v="10"/>
    <n v="0.58309077281126409"/>
  </r>
  <r>
    <x v="8"/>
    <x v="0"/>
    <x v="8"/>
    <x v="8"/>
    <x v="0"/>
    <x v="2"/>
    <x v="0"/>
    <x v="0"/>
    <x v="2"/>
    <x v="2"/>
    <x v="5"/>
    <x v="5"/>
    <x v="2"/>
    <x v="2"/>
    <x v="2"/>
    <x v="40"/>
    <x v="40"/>
    <n v="4.0250000000000004"/>
    <x v="1"/>
    <x v="2"/>
    <x v="5"/>
    <x v="7"/>
    <x v="11"/>
    <x v="22"/>
    <n v="4.3872500000000008"/>
  </r>
  <r>
    <x v="8"/>
    <x v="0"/>
    <x v="8"/>
    <x v="8"/>
    <x v="0"/>
    <x v="2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8"/>
    <x v="0"/>
    <x v="8"/>
    <x v="8"/>
    <x v="0"/>
    <x v="2"/>
    <x v="0"/>
    <x v="0"/>
    <x v="2"/>
    <x v="2"/>
    <x v="5"/>
    <x v="5"/>
    <x v="4"/>
    <x v="5"/>
    <x v="5"/>
    <x v="41"/>
    <x v="41"/>
    <n v="13.8638297871814"/>
    <x v="1"/>
    <x v="2"/>
    <x v="5"/>
    <x v="7"/>
    <x v="11"/>
    <x v="22"/>
    <n v="15.111574468027728"/>
  </r>
  <r>
    <x v="8"/>
    <x v="0"/>
    <x v="8"/>
    <x v="8"/>
    <x v="0"/>
    <x v="2"/>
    <x v="0"/>
    <x v="0"/>
    <x v="2"/>
    <x v="2"/>
    <x v="5"/>
    <x v="5"/>
    <x v="4"/>
    <x v="5"/>
    <x v="5"/>
    <x v="40"/>
    <x v="40"/>
    <n v="385.6422"/>
    <x v="1"/>
    <x v="2"/>
    <x v="5"/>
    <x v="7"/>
    <x v="11"/>
    <x v="22"/>
    <n v="420.34999800000003"/>
  </r>
  <r>
    <x v="8"/>
    <x v="0"/>
    <x v="8"/>
    <x v="8"/>
    <x v="0"/>
    <x v="2"/>
    <x v="0"/>
    <x v="0"/>
    <x v="2"/>
    <x v="2"/>
    <x v="7"/>
    <x v="7"/>
    <x v="2"/>
    <x v="2"/>
    <x v="2"/>
    <x v="40"/>
    <x v="40"/>
    <n v="8.9250000000000007"/>
    <x v="1"/>
    <x v="2"/>
    <x v="5"/>
    <x v="7"/>
    <x v="11"/>
    <x v="22"/>
    <n v="9.728250000000001"/>
  </r>
  <r>
    <x v="8"/>
    <x v="0"/>
    <x v="8"/>
    <x v="8"/>
    <x v="0"/>
    <x v="2"/>
    <x v="0"/>
    <x v="0"/>
    <x v="2"/>
    <x v="2"/>
    <x v="7"/>
    <x v="7"/>
    <x v="2"/>
    <x v="2"/>
    <x v="2"/>
    <x v="38"/>
    <x v="38"/>
    <n v="113.876"/>
    <x v="1"/>
    <x v="0"/>
    <x v="4"/>
    <x v="6"/>
    <x v="10"/>
    <x v="21"/>
    <n v="124.12484000000002"/>
  </r>
  <r>
    <x v="8"/>
    <x v="0"/>
    <x v="8"/>
    <x v="8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8"/>
    <x v="0"/>
    <x v="8"/>
    <x v="8"/>
    <x v="0"/>
    <x v="2"/>
    <x v="0"/>
    <x v="0"/>
    <x v="2"/>
    <x v="2"/>
    <x v="7"/>
    <x v="7"/>
    <x v="4"/>
    <x v="5"/>
    <x v="5"/>
    <x v="40"/>
    <x v="40"/>
    <n v="7.5"/>
    <x v="1"/>
    <x v="2"/>
    <x v="5"/>
    <x v="7"/>
    <x v="11"/>
    <x v="22"/>
    <n v="8.1750000000000007"/>
  </r>
  <r>
    <x v="8"/>
    <x v="0"/>
    <x v="8"/>
    <x v="8"/>
    <x v="0"/>
    <x v="2"/>
    <x v="0"/>
    <x v="0"/>
    <x v="2"/>
    <x v="2"/>
    <x v="9"/>
    <x v="9"/>
    <x v="2"/>
    <x v="2"/>
    <x v="2"/>
    <x v="40"/>
    <x v="40"/>
    <n v="108.9"/>
    <x v="1"/>
    <x v="2"/>
    <x v="5"/>
    <x v="7"/>
    <x v="11"/>
    <x v="22"/>
    <n v="118.70100000000002"/>
  </r>
  <r>
    <x v="8"/>
    <x v="0"/>
    <x v="8"/>
    <x v="8"/>
    <x v="0"/>
    <x v="2"/>
    <x v="0"/>
    <x v="0"/>
    <x v="2"/>
    <x v="2"/>
    <x v="9"/>
    <x v="9"/>
    <x v="2"/>
    <x v="2"/>
    <x v="2"/>
    <x v="38"/>
    <x v="38"/>
    <n v="0.5"/>
    <x v="1"/>
    <x v="0"/>
    <x v="4"/>
    <x v="6"/>
    <x v="10"/>
    <x v="21"/>
    <n v="0.54500000000000004"/>
  </r>
  <r>
    <x v="8"/>
    <x v="0"/>
    <x v="8"/>
    <x v="8"/>
    <x v="0"/>
    <x v="2"/>
    <x v="0"/>
    <x v="0"/>
    <x v="2"/>
    <x v="2"/>
    <x v="9"/>
    <x v="9"/>
    <x v="1"/>
    <x v="6"/>
    <x v="6"/>
    <x v="40"/>
    <x v="40"/>
    <n v="5.88"/>
    <x v="1"/>
    <x v="2"/>
    <x v="5"/>
    <x v="7"/>
    <x v="11"/>
    <x v="22"/>
    <n v="6.4092000000000002"/>
  </r>
  <r>
    <x v="8"/>
    <x v="0"/>
    <x v="8"/>
    <x v="8"/>
    <x v="0"/>
    <x v="2"/>
    <x v="0"/>
    <x v="0"/>
    <x v="2"/>
    <x v="2"/>
    <x v="9"/>
    <x v="9"/>
    <x v="3"/>
    <x v="7"/>
    <x v="7"/>
    <x v="40"/>
    <x v="40"/>
    <n v="394.31819999999999"/>
    <x v="1"/>
    <x v="2"/>
    <x v="5"/>
    <x v="7"/>
    <x v="11"/>
    <x v="22"/>
    <n v="429.80683800000003"/>
  </r>
  <r>
    <x v="8"/>
    <x v="0"/>
    <x v="8"/>
    <x v="8"/>
    <x v="0"/>
    <x v="2"/>
    <x v="0"/>
    <x v="0"/>
    <x v="2"/>
    <x v="2"/>
    <x v="9"/>
    <x v="9"/>
    <x v="1"/>
    <x v="8"/>
    <x v="8"/>
    <x v="40"/>
    <x v="40"/>
    <n v="554.87400000000002"/>
    <x v="1"/>
    <x v="2"/>
    <x v="5"/>
    <x v="7"/>
    <x v="11"/>
    <x v="22"/>
    <n v="604.81266000000005"/>
  </r>
  <r>
    <x v="8"/>
    <x v="0"/>
    <x v="8"/>
    <x v="8"/>
    <x v="0"/>
    <x v="2"/>
    <x v="0"/>
    <x v="0"/>
    <x v="2"/>
    <x v="2"/>
    <x v="9"/>
    <x v="9"/>
    <x v="2"/>
    <x v="10"/>
    <x v="10"/>
    <x v="40"/>
    <x v="40"/>
    <n v="131.5686"/>
    <x v="1"/>
    <x v="2"/>
    <x v="5"/>
    <x v="7"/>
    <x v="11"/>
    <x v="22"/>
    <n v="143.40977400000003"/>
  </r>
  <r>
    <x v="8"/>
    <x v="0"/>
    <x v="8"/>
    <x v="8"/>
    <x v="0"/>
    <x v="2"/>
    <x v="0"/>
    <x v="0"/>
    <x v="2"/>
    <x v="2"/>
    <x v="9"/>
    <x v="9"/>
    <x v="4"/>
    <x v="5"/>
    <x v="5"/>
    <x v="41"/>
    <x v="41"/>
    <n v="184.21276595674701"/>
    <x v="1"/>
    <x v="2"/>
    <x v="5"/>
    <x v="7"/>
    <x v="11"/>
    <x v="22"/>
    <n v="200.79191489285427"/>
  </r>
  <r>
    <x v="8"/>
    <x v="0"/>
    <x v="8"/>
    <x v="8"/>
    <x v="0"/>
    <x v="2"/>
    <x v="0"/>
    <x v="0"/>
    <x v="2"/>
    <x v="2"/>
    <x v="9"/>
    <x v="9"/>
    <x v="4"/>
    <x v="5"/>
    <x v="5"/>
    <x v="40"/>
    <x v="40"/>
    <n v="1268.1515999999999"/>
    <x v="1"/>
    <x v="2"/>
    <x v="5"/>
    <x v="7"/>
    <x v="11"/>
    <x v="22"/>
    <n v="1382.2852439999999"/>
  </r>
  <r>
    <x v="8"/>
    <x v="0"/>
    <x v="8"/>
    <x v="8"/>
    <x v="0"/>
    <x v="2"/>
    <x v="0"/>
    <x v="0"/>
    <x v="2"/>
    <x v="2"/>
    <x v="10"/>
    <x v="10"/>
    <x v="2"/>
    <x v="2"/>
    <x v="2"/>
    <x v="40"/>
    <x v="40"/>
    <n v="197.92662999999999"/>
    <x v="1"/>
    <x v="2"/>
    <x v="5"/>
    <x v="7"/>
    <x v="11"/>
    <x v="22"/>
    <n v="215.74002670000002"/>
  </r>
  <r>
    <x v="8"/>
    <x v="0"/>
    <x v="8"/>
    <x v="8"/>
    <x v="0"/>
    <x v="3"/>
    <x v="0"/>
    <x v="0"/>
    <x v="0"/>
    <x v="0"/>
    <x v="0"/>
    <x v="0"/>
    <x v="2"/>
    <x v="2"/>
    <x v="2"/>
    <x v="9"/>
    <x v="9"/>
    <n v="111.57036697241"/>
    <x v="0"/>
    <x v="0"/>
    <x v="1"/>
    <x v="4"/>
    <x v="5"/>
    <x v="9"/>
    <n v="121.61169999992691"/>
  </r>
  <r>
    <x v="8"/>
    <x v="0"/>
    <x v="8"/>
    <x v="8"/>
    <x v="0"/>
    <x v="3"/>
    <x v="0"/>
    <x v="0"/>
    <x v="0"/>
    <x v="0"/>
    <x v="0"/>
    <x v="0"/>
    <x v="2"/>
    <x v="2"/>
    <x v="2"/>
    <x v="10"/>
    <x v="10"/>
    <n v="18.5816513761356"/>
    <x v="0"/>
    <x v="0"/>
    <x v="1"/>
    <x v="4"/>
    <x v="5"/>
    <x v="10"/>
    <n v="20.253999999987805"/>
  </r>
  <r>
    <x v="8"/>
    <x v="0"/>
    <x v="8"/>
    <x v="8"/>
    <x v="0"/>
    <x v="3"/>
    <x v="0"/>
    <x v="0"/>
    <x v="0"/>
    <x v="0"/>
    <x v="0"/>
    <x v="0"/>
    <x v="2"/>
    <x v="2"/>
    <x v="2"/>
    <x v="11"/>
    <x v="11"/>
    <n v="168.69475"/>
    <x v="0"/>
    <x v="0"/>
    <x v="3"/>
    <x v="5"/>
    <x v="7"/>
    <x v="11"/>
    <n v="183.87727750000002"/>
  </r>
  <r>
    <x v="8"/>
    <x v="0"/>
    <x v="8"/>
    <x v="8"/>
    <x v="0"/>
    <x v="3"/>
    <x v="0"/>
    <x v="0"/>
    <x v="0"/>
    <x v="0"/>
    <x v="0"/>
    <x v="0"/>
    <x v="2"/>
    <x v="2"/>
    <x v="2"/>
    <x v="16"/>
    <x v="16"/>
    <n v="51.266829999999999"/>
    <x v="0"/>
    <x v="0"/>
    <x v="3"/>
    <x v="5"/>
    <x v="9"/>
    <x v="16"/>
    <n v="55.880844700000004"/>
  </r>
  <r>
    <x v="8"/>
    <x v="0"/>
    <x v="8"/>
    <x v="8"/>
    <x v="0"/>
    <x v="3"/>
    <x v="0"/>
    <x v="0"/>
    <x v="0"/>
    <x v="0"/>
    <x v="0"/>
    <x v="0"/>
    <x v="2"/>
    <x v="2"/>
    <x v="2"/>
    <x v="21"/>
    <x v="21"/>
    <n v="19.036403669713401"/>
    <x v="0"/>
    <x v="0"/>
    <x v="1"/>
    <x v="4"/>
    <x v="5"/>
    <x v="10"/>
    <n v="20.74967999998761"/>
  </r>
  <r>
    <x v="8"/>
    <x v="0"/>
    <x v="8"/>
    <x v="8"/>
    <x v="0"/>
    <x v="3"/>
    <x v="0"/>
    <x v="0"/>
    <x v="0"/>
    <x v="0"/>
    <x v="0"/>
    <x v="0"/>
    <x v="1"/>
    <x v="6"/>
    <x v="6"/>
    <x v="9"/>
    <x v="9"/>
    <n v="13.8275412843954"/>
    <x v="0"/>
    <x v="0"/>
    <x v="1"/>
    <x v="4"/>
    <x v="5"/>
    <x v="9"/>
    <n v="15.072019999990987"/>
  </r>
  <r>
    <x v="8"/>
    <x v="0"/>
    <x v="8"/>
    <x v="8"/>
    <x v="0"/>
    <x v="3"/>
    <x v="0"/>
    <x v="0"/>
    <x v="0"/>
    <x v="0"/>
    <x v="0"/>
    <x v="0"/>
    <x v="1"/>
    <x v="6"/>
    <x v="6"/>
    <x v="11"/>
    <x v="11"/>
    <n v="19.45025"/>
    <x v="0"/>
    <x v="0"/>
    <x v="3"/>
    <x v="5"/>
    <x v="7"/>
    <x v="11"/>
    <n v="21.200772500000003"/>
  </r>
  <r>
    <x v="8"/>
    <x v="0"/>
    <x v="8"/>
    <x v="8"/>
    <x v="0"/>
    <x v="3"/>
    <x v="0"/>
    <x v="0"/>
    <x v="0"/>
    <x v="0"/>
    <x v="0"/>
    <x v="0"/>
    <x v="1"/>
    <x v="6"/>
    <x v="6"/>
    <x v="16"/>
    <x v="16"/>
    <n v="9.625"/>
    <x v="0"/>
    <x v="0"/>
    <x v="3"/>
    <x v="5"/>
    <x v="9"/>
    <x v="16"/>
    <n v="10.491250000000001"/>
  </r>
  <r>
    <x v="8"/>
    <x v="0"/>
    <x v="8"/>
    <x v="8"/>
    <x v="0"/>
    <x v="3"/>
    <x v="0"/>
    <x v="0"/>
    <x v="0"/>
    <x v="0"/>
    <x v="0"/>
    <x v="0"/>
    <x v="1"/>
    <x v="8"/>
    <x v="8"/>
    <x v="9"/>
    <x v="9"/>
    <n v="153.93027522926499"/>
    <x v="0"/>
    <x v="0"/>
    <x v="1"/>
    <x v="4"/>
    <x v="5"/>
    <x v="9"/>
    <n v="167.78399999989887"/>
  </r>
  <r>
    <x v="8"/>
    <x v="0"/>
    <x v="8"/>
    <x v="8"/>
    <x v="0"/>
    <x v="3"/>
    <x v="0"/>
    <x v="0"/>
    <x v="0"/>
    <x v="0"/>
    <x v="0"/>
    <x v="0"/>
    <x v="0"/>
    <x v="9"/>
    <x v="9"/>
    <x v="9"/>
    <x v="9"/>
    <n v="464.63577981623502"/>
    <x v="0"/>
    <x v="0"/>
    <x v="1"/>
    <x v="4"/>
    <x v="5"/>
    <x v="9"/>
    <n v="506.4529999996962"/>
  </r>
  <r>
    <x v="8"/>
    <x v="0"/>
    <x v="8"/>
    <x v="8"/>
    <x v="0"/>
    <x v="3"/>
    <x v="0"/>
    <x v="0"/>
    <x v="0"/>
    <x v="0"/>
    <x v="0"/>
    <x v="0"/>
    <x v="2"/>
    <x v="10"/>
    <x v="10"/>
    <x v="9"/>
    <x v="9"/>
    <n v="183.64311926594499"/>
    <x v="0"/>
    <x v="0"/>
    <x v="1"/>
    <x v="4"/>
    <x v="5"/>
    <x v="9"/>
    <n v="200.17099999988005"/>
  </r>
  <r>
    <x v="8"/>
    <x v="0"/>
    <x v="8"/>
    <x v="8"/>
    <x v="0"/>
    <x v="3"/>
    <x v="0"/>
    <x v="0"/>
    <x v="0"/>
    <x v="0"/>
    <x v="0"/>
    <x v="0"/>
    <x v="4"/>
    <x v="5"/>
    <x v="5"/>
    <x v="9"/>
    <x v="9"/>
    <n v="910.78895412789404"/>
    <x v="0"/>
    <x v="0"/>
    <x v="1"/>
    <x v="4"/>
    <x v="5"/>
    <x v="9"/>
    <n v="992.7599599994046"/>
  </r>
  <r>
    <x v="8"/>
    <x v="0"/>
    <x v="8"/>
    <x v="8"/>
    <x v="0"/>
    <x v="3"/>
    <x v="0"/>
    <x v="0"/>
    <x v="0"/>
    <x v="0"/>
    <x v="0"/>
    <x v="0"/>
    <x v="1"/>
    <x v="1"/>
    <x v="1"/>
    <x v="11"/>
    <x v="11"/>
    <n v="1.2329000000000001"/>
    <x v="0"/>
    <x v="0"/>
    <x v="3"/>
    <x v="5"/>
    <x v="7"/>
    <x v="11"/>
    <n v="1.3438610000000002"/>
  </r>
  <r>
    <x v="8"/>
    <x v="0"/>
    <x v="8"/>
    <x v="8"/>
    <x v="0"/>
    <x v="3"/>
    <x v="0"/>
    <x v="0"/>
    <x v="0"/>
    <x v="0"/>
    <x v="4"/>
    <x v="4"/>
    <x v="2"/>
    <x v="2"/>
    <x v="2"/>
    <x v="9"/>
    <x v="9"/>
    <n v="0.42411009174286002"/>
    <x v="0"/>
    <x v="0"/>
    <x v="1"/>
    <x v="4"/>
    <x v="5"/>
    <x v="9"/>
    <n v="0.46227999999971747"/>
  </r>
  <r>
    <x v="8"/>
    <x v="0"/>
    <x v="8"/>
    <x v="8"/>
    <x v="0"/>
    <x v="3"/>
    <x v="0"/>
    <x v="0"/>
    <x v="0"/>
    <x v="0"/>
    <x v="4"/>
    <x v="4"/>
    <x v="2"/>
    <x v="2"/>
    <x v="2"/>
    <x v="16"/>
    <x v="16"/>
    <n v="8.7400000000000005E-2"/>
    <x v="0"/>
    <x v="0"/>
    <x v="3"/>
    <x v="5"/>
    <x v="9"/>
    <x v="16"/>
    <n v="9.5266000000000017E-2"/>
  </r>
  <r>
    <x v="8"/>
    <x v="0"/>
    <x v="8"/>
    <x v="8"/>
    <x v="0"/>
    <x v="5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8"/>
    <x v="0"/>
    <x v="8"/>
    <x v="8"/>
    <x v="0"/>
    <x v="5"/>
    <x v="0"/>
    <x v="0"/>
    <x v="0"/>
    <x v="0"/>
    <x v="0"/>
    <x v="0"/>
    <x v="2"/>
    <x v="2"/>
    <x v="2"/>
    <x v="11"/>
    <x v="11"/>
    <n v="7.6278100000000002"/>
    <x v="0"/>
    <x v="0"/>
    <x v="3"/>
    <x v="5"/>
    <x v="7"/>
    <x v="11"/>
    <n v="8.3143129000000009"/>
  </r>
  <r>
    <x v="8"/>
    <x v="0"/>
    <x v="8"/>
    <x v="8"/>
    <x v="0"/>
    <x v="5"/>
    <x v="0"/>
    <x v="0"/>
    <x v="0"/>
    <x v="0"/>
    <x v="0"/>
    <x v="0"/>
    <x v="2"/>
    <x v="2"/>
    <x v="2"/>
    <x v="26"/>
    <x v="26"/>
    <n v="1.1926605504579999"/>
    <x v="0"/>
    <x v="0"/>
    <x v="1"/>
    <x v="3"/>
    <x v="3"/>
    <x v="15"/>
    <n v="1.29999999999922"/>
  </r>
  <r>
    <x v="8"/>
    <x v="0"/>
    <x v="8"/>
    <x v="8"/>
    <x v="0"/>
    <x v="5"/>
    <x v="0"/>
    <x v="0"/>
    <x v="0"/>
    <x v="0"/>
    <x v="0"/>
    <x v="0"/>
    <x v="1"/>
    <x v="6"/>
    <x v="6"/>
    <x v="11"/>
    <x v="11"/>
    <n v="4.4203999999999999"/>
    <x v="0"/>
    <x v="0"/>
    <x v="3"/>
    <x v="5"/>
    <x v="7"/>
    <x v="11"/>
    <n v="4.8182360000000006"/>
  </r>
  <r>
    <x v="8"/>
    <x v="0"/>
    <x v="8"/>
    <x v="8"/>
    <x v="0"/>
    <x v="5"/>
    <x v="0"/>
    <x v="0"/>
    <x v="0"/>
    <x v="0"/>
    <x v="0"/>
    <x v="0"/>
    <x v="1"/>
    <x v="6"/>
    <x v="6"/>
    <x v="3"/>
    <x v="3"/>
    <n v="-16.18149"/>
    <x v="0"/>
    <x v="0"/>
    <x v="1"/>
    <x v="3"/>
    <x v="3"/>
    <x v="3"/>
    <n v="-17.637824100000003"/>
  </r>
  <r>
    <x v="8"/>
    <x v="0"/>
    <x v="8"/>
    <x v="8"/>
    <x v="0"/>
    <x v="5"/>
    <x v="0"/>
    <x v="0"/>
    <x v="0"/>
    <x v="0"/>
    <x v="0"/>
    <x v="0"/>
    <x v="3"/>
    <x v="7"/>
    <x v="7"/>
    <x v="9"/>
    <x v="9"/>
    <n v="33.944954128420001"/>
    <x v="0"/>
    <x v="0"/>
    <x v="1"/>
    <x v="4"/>
    <x v="5"/>
    <x v="9"/>
    <n v="36.999999999977803"/>
  </r>
  <r>
    <x v="8"/>
    <x v="0"/>
    <x v="8"/>
    <x v="8"/>
    <x v="0"/>
    <x v="5"/>
    <x v="0"/>
    <x v="0"/>
    <x v="0"/>
    <x v="0"/>
    <x v="0"/>
    <x v="0"/>
    <x v="1"/>
    <x v="8"/>
    <x v="8"/>
    <x v="9"/>
    <x v="9"/>
    <n v="133.02752293570001"/>
    <x v="0"/>
    <x v="0"/>
    <x v="1"/>
    <x v="4"/>
    <x v="5"/>
    <x v="9"/>
    <n v="144.99999999991303"/>
  </r>
  <r>
    <x v="8"/>
    <x v="0"/>
    <x v="8"/>
    <x v="8"/>
    <x v="0"/>
    <x v="5"/>
    <x v="0"/>
    <x v="0"/>
    <x v="0"/>
    <x v="0"/>
    <x v="0"/>
    <x v="0"/>
    <x v="0"/>
    <x v="9"/>
    <x v="9"/>
    <x v="9"/>
    <x v="9"/>
    <n v="3.83761467889678"/>
    <x v="0"/>
    <x v="0"/>
    <x v="1"/>
    <x v="4"/>
    <x v="5"/>
    <x v="9"/>
    <n v="4.1829999999974907"/>
  </r>
  <r>
    <x v="8"/>
    <x v="0"/>
    <x v="8"/>
    <x v="8"/>
    <x v="0"/>
    <x v="5"/>
    <x v="0"/>
    <x v="0"/>
    <x v="0"/>
    <x v="0"/>
    <x v="0"/>
    <x v="0"/>
    <x v="2"/>
    <x v="10"/>
    <x v="10"/>
    <x v="9"/>
    <x v="9"/>
    <n v="12.38532110091"/>
    <x v="0"/>
    <x v="0"/>
    <x v="1"/>
    <x v="4"/>
    <x v="5"/>
    <x v="9"/>
    <n v="13.4999999999919"/>
  </r>
  <r>
    <x v="8"/>
    <x v="0"/>
    <x v="8"/>
    <x v="8"/>
    <x v="0"/>
    <x v="5"/>
    <x v="0"/>
    <x v="0"/>
    <x v="0"/>
    <x v="0"/>
    <x v="0"/>
    <x v="0"/>
    <x v="4"/>
    <x v="5"/>
    <x v="5"/>
    <x v="9"/>
    <x v="9"/>
    <n v="57.79816513758"/>
    <x v="0"/>
    <x v="0"/>
    <x v="1"/>
    <x v="4"/>
    <x v="5"/>
    <x v="9"/>
    <n v="62.999999999962206"/>
  </r>
  <r>
    <x v="8"/>
    <x v="0"/>
    <x v="8"/>
    <x v="8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8"/>
    <x v="0"/>
    <x v="8"/>
    <x v="8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8"/>
    <x v="0"/>
    <x v="8"/>
    <x v="8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8"/>
    <x v="0"/>
    <x v="8"/>
    <x v="8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8"/>
    <x v="0"/>
    <x v="8"/>
    <x v="8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8"/>
    <x v="0"/>
    <x v="8"/>
    <x v="8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8"/>
    <x v="0"/>
    <x v="8"/>
    <x v="8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8"/>
    <x v="0"/>
    <x v="8"/>
    <x v="8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8"/>
    <x v="0"/>
    <x v="8"/>
    <x v="8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8"/>
    <x v="0"/>
    <x v="8"/>
    <x v="8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8"/>
    <x v="0"/>
    <x v="8"/>
    <x v="8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8"/>
    <x v="0"/>
    <x v="8"/>
    <x v="8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8"/>
    <x v="0"/>
    <x v="8"/>
    <x v="8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8"/>
    <x v="0"/>
    <x v="8"/>
    <x v="8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8"/>
    <x v="0"/>
    <x v="8"/>
    <x v="8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8"/>
    <x v="0"/>
    <x v="8"/>
    <x v="8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8"/>
    <x v="0"/>
    <x v="8"/>
    <x v="8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8"/>
    <x v="0"/>
    <x v="8"/>
    <x v="8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8"/>
    <x v="0"/>
    <x v="8"/>
    <x v="8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8"/>
    <x v="0"/>
    <x v="8"/>
    <x v="8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8"/>
    <x v="0"/>
    <x v="8"/>
    <x v="8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8"/>
    <x v="0"/>
    <x v="8"/>
    <x v="8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8"/>
    <x v="0"/>
    <x v="8"/>
    <x v="8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8"/>
    <x v="0"/>
    <x v="8"/>
    <x v="8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8"/>
    <x v="0"/>
    <x v="8"/>
    <x v="8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8"/>
    <x v="0"/>
    <x v="8"/>
    <x v="8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8"/>
    <x v="0"/>
    <x v="8"/>
    <x v="8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8"/>
    <x v="0"/>
    <x v="8"/>
    <x v="8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8"/>
    <x v="0"/>
    <x v="8"/>
    <x v="8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8"/>
    <x v="0"/>
    <x v="8"/>
    <x v="8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8"/>
    <x v="0"/>
    <x v="8"/>
    <x v="8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8"/>
    <x v="0"/>
    <x v="8"/>
    <x v="8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8"/>
    <x v="0"/>
    <x v="8"/>
    <x v="8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8"/>
    <x v="0"/>
    <x v="8"/>
    <x v="8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8"/>
    <x v="0"/>
    <x v="8"/>
    <x v="8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8"/>
    <x v="0"/>
    <x v="8"/>
    <x v="8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8"/>
    <x v="0"/>
    <x v="8"/>
    <x v="8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8"/>
    <x v="0"/>
    <x v="8"/>
    <x v="8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8"/>
    <x v="0"/>
    <x v="8"/>
    <x v="8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8"/>
    <x v="0"/>
    <x v="8"/>
    <x v="8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8"/>
    <x v="0"/>
    <x v="8"/>
    <x v="8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8"/>
    <x v="0"/>
    <x v="8"/>
    <x v="8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8"/>
    <x v="0"/>
    <x v="8"/>
    <x v="8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8"/>
    <x v="0"/>
    <x v="8"/>
    <x v="8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8"/>
    <x v="0"/>
    <x v="8"/>
    <x v="8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8"/>
    <x v="0"/>
    <x v="8"/>
    <x v="8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8"/>
    <x v="0"/>
    <x v="8"/>
    <x v="8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8"/>
    <x v="0"/>
    <x v="8"/>
    <x v="8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8"/>
    <x v="0"/>
    <x v="8"/>
    <x v="8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8"/>
    <x v="0"/>
    <x v="8"/>
    <x v="8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8"/>
    <x v="0"/>
    <x v="8"/>
    <x v="8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8"/>
    <x v="0"/>
    <x v="8"/>
    <x v="8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8"/>
    <x v="0"/>
    <x v="8"/>
    <x v="8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8"/>
    <x v="0"/>
    <x v="8"/>
    <x v="8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8"/>
    <x v="0"/>
    <x v="8"/>
    <x v="8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8"/>
    <x v="0"/>
    <x v="8"/>
    <x v="8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8"/>
    <x v="0"/>
    <x v="8"/>
    <x v="8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8"/>
    <x v="0"/>
    <x v="8"/>
    <x v="8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8"/>
    <x v="0"/>
    <x v="8"/>
    <x v="8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8"/>
    <x v="0"/>
    <x v="8"/>
    <x v="8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8"/>
    <x v="0"/>
    <x v="8"/>
    <x v="8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8"/>
    <x v="0"/>
    <x v="8"/>
    <x v="8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8"/>
    <x v="0"/>
    <x v="8"/>
    <x v="8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8"/>
    <x v="0"/>
    <x v="8"/>
    <x v="8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8"/>
    <x v="0"/>
    <x v="8"/>
    <x v="8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8"/>
    <x v="0"/>
    <x v="8"/>
    <x v="8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8"/>
    <x v="0"/>
    <x v="8"/>
    <x v="8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8"/>
    <x v="0"/>
    <x v="8"/>
    <x v="8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8"/>
    <x v="0"/>
    <x v="8"/>
    <x v="8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8"/>
    <x v="0"/>
    <x v="8"/>
    <x v="8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8"/>
    <x v="0"/>
    <x v="8"/>
    <x v="8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8"/>
    <x v="0"/>
    <x v="8"/>
    <x v="8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8"/>
    <x v="0"/>
    <x v="8"/>
    <x v="8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8"/>
    <x v="0"/>
    <x v="8"/>
    <x v="8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8"/>
    <x v="0"/>
    <x v="8"/>
    <x v="8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8"/>
    <x v="0"/>
    <x v="8"/>
    <x v="8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8"/>
    <x v="0"/>
    <x v="8"/>
    <x v="8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8"/>
    <x v="0"/>
    <x v="8"/>
    <x v="8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8"/>
    <x v="0"/>
    <x v="8"/>
    <x v="8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8"/>
    <x v="0"/>
    <x v="8"/>
    <x v="8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8"/>
    <x v="0"/>
    <x v="8"/>
    <x v="8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8"/>
    <x v="0"/>
    <x v="8"/>
    <x v="8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8"/>
    <x v="0"/>
    <x v="8"/>
    <x v="8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8"/>
    <x v="0"/>
    <x v="8"/>
    <x v="8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8"/>
    <x v="0"/>
    <x v="8"/>
    <x v="8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8"/>
    <x v="0"/>
    <x v="8"/>
    <x v="8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8"/>
    <x v="0"/>
    <x v="8"/>
    <x v="8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8"/>
    <x v="0"/>
    <x v="8"/>
    <x v="8"/>
    <x v="0"/>
    <x v="4"/>
    <x v="0"/>
    <x v="0"/>
    <x v="0"/>
    <x v="0"/>
    <x v="0"/>
    <x v="0"/>
    <x v="3"/>
    <x v="3"/>
    <x v="3"/>
    <x v="12"/>
    <x v="12"/>
    <n v="410.16158139379002"/>
    <x v="0"/>
    <x v="0"/>
    <x v="0"/>
    <x v="0"/>
    <x v="8"/>
    <x v="12"/>
    <n v="447.07612371923113"/>
  </r>
  <r>
    <x v="8"/>
    <x v="0"/>
    <x v="8"/>
    <x v="8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8"/>
    <x v="0"/>
    <x v="8"/>
    <x v="8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8"/>
    <x v="0"/>
    <x v="8"/>
    <x v="8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8"/>
    <x v="0"/>
    <x v="8"/>
    <x v="8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8"/>
    <x v="0"/>
    <x v="8"/>
    <x v="8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8"/>
    <x v="0"/>
    <x v="8"/>
    <x v="8"/>
    <x v="0"/>
    <x v="4"/>
    <x v="0"/>
    <x v="0"/>
    <x v="0"/>
    <x v="0"/>
    <x v="0"/>
    <x v="0"/>
    <x v="0"/>
    <x v="0"/>
    <x v="0"/>
    <x v="16"/>
    <x v="16"/>
    <n v="49.9998"/>
    <x v="0"/>
    <x v="0"/>
    <x v="3"/>
    <x v="5"/>
    <x v="9"/>
    <x v="16"/>
    <n v="54.499782000000003"/>
  </r>
  <r>
    <x v="8"/>
    <x v="0"/>
    <x v="8"/>
    <x v="8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8"/>
    <x v="0"/>
    <x v="8"/>
    <x v="8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8"/>
    <x v="0"/>
    <x v="8"/>
    <x v="8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8"/>
    <x v="0"/>
    <x v="8"/>
    <x v="8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8"/>
    <x v="0"/>
    <x v="8"/>
    <x v="8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8"/>
    <x v="0"/>
    <x v="8"/>
    <x v="8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8"/>
    <x v="0"/>
    <x v="8"/>
    <x v="8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8"/>
    <x v="0"/>
    <x v="8"/>
    <x v="8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8"/>
    <x v="0"/>
    <x v="8"/>
    <x v="8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8"/>
    <x v="0"/>
    <x v="8"/>
    <x v="8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8"/>
    <x v="0"/>
    <x v="8"/>
    <x v="8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8"/>
    <x v="0"/>
    <x v="8"/>
    <x v="8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8"/>
    <x v="0"/>
    <x v="8"/>
    <x v="8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8"/>
    <x v="0"/>
    <x v="8"/>
    <x v="8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8"/>
    <x v="0"/>
    <x v="8"/>
    <x v="8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8"/>
    <x v="0"/>
    <x v="8"/>
    <x v="8"/>
    <x v="0"/>
    <x v="4"/>
    <x v="0"/>
    <x v="0"/>
    <x v="0"/>
    <x v="0"/>
    <x v="0"/>
    <x v="0"/>
    <x v="1"/>
    <x v="8"/>
    <x v="8"/>
    <x v="9"/>
    <x v="9"/>
    <n v="177.54018527011101"/>
    <x v="0"/>
    <x v="0"/>
    <x v="1"/>
    <x v="4"/>
    <x v="5"/>
    <x v="9"/>
    <n v="193.51880194442103"/>
  </r>
  <r>
    <x v="8"/>
    <x v="0"/>
    <x v="8"/>
    <x v="8"/>
    <x v="0"/>
    <x v="4"/>
    <x v="0"/>
    <x v="0"/>
    <x v="0"/>
    <x v="0"/>
    <x v="0"/>
    <x v="0"/>
    <x v="0"/>
    <x v="9"/>
    <x v="9"/>
    <x v="9"/>
    <x v="9"/>
    <n v="659.00509447719298"/>
    <x v="0"/>
    <x v="0"/>
    <x v="1"/>
    <x v="4"/>
    <x v="5"/>
    <x v="9"/>
    <n v="718.31555298014041"/>
  </r>
  <r>
    <x v="8"/>
    <x v="0"/>
    <x v="8"/>
    <x v="8"/>
    <x v="0"/>
    <x v="4"/>
    <x v="0"/>
    <x v="0"/>
    <x v="0"/>
    <x v="0"/>
    <x v="0"/>
    <x v="0"/>
    <x v="2"/>
    <x v="10"/>
    <x v="10"/>
    <x v="9"/>
    <x v="9"/>
    <n v="141.43031707957999"/>
    <x v="0"/>
    <x v="0"/>
    <x v="1"/>
    <x v="4"/>
    <x v="5"/>
    <x v="9"/>
    <n v="154.15904561674219"/>
  </r>
  <r>
    <x v="8"/>
    <x v="0"/>
    <x v="8"/>
    <x v="8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8"/>
    <x v="0"/>
    <x v="8"/>
    <x v="8"/>
    <x v="0"/>
    <x v="4"/>
    <x v="0"/>
    <x v="0"/>
    <x v="0"/>
    <x v="0"/>
    <x v="0"/>
    <x v="0"/>
    <x v="4"/>
    <x v="5"/>
    <x v="5"/>
    <x v="9"/>
    <x v="9"/>
    <n v="879.23899898489105"/>
    <x v="0"/>
    <x v="0"/>
    <x v="1"/>
    <x v="4"/>
    <x v="5"/>
    <x v="9"/>
    <n v="958.37050889353134"/>
  </r>
  <r>
    <x v="8"/>
    <x v="0"/>
    <x v="8"/>
    <x v="8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8"/>
    <x v="0"/>
    <x v="8"/>
    <x v="8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8"/>
    <x v="0"/>
    <x v="8"/>
    <x v="8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8"/>
    <x v="0"/>
    <x v="8"/>
    <x v="8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8"/>
    <x v="0"/>
    <x v="8"/>
    <x v="8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8"/>
    <x v="0"/>
    <x v="8"/>
    <x v="8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8"/>
    <x v="0"/>
    <x v="8"/>
    <x v="8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8"/>
    <x v="0"/>
    <x v="8"/>
    <x v="8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8"/>
    <x v="0"/>
    <x v="8"/>
    <x v="8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8"/>
    <x v="0"/>
    <x v="8"/>
    <x v="8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8"/>
    <x v="0"/>
    <x v="8"/>
    <x v="8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8"/>
    <x v="0"/>
    <x v="8"/>
    <x v="8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8"/>
    <x v="0"/>
    <x v="8"/>
    <x v="8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8"/>
    <x v="0"/>
    <x v="8"/>
    <x v="8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8"/>
    <x v="0"/>
    <x v="8"/>
    <x v="8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8"/>
    <x v="0"/>
    <x v="8"/>
    <x v="8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8"/>
    <x v="0"/>
    <x v="8"/>
    <x v="8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8"/>
    <x v="0"/>
    <x v="8"/>
    <x v="8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8"/>
    <x v="0"/>
    <x v="8"/>
    <x v="8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8"/>
    <x v="0"/>
    <x v="8"/>
    <x v="8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8"/>
    <x v="0"/>
    <x v="8"/>
    <x v="8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8"/>
    <x v="0"/>
    <x v="8"/>
    <x v="8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8"/>
    <x v="0"/>
    <x v="8"/>
    <x v="8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8"/>
    <x v="0"/>
    <x v="8"/>
    <x v="8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8"/>
    <x v="0"/>
    <x v="8"/>
    <x v="8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8"/>
    <x v="0"/>
    <x v="8"/>
    <x v="8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8"/>
    <x v="0"/>
    <x v="8"/>
    <x v="8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8"/>
    <x v="0"/>
    <x v="8"/>
    <x v="8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8"/>
    <x v="0"/>
    <x v="8"/>
    <x v="8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8"/>
    <x v="0"/>
    <x v="8"/>
    <x v="8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8"/>
    <x v="0"/>
    <x v="8"/>
    <x v="8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8"/>
    <x v="0"/>
    <x v="8"/>
    <x v="8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8"/>
    <x v="0"/>
    <x v="8"/>
    <x v="8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8"/>
    <x v="0"/>
    <x v="8"/>
    <x v="8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8"/>
    <x v="0"/>
    <x v="8"/>
    <x v="8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8"/>
    <x v="0"/>
    <x v="8"/>
    <x v="8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8"/>
    <x v="0"/>
    <x v="8"/>
    <x v="8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8"/>
    <x v="0"/>
    <x v="8"/>
    <x v="8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8"/>
    <x v="0"/>
    <x v="8"/>
    <x v="8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8"/>
    <x v="0"/>
    <x v="8"/>
    <x v="8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8"/>
    <x v="0"/>
    <x v="8"/>
    <x v="8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8"/>
    <x v="0"/>
    <x v="8"/>
    <x v="8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8"/>
    <x v="0"/>
    <x v="8"/>
    <x v="8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8"/>
    <x v="0"/>
    <x v="8"/>
    <x v="8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8"/>
    <x v="0"/>
    <x v="8"/>
    <x v="8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8"/>
    <x v="0"/>
    <x v="8"/>
    <x v="8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8"/>
    <x v="0"/>
    <x v="8"/>
    <x v="8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8"/>
    <x v="0"/>
    <x v="8"/>
    <x v="8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8"/>
    <x v="0"/>
    <x v="8"/>
    <x v="8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8"/>
    <x v="0"/>
    <x v="8"/>
    <x v="8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8"/>
    <x v="0"/>
    <x v="8"/>
    <x v="8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8"/>
    <x v="0"/>
    <x v="8"/>
    <x v="8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8"/>
    <x v="0"/>
    <x v="8"/>
    <x v="8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8"/>
    <x v="0"/>
    <x v="8"/>
    <x v="8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8"/>
    <x v="0"/>
    <x v="8"/>
    <x v="8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8"/>
    <x v="0"/>
    <x v="8"/>
    <x v="8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8"/>
    <x v="0"/>
    <x v="8"/>
    <x v="8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8"/>
    <x v="0"/>
    <x v="8"/>
    <x v="8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8"/>
    <x v="0"/>
    <x v="8"/>
    <x v="8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8"/>
    <x v="0"/>
    <x v="8"/>
    <x v="8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8"/>
    <x v="0"/>
    <x v="8"/>
    <x v="8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8"/>
    <x v="0"/>
    <x v="8"/>
    <x v="8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8"/>
    <x v="0"/>
    <x v="8"/>
    <x v="8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8"/>
    <x v="0"/>
    <x v="8"/>
    <x v="8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8"/>
    <x v="0"/>
    <x v="8"/>
    <x v="8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8"/>
    <x v="0"/>
    <x v="8"/>
    <x v="8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8"/>
    <x v="0"/>
    <x v="8"/>
    <x v="8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8"/>
    <x v="0"/>
    <x v="8"/>
    <x v="8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8"/>
    <x v="0"/>
    <x v="8"/>
    <x v="8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8"/>
    <x v="0"/>
    <x v="8"/>
    <x v="8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8"/>
    <x v="0"/>
    <x v="8"/>
    <x v="8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8"/>
    <x v="0"/>
    <x v="8"/>
    <x v="8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8"/>
    <x v="0"/>
    <x v="8"/>
    <x v="8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8"/>
    <x v="0"/>
    <x v="8"/>
    <x v="8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8"/>
    <x v="0"/>
    <x v="8"/>
    <x v="8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8"/>
    <x v="0"/>
    <x v="8"/>
    <x v="8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8"/>
    <x v="0"/>
    <x v="8"/>
    <x v="8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8"/>
    <x v="0"/>
    <x v="8"/>
    <x v="8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8"/>
    <x v="0"/>
    <x v="8"/>
    <x v="8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8"/>
    <x v="0"/>
    <x v="8"/>
    <x v="8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8"/>
    <x v="0"/>
    <x v="8"/>
    <x v="8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8"/>
    <x v="0"/>
    <x v="8"/>
    <x v="8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8"/>
    <x v="0"/>
    <x v="8"/>
    <x v="8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8"/>
    <x v="0"/>
    <x v="8"/>
    <x v="8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8"/>
    <x v="0"/>
    <x v="8"/>
    <x v="8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8"/>
    <x v="0"/>
    <x v="8"/>
    <x v="8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8"/>
    <x v="0"/>
    <x v="8"/>
    <x v="8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8"/>
    <x v="0"/>
    <x v="8"/>
    <x v="8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8"/>
    <x v="0"/>
    <x v="8"/>
    <x v="8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8"/>
    <x v="0"/>
    <x v="8"/>
    <x v="8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8"/>
    <x v="0"/>
    <x v="8"/>
    <x v="8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8"/>
    <x v="0"/>
    <x v="8"/>
    <x v="8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8"/>
    <x v="0"/>
    <x v="8"/>
    <x v="8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8"/>
    <x v="0"/>
    <x v="8"/>
    <x v="8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8"/>
    <x v="0"/>
    <x v="8"/>
    <x v="8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8"/>
    <x v="0"/>
    <x v="8"/>
    <x v="8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8"/>
    <x v="0"/>
    <x v="8"/>
    <x v="8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8"/>
    <x v="0"/>
    <x v="8"/>
    <x v="8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8"/>
    <x v="0"/>
    <x v="8"/>
    <x v="8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8"/>
    <x v="0"/>
    <x v="8"/>
    <x v="8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8"/>
    <x v="0"/>
    <x v="8"/>
    <x v="8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8"/>
    <x v="0"/>
    <x v="8"/>
    <x v="8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8"/>
    <x v="0"/>
    <x v="8"/>
    <x v="8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8"/>
    <x v="0"/>
    <x v="8"/>
    <x v="8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8"/>
    <x v="0"/>
    <x v="8"/>
    <x v="8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8"/>
    <x v="0"/>
    <x v="8"/>
    <x v="8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8"/>
    <x v="0"/>
    <x v="8"/>
    <x v="8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8"/>
    <x v="0"/>
    <x v="8"/>
    <x v="8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8"/>
    <x v="0"/>
    <x v="8"/>
    <x v="8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8"/>
    <x v="0"/>
    <x v="8"/>
    <x v="8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8"/>
    <x v="0"/>
    <x v="8"/>
    <x v="8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8"/>
    <x v="0"/>
    <x v="8"/>
    <x v="8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8"/>
    <x v="0"/>
    <x v="8"/>
    <x v="8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8"/>
    <x v="0"/>
    <x v="8"/>
    <x v="8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8"/>
    <x v="0"/>
    <x v="8"/>
    <x v="8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8"/>
    <x v="0"/>
    <x v="8"/>
    <x v="8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8"/>
    <x v="0"/>
    <x v="8"/>
    <x v="8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8"/>
    <x v="0"/>
    <x v="8"/>
    <x v="8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8"/>
    <x v="0"/>
    <x v="8"/>
    <x v="8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8"/>
    <x v="0"/>
    <x v="8"/>
    <x v="8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8"/>
    <x v="0"/>
    <x v="8"/>
    <x v="8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8"/>
    <x v="0"/>
    <x v="8"/>
    <x v="8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8"/>
    <x v="0"/>
    <x v="8"/>
    <x v="8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8"/>
    <x v="0"/>
    <x v="8"/>
    <x v="8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8"/>
    <x v="0"/>
    <x v="8"/>
    <x v="8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8"/>
    <x v="0"/>
    <x v="8"/>
    <x v="8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8"/>
    <x v="0"/>
    <x v="8"/>
    <x v="8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8"/>
    <x v="0"/>
    <x v="8"/>
    <x v="8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8"/>
    <x v="0"/>
    <x v="8"/>
    <x v="8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8"/>
    <x v="0"/>
    <x v="8"/>
    <x v="8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8"/>
    <x v="0"/>
    <x v="8"/>
    <x v="8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8"/>
    <x v="0"/>
    <x v="8"/>
    <x v="8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8"/>
    <x v="0"/>
    <x v="8"/>
    <x v="8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8"/>
    <x v="0"/>
    <x v="8"/>
    <x v="8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8"/>
    <x v="0"/>
    <x v="8"/>
    <x v="8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8"/>
    <x v="0"/>
    <x v="8"/>
    <x v="8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8"/>
    <x v="0"/>
    <x v="8"/>
    <x v="8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8"/>
    <x v="0"/>
    <x v="8"/>
    <x v="8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8"/>
    <x v="0"/>
    <x v="8"/>
    <x v="8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8"/>
    <x v="0"/>
    <x v="8"/>
    <x v="8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8"/>
    <x v="0"/>
    <x v="8"/>
    <x v="8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8"/>
    <x v="0"/>
    <x v="8"/>
    <x v="8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8"/>
    <x v="0"/>
    <x v="8"/>
    <x v="8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8"/>
    <x v="0"/>
    <x v="8"/>
    <x v="8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8"/>
    <x v="0"/>
    <x v="8"/>
    <x v="8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8"/>
    <x v="0"/>
    <x v="8"/>
    <x v="8"/>
    <x v="1"/>
    <x v="6"/>
    <x v="0"/>
    <x v="0"/>
    <x v="0"/>
    <x v="0"/>
    <x v="2"/>
    <x v="2"/>
    <x v="2"/>
    <x v="2"/>
    <x v="2"/>
    <x v="10"/>
    <x v="10"/>
    <n v="3.9638547007449598"/>
    <x v="0"/>
    <x v="0"/>
    <x v="1"/>
    <x v="4"/>
    <x v="5"/>
    <x v="10"/>
    <n v="4.3206016238120064"/>
  </r>
  <r>
    <x v="8"/>
    <x v="0"/>
    <x v="8"/>
    <x v="8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8"/>
    <x v="0"/>
    <x v="8"/>
    <x v="8"/>
    <x v="1"/>
    <x v="6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8"/>
    <x v="0"/>
    <x v="8"/>
    <x v="8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8"/>
    <x v="0"/>
    <x v="8"/>
    <x v="8"/>
    <x v="1"/>
    <x v="6"/>
    <x v="0"/>
    <x v="0"/>
    <x v="0"/>
    <x v="0"/>
    <x v="0"/>
    <x v="0"/>
    <x v="3"/>
    <x v="3"/>
    <x v="3"/>
    <x v="11"/>
    <x v="11"/>
    <n v="9.8235799999999998"/>
    <x v="0"/>
    <x v="0"/>
    <x v="3"/>
    <x v="5"/>
    <x v="7"/>
    <x v="11"/>
    <n v="10.7077022"/>
  </r>
  <r>
    <x v="8"/>
    <x v="0"/>
    <x v="8"/>
    <x v="8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8"/>
    <x v="0"/>
    <x v="8"/>
    <x v="8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8"/>
    <x v="0"/>
    <x v="8"/>
    <x v="8"/>
    <x v="1"/>
    <x v="6"/>
    <x v="0"/>
    <x v="0"/>
    <x v="0"/>
    <x v="0"/>
    <x v="0"/>
    <x v="0"/>
    <x v="0"/>
    <x v="4"/>
    <x v="4"/>
    <x v="9"/>
    <x v="9"/>
    <n v="21.961560484302701"/>
    <x v="0"/>
    <x v="0"/>
    <x v="1"/>
    <x v="4"/>
    <x v="5"/>
    <x v="9"/>
    <n v="23.938100927889945"/>
  </r>
  <r>
    <x v="8"/>
    <x v="0"/>
    <x v="8"/>
    <x v="8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8"/>
    <x v="0"/>
    <x v="8"/>
    <x v="8"/>
    <x v="1"/>
    <x v="6"/>
    <x v="0"/>
    <x v="0"/>
    <x v="0"/>
    <x v="0"/>
    <x v="0"/>
    <x v="0"/>
    <x v="0"/>
    <x v="4"/>
    <x v="4"/>
    <x v="12"/>
    <x v="12"/>
    <n v="226.68674418518501"/>
    <x v="0"/>
    <x v="0"/>
    <x v="0"/>
    <x v="0"/>
    <x v="8"/>
    <x v="12"/>
    <n v="247.08855116185168"/>
  </r>
  <r>
    <x v="8"/>
    <x v="0"/>
    <x v="8"/>
    <x v="8"/>
    <x v="1"/>
    <x v="6"/>
    <x v="0"/>
    <x v="0"/>
    <x v="0"/>
    <x v="0"/>
    <x v="0"/>
    <x v="0"/>
    <x v="0"/>
    <x v="4"/>
    <x v="4"/>
    <x v="25"/>
    <x v="25"/>
    <n v="1.8348623853199999E-3"/>
    <x v="0"/>
    <x v="0"/>
    <x v="1"/>
    <x v="4"/>
    <x v="5"/>
    <x v="9"/>
    <n v="1.9999999999988E-3"/>
  </r>
  <r>
    <x v="8"/>
    <x v="0"/>
    <x v="8"/>
    <x v="8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8"/>
    <x v="0"/>
    <x v="8"/>
    <x v="8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8"/>
    <x v="0"/>
    <x v="8"/>
    <x v="8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8"/>
    <x v="0"/>
    <x v="8"/>
    <x v="8"/>
    <x v="1"/>
    <x v="6"/>
    <x v="0"/>
    <x v="0"/>
    <x v="0"/>
    <x v="0"/>
    <x v="0"/>
    <x v="0"/>
    <x v="0"/>
    <x v="4"/>
    <x v="4"/>
    <x v="1"/>
    <x v="1"/>
    <n v="53.933793103151601"/>
    <x v="0"/>
    <x v="0"/>
    <x v="1"/>
    <x v="1"/>
    <x v="1"/>
    <x v="1"/>
    <n v="58.787834482435251"/>
  </r>
  <r>
    <x v="8"/>
    <x v="0"/>
    <x v="8"/>
    <x v="8"/>
    <x v="1"/>
    <x v="6"/>
    <x v="0"/>
    <x v="0"/>
    <x v="0"/>
    <x v="0"/>
    <x v="0"/>
    <x v="0"/>
    <x v="0"/>
    <x v="4"/>
    <x v="4"/>
    <x v="2"/>
    <x v="2"/>
    <n v="417.41317431167602"/>
    <x v="0"/>
    <x v="1"/>
    <x v="2"/>
    <x v="2"/>
    <x v="13"/>
    <x v="2"/>
    <n v="454.98035999972689"/>
  </r>
  <r>
    <x v="8"/>
    <x v="0"/>
    <x v="8"/>
    <x v="8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8"/>
    <x v="0"/>
    <x v="8"/>
    <x v="8"/>
    <x v="1"/>
    <x v="6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8"/>
    <x v="0"/>
    <x v="8"/>
    <x v="8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8"/>
    <x v="0"/>
    <x v="8"/>
    <x v="8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8"/>
    <x v="0"/>
    <x v="8"/>
    <x v="8"/>
    <x v="1"/>
    <x v="6"/>
    <x v="0"/>
    <x v="0"/>
    <x v="0"/>
    <x v="0"/>
    <x v="0"/>
    <x v="0"/>
    <x v="0"/>
    <x v="0"/>
    <x v="0"/>
    <x v="12"/>
    <x v="12"/>
    <n v="42.772186046349098"/>
    <x v="0"/>
    <x v="0"/>
    <x v="0"/>
    <x v="0"/>
    <x v="8"/>
    <x v="12"/>
    <n v="46.621682790520524"/>
  </r>
  <r>
    <x v="8"/>
    <x v="0"/>
    <x v="8"/>
    <x v="8"/>
    <x v="1"/>
    <x v="6"/>
    <x v="0"/>
    <x v="0"/>
    <x v="0"/>
    <x v="0"/>
    <x v="0"/>
    <x v="0"/>
    <x v="0"/>
    <x v="0"/>
    <x v="0"/>
    <x v="79"/>
    <x v="79"/>
    <n v="62.616220183448704"/>
    <x v="0"/>
    <x v="0"/>
    <x v="1"/>
    <x v="4"/>
    <x v="5"/>
    <x v="10"/>
    <n v="68.251679999959094"/>
  </r>
  <r>
    <x v="8"/>
    <x v="0"/>
    <x v="8"/>
    <x v="8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8"/>
    <x v="0"/>
    <x v="8"/>
    <x v="8"/>
    <x v="1"/>
    <x v="6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8"/>
    <x v="0"/>
    <x v="8"/>
    <x v="8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8"/>
    <x v="0"/>
    <x v="8"/>
    <x v="8"/>
    <x v="1"/>
    <x v="6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8"/>
    <x v="0"/>
    <x v="8"/>
    <x v="8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8"/>
    <x v="0"/>
    <x v="8"/>
    <x v="8"/>
    <x v="1"/>
    <x v="6"/>
    <x v="0"/>
    <x v="0"/>
    <x v="0"/>
    <x v="0"/>
    <x v="0"/>
    <x v="0"/>
    <x v="1"/>
    <x v="1"/>
    <x v="1"/>
    <x v="21"/>
    <x v="21"/>
    <n v="51.100954128409697"/>
    <x v="0"/>
    <x v="0"/>
    <x v="1"/>
    <x v="4"/>
    <x v="5"/>
    <x v="10"/>
    <n v="55.70003999996657"/>
  </r>
  <r>
    <x v="8"/>
    <x v="0"/>
    <x v="8"/>
    <x v="8"/>
    <x v="1"/>
    <x v="6"/>
    <x v="0"/>
    <x v="0"/>
    <x v="0"/>
    <x v="0"/>
    <x v="0"/>
    <x v="0"/>
    <x v="1"/>
    <x v="1"/>
    <x v="1"/>
    <x v="27"/>
    <x v="27"/>
    <n v="6.8069144145587197"/>
    <x v="0"/>
    <x v="0"/>
    <x v="1"/>
    <x v="3"/>
    <x v="3"/>
    <x v="19"/>
    <n v="7.4195367118690054"/>
  </r>
  <r>
    <x v="8"/>
    <x v="0"/>
    <x v="8"/>
    <x v="8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8"/>
    <x v="0"/>
    <x v="8"/>
    <x v="8"/>
    <x v="1"/>
    <x v="6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8"/>
    <x v="0"/>
    <x v="8"/>
    <x v="8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8"/>
    <x v="0"/>
    <x v="8"/>
    <x v="8"/>
    <x v="1"/>
    <x v="6"/>
    <x v="0"/>
    <x v="0"/>
    <x v="0"/>
    <x v="0"/>
    <x v="0"/>
    <x v="0"/>
    <x v="2"/>
    <x v="2"/>
    <x v="2"/>
    <x v="4"/>
    <x v="4"/>
    <n v="74.314550458670993"/>
    <x v="0"/>
    <x v="0"/>
    <x v="1"/>
    <x v="3"/>
    <x v="3"/>
    <x v="4"/>
    <n v="81.002859999951383"/>
  </r>
  <r>
    <x v="8"/>
    <x v="0"/>
    <x v="8"/>
    <x v="8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8"/>
    <x v="0"/>
    <x v="8"/>
    <x v="8"/>
    <x v="1"/>
    <x v="6"/>
    <x v="0"/>
    <x v="0"/>
    <x v="0"/>
    <x v="0"/>
    <x v="0"/>
    <x v="0"/>
    <x v="2"/>
    <x v="2"/>
    <x v="2"/>
    <x v="5"/>
    <x v="5"/>
    <n v="4.7945092024904303"/>
    <x v="0"/>
    <x v="0"/>
    <x v="1"/>
    <x v="1"/>
    <x v="1"/>
    <x v="5"/>
    <n v="5.2260150307145699"/>
  </r>
  <r>
    <x v="8"/>
    <x v="0"/>
    <x v="8"/>
    <x v="8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8"/>
    <x v="0"/>
    <x v="8"/>
    <x v="8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8"/>
    <x v="0"/>
    <x v="8"/>
    <x v="8"/>
    <x v="1"/>
    <x v="6"/>
    <x v="0"/>
    <x v="0"/>
    <x v="0"/>
    <x v="0"/>
    <x v="0"/>
    <x v="0"/>
    <x v="2"/>
    <x v="2"/>
    <x v="2"/>
    <x v="9"/>
    <x v="9"/>
    <n v="63.568719872002802"/>
    <x v="0"/>
    <x v="0"/>
    <x v="1"/>
    <x v="4"/>
    <x v="5"/>
    <x v="9"/>
    <n v="69.28990466048306"/>
  </r>
  <r>
    <x v="8"/>
    <x v="0"/>
    <x v="8"/>
    <x v="8"/>
    <x v="1"/>
    <x v="6"/>
    <x v="0"/>
    <x v="0"/>
    <x v="0"/>
    <x v="0"/>
    <x v="0"/>
    <x v="0"/>
    <x v="2"/>
    <x v="2"/>
    <x v="2"/>
    <x v="10"/>
    <x v="10"/>
    <n v="40.728585979049001"/>
    <x v="0"/>
    <x v="0"/>
    <x v="1"/>
    <x v="4"/>
    <x v="5"/>
    <x v="10"/>
    <n v="44.394158717163414"/>
  </r>
  <r>
    <x v="8"/>
    <x v="0"/>
    <x v="8"/>
    <x v="8"/>
    <x v="1"/>
    <x v="6"/>
    <x v="0"/>
    <x v="0"/>
    <x v="0"/>
    <x v="0"/>
    <x v="0"/>
    <x v="0"/>
    <x v="2"/>
    <x v="2"/>
    <x v="2"/>
    <x v="28"/>
    <x v="28"/>
    <n v="2.39994"/>
    <x v="0"/>
    <x v="0"/>
    <x v="1"/>
    <x v="3"/>
    <x v="3"/>
    <x v="13"/>
    <n v="2.6159346000000001"/>
  </r>
  <r>
    <x v="8"/>
    <x v="0"/>
    <x v="8"/>
    <x v="8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8"/>
    <x v="0"/>
    <x v="8"/>
    <x v="8"/>
    <x v="1"/>
    <x v="6"/>
    <x v="0"/>
    <x v="0"/>
    <x v="0"/>
    <x v="0"/>
    <x v="0"/>
    <x v="0"/>
    <x v="2"/>
    <x v="2"/>
    <x v="2"/>
    <x v="80"/>
    <x v="80"/>
    <n v="7.51478899082118"/>
    <x v="0"/>
    <x v="0"/>
    <x v="1"/>
    <x v="4"/>
    <x v="5"/>
    <x v="10"/>
    <n v="8.1911199999950863"/>
  </r>
  <r>
    <x v="8"/>
    <x v="0"/>
    <x v="8"/>
    <x v="8"/>
    <x v="1"/>
    <x v="6"/>
    <x v="0"/>
    <x v="0"/>
    <x v="0"/>
    <x v="0"/>
    <x v="0"/>
    <x v="0"/>
    <x v="2"/>
    <x v="2"/>
    <x v="2"/>
    <x v="31"/>
    <x v="31"/>
    <n v="2.1559816513748502"/>
    <x v="0"/>
    <x v="0"/>
    <x v="1"/>
    <x v="4"/>
    <x v="5"/>
    <x v="10"/>
    <n v="2.3500199999985867"/>
  </r>
  <r>
    <x v="8"/>
    <x v="0"/>
    <x v="8"/>
    <x v="8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8"/>
    <x v="0"/>
    <x v="8"/>
    <x v="8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8"/>
    <x v="0"/>
    <x v="8"/>
    <x v="8"/>
    <x v="1"/>
    <x v="6"/>
    <x v="0"/>
    <x v="0"/>
    <x v="0"/>
    <x v="0"/>
    <x v="0"/>
    <x v="0"/>
    <x v="2"/>
    <x v="2"/>
    <x v="2"/>
    <x v="12"/>
    <x v="12"/>
    <n v="80.548244185740401"/>
    <x v="0"/>
    <x v="0"/>
    <x v="0"/>
    <x v="0"/>
    <x v="8"/>
    <x v="12"/>
    <n v="87.797586162457037"/>
  </r>
  <r>
    <x v="8"/>
    <x v="0"/>
    <x v="8"/>
    <x v="8"/>
    <x v="1"/>
    <x v="6"/>
    <x v="0"/>
    <x v="0"/>
    <x v="0"/>
    <x v="0"/>
    <x v="0"/>
    <x v="0"/>
    <x v="2"/>
    <x v="2"/>
    <x v="2"/>
    <x v="83"/>
    <x v="83"/>
    <n v="0.25091999999999998"/>
    <x v="0"/>
    <x v="0"/>
    <x v="3"/>
    <x v="5"/>
    <x v="7"/>
    <x v="11"/>
    <n v="0.27350279999999999"/>
  </r>
  <r>
    <x v="8"/>
    <x v="0"/>
    <x v="8"/>
    <x v="8"/>
    <x v="1"/>
    <x v="6"/>
    <x v="0"/>
    <x v="0"/>
    <x v="0"/>
    <x v="0"/>
    <x v="0"/>
    <x v="0"/>
    <x v="2"/>
    <x v="2"/>
    <x v="2"/>
    <x v="16"/>
    <x v="16"/>
    <n v="161.46440999999999"/>
    <x v="0"/>
    <x v="0"/>
    <x v="3"/>
    <x v="5"/>
    <x v="9"/>
    <x v="16"/>
    <n v="175.9962069"/>
  </r>
  <r>
    <x v="8"/>
    <x v="0"/>
    <x v="8"/>
    <x v="8"/>
    <x v="1"/>
    <x v="6"/>
    <x v="0"/>
    <x v="0"/>
    <x v="0"/>
    <x v="0"/>
    <x v="0"/>
    <x v="0"/>
    <x v="2"/>
    <x v="2"/>
    <x v="2"/>
    <x v="21"/>
    <x v="21"/>
    <n v="22.594944954114901"/>
    <x v="0"/>
    <x v="0"/>
    <x v="1"/>
    <x v="4"/>
    <x v="5"/>
    <x v="10"/>
    <n v="24.628489999985245"/>
  </r>
  <r>
    <x v="8"/>
    <x v="0"/>
    <x v="8"/>
    <x v="8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8"/>
    <x v="0"/>
    <x v="8"/>
    <x v="8"/>
    <x v="1"/>
    <x v="6"/>
    <x v="0"/>
    <x v="0"/>
    <x v="0"/>
    <x v="0"/>
    <x v="0"/>
    <x v="0"/>
    <x v="2"/>
    <x v="2"/>
    <x v="2"/>
    <x v="25"/>
    <x v="25"/>
    <n v="15.0414128440277"/>
    <x v="0"/>
    <x v="0"/>
    <x v="1"/>
    <x v="4"/>
    <x v="5"/>
    <x v="9"/>
    <n v="16.395139999990196"/>
  </r>
  <r>
    <x v="8"/>
    <x v="0"/>
    <x v="8"/>
    <x v="8"/>
    <x v="1"/>
    <x v="6"/>
    <x v="0"/>
    <x v="0"/>
    <x v="0"/>
    <x v="0"/>
    <x v="0"/>
    <x v="0"/>
    <x v="2"/>
    <x v="2"/>
    <x v="2"/>
    <x v="87"/>
    <x v="87"/>
    <n v="0.25091999999999998"/>
    <x v="0"/>
    <x v="0"/>
    <x v="3"/>
    <x v="5"/>
    <x v="7"/>
    <x v="11"/>
    <n v="0.27350279999999999"/>
  </r>
  <r>
    <x v="8"/>
    <x v="0"/>
    <x v="8"/>
    <x v="8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8"/>
    <x v="0"/>
    <x v="8"/>
    <x v="8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8"/>
    <x v="0"/>
    <x v="8"/>
    <x v="8"/>
    <x v="1"/>
    <x v="6"/>
    <x v="0"/>
    <x v="0"/>
    <x v="0"/>
    <x v="0"/>
    <x v="0"/>
    <x v="0"/>
    <x v="2"/>
    <x v="2"/>
    <x v="2"/>
    <x v="26"/>
    <x v="26"/>
    <n v="115.64752293571"/>
    <x v="0"/>
    <x v="0"/>
    <x v="1"/>
    <x v="3"/>
    <x v="3"/>
    <x v="15"/>
    <n v="126.05579999992391"/>
  </r>
  <r>
    <x v="8"/>
    <x v="0"/>
    <x v="8"/>
    <x v="8"/>
    <x v="1"/>
    <x v="6"/>
    <x v="0"/>
    <x v="0"/>
    <x v="0"/>
    <x v="0"/>
    <x v="0"/>
    <x v="0"/>
    <x v="2"/>
    <x v="2"/>
    <x v="2"/>
    <x v="0"/>
    <x v="0"/>
    <n v="7.0159679715105998"/>
    <x v="0"/>
    <x v="0"/>
    <x v="0"/>
    <x v="0"/>
    <x v="0"/>
    <x v="0"/>
    <n v="7.6474050889465541"/>
  </r>
  <r>
    <x v="8"/>
    <x v="0"/>
    <x v="8"/>
    <x v="8"/>
    <x v="1"/>
    <x v="6"/>
    <x v="0"/>
    <x v="0"/>
    <x v="0"/>
    <x v="0"/>
    <x v="0"/>
    <x v="0"/>
    <x v="2"/>
    <x v="2"/>
    <x v="2"/>
    <x v="1"/>
    <x v="1"/>
    <n v="10.1609172413234"/>
    <x v="0"/>
    <x v="0"/>
    <x v="1"/>
    <x v="1"/>
    <x v="1"/>
    <x v="1"/>
    <n v="11.075399793042507"/>
  </r>
  <r>
    <x v="8"/>
    <x v="0"/>
    <x v="8"/>
    <x v="8"/>
    <x v="1"/>
    <x v="6"/>
    <x v="0"/>
    <x v="0"/>
    <x v="0"/>
    <x v="0"/>
    <x v="0"/>
    <x v="0"/>
    <x v="2"/>
    <x v="2"/>
    <x v="2"/>
    <x v="2"/>
    <x v="2"/>
    <n v="208.793403669599"/>
    <x v="0"/>
    <x v="1"/>
    <x v="2"/>
    <x v="2"/>
    <x v="13"/>
    <x v="2"/>
    <n v="227.58480999986293"/>
  </r>
  <r>
    <x v="8"/>
    <x v="0"/>
    <x v="8"/>
    <x v="8"/>
    <x v="1"/>
    <x v="6"/>
    <x v="0"/>
    <x v="0"/>
    <x v="0"/>
    <x v="0"/>
    <x v="0"/>
    <x v="0"/>
    <x v="1"/>
    <x v="6"/>
    <x v="6"/>
    <x v="9"/>
    <x v="9"/>
    <n v="18.4310091743009"/>
    <x v="0"/>
    <x v="0"/>
    <x v="1"/>
    <x v="4"/>
    <x v="5"/>
    <x v="9"/>
    <n v="20.089799999987981"/>
  </r>
  <r>
    <x v="8"/>
    <x v="0"/>
    <x v="8"/>
    <x v="8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8"/>
    <x v="0"/>
    <x v="8"/>
    <x v="8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8"/>
    <x v="0"/>
    <x v="8"/>
    <x v="8"/>
    <x v="1"/>
    <x v="6"/>
    <x v="0"/>
    <x v="0"/>
    <x v="0"/>
    <x v="0"/>
    <x v="0"/>
    <x v="0"/>
    <x v="1"/>
    <x v="6"/>
    <x v="6"/>
    <x v="12"/>
    <x v="12"/>
    <n v="26.851162790595598"/>
    <x v="0"/>
    <x v="0"/>
    <x v="0"/>
    <x v="0"/>
    <x v="8"/>
    <x v="12"/>
    <n v="29.267767441749204"/>
  </r>
  <r>
    <x v="8"/>
    <x v="0"/>
    <x v="8"/>
    <x v="8"/>
    <x v="1"/>
    <x v="6"/>
    <x v="0"/>
    <x v="0"/>
    <x v="0"/>
    <x v="0"/>
    <x v="0"/>
    <x v="0"/>
    <x v="1"/>
    <x v="6"/>
    <x v="6"/>
    <x v="14"/>
    <x v="14"/>
    <n v="36.172989999999999"/>
    <x v="0"/>
    <x v="0"/>
    <x v="0"/>
    <x v="0"/>
    <x v="8"/>
    <x v="14"/>
    <n v="39.428559100000001"/>
  </r>
  <r>
    <x v="8"/>
    <x v="0"/>
    <x v="8"/>
    <x v="8"/>
    <x v="1"/>
    <x v="6"/>
    <x v="0"/>
    <x v="0"/>
    <x v="0"/>
    <x v="0"/>
    <x v="0"/>
    <x v="0"/>
    <x v="1"/>
    <x v="6"/>
    <x v="6"/>
    <x v="21"/>
    <x v="21"/>
    <n v="401.54261467865803"/>
    <x v="0"/>
    <x v="0"/>
    <x v="1"/>
    <x v="4"/>
    <x v="5"/>
    <x v="10"/>
    <n v="437.68144999973725"/>
  </r>
  <r>
    <x v="8"/>
    <x v="0"/>
    <x v="8"/>
    <x v="8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8"/>
    <x v="0"/>
    <x v="8"/>
    <x v="8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8"/>
    <x v="0"/>
    <x v="8"/>
    <x v="8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8"/>
    <x v="0"/>
    <x v="8"/>
    <x v="8"/>
    <x v="1"/>
    <x v="6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8"/>
    <x v="0"/>
    <x v="8"/>
    <x v="8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8"/>
    <x v="0"/>
    <x v="8"/>
    <x v="8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8"/>
    <x v="0"/>
    <x v="8"/>
    <x v="8"/>
    <x v="1"/>
    <x v="6"/>
    <x v="0"/>
    <x v="0"/>
    <x v="0"/>
    <x v="0"/>
    <x v="0"/>
    <x v="0"/>
    <x v="3"/>
    <x v="7"/>
    <x v="7"/>
    <x v="9"/>
    <x v="9"/>
    <n v="6.4421347175258097"/>
    <x v="0"/>
    <x v="0"/>
    <x v="1"/>
    <x v="4"/>
    <x v="5"/>
    <x v="9"/>
    <n v="7.0219268421031327"/>
  </r>
  <r>
    <x v="8"/>
    <x v="0"/>
    <x v="8"/>
    <x v="8"/>
    <x v="1"/>
    <x v="6"/>
    <x v="0"/>
    <x v="0"/>
    <x v="0"/>
    <x v="0"/>
    <x v="0"/>
    <x v="0"/>
    <x v="3"/>
    <x v="7"/>
    <x v="7"/>
    <x v="10"/>
    <x v="10"/>
    <n v="9.0670291711999996E-4"/>
    <x v="0"/>
    <x v="0"/>
    <x v="1"/>
    <x v="4"/>
    <x v="5"/>
    <x v="10"/>
    <n v="9.8830617966080012E-4"/>
  </r>
  <r>
    <x v="8"/>
    <x v="0"/>
    <x v="8"/>
    <x v="8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8"/>
    <x v="0"/>
    <x v="8"/>
    <x v="8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8"/>
    <x v="0"/>
    <x v="8"/>
    <x v="8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8"/>
    <x v="0"/>
    <x v="8"/>
    <x v="8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8"/>
    <x v="0"/>
    <x v="8"/>
    <x v="8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8"/>
    <x v="0"/>
    <x v="8"/>
    <x v="8"/>
    <x v="1"/>
    <x v="6"/>
    <x v="0"/>
    <x v="0"/>
    <x v="0"/>
    <x v="0"/>
    <x v="0"/>
    <x v="0"/>
    <x v="1"/>
    <x v="8"/>
    <x v="8"/>
    <x v="9"/>
    <x v="9"/>
    <n v="350.37243342398398"/>
    <x v="0"/>
    <x v="0"/>
    <x v="1"/>
    <x v="4"/>
    <x v="5"/>
    <x v="9"/>
    <n v="381.90595243214256"/>
  </r>
  <r>
    <x v="8"/>
    <x v="0"/>
    <x v="8"/>
    <x v="8"/>
    <x v="1"/>
    <x v="6"/>
    <x v="0"/>
    <x v="0"/>
    <x v="0"/>
    <x v="0"/>
    <x v="0"/>
    <x v="0"/>
    <x v="1"/>
    <x v="8"/>
    <x v="8"/>
    <x v="10"/>
    <x v="10"/>
    <n v="7.9190416023993597"/>
    <x v="0"/>
    <x v="0"/>
    <x v="1"/>
    <x v="4"/>
    <x v="5"/>
    <x v="10"/>
    <n v="8.6317553466153019"/>
  </r>
  <r>
    <x v="8"/>
    <x v="0"/>
    <x v="8"/>
    <x v="8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8"/>
    <x v="0"/>
    <x v="8"/>
    <x v="8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8"/>
    <x v="0"/>
    <x v="8"/>
    <x v="8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8"/>
    <x v="0"/>
    <x v="8"/>
    <x v="8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8"/>
    <x v="0"/>
    <x v="8"/>
    <x v="8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8"/>
    <x v="0"/>
    <x v="8"/>
    <x v="8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8"/>
    <x v="0"/>
    <x v="8"/>
    <x v="8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8"/>
    <x v="0"/>
    <x v="8"/>
    <x v="8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8"/>
    <x v="0"/>
    <x v="8"/>
    <x v="8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8"/>
    <x v="0"/>
    <x v="8"/>
    <x v="8"/>
    <x v="1"/>
    <x v="7"/>
    <x v="0"/>
    <x v="0"/>
    <x v="0"/>
    <x v="0"/>
    <x v="0"/>
    <x v="0"/>
    <x v="3"/>
    <x v="3"/>
    <x v="3"/>
    <x v="11"/>
    <x v="11"/>
    <n v="260.28739000000002"/>
    <x v="0"/>
    <x v="0"/>
    <x v="3"/>
    <x v="5"/>
    <x v="7"/>
    <x v="11"/>
    <n v="283.71325510000003"/>
  </r>
  <r>
    <x v="8"/>
    <x v="0"/>
    <x v="8"/>
    <x v="8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8"/>
    <x v="0"/>
    <x v="8"/>
    <x v="8"/>
    <x v="1"/>
    <x v="7"/>
    <x v="0"/>
    <x v="0"/>
    <x v="0"/>
    <x v="0"/>
    <x v="0"/>
    <x v="0"/>
    <x v="0"/>
    <x v="4"/>
    <x v="4"/>
    <x v="11"/>
    <x v="11"/>
    <n v="277.67986000000002"/>
    <x v="0"/>
    <x v="0"/>
    <x v="3"/>
    <x v="5"/>
    <x v="7"/>
    <x v="11"/>
    <n v="302.67104740000002"/>
  </r>
  <r>
    <x v="8"/>
    <x v="0"/>
    <x v="8"/>
    <x v="8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48.178000000000004"/>
  </r>
  <r>
    <x v="8"/>
    <x v="0"/>
    <x v="8"/>
    <x v="8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8"/>
    <x v="0"/>
    <x v="8"/>
    <x v="8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8"/>
    <x v="0"/>
    <x v="8"/>
    <x v="8"/>
    <x v="1"/>
    <x v="7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8"/>
    <x v="0"/>
    <x v="8"/>
    <x v="8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8"/>
    <x v="0"/>
    <x v="8"/>
    <x v="8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8"/>
    <x v="0"/>
    <x v="8"/>
    <x v="8"/>
    <x v="1"/>
    <x v="7"/>
    <x v="0"/>
    <x v="0"/>
    <x v="0"/>
    <x v="0"/>
    <x v="0"/>
    <x v="0"/>
    <x v="2"/>
    <x v="2"/>
    <x v="2"/>
    <x v="10"/>
    <x v="10"/>
    <n v="2.9550458715578598"/>
    <x v="0"/>
    <x v="0"/>
    <x v="1"/>
    <x v="4"/>
    <x v="5"/>
    <x v="10"/>
    <n v="3.2209999999980674"/>
  </r>
  <r>
    <x v="8"/>
    <x v="0"/>
    <x v="8"/>
    <x v="8"/>
    <x v="1"/>
    <x v="7"/>
    <x v="0"/>
    <x v="0"/>
    <x v="0"/>
    <x v="0"/>
    <x v="0"/>
    <x v="0"/>
    <x v="2"/>
    <x v="2"/>
    <x v="2"/>
    <x v="11"/>
    <x v="11"/>
    <n v="276.54734999999999"/>
    <x v="0"/>
    <x v="0"/>
    <x v="3"/>
    <x v="5"/>
    <x v="7"/>
    <x v="11"/>
    <n v="301.43661150000003"/>
  </r>
  <r>
    <x v="8"/>
    <x v="0"/>
    <x v="8"/>
    <x v="8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8"/>
    <x v="0"/>
    <x v="8"/>
    <x v="8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0.31324"/>
  </r>
  <r>
    <x v="8"/>
    <x v="0"/>
    <x v="8"/>
    <x v="8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8"/>
    <x v="0"/>
    <x v="8"/>
    <x v="8"/>
    <x v="1"/>
    <x v="7"/>
    <x v="0"/>
    <x v="0"/>
    <x v="0"/>
    <x v="0"/>
    <x v="0"/>
    <x v="0"/>
    <x v="2"/>
    <x v="2"/>
    <x v="2"/>
    <x v="18"/>
    <x v="18"/>
    <n v="24.518999999999998"/>
    <x v="0"/>
    <x v="0"/>
    <x v="0"/>
    <x v="0"/>
    <x v="4"/>
    <x v="18"/>
    <n v="26.725709999999999"/>
  </r>
  <r>
    <x v="8"/>
    <x v="0"/>
    <x v="8"/>
    <x v="8"/>
    <x v="1"/>
    <x v="7"/>
    <x v="0"/>
    <x v="0"/>
    <x v="0"/>
    <x v="0"/>
    <x v="0"/>
    <x v="0"/>
    <x v="2"/>
    <x v="2"/>
    <x v="2"/>
    <x v="26"/>
    <x v="26"/>
    <n v="347.70642201814002"/>
    <x v="0"/>
    <x v="0"/>
    <x v="1"/>
    <x v="3"/>
    <x v="3"/>
    <x v="15"/>
    <n v="378.99999999977263"/>
  </r>
  <r>
    <x v="8"/>
    <x v="0"/>
    <x v="8"/>
    <x v="8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8"/>
    <x v="0"/>
    <x v="8"/>
    <x v="8"/>
    <x v="1"/>
    <x v="7"/>
    <x v="0"/>
    <x v="0"/>
    <x v="0"/>
    <x v="0"/>
    <x v="0"/>
    <x v="0"/>
    <x v="1"/>
    <x v="6"/>
    <x v="6"/>
    <x v="11"/>
    <x v="11"/>
    <n v="42.367849999999997"/>
    <x v="0"/>
    <x v="0"/>
    <x v="3"/>
    <x v="5"/>
    <x v="7"/>
    <x v="11"/>
    <n v="46.180956500000001"/>
  </r>
  <r>
    <x v="8"/>
    <x v="0"/>
    <x v="8"/>
    <x v="8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28.256070000000001"/>
  </r>
  <r>
    <x v="8"/>
    <x v="0"/>
    <x v="8"/>
    <x v="8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8"/>
    <x v="0"/>
    <x v="8"/>
    <x v="8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8"/>
    <x v="0"/>
    <x v="8"/>
    <x v="8"/>
    <x v="1"/>
    <x v="7"/>
    <x v="0"/>
    <x v="0"/>
    <x v="0"/>
    <x v="0"/>
    <x v="0"/>
    <x v="0"/>
    <x v="1"/>
    <x v="1"/>
    <x v="1"/>
    <x v="11"/>
    <x v="11"/>
    <n v="5.3607500000000003"/>
    <x v="0"/>
    <x v="0"/>
    <x v="3"/>
    <x v="5"/>
    <x v="7"/>
    <x v="11"/>
    <n v="5.8432175000000006"/>
  </r>
  <r>
    <x v="8"/>
    <x v="0"/>
    <x v="8"/>
    <x v="8"/>
    <x v="1"/>
    <x v="7"/>
    <x v="0"/>
    <x v="0"/>
    <x v="0"/>
    <x v="0"/>
    <x v="3"/>
    <x v="3"/>
    <x v="3"/>
    <x v="3"/>
    <x v="3"/>
    <x v="11"/>
    <x v="11"/>
    <n v="8.0966199999999997"/>
    <x v="0"/>
    <x v="0"/>
    <x v="3"/>
    <x v="5"/>
    <x v="7"/>
    <x v="11"/>
    <n v="8.8253158000000003"/>
  </r>
  <r>
    <x v="8"/>
    <x v="0"/>
    <x v="8"/>
    <x v="8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8"/>
    <x v="0"/>
    <x v="8"/>
    <x v="8"/>
    <x v="1"/>
    <x v="6"/>
    <x v="0"/>
    <x v="0"/>
    <x v="0"/>
    <x v="0"/>
    <x v="0"/>
    <x v="0"/>
    <x v="0"/>
    <x v="9"/>
    <x v="9"/>
    <x v="9"/>
    <x v="9"/>
    <n v="1222.9588757731401"/>
    <x v="0"/>
    <x v="0"/>
    <x v="1"/>
    <x v="4"/>
    <x v="5"/>
    <x v="9"/>
    <n v="1333.0251745927228"/>
  </r>
  <r>
    <x v="8"/>
    <x v="0"/>
    <x v="8"/>
    <x v="8"/>
    <x v="1"/>
    <x v="6"/>
    <x v="0"/>
    <x v="0"/>
    <x v="0"/>
    <x v="0"/>
    <x v="0"/>
    <x v="0"/>
    <x v="0"/>
    <x v="9"/>
    <x v="9"/>
    <x v="10"/>
    <x v="10"/>
    <n v="4.8894640947014398"/>
    <x v="0"/>
    <x v="0"/>
    <x v="1"/>
    <x v="4"/>
    <x v="5"/>
    <x v="10"/>
    <n v="5.3295158632245698"/>
  </r>
  <r>
    <x v="8"/>
    <x v="0"/>
    <x v="8"/>
    <x v="8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70.4292935"/>
  </r>
  <r>
    <x v="8"/>
    <x v="0"/>
    <x v="8"/>
    <x v="8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8"/>
    <x v="0"/>
    <x v="8"/>
    <x v="8"/>
    <x v="1"/>
    <x v="6"/>
    <x v="0"/>
    <x v="0"/>
    <x v="0"/>
    <x v="0"/>
    <x v="0"/>
    <x v="0"/>
    <x v="0"/>
    <x v="9"/>
    <x v="9"/>
    <x v="21"/>
    <x v="21"/>
    <n v="107.004266054982"/>
    <x v="0"/>
    <x v="0"/>
    <x v="1"/>
    <x v="4"/>
    <x v="5"/>
    <x v="10"/>
    <n v="116.63464999993039"/>
  </r>
  <r>
    <x v="8"/>
    <x v="0"/>
    <x v="8"/>
    <x v="8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8"/>
    <x v="0"/>
    <x v="8"/>
    <x v="8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8"/>
    <x v="0"/>
    <x v="8"/>
    <x v="8"/>
    <x v="1"/>
    <x v="6"/>
    <x v="0"/>
    <x v="0"/>
    <x v="0"/>
    <x v="0"/>
    <x v="0"/>
    <x v="0"/>
    <x v="2"/>
    <x v="10"/>
    <x v="10"/>
    <x v="9"/>
    <x v="9"/>
    <n v="281.09358126851799"/>
    <x v="0"/>
    <x v="0"/>
    <x v="1"/>
    <x v="4"/>
    <x v="5"/>
    <x v="9"/>
    <n v="306.39200358268465"/>
  </r>
  <r>
    <x v="8"/>
    <x v="0"/>
    <x v="8"/>
    <x v="8"/>
    <x v="1"/>
    <x v="6"/>
    <x v="0"/>
    <x v="0"/>
    <x v="0"/>
    <x v="0"/>
    <x v="0"/>
    <x v="0"/>
    <x v="2"/>
    <x v="10"/>
    <x v="10"/>
    <x v="10"/>
    <x v="10"/>
    <n v="1.7814764857600001E-3"/>
    <x v="0"/>
    <x v="0"/>
    <x v="1"/>
    <x v="4"/>
    <x v="5"/>
    <x v="10"/>
    <n v="1.9418093694784002E-3"/>
  </r>
  <r>
    <x v="8"/>
    <x v="0"/>
    <x v="8"/>
    <x v="8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96.729891800000004"/>
  </r>
  <r>
    <x v="8"/>
    <x v="0"/>
    <x v="8"/>
    <x v="8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8"/>
    <x v="0"/>
    <x v="8"/>
    <x v="8"/>
    <x v="1"/>
    <x v="6"/>
    <x v="0"/>
    <x v="0"/>
    <x v="0"/>
    <x v="0"/>
    <x v="0"/>
    <x v="0"/>
    <x v="2"/>
    <x v="10"/>
    <x v="10"/>
    <x v="21"/>
    <x v="21"/>
    <n v="30.678495412825601"/>
    <x v="0"/>
    <x v="0"/>
    <x v="1"/>
    <x v="4"/>
    <x v="5"/>
    <x v="10"/>
    <n v="33.439559999979906"/>
  </r>
  <r>
    <x v="8"/>
    <x v="0"/>
    <x v="8"/>
    <x v="8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8"/>
    <x v="0"/>
    <x v="8"/>
    <x v="8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8"/>
    <x v="0"/>
    <x v="8"/>
    <x v="8"/>
    <x v="1"/>
    <x v="6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8"/>
    <x v="0"/>
    <x v="8"/>
    <x v="8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8"/>
    <x v="0"/>
    <x v="8"/>
    <x v="8"/>
    <x v="1"/>
    <x v="6"/>
    <x v="0"/>
    <x v="0"/>
    <x v="0"/>
    <x v="0"/>
    <x v="0"/>
    <x v="0"/>
    <x v="4"/>
    <x v="5"/>
    <x v="5"/>
    <x v="9"/>
    <x v="9"/>
    <n v="1018.71665363082"/>
    <x v="0"/>
    <x v="0"/>
    <x v="1"/>
    <x v="4"/>
    <x v="5"/>
    <x v="9"/>
    <n v="1110.401152457594"/>
  </r>
  <r>
    <x v="8"/>
    <x v="0"/>
    <x v="8"/>
    <x v="8"/>
    <x v="1"/>
    <x v="6"/>
    <x v="0"/>
    <x v="0"/>
    <x v="0"/>
    <x v="0"/>
    <x v="0"/>
    <x v="0"/>
    <x v="4"/>
    <x v="5"/>
    <x v="5"/>
    <x v="10"/>
    <x v="10"/>
    <n v="54.971123861315803"/>
    <x v="0"/>
    <x v="0"/>
    <x v="1"/>
    <x v="4"/>
    <x v="5"/>
    <x v="10"/>
    <n v="59.91852500883423"/>
  </r>
  <r>
    <x v="8"/>
    <x v="0"/>
    <x v="8"/>
    <x v="8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8"/>
    <x v="0"/>
    <x v="8"/>
    <x v="8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285.27934530000005"/>
  </r>
  <r>
    <x v="8"/>
    <x v="0"/>
    <x v="8"/>
    <x v="8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8"/>
    <x v="0"/>
    <x v="8"/>
    <x v="8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8"/>
    <x v="0"/>
    <x v="8"/>
    <x v="8"/>
    <x v="1"/>
    <x v="6"/>
    <x v="0"/>
    <x v="0"/>
    <x v="0"/>
    <x v="0"/>
    <x v="0"/>
    <x v="0"/>
    <x v="4"/>
    <x v="5"/>
    <x v="5"/>
    <x v="21"/>
    <x v="21"/>
    <n v="99.024825688014005"/>
    <x v="0"/>
    <x v="0"/>
    <x v="1"/>
    <x v="4"/>
    <x v="5"/>
    <x v="10"/>
    <n v="107.93705999993527"/>
  </r>
  <r>
    <x v="8"/>
    <x v="0"/>
    <x v="8"/>
    <x v="8"/>
    <x v="1"/>
    <x v="6"/>
    <x v="0"/>
    <x v="0"/>
    <x v="0"/>
    <x v="0"/>
    <x v="0"/>
    <x v="0"/>
    <x v="4"/>
    <x v="5"/>
    <x v="5"/>
    <x v="18"/>
    <x v="18"/>
    <n v="19.306370000000001"/>
    <x v="0"/>
    <x v="0"/>
    <x v="0"/>
    <x v="0"/>
    <x v="4"/>
    <x v="18"/>
    <n v="21.043943300000002"/>
  </r>
  <r>
    <x v="8"/>
    <x v="0"/>
    <x v="8"/>
    <x v="8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8"/>
    <x v="0"/>
    <x v="8"/>
    <x v="8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8"/>
    <x v="0"/>
    <x v="8"/>
    <x v="8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8"/>
    <x v="0"/>
    <x v="8"/>
    <x v="8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8"/>
    <x v="0"/>
    <x v="8"/>
    <x v="8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8"/>
    <x v="0"/>
    <x v="8"/>
    <x v="8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8"/>
    <x v="0"/>
    <x v="8"/>
    <x v="8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8"/>
    <x v="0"/>
    <x v="8"/>
    <x v="8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8"/>
    <x v="0"/>
    <x v="8"/>
    <x v="8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8"/>
    <x v="0"/>
    <x v="8"/>
    <x v="8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8"/>
    <x v="0"/>
    <x v="8"/>
    <x v="8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8"/>
    <x v="0"/>
    <x v="8"/>
    <x v="8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8"/>
    <x v="0"/>
    <x v="8"/>
    <x v="8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8"/>
    <x v="0"/>
    <x v="8"/>
    <x v="8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8"/>
    <x v="0"/>
    <x v="8"/>
    <x v="8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8"/>
    <x v="0"/>
    <x v="8"/>
    <x v="8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8"/>
    <x v="0"/>
    <x v="8"/>
    <x v="8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8"/>
    <x v="0"/>
    <x v="8"/>
    <x v="8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8"/>
    <x v="0"/>
    <x v="8"/>
    <x v="8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8"/>
    <x v="0"/>
    <x v="8"/>
    <x v="8"/>
    <x v="1"/>
    <x v="6"/>
    <x v="0"/>
    <x v="0"/>
    <x v="0"/>
    <x v="0"/>
    <x v="3"/>
    <x v="3"/>
    <x v="2"/>
    <x v="2"/>
    <x v="2"/>
    <x v="5"/>
    <x v="5"/>
    <n v="36.1186564419923"/>
    <x v="0"/>
    <x v="0"/>
    <x v="1"/>
    <x v="1"/>
    <x v="1"/>
    <x v="5"/>
    <n v="39.36933552177161"/>
  </r>
  <r>
    <x v="8"/>
    <x v="0"/>
    <x v="8"/>
    <x v="8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8"/>
    <x v="0"/>
    <x v="8"/>
    <x v="8"/>
    <x v="1"/>
    <x v="6"/>
    <x v="0"/>
    <x v="0"/>
    <x v="0"/>
    <x v="0"/>
    <x v="3"/>
    <x v="3"/>
    <x v="2"/>
    <x v="2"/>
    <x v="2"/>
    <x v="9"/>
    <x v="9"/>
    <n v="19.362155649511202"/>
    <x v="0"/>
    <x v="0"/>
    <x v="1"/>
    <x v="4"/>
    <x v="5"/>
    <x v="9"/>
    <n v="21.104749657967211"/>
  </r>
  <r>
    <x v="8"/>
    <x v="0"/>
    <x v="8"/>
    <x v="8"/>
    <x v="1"/>
    <x v="6"/>
    <x v="0"/>
    <x v="0"/>
    <x v="0"/>
    <x v="0"/>
    <x v="3"/>
    <x v="3"/>
    <x v="2"/>
    <x v="2"/>
    <x v="2"/>
    <x v="10"/>
    <x v="10"/>
    <n v="11.861087199436801"/>
    <x v="0"/>
    <x v="0"/>
    <x v="1"/>
    <x v="4"/>
    <x v="5"/>
    <x v="10"/>
    <n v="12.928585047386115"/>
  </r>
  <r>
    <x v="8"/>
    <x v="0"/>
    <x v="8"/>
    <x v="8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8"/>
    <x v="0"/>
    <x v="8"/>
    <x v="8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8"/>
    <x v="0"/>
    <x v="8"/>
    <x v="8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8"/>
    <x v="0"/>
    <x v="8"/>
    <x v="8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8"/>
    <x v="0"/>
    <x v="8"/>
    <x v="8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8"/>
    <x v="0"/>
    <x v="8"/>
    <x v="8"/>
    <x v="1"/>
    <x v="6"/>
    <x v="0"/>
    <x v="0"/>
    <x v="0"/>
    <x v="0"/>
    <x v="3"/>
    <x v="3"/>
    <x v="2"/>
    <x v="2"/>
    <x v="2"/>
    <x v="16"/>
    <x v="16"/>
    <n v="10.797370000000001"/>
    <x v="0"/>
    <x v="0"/>
    <x v="3"/>
    <x v="5"/>
    <x v="9"/>
    <x v="16"/>
    <n v="11.769133300000002"/>
  </r>
  <r>
    <x v="8"/>
    <x v="0"/>
    <x v="8"/>
    <x v="8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8"/>
    <x v="0"/>
    <x v="8"/>
    <x v="8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8"/>
    <x v="0"/>
    <x v="8"/>
    <x v="8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8"/>
    <x v="0"/>
    <x v="8"/>
    <x v="8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8"/>
    <x v="0"/>
    <x v="8"/>
    <x v="8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8"/>
    <x v="0"/>
    <x v="8"/>
    <x v="8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8"/>
    <x v="0"/>
    <x v="8"/>
    <x v="8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8"/>
    <x v="0"/>
    <x v="8"/>
    <x v="8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8"/>
    <x v="0"/>
    <x v="8"/>
    <x v="8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8"/>
    <x v="0"/>
    <x v="8"/>
    <x v="8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8"/>
    <x v="0"/>
    <x v="8"/>
    <x v="8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8"/>
    <x v="0"/>
    <x v="8"/>
    <x v="8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8"/>
    <x v="0"/>
    <x v="8"/>
    <x v="8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8"/>
    <x v="0"/>
    <x v="8"/>
    <x v="8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8"/>
    <x v="0"/>
    <x v="8"/>
    <x v="8"/>
    <x v="1"/>
    <x v="6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8"/>
    <x v="0"/>
    <x v="8"/>
    <x v="8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8"/>
    <x v="0"/>
    <x v="8"/>
    <x v="8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8"/>
    <x v="0"/>
    <x v="8"/>
    <x v="8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8"/>
    <x v="0"/>
    <x v="8"/>
    <x v="8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8"/>
    <x v="0"/>
    <x v="8"/>
    <x v="8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8"/>
    <x v="0"/>
    <x v="8"/>
    <x v="8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8"/>
    <x v="0"/>
    <x v="8"/>
    <x v="8"/>
    <x v="1"/>
    <x v="6"/>
    <x v="0"/>
    <x v="0"/>
    <x v="0"/>
    <x v="0"/>
    <x v="4"/>
    <x v="4"/>
    <x v="2"/>
    <x v="2"/>
    <x v="2"/>
    <x v="10"/>
    <x v="10"/>
    <n v="0.43766305244159998"/>
    <x v="0"/>
    <x v="0"/>
    <x v="1"/>
    <x v="4"/>
    <x v="5"/>
    <x v="10"/>
    <n v="0.477052727161344"/>
  </r>
  <r>
    <x v="8"/>
    <x v="0"/>
    <x v="8"/>
    <x v="8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8"/>
    <x v="0"/>
    <x v="8"/>
    <x v="8"/>
    <x v="1"/>
    <x v="6"/>
    <x v="0"/>
    <x v="0"/>
    <x v="0"/>
    <x v="0"/>
    <x v="4"/>
    <x v="4"/>
    <x v="2"/>
    <x v="2"/>
    <x v="2"/>
    <x v="21"/>
    <x v="21"/>
    <n v="3.8838165137591401"/>
    <x v="0"/>
    <x v="0"/>
    <x v="1"/>
    <x v="4"/>
    <x v="5"/>
    <x v="10"/>
    <n v="4.2333599999974627"/>
  </r>
  <r>
    <x v="8"/>
    <x v="0"/>
    <x v="8"/>
    <x v="8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8"/>
    <x v="0"/>
    <x v="8"/>
    <x v="8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8"/>
    <x v="0"/>
    <x v="8"/>
    <x v="8"/>
    <x v="1"/>
    <x v="6"/>
    <x v="0"/>
    <x v="0"/>
    <x v="0"/>
    <x v="0"/>
    <x v="4"/>
    <x v="4"/>
    <x v="2"/>
    <x v="2"/>
    <x v="2"/>
    <x v="26"/>
    <x v="26"/>
    <n v="2.3392477064206099"/>
    <x v="0"/>
    <x v="0"/>
    <x v="1"/>
    <x v="3"/>
    <x v="3"/>
    <x v="15"/>
    <n v="2.5497799999984649"/>
  </r>
  <r>
    <x v="8"/>
    <x v="0"/>
    <x v="8"/>
    <x v="8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8"/>
    <x v="0"/>
    <x v="8"/>
    <x v="8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8"/>
    <x v="0"/>
    <x v="8"/>
    <x v="8"/>
    <x v="1"/>
    <x v="6"/>
    <x v="0"/>
    <x v="0"/>
    <x v="0"/>
    <x v="0"/>
    <x v="4"/>
    <x v="4"/>
    <x v="4"/>
    <x v="5"/>
    <x v="5"/>
    <x v="20"/>
    <x v="20"/>
    <n v="24.305859999999999"/>
    <x v="0"/>
    <x v="0"/>
    <x v="1"/>
    <x v="3"/>
    <x v="3"/>
    <x v="13"/>
    <n v="26.4933874"/>
  </r>
  <r>
    <x v="8"/>
    <x v="0"/>
    <x v="8"/>
    <x v="8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8"/>
    <x v="0"/>
    <x v="8"/>
    <x v="8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8"/>
    <x v="0"/>
    <x v="8"/>
    <x v="8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8"/>
    <x v="0"/>
    <x v="8"/>
    <x v="8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8"/>
    <x v="0"/>
    <x v="8"/>
    <x v="8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8"/>
    <x v="0"/>
    <x v="8"/>
    <x v="8"/>
    <x v="1"/>
    <x v="6"/>
    <x v="0"/>
    <x v="0"/>
    <x v="2"/>
    <x v="2"/>
    <x v="5"/>
    <x v="5"/>
    <x v="2"/>
    <x v="2"/>
    <x v="2"/>
    <x v="40"/>
    <x v="40"/>
    <n v="10129.61513"/>
    <x v="1"/>
    <x v="2"/>
    <x v="5"/>
    <x v="7"/>
    <x v="11"/>
    <x v="22"/>
    <n v="11041.280491700001"/>
  </r>
  <r>
    <x v="8"/>
    <x v="0"/>
    <x v="8"/>
    <x v="8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8"/>
    <x v="0"/>
    <x v="8"/>
    <x v="8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8"/>
    <x v="0"/>
    <x v="8"/>
    <x v="8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8"/>
    <x v="0"/>
    <x v="8"/>
    <x v="8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8"/>
    <x v="0"/>
    <x v="8"/>
    <x v="8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8"/>
    <x v="0"/>
    <x v="8"/>
    <x v="8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8"/>
    <x v="0"/>
    <x v="8"/>
    <x v="8"/>
    <x v="1"/>
    <x v="6"/>
    <x v="0"/>
    <x v="0"/>
    <x v="2"/>
    <x v="2"/>
    <x v="5"/>
    <x v="5"/>
    <x v="1"/>
    <x v="6"/>
    <x v="6"/>
    <x v="40"/>
    <x v="40"/>
    <n v="3215.6868599999998"/>
    <x v="1"/>
    <x v="2"/>
    <x v="5"/>
    <x v="7"/>
    <x v="11"/>
    <x v="22"/>
    <n v="3505.0986773999998"/>
  </r>
  <r>
    <x v="8"/>
    <x v="0"/>
    <x v="8"/>
    <x v="8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8"/>
    <x v="0"/>
    <x v="8"/>
    <x v="8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8"/>
    <x v="0"/>
    <x v="8"/>
    <x v="8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686.88847190000001"/>
  </r>
  <r>
    <x v="8"/>
    <x v="0"/>
    <x v="8"/>
    <x v="8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8"/>
    <x v="0"/>
    <x v="8"/>
    <x v="8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195.94236760000001"/>
  </r>
  <r>
    <x v="8"/>
    <x v="0"/>
    <x v="8"/>
    <x v="8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8"/>
    <x v="0"/>
    <x v="8"/>
    <x v="8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79.757948700000014"/>
  </r>
  <r>
    <x v="8"/>
    <x v="0"/>
    <x v="8"/>
    <x v="8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8"/>
    <x v="0"/>
    <x v="8"/>
    <x v="8"/>
    <x v="1"/>
    <x v="6"/>
    <x v="0"/>
    <x v="0"/>
    <x v="2"/>
    <x v="2"/>
    <x v="5"/>
    <x v="5"/>
    <x v="4"/>
    <x v="5"/>
    <x v="5"/>
    <x v="41"/>
    <x v="41"/>
    <n v="81.382329786924799"/>
    <x v="1"/>
    <x v="2"/>
    <x v="5"/>
    <x v="7"/>
    <x v="11"/>
    <x v="22"/>
    <n v="88.706739467748037"/>
  </r>
  <r>
    <x v="8"/>
    <x v="0"/>
    <x v="8"/>
    <x v="8"/>
    <x v="1"/>
    <x v="6"/>
    <x v="0"/>
    <x v="0"/>
    <x v="2"/>
    <x v="2"/>
    <x v="5"/>
    <x v="5"/>
    <x v="4"/>
    <x v="5"/>
    <x v="5"/>
    <x v="40"/>
    <x v="40"/>
    <n v="787.43025"/>
    <x v="1"/>
    <x v="2"/>
    <x v="5"/>
    <x v="7"/>
    <x v="11"/>
    <x v="22"/>
    <n v="858.2989725000001"/>
  </r>
  <r>
    <x v="8"/>
    <x v="0"/>
    <x v="8"/>
    <x v="8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8"/>
    <x v="0"/>
    <x v="8"/>
    <x v="8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8"/>
    <x v="0"/>
    <x v="8"/>
    <x v="8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8"/>
    <x v="0"/>
    <x v="8"/>
    <x v="8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8"/>
    <x v="0"/>
    <x v="8"/>
    <x v="8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8"/>
    <x v="0"/>
    <x v="8"/>
    <x v="8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8"/>
    <x v="0"/>
    <x v="8"/>
    <x v="8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8"/>
    <x v="0"/>
    <x v="8"/>
    <x v="8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8"/>
    <x v="0"/>
    <x v="8"/>
    <x v="8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8"/>
    <x v="0"/>
    <x v="8"/>
    <x v="8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8"/>
    <x v="0"/>
    <x v="8"/>
    <x v="8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8"/>
    <x v="0"/>
    <x v="8"/>
    <x v="8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8"/>
    <x v="0"/>
    <x v="8"/>
    <x v="8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8"/>
    <x v="0"/>
    <x v="8"/>
    <x v="8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8"/>
    <x v="0"/>
    <x v="8"/>
    <x v="8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8"/>
    <x v="0"/>
    <x v="8"/>
    <x v="8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8"/>
    <x v="0"/>
    <x v="8"/>
    <x v="8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8"/>
    <x v="0"/>
    <x v="8"/>
    <x v="8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8"/>
    <x v="0"/>
    <x v="8"/>
    <x v="8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8"/>
    <x v="0"/>
    <x v="8"/>
    <x v="8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8"/>
    <x v="0"/>
    <x v="8"/>
    <x v="8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8"/>
    <x v="0"/>
    <x v="8"/>
    <x v="8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8"/>
    <x v="0"/>
    <x v="8"/>
    <x v="8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8"/>
    <x v="0"/>
    <x v="8"/>
    <x v="8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8"/>
    <x v="0"/>
    <x v="8"/>
    <x v="8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8"/>
    <x v="0"/>
    <x v="8"/>
    <x v="8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8"/>
    <x v="0"/>
    <x v="8"/>
    <x v="8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8"/>
    <x v="0"/>
    <x v="8"/>
    <x v="8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8"/>
    <x v="0"/>
    <x v="8"/>
    <x v="8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8"/>
    <x v="0"/>
    <x v="8"/>
    <x v="8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8"/>
    <x v="0"/>
    <x v="8"/>
    <x v="8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8"/>
    <x v="0"/>
    <x v="8"/>
    <x v="8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8"/>
    <x v="0"/>
    <x v="8"/>
    <x v="8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8"/>
    <x v="0"/>
    <x v="8"/>
    <x v="8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8"/>
    <x v="0"/>
    <x v="8"/>
    <x v="8"/>
    <x v="1"/>
    <x v="6"/>
    <x v="0"/>
    <x v="0"/>
    <x v="2"/>
    <x v="2"/>
    <x v="7"/>
    <x v="7"/>
    <x v="2"/>
    <x v="2"/>
    <x v="2"/>
    <x v="40"/>
    <x v="40"/>
    <n v="2511.9098199999999"/>
    <x v="1"/>
    <x v="2"/>
    <x v="5"/>
    <x v="7"/>
    <x v="11"/>
    <x v="22"/>
    <n v="2737.9817038000001"/>
  </r>
  <r>
    <x v="8"/>
    <x v="0"/>
    <x v="8"/>
    <x v="8"/>
    <x v="1"/>
    <x v="6"/>
    <x v="0"/>
    <x v="0"/>
    <x v="2"/>
    <x v="2"/>
    <x v="7"/>
    <x v="7"/>
    <x v="2"/>
    <x v="2"/>
    <x v="2"/>
    <x v="38"/>
    <x v="38"/>
    <n v="3966.3876500000001"/>
    <x v="1"/>
    <x v="0"/>
    <x v="4"/>
    <x v="6"/>
    <x v="10"/>
    <x v="21"/>
    <n v="4323.3625385000005"/>
  </r>
  <r>
    <x v="8"/>
    <x v="0"/>
    <x v="8"/>
    <x v="8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8"/>
    <x v="0"/>
    <x v="8"/>
    <x v="8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8"/>
    <x v="0"/>
    <x v="8"/>
    <x v="8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8"/>
    <x v="0"/>
    <x v="8"/>
    <x v="8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8"/>
    <x v="0"/>
    <x v="8"/>
    <x v="8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8"/>
    <x v="0"/>
    <x v="8"/>
    <x v="8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8"/>
    <x v="0"/>
    <x v="8"/>
    <x v="8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8"/>
    <x v="0"/>
    <x v="8"/>
    <x v="8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8"/>
    <x v="0"/>
    <x v="8"/>
    <x v="8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8"/>
    <x v="0"/>
    <x v="8"/>
    <x v="8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8"/>
    <x v="0"/>
    <x v="8"/>
    <x v="8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8"/>
    <x v="0"/>
    <x v="8"/>
    <x v="8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8"/>
    <x v="0"/>
    <x v="8"/>
    <x v="8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8"/>
    <x v="0"/>
    <x v="8"/>
    <x v="8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8"/>
    <x v="0"/>
    <x v="8"/>
    <x v="8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8"/>
    <x v="0"/>
    <x v="8"/>
    <x v="8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8"/>
    <x v="0"/>
    <x v="8"/>
    <x v="8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8"/>
    <x v="0"/>
    <x v="8"/>
    <x v="8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8"/>
    <x v="0"/>
    <x v="8"/>
    <x v="8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8"/>
    <x v="0"/>
    <x v="8"/>
    <x v="8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194.02818590000001"/>
  </r>
  <r>
    <x v="8"/>
    <x v="0"/>
    <x v="8"/>
    <x v="8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8"/>
    <x v="0"/>
    <x v="8"/>
    <x v="8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8"/>
    <x v="0"/>
    <x v="8"/>
    <x v="8"/>
    <x v="1"/>
    <x v="6"/>
    <x v="0"/>
    <x v="0"/>
    <x v="2"/>
    <x v="2"/>
    <x v="7"/>
    <x v="7"/>
    <x v="4"/>
    <x v="5"/>
    <x v="5"/>
    <x v="40"/>
    <x v="40"/>
    <n v="175.98287999999999"/>
    <x v="1"/>
    <x v="2"/>
    <x v="5"/>
    <x v="7"/>
    <x v="11"/>
    <x v="22"/>
    <n v="191.82133920000001"/>
  </r>
  <r>
    <x v="8"/>
    <x v="0"/>
    <x v="8"/>
    <x v="8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8"/>
    <x v="0"/>
    <x v="8"/>
    <x v="8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8"/>
    <x v="0"/>
    <x v="8"/>
    <x v="8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8"/>
    <x v="0"/>
    <x v="8"/>
    <x v="8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8"/>
    <x v="0"/>
    <x v="8"/>
    <x v="8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8"/>
    <x v="0"/>
    <x v="8"/>
    <x v="8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8"/>
    <x v="0"/>
    <x v="8"/>
    <x v="8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8"/>
    <x v="0"/>
    <x v="8"/>
    <x v="8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8"/>
    <x v="0"/>
    <x v="8"/>
    <x v="8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8"/>
    <x v="0"/>
    <x v="8"/>
    <x v="8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8"/>
    <x v="0"/>
    <x v="8"/>
    <x v="8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8"/>
    <x v="0"/>
    <x v="8"/>
    <x v="8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8"/>
    <x v="0"/>
    <x v="8"/>
    <x v="8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8"/>
    <x v="0"/>
    <x v="8"/>
    <x v="8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8"/>
    <x v="0"/>
    <x v="8"/>
    <x v="8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8"/>
    <x v="0"/>
    <x v="8"/>
    <x v="8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8"/>
    <x v="0"/>
    <x v="8"/>
    <x v="8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8"/>
    <x v="0"/>
    <x v="8"/>
    <x v="8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8"/>
    <x v="0"/>
    <x v="8"/>
    <x v="8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8"/>
    <x v="0"/>
    <x v="8"/>
    <x v="8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8"/>
    <x v="0"/>
    <x v="8"/>
    <x v="8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8"/>
    <x v="0"/>
    <x v="8"/>
    <x v="8"/>
    <x v="1"/>
    <x v="6"/>
    <x v="0"/>
    <x v="0"/>
    <x v="2"/>
    <x v="2"/>
    <x v="9"/>
    <x v="9"/>
    <x v="2"/>
    <x v="2"/>
    <x v="2"/>
    <x v="40"/>
    <x v="40"/>
    <n v="13150.179260000001"/>
    <x v="1"/>
    <x v="2"/>
    <x v="5"/>
    <x v="7"/>
    <x v="11"/>
    <x v="22"/>
    <n v="14333.695393400001"/>
  </r>
  <r>
    <x v="8"/>
    <x v="0"/>
    <x v="8"/>
    <x v="8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8"/>
    <x v="0"/>
    <x v="8"/>
    <x v="8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8"/>
    <x v="0"/>
    <x v="8"/>
    <x v="8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8"/>
    <x v="0"/>
    <x v="8"/>
    <x v="8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8"/>
    <x v="0"/>
    <x v="8"/>
    <x v="8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8"/>
    <x v="0"/>
    <x v="8"/>
    <x v="8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8"/>
    <x v="0"/>
    <x v="8"/>
    <x v="8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8"/>
    <x v="0"/>
    <x v="8"/>
    <x v="8"/>
    <x v="1"/>
    <x v="6"/>
    <x v="0"/>
    <x v="0"/>
    <x v="2"/>
    <x v="2"/>
    <x v="9"/>
    <x v="9"/>
    <x v="1"/>
    <x v="6"/>
    <x v="6"/>
    <x v="40"/>
    <x v="40"/>
    <n v="25729.250899999999"/>
    <x v="1"/>
    <x v="2"/>
    <x v="5"/>
    <x v="7"/>
    <x v="11"/>
    <x v="22"/>
    <n v="28044.883481000001"/>
  </r>
  <r>
    <x v="8"/>
    <x v="0"/>
    <x v="8"/>
    <x v="8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8"/>
    <x v="0"/>
    <x v="8"/>
    <x v="8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8"/>
    <x v="0"/>
    <x v="8"/>
    <x v="8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8"/>
    <x v="0"/>
    <x v="8"/>
    <x v="8"/>
    <x v="1"/>
    <x v="6"/>
    <x v="0"/>
    <x v="0"/>
    <x v="2"/>
    <x v="2"/>
    <x v="9"/>
    <x v="9"/>
    <x v="3"/>
    <x v="7"/>
    <x v="7"/>
    <x v="40"/>
    <x v="40"/>
    <n v="356.77301"/>
    <x v="1"/>
    <x v="2"/>
    <x v="5"/>
    <x v="7"/>
    <x v="11"/>
    <x v="22"/>
    <n v="388.88258090000005"/>
  </r>
  <r>
    <x v="8"/>
    <x v="0"/>
    <x v="8"/>
    <x v="8"/>
    <x v="1"/>
    <x v="6"/>
    <x v="0"/>
    <x v="0"/>
    <x v="2"/>
    <x v="2"/>
    <x v="9"/>
    <x v="9"/>
    <x v="1"/>
    <x v="8"/>
    <x v="8"/>
    <x v="40"/>
    <x v="40"/>
    <n v="11972.0098"/>
    <x v="1"/>
    <x v="2"/>
    <x v="5"/>
    <x v="7"/>
    <x v="11"/>
    <x v="22"/>
    <n v="13049.490682000001"/>
  </r>
  <r>
    <x v="8"/>
    <x v="0"/>
    <x v="8"/>
    <x v="8"/>
    <x v="1"/>
    <x v="6"/>
    <x v="0"/>
    <x v="0"/>
    <x v="2"/>
    <x v="2"/>
    <x v="9"/>
    <x v="9"/>
    <x v="2"/>
    <x v="10"/>
    <x v="10"/>
    <x v="40"/>
    <x v="40"/>
    <n v="64.998369999999994"/>
    <x v="1"/>
    <x v="2"/>
    <x v="5"/>
    <x v="7"/>
    <x v="11"/>
    <x v="22"/>
    <n v="70.848223300000001"/>
  </r>
  <r>
    <x v="8"/>
    <x v="0"/>
    <x v="8"/>
    <x v="8"/>
    <x v="1"/>
    <x v="6"/>
    <x v="0"/>
    <x v="0"/>
    <x v="2"/>
    <x v="2"/>
    <x v="9"/>
    <x v="9"/>
    <x v="4"/>
    <x v="5"/>
    <x v="5"/>
    <x v="41"/>
    <x v="41"/>
    <n v="146.479797871784"/>
    <x v="1"/>
    <x v="2"/>
    <x v="5"/>
    <x v="7"/>
    <x v="11"/>
    <x v="22"/>
    <n v="159.66297968024458"/>
  </r>
  <r>
    <x v="8"/>
    <x v="0"/>
    <x v="8"/>
    <x v="8"/>
    <x v="1"/>
    <x v="6"/>
    <x v="0"/>
    <x v="0"/>
    <x v="2"/>
    <x v="2"/>
    <x v="9"/>
    <x v="9"/>
    <x v="4"/>
    <x v="5"/>
    <x v="5"/>
    <x v="40"/>
    <x v="40"/>
    <n v="2086.5842200000002"/>
    <x v="1"/>
    <x v="2"/>
    <x v="5"/>
    <x v="7"/>
    <x v="11"/>
    <x v="22"/>
    <n v="2274.3767998000003"/>
  </r>
  <r>
    <x v="8"/>
    <x v="0"/>
    <x v="8"/>
    <x v="8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8"/>
    <x v="0"/>
    <x v="8"/>
    <x v="8"/>
    <x v="1"/>
    <x v="6"/>
    <x v="0"/>
    <x v="0"/>
    <x v="2"/>
    <x v="2"/>
    <x v="10"/>
    <x v="10"/>
    <x v="2"/>
    <x v="2"/>
    <x v="2"/>
    <x v="41"/>
    <x v="41"/>
    <n v="537.70699999795704"/>
    <x v="1"/>
    <x v="2"/>
    <x v="5"/>
    <x v="7"/>
    <x v="11"/>
    <x v="22"/>
    <n v="586.10062999777324"/>
  </r>
  <r>
    <x v="8"/>
    <x v="0"/>
    <x v="8"/>
    <x v="8"/>
    <x v="1"/>
    <x v="6"/>
    <x v="0"/>
    <x v="0"/>
    <x v="2"/>
    <x v="2"/>
    <x v="10"/>
    <x v="10"/>
    <x v="2"/>
    <x v="2"/>
    <x v="2"/>
    <x v="40"/>
    <x v="40"/>
    <n v="4365.2138500000001"/>
    <x v="1"/>
    <x v="2"/>
    <x v="5"/>
    <x v="7"/>
    <x v="11"/>
    <x v="22"/>
    <n v="4758.0830965000005"/>
  </r>
  <r>
    <x v="8"/>
    <x v="0"/>
    <x v="8"/>
    <x v="8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8"/>
    <x v="0"/>
    <x v="8"/>
    <x v="8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8"/>
    <x v="0"/>
    <x v="8"/>
    <x v="8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8"/>
    <x v="0"/>
    <x v="8"/>
    <x v="8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8"/>
    <x v="0"/>
    <x v="8"/>
    <x v="8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8"/>
    <x v="0"/>
    <x v="8"/>
    <x v="8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8"/>
    <x v="0"/>
    <x v="8"/>
    <x v="8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8"/>
    <x v="0"/>
    <x v="8"/>
    <x v="8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8"/>
    <x v="0"/>
    <x v="8"/>
    <x v="8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8"/>
    <x v="0"/>
    <x v="8"/>
    <x v="8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8"/>
    <x v="0"/>
    <x v="8"/>
    <x v="8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8"/>
    <x v="0"/>
    <x v="8"/>
    <x v="8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8"/>
    <x v="0"/>
    <x v="8"/>
    <x v="8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8"/>
    <x v="0"/>
    <x v="8"/>
    <x v="8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8"/>
    <x v="0"/>
    <x v="8"/>
    <x v="8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8"/>
    <x v="0"/>
    <x v="8"/>
    <x v="8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8"/>
    <x v="0"/>
    <x v="8"/>
    <x v="8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8"/>
    <x v="0"/>
    <x v="8"/>
    <x v="8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8"/>
    <x v="0"/>
    <x v="8"/>
    <x v="8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8"/>
    <x v="0"/>
    <x v="8"/>
    <x v="8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8"/>
    <x v="0"/>
    <x v="8"/>
    <x v="8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8"/>
    <x v="0"/>
    <x v="8"/>
    <x v="8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8"/>
    <x v="0"/>
    <x v="8"/>
    <x v="8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8"/>
    <x v="0"/>
    <x v="8"/>
    <x v="8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8"/>
    <x v="0"/>
    <x v="8"/>
    <x v="8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8"/>
    <x v="0"/>
    <x v="8"/>
    <x v="8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8"/>
    <x v="0"/>
    <x v="8"/>
    <x v="8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8"/>
    <x v="0"/>
    <x v="8"/>
    <x v="8"/>
    <x v="1"/>
    <x v="6"/>
    <x v="0"/>
    <x v="0"/>
    <x v="3"/>
    <x v="3"/>
    <x v="12"/>
    <x v="12"/>
    <x v="3"/>
    <x v="7"/>
    <x v="7"/>
    <x v="40"/>
    <x v="40"/>
    <n v="54.823689999999999"/>
    <x v="1"/>
    <x v="2"/>
    <x v="5"/>
    <x v="7"/>
    <x v="11"/>
    <x v="22"/>
    <n v="59.757822100000006"/>
  </r>
  <r>
    <x v="8"/>
    <x v="0"/>
    <x v="8"/>
    <x v="8"/>
    <x v="1"/>
    <x v="6"/>
    <x v="0"/>
    <x v="0"/>
    <x v="3"/>
    <x v="3"/>
    <x v="12"/>
    <x v="12"/>
    <x v="1"/>
    <x v="8"/>
    <x v="8"/>
    <x v="40"/>
    <x v="40"/>
    <n v="20.610440000000001"/>
    <x v="1"/>
    <x v="2"/>
    <x v="5"/>
    <x v="7"/>
    <x v="11"/>
    <x v="22"/>
    <n v="22.465379600000002"/>
  </r>
  <r>
    <x v="8"/>
    <x v="0"/>
    <x v="8"/>
    <x v="8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8"/>
    <x v="0"/>
    <x v="8"/>
    <x v="8"/>
    <x v="1"/>
    <x v="6"/>
    <x v="0"/>
    <x v="0"/>
    <x v="3"/>
    <x v="3"/>
    <x v="12"/>
    <x v="12"/>
    <x v="2"/>
    <x v="10"/>
    <x v="10"/>
    <x v="40"/>
    <x v="40"/>
    <n v="5.03559"/>
    <x v="1"/>
    <x v="2"/>
    <x v="5"/>
    <x v="7"/>
    <x v="11"/>
    <x v="22"/>
    <n v="5.4887931000000005"/>
  </r>
  <r>
    <x v="8"/>
    <x v="0"/>
    <x v="8"/>
    <x v="8"/>
    <x v="1"/>
    <x v="6"/>
    <x v="0"/>
    <x v="0"/>
    <x v="3"/>
    <x v="3"/>
    <x v="12"/>
    <x v="12"/>
    <x v="4"/>
    <x v="5"/>
    <x v="5"/>
    <x v="41"/>
    <x v="41"/>
    <n v="12.9499361701636"/>
    <x v="1"/>
    <x v="2"/>
    <x v="5"/>
    <x v="7"/>
    <x v="11"/>
    <x v="22"/>
    <n v="14.115430425478324"/>
  </r>
  <r>
    <x v="8"/>
    <x v="0"/>
    <x v="8"/>
    <x v="8"/>
    <x v="1"/>
    <x v="6"/>
    <x v="0"/>
    <x v="0"/>
    <x v="3"/>
    <x v="3"/>
    <x v="12"/>
    <x v="12"/>
    <x v="4"/>
    <x v="5"/>
    <x v="5"/>
    <x v="40"/>
    <x v="40"/>
    <n v="90.032920000000004"/>
    <x v="1"/>
    <x v="2"/>
    <x v="5"/>
    <x v="7"/>
    <x v="11"/>
    <x v="22"/>
    <n v="98.135882800000019"/>
  </r>
  <r>
    <x v="8"/>
    <x v="0"/>
    <x v="8"/>
    <x v="8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8"/>
    <x v="0"/>
    <x v="8"/>
    <x v="8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8"/>
    <x v="0"/>
    <x v="8"/>
    <x v="8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8"/>
    <x v="0"/>
    <x v="8"/>
    <x v="8"/>
    <x v="1"/>
    <x v="6"/>
    <x v="0"/>
    <x v="0"/>
    <x v="3"/>
    <x v="3"/>
    <x v="13"/>
    <x v="13"/>
    <x v="2"/>
    <x v="2"/>
    <x v="2"/>
    <x v="40"/>
    <x v="40"/>
    <n v="2114.7563700000001"/>
    <x v="1"/>
    <x v="2"/>
    <x v="5"/>
    <x v="7"/>
    <x v="11"/>
    <x v="22"/>
    <n v="2305.0844433000002"/>
  </r>
  <r>
    <x v="8"/>
    <x v="0"/>
    <x v="8"/>
    <x v="8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8"/>
    <x v="0"/>
    <x v="8"/>
    <x v="8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8"/>
    <x v="0"/>
    <x v="8"/>
    <x v="8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8"/>
    <x v="0"/>
    <x v="8"/>
    <x v="8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8"/>
    <x v="0"/>
    <x v="8"/>
    <x v="8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8"/>
    <x v="0"/>
    <x v="8"/>
    <x v="8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8"/>
    <x v="0"/>
    <x v="8"/>
    <x v="8"/>
    <x v="1"/>
    <x v="6"/>
    <x v="0"/>
    <x v="0"/>
    <x v="3"/>
    <x v="3"/>
    <x v="19"/>
    <x v="19"/>
    <x v="3"/>
    <x v="7"/>
    <x v="7"/>
    <x v="40"/>
    <x v="40"/>
    <n v="6117.2904900000003"/>
    <x v="1"/>
    <x v="2"/>
    <x v="5"/>
    <x v="7"/>
    <x v="11"/>
    <x v="22"/>
    <n v="6667.8466341000012"/>
  </r>
  <r>
    <x v="8"/>
    <x v="0"/>
    <x v="8"/>
    <x v="8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8"/>
    <x v="0"/>
    <x v="8"/>
    <x v="8"/>
    <x v="1"/>
    <x v="6"/>
    <x v="0"/>
    <x v="0"/>
    <x v="3"/>
    <x v="3"/>
    <x v="19"/>
    <x v="19"/>
    <x v="1"/>
    <x v="8"/>
    <x v="8"/>
    <x v="40"/>
    <x v="40"/>
    <n v="1630.70516"/>
    <x v="1"/>
    <x v="2"/>
    <x v="5"/>
    <x v="7"/>
    <x v="11"/>
    <x v="22"/>
    <n v="1777.4686244000002"/>
  </r>
  <r>
    <x v="8"/>
    <x v="0"/>
    <x v="8"/>
    <x v="8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8"/>
    <x v="0"/>
    <x v="8"/>
    <x v="8"/>
    <x v="1"/>
    <x v="6"/>
    <x v="0"/>
    <x v="0"/>
    <x v="3"/>
    <x v="3"/>
    <x v="19"/>
    <x v="19"/>
    <x v="2"/>
    <x v="10"/>
    <x v="10"/>
    <x v="40"/>
    <x v="40"/>
    <n v="827.36663999999996"/>
    <x v="1"/>
    <x v="2"/>
    <x v="5"/>
    <x v="7"/>
    <x v="11"/>
    <x v="22"/>
    <n v="901.82963760000007"/>
  </r>
  <r>
    <x v="8"/>
    <x v="0"/>
    <x v="8"/>
    <x v="8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8"/>
    <x v="0"/>
    <x v="8"/>
    <x v="8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8"/>
    <x v="0"/>
    <x v="8"/>
    <x v="8"/>
    <x v="1"/>
    <x v="6"/>
    <x v="0"/>
    <x v="0"/>
    <x v="3"/>
    <x v="3"/>
    <x v="19"/>
    <x v="19"/>
    <x v="4"/>
    <x v="5"/>
    <x v="5"/>
    <x v="40"/>
    <x v="40"/>
    <n v="8798.9641499999998"/>
    <x v="1"/>
    <x v="2"/>
    <x v="5"/>
    <x v="7"/>
    <x v="11"/>
    <x v="22"/>
    <n v="9590.8709235000006"/>
  </r>
  <r>
    <x v="8"/>
    <x v="0"/>
    <x v="8"/>
    <x v="8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8"/>
    <x v="0"/>
    <x v="8"/>
    <x v="8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8"/>
    <x v="0"/>
    <x v="8"/>
    <x v="8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8"/>
    <x v="0"/>
    <x v="8"/>
    <x v="8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8"/>
    <x v="0"/>
    <x v="8"/>
    <x v="8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8"/>
    <x v="0"/>
    <x v="8"/>
    <x v="8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8"/>
    <x v="0"/>
    <x v="8"/>
    <x v="8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8"/>
    <x v="0"/>
    <x v="8"/>
    <x v="8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8"/>
    <x v="0"/>
    <x v="8"/>
    <x v="8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8"/>
    <x v="0"/>
    <x v="8"/>
    <x v="8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8"/>
    <x v="0"/>
    <x v="8"/>
    <x v="8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8"/>
    <x v="0"/>
    <x v="8"/>
    <x v="8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8"/>
    <x v="0"/>
    <x v="8"/>
    <x v="8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8"/>
    <x v="0"/>
    <x v="8"/>
    <x v="8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8"/>
    <x v="0"/>
    <x v="8"/>
    <x v="8"/>
    <x v="1"/>
    <x v="6"/>
    <x v="0"/>
    <x v="0"/>
    <x v="2"/>
    <x v="2"/>
    <x v="14"/>
    <x v="14"/>
    <x v="4"/>
    <x v="5"/>
    <x v="5"/>
    <x v="40"/>
    <x v="40"/>
    <n v="147.00906000000001"/>
    <x v="1"/>
    <x v="2"/>
    <x v="5"/>
    <x v="7"/>
    <x v="11"/>
    <x v="22"/>
    <n v="160.23987540000002"/>
  </r>
  <r>
    <x v="8"/>
    <x v="0"/>
    <x v="8"/>
    <x v="8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8"/>
    <x v="0"/>
    <x v="8"/>
    <x v="8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8"/>
    <x v="0"/>
    <x v="8"/>
    <x v="8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8"/>
    <x v="0"/>
    <x v="8"/>
    <x v="8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8"/>
    <x v="0"/>
    <x v="8"/>
    <x v="8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8"/>
    <x v="0"/>
    <x v="8"/>
    <x v="8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8"/>
    <x v="0"/>
    <x v="8"/>
    <x v="8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8"/>
    <x v="0"/>
    <x v="8"/>
    <x v="8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8"/>
    <x v="0"/>
    <x v="8"/>
    <x v="8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8"/>
    <x v="0"/>
    <x v="8"/>
    <x v="8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8"/>
    <x v="0"/>
    <x v="8"/>
    <x v="8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8"/>
    <x v="0"/>
    <x v="8"/>
    <x v="8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8"/>
    <x v="0"/>
    <x v="8"/>
    <x v="8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8"/>
    <x v="0"/>
    <x v="8"/>
    <x v="8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8"/>
    <x v="0"/>
    <x v="8"/>
    <x v="8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8"/>
    <x v="0"/>
    <x v="8"/>
    <x v="8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8"/>
    <x v="0"/>
    <x v="8"/>
    <x v="8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8"/>
    <x v="0"/>
    <x v="8"/>
    <x v="8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8"/>
    <x v="0"/>
    <x v="8"/>
    <x v="8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8"/>
    <x v="0"/>
    <x v="8"/>
    <x v="8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8"/>
    <x v="0"/>
    <x v="8"/>
    <x v="8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8"/>
    <x v="0"/>
    <x v="8"/>
    <x v="8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8"/>
    <x v="0"/>
    <x v="8"/>
    <x v="8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8"/>
    <x v="0"/>
    <x v="8"/>
    <x v="8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8"/>
    <x v="0"/>
    <x v="8"/>
    <x v="8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8"/>
    <x v="0"/>
    <x v="8"/>
    <x v="8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8"/>
    <x v="0"/>
    <x v="8"/>
    <x v="8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8"/>
    <x v="0"/>
    <x v="8"/>
    <x v="8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8"/>
    <x v="0"/>
    <x v="8"/>
    <x v="8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8"/>
    <x v="0"/>
    <x v="8"/>
    <x v="8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8"/>
    <x v="0"/>
    <x v="8"/>
    <x v="8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8"/>
    <x v="0"/>
    <x v="8"/>
    <x v="8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8"/>
    <x v="0"/>
    <x v="8"/>
    <x v="8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8"/>
    <x v="0"/>
    <x v="8"/>
    <x v="8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8"/>
    <x v="0"/>
    <x v="8"/>
    <x v="8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8"/>
    <x v="0"/>
    <x v="8"/>
    <x v="8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8"/>
    <x v="0"/>
    <x v="8"/>
    <x v="8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8"/>
    <x v="0"/>
    <x v="8"/>
    <x v="8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8"/>
    <x v="0"/>
    <x v="8"/>
    <x v="8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8"/>
    <x v="0"/>
    <x v="8"/>
    <x v="8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8"/>
    <x v="0"/>
    <x v="8"/>
    <x v="8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8"/>
    <x v="0"/>
    <x v="8"/>
    <x v="8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8"/>
    <x v="0"/>
    <x v="8"/>
    <x v="8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8"/>
    <x v="0"/>
    <x v="8"/>
    <x v="8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8"/>
    <x v="0"/>
    <x v="8"/>
    <x v="8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8"/>
    <x v="0"/>
    <x v="8"/>
    <x v="8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8"/>
    <x v="0"/>
    <x v="8"/>
    <x v="8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8"/>
    <x v="0"/>
    <x v="8"/>
    <x v="8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8"/>
    <x v="0"/>
    <x v="8"/>
    <x v="8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8"/>
    <x v="0"/>
    <x v="8"/>
    <x v="8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8"/>
    <x v="0"/>
    <x v="8"/>
    <x v="8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8"/>
    <x v="0"/>
    <x v="8"/>
    <x v="8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8"/>
    <x v="0"/>
    <x v="8"/>
    <x v="8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8"/>
    <x v="0"/>
    <x v="8"/>
    <x v="8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8"/>
    <x v="0"/>
    <x v="8"/>
    <x v="8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8"/>
    <x v="0"/>
    <x v="8"/>
    <x v="8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8"/>
    <x v="0"/>
    <x v="8"/>
    <x v="8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8"/>
    <x v="0"/>
    <x v="8"/>
    <x v="8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8"/>
    <x v="0"/>
    <x v="8"/>
    <x v="8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8"/>
    <x v="0"/>
    <x v="8"/>
    <x v="8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8"/>
    <x v="0"/>
    <x v="8"/>
    <x v="8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8"/>
    <x v="0"/>
    <x v="8"/>
    <x v="8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8"/>
    <x v="0"/>
    <x v="8"/>
    <x v="8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685.0067584000003"/>
  </r>
  <r>
    <x v="8"/>
    <x v="0"/>
    <x v="8"/>
    <x v="8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8"/>
    <x v="0"/>
    <x v="8"/>
    <x v="8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388.16235250000005"/>
  </r>
  <r>
    <x v="8"/>
    <x v="0"/>
    <x v="8"/>
    <x v="8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8"/>
    <x v="0"/>
    <x v="8"/>
    <x v="8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8"/>
    <x v="0"/>
    <x v="8"/>
    <x v="8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8"/>
    <x v="0"/>
    <x v="8"/>
    <x v="8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8"/>
    <x v="0"/>
    <x v="8"/>
    <x v="8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65.08520960000004"/>
  </r>
  <r>
    <x v="8"/>
    <x v="0"/>
    <x v="8"/>
    <x v="8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8"/>
    <x v="0"/>
    <x v="8"/>
    <x v="8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8"/>
    <x v="0"/>
    <x v="8"/>
    <x v="8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8"/>
    <x v="0"/>
    <x v="8"/>
    <x v="8"/>
    <x v="1"/>
    <x v="6"/>
    <x v="0"/>
    <x v="0"/>
    <x v="2"/>
    <x v="2"/>
    <x v="17"/>
    <x v="17"/>
    <x v="4"/>
    <x v="5"/>
    <x v="5"/>
    <x v="41"/>
    <x v="41"/>
    <n v="203.376414892844"/>
    <x v="1"/>
    <x v="2"/>
    <x v="5"/>
    <x v="7"/>
    <x v="11"/>
    <x v="22"/>
    <n v="221.68029223319996"/>
  </r>
  <r>
    <x v="8"/>
    <x v="0"/>
    <x v="8"/>
    <x v="8"/>
    <x v="1"/>
    <x v="6"/>
    <x v="0"/>
    <x v="0"/>
    <x v="2"/>
    <x v="2"/>
    <x v="17"/>
    <x v="17"/>
    <x v="4"/>
    <x v="5"/>
    <x v="5"/>
    <x v="40"/>
    <x v="40"/>
    <n v="2272.8637800000001"/>
    <x v="1"/>
    <x v="2"/>
    <x v="5"/>
    <x v="7"/>
    <x v="11"/>
    <x v="22"/>
    <n v="2477.4215202000005"/>
  </r>
  <r>
    <x v="8"/>
    <x v="0"/>
    <x v="8"/>
    <x v="8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8"/>
    <x v="0"/>
    <x v="8"/>
    <x v="8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9"/>
    <x v="0"/>
    <x v="9"/>
    <x v="9"/>
    <x v="0"/>
    <x v="0"/>
    <x v="0"/>
    <x v="0"/>
    <x v="0"/>
    <x v="0"/>
    <x v="2"/>
    <x v="2"/>
    <x v="2"/>
    <x v="2"/>
    <x v="2"/>
    <x v="2"/>
    <x v="2"/>
    <n v="5.28440366972E-3"/>
    <x v="0"/>
    <x v="1"/>
    <x v="2"/>
    <x v="2"/>
    <x v="13"/>
    <x v="2"/>
    <n v="5.7599999999948005E-3"/>
  </r>
  <r>
    <x v="9"/>
    <x v="0"/>
    <x v="9"/>
    <x v="9"/>
    <x v="0"/>
    <x v="0"/>
    <x v="0"/>
    <x v="0"/>
    <x v="0"/>
    <x v="0"/>
    <x v="2"/>
    <x v="2"/>
    <x v="4"/>
    <x v="5"/>
    <x v="5"/>
    <x v="18"/>
    <x v="18"/>
    <n v="0.76215999999999995"/>
    <x v="0"/>
    <x v="0"/>
    <x v="0"/>
    <x v="0"/>
    <x v="4"/>
    <x v="18"/>
    <n v="0.8307544"/>
  </r>
  <r>
    <x v="9"/>
    <x v="0"/>
    <x v="9"/>
    <x v="9"/>
    <x v="0"/>
    <x v="0"/>
    <x v="0"/>
    <x v="0"/>
    <x v="0"/>
    <x v="0"/>
    <x v="0"/>
    <x v="0"/>
    <x v="3"/>
    <x v="3"/>
    <x v="3"/>
    <x v="5"/>
    <x v="5"/>
    <n v="89.653539877981999"/>
    <x v="0"/>
    <x v="0"/>
    <x v="1"/>
    <x v="1"/>
    <x v="1"/>
    <x v="5"/>
    <n v="97.72235846700039"/>
  </r>
  <r>
    <x v="9"/>
    <x v="0"/>
    <x v="9"/>
    <x v="9"/>
    <x v="0"/>
    <x v="0"/>
    <x v="0"/>
    <x v="0"/>
    <x v="0"/>
    <x v="0"/>
    <x v="0"/>
    <x v="0"/>
    <x v="3"/>
    <x v="3"/>
    <x v="3"/>
    <x v="8"/>
    <x v="8"/>
    <n v="39.718858108362298"/>
    <x v="0"/>
    <x v="1"/>
    <x v="2"/>
    <x v="2"/>
    <x v="6"/>
    <x v="8"/>
    <n v="43.293555338114906"/>
  </r>
  <r>
    <x v="9"/>
    <x v="0"/>
    <x v="9"/>
    <x v="9"/>
    <x v="0"/>
    <x v="0"/>
    <x v="0"/>
    <x v="0"/>
    <x v="0"/>
    <x v="0"/>
    <x v="0"/>
    <x v="0"/>
    <x v="3"/>
    <x v="3"/>
    <x v="3"/>
    <x v="9"/>
    <x v="9"/>
    <n v="19.856697247694498"/>
    <x v="0"/>
    <x v="0"/>
    <x v="1"/>
    <x v="4"/>
    <x v="5"/>
    <x v="9"/>
    <n v="21.643799999987003"/>
  </r>
  <r>
    <x v="9"/>
    <x v="0"/>
    <x v="9"/>
    <x v="9"/>
    <x v="0"/>
    <x v="0"/>
    <x v="0"/>
    <x v="0"/>
    <x v="0"/>
    <x v="0"/>
    <x v="0"/>
    <x v="0"/>
    <x v="3"/>
    <x v="3"/>
    <x v="3"/>
    <x v="11"/>
    <x v="11"/>
    <n v="6.0845599999999997"/>
    <x v="0"/>
    <x v="0"/>
    <x v="3"/>
    <x v="5"/>
    <x v="7"/>
    <x v="11"/>
    <n v="6.6321704000000006"/>
  </r>
  <r>
    <x v="9"/>
    <x v="0"/>
    <x v="9"/>
    <x v="9"/>
    <x v="0"/>
    <x v="0"/>
    <x v="0"/>
    <x v="0"/>
    <x v="0"/>
    <x v="0"/>
    <x v="0"/>
    <x v="0"/>
    <x v="3"/>
    <x v="3"/>
    <x v="3"/>
    <x v="12"/>
    <x v="12"/>
    <n v="142.500813952947"/>
    <x v="0"/>
    <x v="0"/>
    <x v="0"/>
    <x v="0"/>
    <x v="8"/>
    <x v="12"/>
    <n v="155.32588720871223"/>
  </r>
  <r>
    <x v="9"/>
    <x v="0"/>
    <x v="9"/>
    <x v="9"/>
    <x v="0"/>
    <x v="0"/>
    <x v="0"/>
    <x v="0"/>
    <x v="0"/>
    <x v="0"/>
    <x v="0"/>
    <x v="0"/>
    <x v="3"/>
    <x v="3"/>
    <x v="3"/>
    <x v="32"/>
    <x v="32"/>
    <n v="9.28676122910454"/>
    <x v="0"/>
    <x v="0"/>
    <x v="1"/>
    <x v="1"/>
    <x v="1"/>
    <x v="20"/>
    <n v="10.12256973972395"/>
  </r>
  <r>
    <x v="9"/>
    <x v="0"/>
    <x v="9"/>
    <x v="9"/>
    <x v="0"/>
    <x v="0"/>
    <x v="0"/>
    <x v="0"/>
    <x v="0"/>
    <x v="0"/>
    <x v="0"/>
    <x v="0"/>
    <x v="3"/>
    <x v="3"/>
    <x v="3"/>
    <x v="14"/>
    <x v="14"/>
    <n v="532.50306999999998"/>
    <x v="0"/>
    <x v="0"/>
    <x v="0"/>
    <x v="0"/>
    <x v="8"/>
    <x v="14"/>
    <n v="580.42834630000004"/>
  </r>
  <r>
    <x v="9"/>
    <x v="0"/>
    <x v="9"/>
    <x v="9"/>
    <x v="0"/>
    <x v="0"/>
    <x v="0"/>
    <x v="0"/>
    <x v="0"/>
    <x v="0"/>
    <x v="0"/>
    <x v="0"/>
    <x v="3"/>
    <x v="3"/>
    <x v="3"/>
    <x v="2"/>
    <x v="2"/>
    <n v="792.87171559585499"/>
    <x v="0"/>
    <x v="1"/>
    <x v="2"/>
    <x v="2"/>
    <x v="13"/>
    <x v="2"/>
    <n v="864.23016999948197"/>
  </r>
  <r>
    <x v="9"/>
    <x v="0"/>
    <x v="9"/>
    <x v="9"/>
    <x v="0"/>
    <x v="0"/>
    <x v="0"/>
    <x v="0"/>
    <x v="0"/>
    <x v="0"/>
    <x v="0"/>
    <x v="0"/>
    <x v="3"/>
    <x v="12"/>
    <x v="3"/>
    <x v="8"/>
    <x v="8"/>
    <n v="255.40606756920201"/>
    <x v="0"/>
    <x v="1"/>
    <x v="2"/>
    <x v="2"/>
    <x v="6"/>
    <x v="8"/>
    <n v="278.39261365043023"/>
  </r>
  <r>
    <x v="9"/>
    <x v="0"/>
    <x v="9"/>
    <x v="9"/>
    <x v="0"/>
    <x v="0"/>
    <x v="0"/>
    <x v="0"/>
    <x v="0"/>
    <x v="0"/>
    <x v="0"/>
    <x v="0"/>
    <x v="3"/>
    <x v="12"/>
    <x v="3"/>
    <x v="12"/>
    <x v="12"/>
    <n v="63.886255813710697"/>
    <x v="0"/>
    <x v="0"/>
    <x v="0"/>
    <x v="0"/>
    <x v="8"/>
    <x v="12"/>
    <n v="69.636018836944672"/>
  </r>
  <r>
    <x v="9"/>
    <x v="0"/>
    <x v="9"/>
    <x v="9"/>
    <x v="0"/>
    <x v="0"/>
    <x v="0"/>
    <x v="0"/>
    <x v="0"/>
    <x v="0"/>
    <x v="0"/>
    <x v="0"/>
    <x v="3"/>
    <x v="12"/>
    <x v="3"/>
    <x v="2"/>
    <x v="2"/>
    <n v="1931.6712477052599"/>
    <x v="0"/>
    <x v="1"/>
    <x v="2"/>
    <x v="2"/>
    <x v="13"/>
    <x v="2"/>
    <n v="2105.5216599987334"/>
  </r>
  <r>
    <x v="9"/>
    <x v="0"/>
    <x v="9"/>
    <x v="9"/>
    <x v="0"/>
    <x v="0"/>
    <x v="0"/>
    <x v="0"/>
    <x v="0"/>
    <x v="0"/>
    <x v="0"/>
    <x v="0"/>
    <x v="0"/>
    <x v="4"/>
    <x v="4"/>
    <x v="6"/>
    <x v="6"/>
    <n v="51.357460000000003"/>
    <x v="0"/>
    <x v="0"/>
    <x v="0"/>
    <x v="0"/>
    <x v="4"/>
    <x v="6"/>
    <n v="55.979631400000009"/>
  </r>
  <r>
    <x v="9"/>
    <x v="0"/>
    <x v="9"/>
    <x v="9"/>
    <x v="0"/>
    <x v="0"/>
    <x v="0"/>
    <x v="0"/>
    <x v="0"/>
    <x v="0"/>
    <x v="0"/>
    <x v="0"/>
    <x v="0"/>
    <x v="4"/>
    <x v="4"/>
    <x v="7"/>
    <x v="7"/>
    <n v="0.33577981651355998"/>
    <x v="0"/>
    <x v="0"/>
    <x v="1"/>
    <x v="4"/>
    <x v="5"/>
    <x v="7"/>
    <n v="0.36599999999978039"/>
  </r>
  <r>
    <x v="9"/>
    <x v="0"/>
    <x v="9"/>
    <x v="9"/>
    <x v="0"/>
    <x v="0"/>
    <x v="0"/>
    <x v="0"/>
    <x v="0"/>
    <x v="0"/>
    <x v="0"/>
    <x v="0"/>
    <x v="0"/>
    <x v="4"/>
    <x v="4"/>
    <x v="8"/>
    <x v="8"/>
    <n v="76.189770270757904"/>
    <x v="0"/>
    <x v="1"/>
    <x v="2"/>
    <x v="2"/>
    <x v="6"/>
    <x v="8"/>
    <n v="83.046849595126119"/>
  </r>
  <r>
    <x v="9"/>
    <x v="0"/>
    <x v="9"/>
    <x v="9"/>
    <x v="0"/>
    <x v="0"/>
    <x v="0"/>
    <x v="0"/>
    <x v="0"/>
    <x v="0"/>
    <x v="0"/>
    <x v="0"/>
    <x v="0"/>
    <x v="4"/>
    <x v="4"/>
    <x v="9"/>
    <x v="9"/>
    <n v="123.787155963228"/>
    <x v="0"/>
    <x v="0"/>
    <x v="1"/>
    <x v="4"/>
    <x v="5"/>
    <x v="9"/>
    <n v="134.92799999991854"/>
  </r>
  <r>
    <x v="9"/>
    <x v="0"/>
    <x v="9"/>
    <x v="9"/>
    <x v="0"/>
    <x v="0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9"/>
    <x v="0"/>
    <x v="9"/>
    <x v="9"/>
    <x v="0"/>
    <x v="0"/>
    <x v="0"/>
    <x v="0"/>
    <x v="0"/>
    <x v="0"/>
    <x v="0"/>
    <x v="0"/>
    <x v="0"/>
    <x v="4"/>
    <x v="4"/>
    <x v="12"/>
    <x v="12"/>
    <n v="725.75891860189301"/>
    <x v="0"/>
    <x v="0"/>
    <x v="0"/>
    <x v="0"/>
    <x v="8"/>
    <x v="12"/>
    <n v="791.07722127606348"/>
  </r>
  <r>
    <x v="9"/>
    <x v="0"/>
    <x v="9"/>
    <x v="9"/>
    <x v="0"/>
    <x v="0"/>
    <x v="0"/>
    <x v="0"/>
    <x v="0"/>
    <x v="0"/>
    <x v="0"/>
    <x v="0"/>
    <x v="0"/>
    <x v="4"/>
    <x v="4"/>
    <x v="14"/>
    <x v="14"/>
    <n v="156.41766000000001"/>
    <x v="0"/>
    <x v="0"/>
    <x v="0"/>
    <x v="0"/>
    <x v="8"/>
    <x v="14"/>
    <n v="170.49524940000003"/>
  </r>
  <r>
    <x v="9"/>
    <x v="0"/>
    <x v="9"/>
    <x v="9"/>
    <x v="0"/>
    <x v="0"/>
    <x v="0"/>
    <x v="0"/>
    <x v="0"/>
    <x v="0"/>
    <x v="0"/>
    <x v="0"/>
    <x v="0"/>
    <x v="4"/>
    <x v="4"/>
    <x v="16"/>
    <x v="16"/>
    <n v="97.733350000000002"/>
    <x v="0"/>
    <x v="0"/>
    <x v="3"/>
    <x v="5"/>
    <x v="9"/>
    <x v="16"/>
    <n v="106.5293515"/>
  </r>
  <r>
    <x v="9"/>
    <x v="0"/>
    <x v="9"/>
    <x v="9"/>
    <x v="0"/>
    <x v="0"/>
    <x v="0"/>
    <x v="0"/>
    <x v="0"/>
    <x v="0"/>
    <x v="0"/>
    <x v="0"/>
    <x v="0"/>
    <x v="4"/>
    <x v="4"/>
    <x v="17"/>
    <x v="17"/>
    <n v="33.176839999999999"/>
    <x v="0"/>
    <x v="0"/>
    <x v="0"/>
    <x v="0"/>
    <x v="4"/>
    <x v="17"/>
    <n v="36.162755600000004"/>
  </r>
  <r>
    <x v="9"/>
    <x v="0"/>
    <x v="9"/>
    <x v="9"/>
    <x v="0"/>
    <x v="0"/>
    <x v="0"/>
    <x v="0"/>
    <x v="0"/>
    <x v="0"/>
    <x v="0"/>
    <x v="0"/>
    <x v="0"/>
    <x v="4"/>
    <x v="4"/>
    <x v="18"/>
    <x v="18"/>
    <n v="114.26152999999999"/>
    <x v="0"/>
    <x v="0"/>
    <x v="0"/>
    <x v="0"/>
    <x v="4"/>
    <x v="18"/>
    <n v="124.5450677"/>
  </r>
  <r>
    <x v="9"/>
    <x v="0"/>
    <x v="9"/>
    <x v="9"/>
    <x v="0"/>
    <x v="0"/>
    <x v="0"/>
    <x v="0"/>
    <x v="0"/>
    <x v="0"/>
    <x v="0"/>
    <x v="0"/>
    <x v="0"/>
    <x v="4"/>
    <x v="4"/>
    <x v="2"/>
    <x v="2"/>
    <n v="1412.2940091734599"/>
    <x v="0"/>
    <x v="1"/>
    <x v="2"/>
    <x v="2"/>
    <x v="13"/>
    <x v="2"/>
    <n v="1539.4004699990714"/>
  </r>
  <r>
    <x v="9"/>
    <x v="0"/>
    <x v="9"/>
    <x v="9"/>
    <x v="0"/>
    <x v="0"/>
    <x v="0"/>
    <x v="0"/>
    <x v="0"/>
    <x v="0"/>
    <x v="0"/>
    <x v="0"/>
    <x v="0"/>
    <x v="0"/>
    <x v="0"/>
    <x v="5"/>
    <x v="5"/>
    <n v="2.6247484662776199"/>
    <x v="0"/>
    <x v="0"/>
    <x v="1"/>
    <x v="1"/>
    <x v="1"/>
    <x v="5"/>
    <n v="2.8609758282426059"/>
  </r>
  <r>
    <x v="9"/>
    <x v="0"/>
    <x v="9"/>
    <x v="9"/>
    <x v="0"/>
    <x v="0"/>
    <x v="0"/>
    <x v="0"/>
    <x v="0"/>
    <x v="0"/>
    <x v="0"/>
    <x v="0"/>
    <x v="0"/>
    <x v="0"/>
    <x v="0"/>
    <x v="6"/>
    <x v="6"/>
    <n v="110.86933000000001"/>
    <x v="0"/>
    <x v="0"/>
    <x v="0"/>
    <x v="0"/>
    <x v="4"/>
    <x v="6"/>
    <n v="120.84756970000001"/>
  </r>
  <r>
    <x v="9"/>
    <x v="0"/>
    <x v="9"/>
    <x v="9"/>
    <x v="0"/>
    <x v="0"/>
    <x v="0"/>
    <x v="0"/>
    <x v="0"/>
    <x v="0"/>
    <x v="0"/>
    <x v="0"/>
    <x v="0"/>
    <x v="0"/>
    <x v="0"/>
    <x v="7"/>
    <x v="7"/>
    <n v="10.8233761467825"/>
    <x v="0"/>
    <x v="0"/>
    <x v="1"/>
    <x v="4"/>
    <x v="5"/>
    <x v="7"/>
    <n v="11.797479999992927"/>
  </r>
  <r>
    <x v="9"/>
    <x v="0"/>
    <x v="9"/>
    <x v="9"/>
    <x v="0"/>
    <x v="0"/>
    <x v="0"/>
    <x v="0"/>
    <x v="0"/>
    <x v="0"/>
    <x v="0"/>
    <x v="0"/>
    <x v="0"/>
    <x v="0"/>
    <x v="0"/>
    <x v="8"/>
    <x v="8"/>
    <n v="82.828743243773303"/>
    <x v="0"/>
    <x v="1"/>
    <x v="2"/>
    <x v="2"/>
    <x v="6"/>
    <x v="8"/>
    <n v="90.283330135712902"/>
  </r>
  <r>
    <x v="9"/>
    <x v="0"/>
    <x v="9"/>
    <x v="9"/>
    <x v="0"/>
    <x v="0"/>
    <x v="0"/>
    <x v="0"/>
    <x v="0"/>
    <x v="0"/>
    <x v="0"/>
    <x v="0"/>
    <x v="0"/>
    <x v="0"/>
    <x v="0"/>
    <x v="9"/>
    <x v="9"/>
    <n v="5.18157993411186"/>
    <x v="0"/>
    <x v="0"/>
    <x v="1"/>
    <x v="4"/>
    <x v="5"/>
    <x v="9"/>
    <n v="5.6479221281819276"/>
  </r>
  <r>
    <x v="9"/>
    <x v="0"/>
    <x v="9"/>
    <x v="9"/>
    <x v="0"/>
    <x v="0"/>
    <x v="0"/>
    <x v="0"/>
    <x v="0"/>
    <x v="0"/>
    <x v="0"/>
    <x v="0"/>
    <x v="0"/>
    <x v="0"/>
    <x v="0"/>
    <x v="10"/>
    <x v="10"/>
    <n v="10.5385427882931"/>
    <x v="0"/>
    <x v="0"/>
    <x v="1"/>
    <x v="4"/>
    <x v="5"/>
    <x v="10"/>
    <n v="11.48701163923948"/>
  </r>
  <r>
    <x v="9"/>
    <x v="0"/>
    <x v="9"/>
    <x v="9"/>
    <x v="0"/>
    <x v="0"/>
    <x v="0"/>
    <x v="0"/>
    <x v="0"/>
    <x v="0"/>
    <x v="0"/>
    <x v="0"/>
    <x v="0"/>
    <x v="0"/>
    <x v="0"/>
    <x v="55"/>
    <x v="55"/>
    <n v="0.11267889908250001"/>
    <x v="0"/>
    <x v="0"/>
    <x v="1"/>
    <x v="3"/>
    <x v="3"/>
    <x v="15"/>
    <n v="0.12281999999992502"/>
  </r>
  <r>
    <x v="9"/>
    <x v="0"/>
    <x v="9"/>
    <x v="9"/>
    <x v="0"/>
    <x v="0"/>
    <x v="0"/>
    <x v="0"/>
    <x v="0"/>
    <x v="0"/>
    <x v="0"/>
    <x v="0"/>
    <x v="0"/>
    <x v="0"/>
    <x v="0"/>
    <x v="11"/>
    <x v="11"/>
    <n v="7.6601900000000001"/>
    <x v="0"/>
    <x v="0"/>
    <x v="3"/>
    <x v="5"/>
    <x v="7"/>
    <x v="11"/>
    <n v="8.3496071000000001"/>
  </r>
  <r>
    <x v="9"/>
    <x v="0"/>
    <x v="9"/>
    <x v="9"/>
    <x v="0"/>
    <x v="0"/>
    <x v="0"/>
    <x v="0"/>
    <x v="0"/>
    <x v="0"/>
    <x v="0"/>
    <x v="0"/>
    <x v="0"/>
    <x v="0"/>
    <x v="0"/>
    <x v="12"/>
    <x v="12"/>
    <n v="638.85141860222302"/>
    <x v="0"/>
    <x v="0"/>
    <x v="0"/>
    <x v="0"/>
    <x v="8"/>
    <x v="12"/>
    <n v="696.34804627642313"/>
  </r>
  <r>
    <x v="9"/>
    <x v="0"/>
    <x v="9"/>
    <x v="9"/>
    <x v="0"/>
    <x v="0"/>
    <x v="0"/>
    <x v="0"/>
    <x v="0"/>
    <x v="0"/>
    <x v="0"/>
    <x v="0"/>
    <x v="0"/>
    <x v="0"/>
    <x v="0"/>
    <x v="14"/>
    <x v="14"/>
    <n v="9.2434799999999999"/>
    <x v="0"/>
    <x v="0"/>
    <x v="0"/>
    <x v="0"/>
    <x v="8"/>
    <x v="14"/>
    <n v="10.075393200000001"/>
  </r>
  <r>
    <x v="9"/>
    <x v="0"/>
    <x v="9"/>
    <x v="9"/>
    <x v="0"/>
    <x v="0"/>
    <x v="0"/>
    <x v="0"/>
    <x v="0"/>
    <x v="0"/>
    <x v="0"/>
    <x v="0"/>
    <x v="0"/>
    <x v="0"/>
    <x v="0"/>
    <x v="22"/>
    <x v="22"/>
    <n v="0.83407258064182999"/>
    <x v="0"/>
    <x v="0"/>
    <x v="0"/>
    <x v="0"/>
    <x v="0"/>
    <x v="0"/>
    <n v="0.9091391128995947"/>
  </r>
  <r>
    <x v="9"/>
    <x v="0"/>
    <x v="9"/>
    <x v="9"/>
    <x v="0"/>
    <x v="0"/>
    <x v="0"/>
    <x v="0"/>
    <x v="0"/>
    <x v="0"/>
    <x v="0"/>
    <x v="0"/>
    <x v="0"/>
    <x v="0"/>
    <x v="0"/>
    <x v="23"/>
    <x v="23"/>
    <n v="1.68975229357697"/>
    <x v="0"/>
    <x v="0"/>
    <x v="1"/>
    <x v="3"/>
    <x v="3"/>
    <x v="15"/>
    <n v="1.8418299999988974"/>
  </r>
  <r>
    <x v="9"/>
    <x v="0"/>
    <x v="9"/>
    <x v="9"/>
    <x v="0"/>
    <x v="0"/>
    <x v="0"/>
    <x v="0"/>
    <x v="0"/>
    <x v="0"/>
    <x v="0"/>
    <x v="0"/>
    <x v="0"/>
    <x v="0"/>
    <x v="0"/>
    <x v="24"/>
    <x v="24"/>
    <n v="0.58288073394460005"/>
    <x v="0"/>
    <x v="0"/>
    <x v="1"/>
    <x v="3"/>
    <x v="3"/>
    <x v="4"/>
    <n v="0.6353399999996141"/>
  </r>
  <r>
    <x v="9"/>
    <x v="0"/>
    <x v="9"/>
    <x v="9"/>
    <x v="0"/>
    <x v="0"/>
    <x v="0"/>
    <x v="0"/>
    <x v="0"/>
    <x v="0"/>
    <x v="0"/>
    <x v="0"/>
    <x v="0"/>
    <x v="0"/>
    <x v="0"/>
    <x v="17"/>
    <x v="17"/>
    <n v="0.46256000000000003"/>
    <x v="0"/>
    <x v="0"/>
    <x v="0"/>
    <x v="0"/>
    <x v="4"/>
    <x v="17"/>
    <n v="0.50419040000000004"/>
  </r>
  <r>
    <x v="9"/>
    <x v="0"/>
    <x v="9"/>
    <x v="9"/>
    <x v="0"/>
    <x v="0"/>
    <x v="0"/>
    <x v="0"/>
    <x v="0"/>
    <x v="0"/>
    <x v="0"/>
    <x v="0"/>
    <x v="0"/>
    <x v="0"/>
    <x v="0"/>
    <x v="21"/>
    <x v="21"/>
    <n v="2.3106055045857699"/>
    <x v="0"/>
    <x v="0"/>
    <x v="1"/>
    <x v="4"/>
    <x v="5"/>
    <x v="10"/>
    <n v="2.5185599999984891"/>
  </r>
  <r>
    <x v="9"/>
    <x v="0"/>
    <x v="9"/>
    <x v="9"/>
    <x v="0"/>
    <x v="0"/>
    <x v="0"/>
    <x v="0"/>
    <x v="0"/>
    <x v="0"/>
    <x v="0"/>
    <x v="0"/>
    <x v="0"/>
    <x v="0"/>
    <x v="0"/>
    <x v="18"/>
    <x v="18"/>
    <n v="4.0679600000000002"/>
    <x v="0"/>
    <x v="0"/>
    <x v="0"/>
    <x v="0"/>
    <x v="4"/>
    <x v="18"/>
    <n v="4.4340764000000004"/>
  </r>
  <r>
    <x v="9"/>
    <x v="0"/>
    <x v="9"/>
    <x v="9"/>
    <x v="0"/>
    <x v="0"/>
    <x v="0"/>
    <x v="0"/>
    <x v="0"/>
    <x v="0"/>
    <x v="0"/>
    <x v="0"/>
    <x v="0"/>
    <x v="0"/>
    <x v="0"/>
    <x v="25"/>
    <x v="25"/>
    <n v="6.7187522935739503"/>
    <x v="0"/>
    <x v="0"/>
    <x v="1"/>
    <x v="4"/>
    <x v="5"/>
    <x v="9"/>
    <n v="7.3234399999956068"/>
  </r>
  <r>
    <x v="9"/>
    <x v="0"/>
    <x v="9"/>
    <x v="9"/>
    <x v="0"/>
    <x v="0"/>
    <x v="0"/>
    <x v="0"/>
    <x v="0"/>
    <x v="0"/>
    <x v="0"/>
    <x v="0"/>
    <x v="0"/>
    <x v="0"/>
    <x v="0"/>
    <x v="78"/>
    <x v="78"/>
    <n v="1.19577981651304"/>
    <x v="0"/>
    <x v="0"/>
    <x v="1"/>
    <x v="4"/>
    <x v="5"/>
    <x v="9"/>
    <n v="1.3033999999992136"/>
  </r>
  <r>
    <x v="9"/>
    <x v="0"/>
    <x v="9"/>
    <x v="9"/>
    <x v="0"/>
    <x v="0"/>
    <x v="0"/>
    <x v="0"/>
    <x v="0"/>
    <x v="0"/>
    <x v="0"/>
    <x v="0"/>
    <x v="0"/>
    <x v="0"/>
    <x v="0"/>
    <x v="26"/>
    <x v="26"/>
    <n v="4.2557247706396497"/>
    <x v="0"/>
    <x v="0"/>
    <x v="1"/>
    <x v="3"/>
    <x v="3"/>
    <x v="15"/>
    <n v="4.6387399999972185"/>
  </r>
  <r>
    <x v="9"/>
    <x v="0"/>
    <x v="9"/>
    <x v="9"/>
    <x v="0"/>
    <x v="0"/>
    <x v="0"/>
    <x v="0"/>
    <x v="0"/>
    <x v="0"/>
    <x v="0"/>
    <x v="0"/>
    <x v="0"/>
    <x v="0"/>
    <x v="0"/>
    <x v="0"/>
    <x v="0"/>
    <n v="1.58923843415925"/>
    <x v="0"/>
    <x v="0"/>
    <x v="0"/>
    <x v="0"/>
    <x v="0"/>
    <x v="0"/>
    <n v="1.7322698932335827"/>
  </r>
  <r>
    <x v="9"/>
    <x v="0"/>
    <x v="9"/>
    <x v="9"/>
    <x v="0"/>
    <x v="0"/>
    <x v="0"/>
    <x v="0"/>
    <x v="0"/>
    <x v="0"/>
    <x v="0"/>
    <x v="0"/>
    <x v="0"/>
    <x v="0"/>
    <x v="0"/>
    <x v="2"/>
    <x v="2"/>
    <n v="4049.8345412819699"/>
    <x v="0"/>
    <x v="1"/>
    <x v="2"/>
    <x v="2"/>
    <x v="13"/>
    <x v="2"/>
    <n v="4414.3196499973474"/>
  </r>
  <r>
    <x v="9"/>
    <x v="0"/>
    <x v="9"/>
    <x v="9"/>
    <x v="0"/>
    <x v="0"/>
    <x v="0"/>
    <x v="0"/>
    <x v="0"/>
    <x v="0"/>
    <x v="0"/>
    <x v="0"/>
    <x v="0"/>
    <x v="0"/>
    <x v="0"/>
    <x v="3"/>
    <x v="3"/>
    <n v="8.9896551717129999E-2"/>
    <x v="0"/>
    <x v="0"/>
    <x v="1"/>
    <x v="3"/>
    <x v="3"/>
    <x v="3"/>
    <n v="9.798724137167171E-2"/>
  </r>
  <r>
    <x v="9"/>
    <x v="0"/>
    <x v="9"/>
    <x v="9"/>
    <x v="0"/>
    <x v="0"/>
    <x v="0"/>
    <x v="0"/>
    <x v="0"/>
    <x v="0"/>
    <x v="0"/>
    <x v="0"/>
    <x v="1"/>
    <x v="1"/>
    <x v="1"/>
    <x v="4"/>
    <x v="4"/>
    <n v="0.81587155963253999"/>
    <x v="0"/>
    <x v="0"/>
    <x v="1"/>
    <x v="3"/>
    <x v="3"/>
    <x v="4"/>
    <n v="0.88929999999946863"/>
  </r>
  <r>
    <x v="9"/>
    <x v="0"/>
    <x v="9"/>
    <x v="9"/>
    <x v="0"/>
    <x v="0"/>
    <x v="0"/>
    <x v="0"/>
    <x v="0"/>
    <x v="0"/>
    <x v="0"/>
    <x v="0"/>
    <x v="1"/>
    <x v="1"/>
    <x v="1"/>
    <x v="5"/>
    <x v="5"/>
    <n v="4.3978834356162499"/>
    <x v="0"/>
    <x v="0"/>
    <x v="1"/>
    <x v="1"/>
    <x v="1"/>
    <x v="5"/>
    <n v="4.7936929448217125"/>
  </r>
  <r>
    <x v="9"/>
    <x v="0"/>
    <x v="9"/>
    <x v="9"/>
    <x v="0"/>
    <x v="0"/>
    <x v="0"/>
    <x v="0"/>
    <x v="0"/>
    <x v="0"/>
    <x v="0"/>
    <x v="0"/>
    <x v="1"/>
    <x v="1"/>
    <x v="1"/>
    <x v="6"/>
    <x v="6"/>
    <n v="72.069649999999996"/>
    <x v="0"/>
    <x v="0"/>
    <x v="0"/>
    <x v="0"/>
    <x v="4"/>
    <x v="6"/>
    <n v="78.555918500000004"/>
  </r>
  <r>
    <x v="9"/>
    <x v="0"/>
    <x v="9"/>
    <x v="9"/>
    <x v="0"/>
    <x v="0"/>
    <x v="0"/>
    <x v="0"/>
    <x v="0"/>
    <x v="0"/>
    <x v="0"/>
    <x v="0"/>
    <x v="1"/>
    <x v="1"/>
    <x v="1"/>
    <x v="7"/>
    <x v="7"/>
    <n v="17.808697247695701"/>
    <x v="0"/>
    <x v="0"/>
    <x v="1"/>
    <x v="4"/>
    <x v="5"/>
    <x v="7"/>
    <n v="19.411479999988316"/>
  </r>
  <r>
    <x v="9"/>
    <x v="0"/>
    <x v="9"/>
    <x v="9"/>
    <x v="0"/>
    <x v="0"/>
    <x v="0"/>
    <x v="0"/>
    <x v="0"/>
    <x v="0"/>
    <x v="0"/>
    <x v="0"/>
    <x v="1"/>
    <x v="1"/>
    <x v="1"/>
    <x v="8"/>
    <x v="8"/>
    <n v="22.9333513514981"/>
    <x v="0"/>
    <x v="1"/>
    <x v="2"/>
    <x v="2"/>
    <x v="6"/>
    <x v="8"/>
    <n v="24.99735297313293"/>
  </r>
  <r>
    <x v="9"/>
    <x v="0"/>
    <x v="9"/>
    <x v="9"/>
    <x v="0"/>
    <x v="0"/>
    <x v="0"/>
    <x v="0"/>
    <x v="0"/>
    <x v="0"/>
    <x v="0"/>
    <x v="0"/>
    <x v="1"/>
    <x v="1"/>
    <x v="1"/>
    <x v="9"/>
    <x v="9"/>
    <n v="7.6707645772905604"/>
    <x v="0"/>
    <x v="0"/>
    <x v="1"/>
    <x v="4"/>
    <x v="5"/>
    <x v="9"/>
    <n v="8.3611333892467119"/>
  </r>
  <r>
    <x v="9"/>
    <x v="0"/>
    <x v="9"/>
    <x v="9"/>
    <x v="0"/>
    <x v="0"/>
    <x v="0"/>
    <x v="0"/>
    <x v="0"/>
    <x v="0"/>
    <x v="0"/>
    <x v="0"/>
    <x v="1"/>
    <x v="1"/>
    <x v="1"/>
    <x v="10"/>
    <x v="10"/>
    <n v="2.1139932498163199"/>
    <x v="0"/>
    <x v="0"/>
    <x v="1"/>
    <x v="4"/>
    <x v="5"/>
    <x v="10"/>
    <n v="2.3042526422997889"/>
  </r>
  <r>
    <x v="9"/>
    <x v="0"/>
    <x v="9"/>
    <x v="9"/>
    <x v="0"/>
    <x v="0"/>
    <x v="0"/>
    <x v="0"/>
    <x v="0"/>
    <x v="0"/>
    <x v="0"/>
    <x v="0"/>
    <x v="1"/>
    <x v="1"/>
    <x v="1"/>
    <x v="55"/>
    <x v="55"/>
    <n v="0.22023853210996"/>
    <x v="0"/>
    <x v="0"/>
    <x v="1"/>
    <x v="3"/>
    <x v="3"/>
    <x v="15"/>
    <n v="0.24005999999985642"/>
  </r>
  <r>
    <x v="9"/>
    <x v="0"/>
    <x v="9"/>
    <x v="9"/>
    <x v="0"/>
    <x v="0"/>
    <x v="0"/>
    <x v="0"/>
    <x v="0"/>
    <x v="0"/>
    <x v="0"/>
    <x v="0"/>
    <x v="1"/>
    <x v="1"/>
    <x v="1"/>
    <x v="11"/>
    <x v="11"/>
    <n v="15.619899999999999"/>
    <x v="0"/>
    <x v="0"/>
    <x v="3"/>
    <x v="5"/>
    <x v="7"/>
    <x v="11"/>
    <n v="17.025691000000002"/>
  </r>
  <r>
    <x v="9"/>
    <x v="0"/>
    <x v="9"/>
    <x v="9"/>
    <x v="0"/>
    <x v="0"/>
    <x v="0"/>
    <x v="0"/>
    <x v="0"/>
    <x v="0"/>
    <x v="0"/>
    <x v="0"/>
    <x v="1"/>
    <x v="1"/>
    <x v="1"/>
    <x v="12"/>
    <x v="12"/>
    <n v="214.949139534067"/>
    <x v="0"/>
    <x v="0"/>
    <x v="0"/>
    <x v="0"/>
    <x v="8"/>
    <x v="12"/>
    <n v="234.29456209213305"/>
  </r>
  <r>
    <x v="9"/>
    <x v="0"/>
    <x v="9"/>
    <x v="9"/>
    <x v="0"/>
    <x v="0"/>
    <x v="0"/>
    <x v="0"/>
    <x v="0"/>
    <x v="0"/>
    <x v="0"/>
    <x v="0"/>
    <x v="1"/>
    <x v="1"/>
    <x v="1"/>
    <x v="14"/>
    <x v="14"/>
    <n v="85.880780000000001"/>
    <x v="0"/>
    <x v="0"/>
    <x v="0"/>
    <x v="0"/>
    <x v="8"/>
    <x v="14"/>
    <n v="93.610050200000003"/>
  </r>
  <r>
    <x v="9"/>
    <x v="0"/>
    <x v="9"/>
    <x v="9"/>
    <x v="0"/>
    <x v="0"/>
    <x v="0"/>
    <x v="0"/>
    <x v="0"/>
    <x v="0"/>
    <x v="0"/>
    <x v="0"/>
    <x v="1"/>
    <x v="1"/>
    <x v="1"/>
    <x v="15"/>
    <x v="15"/>
    <n v="3.6311926605480001E-2"/>
    <x v="0"/>
    <x v="0"/>
    <x v="1"/>
    <x v="3"/>
    <x v="3"/>
    <x v="15"/>
    <n v="3.9579999999973206E-2"/>
  </r>
  <r>
    <x v="9"/>
    <x v="0"/>
    <x v="9"/>
    <x v="9"/>
    <x v="0"/>
    <x v="0"/>
    <x v="0"/>
    <x v="0"/>
    <x v="0"/>
    <x v="0"/>
    <x v="0"/>
    <x v="0"/>
    <x v="1"/>
    <x v="1"/>
    <x v="1"/>
    <x v="22"/>
    <x v="22"/>
    <n v="0.27802419354727997"/>
    <x v="0"/>
    <x v="0"/>
    <x v="0"/>
    <x v="0"/>
    <x v="0"/>
    <x v="0"/>
    <n v="0.30304637096653519"/>
  </r>
  <r>
    <x v="9"/>
    <x v="0"/>
    <x v="9"/>
    <x v="9"/>
    <x v="0"/>
    <x v="0"/>
    <x v="0"/>
    <x v="0"/>
    <x v="0"/>
    <x v="0"/>
    <x v="0"/>
    <x v="0"/>
    <x v="1"/>
    <x v="1"/>
    <x v="1"/>
    <x v="16"/>
    <x v="16"/>
    <n v="38.946240000000003"/>
    <x v="0"/>
    <x v="0"/>
    <x v="3"/>
    <x v="5"/>
    <x v="9"/>
    <x v="16"/>
    <n v="42.451401600000004"/>
  </r>
  <r>
    <x v="9"/>
    <x v="0"/>
    <x v="9"/>
    <x v="9"/>
    <x v="0"/>
    <x v="0"/>
    <x v="0"/>
    <x v="0"/>
    <x v="0"/>
    <x v="0"/>
    <x v="0"/>
    <x v="0"/>
    <x v="1"/>
    <x v="1"/>
    <x v="1"/>
    <x v="23"/>
    <x v="23"/>
    <n v="18.570412844025601"/>
    <x v="0"/>
    <x v="0"/>
    <x v="1"/>
    <x v="3"/>
    <x v="3"/>
    <x v="15"/>
    <n v="20.241749999987906"/>
  </r>
  <r>
    <x v="9"/>
    <x v="0"/>
    <x v="9"/>
    <x v="9"/>
    <x v="0"/>
    <x v="0"/>
    <x v="0"/>
    <x v="0"/>
    <x v="0"/>
    <x v="0"/>
    <x v="0"/>
    <x v="0"/>
    <x v="1"/>
    <x v="1"/>
    <x v="1"/>
    <x v="24"/>
    <x v="24"/>
    <n v="1.80203669724663"/>
    <x v="0"/>
    <x v="0"/>
    <x v="1"/>
    <x v="3"/>
    <x v="3"/>
    <x v="4"/>
    <n v="1.9642199999988268"/>
  </r>
  <r>
    <x v="9"/>
    <x v="0"/>
    <x v="9"/>
    <x v="9"/>
    <x v="0"/>
    <x v="0"/>
    <x v="0"/>
    <x v="0"/>
    <x v="0"/>
    <x v="0"/>
    <x v="0"/>
    <x v="0"/>
    <x v="1"/>
    <x v="1"/>
    <x v="1"/>
    <x v="17"/>
    <x v="17"/>
    <n v="0.55976000000000004"/>
    <x v="0"/>
    <x v="0"/>
    <x v="0"/>
    <x v="0"/>
    <x v="4"/>
    <x v="17"/>
    <n v="0.61013840000000008"/>
  </r>
  <r>
    <x v="9"/>
    <x v="0"/>
    <x v="9"/>
    <x v="9"/>
    <x v="0"/>
    <x v="0"/>
    <x v="0"/>
    <x v="0"/>
    <x v="0"/>
    <x v="0"/>
    <x v="0"/>
    <x v="0"/>
    <x v="1"/>
    <x v="1"/>
    <x v="1"/>
    <x v="18"/>
    <x v="18"/>
    <n v="5.07376"/>
    <x v="0"/>
    <x v="0"/>
    <x v="0"/>
    <x v="0"/>
    <x v="4"/>
    <x v="18"/>
    <n v="5.5303984000000002"/>
  </r>
  <r>
    <x v="9"/>
    <x v="0"/>
    <x v="9"/>
    <x v="9"/>
    <x v="0"/>
    <x v="0"/>
    <x v="0"/>
    <x v="0"/>
    <x v="0"/>
    <x v="0"/>
    <x v="0"/>
    <x v="0"/>
    <x v="1"/>
    <x v="1"/>
    <x v="1"/>
    <x v="27"/>
    <x v="27"/>
    <n v="41.581547298178798"/>
    <x v="0"/>
    <x v="0"/>
    <x v="1"/>
    <x v="3"/>
    <x v="3"/>
    <x v="19"/>
    <n v="45.323886555014894"/>
  </r>
  <r>
    <x v="9"/>
    <x v="0"/>
    <x v="9"/>
    <x v="9"/>
    <x v="0"/>
    <x v="0"/>
    <x v="0"/>
    <x v="0"/>
    <x v="0"/>
    <x v="0"/>
    <x v="0"/>
    <x v="0"/>
    <x v="1"/>
    <x v="1"/>
    <x v="1"/>
    <x v="78"/>
    <x v="78"/>
    <n v="0.74783486238486996"/>
    <x v="0"/>
    <x v="0"/>
    <x v="1"/>
    <x v="4"/>
    <x v="5"/>
    <x v="9"/>
    <n v="0.81513999999950837"/>
  </r>
  <r>
    <x v="9"/>
    <x v="0"/>
    <x v="9"/>
    <x v="9"/>
    <x v="0"/>
    <x v="0"/>
    <x v="0"/>
    <x v="0"/>
    <x v="0"/>
    <x v="0"/>
    <x v="0"/>
    <x v="0"/>
    <x v="1"/>
    <x v="1"/>
    <x v="1"/>
    <x v="26"/>
    <x v="26"/>
    <n v="1.71326605504484"/>
    <x v="0"/>
    <x v="0"/>
    <x v="1"/>
    <x v="3"/>
    <x v="3"/>
    <x v="15"/>
    <n v="1.8674599999988757"/>
  </r>
  <r>
    <x v="9"/>
    <x v="0"/>
    <x v="9"/>
    <x v="9"/>
    <x v="0"/>
    <x v="0"/>
    <x v="0"/>
    <x v="0"/>
    <x v="0"/>
    <x v="0"/>
    <x v="0"/>
    <x v="0"/>
    <x v="1"/>
    <x v="1"/>
    <x v="1"/>
    <x v="0"/>
    <x v="0"/>
    <n v="1.64467971529789"/>
    <x v="0"/>
    <x v="0"/>
    <x v="0"/>
    <x v="0"/>
    <x v="0"/>
    <x v="0"/>
    <n v="1.7927008896747003"/>
  </r>
  <r>
    <x v="9"/>
    <x v="0"/>
    <x v="9"/>
    <x v="9"/>
    <x v="0"/>
    <x v="0"/>
    <x v="0"/>
    <x v="0"/>
    <x v="0"/>
    <x v="0"/>
    <x v="0"/>
    <x v="0"/>
    <x v="1"/>
    <x v="1"/>
    <x v="1"/>
    <x v="2"/>
    <x v="2"/>
    <n v="172.658293577878"/>
    <x v="0"/>
    <x v="1"/>
    <x v="2"/>
    <x v="2"/>
    <x v="13"/>
    <x v="2"/>
    <n v="188.19753999988703"/>
  </r>
  <r>
    <x v="9"/>
    <x v="0"/>
    <x v="9"/>
    <x v="9"/>
    <x v="0"/>
    <x v="0"/>
    <x v="0"/>
    <x v="0"/>
    <x v="0"/>
    <x v="0"/>
    <x v="0"/>
    <x v="0"/>
    <x v="1"/>
    <x v="1"/>
    <x v="1"/>
    <x v="3"/>
    <x v="3"/>
    <n v="6.4293034477743802"/>
    <x v="0"/>
    <x v="0"/>
    <x v="1"/>
    <x v="3"/>
    <x v="3"/>
    <x v="3"/>
    <n v="7.0079407580740751"/>
  </r>
  <r>
    <x v="9"/>
    <x v="0"/>
    <x v="9"/>
    <x v="9"/>
    <x v="0"/>
    <x v="0"/>
    <x v="0"/>
    <x v="0"/>
    <x v="0"/>
    <x v="0"/>
    <x v="0"/>
    <x v="0"/>
    <x v="2"/>
    <x v="2"/>
    <x v="2"/>
    <x v="4"/>
    <x v="4"/>
    <n v="36.530715596308397"/>
    <x v="0"/>
    <x v="0"/>
    <x v="1"/>
    <x v="3"/>
    <x v="3"/>
    <x v="4"/>
    <n v="39.818479999976155"/>
  </r>
  <r>
    <x v="9"/>
    <x v="0"/>
    <x v="9"/>
    <x v="9"/>
    <x v="0"/>
    <x v="0"/>
    <x v="0"/>
    <x v="0"/>
    <x v="0"/>
    <x v="0"/>
    <x v="0"/>
    <x v="0"/>
    <x v="2"/>
    <x v="2"/>
    <x v="2"/>
    <x v="5"/>
    <x v="5"/>
    <n v="215.46964417341701"/>
    <x v="0"/>
    <x v="0"/>
    <x v="1"/>
    <x v="1"/>
    <x v="1"/>
    <x v="5"/>
    <n v="234.86191214902456"/>
  </r>
  <r>
    <x v="9"/>
    <x v="0"/>
    <x v="9"/>
    <x v="9"/>
    <x v="0"/>
    <x v="0"/>
    <x v="0"/>
    <x v="0"/>
    <x v="0"/>
    <x v="0"/>
    <x v="0"/>
    <x v="0"/>
    <x v="2"/>
    <x v="2"/>
    <x v="2"/>
    <x v="6"/>
    <x v="6"/>
    <n v="206.66291000000001"/>
    <x v="0"/>
    <x v="0"/>
    <x v="0"/>
    <x v="0"/>
    <x v="4"/>
    <x v="6"/>
    <n v="225.26257190000004"/>
  </r>
  <r>
    <x v="9"/>
    <x v="0"/>
    <x v="9"/>
    <x v="9"/>
    <x v="0"/>
    <x v="0"/>
    <x v="0"/>
    <x v="0"/>
    <x v="0"/>
    <x v="0"/>
    <x v="0"/>
    <x v="0"/>
    <x v="2"/>
    <x v="2"/>
    <x v="2"/>
    <x v="7"/>
    <x v="7"/>
    <n v="3.7476330275206902"/>
    <x v="0"/>
    <x v="0"/>
    <x v="1"/>
    <x v="4"/>
    <x v="5"/>
    <x v="7"/>
    <n v="4.0849199999975525"/>
  </r>
  <r>
    <x v="9"/>
    <x v="0"/>
    <x v="9"/>
    <x v="9"/>
    <x v="0"/>
    <x v="0"/>
    <x v="0"/>
    <x v="0"/>
    <x v="0"/>
    <x v="0"/>
    <x v="0"/>
    <x v="0"/>
    <x v="2"/>
    <x v="2"/>
    <x v="2"/>
    <x v="8"/>
    <x v="8"/>
    <n v="102.485582507461"/>
    <x v="0"/>
    <x v="1"/>
    <x v="2"/>
    <x v="2"/>
    <x v="6"/>
    <x v="8"/>
    <n v="111.70928493313251"/>
  </r>
  <r>
    <x v="9"/>
    <x v="0"/>
    <x v="9"/>
    <x v="9"/>
    <x v="0"/>
    <x v="0"/>
    <x v="0"/>
    <x v="0"/>
    <x v="0"/>
    <x v="0"/>
    <x v="0"/>
    <x v="0"/>
    <x v="2"/>
    <x v="2"/>
    <x v="2"/>
    <x v="9"/>
    <x v="9"/>
    <n v="49.375018348594203"/>
    <x v="0"/>
    <x v="0"/>
    <x v="1"/>
    <x v="4"/>
    <x v="5"/>
    <x v="9"/>
    <n v="53.818769999967685"/>
  </r>
  <r>
    <x v="9"/>
    <x v="0"/>
    <x v="9"/>
    <x v="9"/>
    <x v="0"/>
    <x v="0"/>
    <x v="0"/>
    <x v="0"/>
    <x v="0"/>
    <x v="0"/>
    <x v="0"/>
    <x v="0"/>
    <x v="2"/>
    <x v="2"/>
    <x v="2"/>
    <x v="28"/>
    <x v="28"/>
    <n v="4.5359999999999996"/>
    <x v="0"/>
    <x v="0"/>
    <x v="1"/>
    <x v="3"/>
    <x v="3"/>
    <x v="13"/>
    <n v="4.9442399999999997"/>
  </r>
  <r>
    <x v="9"/>
    <x v="0"/>
    <x v="9"/>
    <x v="9"/>
    <x v="0"/>
    <x v="0"/>
    <x v="0"/>
    <x v="0"/>
    <x v="0"/>
    <x v="0"/>
    <x v="0"/>
    <x v="0"/>
    <x v="2"/>
    <x v="2"/>
    <x v="2"/>
    <x v="30"/>
    <x v="30"/>
    <n v="39.837333333174001"/>
    <x v="0"/>
    <x v="0"/>
    <x v="0"/>
    <x v="0"/>
    <x v="0"/>
    <x v="0"/>
    <n v="43.422693333159664"/>
  </r>
  <r>
    <x v="9"/>
    <x v="0"/>
    <x v="9"/>
    <x v="9"/>
    <x v="0"/>
    <x v="0"/>
    <x v="0"/>
    <x v="0"/>
    <x v="0"/>
    <x v="0"/>
    <x v="0"/>
    <x v="0"/>
    <x v="2"/>
    <x v="2"/>
    <x v="2"/>
    <x v="80"/>
    <x v="80"/>
    <n v="0.7018348623849"/>
    <x v="0"/>
    <x v="0"/>
    <x v="1"/>
    <x v="4"/>
    <x v="5"/>
    <x v="10"/>
    <n v="0.76499999999954105"/>
  </r>
  <r>
    <x v="9"/>
    <x v="0"/>
    <x v="9"/>
    <x v="9"/>
    <x v="0"/>
    <x v="0"/>
    <x v="0"/>
    <x v="0"/>
    <x v="0"/>
    <x v="0"/>
    <x v="0"/>
    <x v="0"/>
    <x v="2"/>
    <x v="2"/>
    <x v="2"/>
    <x v="31"/>
    <x v="31"/>
    <n v="0.19838532110080001"/>
    <x v="0"/>
    <x v="0"/>
    <x v="1"/>
    <x v="4"/>
    <x v="5"/>
    <x v="10"/>
    <n v="0.21623999999987203"/>
  </r>
  <r>
    <x v="9"/>
    <x v="0"/>
    <x v="9"/>
    <x v="9"/>
    <x v="0"/>
    <x v="0"/>
    <x v="0"/>
    <x v="0"/>
    <x v="0"/>
    <x v="0"/>
    <x v="0"/>
    <x v="0"/>
    <x v="2"/>
    <x v="2"/>
    <x v="2"/>
    <x v="11"/>
    <x v="11"/>
    <n v="69.698260000000005"/>
    <x v="0"/>
    <x v="0"/>
    <x v="3"/>
    <x v="5"/>
    <x v="7"/>
    <x v="11"/>
    <n v="75.971103400000004"/>
  </r>
  <r>
    <x v="9"/>
    <x v="0"/>
    <x v="9"/>
    <x v="9"/>
    <x v="0"/>
    <x v="0"/>
    <x v="0"/>
    <x v="0"/>
    <x v="0"/>
    <x v="0"/>
    <x v="0"/>
    <x v="0"/>
    <x v="2"/>
    <x v="2"/>
    <x v="2"/>
    <x v="88"/>
    <x v="88"/>
    <n v="1.09042201834797"/>
    <x v="0"/>
    <x v="0"/>
    <x v="1"/>
    <x v="4"/>
    <x v="5"/>
    <x v="9"/>
    <n v="1.1885599999992875"/>
  </r>
  <r>
    <x v="9"/>
    <x v="0"/>
    <x v="9"/>
    <x v="9"/>
    <x v="0"/>
    <x v="0"/>
    <x v="0"/>
    <x v="0"/>
    <x v="0"/>
    <x v="0"/>
    <x v="0"/>
    <x v="0"/>
    <x v="2"/>
    <x v="2"/>
    <x v="2"/>
    <x v="12"/>
    <x v="12"/>
    <n v="589.19369767217995"/>
    <x v="0"/>
    <x v="0"/>
    <x v="0"/>
    <x v="0"/>
    <x v="8"/>
    <x v="12"/>
    <n v="642.22113046267623"/>
  </r>
  <r>
    <x v="9"/>
    <x v="0"/>
    <x v="9"/>
    <x v="9"/>
    <x v="0"/>
    <x v="0"/>
    <x v="0"/>
    <x v="0"/>
    <x v="0"/>
    <x v="0"/>
    <x v="0"/>
    <x v="0"/>
    <x v="2"/>
    <x v="2"/>
    <x v="2"/>
    <x v="32"/>
    <x v="32"/>
    <n v="1.26083215127174"/>
    <x v="0"/>
    <x v="0"/>
    <x v="1"/>
    <x v="1"/>
    <x v="1"/>
    <x v="20"/>
    <n v="1.3743070448861967"/>
  </r>
  <r>
    <x v="9"/>
    <x v="0"/>
    <x v="9"/>
    <x v="9"/>
    <x v="0"/>
    <x v="0"/>
    <x v="0"/>
    <x v="0"/>
    <x v="0"/>
    <x v="0"/>
    <x v="0"/>
    <x v="0"/>
    <x v="2"/>
    <x v="2"/>
    <x v="2"/>
    <x v="14"/>
    <x v="14"/>
    <n v="126.70581"/>
    <x v="0"/>
    <x v="0"/>
    <x v="0"/>
    <x v="0"/>
    <x v="8"/>
    <x v="14"/>
    <n v="138.1093329"/>
  </r>
  <r>
    <x v="9"/>
    <x v="0"/>
    <x v="9"/>
    <x v="9"/>
    <x v="0"/>
    <x v="0"/>
    <x v="0"/>
    <x v="0"/>
    <x v="0"/>
    <x v="0"/>
    <x v="0"/>
    <x v="0"/>
    <x v="2"/>
    <x v="2"/>
    <x v="2"/>
    <x v="16"/>
    <x v="16"/>
    <n v="305.06756999999999"/>
    <x v="0"/>
    <x v="0"/>
    <x v="3"/>
    <x v="5"/>
    <x v="9"/>
    <x v="16"/>
    <n v="332.52365130000004"/>
  </r>
  <r>
    <x v="9"/>
    <x v="0"/>
    <x v="9"/>
    <x v="9"/>
    <x v="0"/>
    <x v="0"/>
    <x v="0"/>
    <x v="0"/>
    <x v="0"/>
    <x v="0"/>
    <x v="0"/>
    <x v="0"/>
    <x v="2"/>
    <x v="2"/>
    <x v="2"/>
    <x v="24"/>
    <x v="24"/>
    <n v="9.1675963302697294"/>
    <x v="0"/>
    <x v="0"/>
    <x v="1"/>
    <x v="3"/>
    <x v="3"/>
    <x v="4"/>
    <n v="9.9926799999940066"/>
  </r>
  <r>
    <x v="9"/>
    <x v="0"/>
    <x v="9"/>
    <x v="9"/>
    <x v="0"/>
    <x v="0"/>
    <x v="0"/>
    <x v="0"/>
    <x v="0"/>
    <x v="0"/>
    <x v="0"/>
    <x v="0"/>
    <x v="2"/>
    <x v="2"/>
    <x v="2"/>
    <x v="17"/>
    <x v="17"/>
    <n v="27.922840000000001"/>
    <x v="0"/>
    <x v="0"/>
    <x v="0"/>
    <x v="0"/>
    <x v="4"/>
    <x v="17"/>
    <n v="30.435895600000002"/>
  </r>
  <r>
    <x v="9"/>
    <x v="0"/>
    <x v="9"/>
    <x v="9"/>
    <x v="0"/>
    <x v="0"/>
    <x v="0"/>
    <x v="0"/>
    <x v="0"/>
    <x v="0"/>
    <x v="0"/>
    <x v="0"/>
    <x v="2"/>
    <x v="2"/>
    <x v="2"/>
    <x v="21"/>
    <x v="21"/>
    <n v="5.3183486238500199"/>
    <x v="0"/>
    <x v="0"/>
    <x v="1"/>
    <x v="4"/>
    <x v="5"/>
    <x v="10"/>
    <n v="5.7969999999965225"/>
  </r>
  <r>
    <x v="9"/>
    <x v="0"/>
    <x v="9"/>
    <x v="9"/>
    <x v="0"/>
    <x v="0"/>
    <x v="0"/>
    <x v="0"/>
    <x v="0"/>
    <x v="0"/>
    <x v="0"/>
    <x v="0"/>
    <x v="2"/>
    <x v="2"/>
    <x v="2"/>
    <x v="18"/>
    <x v="18"/>
    <n v="220.48003"/>
    <x v="0"/>
    <x v="0"/>
    <x v="0"/>
    <x v="0"/>
    <x v="4"/>
    <x v="18"/>
    <n v="240.32323270000001"/>
  </r>
  <r>
    <x v="9"/>
    <x v="0"/>
    <x v="9"/>
    <x v="9"/>
    <x v="0"/>
    <x v="0"/>
    <x v="0"/>
    <x v="0"/>
    <x v="0"/>
    <x v="0"/>
    <x v="0"/>
    <x v="0"/>
    <x v="2"/>
    <x v="2"/>
    <x v="2"/>
    <x v="34"/>
    <x v="34"/>
    <n v="25.124268995206101"/>
    <x v="0"/>
    <x v="0"/>
    <x v="0"/>
    <x v="0"/>
    <x v="0"/>
    <x v="0"/>
    <n v="27.385453204774652"/>
  </r>
  <r>
    <x v="9"/>
    <x v="0"/>
    <x v="9"/>
    <x v="9"/>
    <x v="0"/>
    <x v="0"/>
    <x v="0"/>
    <x v="0"/>
    <x v="0"/>
    <x v="0"/>
    <x v="0"/>
    <x v="0"/>
    <x v="2"/>
    <x v="2"/>
    <x v="2"/>
    <x v="25"/>
    <x v="25"/>
    <n v="16.290568807329699"/>
    <x v="0"/>
    <x v="0"/>
    <x v="1"/>
    <x v="4"/>
    <x v="5"/>
    <x v="9"/>
    <n v="17.756719999989372"/>
  </r>
  <r>
    <x v="9"/>
    <x v="0"/>
    <x v="9"/>
    <x v="9"/>
    <x v="0"/>
    <x v="0"/>
    <x v="0"/>
    <x v="0"/>
    <x v="0"/>
    <x v="0"/>
    <x v="0"/>
    <x v="0"/>
    <x v="2"/>
    <x v="2"/>
    <x v="2"/>
    <x v="27"/>
    <x v="27"/>
    <n v="59.581189190452299"/>
    <x v="0"/>
    <x v="0"/>
    <x v="1"/>
    <x v="3"/>
    <x v="3"/>
    <x v="19"/>
    <n v="64.943496217593008"/>
  </r>
  <r>
    <x v="9"/>
    <x v="0"/>
    <x v="9"/>
    <x v="9"/>
    <x v="0"/>
    <x v="0"/>
    <x v="0"/>
    <x v="0"/>
    <x v="0"/>
    <x v="0"/>
    <x v="0"/>
    <x v="0"/>
    <x v="2"/>
    <x v="2"/>
    <x v="2"/>
    <x v="26"/>
    <x v="26"/>
    <n v="4.14653211008926"/>
    <x v="0"/>
    <x v="0"/>
    <x v="1"/>
    <x v="3"/>
    <x v="3"/>
    <x v="15"/>
    <n v="4.5197199999972941"/>
  </r>
  <r>
    <x v="9"/>
    <x v="0"/>
    <x v="9"/>
    <x v="9"/>
    <x v="0"/>
    <x v="0"/>
    <x v="0"/>
    <x v="0"/>
    <x v="0"/>
    <x v="0"/>
    <x v="0"/>
    <x v="0"/>
    <x v="2"/>
    <x v="2"/>
    <x v="2"/>
    <x v="0"/>
    <x v="0"/>
    <n v="16.2573594305595"/>
    <x v="0"/>
    <x v="0"/>
    <x v="0"/>
    <x v="0"/>
    <x v="0"/>
    <x v="0"/>
    <n v="17.720521779309856"/>
  </r>
  <r>
    <x v="9"/>
    <x v="0"/>
    <x v="9"/>
    <x v="9"/>
    <x v="0"/>
    <x v="0"/>
    <x v="0"/>
    <x v="0"/>
    <x v="0"/>
    <x v="0"/>
    <x v="0"/>
    <x v="0"/>
    <x v="2"/>
    <x v="2"/>
    <x v="2"/>
    <x v="1"/>
    <x v="1"/>
    <n v="35.019862068772902"/>
    <x v="0"/>
    <x v="0"/>
    <x v="1"/>
    <x v="1"/>
    <x v="1"/>
    <x v="1"/>
    <n v="38.171649654962465"/>
  </r>
  <r>
    <x v="9"/>
    <x v="0"/>
    <x v="9"/>
    <x v="9"/>
    <x v="0"/>
    <x v="0"/>
    <x v="0"/>
    <x v="0"/>
    <x v="0"/>
    <x v="0"/>
    <x v="0"/>
    <x v="0"/>
    <x v="2"/>
    <x v="2"/>
    <x v="2"/>
    <x v="20"/>
    <x v="20"/>
    <n v="155.94672"/>
    <x v="0"/>
    <x v="0"/>
    <x v="1"/>
    <x v="3"/>
    <x v="3"/>
    <x v="13"/>
    <n v="169.9819248"/>
  </r>
  <r>
    <x v="9"/>
    <x v="0"/>
    <x v="9"/>
    <x v="9"/>
    <x v="0"/>
    <x v="0"/>
    <x v="0"/>
    <x v="0"/>
    <x v="0"/>
    <x v="0"/>
    <x v="0"/>
    <x v="0"/>
    <x v="2"/>
    <x v="2"/>
    <x v="2"/>
    <x v="2"/>
    <x v="2"/>
    <n v="402.62671559608901"/>
    <x v="0"/>
    <x v="1"/>
    <x v="2"/>
    <x v="2"/>
    <x v="13"/>
    <x v="2"/>
    <n v="438.86311999973708"/>
  </r>
  <r>
    <x v="9"/>
    <x v="0"/>
    <x v="9"/>
    <x v="9"/>
    <x v="0"/>
    <x v="0"/>
    <x v="0"/>
    <x v="0"/>
    <x v="0"/>
    <x v="0"/>
    <x v="0"/>
    <x v="0"/>
    <x v="2"/>
    <x v="2"/>
    <x v="2"/>
    <x v="3"/>
    <x v="3"/>
    <n v="52.3211808835892"/>
    <x v="0"/>
    <x v="0"/>
    <x v="1"/>
    <x v="3"/>
    <x v="3"/>
    <x v="3"/>
    <n v="57.030087163112235"/>
  </r>
  <r>
    <x v="9"/>
    <x v="0"/>
    <x v="9"/>
    <x v="9"/>
    <x v="0"/>
    <x v="0"/>
    <x v="0"/>
    <x v="0"/>
    <x v="0"/>
    <x v="0"/>
    <x v="0"/>
    <x v="0"/>
    <x v="1"/>
    <x v="6"/>
    <x v="6"/>
    <x v="5"/>
    <x v="5"/>
    <n v="4.4485889570890196"/>
    <x v="0"/>
    <x v="0"/>
    <x v="1"/>
    <x v="1"/>
    <x v="1"/>
    <x v="5"/>
    <n v="4.8489619632270315"/>
  </r>
  <r>
    <x v="9"/>
    <x v="0"/>
    <x v="9"/>
    <x v="9"/>
    <x v="0"/>
    <x v="0"/>
    <x v="0"/>
    <x v="0"/>
    <x v="0"/>
    <x v="0"/>
    <x v="0"/>
    <x v="0"/>
    <x v="1"/>
    <x v="6"/>
    <x v="6"/>
    <x v="6"/>
    <x v="6"/>
    <n v="11.121"/>
    <x v="0"/>
    <x v="0"/>
    <x v="0"/>
    <x v="0"/>
    <x v="4"/>
    <x v="6"/>
    <n v="12.12189"/>
  </r>
  <r>
    <x v="9"/>
    <x v="0"/>
    <x v="9"/>
    <x v="9"/>
    <x v="0"/>
    <x v="0"/>
    <x v="0"/>
    <x v="0"/>
    <x v="0"/>
    <x v="0"/>
    <x v="0"/>
    <x v="0"/>
    <x v="1"/>
    <x v="6"/>
    <x v="6"/>
    <x v="7"/>
    <x v="7"/>
    <n v="4.7871559632998801"/>
    <x v="0"/>
    <x v="0"/>
    <x v="1"/>
    <x v="4"/>
    <x v="5"/>
    <x v="7"/>
    <n v="5.21799999999687"/>
  </r>
  <r>
    <x v="9"/>
    <x v="0"/>
    <x v="9"/>
    <x v="9"/>
    <x v="0"/>
    <x v="0"/>
    <x v="0"/>
    <x v="0"/>
    <x v="0"/>
    <x v="0"/>
    <x v="0"/>
    <x v="0"/>
    <x v="1"/>
    <x v="6"/>
    <x v="6"/>
    <x v="8"/>
    <x v="8"/>
    <n v="24.562837837995001"/>
    <x v="0"/>
    <x v="1"/>
    <x v="2"/>
    <x v="2"/>
    <x v="6"/>
    <x v="8"/>
    <n v="26.773493243414553"/>
  </r>
  <r>
    <x v="9"/>
    <x v="0"/>
    <x v="9"/>
    <x v="9"/>
    <x v="0"/>
    <x v="0"/>
    <x v="0"/>
    <x v="0"/>
    <x v="0"/>
    <x v="0"/>
    <x v="0"/>
    <x v="0"/>
    <x v="1"/>
    <x v="6"/>
    <x v="6"/>
    <x v="9"/>
    <x v="9"/>
    <n v="60.340477064184"/>
    <x v="0"/>
    <x v="0"/>
    <x v="1"/>
    <x v="4"/>
    <x v="5"/>
    <x v="9"/>
    <n v="65.771119999960561"/>
  </r>
  <r>
    <x v="9"/>
    <x v="0"/>
    <x v="9"/>
    <x v="9"/>
    <x v="0"/>
    <x v="0"/>
    <x v="0"/>
    <x v="0"/>
    <x v="0"/>
    <x v="0"/>
    <x v="0"/>
    <x v="0"/>
    <x v="1"/>
    <x v="6"/>
    <x v="6"/>
    <x v="12"/>
    <x v="12"/>
    <n v="500.21822092833202"/>
    <x v="0"/>
    <x v="0"/>
    <x v="0"/>
    <x v="0"/>
    <x v="8"/>
    <x v="12"/>
    <n v="545.23786081188189"/>
  </r>
  <r>
    <x v="9"/>
    <x v="0"/>
    <x v="9"/>
    <x v="9"/>
    <x v="0"/>
    <x v="0"/>
    <x v="0"/>
    <x v="0"/>
    <x v="0"/>
    <x v="0"/>
    <x v="0"/>
    <x v="0"/>
    <x v="1"/>
    <x v="6"/>
    <x v="6"/>
    <x v="14"/>
    <x v="14"/>
    <n v="35.705419999999997"/>
    <x v="0"/>
    <x v="0"/>
    <x v="0"/>
    <x v="0"/>
    <x v="8"/>
    <x v="14"/>
    <n v="38.918907799999999"/>
  </r>
  <r>
    <x v="9"/>
    <x v="0"/>
    <x v="9"/>
    <x v="9"/>
    <x v="0"/>
    <x v="0"/>
    <x v="0"/>
    <x v="0"/>
    <x v="0"/>
    <x v="0"/>
    <x v="0"/>
    <x v="0"/>
    <x v="1"/>
    <x v="6"/>
    <x v="6"/>
    <x v="16"/>
    <x v="16"/>
    <n v="1E-3"/>
    <x v="0"/>
    <x v="0"/>
    <x v="3"/>
    <x v="5"/>
    <x v="9"/>
    <x v="16"/>
    <n v="1.09E-3"/>
  </r>
  <r>
    <x v="9"/>
    <x v="0"/>
    <x v="9"/>
    <x v="9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9"/>
    <x v="0"/>
    <x v="9"/>
    <x v="9"/>
    <x v="0"/>
    <x v="0"/>
    <x v="0"/>
    <x v="0"/>
    <x v="0"/>
    <x v="0"/>
    <x v="0"/>
    <x v="0"/>
    <x v="1"/>
    <x v="6"/>
    <x v="6"/>
    <x v="18"/>
    <x v="18"/>
    <n v="26.8065"/>
    <x v="0"/>
    <x v="0"/>
    <x v="0"/>
    <x v="0"/>
    <x v="4"/>
    <x v="18"/>
    <n v="29.219085000000003"/>
  </r>
  <r>
    <x v="9"/>
    <x v="0"/>
    <x v="9"/>
    <x v="9"/>
    <x v="0"/>
    <x v="0"/>
    <x v="0"/>
    <x v="0"/>
    <x v="0"/>
    <x v="0"/>
    <x v="0"/>
    <x v="0"/>
    <x v="1"/>
    <x v="6"/>
    <x v="6"/>
    <x v="26"/>
    <x v="26"/>
    <n v="13.320045871551599"/>
    <x v="0"/>
    <x v="0"/>
    <x v="1"/>
    <x v="3"/>
    <x v="3"/>
    <x v="15"/>
    <n v="14.518849999991245"/>
  </r>
  <r>
    <x v="9"/>
    <x v="0"/>
    <x v="9"/>
    <x v="9"/>
    <x v="0"/>
    <x v="0"/>
    <x v="0"/>
    <x v="0"/>
    <x v="0"/>
    <x v="0"/>
    <x v="0"/>
    <x v="0"/>
    <x v="1"/>
    <x v="6"/>
    <x v="6"/>
    <x v="2"/>
    <x v="2"/>
    <n v="604.050220183124"/>
    <x v="0"/>
    <x v="1"/>
    <x v="2"/>
    <x v="2"/>
    <x v="13"/>
    <x v="2"/>
    <n v="658.41473999960522"/>
  </r>
  <r>
    <x v="9"/>
    <x v="0"/>
    <x v="9"/>
    <x v="9"/>
    <x v="0"/>
    <x v="0"/>
    <x v="0"/>
    <x v="0"/>
    <x v="0"/>
    <x v="0"/>
    <x v="0"/>
    <x v="0"/>
    <x v="3"/>
    <x v="7"/>
    <x v="7"/>
    <x v="6"/>
    <x v="6"/>
    <n v="12.08074"/>
    <x v="0"/>
    <x v="0"/>
    <x v="0"/>
    <x v="0"/>
    <x v="4"/>
    <x v="6"/>
    <n v="13.168006600000002"/>
  </r>
  <r>
    <x v="9"/>
    <x v="0"/>
    <x v="9"/>
    <x v="9"/>
    <x v="0"/>
    <x v="0"/>
    <x v="0"/>
    <x v="0"/>
    <x v="0"/>
    <x v="0"/>
    <x v="0"/>
    <x v="0"/>
    <x v="3"/>
    <x v="7"/>
    <x v="7"/>
    <x v="9"/>
    <x v="9"/>
    <n v="61.687470056203502"/>
    <x v="0"/>
    <x v="0"/>
    <x v="1"/>
    <x v="4"/>
    <x v="5"/>
    <x v="9"/>
    <n v="67.239342361261819"/>
  </r>
  <r>
    <x v="9"/>
    <x v="0"/>
    <x v="9"/>
    <x v="9"/>
    <x v="0"/>
    <x v="0"/>
    <x v="0"/>
    <x v="0"/>
    <x v="0"/>
    <x v="0"/>
    <x v="0"/>
    <x v="0"/>
    <x v="3"/>
    <x v="7"/>
    <x v="7"/>
    <x v="10"/>
    <x v="10"/>
    <n v="6.19725148561536"/>
    <x v="0"/>
    <x v="0"/>
    <x v="1"/>
    <x v="4"/>
    <x v="5"/>
    <x v="10"/>
    <n v="6.7550041193207431"/>
  </r>
  <r>
    <x v="9"/>
    <x v="0"/>
    <x v="9"/>
    <x v="9"/>
    <x v="0"/>
    <x v="0"/>
    <x v="0"/>
    <x v="0"/>
    <x v="0"/>
    <x v="0"/>
    <x v="0"/>
    <x v="0"/>
    <x v="3"/>
    <x v="7"/>
    <x v="7"/>
    <x v="11"/>
    <x v="11"/>
    <n v="16.53078"/>
    <x v="0"/>
    <x v="0"/>
    <x v="3"/>
    <x v="5"/>
    <x v="7"/>
    <x v="11"/>
    <n v="18.0185502"/>
  </r>
  <r>
    <x v="9"/>
    <x v="0"/>
    <x v="9"/>
    <x v="9"/>
    <x v="0"/>
    <x v="0"/>
    <x v="0"/>
    <x v="0"/>
    <x v="0"/>
    <x v="0"/>
    <x v="0"/>
    <x v="0"/>
    <x v="3"/>
    <x v="7"/>
    <x v="7"/>
    <x v="36"/>
    <x v="36"/>
    <n v="20.253981651364001"/>
    <x v="0"/>
    <x v="0"/>
    <x v="1"/>
    <x v="3"/>
    <x v="3"/>
    <x v="4"/>
    <n v="22.076839999986763"/>
  </r>
  <r>
    <x v="9"/>
    <x v="0"/>
    <x v="9"/>
    <x v="9"/>
    <x v="0"/>
    <x v="0"/>
    <x v="0"/>
    <x v="0"/>
    <x v="0"/>
    <x v="0"/>
    <x v="0"/>
    <x v="0"/>
    <x v="3"/>
    <x v="7"/>
    <x v="7"/>
    <x v="24"/>
    <x v="24"/>
    <n v="15.2698348623762"/>
    <x v="0"/>
    <x v="0"/>
    <x v="1"/>
    <x v="3"/>
    <x v="3"/>
    <x v="4"/>
    <n v="16.64411999999006"/>
  </r>
  <r>
    <x v="9"/>
    <x v="0"/>
    <x v="9"/>
    <x v="9"/>
    <x v="0"/>
    <x v="0"/>
    <x v="0"/>
    <x v="0"/>
    <x v="0"/>
    <x v="0"/>
    <x v="0"/>
    <x v="0"/>
    <x v="3"/>
    <x v="7"/>
    <x v="7"/>
    <x v="17"/>
    <x v="17"/>
    <n v="85.963430000000002"/>
    <x v="0"/>
    <x v="0"/>
    <x v="0"/>
    <x v="0"/>
    <x v="4"/>
    <x v="17"/>
    <n v="93.700138700000011"/>
  </r>
  <r>
    <x v="9"/>
    <x v="0"/>
    <x v="9"/>
    <x v="9"/>
    <x v="0"/>
    <x v="0"/>
    <x v="0"/>
    <x v="0"/>
    <x v="0"/>
    <x v="0"/>
    <x v="0"/>
    <x v="0"/>
    <x v="3"/>
    <x v="7"/>
    <x v="7"/>
    <x v="18"/>
    <x v="18"/>
    <n v="7.1027699999999996"/>
    <x v="0"/>
    <x v="0"/>
    <x v="0"/>
    <x v="0"/>
    <x v="4"/>
    <x v="18"/>
    <n v="7.7420192999999999"/>
  </r>
  <r>
    <x v="9"/>
    <x v="0"/>
    <x v="9"/>
    <x v="9"/>
    <x v="0"/>
    <x v="0"/>
    <x v="0"/>
    <x v="0"/>
    <x v="0"/>
    <x v="0"/>
    <x v="0"/>
    <x v="0"/>
    <x v="3"/>
    <x v="7"/>
    <x v="7"/>
    <x v="34"/>
    <x v="34"/>
    <n v="4.7778611352899603"/>
    <x v="0"/>
    <x v="0"/>
    <x v="0"/>
    <x v="0"/>
    <x v="0"/>
    <x v="0"/>
    <n v="5.2078686374660572"/>
  </r>
  <r>
    <x v="9"/>
    <x v="0"/>
    <x v="9"/>
    <x v="9"/>
    <x v="0"/>
    <x v="0"/>
    <x v="0"/>
    <x v="0"/>
    <x v="0"/>
    <x v="0"/>
    <x v="0"/>
    <x v="0"/>
    <x v="3"/>
    <x v="7"/>
    <x v="7"/>
    <x v="26"/>
    <x v="26"/>
    <n v="17.522330275218799"/>
    <x v="0"/>
    <x v="0"/>
    <x v="1"/>
    <x v="3"/>
    <x v="3"/>
    <x v="15"/>
    <n v="19.099339999988491"/>
  </r>
  <r>
    <x v="9"/>
    <x v="0"/>
    <x v="9"/>
    <x v="9"/>
    <x v="0"/>
    <x v="0"/>
    <x v="0"/>
    <x v="0"/>
    <x v="0"/>
    <x v="0"/>
    <x v="0"/>
    <x v="0"/>
    <x v="1"/>
    <x v="8"/>
    <x v="8"/>
    <x v="6"/>
    <x v="6"/>
    <n v="11.4032"/>
    <x v="0"/>
    <x v="0"/>
    <x v="0"/>
    <x v="0"/>
    <x v="4"/>
    <x v="6"/>
    <n v="12.429488000000001"/>
  </r>
  <r>
    <x v="9"/>
    <x v="0"/>
    <x v="9"/>
    <x v="9"/>
    <x v="0"/>
    <x v="0"/>
    <x v="0"/>
    <x v="0"/>
    <x v="0"/>
    <x v="0"/>
    <x v="0"/>
    <x v="0"/>
    <x v="1"/>
    <x v="8"/>
    <x v="8"/>
    <x v="8"/>
    <x v="8"/>
    <n v="33.131391892103899"/>
    <x v="0"/>
    <x v="1"/>
    <x v="2"/>
    <x v="2"/>
    <x v="6"/>
    <x v="8"/>
    <n v="36.113217162393255"/>
  </r>
  <r>
    <x v="9"/>
    <x v="0"/>
    <x v="9"/>
    <x v="9"/>
    <x v="0"/>
    <x v="0"/>
    <x v="0"/>
    <x v="0"/>
    <x v="0"/>
    <x v="0"/>
    <x v="0"/>
    <x v="0"/>
    <x v="1"/>
    <x v="8"/>
    <x v="8"/>
    <x v="9"/>
    <x v="9"/>
    <n v="43.010794746281"/>
    <x v="0"/>
    <x v="0"/>
    <x v="1"/>
    <x v="4"/>
    <x v="5"/>
    <x v="9"/>
    <n v="46.881766273446296"/>
  </r>
  <r>
    <x v="9"/>
    <x v="0"/>
    <x v="9"/>
    <x v="9"/>
    <x v="0"/>
    <x v="0"/>
    <x v="0"/>
    <x v="0"/>
    <x v="0"/>
    <x v="0"/>
    <x v="0"/>
    <x v="0"/>
    <x v="1"/>
    <x v="8"/>
    <x v="8"/>
    <x v="10"/>
    <x v="10"/>
    <n v="8.4139607701439996"/>
    <x v="0"/>
    <x v="0"/>
    <x v="1"/>
    <x v="4"/>
    <x v="5"/>
    <x v="10"/>
    <n v="9.1712172394569595"/>
  </r>
  <r>
    <x v="9"/>
    <x v="0"/>
    <x v="9"/>
    <x v="9"/>
    <x v="0"/>
    <x v="0"/>
    <x v="0"/>
    <x v="0"/>
    <x v="0"/>
    <x v="0"/>
    <x v="0"/>
    <x v="0"/>
    <x v="1"/>
    <x v="8"/>
    <x v="8"/>
    <x v="11"/>
    <x v="11"/>
    <n v="1.1738999999999999"/>
    <x v="0"/>
    <x v="0"/>
    <x v="3"/>
    <x v="5"/>
    <x v="7"/>
    <x v="11"/>
    <n v="1.2795510000000001"/>
  </r>
  <r>
    <x v="9"/>
    <x v="0"/>
    <x v="9"/>
    <x v="9"/>
    <x v="0"/>
    <x v="0"/>
    <x v="0"/>
    <x v="0"/>
    <x v="0"/>
    <x v="0"/>
    <x v="0"/>
    <x v="0"/>
    <x v="1"/>
    <x v="8"/>
    <x v="8"/>
    <x v="36"/>
    <x v="36"/>
    <n v="0.9133944954123"/>
    <x v="0"/>
    <x v="0"/>
    <x v="1"/>
    <x v="3"/>
    <x v="3"/>
    <x v="4"/>
    <n v="0.99559999999940707"/>
  </r>
  <r>
    <x v="9"/>
    <x v="0"/>
    <x v="9"/>
    <x v="9"/>
    <x v="0"/>
    <x v="0"/>
    <x v="0"/>
    <x v="0"/>
    <x v="0"/>
    <x v="0"/>
    <x v="0"/>
    <x v="0"/>
    <x v="1"/>
    <x v="8"/>
    <x v="8"/>
    <x v="24"/>
    <x v="24"/>
    <n v="18.481394495401801"/>
    <x v="0"/>
    <x v="0"/>
    <x v="1"/>
    <x v="3"/>
    <x v="3"/>
    <x v="4"/>
    <n v="20.144719999987966"/>
  </r>
  <r>
    <x v="9"/>
    <x v="0"/>
    <x v="9"/>
    <x v="9"/>
    <x v="0"/>
    <x v="0"/>
    <x v="0"/>
    <x v="0"/>
    <x v="0"/>
    <x v="0"/>
    <x v="0"/>
    <x v="0"/>
    <x v="1"/>
    <x v="8"/>
    <x v="8"/>
    <x v="17"/>
    <x v="17"/>
    <n v="5.79718"/>
    <x v="0"/>
    <x v="0"/>
    <x v="0"/>
    <x v="0"/>
    <x v="4"/>
    <x v="17"/>
    <n v="6.3189262000000008"/>
  </r>
  <r>
    <x v="9"/>
    <x v="0"/>
    <x v="9"/>
    <x v="9"/>
    <x v="0"/>
    <x v="0"/>
    <x v="0"/>
    <x v="0"/>
    <x v="0"/>
    <x v="0"/>
    <x v="0"/>
    <x v="0"/>
    <x v="1"/>
    <x v="8"/>
    <x v="8"/>
    <x v="21"/>
    <x v="21"/>
    <n v="1.39126605504504"/>
    <x v="0"/>
    <x v="0"/>
    <x v="1"/>
    <x v="4"/>
    <x v="5"/>
    <x v="10"/>
    <n v="1.5164799999990937"/>
  </r>
  <r>
    <x v="9"/>
    <x v="0"/>
    <x v="9"/>
    <x v="9"/>
    <x v="0"/>
    <x v="0"/>
    <x v="0"/>
    <x v="0"/>
    <x v="0"/>
    <x v="0"/>
    <x v="0"/>
    <x v="0"/>
    <x v="1"/>
    <x v="8"/>
    <x v="8"/>
    <x v="18"/>
    <x v="18"/>
    <n v="5.6855399999999996"/>
    <x v="0"/>
    <x v="0"/>
    <x v="0"/>
    <x v="0"/>
    <x v="4"/>
    <x v="18"/>
    <n v="6.1972386000000004"/>
  </r>
  <r>
    <x v="9"/>
    <x v="0"/>
    <x v="9"/>
    <x v="9"/>
    <x v="0"/>
    <x v="0"/>
    <x v="0"/>
    <x v="0"/>
    <x v="0"/>
    <x v="0"/>
    <x v="0"/>
    <x v="0"/>
    <x v="1"/>
    <x v="8"/>
    <x v="8"/>
    <x v="34"/>
    <x v="34"/>
    <n v="0.67071179038161"/>
    <x v="0"/>
    <x v="0"/>
    <x v="0"/>
    <x v="0"/>
    <x v="0"/>
    <x v="0"/>
    <n v="0.731075851515955"/>
  </r>
  <r>
    <x v="9"/>
    <x v="0"/>
    <x v="9"/>
    <x v="9"/>
    <x v="0"/>
    <x v="0"/>
    <x v="0"/>
    <x v="0"/>
    <x v="0"/>
    <x v="0"/>
    <x v="0"/>
    <x v="0"/>
    <x v="1"/>
    <x v="8"/>
    <x v="8"/>
    <x v="37"/>
    <x v="37"/>
    <n v="10.2543853210948"/>
    <x v="0"/>
    <x v="0"/>
    <x v="1"/>
    <x v="3"/>
    <x v="3"/>
    <x v="4"/>
    <n v="11.177279999993333"/>
  </r>
  <r>
    <x v="9"/>
    <x v="0"/>
    <x v="9"/>
    <x v="9"/>
    <x v="0"/>
    <x v="0"/>
    <x v="0"/>
    <x v="0"/>
    <x v="0"/>
    <x v="0"/>
    <x v="0"/>
    <x v="0"/>
    <x v="1"/>
    <x v="8"/>
    <x v="8"/>
    <x v="0"/>
    <x v="0"/>
    <n v="2.5022064056869402"/>
    <x v="0"/>
    <x v="0"/>
    <x v="0"/>
    <x v="0"/>
    <x v="0"/>
    <x v="0"/>
    <n v="2.7274049821987649"/>
  </r>
  <r>
    <x v="9"/>
    <x v="0"/>
    <x v="9"/>
    <x v="9"/>
    <x v="0"/>
    <x v="0"/>
    <x v="0"/>
    <x v="0"/>
    <x v="0"/>
    <x v="0"/>
    <x v="0"/>
    <x v="0"/>
    <x v="0"/>
    <x v="9"/>
    <x v="9"/>
    <x v="6"/>
    <x v="6"/>
    <n v="28.54036"/>
    <x v="0"/>
    <x v="0"/>
    <x v="0"/>
    <x v="0"/>
    <x v="4"/>
    <x v="6"/>
    <n v="31.108992400000002"/>
  </r>
  <r>
    <x v="9"/>
    <x v="0"/>
    <x v="9"/>
    <x v="9"/>
    <x v="0"/>
    <x v="0"/>
    <x v="0"/>
    <x v="0"/>
    <x v="0"/>
    <x v="0"/>
    <x v="0"/>
    <x v="0"/>
    <x v="0"/>
    <x v="9"/>
    <x v="9"/>
    <x v="7"/>
    <x v="7"/>
    <n v="24.8067339449392"/>
    <x v="0"/>
    <x v="0"/>
    <x v="1"/>
    <x v="4"/>
    <x v="5"/>
    <x v="7"/>
    <n v="27.039339999983731"/>
  </r>
  <r>
    <x v="9"/>
    <x v="0"/>
    <x v="9"/>
    <x v="9"/>
    <x v="0"/>
    <x v="0"/>
    <x v="0"/>
    <x v="0"/>
    <x v="0"/>
    <x v="0"/>
    <x v="0"/>
    <x v="0"/>
    <x v="0"/>
    <x v="9"/>
    <x v="9"/>
    <x v="9"/>
    <x v="9"/>
    <n v="98.0107601284911"/>
    <x v="0"/>
    <x v="0"/>
    <x v="1"/>
    <x v="4"/>
    <x v="5"/>
    <x v="9"/>
    <n v="106.83172854005531"/>
  </r>
  <r>
    <x v="9"/>
    <x v="0"/>
    <x v="9"/>
    <x v="9"/>
    <x v="0"/>
    <x v="0"/>
    <x v="0"/>
    <x v="0"/>
    <x v="0"/>
    <x v="0"/>
    <x v="0"/>
    <x v="0"/>
    <x v="0"/>
    <x v="9"/>
    <x v="9"/>
    <x v="10"/>
    <x v="10"/>
    <n v="10.968374318835201"/>
    <x v="0"/>
    <x v="0"/>
    <x v="1"/>
    <x v="4"/>
    <x v="5"/>
    <x v="10"/>
    <n v="11.95552800753037"/>
  </r>
  <r>
    <x v="9"/>
    <x v="0"/>
    <x v="9"/>
    <x v="9"/>
    <x v="0"/>
    <x v="0"/>
    <x v="0"/>
    <x v="0"/>
    <x v="0"/>
    <x v="0"/>
    <x v="0"/>
    <x v="0"/>
    <x v="0"/>
    <x v="9"/>
    <x v="9"/>
    <x v="11"/>
    <x v="11"/>
    <n v="9.7338400000000007"/>
    <x v="0"/>
    <x v="0"/>
    <x v="3"/>
    <x v="5"/>
    <x v="7"/>
    <x v="11"/>
    <n v="10.609885600000002"/>
  </r>
  <r>
    <x v="9"/>
    <x v="0"/>
    <x v="9"/>
    <x v="9"/>
    <x v="0"/>
    <x v="0"/>
    <x v="0"/>
    <x v="0"/>
    <x v="0"/>
    <x v="0"/>
    <x v="0"/>
    <x v="0"/>
    <x v="0"/>
    <x v="9"/>
    <x v="9"/>
    <x v="12"/>
    <x v="12"/>
    <n v="2.2286744185961802"/>
    <x v="0"/>
    <x v="0"/>
    <x v="0"/>
    <x v="0"/>
    <x v="8"/>
    <x v="12"/>
    <n v="2.4292551162698368"/>
  </r>
  <r>
    <x v="9"/>
    <x v="0"/>
    <x v="9"/>
    <x v="9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9"/>
    <x v="0"/>
    <x v="9"/>
    <x v="9"/>
    <x v="0"/>
    <x v="0"/>
    <x v="0"/>
    <x v="0"/>
    <x v="0"/>
    <x v="0"/>
    <x v="0"/>
    <x v="0"/>
    <x v="0"/>
    <x v="9"/>
    <x v="9"/>
    <x v="36"/>
    <x v="36"/>
    <n v="3.34337614678698"/>
    <x v="0"/>
    <x v="0"/>
    <x v="1"/>
    <x v="3"/>
    <x v="3"/>
    <x v="4"/>
    <n v="3.6442799999978086"/>
  </r>
  <r>
    <x v="9"/>
    <x v="0"/>
    <x v="9"/>
    <x v="9"/>
    <x v="0"/>
    <x v="0"/>
    <x v="0"/>
    <x v="0"/>
    <x v="0"/>
    <x v="0"/>
    <x v="0"/>
    <x v="0"/>
    <x v="0"/>
    <x v="9"/>
    <x v="9"/>
    <x v="24"/>
    <x v="24"/>
    <n v="15.885302752284"/>
    <x v="0"/>
    <x v="0"/>
    <x v="1"/>
    <x v="3"/>
    <x v="3"/>
    <x v="4"/>
    <n v="17.314979999989561"/>
  </r>
  <r>
    <x v="9"/>
    <x v="0"/>
    <x v="9"/>
    <x v="9"/>
    <x v="0"/>
    <x v="0"/>
    <x v="0"/>
    <x v="0"/>
    <x v="0"/>
    <x v="0"/>
    <x v="0"/>
    <x v="0"/>
    <x v="0"/>
    <x v="9"/>
    <x v="9"/>
    <x v="17"/>
    <x v="17"/>
    <n v="15.68003"/>
    <x v="0"/>
    <x v="0"/>
    <x v="0"/>
    <x v="0"/>
    <x v="4"/>
    <x v="17"/>
    <n v="17.091232700000003"/>
  </r>
  <r>
    <x v="9"/>
    <x v="0"/>
    <x v="9"/>
    <x v="9"/>
    <x v="0"/>
    <x v="0"/>
    <x v="0"/>
    <x v="0"/>
    <x v="0"/>
    <x v="0"/>
    <x v="0"/>
    <x v="0"/>
    <x v="0"/>
    <x v="9"/>
    <x v="9"/>
    <x v="21"/>
    <x v="21"/>
    <n v="227.534311926469"/>
    <x v="0"/>
    <x v="0"/>
    <x v="1"/>
    <x v="4"/>
    <x v="5"/>
    <x v="10"/>
    <n v="248.01239999985123"/>
  </r>
  <r>
    <x v="9"/>
    <x v="0"/>
    <x v="9"/>
    <x v="9"/>
    <x v="0"/>
    <x v="0"/>
    <x v="0"/>
    <x v="0"/>
    <x v="0"/>
    <x v="0"/>
    <x v="0"/>
    <x v="0"/>
    <x v="0"/>
    <x v="9"/>
    <x v="9"/>
    <x v="18"/>
    <x v="18"/>
    <n v="29.043289999999999"/>
    <x v="0"/>
    <x v="0"/>
    <x v="0"/>
    <x v="0"/>
    <x v="4"/>
    <x v="18"/>
    <n v="31.657186100000001"/>
  </r>
  <r>
    <x v="9"/>
    <x v="0"/>
    <x v="9"/>
    <x v="9"/>
    <x v="0"/>
    <x v="0"/>
    <x v="0"/>
    <x v="0"/>
    <x v="0"/>
    <x v="0"/>
    <x v="0"/>
    <x v="0"/>
    <x v="0"/>
    <x v="9"/>
    <x v="9"/>
    <x v="34"/>
    <x v="34"/>
    <n v="2.7122655021373001"/>
    <x v="0"/>
    <x v="0"/>
    <x v="0"/>
    <x v="0"/>
    <x v="0"/>
    <x v="0"/>
    <n v="2.9563693973296572"/>
  </r>
  <r>
    <x v="9"/>
    <x v="0"/>
    <x v="9"/>
    <x v="9"/>
    <x v="0"/>
    <x v="0"/>
    <x v="0"/>
    <x v="0"/>
    <x v="0"/>
    <x v="0"/>
    <x v="0"/>
    <x v="0"/>
    <x v="0"/>
    <x v="9"/>
    <x v="9"/>
    <x v="37"/>
    <x v="37"/>
    <n v="4.7416697247678004"/>
    <x v="0"/>
    <x v="0"/>
    <x v="1"/>
    <x v="3"/>
    <x v="3"/>
    <x v="4"/>
    <n v="5.1684199999969032"/>
  </r>
  <r>
    <x v="9"/>
    <x v="0"/>
    <x v="9"/>
    <x v="9"/>
    <x v="0"/>
    <x v="0"/>
    <x v="0"/>
    <x v="0"/>
    <x v="0"/>
    <x v="0"/>
    <x v="0"/>
    <x v="0"/>
    <x v="0"/>
    <x v="9"/>
    <x v="9"/>
    <x v="26"/>
    <x v="26"/>
    <n v="6.74233027522531"/>
    <x v="0"/>
    <x v="0"/>
    <x v="1"/>
    <x v="3"/>
    <x v="3"/>
    <x v="15"/>
    <n v="7.3491399999955886"/>
  </r>
  <r>
    <x v="9"/>
    <x v="0"/>
    <x v="9"/>
    <x v="9"/>
    <x v="0"/>
    <x v="0"/>
    <x v="0"/>
    <x v="0"/>
    <x v="0"/>
    <x v="0"/>
    <x v="0"/>
    <x v="0"/>
    <x v="0"/>
    <x v="9"/>
    <x v="9"/>
    <x v="0"/>
    <x v="0"/>
    <n v="0.31645996441192997"/>
    <x v="0"/>
    <x v="0"/>
    <x v="0"/>
    <x v="0"/>
    <x v="0"/>
    <x v="0"/>
    <n v="0.34494136120900371"/>
  </r>
  <r>
    <x v="9"/>
    <x v="0"/>
    <x v="9"/>
    <x v="9"/>
    <x v="0"/>
    <x v="0"/>
    <x v="0"/>
    <x v="0"/>
    <x v="0"/>
    <x v="0"/>
    <x v="0"/>
    <x v="0"/>
    <x v="0"/>
    <x v="9"/>
    <x v="9"/>
    <x v="2"/>
    <x v="2"/>
    <n v="4.5530091743091896"/>
    <x v="0"/>
    <x v="1"/>
    <x v="2"/>
    <x v="2"/>
    <x v="13"/>
    <x v="2"/>
    <n v="4.962779999997017"/>
  </r>
  <r>
    <x v="9"/>
    <x v="0"/>
    <x v="9"/>
    <x v="9"/>
    <x v="0"/>
    <x v="0"/>
    <x v="0"/>
    <x v="0"/>
    <x v="0"/>
    <x v="0"/>
    <x v="0"/>
    <x v="0"/>
    <x v="2"/>
    <x v="10"/>
    <x v="10"/>
    <x v="6"/>
    <x v="6"/>
    <n v="22.79055"/>
    <x v="0"/>
    <x v="0"/>
    <x v="0"/>
    <x v="0"/>
    <x v="4"/>
    <x v="6"/>
    <n v="24.841699500000001"/>
  </r>
  <r>
    <x v="9"/>
    <x v="0"/>
    <x v="9"/>
    <x v="9"/>
    <x v="0"/>
    <x v="0"/>
    <x v="0"/>
    <x v="0"/>
    <x v="0"/>
    <x v="0"/>
    <x v="0"/>
    <x v="0"/>
    <x v="2"/>
    <x v="10"/>
    <x v="10"/>
    <x v="7"/>
    <x v="7"/>
    <n v="3.2966055045851799"/>
    <x v="0"/>
    <x v="0"/>
    <x v="1"/>
    <x v="4"/>
    <x v="5"/>
    <x v="7"/>
    <n v="3.5932999999978463"/>
  </r>
  <r>
    <x v="9"/>
    <x v="0"/>
    <x v="9"/>
    <x v="9"/>
    <x v="0"/>
    <x v="0"/>
    <x v="0"/>
    <x v="0"/>
    <x v="0"/>
    <x v="0"/>
    <x v="0"/>
    <x v="0"/>
    <x v="2"/>
    <x v="10"/>
    <x v="10"/>
    <x v="9"/>
    <x v="9"/>
    <n v="57.112337696070497"/>
    <x v="0"/>
    <x v="0"/>
    <x v="1"/>
    <x v="4"/>
    <x v="5"/>
    <x v="9"/>
    <n v="62.252448088716847"/>
  </r>
  <r>
    <x v="9"/>
    <x v="0"/>
    <x v="9"/>
    <x v="9"/>
    <x v="0"/>
    <x v="0"/>
    <x v="0"/>
    <x v="0"/>
    <x v="0"/>
    <x v="0"/>
    <x v="0"/>
    <x v="0"/>
    <x v="2"/>
    <x v="10"/>
    <x v="10"/>
    <x v="10"/>
    <x v="10"/>
    <n v="3.2440308635392001"/>
    <x v="0"/>
    <x v="0"/>
    <x v="1"/>
    <x v="4"/>
    <x v="5"/>
    <x v="10"/>
    <n v="3.5359936412577282"/>
  </r>
  <r>
    <x v="9"/>
    <x v="0"/>
    <x v="9"/>
    <x v="9"/>
    <x v="0"/>
    <x v="0"/>
    <x v="0"/>
    <x v="0"/>
    <x v="0"/>
    <x v="0"/>
    <x v="0"/>
    <x v="0"/>
    <x v="2"/>
    <x v="10"/>
    <x v="10"/>
    <x v="11"/>
    <x v="11"/>
    <n v="6.1757799999999996"/>
    <x v="0"/>
    <x v="0"/>
    <x v="3"/>
    <x v="5"/>
    <x v="7"/>
    <x v="11"/>
    <n v="6.7316001999999999"/>
  </r>
  <r>
    <x v="9"/>
    <x v="0"/>
    <x v="9"/>
    <x v="9"/>
    <x v="0"/>
    <x v="0"/>
    <x v="0"/>
    <x v="0"/>
    <x v="0"/>
    <x v="0"/>
    <x v="0"/>
    <x v="0"/>
    <x v="2"/>
    <x v="10"/>
    <x v="10"/>
    <x v="22"/>
    <x v="22"/>
    <n v="0.60006720429867999"/>
    <x v="0"/>
    <x v="0"/>
    <x v="0"/>
    <x v="0"/>
    <x v="0"/>
    <x v="0"/>
    <n v="0.65407325268556127"/>
  </r>
  <r>
    <x v="9"/>
    <x v="0"/>
    <x v="9"/>
    <x v="9"/>
    <x v="0"/>
    <x v="0"/>
    <x v="0"/>
    <x v="0"/>
    <x v="0"/>
    <x v="0"/>
    <x v="0"/>
    <x v="0"/>
    <x v="2"/>
    <x v="10"/>
    <x v="10"/>
    <x v="36"/>
    <x v="36"/>
    <n v="7.0733027522893304"/>
    <x v="0"/>
    <x v="0"/>
    <x v="1"/>
    <x v="3"/>
    <x v="3"/>
    <x v="4"/>
    <n v="7.709899999995371"/>
  </r>
  <r>
    <x v="9"/>
    <x v="0"/>
    <x v="9"/>
    <x v="9"/>
    <x v="0"/>
    <x v="0"/>
    <x v="0"/>
    <x v="0"/>
    <x v="0"/>
    <x v="0"/>
    <x v="0"/>
    <x v="0"/>
    <x v="2"/>
    <x v="10"/>
    <x v="10"/>
    <x v="24"/>
    <x v="24"/>
    <n v="9.9748256880674102"/>
    <x v="0"/>
    <x v="0"/>
    <x v="1"/>
    <x v="3"/>
    <x v="3"/>
    <x v="4"/>
    <n v="10.872559999993477"/>
  </r>
  <r>
    <x v="9"/>
    <x v="0"/>
    <x v="9"/>
    <x v="9"/>
    <x v="0"/>
    <x v="0"/>
    <x v="0"/>
    <x v="0"/>
    <x v="0"/>
    <x v="0"/>
    <x v="0"/>
    <x v="0"/>
    <x v="2"/>
    <x v="10"/>
    <x v="10"/>
    <x v="17"/>
    <x v="17"/>
    <n v="6.2785099999999998"/>
    <x v="0"/>
    <x v="0"/>
    <x v="0"/>
    <x v="0"/>
    <x v="4"/>
    <x v="17"/>
    <n v="6.8435759000000003"/>
  </r>
  <r>
    <x v="9"/>
    <x v="0"/>
    <x v="9"/>
    <x v="9"/>
    <x v="0"/>
    <x v="0"/>
    <x v="0"/>
    <x v="0"/>
    <x v="0"/>
    <x v="0"/>
    <x v="0"/>
    <x v="0"/>
    <x v="2"/>
    <x v="10"/>
    <x v="10"/>
    <x v="21"/>
    <x v="21"/>
    <n v="46.932155963274603"/>
    <x v="0"/>
    <x v="0"/>
    <x v="1"/>
    <x v="4"/>
    <x v="5"/>
    <x v="10"/>
    <n v="51.156049999969319"/>
  </r>
  <r>
    <x v="9"/>
    <x v="0"/>
    <x v="9"/>
    <x v="9"/>
    <x v="0"/>
    <x v="0"/>
    <x v="0"/>
    <x v="0"/>
    <x v="0"/>
    <x v="0"/>
    <x v="0"/>
    <x v="0"/>
    <x v="2"/>
    <x v="10"/>
    <x v="10"/>
    <x v="18"/>
    <x v="18"/>
    <n v="10.680020000000001"/>
    <x v="0"/>
    <x v="0"/>
    <x v="0"/>
    <x v="0"/>
    <x v="4"/>
    <x v="18"/>
    <n v="11.641221800000002"/>
  </r>
  <r>
    <x v="9"/>
    <x v="0"/>
    <x v="9"/>
    <x v="9"/>
    <x v="0"/>
    <x v="0"/>
    <x v="0"/>
    <x v="0"/>
    <x v="0"/>
    <x v="0"/>
    <x v="0"/>
    <x v="0"/>
    <x v="2"/>
    <x v="10"/>
    <x v="10"/>
    <x v="34"/>
    <x v="34"/>
    <n v="5.6518917029606897"/>
    <x v="0"/>
    <x v="0"/>
    <x v="0"/>
    <x v="0"/>
    <x v="0"/>
    <x v="0"/>
    <n v="6.1605619562271521"/>
  </r>
  <r>
    <x v="9"/>
    <x v="0"/>
    <x v="9"/>
    <x v="9"/>
    <x v="0"/>
    <x v="0"/>
    <x v="0"/>
    <x v="0"/>
    <x v="0"/>
    <x v="0"/>
    <x v="0"/>
    <x v="0"/>
    <x v="2"/>
    <x v="10"/>
    <x v="10"/>
    <x v="37"/>
    <x v="37"/>
    <n v="6.15684403669355"/>
    <x v="0"/>
    <x v="0"/>
    <x v="1"/>
    <x v="3"/>
    <x v="3"/>
    <x v="4"/>
    <n v="6.7109599999959704"/>
  </r>
  <r>
    <x v="9"/>
    <x v="0"/>
    <x v="9"/>
    <x v="9"/>
    <x v="0"/>
    <x v="0"/>
    <x v="0"/>
    <x v="0"/>
    <x v="0"/>
    <x v="0"/>
    <x v="0"/>
    <x v="0"/>
    <x v="2"/>
    <x v="10"/>
    <x v="10"/>
    <x v="26"/>
    <x v="26"/>
    <n v="22.918788990811901"/>
    <x v="0"/>
    <x v="0"/>
    <x v="1"/>
    <x v="3"/>
    <x v="3"/>
    <x v="15"/>
    <n v="24.981479999984973"/>
  </r>
  <r>
    <x v="9"/>
    <x v="0"/>
    <x v="9"/>
    <x v="9"/>
    <x v="0"/>
    <x v="0"/>
    <x v="0"/>
    <x v="0"/>
    <x v="0"/>
    <x v="0"/>
    <x v="0"/>
    <x v="0"/>
    <x v="2"/>
    <x v="10"/>
    <x v="10"/>
    <x v="0"/>
    <x v="0"/>
    <n v="19.948214412755501"/>
    <x v="0"/>
    <x v="0"/>
    <x v="0"/>
    <x v="0"/>
    <x v="0"/>
    <x v="0"/>
    <n v="21.743553709903498"/>
  </r>
  <r>
    <x v="9"/>
    <x v="0"/>
    <x v="9"/>
    <x v="9"/>
    <x v="0"/>
    <x v="0"/>
    <x v="0"/>
    <x v="0"/>
    <x v="0"/>
    <x v="0"/>
    <x v="0"/>
    <x v="0"/>
    <x v="2"/>
    <x v="10"/>
    <x v="10"/>
    <x v="2"/>
    <x v="2"/>
    <n v="407.49302752269102"/>
    <x v="0"/>
    <x v="1"/>
    <x v="2"/>
    <x v="2"/>
    <x v="13"/>
    <x v="2"/>
    <n v="444.16739999973322"/>
  </r>
  <r>
    <x v="9"/>
    <x v="0"/>
    <x v="9"/>
    <x v="9"/>
    <x v="0"/>
    <x v="0"/>
    <x v="0"/>
    <x v="0"/>
    <x v="0"/>
    <x v="0"/>
    <x v="0"/>
    <x v="0"/>
    <x v="4"/>
    <x v="5"/>
    <x v="5"/>
    <x v="4"/>
    <x v="4"/>
    <n v="0.76012844036652005"/>
    <x v="0"/>
    <x v="0"/>
    <x v="1"/>
    <x v="3"/>
    <x v="3"/>
    <x v="4"/>
    <n v="0.82853999999950689"/>
  </r>
  <r>
    <x v="9"/>
    <x v="0"/>
    <x v="9"/>
    <x v="9"/>
    <x v="0"/>
    <x v="0"/>
    <x v="0"/>
    <x v="0"/>
    <x v="0"/>
    <x v="0"/>
    <x v="0"/>
    <x v="0"/>
    <x v="4"/>
    <x v="5"/>
    <x v="5"/>
    <x v="6"/>
    <x v="6"/>
    <n v="244.61225999999999"/>
    <x v="0"/>
    <x v="0"/>
    <x v="0"/>
    <x v="0"/>
    <x v="4"/>
    <x v="6"/>
    <n v="266.62736340000004"/>
  </r>
  <r>
    <x v="9"/>
    <x v="0"/>
    <x v="9"/>
    <x v="9"/>
    <x v="0"/>
    <x v="0"/>
    <x v="0"/>
    <x v="0"/>
    <x v="0"/>
    <x v="0"/>
    <x v="0"/>
    <x v="0"/>
    <x v="4"/>
    <x v="5"/>
    <x v="5"/>
    <x v="7"/>
    <x v="7"/>
    <n v="2.0482568807327199"/>
    <x v="0"/>
    <x v="0"/>
    <x v="1"/>
    <x v="4"/>
    <x v="5"/>
    <x v="7"/>
    <n v="2.2325999999986648"/>
  </r>
  <r>
    <x v="9"/>
    <x v="0"/>
    <x v="9"/>
    <x v="9"/>
    <x v="0"/>
    <x v="0"/>
    <x v="0"/>
    <x v="0"/>
    <x v="0"/>
    <x v="0"/>
    <x v="0"/>
    <x v="0"/>
    <x v="4"/>
    <x v="5"/>
    <x v="5"/>
    <x v="8"/>
    <x v="8"/>
    <n v="356.60445946174201"/>
    <x v="0"/>
    <x v="1"/>
    <x v="2"/>
    <x v="2"/>
    <x v="6"/>
    <x v="8"/>
    <n v="388.69886081329884"/>
  </r>
  <r>
    <x v="9"/>
    <x v="0"/>
    <x v="9"/>
    <x v="9"/>
    <x v="0"/>
    <x v="0"/>
    <x v="0"/>
    <x v="0"/>
    <x v="0"/>
    <x v="0"/>
    <x v="0"/>
    <x v="0"/>
    <x v="4"/>
    <x v="5"/>
    <x v="5"/>
    <x v="9"/>
    <x v="9"/>
    <n v="218.90719504008999"/>
    <x v="0"/>
    <x v="0"/>
    <x v="1"/>
    <x v="4"/>
    <x v="5"/>
    <x v="9"/>
    <n v="238.60884259369811"/>
  </r>
  <r>
    <x v="9"/>
    <x v="0"/>
    <x v="9"/>
    <x v="9"/>
    <x v="0"/>
    <x v="0"/>
    <x v="0"/>
    <x v="0"/>
    <x v="0"/>
    <x v="0"/>
    <x v="0"/>
    <x v="0"/>
    <x v="4"/>
    <x v="5"/>
    <x v="5"/>
    <x v="10"/>
    <x v="10"/>
    <n v="30.138047265777899"/>
    <x v="0"/>
    <x v="0"/>
    <x v="1"/>
    <x v="4"/>
    <x v="5"/>
    <x v="10"/>
    <n v="32.850471519697912"/>
  </r>
  <r>
    <x v="9"/>
    <x v="0"/>
    <x v="9"/>
    <x v="9"/>
    <x v="0"/>
    <x v="0"/>
    <x v="0"/>
    <x v="0"/>
    <x v="0"/>
    <x v="0"/>
    <x v="0"/>
    <x v="0"/>
    <x v="4"/>
    <x v="5"/>
    <x v="5"/>
    <x v="29"/>
    <x v="29"/>
    <n v="0.2059"/>
    <x v="0"/>
    <x v="0"/>
    <x v="1"/>
    <x v="3"/>
    <x v="3"/>
    <x v="13"/>
    <n v="0.22443100000000002"/>
  </r>
  <r>
    <x v="9"/>
    <x v="0"/>
    <x v="9"/>
    <x v="9"/>
    <x v="0"/>
    <x v="0"/>
    <x v="0"/>
    <x v="0"/>
    <x v="0"/>
    <x v="0"/>
    <x v="0"/>
    <x v="0"/>
    <x v="4"/>
    <x v="5"/>
    <x v="5"/>
    <x v="35"/>
    <x v="35"/>
    <n v="78.180000000000007"/>
    <x v="0"/>
    <x v="0"/>
    <x v="0"/>
    <x v="0"/>
    <x v="0"/>
    <x v="0"/>
    <n v="85.216200000000015"/>
  </r>
  <r>
    <x v="9"/>
    <x v="0"/>
    <x v="9"/>
    <x v="9"/>
    <x v="0"/>
    <x v="0"/>
    <x v="0"/>
    <x v="0"/>
    <x v="0"/>
    <x v="0"/>
    <x v="0"/>
    <x v="0"/>
    <x v="4"/>
    <x v="5"/>
    <x v="5"/>
    <x v="55"/>
    <x v="55"/>
    <n v="0.57247706421984002"/>
    <x v="0"/>
    <x v="0"/>
    <x v="1"/>
    <x v="3"/>
    <x v="3"/>
    <x v="15"/>
    <n v="0.62399999999962563"/>
  </r>
  <r>
    <x v="9"/>
    <x v="0"/>
    <x v="9"/>
    <x v="9"/>
    <x v="0"/>
    <x v="0"/>
    <x v="0"/>
    <x v="0"/>
    <x v="0"/>
    <x v="0"/>
    <x v="0"/>
    <x v="0"/>
    <x v="4"/>
    <x v="5"/>
    <x v="5"/>
    <x v="88"/>
    <x v="88"/>
    <n v="0.12270642201828"/>
    <x v="0"/>
    <x v="0"/>
    <x v="1"/>
    <x v="4"/>
    <x v="5"/>
    <x v="9"/>
    <n v="0.13374999999992521"/>
  </r>
  <r>
    <x v="9"/>
    <x v="0"/>
    <x v="9"/>
    <x v="9"/>
    <x v="0"/>
    <x v="0"/>
    <x v="0"/>
    <x v="0"/>
    <x v="0"/>
    <x v="0"/>
    <x v="0"/>
    <x v="0"/>
    <x v="4"/>
    <x v="5"/>
    <x v="5"/>
    <x v="12"/>
    <x v="12"/>
    <n v="355.50909302190502"/>
    <x v="0"/>
    <x v="0"/>
    <x v="0"/>
    <x v="0"/>
    <x v="8"/>
    <x v="12"/>
    <n v="387.50491139387651"/>
  </r>
  <r>
    <x v="9"/>
    <x v="0"/>
    <x v="9"/>
    <x v="9"/>
    <x v="0"/>
    <x v="0"/>
    <x v="0"/>
    <x v="0"/>
    <x v="0"/>
    <x v="0"/>
    <x v="0"/>
    <x v="0"/>
    <x v="4"/>
    <x v="5"/>
    <x v="5"/>
    <x v="14"/>
    <x v="14"/>
    <n v="93.320160000000001"/>
    <x v="0"/>
    <x v="0"/>
    <x v="0"/>
    <x v="0"/>
    <x v="8"/>
    <x v="14"/>
    <n v="101.71897440000001"/>
  </r>
  <r>
    <x v="9"/>
    <x v="0"/>
    <x v="9"/>
    <x v="9"/>
    <x v="0"/>
    <x v="0"/>
    <x v="0"/>
    <x v="0"/>
    <x v="0"/>
    <x v="0"/>
    <x v="0"/>
    <x v="0"/>
    <x v="4"/>
    <x v="5"/>
    <x v="5"/>
    <x v="22"/>
    <x v="22"/>
    <n v="8.2211532257735698"/>
    <x v="0"/>
    <x v="0"/>
    <x v="0"/>
    <x v="0"/>
    <x v="0"/>
    <x v="0"/>
    <n v="8.9610570160931911"/>
  </r>
  <r>
    <x v="9"/>
    <x v="0"/>
    <x v="9"/>
    <x v="9"/>
    <x v="0"/>
    <x v="0"/>
    <x v="0"/>
    <x v="0"/>
    <x v="0"/>
    <x v="0"/>
    <x v="0"/>
    <x v="0"/>
    <x v="4"/>
    <x v="5"/>
    <x v="5"/>
    <x v="33"/>
    <x v="33"/>
    <n v="1.03822018348562"/>
    <x v="0"/>
    <x v="0"/>
    <x v="1"/>
    <x v="3"/>
    <x v="3"/>
    <x v="4"/>
    <n v="1.1316599999993258"/>
  </r>
  <r>
    <x v="9"/>
    <x v="0"/>
    <x v="9"/>
    <x v="9"/>
    <x v="0"/>
    <x v="0"/>
    <x v="0"/>
    <x v="0"/>
    <x v="0"/>
    <x v="0"/>
    <x v="0"/>
    <x v="0"/>
    <x v="4"/>
    <x v="5"/>
    <x v="5"/>
    <x v="36"/>
    <x v="36"/>
    <n v="27.5000733944789"/>
    <x v="0"/>
    <x v="0"/>
    <x v="1"/>
    <x v="3"/>
    <x v="3"/>
    <x v="4"/>
    <n v="29.975079999982004"/>
  </r>
  <r>
    <x v="9"/>
    <x v="0"/>
    <x v="9"/>
    <x v="9"/>
    <x v="0"/>
    <x v="0"/>
    <x v="0"/>
    <x v="0"/>
    <x v="0"/>
    <x v="0"/>
    <x v="0"/>
    <x v="0"/>
    <x v="4"/>
    <x v="5"/>
    <x v="5"/>
    <x v="23"/>
    <x v="23"/>
    <n v="2.9623394495395101"/>
    <x v="0"/>
    <x v="0"/>
    <x v="1"/>
    <x v="3"/>
    <x v="3"/>
    <x v="15"/>
    <n v="3.2289499999980662"/>
  </r>
  <r>
    <x v="9"/>
    <x v="0"/>
    <x v="9"/>
    <x v="9"/>
    <x v="0"/>
    <x v="0"/>
    <x v="0"/>
    <x v="0"/>
    <x v="0"/>
    <x v="0"/>
    <x v="0"/>
    <x v="0"/>
    <x v="4"/>
    <x v="5"/>
    <x v="5"/>
    <x v="24"/>
    <x v="24"/>
    <n v="15.8215412843942"/>
    <x v="0"/>
    <x v="0"/>
    <x v="1"/>
    <x v="3"/>
    <x v="3"/>
    <x v="4"/>
    <n v="17.24547999998968"/>
  </r>
  <r>
    <x v="9"/>
    <x v="0"/>
    <x v="9"/>
    <x v="9"/>
    <x v="0"/>
    <x v="0"/>
    <x v="0"/>
    <x v="0"/>
    <x v="0"/>
    <x v="0"/>
    <x v="0"/>
    <x v="0"/>
    <x v="4"/>
    <x v="5"/>
    <x v="5"/>
    <x v="17"/>
    <x v="17"/>
    <n v="238.23929000000001"/>
    <x v="0"/>
    <x v="0"/>
    <x v="0"/>
    <x v="0"/>
    <x v="4"/>
    <x v="17"/>
    <n v="259.68082610000005"/>
  </r>
  <r>
    <x v="9"/>
    <x v="0"/>
    <x v="9"/>
    <x v="9"/>
    <x v="0"/>
    <x v="0"/>
    <x v="0"/>
    <x v="0"/>
    <x v="0"/>
    <x v="0"/>
    <x v="0"/>
    <x v="0"/>
    <x v="4"/>
    <x v="5"/>
    <x v="5"/>
    <x v="21"/>
    <x v="21"/>
    <n v="43.171036697221801"/>
    <x v="0"/>
    <x v="0"/>
    <x v="1"/>
    <x v="4"/>
    <x v="5"/>
    <x v="10"/>
    <n v="47.056429999971769"/>
  </r>
  <r>
    <x v="9"/>
    <x v="0"/>
    <x v="9"/>
    <x v="9"/>
    <x v="0"/>
    <x v="0"/>
    <x v="0"/>
    <x v="0"/>
    <x v="0"/>
    <x v="0"/>
    <x v="0"/>
    <x v="0"/>
    <x v="4"/>
    <x v="5"/>
    <x v="5"/>
    <x v="18"/>
    <x v="18"/>
    <n v="150.21415999999999"/>
    <x v="0"/>
    <x v="0"/>
    <x v="0"/>
    <x v="0"/>
    <x v="4"/>
    <x v="18"/>
    <n v="163.73343439999999"/>
  </r>
  <r>
    <x v="9"/>
    <x v="0"/>
    <x v="9"/>
    <x v="9"/>
    <x v="0"/>
    <x v="0"/>
    <x v="0"/>
    <x v="0"/>
    <x v="0"/>
    <x v="0"/>
    <x v="0"/>
    <x v="0"/>
    <x v="4"/>
    <x v="5"/>
    <x v="5"/>
    <x v="34"/>
    <x v="34"/>
    <n v="22.857979038912699"/>
    <x v="0"/>
    <x v="0"/>
    <x v="0"/>
    <x v="0"/>
    <x v="0"/>
    <x v="0"/>
    <n v="24.915197152414844"/>
  </r>
  <r>
    <x v="9"/>
    <x v="0"/>
    <x v="9"/>
    <x v="9"/>
    <x v="0"/>
    <x v="0"/>
    <x v="0"/>
    <x v="0"/>
    <x v="0"/>
    <x v="0"/>
    <x v="0"/>
    <x v="0"/>
    <x v="4"/>
    <x v="5"/>
    <x v="5"/>
    <x v="25"/>
    <x v="25"/>
    <n v="5.35499082568486"/>
    <x v="0"/>
    <x v="0"/>
    <x v="1"/>
    <x v="4"/>
    <x v="5"/>
    <x v="9"/>
    <n v="5.8369399999964982"/>
  </r>
  <r>
    <x v="9"/>
    <x v="0"/>
    <x v="9"/>
    <x v="9"/>
    <x v="0"/>
    <x v="0"/>
    <x v="0"/>
    <x v="0"/>
    <x v="0"/>
    <x v="0"/>
    <x v="0"/>
    <x v="0"/>
    <x v="4"/>
    <x v="5"/>
    <x v="5"/>
    <x v="37"/>
    <x v="37"/>
    <n v="22.591614678885499"/>
    <x v="0"/>
    <x v="0"/>
    <x v="1"/>
    <x v="3"/>
    <x v="3"/>
    <x v="4"/>
    <n v="24.624859999985194"/>
  </r>
  <r>
    <x v="9"/>
    <x v="0"/>
    <x v="9"/>
    <x v="9"/>
    <x v="0"/>
    <x v="0"/>
    <x v="0"/>
    <x v="0"/>
    <x v="0"/>
    <x v="0"/>
    <x v="0"/>
    <x v="0"/>
    <x v="4"/>
    <x v="5"/>
    <x v="5"/>
    <x v="27"/>
    <x v="27"/>
    <n v="45.1887815324895"/>
    <x v="0"/>
    <x v="0"/>
    <x v="1"/>
    <x v="3"/>
    <x v="3"/>
    <x v="19"/>
    <n v="49.255771870413561"/>
  </r>
  <r>
    <x v="9"/>
    <x v="0"/>
    <x v="9"/>
    <x v="9"/>
    <x v="0"/>
    <x v="0"/>
    <x v="0"/>
    <x v="0"/>
    <x v="0"/>
    <x v="0"/>
    <x v="0"/>
    <x v="0"/>
    <x v="4"/>
    <x v="5"/>
    <x v="5"/>
    <x v="26"/>
    <x v="26"/>
    <n v="18.525137614667798"/>
    <x v="0"/>
    <x v="0"/>
    <x v="1"/>
    <x v="3"/>
    <x v="3"/>
    <x v="15"/>
    <n v="20.192399999987902"/>
  </r>
  <r>
    <x v="9"/>
    <x v="0"/>
    <x v="9"/>
    <x v="9"/>
    <x v="0"/>
    <x v="0"/>
    <x v="0"/>
    <x v="0"/>
    <x v="0"/>
    <x v="0"/>
    <x v="0"/>
    <x v="0"/>
    <x v="4"/>
    <x v="5"/>
    <x v="5"/>
    <x v="0"/>
    <x v="0"/>
    <n v="31.3387206404817"/>
    <x v="0"/>
    <x v="0"/>
    <x v="0"/>
    <x v="0"/>
    <x v="0"/>
    <x v="0"/>
    <n v="34.159205498125054"/>
  </r>
  <r>
    <x v="9"/>
    <x v="0"/>
    <x v="9"/>
    <x v="9"/>
    <x v="0"/>
    <x v="0"/>
    <x v="0"/>
    <x v="0"/>
    <x v="0"/>
    <x v="0"/>
    <x v="0"/>
    <x v="0"/>
    <x v="4"/>
    <x v="5"/>
    <x v="5"/>
    <x v="2"/>
    <x v="2"/>
    <n v="1167.15022018279"/>
    <x v="0"/>
    <x v="1"/>
    <x v="2"/>
    <x v="2"/>
    <x v="13"/>
    <x v="2"/>
    <n v="1272.1937399992412"/>
  </r>
  <r>
    <x v="9"/>
    <x v="0"/>
    <x v="9"/>
    <x v="9"/>
    <x v="0"/>
    <x v="0"/>
    <x v="0"/>
    <x v="0"/>
    <x v="0"/>
    <x v="0"/>
    <x v="0"/>
    <x v="0"/>
    <x v="4"/>
    <x v="5"/>
    <x v="5"/>
    <x v="3"/>
    <x v="3"/>
    <n v="8.9833812800874693"/>
    <x v="0"/>
    <x v="0"/>
    <x v="1"/>
    <x v="3"/>
    <x v="3"/>
    <x v="3"/>
    <n v="9.7918855952953425"/>
  </r>
  <r>
    <x v="9"/>
    <x v="0"/>
    <x v="9"/>
    <x v="9"/>
    <x v="0"/>
    <x v="0"/>
    <x v="0"/>
    <x v="0"/>
    <x v="0"/>
    <x v="0"/>
    <x v="3"/>
    <x v="3"/>
    <x v="3"/>
    <x v="3"/>
    <x v="3"/>
    <x v="3"/>
    <x v="3"/>
    <n v="2.54152610817615"/>
    <x v="0"/>
    <x v="0"/>
    <x v="1"/>
    <x v="3"/>
    <x v="3"/>
    <x v="3"/>
    <n v="2.7702634579120038"/>
  </r>
  <r>
    <x v="9"/>
    <x v="0"/>
    <x v="9"/>
    <x v="9"/>
    <x v="0"/>
    <x v="0"/>
    <x v="0"/>
    <x v="0"/>
    <x v="0"/>
    <x v="0"/>
    <x v="3"/>
    <x v="3"/>
    <x v="0"/>
    <x v="4"/>
    <x v="4"/>
    <x v="16"/>
    <x v="16"/>
    <n v="4.1348000000000003"/>
    <x v="0"/>
    <x v="0"/>
    <x v="3"/>
    <x v="5"/>
    <x v="9"/>
    <x v="16"/>
    <n v="4.5069320000000008"/>
  </r>
  <r>
    <x v="9"/>
    <x v="0"/>
    <x v="9"/>
    <x v="9"/>
    <x v="0"/>
    <x v="0"/>
    <x v="0"/>
    <x v="0"/>
    <x v="0"/>
    <x v="0"/>
    <x v="3"/>
    <x v="3"/>
    <x v="2"/>
    <x v="2"/>
    <x v="2"/>
    <x v="5"/>
    <x v="5"/>
    <n v="13.8512392639089"/>
    <x v="0"/>
    <x v="0"/>
    <x v="1"/>
    <x v="1"/>
    <x v="1"/>
    <x v="5"/>
    <n v="15.097850797660701"/>
  </r>
  <r>
    <x v="9"/>
    <x v="0"/>
    <x v="9"/>
    <x v="9"/>
    <x v="0"/>
    <x v="0"/>
    <x v="0"/>
    <x v="0"/>
    <x v="0"/>
    <x v="0"/>
    <x v="3"/>
    <x v="3"/>
    <x v="2"/>
    <x v="2"/>
    <x v="2"/>
    <x v="6"/>
    <x v="6"/>
    <n v="8.08432"/>
    <x v="0"/>
    <x v="0"/>
    <x v="0"/>
    <x v="0"/>
    <x v="4"/>
    <x v="6"/>
    <n v="8.8119088000000012"/>
  </r>
  <r>
    <x v="9"/>
    <x v="0"/>
    <x v="9"/>
    <x v="9"/>
    <x v="0"/>
    <x v="0"/>
    <x v="0"/>
    <x v="0"/>
    <x v="0"/>
    <x v="0"/>
    <x v="3"/>
    <x v="3"/>
    <x v="2"/>
    <x v="2"/>
    <x v="2"/>
    <x v="8"/>
    <x v="8"/>
    <n v="65.891017543192007"/>
    <x v="0"/>
    <x v="1"/>
    <x v="2"/>
    <x v="2"/>
    <x v="6"/>
    <x v="8"/>
    <n v="71.821209122079296"/>
  </r>
  <r>
    <x v="9"/>
    <x v="0"/>
    <x v="9"/>
    <x v="9"/>
    <x v="0"/>
    <x v="0"/>
    <x v="0"/>
    <x v="0"/>
    <x v="0"/>
    <x v="0"/>
    <x v="3"/>
    <x v="3"/>
    <x v="2"/>
    <x v="2"/>
    <x v="2"/>
    <x v="9"/>
    <x v="9"/>
    <n v="8.7779816513710002E-2"/>
    <x v="0"/>
    <x v="0"/>
    <x v="1"/>
    <x v="4"/>
    <x v="5"/>
    <x v="9"/>
    <n v="9.5679999999943907E-2"/>
  </r>
  <r>
    <x v="9"/>
    <x v="0"/>
    <x v="9"/>
    <x v="9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9"/>
    <x v="0"/>
    <x v="9"/>
    <x v="9"/>
    <x v="0"/>
    <x v="0"/>
    <x v="0"/>
    <x v="0"/>
    <x v="0"/>
    <x v="0"/>
    <x v="3"/>
    <x v="3"/>
    <x v="2"/>
    <x v="2"/>
    <x v="2"/>
    <x v="16"/>
    <x v="16"/>
    <n v="13.018560000000001"/>
    <x v="0"/>
    <x v="0"/>
    <x v="3"/>
    <x v="5"/>
    <x v="9"/>
    <x v="16"/>
    <n v="14.190230400000003"/>
  </r>
  <r>
    <x v="9"/>
    <x v="0"/>
    <x v="9"/>
    <x v="9"/>
    <x v="0"/>
    <x v="0"/>
    <x v="0"/>
    <x v="0"/>
    <x v="0"/>
    <x v="0"/>
    <x v="3"/>
    <x v="3"/>
    <x v="2"/>
    <x v="2"/>
    <x v="2"/>
    <x v="17"/>
    <x v="17"/>
    <n v="2.5331199999999998"/>
    <x v="0"/>
    <x v="0"/>
    <x v="0"/>
    <x v="0"/>
    <x v="4"/>
    <x v="17"/>
    <n v="2.7611007999999999"/>
  </r>
  <r>
    <x v="9"/>
    <x v="0"/>
    <x v="9"/>
    <x v="9"/>
    <x v="0"/>
    <x v="0"/>
    <x v="0"/>
    <x v="0"/>
    <x v="0"/>
    <x v="0"/>
    <x v="3"/>
    <x v="3"/>
    <x v="2"/>
    <x v="2"/>
    <x v="2"/>
    <x v="2"/>
    <x v="2"/>
    <n v="4.5284403669699998E-2"/>
    <x v="0"/>
    <x v="1"/>
    <x v="2"/>
    <x v="2"/>
    <x v="13"/>
    <x v="2"/>
    <n v="4.9359999999973002E-2"/>
  </r>
  <r>
    <x v="9"/>
    <x v="0"/>
    <x v="9"/>
    <x v="9"/>
    <x v="0"/>
    <x v="0"/>
    <x v="0"/>
    <x v="0"/>
    <x v="0"/>
    <x v="0"/>
    <x v="3"/>
    <x v="3"/>
    <x v="4"/>
    <x v="5"/>
    <x v="5"/>
    <x v="8"/>
    <x v="8"/>
    <n v="15.236513513610999"/>
    <x v="0"/>
    <x v="1"/>
    <x v="2"/>
    <x v="2"/>
    <x v="6"/>
    <x v="8"/>
    <n v="16.607799729835989"/>
  </r>
  <r>
    <x v="9"/>
    <x v="0"/>
    <x v="9"/>
    <x v="9"/>
    <x v="0"/>
    <x v="0"/>
    <x v="0"/>
    <x v="0"/>
    <x v="0"/>
    <x v="0"/>
    <x v="3"/>
    <x v="3"/>
    <x v="4"/>
    <x v="5"/>
    <x v="5"/>
    <x v="12"/>
    <x v="12"/>
    <n v="11.525627906933"/>
    <x v="0"/>
    <x v="0"/>
    <x v="0"/>
    <x v="0"/>
    <x v="8"/>
    <x v="12"/>
    <n v="12.562934418556971"/>
  </r>
  <r>
    <x v="9"/>
    <x v="0"/>
    <x v="9"/>
    <x v="9"/>
    <x v="0"/>
    <x v="0"/>
    <x v="0"/>
    <x v="0"/>
    <x v="0"/>
    <x v="0"/>
    <x v="3"/>
    <x v="3"/>
    <x v="4"/>
    <x v="5"/>
    <x v="5"/>
    <x v="18"/>
    <x v="18"/>
    <n v="4.6401000000000003"/>
    <x v="0"/>
    <x v="0"/>
    <x v="0"/>
    <x v="0"/>
    <x v="4"/>
    <x v="18"/>
    <n v="5.0577090000000009"/>
  </r>
  <r>
    <x v="9"/>
    <x v="0"/>
    <x v="9"/>
    <x v="9"/>
    <x v="0"/>
    <x v="0"/>
    <x v="0"/>
    <x v="0"/>
    <x v="0"/>
    <x v="0"/>
    <x v="3"/>
    <x v="3"/>
    <x v="4"/>
    <x v="5"/>
    <x v="5"/>
    <x v="27"/>
    <x v="27"/>
    <n v="1.35135135138"/>
    <x v="0"/>
    <x v="0"/>
    <x v="1"/>
    <x v="3"/>
    <x v="3"/>
    <x v="19"/>
    <n v="1.4729729730042"/>
  </r>
  <r>
    <x v="9"/>
    <x v="0"/>
    <x v="9"/>
    <x v="9"/>
    <x v="0"/>
    <x v="0"/>
    <x v="0"/>
    <x v="0"/>
    <x v="0"/>
    <x v="0"/>
    <x v="3"/>
    <x v="3"/>
    <x v="4"/>
    <x v="5"/>
    <x v="5"/>
    <x v="0"/>
    <x v="0"/>
    <n v="79.597357651022705"/>
    <x v="0"/>
    <x v="0"/>
    <x v="0"/>
    <x v="0"/>
    <x v="0"/>
    <x v="0"/>
    <n v="86.76111983961475"/>
  </r>
  <r>
    <x v="9"/>
    <x v="0"/>
    <x v="9"/>
    <x v="9"/>
    <x v="0"/>
    <x v="0"/>
    <x v="0"/>
    <x v="0"/>
    <x v="0"/>
    <x v="0"/>
    <x v="3"/>
    <x v="3"/>
    <x v="4"/>
    <x v="5"/>
    <x v="5"/>
    <x v="2"/>
    <x v="2"/>
    <n v="0.66895412843997004"/>
    <x v="0"/>
    <x v="1"/>
    <x v="2"/>
    <x v="2"/>
    <x v="13"/>
    <x v="2"/>
    <n v="0.72915999999956738"/>
  </r>
  <r>
    <x v="9"/>
    <x v="0"/>
    <x v="9"/>
    <x v="9"/>
    <x v="0"/>
    <x v="0"/>
    <x v="0"/>
    <x v="0"/>
    <x v="0"/>
    <x v="0"/>
    <x v="4"/>
    <x v="4"/>
    <x v="2"/>
    <x v="2"/>
    <x v="2"/>
    <x v="5"/>
    <x v="5"/>
    <n v="0.46532515337776997"/>
    <x v="0"/>
    <x v="0"/>
    <x v="1"/>
    <x v="1"/>
    <x v="1"/>
    <x v="5"/>
    <n v="0.50720441718176934"/>
  </r>
  <r>
    <x v="9"/>
    <x v="0"/>
    <x v="9"/>
    <x v="9"/>
    <x v="0"/>
    <x v="0"/>
    <x v="0"/>
    <x v="0"/>
    <x v="0"/>
    <x v="0"/>
    <x v="4"/>
    <x v="4"/>
    <x v="2"/>
    <x v="2"/>
    <x v="2"/>
    <x v="6"/>
    <x v="6"/>
    <n v="0.49331999999999998"/>
    <x v="0"/>
    <x v="0"/>
    <x v="0"/>
    <x v="0"/>
    <x v="4"/>
    <x v="6"/>
    <n v="0.53771880000000005"/>
  </r>
  <r>
    <x v="9"/>
    <x v="0"/>
    <x v="9"/>
    <x v="9"/>
    <x v="0"/>
    <x v="0"/>
    <x v="0"/>
    <x v="0"/>
    <x v="0"/>
    <x v="0"/>
    <x v="4"/>
    <x v="4"/>
    <x v="2"/>
    <x v="2"/>
    <x v="2"/>
    <x v="7"/>
    <x v="7"/>
    <n v="0.42532110091718001"/>
    <x v="0"/>
    <x v="0"/>
    <x v="1"/>
    <x v="4"/>
    <x v="5"/>
    <x v="7"/>
    <n v="0.46359999999972623"/>
  </r>
  <r>
    <x v="9"/>
    <x v="0"/>
    <x v="9"/>
    <x v="9"/>
    <x v="0"/>
    <x v="0"/>
    <x v="0"/>
    <x v="0"/>
    <x v="0"/>
    <x v="0"/>
    <x v="4"/>
    <x v="4"/>
    <x v="2"/>
    <x v="2"/>
    <x v="2"/>
    <x v="8"/>
    <x v="8"/>
    <n v="4.1891891892159999E-2"/>
    <x v="0"/>
    <x v="1"/>
    <x v="2"/>
    <x v="2"/>
    <x v="6"/>
    <x v="8"/>
    <n v="4.5662162162454403E-2"/>
  </r>
  <r>
    <x v="9"/>
    <x v="0"/>
    <x v="9"/>
    <x v="9"/>
    <x v="0"/>
    <x v="0"/>
    <x v="0"/>
    <x v="0"/>
    <x v="0"/>
    <x v="0"/>
    <x v="4"/>
    <x v="4"/>
    <x v="2"/>
    <x v="2"/>
    <x v="2"/>
    <x v="9"/>
    <x v="9"/>
    <n v="2.0770642201820001E-2"/>
    <x v="0"/>
    <x v="0"/>
    <x v="1"/>
    <x v="4"/>
    <x v="5"/>
    <x v="9"/>
    <n v="2.2639999999983802E-2"/>
  </r>
  <r>
    <x v="9"/>
    <x v="0"/>
    <x v="9"/>
    <x v="9"/>
    <x v="0"/>
    <x v="0"/>
    <x v="0"/>
    <x v="0"/>
    <x v="0"/>
    <x v="0"/>
    <x v="4"/>
    <x v="4"/>
    <x v="2"/>
    <x v="2"/>
    <x v="2"/>
    <x v="12"/>
    <x v="12"/>
    <n v="21.2025465115473"/>
    <x v="0"/>
    <x v="0"/>
    <x v="0"/>
    <x v="0"/>
    <x v="8"/>
    <x v="12"/>
    <n v="23.110775697586558"/>
  </r>
  <r>
    <x v="9"/>
    <x v="0"/>
    <x v="9"/>
    <x v="9"/>
    <x v="0"/>
    <x v="0"/>
    <x v="0"/>
    <x v="0"/>
    <x v="0"/>
    <x v="0"/>
    <x v="4"/>
    <x v="4"/>
    <x v="2"/>
    <x v="2"/>
    <x v="2"/>
    <x v="14"/>
    <x v="14"/>
    <n v="0.30824000000000001"/>
    <x v="0"/>
    <x v="0"/>
    <x v="0"/>
    <x v="0"/>
    <x v="8"/>
    <x v="14"/>
    <n v="0.33598160000000005"/>
  </r>
  <r>
    <x v="9"/>
    <x v="0"/>
    <x v="9"/>
    <x v="9"/>
    <x v="0"/>
    <x v="0"/>
    <x v="0"/>
    <x v="0"/>
    <x v="0"/>
    <x v="0"/>
    <x v="4"/>
    <x v="4"/>
    <x v="2"/>
    <x v="2"/>
    <x v="2"/>
    <x v="16"/>
    <x v="16"/>
    <n v="0.83831999999999995"/>
    <x v="0"/>
    <x v="0"/>
    <x v="3"/>
    <x v="5"/>
    <x v="9"/>
    <x v="16"/>
    <n v="0.91376880000000005"/>
  </r>
  <r>
    <x v="9"/>
    <x v="0"/>
    <x v="9"/>
    <x v="9"/>
    <x v="0"/>
    <x v="0"/>
    <x v="0"/>
    <x v="0"/>
    <x v="0"/>
    <x v="0"/>
    <x v="4"/>
    <x v="4"/>
    <x v="2"/>
    <x v="2"/>
    <x v="2"/>
    <x v="25"/>
    <x v="25"/>
    <n v="6.2018348623819997E-2"/>
    <x v="0"/>
    <x v="0"/>
    <x v="1"/>
    <x v="4"/>
    <x v="5"/>
    <x v="9"/>
    <n v="6.75999999999638E-2"/>
  </r>
  <r>
    <x v="9"/>
    <x v="0"/>
    <x v="9"/>
    <x v="9"/>
    <x v="0"/>
    <x v="0"/>
    <x v="0"/>
    <x v="0"/>
    <x v="0"/>
    <x v="0"/>
    <x v="4"/>
    <x v="4"/>
    <x v="2"/>
    <x v="2"/>
    <x v="2"/>
    <x v="27"/>
    <x v="27"/>
    <n v="1.0656576576802499"/>
    <x v="0"/>
    <x v="0"/>
    <x v="1"/>
    <x v="3"/>
    <x v="3"/>
    <x v="19"/>
    <n v="1.1615668468714724"/>
  </r>
  <r>
    <x v="9"/>
    <x v="0"/>
    <x v="9"/>
    <x v="9"/>
    <x v="0"/>
    <x v="0"/>
    <x v="0"/>
    <x v="0"/>
    <x v="2"/>
    <x v="2"/>
    <x v="5"/>
    <x v="5"/>
    <x v="2"/>
    <x v="2"/>
    <x v="2"/>
    <x v="42"/>
    <x v="42"/>
    <n v="0.46239999999999998"/>
    <x v="1"/>
    <x v="2"/>
    <x v="5"/>
    <x v="7"/>
    <x v="11"/>
    <x v="22"/>
    <n v="0.50401600000000002"/>
  </r>
  <r>
    <x v="9"/>
    <x v="0"/>
    <x v="9"/>
    <x v="9"/>
    <x v="0"/>
    <x v="0"/>
    <x v="0"/>
    <x v="0"/>
    <x v="2"/>
    <x v="2"/>
    <x v="5"/>
    <x v="5"/>
    <x v="2"/>
    <x v="2"/>
    <x v="2"/>
    <x v="41"/>
    <x v="41"/>
    <n v="9.7531914893249999E-2"/>
    <x v="1"/>
    <x v="2"/>
    <x v="5"/>
    <x v="7"/>
    <x v="11"/>
    <x v="22"/>
    <n v="0.10630978723364251"/>
  </r>
  <r>
    <x v="9"/>
    <x v="0"/>
    <x v="9"/>
    <x v="9"/>
    <x v="0"/>
    <x v="0"/>
    <x v="0"/>
    <x v="0"/>
    <x v="2"/>
    <x v="2"/>
    <x v="5"/>
    <x v="5"/>
    <x v="2"/>
    <x v="2"/>
    <x v="2"/>
    <x v="40"/>
    <x v="40"/>
    <n v="6.9564000000000004"/>
    <x v="1"/>
    <x v="2"/>
    <x v="5"/>
    <x v="7"/>
    <x v="11"/>
    <x v="22"/>
    <n v="7.5824760000000007"/>
  </r>
  <r>
    <x v="9"/>
    <x v="0"/>
    <x v="9"/>
    <x v="9"/>
    <x v="0"/>
    <x v="0"/>
    <x v="0"/>
    <x v="0"/>
    <x v="2"/>
    <x v="2"/>
    <x v="5"/>
    <x v="5"/>
    <x v="2"/>
    <x v="2"/>
    <x v="2"/>
    <x v="38"/>
    <x v="38"/>
    <n v="103.56128"/>
    <x v="1"/>
    <x v="0"/>
    <x v="4"/>
    <x v="6"/>
    <x v="10"/>
    <x v="21"/>
    <n v="112.8817952"/>
  </r>
  <r>
    <x v="9"/>
    <x v="0"/>
    <x v="9"/>
    <x v="9"/>
    <x v="0"/>
    <x v="0"/>
    <x v="0"/>
    <x v="0"/>
    <x v="0"/>
    <x v="0"/>
    <x v="5"/>
    <x v="5"/>
    <x v="2"/>
    <x v="2"/>
    <x v="2"/>
    <x v="17"/>
    <x v="17"/>
    <n v="0.40351999999999999"/>
    <x v="0"/>
    <x v="0"/>
    <x v="0"/>
    <x v="0"/>
    <x v="4"/>
    <x v="17"/>
    <n v="0.43983680000000003"/>
  </r>
  <r>
    <x v="9"/>
    <x v="0"/>
    <x v="9"/>
    <x v="9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9"/>
    <x v="0"/>
    <x v="9"/>
    <x v="9"/>
    <x v="0"/>
    <x v="0"/>
    <x v="0"/>
    <x v="0"/>
    <x v="2"/>
    <x v="2"/>
    <x v="5"/>
    <x v="5"/>
    <x v="3"/>
    <x v="7"/>
    <x v="7"/>
    <x v="40"/>
    <x v="40"/>
    <n v="2.8678599999999999"/>
    <x v="1"/>
    <x v="2"/>
    <x v="5"/>
    <x v="7"/>
    <x v="11"/>
    <x v="22"/>
    <n v="3.1259674"/>
  </r>
  <r>
    <x v="9"/>
    <x v="0"/>
    <x v="9"/>
    <x v="9"/>
    <x v="0"/>
    <x v="0"/>
    <x v="0"/>
    <x v="0"/>
    <x v="2"/>
    <x v="2"/>
    <x v="5"/>
    <x v="5"/>
    <x v="1"/>
    <x v="8"/>
    <x v="8"/>
    <x v="40"/>
    <x v="40"/>
    <n v="2.2436600000000002"/>
    <x v="1"/>
    <x v="2"/>
    <x v="5"/>
    <x v="7"/>
    <x v="11"/>
    <x v="22"/>
    <n v="2.4455894000000002"/>
  </r>
  <r>
    <x v="9"/>
    <x v="0"/>
    <x v="9"/>
    <x v="9"/>
    <x v="0"/>
    <x v="0"/>
    <x v="0"/>
    <x v="0"/>
    <x v="2"/>
    <x v="2"/>
    <x v="5"/>
    <x v="5"/>
    <x v="2"/>
    <x v="10"/>
    <x v="10"/>
    <x v="40"/>
    <x v="40"/>
    <n v="0.46450000000000002"/>
    <x v="1"/>
    <x v="2"/>
    <x v="5"/>
    <x v="7"/>
    <x v="11"/>
    <x v="22"/>
    <n v="0.50630500000000012"/>
  </r>
  <r>
    <x v="9"/>
    <x v="0"/>
    <x v="9"/>
    <x v="9"/>
    <x v="0"/>
    <x v="0"/>
    <x v="0"/>
    <x v="0"/>
    <x v="2"/>
    <x v="2"/>
    <x v="5"/>
    <x v="5"/>
    <x v="4"/>
    <x v="5"/>
    <x v="5"/>
    <x v="40"/>
    <x v="40"/>
    <n v="77.679839999999999"/>
    <x v="1"/>
    <x v="2"/>
    <x v="5"/>
    <x v="7"/>
    <x v="11"/>
    <x v="22"/>
    <n v="84.671025600000007"/>
  </r>
  <r>
    <x v="9"/>
    <x v="0"/>
    <x v="9"/>
    <x v="9"/>
    <x v="0"/>
    <x v="0"/>
    <x v="0"/>
    <x v="0"/>
    <x v="2"/>
    <x v="2"/>
    <x v="6"/>
    <x v="6"/>
    <x v="2"/>
    <x v="2"/>
    <x v="2"/>
    <x v="40"/>
    <x v="40"/>
    <n v="0.1804"/>
    <x v="1"/>
    <x v="2"/>
    <x v="5"/>
    <x v="7"/>
    <x v="11"/>
    <x v="22"/>
    <n v="0.19663600000000003"/>
  </r>
  <r>
    <x v="9"/>
    <x v="0"/>
    <x v="9"/>
    <x v="9"/>
    <x v="0"/>
    <x v="0"/>
    <x v="0"/>
    <x v="0"/>
    <x v="2"/>
    <x v="2"/>
    <x v="7"/>
    <x v="7"/>
    <x v="2"/>
    <x v="2"/>
    <x v="2"/>
    <x v="40"/>
    <x v="40"/>
    <n v="9.2518399999999996"/>
    <x v="1"/>
    <x v="2"/>
    <x v="5"/>
    <x v="7"/>
    <x v="11"/>
    <x v="22"/>
    <n v="10.0845056"/>
  </r>
  <r>
    <x v="9"/>
    <x v="0"/>
    <x v="9"/>
    <x v="9"/>
    <x v="0"/>
    <x v="0"/>
    <x v="0"/>
    <x v="0"/>
    <x v="2"/>
    <x v="2"/>
    <x v="7"/>
    <x v="7"/>
    <x v="2"/>
    <x v="2"/>
    <x v="2"/>
    <x v="38"/>
    <x v="38"/>
    <n v="153.11000000000001"/>
    <x v="1"/>
    <x v="0"/>
    <x v="4"/>
    <x v="6"/>
    <x v="10"/>
    <x v="21"/>
    <n v="166.88990000000004"/>
  </r>
  <r>
    <x v="9"/>
    <x v="0"/>
    <x v="9"/>
    <x v="9"/>
    <x v="0"/>
    <x v="0"/>
    <x v="0"/>
    <x v="0"/>
    <x v="2"/>
    <x v="2"/>
    <x v="7"/>
    <x v="7"/>
    <x v="2"/>
    <x v="2"/>
    <x v="2"/>
    <x v="43"/>
    <x v="43"/>
    <n v="10.352679999999999"/>
    <x v="1"/>
    <x v="0"/>
    <x v="4"/>
    <x v="6"/>
    <x v="10"/>
    <x v="21"/>
    <n v="11.284421200000001"/>
  </r>
  <r>
    <x v="9"/>
    <x v="0"/>
    <x v="9"/>
    <x v="9"/>
    <x v="0"/>
    <x v="0"/>
    <x v="0"/>
    <x v="0"/>
    <x v="2"/>
    <x v="2"/>
    <x v="7"/>
    <x v="7"/>
    <x v="2"/>
    <x v="2"/>
    <x v="2"/>
    <x v="44"/>
    <x v="44"/>
    <n v="7.8111199999999998"/>
    <x v="1"/>
    <x v="0"/>
    <x v="4"/>
    <x v="6"/>
    <x v="10"/>
    <x v="21"/>
    <n v="8.5141208000000006"/>
  </r>
  <r>
    <x v="9"/>
    <x v="0"/>
    <x v="9"/>
    <x v="9"/>
    <x v="0"/>
    <x v="0"/>
    <x v="0"/>
    <x v="0"/>
    <x v="0"/>
    <x v="0"/>
    <x v="7"/>
    <x v="7"/>
    <x v="2"/>
    <x v="2"/>
    <x v="2"/>
    <x v="17"/>
    <x v="17"/>
    <n v="11.8756"/>
    <x v="0"/>
    <x v="0"/>
    <x v="0"/>
    <x v="0"/>
    <x v="4"/>
    <x v="17"/>
    <n v="12.944404000000002"/>
  </r>
  <r>
    <x v="9"/>
    <x v="0"/>
    <x v="9"/>
    <x v="9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9"/>
    <x v="0"/>
    <x v="9"/>
    <x v="9"/>
    <x v="0"/>
    <x v="0"/>
    <x v="0"/>
    <x v="0"/>
    <x v="2"/>
    <x v="2"/>
    <x v="7"/>
    <x v="7"/>
    <x v="2"/>
    <x v="2"/>
    <x v="2"/>
    <x v="46"/>
    <x v="46"/>
    <n v="0.22472"/>
    <x v="1"/>
    <x v="0"/>
    <x v="4"/>
    <x v="6"/>
    <x v="10"/>
    <x v="21"/>
    <n v="0.24494480000000002"/>
  </r>
  <r>
    <x v="9"/>
    <x v="0"/>
    <x v="9"/>
    <x v="9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9"/>
    <x v="0"/>
    <x v="9"/>
    <x v="9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9"/>
    <x v="0"/>
    <x v="9"/>
    <x v="9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9"/>
    <x v="0"/>
    <x v="9"/>
    <x v="9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9"/>
    <x v="0"/>
    <x v="9"/>
    <x v="9"/>
    <x v="0"/>
    <x v="0"/>
    <x v="0"/>
    <x v="0"/>
    <x v="2"/>
    <x v="2"/>
    <x v="7"/>
    <x v="7"/>
    <x v="3"/>
    <x v="7"/>
    <x v="7"/>
    <x v="40"/>
    <x v="40"/>
    <n v="85.456959999999995"/>
    <x v="1"/>
    <x v="2"/>
    <x v="5"/>
    <x v="7"/>
    <x v="11"/>
    <x v="22"/>
    <n v="93.148086399999997"/>
  </r>
  <r>
    <x v="9"/>
    <x v="0"/>
    <x v="9"/>
    <x v="9"/>
    <x v="0"/>
    <x v="0"/>
    <x v="0"/>
    <x v="0"/>
    <x v="2"/>
    <x v="2"/>
    <x v="7"/>
    <x v="7"/>
    <x v="1"/>
    <x v="8"/>
    <x v="8"/>
    <x v="40"/>
    <x v="40"/>
    <n v="8.3550400000000007"/>
    <x v="1"/>
    <x v="2"/>
    <x v="5"/>
    <x v="7"/>
    <x v="11"/>
    <x v="22"/>
    <n v="9.1069936000000009"/>
  </r>
  <r>
    <x v="9"/>
    <x v="0"/>
    <x v="9"/>
    <x v="9"/>
    <x v="0"/>
    <x v="0"/>
    <x v="0"/>
    <x v="0"/>
    <x v="2"/>
    <x v="2"/>
    <x v="7"/>
    <x v="7"/>
    <x v="2"/>
    <x v="10"/>
    <x v="10"/>
    <x v="40"/>
    <x v="40"/>
    <n v="1.5484199999999999"/>
    <x v="1"/>
    <x v="2"/>
    <x v="5"/>
    <x v="7"/>
    <x v="11"/>
    <x v="22"/>
    <n v="1.6877778000000001"/>
  </r>
  <r>
    <x v="9"/>
    <x v="0"/>
    <x v="9"/>
    <x v="9"/>
    <x v="0"/>
    <x v="0"/>
    <x v="0"/>
    <x v="0"/>
    <x v="2"/>
    <x v="2"/>
    <x v="7"/>
    <x v="7"/>
    <x v="4"/>
    <x v="5"/>
    <x v="5"/>
    <x v="40"/>
    <x v="40"/>
    <n v="68.067359999999994"/>
    <x v="1"/>
    <x v="2"/>
    <x v="5"/>
    <x v="7"/>
    <x v="11"/>
    <x v="22"/>
    <n v="74.193422400000003"/>
  </r>
  <r>
    <x v="9"/>
    <x v="0"/>
    <x v="9"/>
    <x v="9"/>
    <x v="0"/>
    <x v="0"/>
    <x v="0"/>
    <x v="0"/>
    <x v="2"/>
    <x v="2"/>
    <x v="8"/>
    <x v="8"/>
    <x v="2"/>
    <x v="2"/>
    <x v="2"/>
    <x v="40"/>
    <x v="40"/>
    <n v="2.2098399999999998"/>
    <x v="1"/>
    <x v="2"/>
    <x v="5"/>
    <x v="7"/>
    <x v="11"/>
    <x v="22"/>
    <n v="2.4087255999999999"/>
  </r>
  <r>
    <x v="9"/>
    <x v="0"/>
    <x v="9"/>
    <x v="9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9"/>
    <x v="0"/>
    <x v="9"/>
    <x v="9"/>
    <x v="0"/>
    <x v="0"/>
    <x v="0"/>
    <x v="0"/>
    <x v="2"/>
    <x v="2"/>
    <x v="9"/>
    <x v="9"/>
    <x v="2"/>
    <x v="2"/>
    <x v="2"/>
    <x v="40"/>
    <x v="40"/>
    <n v="65.655280000000005"/>
    <x v="1"/>
    <x v="2"/>
    <x v="5"/>
    <x v="7"/>
    <x v="11"/>
    <x v="22"/>
    <n v="71.564255200000005"/>
  </r>
  <r>
    <x v="9"/>
    <x v="0"/>
    <x v="9"/>
    <x v="9"/>
    <x v="0"/>
    <x v="0"/>
    <x v="0"/>
    <x v="0"/>
    <x v="2"/>
    <x v="2"/>
    <x v="9"/>
    <x v="9"/>
    <x v="2"/>
    <x v="2"/>
    <x v="2"/>
    <x v="38"/>
    <x v="38"/>
    <n v="704.84932000000003"/>
    <x v="1"/>
    <x v="0"/>
    <x v="4"/>
    <x v="6"/>
    <x v="10"/>
    <x v="21"/>
    <n v="768.28575880000005"/>
  </r>
  <r>
    <x v="9"/>
    <x v="0"/>
    <x v="9"/>
    <x v="9"/>
    <x v="0"/>
    <x v="0"/>
    <x v="0"/>
    <x v="0"/>
    <x v="2"/>
    <x v="2"/>
    <x v="9"/>
    <x v="9"/>
    <x v="2"/>
    <x v="2"/>
    <x v="2"/>
    <x v="48"/>
    <x v="48"/>
    <n v="0.24224000000000001"/>
    <x v="1"/>
    <x v="0"/>
    <x v="4"/>
    <x v="6"/>
    <x v="10"/>
    <x v="21"/>
    <n v="0.26404160000000004"/>
  </r>
  <r>
    <x v="9"/>
    <x v="0"/>
    <x v="9"/>
    <x v="9"/>
    <x v="0"/>
    <x v="0"/>
    <x v="0"/>
    <x v="0"/>
    <x v="2"/>
    <x v="2"/>
    <x v="9"/>
    <x v="9"/>
    <x v="1"/>
    <x v="6"/>
    <x v="6"/>
    <x v="40"/>
    <x v="40"/>
    <n v="31.774999999999999"/>
    <x v="1"/>
    <x v="2"/>
    <x v="5"/>
    <x v="7"/>
    <x v="11"/>
    <x v="22"/>
    <n v="34.634750000000004"/>
  </r>
  <r>
    <x v="9"/>
    <x v="0"/>
    <x v="9"/>
    <x v="9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9"/>
    <x v="0"/>
    <x v="9"/>
    <x v="9"/>
    <x v="0"/>
    <x v="0"/>
    <x v="0"/>
    <x v="0"/>
    <x v="2"/>
    <x v="2"/>
    <x v="9"/>
    <x v="9"/>
    <x v="3"/>
    <x v="7"/>
    <x v="7"/>
    <x v="40"/>
    <x v="40"/>
    <n v="438.53521999999998"/>
    <x v="1"/>
    <x v="2"/>
    <x v="5"/>
    <x v="7"/>
    <x v="11"/>
    <x v="22"/>
    <n v="478.00338980000004"/>
  </r>
  <r>
    <x v="9"/>
    <x v="0"/>
    <x v="9"/>
    <x v="9"/>
    <x v="0"/>
    <x v="0"/>
    <x v="0"/>
    <x v="0"/>
    <x v="2"/>
    <x v="2"/>
    <x v="9"/>
    <x v="9"/>
    <x v="1"/>
    <x v="8"/>
    <x v="8"/>
    <x v="40"/>
    <x v="40"/>
    <n v="120.10508"/>
    <x v="1"/>
    <x v="2"/>
    <x v="5"/>
    <x v="7"/>
    <x v="11"/>
    <x v="22"/>
    <n v="130.91453720000001"/>
  </r>
  <r>
    <x v="9"/>
    <x v="0"/>
    <x v="9"/>
    <x v="9"/>
    <x v="0"/>
    <x v="0"/>
    <x v="0"/>
    <x v="0"/>
    <x v="2"/>
    <x v="2"/>
    <x v="9"/>
    <x v="9"/>
    <x v="2"/>
    <x v="10"/>
    <x v="10"/>
    <x v="40"/>
    <x v="40"/>
    <n v="98.830240000000003"/>
    <x v="1"/>
    <x v="2"/>
    <x v="5"/>
    <x v="7"/>
    <x v="11"/>
    <x v="22"/>
    <n v="107.72496160000001"/>
  </r>
  <r>
    <x v="9"/>
    <x v="0"/>
    <x v="9"/>
    <x v="9"/>
    <x v="0"/>
    <x v="0"/>
    <x v="0"/>
    <x v="0"/>
    <x v="2"/>
    <x v="2"/>
    <x v="9"/>
    <x v="9"/>
    <x v="4"/>
    <x v="5"/>
    <x v="5"/>
    <x v="40"/>
    <x v="40"/>
    <n v="676.39178000000004"/>
    <x v="1"/>
    <x v="2"/>
    <x v="5"/>
    <x v="7"/>
    <x v="11"/>
    <x v="22"/>
    <n v="737.26704020000011"/>
  </r>
  <r>
    <x v="9"/>
    <x v="0"/>
    <x v="9"/>
    <x v="9"/>
    <x v="0"/>
    <x v="0"/>
    <x v="0"/>
    <x v="0"/>
    <x v="2"/>
    <x v="2"/>
    <x v="10"/>
    <x v="10"/>
    <x v="2"/>
    <x v="2"/>
    <x v="2"/>
    <x v="41"/>
    <x v="41"/>
    <n v="0.12689361702078999"/>
    <x v="1"/>
    <x v="2"/>
    <x v="5"/>
    <x v="7"/>
    <x v="11"/>
    <x v="22"/>
    <n v="0.13831404255266111"/>
  </r>
  <r>
    <x v="9"/>
    <x v="0"/>
    <x v="9"/>
    <x v="9"/>
    <x v="0"/>
    <x v="0"/>
    <x v="0"/>
    <x v="0"/>
    <x v="2"/>
    <x v="2"/>
    <x v="10"/>
    <x v="10"/>
    <x v="2"/>
    <x v="2"/>
    <x v="2"/>
    <x v="40"/>
    <x v="40"/>
    <n v="17.513760000000001"/>
    <x v="1"/>
    <x v="2"/>
    <x v="5"/>
    <x v="7"/>
    <x v="11"/>
    <x v="22"/>
    <n v="19.089998400000002"/>
  </r>
  <r>
    <x v="9"/>
    <x v="0"/>
    <x v="9"/>
    <x v="9"/>
    <x v="0"/>
    <x v="0"/>
    <x v="0"/>
    <x v="0"/>
    <x v="3"/>
    <x v="3"/>
    <x v="12"/>
    <x v="12"/>
    <x v="2"/>
    <x v="2"/>
    <x v="2"/>
    <x v="40"/>
    <x v="40"/>
    <n v="0.36096"/>
    <x v="1"/>
    <x v="2"/>
    <x v="5"/>
    <x v="7"/>
    <x v="11"/>
    <x v="22"/>
    <n v="0.39344640000000003"/>
  </r>
  <r>
    <x v="9"/>
    <x v="0"/>
    <x v="9"/>
    <x v="9"/>
    <x v="0"/>
    <x v="0"/>
    <x v="0"/>
    <x v="0"/>
    <x v="3"/>
    <x v="3"/>
    <x v="12"/>
    <x v="12"/>
    <x v="3"/>
    <x v="7"/>
    <x v="7"/>
    <x v="40"/>
    <x v="40"/>
    <n v="4.0581199999999997"/>
    <x v="1"/>
    <x v="2"/>
    <x v="5"/>
    <x v="7"/>
    <x v="11"/>
    <x v="22"/>
    <n v="4.4233507999999997"/>
  </r>
  <r>
    <x v="9"/>
    <x v="0"/>
    <x v="9"/>
    <x v="9"/>
    <x v="0"/>
    <x v="0"/>
    <x v="0"/>
    <x v="0"/>
    <x v="3"/>
    <x v="3"/>
    <x v="12"/>
    <x v="12"/>
    <x v="4"/>
    <x v="5"/>
    <x v="5"/>
    <x v="40"/>
    <x v="40"/>
    <n v="10.28736"/>
    <x v="1"/>
    <x v="2"/>
    <x v="5"/>
    <x v="7"/>
    <x v="11"/>
    <x v="22"/>
    <n v="11.213222400000001"/>
  </r>
  <r>
    <x v="9"/>
    <x v="0"/>
    <x v="9"/>
    <x v="9"/>
    <x v="0"/>
    <x v="0"/>
    <x v="0"/>
    <x v="0"/>
    <x v="3"/>
    <x v="3"/>
    <x v="13"/>
    <x v="13"/>
    <x v="2"/>
    <x v="2"/>
    <x v="2"/>
    <x v="41"/>
    <x v="41"/>
    <n v="0.11710638297827999"/>
    <x v="1"/>
    <x v="2"/>
    <x v="5"/>
    <x v="7"/>
    <x v="11"/>
    <x v="22"/>
    <n v="0.1276459574463252"/>
  </r>
  <r>
    <x v="9"/>
    <x v="0"/>
    <x v="9"/>
    <x v="9"/>
    <x v="0"/>
    <x v="0"/>
    <x v="0"/>
    <x v="0"/>
    <x v="3"/>
    <x v="3"/>
    <x v="13"/>
    <x v="13"/>
    <x v="2"/>
    <x v="2"/>
    <x v="2"/>
    <x v="40"/>
    <x v="40"/>
    <n v="10.903840000000001"/>
    <x v="1"/>
    <x v="2"/>
    <x v="5"/>
    <x v="7"/>
    <x v="11"/>
    <x v="22"/>
    <n v="11.885185600000002"/>
  </r>
  <r>
    <x v="9"/>
    <x v="0"/>
    <x v="9"/>
    <x v="9"/>
    <x v="0"/>
    <x v="0"/>
    <x v="0"/>
    <x v="0"/>
    <x v="3"/>
    <x v="3"/>
    <x v="13"/>
    <x v="13"/>
    <x v="2"/>
    <x v="2"/>
    <x v="2"/>
    <x v="12"/>
    <x v="12"/>
    <n v="17.6303255813284"/>
    <x v="0"/>
    <x v="0"/>
    <x v="0"/>
    <x v="0"/>
    <x v="8"/>
    <x v="12"/>
    <n v="19.217054883647958"/>
  </r>
  <r>
    <x v="9"/>
    <x v="0"/>
    <x v="9"/>
    <x v="9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9"/>
    <x v="0"/>
    <x v="9"/>
    <x v="9"/>
    <x v="0"/>
    <x v="0"/>
    <x v="0"/>
    <x v="0"/>
    <x v="3"/>
    <x v="3"/>
    <x v="13"/>
    <x v="13"/>
    <x v="1"/>
    <x v="8"/>
    <x v="8"/>
    <x v="40"/>
    <x v="40"/>
    <n v="1.70736"/>
    <x v="1"/>
    <x v="2"/>
    <x v="5"/>
    <x v="7"/>
    <x v="11"/>
    <x v="22"/>
    <n v="1.8610224000000002"/>
  </r>
  <r>
    <x v="9"/>
    <x v="0"/>
    <x v="9"/>
    <x v="9"/>
    <x v="0"/>
    <x v="0"/>
    <x v="0"/>
    <x v="0"/>
    <x v="3"/>
    <x v="3"/>
    <x v="13"/>
    <x v="13"/>
    <x v="4"/>
    <x v="5"/>
    <x v="5"/>
    <x v="40"/>
    <x v="40"/>
    <n v="0.79823999999999995"/>
    <x v="1"/>
    <x v="2"/>
    <x v="5"/>
    <x v="7"/>
    <x v="11"/>
    <x v="22"/>
    <n v="0.87008160000000001"/>
  </r>
  <r>
    <x v="9"/>
    <x v="0"/>
    <x v="9"/>
    <x v="9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9"/>
    <x v="0"/>
    <x v="9"/>
    <x v="9"/>
    <x v="0"/>
    <x v="0"/>
    <x v="0"/>
    <x v="0"/>
    <x v="2"/>
    <x v="2"/>
    <x v="14"/>
    <x v="14"/>
    <x v="2"/>
    <x v="2"/>
    <x v="2"/>
    <x v="40"/>
    <x v="40"/>
    <n v="3.8790399999999998"/>
    <x v="1"/>
    <x v="2"/>
    <x v="5"/>
    <x v="7"/>
    <x v="11"/>
    <x v="22"/>
    <n v="4.2281535999999997"/>
  </r>
  <r>
    <x v="9"/>
    <x v="0"/>
    <x v="9"/>
    <x v="9"/>
    <x v="0"/>
    <x v="0"/>
    <x v="0"/>
    <x v="0"/>
    <x v="2"/>
    <x v="2"/>
    <x v="15"/>
    <x v="15"/>
    <x v="0"/>
    <x v="4"/>
    <x v="4"/>
    <x v="40"/>
    <x v="40"/>
    <n v="8"/>
    <x v="1"/>
    <x v="2"/>
    <x v="5"/>
    <x v="7"/>
    <x v="11"/>
    <x v="22"/>
    <n v="8.7200000000000006"/>
  </r>
  <r>
    <x v="9"/>
    <x v="0"/>
    <x v="9"/>
    <x v="9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9"/>
    <x v="0"/>
    <x v="9"/>
    <x v="9"/>
    <x v="0"/>
    <x v="0"/>
    <x v="0"/>
    <x v="0"/>
    <x v="2"/>
    <x v="2"/>
    <x v="17"/>
    <x v="17"/>
    <x v="2"/>
    <x v="2"/>
    <x v="2"/>
    <x v="42"/>
    <x v="42"/>
    <n v="7.53864"/>
    <x v="1"/>
    <x v="2"/>
    <x v="5"/>
    <x v="7"/>
    <x v="11"/>
    <x v="22"/>
    <n v="8.2171175999999999"/>
  </r>
  <r>
    <x v="9"/>
    <x v="0"/>
    <x v="9"/>
    <x v="9"/>
    <x v="0"/>
    <x v="0"/>
    <x v="0"/>
    <x v="0"/>
    <x v="2"/>
    <x v="2"/>
    <x v="17"/>
    <x v="17"/>
    <x v="2"/>
    <x v="2"/>
    <x v="2"/>
    <x v="40"/>
    <x v="40"/>
    <n v="8.5484000000000009"/>
    <x v="1"/>
    <x v="2"/>
    <x v="5"/>
    <x v="7"/>
    <x v="11"/>
    <x v="22"/>
    <n v="9.317756000000001"/>
  </r>
  <r>
    <x v="9"/>
    <x v="0"/>
    <x v="9"/>
    <x v="9"/>
    <x v="0"/>
    <x v="0"/>
    <x v="0"/>
    <x v="0"/>
    <x v="2"/>
    <x v="2"/>
    <x v="17"/>
    <x v="17"/>
    <x v="2"/>
    <x v="2"/>
    <x v="2"/>
    <x v="38"/>
    <x v="38"/>
    <n v="33.361040000000003"/>
    <x v="1"/>
    <x v="0"/>
    <x v="4"/>
    <x v="6"/>
    <x v="10"/>
    <x v="21"/>
    <n v="36.363533600000004"/>
  </r>
  <r>
    <x v="9"/>
    <x v="0"/>
    <x v="9"/>
    <x v="9"/>
    <x v="0"/>
    <x v="0"/>
    <x v="0"/>
    <x v="0"/>
    <x v="2"/>
    <x v="2"/>
    <x v="17"/>
    <x v="17"/>
    <x v="3"/>
    <x v="7"/>
    <x v="7"/>
    <x v="40"/>
    <x v="40"/>
    <n v="13.96996"/>
    <x v="1"/>
    <x v="2"/>
    <x v="5"/>
    <x v="7"/>
    <x v="11"/>
    <x v="22"/>
    <n v="15.227256400000002"/>
  </r>
  <r>
    <x v="9"/>
    <x v="0"/>
    <x v="9"/>
    <x v="9"/>
    <x v="0"/>
    <x v="0"/>
    <x v="0"/>
    <x v="0"/>
    <x v="2"/>
    <x v="2"/>
    <x v="17"/>
    <x v="17"/>
    <x v="1"/>
    <x v="8"/>
    <x v="8"/>
    <x v="40"/>
    <x v="40"/>
    <n v="5.3582599999999996"/>
    <x v="1"/>
    <x v="2"/>
    <x v="5"/>
    <x v="7"/>
    <x v="11"/>
    <x v="22"/>
    <n v="5.8405034000000002"/>
  </r>
  <r>
    <x v="9"/>
    <x v="0"/>
    <x v="9"/>
    <x v="9"/>
    <x v="0"/>
    <x v="0"/>
    <x v="0"/>
    <x v="0"/>
    <x v="2"/>
    <x v="2"/>
    <x v="17"/>
    <x v="17"/>
    <x v="0"/>
    <x v="9"/>
    <x v="9"/>
    <x v="7"/>
    <x v="7"/>
    <n v="69.081012193312006"/>
    <x v="0"/>
    <x v="0"/>
    <x v="1"/>
    <x v="4"/>
    <x v="5"/>
    <x v="7"/>
    <n v="75.298303290710095"/>
  </r>
  <r>
    <x v="9"/>
    <x v="0"/>
    <x v="9"/>
    <x v="9"/>
    <x v="0"/>
    <x v="0"/>
    <x v="0"/>
    <x v="0"/>
    <x v="2"/>
    <x v="2"/>
    <x v="17"/>
    <x v="17"/>
    <x v="2"/>
    <x v="10"/>
    <x v="10"/>
    <x v="40"/>
    <x v="40"/>
    <n v="1.5484"/>
    <x v="1"/>
    <x v="2"/>
    <x v="5"/>
    <x v="7"/>
    <x v="11"/>
    <x v="22"/>
    <n v="1.687756"/>
  </r>
  <r>
    <x v="9"/>
    <x v="0"/>
    <x v="9"/>
    <x v="9"/>
    <x v="0"/>
    <x v="0"/>
    <x v="0"/>
    <x v="0"/>
    <x v="2"/>
    <x v="2"/>
    <x v="17"/>
    <x v="17"/>
    <x v="4"/>
    <x v="5"/>
    <x v="5"/>
    <x v="40"/>
    <x v="40"/>
    <n v="116.85212"/>
    <x v="1"/>
    <x v="2"/>
    <x v="5"/>
    <x v="7"/>
    <x v="11"/>
    <x v="22"/>
    <n v="127.36881080000001"/>
  </r>
  <r>
    <x v="9"/>
    <x v="0"/>
    <x v="9"/>
    <x v="9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9"/>
    <x v="0"/>
    <x v="9"/>
    <x v="9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9"/>
    <x v="0"/>
    <x v="9"/>
    <x v="9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9"/>
    <x v="0"/>
    <x v="9"/>
    <x v="9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9"/>
    <x v="0"/>
    <x v="9"/>
    <x v="9"/>
    <x v="0"/>
    <x v="1"/>
    <x v="0"/>
    <x v="0"/>
    <x v="0"/>
    <x v="0"/>
    <x v="2"/>
    <x v="2"/>
    <x v="2"/>
    <x v="2"/>
    <x v="2"/>
    <x v="2"/>
    <x v="2"/>
    <n v="202.94667889896101"/>
    <x v="0"/>
    <x v="1"/>
    <x v="2"/>
    <x v="2"/>
    <x v="13"/>
    <x v="2"/>
    <n v="221.21187999986751"/>
  </r>
  <r>
    <x v="9"/>
    <x v="0"/>
    <x v="9"/>
    <x v="9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9"/>
    <x v="0"/>
    <x v="9"/>
    <x v="9"/>
    <x v="0"/>
    <x v="1"/>
    <x v="0"/>
    <x v="0"/>
    <x v="0"/>
    <x v="0"/>
    <x v="0"/>
    <x v="0"/>
    <x v="3"/>
    <x v="3"/>
    <x v="3"/>
    <x v="8"/>
    <x v="8"/>
    <n v="119.11490540616801"/>
    <x v="0"/>
    <x v="1"/>
    <x v="2"/>
    <x v="2"/>
    <x v="6"/>
    <x v="8"/>
    <n v="129.83524689272315"/>
  </r>
  <r>
    <x v="9"/>
    <x v="0"/>
    <x v="9"/>
    <x v="9"/>
    <x v="0"/>
    <x v="1"/>
    <x v="0"/>
    <x v="0"/>
    <x v="0"/>
    <x v="0"/>
    <x v="0"/>
    <x v="0"/>
    <x v="3"/>
    <x v="3"/>
    <x v="3"/>
    <x v="9"/>
    <x v="9"/>
    <n v="25.560532110076402"/>
    <x v="0"/>
    <x v="0"/>
    <x v="1"/>
    <x v="4"/>
    <x v="5"/>
    <x v="9"/>
    <n v="27.860979999983279"/>
  </r>
  <r>
    <x v="9"/>
    <x v="0"/>
    <x v="9"/>
    <x v="9"/>
    <x v="0"/>
    <x v="1"/>
    <x v="0"/>
    <x v="0"/>
    <x v="0"/>
    <x v="0"/>
    <x v="0"/>
    <x v="0"/>
    <x v="3"/>
    <x v="3"/>
    <x v="3"/>
    <x v="11"/>
    <x v="11"/>
    <n v="523.88917000000004"/>
    <x v="0"/>
    <x v="0"/>
    <x v="3"/>
    <x v="5"/>
    <x v="7"/>
    <x v="11"/>
    <n v="571.03919530000007"/>
  </r>
  <r>
    <x v="9"/>
    <x v="0"/>
    <x v="9"/>
    <x v="9"/>
    <x v="0"/>
    <x v="1"/>
    <x v="0"/>
    <x v="0"/>
    <x v="0"/>
    <x v="0"/>
    <x v="0"/>
    <x v="0"/>
    <x v="3"/>
    <x v="3"/>
    <x v="3"/>
    <x v="12"/>
    <x v="12"/>
    <n v="102.030616278682"/>
    <x v="0"/>
    <x v="0"/>
    <x v="0"/>
    <x v="0"/>
    <x v="8"/>
    <x v="12"/>
    <n v="111.21337174376339"/>
  </r>
  <r>
    <x v="9"/>
    <x v="0"/>
    <x v="9"/>
    <x v="9"/>
    <x v="0"/>
    <x v="1"/>
    <x v="0"/>
    <x v="0"/>
    <x v="0"/>
    <x v="0"/>
    <x v="0"/>
    <x v="0"/>
    <x v="3"/>
    <x v="3"/>
    <x v="3"/>
    <x v="14"/>
    <x v="14"/>
    <n v="113.2962"/>
    <x v="0"/>
    <x v="0"/>
    <x v="0"/>
    <x v="0"/>
    <x v="8"/>
    <x v="14"/>
    <n v="123.49285800000001"/>
  </r>
  <r>
    <x v="9"/>
    <x v="0"/>
    <x v="9"/>
    <x v="9"/>
    <x v="0"/>
    <x v="1"/>
    <x v="0"/>
    <x v="0"/>
    <x v="0"/>
    <x v="0"/>
    <x v="0"/>
    <x v="0"/>
    <x v="3"/>
    <x v="3"/>
    <x v="3"/>
    <x v="16"/>
    <x v="16"/>
    <n v="405.11095999999998"/>
    <x v="0"/>
    <x v="0"/>
    <x v="3"/>
    <x v="5"/>
    <x v="9"/>
    <x v="16"/>
    <n v="441.57094640000003"/>
  </r>
  <r>
    <x v="9"/>
    <x v="0"/>
    <x v="9"/>
    <x v="9"/>
    <x v="0"/>
    <x v="1"/>
    <x v="0"/>
    <x v="0"/>
    <x v="0"/>
    <x v="0"/>
    <x v="0"/>
    <x v="0"/>
    <x v="3"/>
    <x v="3"/>
    <x v="3"/>
    <x v="24"/>
    <x v="24"/>
    <n v="0.10008256880728"/>
    <x v="0"/>
    <x v="0"/>
    <x v="1"/>
    <x v="3"/>
    <x v="3"/>
    <x v="4"/>
    <n v="0.10908999999993521"/>
  </r>
  <r>
    <x v="9"/>
    <x v="0"/>
    <x v="9"/>
    <x v="9"/>
    <x v="0"/>
    <x v="1"/>
    <x v="0"/>
    <x v="0"/>
    <x v="0"/>
    <x v="0"/>
    <x v="0"/>
    <x v="0"/>
    <x v="3"/>
    <x v="3"/>
    <x v="3"/>
    <x v="26"/>
    <x v="26"/>
    <n v="51.167073394464701"/>
    <x v="0"/>
    <x v="0"/>
    <x v="1"/>
    <x v="3"/>
    <x v="3"/>
    <x v="15"/>
    <n v="55.772109999966531"/>
  </r>
  <r>
    <x v="9"/>
    <x v="0"/>
    <x v="9"/>
    <x v="9"/>
    <x v="0"/>
    <x v="1"/>
    <x v="0"/>
    <x v="0"/>
    <x v="0"/>
    <x v="0"/>
    <x v="0"/>
    <x v="0"/>
    <x v="3"/>
    <x v="3"/>
    <x v="3"/>
    <x v="2"/>
    <x v="2"/>
    <n v="699.68253210967202"/>
    <x v="0"/>
    <x v="1"/>
    <x v="2"/>
    <x v="2"/>
    <x v="13"/>
    <x v="2"/>
    <n v="762.65395999954251"/>
  </r>
  <r>
    <x v="9"/>
    <x v="0"/>
    <x v="9"/>
    <x v="9"/>
    <x v="0"/>
    <x v="1"/>
    <x v="0"/>
    <x v="0"/>
    <x v="0"/>
    <x v="0"/>
    <x v="0"/>
    <x v="0"/>
    <x v="3"/>
    <x v="12"/>
    <x v="3"/>
    <x v="8"/>
    <x v="8"/>
    <n v="8057.2709730245397"/>
    <x v="0"/>
    <x v="1"/>
    <x v="2"/>
    <x v="2"/>
    <x v="6"/>
    <x v="8"/>
    <n v="8782.4253605967497"/>
  </r>
  <r>
    <x v="9"/>
    <x v="0"/>
    <x v="9"/>
    <x v="9"/>
    <x v="0"/>
    <x v="1"/>
    <x v="0"/>
    <x v="0"/>
    <x v="0"/>
    <x v="0"/>
    <x v="0"/>
    <x v="0"/>
    <x v="3"/>
    <x v="12"/>
    <x v="3"/>
    <x v="12"/>
    <x v="12"/>
    <n v="2523.4985116183202"/>
    <x v="0"/>
    <x v="0"/>
    <x v="0"/>
    <x v="0"/>
    <x v="8"/>
    <x v="12"/>
    <n v="2750.613377663969"/>
  </r>
  <r>
    <x v="9"/>
    <x v="0"/>
    <x v="9"/>
    <x v="9"/>
    <x v="0"/>
    <x v="1"/>
    <x v="0"/>
    <x v="0"/>
    <x v="0"/>
    <x v="0"/>
    <x v="0"/>
    <x v="0"/>
    <x v="3"/>
    <x v="12"/>
    <x v="3"/>
    <x v="2"/>
    <x v="2"/>
    <n v="7867.9590917384003"/>
    <x v="0"/>
    <x v="1"/>
    <x v="2"/>
    <x v="2"/>
    <x v="13"/>
    <x v="2"/>
    <n v="8576.0754099948572"/>
  </r>
  <r>
    <x v="9"/>
    <x v="0"/>
    <x v="9"/>
    <x v="9"/>
    <x v="0"/>
    <x v="1"/>
    <x v="0"/>
    <x v="0"/>
    <x v="0"/>
    <x v="0"/>
    <x v="0"/>
    <x v="0"/>
    <x v="0"/>
    <x v="4"/>
    <x v="4"/>
    <x v="6"/>
    <x v="6"/>
    <n v="19.890499999999999"/>
    <x v="0"/>
    <x v="0"/>
    <x v="0"/>
    <x v="0"/>
    <x v="4"/>
    <x v="6"/>
    <n v="21.680645000000002"/>
  </r>
  <r>
    <x v="9"/>
    <x v="0"/>
    <x v="9"/>
    <x v="9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9"/>
    <x v="0"/>
    <x v="9"/>
    <x v="9"/>
    <x v="0"/>
    <x v="1"/>
    <x v="0"/>
    <x v="0"/>
    <x v="0"/>
    <x v="0"/>
    <x v="0"/>
    <x v="0"/>
    <x v="0"/>
    <x v="4"/>
    <x v="4"/>
    <x v="8"/>
    <x v="8"/>
    <n v="85.844986487035897"/>
    <x v="0"/>
    <x v="1"/>
    <x v="2"/>
    <x v="2"/>
    <x v="6"/>
    <x v="8"/>
    <n v="93.571035270869132"/>
  </r>
  <r>
    <x v="9"/>
    <x v="0"/>
    <x v="9"/>
    <x v="9"/>
    <x v="0"/>
    <x v="1"/>
    <x v="0"/>
    <x v="0"/>
    <x v="0"/>
    <x v="0"/>
    <x v="0"/>
    <x v="0"/>
    <x v="0"/>
    <x v="4"/>
    <x v="4"/>
    <x v="9"/>
    <x v="9"/>
    <n v="66.085697247666801"/>
    <x v="0"/>
    <x v="0"/>
    <x v="1"/>
    <x v="4"/>
    <x v="5"/>
    <x v="9"/>
    <n v="72.033409999956817"/>
  </r>
  <r>
    <x v="9"/>
    <x v="0"/>
    <x v="9"/>
    <x v="9"/>
    <x v="0"/>
    <x v="1"/>
    <x v="0"/>
    <x v="0"/>
    <x v="0"/>
    <x v="0"/>
    <x v="0"/>
    <x v="0"/>
    <x v="0"/>
    <x v="4"/>
    <x v="4"/>
    <x v="28"/>
    <x v="28"/>
    <n v="19.869350000000001"/>
    <x v="0"/>
    <x v="0"/>
    <x v="1"/>
    <x v="3"/>
    <x v="3"/>
    <x v="13"/>
    <n v="21.657591500000002"/>
  </r>
  <r>
    <x v="9"/>
    <x v="0"/>
    <x v="9"/>
    <x v="9"/>
    <x v="0"/>
    <x v="1"/>
    <x v="0"/>
    <x v="0"/>
    <x v="0"/>
    <x v="0"/>
    <x v="0"/>
    <x v="0"/>
    <x v="0"/>
    <x v="4"/>
    <x v="4"/>
    <x v="29"/>
    <x v="29"/>
    <n v="69.011930000000007"/>
    <x v="0"/>
    <x v="0"/>
    <x v="1"/>
    <x v="3"/>
    <x v="3"/>
    <x v="13"/>
    <n v="75.223003700000007"/>
  </r>
  <r>
    <x v="9"/>
    <x v="0"/>
    <x v="9"/>
    <x v="9"/>
    <x v="0"/>
    <x v="1"/>
    <x v="0"/>
    <x v="0"/>
    <x v="0"/>
    <x v="0"/>
    <x v="0"/>
    <x v="0"/>
    <x v="0"/>
    <x v="4"/>
    <x v="4"/>
    <x v="80"/>
    <x v="80"/>
    <n v="43.434862385294998"/>
    <x v="0"/>
    <x v="0"/>
    <x v="1"/>
    <x v="4"/>
    <x v="5"/>
    <x v="10"/>
    <n v="47.343999999971551"/>
  </r>
  <r>
    <x v="9"/>
    <x v="0"/>
    <x v="9"/>
    <x v="9"/>
    <x v="0"/>
    <x v="1"/>
    <x v="0"/>
    <x v="0"/>
    <x v="0"/>
    <x v="0"/>
    <x v="0"/>
    <x v="0"/>
    <x v="0"/>
    <x v="4"/>
    <x v="4"/>
    <x v="11"/>
    <x v="11"/>
    <n v="22.684470000000001"/>
    <x v="0"/>
    <x v="0"/>
    <x v="3"/>
    <x v="5"/>
    <x v="7"/>
    <x v="11"/>
    <n v="24.726072300000002"/>
  </r>
  <r>
    <x v="9"/>
    <x v="0"/>
    <x v="9"/>
    <x v="9"/>
    <x v="0"/>
    <x v="1"/>
    <x v="0"/>
    <x v="0"/>
    <x v="0"/>
    <x v="0"/>
    <x v="0"/>
    <x v="0"/>
    <x v="0"/>
    <x v="4"/>
    <x v="4"/>
    <x v="12"/>
    <x v="12"/>
    <n v="812.00009302016997"/>
    <x v="0"/>
    <x v="0"/>
    <x v="0"/>
    <x v="0"/>
    <x v="8"/>
    <x v="12"/>
    <n v="885.08010139198529"/>
  </r>
  <r>
    <x v="9"/>
    <x v="0"/>
    <x v="9"/>
    <x v="9"/>
    <x v="0"/>
    <x v="1"/>
    <x v="0"/>
    <x v="0"/>
    <x v="0"/>
    <x v="0"/>
    <x v="0"/>
    <x v="0"/>
    <x v="0"/>
    <x v="4"/>
    <x v="4"/>
    <x v="14"/>
    <x v="14"/>
    <n v="285.83026999999998"/>
    <x v="0"/>
    <x v="0"/>
    <x v="0"/>
    <x v="0"/>
    <x v="8"/>
    <x v="14"/>
    <n v="311.55499430000003"/>
  </r>
  <r>
    <x v="9"/>
    <x v="0"/>
    <x v="9"/>
    <x v="9"/>
    <x v="0"/>
    <x v="1"/>
    <x v="0"/>
    <x v="0"/>
    <x v="0"/>
    <x v="0"/>
    <x v="0"/>
    <x v="0"/>
    <x v="0"/>
    <x v="4"/>
    <x v="4"/>
    <x v="16"/>
    <x v="16"/>
    <n v="1476.5237299999999"/>
    <x v="0"/>
    <x v="0"/>
    <x v="3"/>
    <x v="5"/>
    <x v="9"/>
    <x v="16"/>
    <n v="1609.4108656999999"/>
  </r>
  <r>
    <x v="9"/>
    <x v="0"/>
    <x v="9"/>
    <x v="9"/>
    <x v="0"/>
    <x v="1"/>
    <x v="0"/>
    <x v="0"/>
    <x v="0"/>
    <x v="0"/>
    <x v="0"/>
    <x v="0"/>
    <x v="0"/>
    <x v="4"/>
    <x v="4"/>
    <x v="24"/>
    <x v="24"/>
    <n v="53.807073394463103"/>
    <x v="0"/>
    <x v="0"/>
    <x v="1"/>
    <x v="3"/>
    <x v="3"/>
    <x v="4"/>
    <n v="58.649709999964784"/>
  </r>
  <r>
    <x v="9"/>
    <x v="0"/>
    <x v="9"/>
    <x v="9"/>
    <x v="0"/>
    <x v="1"/>
    <x v="0"/>
    <x v="0"/>
    <x v="0"/>
    <x v="0"/>
    <x v="0"/>
    <x v="0"/>
    <x v="0"/>
    <x v="4"/>
    <x v="4"/>
    <x v="18"/>
    <x v="18"/>
    <n v="0.59"/>
    <x v="0"/>
    <x v="0"/>
    <x v="0"/>
    <x v="0"/>
    <x v="4"/>
    <x v="18"/>
    <n v="0.6431"/>
  </r>
  <r>
    <x v="9"/>
    <x v="0"/>
    <x v="9"/>
    <x v="9"/>
    <x v="0"/>
    <x v="1"/>
    <x v="0"/>
    <x v="0"/>
    <x v="0"/>
    <x v="0"/>
    <x v="0"/>
    <x v="0"/>
    <x v="0"/>
    <x v="4"/>
    <x v="4"/>
    <x v="79"/>
    <x v="79"/>
    <n v="67.889908256840002"/>
    <x v="0"/>
    <x v="0"/>
    <x v="1"/>
    <x v="4"/>
    <x v="5"/>
    <x v="10"/>
    <n v="73.999999999955605"/>
  </r>
  <r>
    <x v="9"/>
    <x v="0"/>
    <x v="9"/>
    <x v="9"/>
    <x v="0"/>
    <x v="1"/>
    <x v="0"/>
    <x v="0"/>
    <x v="0"/>
    <x v="0"/>
    <x v="0"/>
    <x v="0"/>
    <x v="0"/>
    <x v="4"/>
    <x v="4"/>
    <x v="26"/>
    <x v="26"/>
    <n v="970.82766972418801"/>
    <x v="0"/>
    <x v="0"/>
    <x v="1"/>
    <x v="3"/>
    <x v="3"/>
    <x v="15"/>
    <n v="1058.202159999365"/>
  </r>
  <r>
    <x v="9"/>
    <x v="0"/>
    <x v="9"/>
    <x v="9"/>
    <x v="0"/>
    <x v="1"/>
    <x v="0"/>
    <x v="0"/>
    <x v="0"/>
    <x v="0"/>
    <x v="0"/>
    <x v="0"/>
    <x v="0"/>
    <x v="4"/>
    <x v="4"/>
    <x v="1"/>
    <x v="1"/>
    <n v="510.33931034202101"/>
    <x v="0"/>
    <x v="0"/>
    <x v="1"/>
    <x v="1"/>
    <x v="1"/>
    <x v="1"/>
    <n v="556.26984827280296"/>
  </r>
  <r>
    <x v="9"/>
    <x v="0"/>
    <x v="9"/>
    <x v="9"/>
    <x v="0"/>
    <x v="1"/>
    <x v="0"/>
    <x v="0"/>
    <x v="0"/>
    <x v="0"/>
    <x v="0"/>
    <x v="0"/>
    <x v="0"/>
    <x v="4"/>
    <x v="4"/>
    <x v="20"/>
    <x v="20"/>
    <n v="151.32289"/>
    <x v="0"/>
    <x v="0"/>
    <x v="1"/>
    <x v="3"/>
    <x v="3"/>
    <x v="13"/>
    <n v="164.94195010000001"/>
  </r>
  <r>
    <x v="9"/>
    <x v="0"/>
    <x v="9"/>
    <x v="9"/>
    <x v="0"/>
    <x v="1"/>
    <x v="0"/>
    <x v="0"/>
    <x v="0"/>
    <x v="0"/>
    <x v="0"/>
    <x v="0"/>
    <x v="0"/>
    <x v="4"/>
    <x v="4"/>
    <x v="2"/>
    <x v="2"/>
    <n v="3963.8988348600101"/>
    <x v="0"/>
    <x v="1"/>
    <x v="2"/>
    <x v="2"/>
    <x v="13"/>
    <x v="2"/>
    <n v="4320.6497299974117"/>
  </r>
  <r>
    <x v="9"/>
    <x v="0"/>
    <x v="9"/>
    <x v="9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9"/>
    <x v="0"/>
    <x v="9"/>
    <x v="9"/>
    <x v="0"/>
    <x v="1"/>
    <x v="0"/>
    <x v="0"/>
    <x v="0"/>
    <x v="0"/>
    <x v="0"/>
    <x v="0"/>
    <x v="0"/>
    <x v="0"/>
    <x v="0"/>
    <x v="6"/>
    <x v="6"/>
    <n v="69.095190000000002"/>
    <x v="0"/>
    <x v="0"/>
    <x v="0"/>
    <x v="0"/>
    <x v="4"/>
    <x v="6"/>
    <n v="75.313757100000004"/>
  </r>
  <r>
    <x v="9"/>
    <x v="0"/>
    <x v="9"/>
    <x v="9"/>
    <x v="0"/>
    <x v="1"/>
    <x v="0"/>
    <x v="0"/>
    <x v="0"/>
    <x v="0"/>
    <x v="0"/>
    <x v="0"/>
    <x v="0"/>
    <x v="0"/>
    <x v="0"/>
    <x v="7"/>
    <x v="7"/>
    <n v="30.918862385302599"/>
    <x v="0"/>
    <x v="0"/>
    <x v="1"/>
    <x v="4"/>
    <x v="5"/>
    <x v="7"/>
    <n v="33.701559999979835"/>
  </r>
  <r>
    <x v="9"/>
    <x v="0"/>
    <x v="9"/>
    <x v="9"/>
    <x v="0"/>
    <x v="1"/>
    <x v="0"/>
    <x v="0"/>
    <x v="0"/>
    <x v="0"/>
    <x v="0"/>
    <x v="0"/>
    <x v="0"/>
    <x v="0"/>
    <x v="0"/>
    <x v="8"/>
    <x v="8"/>
    <n v="5260.0777905742098"/>
    <x v="0"/>
    <x v="1"/>
    <x v="2"/>
    <x v="2"/>
    <x v="6"/>
    <x v="8"/>
    <n v="5733.4847917258894"/>
  </r>
  <r>
    <x v="9"/>
    <x v="0"/>
    <x v="9"/>
    <x v="9"/>
    <x v="0"/>
    <x v="1"/>
    <x v="0"/>
    <x v="0"/>
    <x v="0"/>
    <x v="0"/>
    <x v="0"/>
    <x v="0"/>
    <x v="0"/>
    <x v="0"/>
    <x v="0"/>
    <x v="9"/>
    <x v="9"/>
    <n v="110.394392338355"/>
    <x v="0"/>
    <x v="0"/>
    <x v="1"/>
    <x v="4"/>
    <x v="5"/>
    <x v="9"/>
    <n v="120.32988764880696"/>
  </r>
  <r>
    <x v="9"/>
    <x v="0"/>
    <x v="9"/>
    <x v="9"/>
    <x v="0"/>
    <x v="1"/>
    <x v="0"/>
    <x v="0"/>
    <x v="0"/>
    <x v="0"/>
    <x v="0"/>
    <x v="0"/>
    <x v="0"/>
    <x v="0"/>
    <x v="0"/>
    <x v="10"/>
    <x v="10"/>
    <n v="123.067502973321"/>
    <x v="0"/>
    <x v="0"/>
    <x v="1"/>
    <x v="4"/>
    <x v="5"/>
    <x v="10"/>
    <n v="134.14357824091991"/>
  </r>
  <r>
    <x v="9"/>
    <x v="0"/>
    <x v="9"/>
    <x v="9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9"/>
    <x v="0"/>
    <x v="9"/>
    <x v="9"/>
    <x v="0"/>
    <x v="1"/>
    <x v="0"/>
    <x v="0"/>
    <x v="0"/>
    <x v="0"/>
    <x v="0"/>
    <x v="0"/>
    <x v="0"/>
    <x v="0"/>
    <x v="0"/>
    <x v="11"/>
    <x v="11"/>
    <n v="16.158239999999999"/>
    <x v="0"/>
    <x v="0"/>
    <x v="3"/>
    <x v="5"/>
    <x v="7"/>
    <x v="11"/>
    <n v="17.612481599999999"/>
  </r>
  <r>
    <x v="9"/>
    <x v="0"/>
    <x v="9"/>
    <x v="9"/>
    <x v="0"/>
    <x v="1"/>
    <x v="0"/>
    <x v="0"/>
    <x v="0"/>
    <x v="0"/>
    <x v="0"/>
    <x v="0"/>
    <x v="0"/>
    <x v="0"/>
    <x v="0"/>
    <x v="12"/>
    <x v="12"/>
    <n v="591.90284883495997"/>
    <x v="0"/>
    <x v="0"/>
    <x v="0"/>
    <x v="0"/>
    <x v="8"/>
    <x v="12"/>
    <n v="645.17410523010642"/>
  </r>
  <r>
    <x v="9"/>
    <x v="0"/>
    <x v="9"/>
    <x v="9"/>
    <x v="0"/>
    <x v="1"/>
    <x v="0"/>
    <x v="0"/>
    <x v="0"/>
    <x v="0"/>
    <x v="0"/>
    <x v="0"/>
    <x v="0"/>
    <x v="0"/>
    <x v="0"/>
    <x v="14"/>
    <x v="14"/>
    <n v="229.84415000000001"/>
    <x v="0"/>
    <x v="0"/>
    <x v="0"/>
    <x v="0"/>
    <x v="8"/>
    <x v="14"/>
    <n v="250.53012350000003"/>
  </r>
  <r>
    <x v="9"/>
    <x v="0"/>
    <x v="9"/>
    <x v="9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9"/>
    <x v="0"/>
    <x v="9"/>
    <x v="9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9"/>
    <x v="0"/>
    <x v="9"/>
    <x v="9"/>
    <x v="0"/>
    <x v="1"/>
    <x v="0"/>
    <x v="0"/>
    <x v="0"/>
    <x v="0"/>
    <x v="0"/>
    <x v="0"/>
    <x v="0"/>
    <x v="0"/>
    <x v="0"/>
    <x v="24"/>
    <x v="24"/>
    <n v="12.7615045871483"/>
    <x v="0"/>
    <x v="0"/>
    <x v="1"/>
    <x v="3"/>
    <x v="3"/>
    <x v="4"/>
    <n v="13.910039999991648"/>
  </r>
  <r>
    <x v="9"/>
    <x v="0"/>
    <x v="9"/>
    <x v="9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9"/>
    <x v="0"/>
    <x v="9"/>
    <x v="9"/>
    <x v="0"/>
    <x v="1"/>
    <x v="0"/>
    <x v="0"/>
    <x v="0"/>
    <x v="0"/>
    <x v="0"/>
    <x v="0"/>
    <x v="0"/>
    <x v="0"/>
    <x v="0"/>
    <x v="21"/>
    <x v="21"/>
    <n v="16.463064220173599"/>
    <x v="0"/>
    <x v="0"/>
    <x v="1"/>
    <x v="4"/>
    <x v="5"/>
    <x v="10"/>
    <n v="17.944739999989224"/>
  </r>
  <r>
    <x v="9"/>
    <x v="0"/>
    <x v="9"/>
    <x v="9"/>
    <x v="0"/>
    <x v="1"/>
    <x v="0"/>
    <x v="0"/>
    <x v="0"/>
    <x v="0"/>
    <x v="0"/>
    <x v="0"/>
    <x v="0"/>
    <x v="0"/>
    <x v="0"/>
    <x v="18"/>
    <x v="18"/>
    <n v="48.509889999999999"/>
    <x v="0"/>
    <x v="0"/>
    <x v="0"/>
    <x v="0"/>
    <x v="4"/>
    <x v="18"/>
    <n v="52.8757801"/>
  </r>
  <r>
    <x v="9"/>
    <x v="0"/>
    <x v="9"/>
    <x v="9"/>
    <x v="0"/>
    <x v="1"/>
    <x v="0"/>
    <x v="0"/>
    <x v="0"/>
    <x v="0"/>
    <x v="0"/>
    <x v="0"/>
    <x v="0"/>
    <x v="0"/>
    <x v="0"/>
    <x v="25"/>
    <x v="25"/>
    <n v="108.738348623788"/>
    <x v="0"/>
    <x v="0"/>
    <x v="1"/>
    <x v="4"/>
    <x v="5"/>
    <x v="9"/>
    <n v="118.52479999992893"/>
  </r>
  <r>
    <x v="9"/>
    <x v="0"/>
    <x v="9"/>
    <x v="9"/>
    <x v="0"/>
    <x v="1"/>
    <x v="0"/>
    <x v="0"/>
    <x v="0"/>
    <x v="0"/>
    <x v="0"/>
    <x v="0"/>
    <x v="0"/>
    <x v="0"/>
    <x v="0"/>
    <x v="78"/>
    <x v="78"/>
    <n v="5.3810091743086996"/>
    <x v="0"/>
    <x v="0"/>
    <x v="1"/>
    <x v="4"/>
    <x v="5"/>
    <x v="9"/>
    <n v="5.8652999999964832"/>
  </r>
  <r>
    <x v="9"/>
    <x v="0"/>
    <x v="9"/>
    <x v="9"/>
    <x v="0"/>
    <x v="1"/>
    <x v="0"/>
    <x v="0"/>
    <x v="0"/>
    <x v="0"/>
    <x v="0"/>
    <x v="0"/>
    <x v="0"/>
    <x v="0"/>
    <x v="0"/>
    <x v="26"/>
    <x v="26"/>
    <n v="261.334669724614"/>
    <x v="0"/>
    <x v="0"/>
    <x v="1"/>
    <x v="3"/>
    <x v="3"/>
    <x v="15"/>
    <n v="284.85478999982928"/>
  </r>
  <r>
    <x v="9"/>
    <x v="0"/>
    <x v="9"/>
    <x v="9"/>
    <x v="0"/>
    <x v="1"/>
    <x v="0"/>
    <x v="0"/>
    <x v="0"/>
    <x v="0"/>
    <x v="0"/>
    <x v="0"/>
    <x v="0"/>
    <x v="0"/>
    <x v="0"/>
    <x v="0"/>
    <x v="0"/>
    <n v="15.8677553380339"/>
    <x v="0"/>
    <x v="0"/>
    <x v="0"/>
    <x v="0"/>
    <x v="0"/>
    <x v="0"/>
    <n v="17.295853318456953"/>
  </r>
  <r>
    <x v="9"/>
    <x v="0"/>
    <x v="9"/>
    <x v="9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9"/>
    <x v="0"/>
    <x v="9"/>
    <x v="9"/>
    <x v="0"/>
    <x v="1"/>
    <x v="0"/>
    <x v="0"/>
    <x v="0"/>
    <x v="0"/>
    <x v="0"/>
    <x v="0"/>
    <x v="0"/>
    <x v="0"/>
    <x v="0"/>
    <x v="2"/>
    <x v="2"/>
    <n v="13337.7475779736"/>
    <x v="0"/>
    <x v="1"/>
    <x v="2"/>
    <x v="2"/>
    <x v="13"/>
    <x v="2"/>
    <n v="14538.144859991226"/>
  </r>
  <r>
    <x v="9"/>
    <x v="0"/>
    <x v="9"/>
    <x v="9"/>
    <x v="0"/>
    <x v="1"/>
    <x v="0"/>
    <x v="0"/>
    <x v="0"/>
    <x v="0"/>
    <x v="0"/>
    <x v="0"/>
    <x v="0"/>
    <x v="0"/>
    <x v="0"/>
    <x v="3"/>
    <x v="3"/>
    <n v="0.22474137929282001"/>
    <x v="0"/>
    <x v="0"/>
    <x v="1"/>
    <x v="3"/>
    <x v="3"/>
    <x v="3"/>
    <n v="0.24496810342917383"/>
  </r>
  <r>
    <x v="9"/>
    <x v="0"/>
    <x v="9"/>
    <x v="9"/>
    <x v="0"/>
    <x v="1"/>
    <x v="0"/>
    <x v="0"/>
    <x v="0"/>
    <x v="0"/>
    <x v="0"/>
    <x v="0"/>
    <x v="1"/>
    <x v="1"/>
    <x v="1"/>
    <x v="4"/>
    <x v="4"/>
    <n v="33.533724770622101"/>
    <x v="0"/>
    <x v="0"/>
    <x v="1"/>
    <x v="3"/>
    <x v="3"/>
    <x v="4"/>
    <n v="36.551759999978096"/>
  </r>
  <r>
    <x v="9"/>
    <x v="0"/>
    <x v="9"/>
    <x v="9"/>
    <x v="0"/>
    <x v="1"/>
    <x v="0"/>
    <x v="0"/>
    <x v="0"/>
    <x v="0"/>
    <x v="0"/>
    <x v="0"/>
    <x v="1"/>
    <x v="1"/>
    <x v="1"/>
    <x v="5"/>
    <x v="5"/>
    <n v="90.992269939341895"/>
    <x v="0"/>
    <x v="0"/>
    <x v="1"/>
    <x v="1"/>
    <x v="1"/>
    <x v="5"/>
    <n v="99.181574233882671"/>
  </r>
  <r>
    <x v="9"/>
    <x v="0"/>
    <x v="9"/>
    <x v="9"/>
    <x v="0"/>
    <x v="1"/>
    <x v="0"/>
    <x v="0"/>
    <x v="0"/>
    <x v="0"/>
    <x v="0"/>
    <x v="0"/>
    <x v="1"/>
    <x v="1"/>
    <x v="1"/>
    <x v="6"/>
    <x v="6"/>
    <n v="305.07198"/>
    <x v="0"/>
    <x v="0"/>
    <x v="0"/>
    <x v="0"/>
    <x v="4"/>
    <x v="6"/>
    <n v="332.52845820000005"/>
  </r>
  <r>
    <x v="9"/>
    <x v="0"/>
    <x v="9"/>
    <x v="9"/>
    <x v="0"/>
    <x v="1"/>
    <x v="0"/>
    <x v="0"/>
    <x v="0"/>
    <x v="0"/>
    <x v="0"/>
    <x v="0"/>
    <x v="1"/>
    <x v="1"/>
    <x v="1"/>
    <x v="7"/>
    <x v="7"/>
    <n v="30.918862385302599"/>
    <x v="0"/>
    <x v="0"/>
    <x v="1"/>
    <x v="4"/>
    <x v="5"/>
    <x v="7"/>
    <n v="33.701559999979835"/>
  </r>
  <r>
    <x v="9"/>
    <x v="0"/>
    <x v="9"/>
    <x v="9"/>
    <x v="0"/>
    <x v="1"/>
    <x v="0"/>
    <x v="0"/>
    <x v="0"/>
    <x v="0"/>
    <x v="0"/>
    <x v="0"/>
    <x v="1"/>
    <x v="1"/>
    <x v="1"/>
    <x v="8"/>
    <x v="8"/>
    <n v="546.98843243593296"/>
    <x v="0"/>
    <x v="1"/>
    <x v="2"/>
    <x v="2"/>
    <x v="6"/>
    <x v="8"/>
    <n v="596.21739135516702"/>
  </r>
  <r>
    <x v="9"/>
    <x v="0"/>
    <x v="9"/>
    <x v="9"/>
    <x v="0"/>
    <x v="1"/>
    <x v="0"/>
    <x v="0"/>
    <x v="0"/>
    <x v="0"/>
    <x v="0"/>
    <x v="0"/>
    <x v="1"/>
    <x v="1"/>
    <x v="1"/>
    <x v="9"/>
    <x v="9"/>
    <n v="196.41970907234301"/>
    <x v="0"/>
    <x v="0"/>
    <x v="1"/>
    <x v="4"/>
    <x v="5"/>
    <x v="9"/>
    <n v="214.0974828888539"/>
  </r>
  <r>
    <x v="9"/>
    <x v="0"/>
    <x v="9"/>
    <x v="9"/>
    <x v="0"/>
    <x v="1"/>
    <x v="0"/>
    <x v="0"/>
    <x v="0"/>
    <x v="0"/>
    <x v="0"/>
    <x v="0"/>
    <x v="1"/>
    <x v="1"/>
    <x v="1"/>
    <x v="10"/>
    <x v="10"/>
    <n v="57.720630901393697"/>
    <x v="0"/>
    <x v="0"/>
    <x v="1"/>
    <x v="4"/>
    <x v="5"/>
    <x v="10"/>
    <n v="62.915487682519135"/>
  </r>
  <r>
    <x v="9"/>
    <x v="0"/>
    <x v="9"/>
    <x v="9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9"/>
    <x v="0"/>
    <x v="9"/>
    <x v="9"/>
    <x v="0"/>
    <x v="1"/>
    <x v="0"/>
    <x v="0"/>
    <x v="0"/>
    <x v="0"/>
    <x v="0"/>
    <x v="0"/>
    <x v="1"/>
    <x v="1"/>
    <x v="1"/>
    <x v="11"/>
    <x v="11"/>
    <n v="76.299170000000004"/>
    <x v="0"/>
    <x v="0"/>
    <x v="3"/>
    <x v="5"/>
    <x v="7"/>
    <x v="11"/>
    <n v="83.166095300000009"/>
  </r>
  <r>
    <x v="9"/>
    <x v="0"/>
    <x v="9"/>
    <x v="9"/>
    <x v="0"/>
    <x v="1"/>
    <x v="0"/>
    <x v="0"/>
    <x v="0"/>
    <x v="0"/>
    <x v="0"/>
    <x v="0"/>
    <x v="1"/>
    <x v="1"/>
    <x v="1"/>
    <x v="12"/>
    <x v="12"/>
    <n v="1970.97579069018"/>
    <x v="0"/>
    <x v="0"/>
    <x v="0"/>
    <x v="0"/>
    <x v="8"/>
    <x v="12"/>
    <n v="2148.3636118522963"/>
  </r>
  <r>
    <x v="9"/>
    <x v="0"/>
    <x v="9"/>
    <x v="9"/>
    <x v="0"/>
    <x v="1"/>
    <x v="0"/>
    <x v="0"/>
    <x v="0"/>
    <x v="0"/>
    <x v="0"/>
    <x v="0"/>
    <x v="1"/>
    <x v="1"/>
    <x v="1"/>
    <x v="14"/>
    <x v="14"/>
    <n v="352.43074999999999"/>
    <x v="0"/>
    <x v="0"/>
    <x v="0"/>
    <x v="0"/>
    <x v="8"/>
    <x v="14"/>
    <n v="384.1495175"/>
  </r>
  <r>
    <x v="9"/>
    <x v="0"/>
    <x v="9"/>
    <x v="9"/>
    <x v="0"/>
    <x v="1"/>
    <x v="0"/>
    <x v="0"/>
    <x v="0"/>
    <x v="0"/>
    <x v="0"/>
    <x v="0"/>
    <x v="1"/>
    <x v="1"/>
    <x v="1"/>
    <x v="15"/>
    <x v="15"/>
    <n v="0.56284403669690997"/>
    <x v="0"/>
    <x v="0"/>
    <x v="1"/>
    <x v="3"/>
    <x v="3"/>
    <x v="15"/>
    <n v="0.6134999999996319"/>
  </r>
  <r>
    <x v="9"/>
    <x v="0"/>
    <x v="9"/>
    <x v="9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9"/>
    <x v="0"/>
    <x v="9"/>
    <x v="9"/>
    <x v="0"/>
    <x v="1"/>
    <x v="0"/>
    <x v="0"/>
    <x v="0"/>
    <x v="0"/>
    <x v="0"/>
    <x v="0"/>
    <x v="1"/>
    <x v="1"/>
    <x v="1"/>
    <x v="16"/>
    <x v="16"/>
    <n v="710.24176999999997"/>
    <x v="0"/>
    <x v="0"/>
    <x v="3"/>
    <x v="5"/>
    <x v="9"/>
    <x v="16"/>
    <n v="774.16352930000005"/>
  </r>
  <r>
    <x v="9"/>
    <x v="0"/>
    <x v="9"/>
    <x v="9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9"/>
    <x v="0"/>
    <x v="9"/>
    <x v="9"/>
    <x v="0"/>
    <x v="1"/>
    <x v="0"/>
    <x v="0"/>
    <x v="0"/>
    <x v="0"/>
    <x v="0"/>
    <x v="0"/>
    <x v="1"/>
    <x v="1"/>
    <x v="1"/>
    <x v="24"/>
    <x v="24"/>
    <n v="36.036880733923297"/>
    <x v="0"/>
    <x v="0"/>
    <x v="1"/>
    <x v="3"/>
    <x v="3"/>
    <x v="4"/>
    <n v="39.280199999976396"/>
  </r>
  <r>
    <x v="9"/>
    <x v="0"/>
    <x v="9"/>
    <x v="9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9"/>
    <x v="0"/>
    <x v="9"/>
    <x v="9"/>
    <x v="0"/>
    <x v="1"/>
    <x v="0"/>
    <x v="0"/>
    <x v="0"/>
    <x v="0"/>
    <x v="0"/>
    <x v="0"/>
    <x v="1"/>
    <x v="1"/>
    <x v="1"/>
    <x v="18"/>
    <x v="18"/>
    <n v="58.784649999999999"/>
    <x v="0"/>
    <x v="0"/>
    <x v="0"/>
    <x v="0"/>
    <x v="4"/>
    <x v="18"/>
    <n v="64.075268500000007"/>
  </r>
  <r>
    <x v="9"/>
    <x v="0"/>
    <x v="9"/>
    <x v="9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9"/>
    <x v="0"/>
    <x v="9"/>
    <x v="9"/>
    <x v="0"/>
    <x v="1"/>
    <x v="0"/>
    <x v="0"/>
    <x v="0"/>
    <x v="0"/>
    <x v="0"/>
    <x v="0"/>
    <x v="1"/>
    <x v="1"/>
    <x v="1"/>
    <x v="78"/>
    <x v="78"/>
    <n v="3.3652844036677099"/>
    <x v="0"/>
    <x v="0"/>
    <x v="1"/>
    <x v="4"/>
    <x v="5"/>
    <x v="9"/>
    <n v="3.6681599999978038"/>
  </r>
  <r>
    <x v="9"/>
    <x v="0"/>
    <x v="9"/>
    <x v="9"/>
    <x v="0"/>
    <x v="1"/>
    <x v="0"/>
    <x v="0"/>
    <x v="0"/>
    <x v="0"/>
    <x v="0"/>
    <x v="0"/>
    <x v="1"/>
    <x v="1"/>
    <x v="1"/>
    <x v="26"/>
    <x v="26"/>
    <n v="437.26314678872802"/>
    <x v="0"/>
    <x v="0"/>
    <x v="1"/>
    <x v="3"/>
    <x v="3"/>
    <x v="15"/>
    <n v="476.61682999971356"/>
  </r>
  <r>
    <x v="9"/>
    <x v="0"/>
    <x v="9"/>
    <x v="9"/>
    <x v="0"/>
    <x v="1"/>
    <x v="0"/>
    <x v="0"/>
    <x v="0"/>
    <x v="0"/>
    <x v="0"/>
    <x v="0"/>
    <x v="1"/>
    <x v="1"/>
    <x v="1"/>
    <x v="0"/>
    <x v="0"/>
    <n v="17.445505338029399"/>
    <x v="0"/>
    <x v="0"/>
    <x v="0"/>
    <x v="0"/>
    <x v="0"/>
    <x v="0"/>
    <n v="19.015600818452047"/>
  </r>
  <r>
    <x v="9"/>
    <x v="0"/>
    <x v="9"/>
    <x v="9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9"/>
    <x v="0"/>
    <x v="9"/>
    <x v="9"/>
    <x v="0"/>
    <x v="1"/>
    <x v="0"/>
    <x v="0"/>
    <x v="0"/>
    <x v="0"/>
    <x v="0"/>
    <x v="0"/>
    <x v="1"/>
    <x v="1"/>
    <x v="1"/>
    <x v="2"/>
    <x v="2"/>
    <n v="886.26516513708305"/>
    <x v="0"/>
    <x v="1"/>
    <x v="2"/>
    <x v="2"/>
    <x v="13"/>
    <x v="2"/>
    <n v="966.02902999942057"/>
  </r>
  <r>
    <x v="9"/>
    <x v="0"/>
    <x v="9"/>
    <x v="9"/>
    <x v="0"/>
    <x v="1"/>
    <x v="0"/>
    <x v="0"/>
    <x v="0"/>
    <x v="0"/>
    <x v="0"/>
    <x v="0"/>
    <x v="1"/>
    <x v="1"/>
    <x v="1"/>
    <x v="3"/>
    <x v="3"/>
    <n v="16.073273397761099"/>
    <x v="0"/>
    <x v="0"/>
    <x v="1"/>
    <x v="3"/>
    <x v="3"/>
    <x v="3"/>
    <n v="17.519868003559598"/>
  </r>
  <r>
    <x v="9"/>
    <x v="0"/>
    <x v="9"/>
    <x v="9"/>
    <x v="0"/>
    <x v="1"/>
    <x v="0"/>
    <x v="0"/>
    <x v="0"/>
    <x v="0"/>
    <x v="0"/>
    <x v="0"/>
    <x v="2"/>
    <x v="2"/>
    <x v="2"/>
    <x v="4"/>
    <x v="4"/>
    <n v="41.097055045846901"/>
    <x v="0"/>
    <x v="0"/>
    <x v="1"/>
    <x v="3"/>
    <x v="3"/>
    <x v="4"/>
    <n v="44.795789999973124"/>
  </r>
  <r>
    <x v="9"/>
    <x v="0"/>
    <x v="9"/>
    <x v="9"/>
    <x v="0"/>
    <x v="1"/>
    <x v="0"/>
    <x v="0"/>
    <x v="0"/>
    <x v="0"/>
    <x v="0"/>
    <x v="0"/>
    <x v="2"/>
    <x v="2"/>
    <x v="2"/>
    <x v="5"/>
    <x v="5"/>
    <n v="84.932361963835703"/>
    <x v="0"/>
    <x v="0"/>
    <x v="1"/>
    <x v="1"/>
    <x v="1"/>
    <x v="5"/>
    <n v="92.576274540580926"/>
  </r>
  <r>
    <x v="9"/>
    <x v="0"/>
    <x v="9"/>
    <x v="9"/>
    <x v="0"/>
    <x v="1"/>
    <x v="0"/>
    <x v="0"/>
    <x v="0"/>
    <x v="0"/>
    <x v="0"/>
    <x v="0"/>
    <x v="2"/>
    <x v="2"/>
    <x v="2"/>
    <x v="6"/>
    <x v="6"/>
    <n v="419.17093"/>
    <x v="0"/>
    <x v="0"/>
    <x v="0"/>
    <x v="0"/>
    <x v="4"/>
    <x v="6"/>
    <n v="456.89631370000001"/>
  </r>
  <r>
    <x v="9"/>
    <x v="0"/>
    <x v="9"/>
    <x v="9"/>
    <x v="0"/>
    <x v="1"/>
    <x v="0"/>
    <x v="0"/>
    <x v="0"/>
    <x v="0"/>
    <x v="0"/>
    <x v="0"/>
    <x v="2"/>
    <x v="2"/>
    <x v="2"/>
    <x v="7"/>
    <x v="7"/>
    <n v="21.444642201821999"/>
    <x v="0"/>
    <x v="0"/>
    <x v="1"/>
    <x v="4"/>
    <x v="5"/>
    <x v="7"/>
    <n v="23.37465999998598"/>
  </r>
  <r>
    <x v="9"/>
    <x v="0"/>
    <x v="9"/>
    <x v="9"/>
    <x v="0"/>
    <x v="1"/>
    <x v="0"/>
    <x v="0"/>
    <x v="0"/>
    <x v="0"/>
    <x v="0"/>
    <x v="0"/>
    <x v="2"/>
    <x v="2"/>
    <x v="2"/>
    <x v="8"/>
    <x v="8"/>
    <n v="4132.1959797561803"/>
    <x v="0"/>
    <x v="1"/>
    <x v="2"/>
    <x v="2"/>
    <x v="6"/>
    <x v="8"/>
    <n v="4504.093617934237"/>
  </r>
  <r>
    <x v="9"/>
    <x v="0"/>
    <x v="9"/>
    <x v="9"/>
    <x v="0"/>
    <x v="1"/>
    <x v="0"/>
    <x v="0"/>
    <x v="0"/>
    <x v="0"/>
    <x v="0"/>
    <x v="0"/>
    <x v="2"/>
    <x v="2"/>
    <x v="2"/>
    <x v="9"/>
    <x v="9"/>
    <n v="120.476522935708"/>
    <x v="0"/>
    <x v="0"/>
    <x v="1"/>
    <x v="4"/>
    <x v="5"/>
    <x v="9"/>
    <n v="131.31940999992173"/>
  </r>
  <r>
    <x v="9"/>
    <x v="0"/>
    <x v="9"/>
    <x v="9"/>
    <x v="0"/>
    <x v="1"/>
    <x v="0"/>
    <x v="0"/>
    <x v="0"/>
    <x v="0"/>
    <x v="0"/>
    <x v="0"/>
    <x v="2"/>
    <x v="2"/>
    <x v="2"/>
    <x v="28"/>
    <x v="28"/>
    <n v="15.308999999999999"/>
    <x v="0"/>
    <x v="0"/>
    <x v="1"/>
    <x v="3"/>
    <x v="3"/>
    <x v="13"/>
    <n v="16.686810000000001"/>
  </r>
  <r>
    <x v="9"/>
    <x v="0"/>
    <x v="9"/>
    <x v="9"/>
    <x v="0"/>
    <x v="1"/>
    <x v="0"/>
    <x v="0"/>
    <x v="0"/>
    <x v="0"/>
    <x v="0"/>
    <x v="0"/>
    <x v="2"/>
    <x v="2"/>
    <x v="2"/>
    <x v="29"/>
    <x v="29"/>
    <n v="58.301200000000001"/>
    <x v="0"/>
    <x v="0"/>
    <x v="1"/>
    <x v="3"/>
    <x v="3"/>
    <x v="13"/>
    <n v="63.548308000000006"/>
  </r>
  <r>
    <x v="9"/>
    <x v="0"/>
    <x v="9"/>
    <x v="9"/>
    <x v="0"/>
    <x v="1"/>
    <x v="0"/>
    <x v="0"/>
    <x v="0"/>
    <x v="0"/>
    <x v="0"/>
    <x v="0"/>
    <x v="2"/>
    <x v="2"/>
    <x v="2"/>
    <x v="30"/>
    <x v="30"/>
    <n v="55.064123655693699"/>
    <x v="0"/>
    <x v="0"/>
    <x v="0"/>
    <x v="0"/>
    <x v="0"/>
    <x v="0"/>
    <n v="60.019894784706139"/>
  </r>
  <r>
    <x v="9"/>
    <x v="0"/>
    <x v="9"/>
    <x v="9"/>
    <x v="0"/>
    <x v="1"/>
    <x v="0"/>
    <x v="0"/>
    <x v="0"/>
    <x v="0"/>
    <x v="0"/>
    <x v="0"/>
    <x v="2"/>
    <x v="2"/>
    <x v="2"/>
    <x v="80"/>
    <x v="80"/>
    <n v="6.3165137614641003"/>
    <x v="0"/>
    <x v="0"/>
    <x v="1"/>
    <x v="4"/>
    <x v="5"/>
    <x v="10"/>
    <n v="6.8849999999958698"/>
  </r>
  <r>
    <x v="9"/>
    <x v="0"/>
    <x v="9"/>
    <x v="9"/>
    <x v="0"/>
    <x v="1"/>
    <x v="0"/>
    <x v="0"/>
    <x v="0"/>
    <x v="0"/>
    <x v="0"/>
    <x v="0"/>
    <x v="2"/>
    <x v="2"/>
    <x v="2"/>
    <x v="31"/>
    <x v="31"/>
    <n v="1.6366788990815899"/>
    <x v="0"/>
    <x v="0"/>
    <x v="1"/>
    <x v="4"/>
    <x v="5"/>
    <x v="10"/>
    <n v="1.7839799999989332"/>
  </r>
  <r>
    <x v="9"/>
    <x v="0"/>
    <x v="9"/>
    <x v="9"/>
    <x v="0"/>
    <x v="1"/>
    <x v="0"/>
    <x v="0"/>
    <x v="0"/>
    <x v="0"/>
    <x v="0"/>
    <x v="0"/>
    <x v="2"/>
    <x v="2"/>
    <x v="2"/>
    <x v="11"/>
    <x v="11"/>
    <n v="358.61315000000002"/>
    <x v="0"/>
    <x v="0"/>
    <x v="3"/>
    <x v="5"/>
    <x v="7"/>
    <x v="11"/>
    <n v="390.88833350000004"/>
  </r>
  <r>
    <x v="9"/>
    <x v="0"/>
    <x v="9"/>
    <x v="9"/>
    <x v="0"/>
    <x v="1"/>
    <x v="0"/>
    <x v="0"/>
    <x v="0"/>
    <x v="0"/>
    <x v="0"/>
    <x v="0"/>
    <x v="2"/>
    <x v="2"/>
    <x v="2"/>
    <x v="88"/>
    <x v="88"/>
    <n v="9.8137981651317308"/>
    <x v="0"/>
    <x v="0"/>
    <x v="1"/>
    <x v="4"/>
    <x v="5"/>
    <x v="9"/>
    <n v="10.697039999993587"/>
  </r>
  <r>
    <x v="9"/>
    <x v="0"/>
    <x v="9"/>
    <x v="9"/>
    <x v="0"/>
    <x v="1"/>
    <x v="0"/>
    <x v="0"/>
    <x v="0"/>
    <x v="0"/>
    <x v="0"/>
    <x v="0"/>
    <x v="2"/>
    <x v="2"/>
    <x v="2"/>
    <x v="12"/>
    <x v="12"/>
    <n v="1315.17395348337"/>
    <x v="0"/>
    <x v="0"/>
    <x v="0"/>
    <x v="0"/>
    <x v="8"/>
    <x v="12"/>
    <n v="1433.5396092968736"/>
  </r>
  <r>
    <x v="9"/>
    <x v="0"/>
    <x v="9"/>
    <x v="9"/>
    <x v="0"/>
    <x v="1"/>
    <x v="0"/>
    <x v="0"/>
    <x v="0"/>
    <x v="0"/>
    <x v="0"/>
    <x v="0"/>
    <x v="2"/>
    <x v="2"/>
    <x v="2"/>
    <x v="32"/>
    <x v="32"/>
    <n v="0.15760401890896999"/>
    <x v="0"/>
    <x v="0"/>
    <x v="1"/>
    <x v="1"/>
    <x v="1"/>
    <x v="20"/>
    <n v="0.17178838061077731"/>
  </r>
  <r>
    <x v="9"/>
    <x v="0"/>
    <x v="9"/>
    <x v="9"/>
    <x v="0"/>
    <x v="1"/>
    <x v="0"/>
    <x v="0"/>
    <x v="0"/>
    <x v="0"/>
    <x v="0"/>
    <x v="0"/>
    <x v="2"/>
    <x v="2"/>
    <x v="2"/>
    <x v="14"/>
    <x v="14"/>
    <n v="663.95054000000005"/>
    <x v="0"/>
    <x v="0"/>
    <x v="0"/>
    <x v="0"/>
    <x v="8"/>
    <x v="14"/>
    <n v="723.70608860000016"/>
  </r>
  <r>
    <x v="9"/>
    <x v="0"/>
    <x v="9"/>
    <x v="9"/>
    <x v="0"/>
    <x v="1"/>
    <x v="0"/>
    <x v="0"/>
    <x v="0"/>
    <x v="0"/>
    <x v="0"/>
    <x v="0"/>
    <x v="2"/>
    <x v="2"/>
    <x v="2"/>
    <x v="16"/>
    <x v="16"/>
    <n v="524.34172000000001"/>
    <x v="0"/>
    <x v="0"/>
    <x v="3"/>
    <x v="5"/>
    <x v="9"/>
    <x v="16"/>
    <n v="571.53247480000005"/>
  </r>
  <r>
    <x v="9"/>
    <x v="0"/>
    <x v="9"/>
    <x v="9"/>
    <x v="0"/>
    <x v="1"/>
    <x v="0"/>
    <x v="0"/>
    <x v="0"/>
    <x v="0"/>
    <x v="0"/>
    <x v="0"/>
    <x v="2"/>
    <x v="2"/>
    <x v="2"/>
    <x v="24"/>
    <x v="24"/>
    <n v="82.508366972427595"/>
    <x v="0"/>
    <x v="0"/>
    <x v="1"/>
    <x v="3"/>
    <x v="3"/>
    <x v="4"/>
    <n v="89.934119999946091"/>
  </r>
  <r>
    <x v="9"/>
    <x v="0"/>
    <x v="9"/>
    <x v="9"/>
    <x v="0"/>
    <x v="1"/>
    <x v="0"/>
    <x v="0"/>
    <x v="0"/>
    <x v="0"/>
    <x v="0"/>
    <x v="0"/>
    <x v="2"/>
    <x v="2"/>
    <x v="2"/>
    <x v="17"/>
    <x v="17"/>
    <n v="179.12200999999999"/>
    <x v="0"/>
    <x v="0"/>
    <x v="0"/>
    <x v="0"/>
    <x v="4"/>
    <x v="17"/>
    <n v="195.2429909"/>
  </r>
  <r>
    <x v="9"/>
    <x v="0"/>
    <x v="9"/>
    <x v="9"/>
    <x v="0"/>
    <x v="1"/>
    <x v="0"/>
    <x v="0"/>
    <x v="0"/>
    <x v="0"/>
    <x v="0"/>
    <x v="0"/>
    <x v="2"/>
    <x v="2"/>
    <x v="2"/>
    <x v="21"/>
    <x v="21"/>
    <n v="19.0363302752179"/>
    <x v="0"/>
    <x v="0"/>
    <x v="1"/>
    <x v="4"/>
    <x v="5"/>
    <x v="10"/>
    <n v="20.749599999987513"/>
  </r>
  <r>
    <x v="9"/>
    <x v="0"/>
    <x v="9"/>
    <x v="9"/>
    <x v="0"/>
    <x v="1"/>
    <x v="0"/>
    <x v="0"/>
    <x v="0"/>
    <x v="0"/>
    <x v="0"/>
    <x v="0"/>
    <x v="2"/>
    <x v="2"/>
    <x v="2"/>
    <x v="18"/>
    <x v="18"/>
    <n v="175.60057"/>
    <x v="0"/>
    <x v="0"/>
    <x v="0"/>
    <x v="0"/>
    <x v="4"/>
    <x v="18"/>
    <n v="191.40462130000003"/>
  </r>
  <r>
    <x v="9"/>
    <x v="0"/>
    <x v="9"/>
    <x v="9"/>
    <x v="0"/>
    <x v="1"/>
    <x v="0"/>
    <x v="0"/>
    <x v="0"/>
    <x v="0"/>
    <x v="0"/>
    <x v="0"/>
    <x v="2"/>
    <x v="2"/>
    <x v="2"/>
    <x v="34"/>
    <x v="34"/>
    <n v="73.692757203987398"/>
    <x v="0"/>
    <x v="0"/>
    <x v="0"/>
    <x v="0"/>
    <x v="0"/>
    <x v="0"/>
    <n v="80.32510535234627"/>
  </r>
  <r>
    <x v="9"/>
    <x v="0"/>
    <x v="9"/>
    <x v="9"/>
    <x v="0"/>
    <x v="1"/>
    <x v="0"/>
    <x v="0"/>
    <x v="0"/>
    <x v="0"/>
    <x v="0"/>
    <x v="0"/>
    <x v="2"/>
    <x v="2"/>
    <x v="2"/>
    <x v="79"/>
    <x v="79"/>
    <n v="18.9082568807226"/>
    <x v="0"/>
    <x v="0"/>
    <x v="1"/>
    <x v="4"/>
    <x v="5"/>
    <x v="10"/>
    <n v="20.609999999987636"/>
  </r>
  <r>
    <x v="9"/>
    <x v="0"/>
    <x v="9"/>
    <x v="9"/>
    <x v="0"/>
    <x v="1"/>
    <x v="0"/>
    <x v="0"/>
    <x v="0"/>
    <x v="0"/>
    <x v="0"/>
    <x v="0"/>
    <x v="2"/>
    <x v="2"/>
    <x v="2"/>
    <x v="25"/>
    <x v="25"/>
    <n v="36.653779816491799"/>
    <x v="0"/>
    <x v="0"/>
    <x v="1"/>
    <x v="4"/>
    <x v="5"/>
    <x v="9"/>
    <n v="39.952619999976065"/>
  </r>
  <r>
    <x v="9"/>
    <x v="0"/>
    <x v="9"/>
    <x v="9"/>
    <x v="0"/>
    <x v="1"/>
    <x v="0"/>
    <x v="0"/>
    <x v="0"/>
    <x v="0"/>
    <x v="0"/>
    <x v="0"/>
    <x v="2"/>
    <x v="2"/>
    <x v="2"/>
    <x v="27"/>
    <x v="27"/>
    <n v="64.243324325686302"/>
    <x v="0"/>
    <x v="0"/>
    <x v="1"/>
    <x v="3"/>
    <x v="3"/>
    <x v="19"/>
    <n v="70.025223514998075"/>
  </r>
  <r>
    <x v="9"/>
    <x v="0"/>
    <x v="9"/>
    <x v="9"/>
    <x v="0"/>
    <x v="1"/>
    <x v="0"/>
    <x v="0"/>
    <x v="0"/>
    <x v="0"/>
    <x v="0"/>
    <x v="0"/>
    <x v="2"/>
    <x v="2"/>
    <x v="2"/>
    <x v="26"/>
    <x v="26"/>
    <n v="89.556954128386593"/>
    <x v="0"/>
    <x v="0"/>
    <x v="1"/>
    <x v="3"/>
    <x v="3"/>
    <x v="15"/>
    <n v="97.617079999941396"/>
  </r>
  <r>
    <x v="9"/>
    <x v="0"/>
    <x v="9"/>
    <x v="9"/>
    <x v="0"/>
    <x v="1"/>
    <x v="0"/>
    <x v="0"/>
    <x v="0"/>
    <x v="0"/>
    <x v="0"/>
    <x v="0"/>
    <x v="2"/>
    <x v="2"/>
    <x v="2"/>
    <x v="0"/>
    <x v="0"/>
    <n v="12.407285587153901"/>
    <x v="0"/>
    <x v="0"/>
    <x v="0"/>
    <x v="0"/>
    <x v="0"/>
    <x v="0"/>
    <n v="13.523941289997753"/>
  </r>
  <r>
    <x v="9"/>
    <x v="0"/>
    <x v="9"/>
    <x v="9"/>
    <x v="0"/>
    <x v="1"/>
    <x v="0"/>
    <x v="0"/>
    <x v="0"/>
    <x v="0"/>
    <x v="0"/>
    <x v="0"/>
    <x v="2"/>
    <x v="2"/>
    <x v="2"/>
    <x v="1"/>
    <x v="1"/>
    <n v="324.15739999821699"/>
    <x v="0"/>
    <x v="0"/>
    <x v="1"/>
    <x v="1"/>
    <x v="1"/>
    <x v="1"/>
    <n v="353.33156599805653"/>
  </r>
  <r>
    <x v="9"/>
    <x v="0"/>
    <x v="9"/>
    <x v="9"/>
    <x v="0"/>
    <x v="1"/>
    <x v="0"/>
    <x v="0"/>
    <x v="0"/>
    <x v="0"/>
    <x v="0"/>
    <x v="0"/>
    <x v="2"/>
    <x v="2"/>
    <x v="2"/>
    <x v="20"/>
    <x v="20"/>
    <n v="183.76042000000001"/>
    <x v="0"/>
    <x v="0"/>
    <x v="1"/>
    <x v="3"/>
    <x v="3"/>
    <x v="13"/>
    <n v="200.29885780000004"/>
  </r>
  <r>
    <x v="9"/>
    <x v="0"/>
    <x v="9"/>
    <x v="9"/>
    <x v="0"/>
    <x v="1"/>
    <x v="0"/>
    <x v="0"/>
    <x v="0"/>
    <x v="0"/>
    <x v="0"/>
    <x v="0"/>
    <x v="2"/>
    <x v="2"/>
    <x v="2"/>
    <x v="2"/>
    <x v="2"/>
    <n v="15734.9692660456"/>
    <x v="0"/>
    <x v="1"/>
    <x v="2"/>
    <x v="2"/>
    <x v="13"/>
    <x v="2"/>
    <n v="17151.116499989705"/>
  </r>
  <r>
    <x v="9"/>
    <x v="0"/>
    <x v="9"/>
    <x v="9"/>
    <x v="0"/>
    <x v="1"/>
    <x v="0"/>
    <x v="0"/>
    <x v="0"/>
    <x v="0"/>
    <x v="0"/>
    <x v="0"/>
    <x v="2"/>
    <x v="2"/>
    <x v="2"/>
    <x v="3"/>
    <x v="3"/>
    <n v="148.68915287854199"/>
    <x v="0"/>
    <x v="0"/>
    <x v="1"/>
    <x v="3"/>
    <x v="3"/>
    <x v="3"/>
    <n v="162.07117663761079"/>
  </r>
  <r>
    <x v="9"/>
    <x v="0"/>
    <x v="9"/>
    <x v="9"/>
    <x v="0"/>
    <x v="1"/>
    <x v="0"/>
    <x v="0"/>
    <x v="0"/>
    <x v="0"/>
    <x v="0"/>
    <x v="0"/>
    <x v="1"/>
    <x v="6"/>
    <x v="6"/>
    <x v="6"/>
    <x v="6"/>
    <n v="22.132000000000001"/>
    <x v="0"/>
    <x v="0"/>
    <x v="0"/>
    <x v="0"/>
    <x v="4"/>
    <x v="6"/>
    <n v="24.123880000000003"/>
  </r>
  <r>
    <x v="9"/>
    <x v="0"/>
    <x v="9"/>
    <x v="9"/>
    <x v="0"/>
    <x v="1"/>
    <x v="0"/>
    <x v="0"/>
    <x v="0"/>
    <x v="0"/>
    <x v="0"/>
    <x v="0"/>
    <x v="1"/>
    <x v="6"/>
    <x v="6"/>
    <x v="7"/>
    <x v="7"/>
    <n v="6.34516513761087"/>
    <x v="0"/>
    <x v="0"/>
    <x v="1"/>
    <x v="4"/>
    <x v="5"/>
    <x v="7"/>
    <n v="6.9162299999958492"/>
  </r>
  <r>
    <x v="9"/>
    <x v="0"/>
    <x v="9"/>
    <x v="9"/>
    <x v="0"/>
    <x v="1"/>
    <x v="0"/>
    <x v="0"/>
    <x v="0"/>
    <x v="0"/>
    <x v="0"/>
    <x v="0"/>
    <x v="1"/>
    <x v="6"/>
    <x v="6"/>
    <x v="8"/>
    <x v="8"/>
    <n v="165.72809459565499"/>
    <x v="0"/>
    <x v="1"/>
    <x v="2"/>
    <x v="2"/>
    <x v="6"/>
    <x v="8"/>
    <n v="180.64362310926396"/>
  </r>
  <r>
    <x v="9"/>
    <x v="0"/>
    <x v="9"/>
    <x v="9"/>
    <x v="0"/>
    <x v="1"/>
    <x v="0"/>
    <x v="0"/>
    <x v="0"/>
    <x v="0"/>
    <x v="0"/>
    <x v="0"/>
    <x v="1"/>
    <x v="6"/>
    <x v="6"/>
    <x v="9"/>
    <x v="9"/>
    <n v="16.274403669714999"/>
    <x v="0"/>
    <x v="0"/>
    <x v="1"/>
    <x v="4"/>
    <x v="5"/>
    <x v="9"/>
    <n v="17.739099999989349"/>
  </r>
  <r>
    <x v="9"/>
    <x v="0"/>
    <x v="9"/>
    <x v="9"/>
    <x v="0"/>
    <x v="1"/>
    <x v="0"/>
    <x v="0"/>
    <x v="0"/>
    <x v="0"/>
    <x v="0"/>
    <x v="0"/>
    <x v="1"/>
    <x v="6"/>
    <x v="6"/>
    <x v="28"/>
    <x v="28"/>
    <n v="1E-4"/>
    <x v="0"/>
    <x v="0"/>
    <x v="1"/>
    <x v="3"/>
    <x v="3"/>
    <x v="13"/>
    <n v="1.0900000000000001E-4"/>
  </r>
  <r>
    <x v="9"/>
    <x v="0"/>
    <x v="9"/>
    <x v="9"/>
    <x v="0"/>
    <x v="1"/>
    <x v="0"/>
    <x v="0"/>
    <x v="0"/>
    <x v="0"/>
    <x v="0"/>
    <x v="0"/>
    <x v="1"/>
    <x v="6"/>
    <x v="6"/>
    <x v="29"/>
    <x v="29"/>
    <n v="8.8408200000000008"/>
    <x v="0"/>
    <x v="0"/>
    <x v="1"/>
    <x v="3"/>
    <x v="3"/>
    <x v="13"/>
    <n v="9.636493800000002"/>
  </r>
  <r>
    <x v="9"/>
    <x v="0"/>
    <x v="9"/>
    <x v="9"/>
    <x v="0"/>
    <x v="1"/>
    <x v="0"/>
    <x v="0"/>
    <x v="0"/>
    <x v="0"/>
    <x v="0"/>
    <x v="0"/>
    <x v="1"/>
    <x v="6"/>
    <x v="6"/>
    <x v="11"/>
    <x v="11"/>
    <n v="64.967659999999995"/>
    <x v="0"/>
    <x v="0"/>
    <x v="3"/>
    <x v="5"/>
    <x v="7"/>
    <x v="11"/>
    <n v="70.814749399999997"/>
  </r>
  <r>
    <x v="9"/>
    <x v="0"/>
    <x v="9"/>
    <x v="9"/>
    <x v="0"/>
    <x v="1"/>
    <x v="0"/>
    <x v="0"/>
    <x v="0"/>
    <x v="0"/>
    <x v="0"/>
    <x v="0"/>
    <x v="1"/>
    <x v="6"/>
    <x v="6"/>
    <x v="12"/>
    <x v="12"/>
    <n v="330.63797674292999"/>
    <x v="0"/>
    <x v="0"/>
    <x v="0"/>
    <x v="0"/>
    <x v="8"/>
    <x v="12"/>
    <n v="360.39539464979373"/>
  </r>
  <r>
    <x v="9"/>
    <x v="0"/>
    <x v="9"/>
    <x v="9"/>
    <x v="0"/>
    <x v="1"/>
    <x v="0"/>
    <x v="0"/>
    <x v="0"/>
    <x v="0"/>
    <x v="0"/>
    <x v="0"/>
    <x v="1"/>
    <x v="6"/>
    <x v="6"/>
    <x v="14"/>
    <x v="14"/>
    <n v="170.58422999999999"/>
    <x v="0"/>
    <x v="0"/>
    <x v="0"/>
    <x v="0"/>
    <x v="8"/>
    <x v="14"/>
    <n v="185.9368107"/>
  </r>
  <r>
    <x v="9"/>
    <x v="0"/>
    <x v="9"/>
    <x v="9"/>
    <x v="0"/>
    <x v="1"/>
    <x v="0"/>
    <x v="0"/>
    <x v="0"/>
    <x v="0"/>
    <x v="0"/>
    <x v="0"/>
    <x v="1"/>
    <x v="6"/>
    <x v="6"/>
    <x v="16"/>
    <x v="16"/>
    <n v="581.00265999999999"/>
    <x v="0"/>
    <x v="0"/>
    <x v="3"/>
    <x v="5"/>
    <x v="9"/>
    <x v="16"/>
    <n v="633.29289940000001"/>
  </r>
  <r>
    <x v="9"/>
    <x v="0"/>
    <x v="9"/>
    <x v="9"/>
    <x v="0"/>
    <x v="1"/>
    <x v="0"/>
    <x v="0"/>
    <x v="0"/>
    <x v="0"/>
    <x v="0"/>
    <x v="0"/>
    <x v="1"/>
    <x v="6"/>
    <x v="6"/>
    <x v="24"/>
    <x v="24"/>
    <n v="8.8073486238479308"/>
    <x v="0"/>
    <x v="0"/>
    <x v="1"/>
    <x v="3"/>
    <x v="3"/>
    <x v="4"/>
    <n v="9.6000099999942456"/>
  </r>
  <r>
    <x v="9"/>
    <x v="0"/>
    <x v="9"/>
    <x v="9"/>
    <x v="0"/>
    <x v="1"/>
    <x v="0"/>
    <x v="0"/>
    <x v="0"/>
    <x v="0"/>
    <x v="0"/>
    <x v="0"/>
    <x v="1"/>
    <x v="6"/>
    <x v="6"/>
    <x v="27"/>
    <x v="27"/>
    <n v="9.2485630632591302"/>
    <x v="0"/>
    <x v="0"/>
    <x v="1"/>
    <x v="3"/>
    <x v="3"/>
    <x v="19"/>
    <n v="10.080933738952453"/>
  </r>
  <r>
    <x v="9"/>
    <x v="0"/>
    <x v="9"/>
    <x v="9"/>
    <x v="0"/>
    <x v="1"/>
    <x v="0"/>
    <x v="0"/>
    <x v="0"/>
    <x v="0"/>
    <x v="0"/>
    <x v="0"/>
    <x v="1"/>
    <x v="6"/>
    <x v="6"/>
    <x v="26"/>
    <x v="26"/>
    <n v="844.76358715545598"/>
    <x v="0"/>
    <x v="0"/>
    <x v="1"/>
    <x v="3"/>
    <x v="3"/>
    <x v="15"/>
    <n v="920.79230999944707"/>
  </r>
  <r>
    <x v="9"/>
    <x v="0"/>
    <x v="9"/>
    <x v="9"/>
    <x v="0"/>
    <x v="1"/>
    <x v="0"/>
    <x v="0"/>
    <x v="0"/>
    <x v="0"/>
    <x v="0"/>
    <x v="0"/>
    <x v="1"/>
    <x v="6"/>
    <x v="6"/>
    <x v="0"/>
    <x v="0"/>
    <n v="7.7096085409036803"/>
    <x v="0"/>
    <x v="0"/>
    <x v="0"/>
    <x v="0"/>
    <x v="0"/>
    <x v="0"/>
    <n v="8.4034733095850118"/>
  </r>
  <r>
    <x v="9"/>
    <x v="0"/>
    <x v="9"/>
    <x v="9"/>
    <x v="0"/>
    <x v="1"/>
    <x v="0"/>
    <x v="0"/>
    <x v="0"/>
    <x v="0"/>
    <x v="0"/>
    <x v="0"/>
    <x v="1"/>
    <x v="6"/>
    <x v="6"/>
    <x v="1"/>
    <x v="1"/>
    <n v="51.724137930749997"/>
    <x v="0"/>
    <x v="0"/>
    <x v="1"/>
    <x v="1"/>
    <x v="1"/>
    <x v="1"/>
    <n v="56.379310344517499"/>
  </r>
  <r>
    <x v="9"/>
    <x v="0"/>
    <x v="9"/>
    <x v="9"/>
    <x v="0"/>
    <x v="1"/>
    <x v="0"/>
    <x v="0"/>
    <x v="0"/>
    <x v="0"/>
    <x v="0"/>
    <x v="0"/>
    <x v="1"/>
    <x v="6"/>
    <x v="6"/>
    <x v="20"/>
    <x v="20"/>
    <n v="12.51333"/>
    <x v="0"/>
    <x v="0"/>
    <x v="1"/>
    <x v="3"/>
    <x v="3"/>
    <x v="13"/>
    <n v="13.639529700000001"/>
  </r>
  <r>
    <x v="9"/>
    <x v="0"/>
    <x v="9"/>
    <x v="9"/>
    <x v="0"/>
    <x v="1"/>
    <x v="0"/>
    <x v="0"/>
    <x v="0"/>
    <x v="0"/>
    <x v="0"/>
    <x v="0"/>
    <x v="1"/>
    <x v="6"/>
    <x v="6"/>
    <x v="2"/>
    <x v="2"/>
    <n v="1312.38702752215"/>
    <x v="0"/>
    <x v="1"/>
    <x v="2"/>
    <x v="2"/>
    <x v="13"/>
    <x v="2"/>
    <n v="1430.5018599991436"/>
  </r>
  <r>
    <x v="9"/>
    <x v="0"/>
    <x v="9"/>
    <x v="9"/>
    <x v="0"/>
    <x v="1"/>
    <x v="0"/>
    <x v="0"/>
    <x v="0"/>
    <x v="0"/>
    <x v="0"/>
    <x v="0"/>
    <x v="1"/>
    <x v="6"/>
    <x v="6"/>
    <x v="3"/>
    <x v="3"/>
    <n v="10.4274364523886"/>
    <x v="0"/>
    <x v="0"/>
    <x v="1"/>
    <x v="3"/>
    <x v="3"/>
    <x v="3"/>
    <n v="11.365905733103574"/>
  </r>
  <r>
    <x v="9"/>
    <x v="0"/>
    <x v="9"/>
    <x v="9"/>
    <x v="0"/>
    <x v="1"/>
    <x v="0"/>
    <x v="0"/>
    <x v="0"/>
    <x v="0"/>
    <x v="0"/>
    <x v="0"/>
    <x v="2"/>
    <x v="13"/>
    <x v="2"/>
    <x v="2"/>
    <x v="2"/>
    <n v="81.6990825687583"/>
    <x v="0"/>
    <x v="1"/>
    <x v="2"/>
    <x v="2"/>
    <x v="13"/>
    <x v="2"/>
    <n v="89.05199999994656"/>
  </r>
  <r>
    <x v="9"/>
    <x v="0"/>
    <x v="9"/>
    <x v="9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9"/>
    <x v="0"/>
    <x v="9"/>
    <x v="9"/>
    <x v="0"/>
    <x v="1"/>
    <x v="0"/>
    <x v="0"/>
    <x v="0"/>
    <x v="0"/>
    <x v="0"/>
    <x v="0"/>
    <x v="3"/>
    <x v="7"/>
    <x v="7"/>
    <x v="9"/>
    <x v="9"/>
    <n v="526.75087979660998"/>
    <x v="0"/>
    <x v="0"/>
    <x v="1"/>
    <x v="4"/>
    <x v="5"/>
    <x v="9"/>
    <n v="574.15845897830491"/>
  </r>
  <r>
    <x v="9"/>
    <x v="0"/>
    <x v="9"/>
    <x v="9"/>
    <x v="0"/>
    <x v="1"/>
    <x v="0"/>
    <x v="0"/>
    <x v="0"/>
    <x v="0"/>
    <x v="0"/>
    <x v="0"/>
    <x v="3"/>
    <x v="7"/>
    <x v="7"/>
    <x v="10"/>
    <x v="10"/>
    <n v="89.860149485263406"/>
    <x v="0"/>
    <x v="0"/>
    <x v="1"/>
    <x v="4"/>
    <x v="5"/>
    <x v="10"/>
    <n v="97.947562938937125"/>
  </r>
  <r>
    <x v="9"/>
    <x v="0"/>
    <x v="9"/>
    <x v="9"/>
    <x v="0"/>
    <x v="1"/>
    <x v="0"/>
    <x v="0"/>
    <x v="0"/>
    <x v="0"/>
    <x v="0"/>
    <x v="0"/>
    <x v="3"/>
    <x v="7"/>
    <x v="7"/>
    <x v="11"/>
    <x v="11"/>
    <n v="322.35041000000001"/>
    <x v="0"/>
    <x v="0"/>
    <x v="3"/>
    <x v="5"/>
    <x v="7"/>
    <x v="11"/>
    <n v="351.36194690000002"/>
  </r>
  <r>
    <x v="9"/>
    <x v="0"/>
    <x v="9"/>
    <x v="9"/>
    <x v="0"/>
    <x v="1"/>
    <x v="0"/>
    <x v="0"/>
    <x v="0"/>
    <x v="0"/>
    <x v="0"/>
    <x v="0"/>
    <x v="3"/>
    <x v="7"/>
    <x v="7"/>
    <x v="36"/>
    <x v="36"/>
    <n v="151.90487155954199"/>
    <x v="0"/>
    <x v="0"/>
    <x v="1"/>
    <x v="3"/>
    <x v="3"/>
    <x v="4"/>
    <n v="165.57630999990079"/>
  </r>
  <r>
    <x v="9"/>
    <x v="0"/>
    <x v="9"/>
    <x v="9"/>
    <x v="0"/>
    <x v="1"/>
    <x v="0"/>
    <x v="0"/>
    <x v="0"/>
    <x v="0"/>
    <x v="0"/>
    <x v="0"/>
    <x v="3"/>
    <x v="7"/>
    <x v="7"/>
    <x v="24"/>
    <x v="24"/>
    <n v="271.481642201672"/>
    <x v="0"/>
    <x v="0"/>
    <x v="1"/>
    <x v="3"/>
    <x v="3"/>
    <x v="4"/>
    <n v="295.91498999982252"/>
  </r>
  <r>
    <x v="9"/>
    <x v="0"/>
    <x v="9"/>
    <x v="9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9"/>
    <x v="0"/>
    <x v="9"/>
    <x v="9"/>
    <x v="0"/>
    <x v="1"/>
    <x v="0"/>
    <x v="0"/>
    <x v="0"/>
    <x v="0"/>
    <x v="0"/>
    <x v="0"/>
    <x v="3"/>
    <x v="7"/>
    <x v="7"/>
    <x v="18"/>
    <x v="18"/>
    <n v="42.61656"/>
    <x v="0"/>
    <x v="0"/>
    <x v="0"/>
    <x v="0"/>
    <x v="4"/>
    <x v="18"/>
    <n v="46.452050400000005"/>
  </r>
  <r>
    <x v="9"/>
    <x v="0"/>
    <x v="9"/>
    <x v="9"/>
    <x v="0"/>
    <x v="1"/>
    <x v="0"/>
    <x v="0"/>
    <x v="0"/>
    <x v="0"/>
    <x v="0"/>
    <x v="0"/>
    <x v="3"/>
    <x v="7"/>
    <x v="7"/>
    <x v="34"/>
    <x v="34"/>
    <n v="116.244890827718"/>
    <x v="0"/>
    <x v="0"/>
    <x v="0"/>
    <x v="0"/>
    <x v="0"/>
    <x v="0"/>
    <n v="126.70693100221263"/>
  </r>
  <r>
    <x v="9"/>
    <x v="0"/>
    <x v="9"/>
    <x v="9"/>
    <x v="0"/>
    <x v="1"/>
    <x v="0"/>
    <x v="0"/>
    <x v="0"/>
    <x v="0"/>
    <x v="0"/>
    <x v="0"/>
    <x v="3"/>
    <x v="7"/>
    <x v="7"/>
    <x v="26"/>
    <x v="26"/>
    <n v="8.7611651376094208"/>
    <x v="0"/>
    <x v="0"/>
    <x v="1"/>
    <x v="3"/>
    <x v="3"/>
    <x v="15"/>
    <n v="9.5496699999942702"/>
  </r>
  <r>
    <x v="9"/>
    <x v="0"/>
    <x v="9"/>
    <x v="9"/>
    <x v="0"/>
    <x v="1"/>
    <x v="0"/>
    <x v="0"/>
    <x v="0"/>
    <x v="0"/>
    <x v="0"/>
    <x v="0"/>
    <x v="1"/>
    <x v="8"/>
    <x v="8"/>
    <x v="6"/>
    <x v="6"/>
    <n v="148.315"/>
    <x v="0"/>
    <x v="0"/>
    <x v="0"/>
    <x v="0"/>
    <x v="4"/>
    <x v="6"/>
    <n v="161.66335000000001"/>
  </r>
  <r>
    <x v="9"/>
    <x v="0"/>
    <x v="9"/>
    <x v="9"/>
    <x v="0"/>
    <x v="1"/>
    <x v="0"/>
    <x v="0"/>
    <x v="0"/>
    <x v="0"/>
    <x v="0"/>
    <x v="0"/>
    <x v="1"/>
    <x v="8"/>
    <x v="8"/>
    <x v="8"/>
    <x v="8"/>
    <n v="447.27364189475401"/>
    <x v="0"/>
    <x v="1"/>
    <x v="2"/>
    <x v="2"/>
    <x v="6"/>
    <x v="8"/>
    <n v="487.52826966528193"/>
  </r>
  <r>
    <x v="9"/>
    <x v="0"/>
    <x v="9"/>
    <x v="9"/>
    <x v="0"/>
    <x v="1"/>
    <x v="0"/>
    <x v="0"/>
    <x v="0"/>
    <x v="0"/>
    <x v="0"/>
    <x v="0"/>
    <x v="1"/>
    <x v="8"/>
    <x v="8"/>
    <x v="9"/>
    <x v="9"/>
    <n v="973.44757461414599"/>
    <x v="0"/>
    <x v="0"/>
    <x v="1"/>
    <x v="4"/>
    <x v="5"/>
    <x v="9"/>
    <n v="1061.0578563294191"/>
  </r>
  <r>
    <x v="9"/>
    <x v="0"/>
    <x v="9"/>
    <x v="9"/>
    <x v="0"/>
    <x v="1"/>
    <x v="0"/>
    <x v="0"/>
    <x v="0"/>
    <x v="0"/>
    <x v="0"/>
    <x v="0"/>
    <x v="1"/>
    <x v="8"/>
    <x v="8"/>
    <x v="10"/>
    <x v="10"/>
    <n v="110.986963550187"/>
    <x v="0"/>
    <x v="0"/>
    <x v="1"/>
    <x v="4"/>
    <x v="5"/>
    <x v="10"/>
    <n v="120.97579026970384"/>
  </r>
  <r>
    <x v="9"/>
    <x v="0"/>
    <x v="9"/>
    <x v="9"/>
    <x v="0"/>
    <x v="1"/>
    <x v="0"/>
    <x v="0"/>
    <x v="0"/>
    <x v="0"/>
    <x v="0"/>
    <x v="0"/>
    <x v="1"/>
    <x v="8"/>
    <x v="8"/>
    <x v="11"/>
    <x v="11"/>
    <n v="22.890899999999998"/>
    <x v="0"/>
    <x v="0"/>
    <x v="3"/>
    <x v="5"/>
    <x v="7"/>
    <x v="11"/>
    <n v="24.951080999999999"/>
  </r>
  <r>
    <x v="9"/>
    <x v="0"/>
    <x v="9"/>
    <x v="9"/>
    <x v="0"/>
    <x v="1"/>
    <x v="0"/>
    <x v="0"/>
    <x v="0"/>
    <x v="0"/>
    <x v="0"/>
    <x v="0"/>
    <x v="1"/>
    <x v="8"/>
    <x v="8"/>
    <x v="36"/>
    <x v="36"/>
    <n v="6.8504587155922199"/>
    <x v="0"/>
    <x v="0"/>
    <x v="1"/>
    <x v="3"/>
    <x v="3"/>
    <x v="4"/>
    <n v="7.4669999999955206"/>
  </r>
  <r>
    <x v="9"/>
    <x v="0"/>
    <x v="9"/>
    <x v="9"/>
    <x v="0"/>
    <x v="1"/>
    <x v="0"/>
    <x v="0"/>
    <x v="0"/>
    <x v="0"/>
    <x v="0"/>
    <x v="0"/>
    <x v="1"/>
    <x v="8"/>
    <x v="8"/>
    <x v="24"/>
    <x v="24"/>
    <n v="321.86532110072397"/>
    <x v="0"/>
    <x v="0"/>
    <x v="1"/>
    <x v="3"/>
    <x v="3"/>
    <x v="4"/>
    <n v="350.83319999978914"/>
  </r>
  <r>
    <x v="9"/>
    <x v="0"/>
    <x v="9"/>
    <x v="9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9"/>
    <x v="0"/>
    <x v="9"/>
    <x v="9"/>
    <x v="0"/>
    <x v="1"/>
    <x v="0"/>
    <x v="0"/>
    <x v="0"/>
    <x v="0"/>
    <x v="0"/>
    <x v="0"/>
    <x v="1"/>
    <x v="8"/>
    <x v="8"/>
    <x v="21"/>
    <x v="21"/>
    <n v="22.260293577968302"/>
    <x v="0"/>
    <x v="0"/>
    <x v="1"/>
    <x v="4"/>
    <x v="5"/>
    <x v="10"/>
    <n v="24.263719999985451"/>
  </r>
  <r>
    <x v="9"/>
    <x v="0"/>
    <x v="9"/>
    <x v="9"/>
    <x v="0"/>
    <x v="1"/>
    <x v="0"/>
    <x v="0"/>
    <x v="0"/>
    <x v="0"/>
    <x v="0"/>
    <x v="0"/>
    <x v="1"/>
    <x v="8"/>
    <x v="8"/>
    <x v="18"/>
    <x v="18"/>
    <n v="51.48413"/>
    <x v="0"/>
    <x v="0"/>
    <x v="0"/>
    <x v="0"/>
    <x v="4"/>
    <x v="18"/>
    <n v="56.117701700000005"/>
  </r>
  <r>
    <x v="9"/>
    <x v="0"/>
    <x v="9"/>
    <x v="9"/>
    <x v="0"/>
    <x v="1"/>
    <x v="0"/>
    <x v="0"/>
    <x v="0"/>
    <x v="0"/>
    <x v="0"/>
    <x v="0"/>
    <x v="1"/>
    <x v="8"/>
    <x v="8"/>
    <x v="34"/>
    <x v="34"/>
    <n v="16.318351091425601"/>
    <x v="0"/>
    <x v="0"/>
    <x v="0"/>
    <x v="0"/>
    <x v="0"/>
    <x v="0"/>
    <n v="17.787002689653907"/>
  </r>
  <r>
    <x v="9"/>
    <x v="0"/>
    <x v="9"/>
    <x v="9"/>
    <x v="0"/>
    <x v="1"/>
    <x v="0"/>
    <x v="0"/>
    <x v="0"/>
    <x v="0"/>
    <x v="0"/>
    <x v="0"/>
    <x v="1"/>
    <x v="8"/>
    <x v="8"/>
    <x v="37"/>
    <x v="37"/>
    <n v="225.59629357784601"/>
    <x v="0"/>
    <x v="0"/>
    <x v="1"/>
    <x v="3"/>
    <x v="3"/>
    <x v="4"/>
    <n v="245.89995999985217"/>
  </r>
  <r>
    <x v="9"/>
    <x v="0"/>
    <x v="9"/>
    <x v="9"/>
    <x v="0"/>
    <x v="1"/>
    <x v="0"/>
    <x v="0"/>
    <x v="0"/>
    <x v="0"/>
    <x v="0"/>
    <x v="0"/>
    <x v="1"/>
    <x v="8"/>
    <x v="8"/>
    <x v="26"/>
    <x v="26"/>
    <n v="28.761467889891001"/>
    <x v="0"/>
    <x v="0"/>
    <x v="1"/>
    <x v="3"/>
    <x v="3"/>
    <x v="15"/>
    <n v="31.349999999981193"/>
  </r>
  <r>
    <x v="9"/>
    <x v="0"/>
    <x v="9"/>
    <x v="9"/>
    <x v="0"/>
    <x v="1"/>
    <x v="0"/>
    <x v="0"/>
    <x v="0"/>
    <x v="0"/>
    <x v="0"/>
    <x v="0"/>
    <x v="1"/>
    <x v="8"/>
    <x v="8"/>
    <x v="0"/>
    <x v="0"/>
    <n v="41.616572063940403"/>
    <x v="0"/>
    <x v="0"/>
    <x v="0"/>
    <x v="0"/>
    <x v="0"/>
    <x v="0"/>
    <n v="45.362063549695044"/>
  </r>
  <r>
    <x v="9"/>
    <x v="0"/>
    <x v="9"/>
    <x v="9"/>
    <x v="0"/>
    <x v="1"/>
    <x v="0"/>
    <x v="0"/>
    <x v="0"/>
    <x v="0"/>
    <x v="0"/>
    <x v="0"/>
    <x v="0"/>
    <x v="9"/>
    <x v="9"/>
    <x v="6"/>
    <x v="6"/>
    <n v="392.20645999999999"/>
    <x v="0"/>
    <x v="0"/>
    <x v="0"/>
    <x v="0"/>
    <x v="4"/>
    <x v="6"/>
    <n v="427.50504140000004"/>
  </r>
  <r>
    <x v="9"/>
    <x v="0"/>
    <x v="9"/>
    <x v="9"/>
    <x v="0"/>
    <x v="1"/>
    <x v="0"/>
    <x v="0"/>
    <x v="0"/>
    <x v="0"/>
    <x v="0"/>
    <x v="0"/>
    <x v="0"/>
    <x v="9"/>
    <x v="9"/>
    <x v="7"/>
    <x v="7"/>
    <n v="464.73233944926199"/>
    <x v="0"/>
    <x v="0"/>
    <x v="1"/>
    <x v="4"/>
    <x v="5"/>
    <x v="7"/>
    <n v="506.55824999969559"/>
  </r>
  <r>
    <x v="9"/>
    <x v="0"/>
    <x v="9"/>
    <x v="9"/>
    <x v="0"/>
    <x v="1"/>
    <x v="0"/>
    <x v="0"/>
    <x v="0"/>
    <x v="0"/>
    <x v="0"/>
    <x v="0"/>
    <x v="0"/>
    <x v="9"/>
    <x v="9"/>
    <x v="9"/>
    <x v="9"/>
    <n v="5234.2396533076899"/>
    <x v="0"/>
    <x v="0"/>
    <x v="1"/>
    <x v="4"/>
    <x v="5"/>
    <x v="9"/>
    <n v="5705.3212221053827"/>
  </r>
  <r>
    <x v="9"/>
    <x v="0"/>
    <x v="9"/>
    <x v="9"/>
    <x v="0"/>
    <x v="1"/>
    <x v="0"/>
    <x v="0"/>
    <x v="0"/>
    <x v="0"/>
    <x v="0"/>
    <x v="0"/>
    <x v="0"/>
    <x v="9"/>
    <x v="9"/>
    <x v="10"/>
    <x v="10"/>
    <n v="152.554064265612"/>
    <x v="0"/>
    <x v="0"/>
    <x v="1"/>
    <x v="4"/>
    <x v="5"/>
    <x v="10"/>
    <n v="166.2839300495171"/>
  </r>
  <r>
    <x v="9"/>
    <x v="0"/>
    <x v="9"/>
    <x v="9"/>
    <x v="0"/>
    <x v="1"/>
    <x v="0"/>
    <x v="0"/>
    <x v="0"/>
    <x v="0"/>
    <x v="0"/>
    <x v="0"/>
    <x v="0"/>
    <x v="9"/>
    <x v="9"/>
    <x v="11"/>
    <x v="11"/>
    <n v="189.80975000000001"/>
    <x v="0"/>
    <x v="0"/>
    <x v="3"/>
    <x v="5"/>
    <x v="7"/>
    <x v="11"/>
    <n v="206.89262750000003"/>
  </r>
  <r>
    <x v="9"/>
    <x v="0"/>
    <x v="9"/>
    <x v="9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9"/>
    <x v="0"/>
    <x v="9"/>
    <x v="9"/>
    <x v="0"/>
    <x v="1"/>
    <x v="0"/>
    <x v="0"/>
    <x v="0"/>
    <x v="0"/>
    <x v="0"/>
    <x v="0"/>
    <x v="0"/>
    <x v="9"/>
    <x v="9"/>
    <x v="36"/>
    <x v="36"/>
    <n v="25.0753853210859"/>
    <x v="0"/>
    <x v="0"/>
    <x v="1"/>
    <x v="3"/>
    <x v="3"/>
    <x v="4"/>
    <n v="27.332169999983634"/>
  </r>
  <r>
    <x v="9"/>
    <x v="0"/>
    <x v="9"/>
    <x v="9"/>
    <x v="0"/>
    <x v="1"/>
    <x v="0"/>
    <x v="0"/>
    <x v="0"/>
    <x v="0"/>
    <x v="0"/>
    <x v="0"/>
    <x v="0"/>
    <x v="9"/>
    <x v="9"/>
    <x v="24"/>
    <x v="24"/>
    <n v="284.27369724753601"/>
    <x v="0"/>
    <x v="0"/>
    <x v="1"/>
    <x v="3"/>
    <x v="3"/>
    <x v="4"/>
    <n v="309.85832999981426"/>
  </r>
  <r>
    <x v="9"/>
    <x v="0"/>
    <x v="9"/>
    <x v="9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9"/>
    <x v="0"/>
    <x v="9"/>
    <x v="9"/>
    <x v="0"/>
    <x v="1"/>
    <x v="0"/>
    <x v="0"/>
    <x v="0"/>
    <x v="0"/>
    <x v="0"/>
    <x v="0"/>
    <x v="0"/>
    <x v="9"/>
    <x v="9"/>
    <x v="21"/>
    <x v="21"/>
    <n v="180.705926605396"/>
    <x v="0"/>
    <x v="0"/>
    <x v="1"/>
    <x v="4"/>
    <x v="5"/>
    <x v="10"/>
    <n v="196.96945999988165"/>
  </r>
  <r>
    <x v="9"/>
    <x v="0"/>
    <x v="9"/>
    <x v="9"/>
    <x v="0"/>
    <x v="1"/>
    <x v="0"/>
    <x v="0"/>
    <x v="0"/>
    <x v="0"/>
    <x v="0"/>
    <x v="0"/>
    <x v="0"/>
    <x v="9"/>
    <x v="9"/>
    <x v="18"/>
    <x v="18"/>
    <n v="262.08413000000002"/>
    <x v="0"/>
    <x v="0"/>
    <x v="0"/>
    <x v="0"/>
    <x v="4"/>
    <x v="18"/>
    <n v="285.67170170000003"/>
  </r>
  <r>
    <x v="9"/>
    <x v="0"/>
    <x v="9"/>
    <x v="9"/>
    <x v="0"/>
    <x v="1"/>
    <x v="0"/>
    <x v="0"/>
    <x v="0"/>
    <x v="0"/>
    <x v="0"/>
    <x v="0"/>
    <x v="0"/>
    <x v="9"/>
    <x v="9"/>
    <x v="34"/>
    <x v="34"/>
    <n v="65.989156330755904"/>
    <x v="0"/>
    <x v="0"/>
    <x v="0"/>
    <x v="0"/>
    <x v="0"/>
    <x v="0"/>
    <n v="71.928180400523942"/>
  </r>
  <r>
    <x v="9"/>
    <x v="0"/>
    <x v="9"/>
    <x v="9"/>
    <x v="0"/>
    <x v="1"/>
    <x v="0"/>
    <x v="0"/>
    <x v="0"/>
    <x v="0"/>
    <x v="0"/>
    <x v="0"/>
    <x v="0"/>
    <x v="9"/>
    <x v="9"/>
    <x v="37"/>
    <x v="37"/>
    <n v="104.316587155901"/>
    <x v="0"/>
    <x v="0"/>
    <x v="1"/>
    <x v="3"/>
    <x v="3"/>
    <x v="4"/>
    <n v="113.70507999993211"/>
  </r>
  <r>
    <x v="9"/>
    <x v="0"/>
    <x v="9"/>
    <x v="9"/>
    <x v="0"/>
    <x v="1"/>
    <x v="0"/>
    <x v="0"/>
    <x v="0"/>
    <x v="0"/>
    <x v="0"/>
    <x v="0"/>
    <x v="0"/>
    <x v="9"/>
    <x v="9"/>
    <x v="26"/>
    <x v="26"/>
    <n v="45.953018348596302"/>
    <x v="0"/>
    <x v="0"/>
    <x v="1"/>
    <x v="3"/>
    <x v="3"/>
    <x v="15"/>
    <n v="50.088789999969975"/>
  </r>
  <r>
    <x v="9"/>
    <x v="0"/>
    <x v="9"/>
    <x v="9"/>
    <x v="0"/>
    <x v="1"/>
    <x v="0"/>
    <x v="0"/>
    <x v="0"/>
    <x v="0"/>
    <x v="0"/>
    <x v="0"/>
    <x v="0"/>
    <x v="9"/>
    <x v="9"/>
    <x v="0"/>
    <x v="0"/>
    <n v="5.2633434163553696"/>
    <x v="0"/>
    <x v="0"/>
    <x v="0"/>
    <x v="0"/>
    <x v="0"/>
    <x v="0"/>
    <n v="5.7370443238273534"/>
  </r>
  <r>
    <x v="9"/>
    <x v="0"/>
    <x v="9"/>
    <x v="9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9"/>
    <x v="0"/>
    <x v="9"/>
    <x v="9"/>
    <x v="0"/>
    <x v="1"/>
    <x v="0"/>
    <x v="0"/>
    <x v="0"/>
    <x v="0"/>
    <x v="0"/>
    <x v="0"/>
    <x v="2"/>
    <x v="10"/>
    <x v="10"/>
    <x v="6"/>
    <x v="6"/>
    <n v="454.84753999999998"/>
    <x v="0"/>
    <x v="0"/>
    <x v="0"/>
    <x v="0"/>
    <x v="4"/>
    <x v="6"/>
    <n v="495.78381860000002"/>
  </r>
  <r>
    <x v="9"/>
    <x v="0"/>
    <x v="9"/>
    <x v="9"/>
    <x v="0"/>
    <x v="1"/>
    <x v="0"/>
    <x v="0"/>
    <x v="0"/>
    <x v="0"/>
    <x v="0"/>
    <x v="0"/>
    <x v="2"/>
    <x v="10"/>
    <x v="10"/>
    <x v="7"/>
    <x v="7"/>
    <n v="56.679440366938501"/>
    <x v="0"/>
    <x v="0"/>
    <x v="1"/>
    <x v="4"/>
    <x v="5"/>
    <x v="7"/>
    <n v="61.78058999996297"/>
  </r>
  <r>
    <x v="9"/>
    <x v="0"/>
    <x v="9"/>
    <x v="9"/>
    <x v="0"/>
    <x v="1"/>
    <x v="0"/>
    <x v="0"/>
    <x v="0"/>
    <x v="0"/>
    <x v="0"/>
    <x v="0"/>
    <x v="2"/>
    <x v="10"/>
    <x v="10"/>
    <x v="9"/>
    <x v="9"/>
    <n v="1500.62836997267"/>
    <x v="0"/>
    <x v="0"/>
    <x v="1"/>
    <x v="4"/>
    <x v="5"/>
    <x v="9"/>
    <n v="1635.6849232702104"/>
  </r>
  <r>
    <x v="9"/>
    <x v="0"/>
    <x v="9"/>
    <x v="9"/>
    <x v="0"/>
    <x v="1"/>
    <x v="0"/>
    <x v="0"/>
    <x v="0"/>
    <x v="0"/>
    <x v="0"/>
    <x v="0"/>
    <x v="2"/>
    <x v="10"/>
    <x v="10"/>
    <x v="10"/>
    <x v="10"/>
    <n v="47.0384502387098"/>
    <x v="0"/>
    <x v="0"/>
    <x v="1"/>
    <x v="4"/>
    <x v="5"/>
    <x v="10"/>
    <n v="51.271910760193684"/>
  </r>
  <r>
    <x v="9"/>
    <x v="0"/>
    <x v="9"/>
    <x v="9"/>
    <x v="0"/>
    <x v="1"/>
    <x v="0"/>
    <x v="0"/>
    <x v="0"/>
    <x v="0"/>
    <x v="0"/>
    <x v="0"/>
    <x v="2"/>
    <x v="10"/>
    <x v="10"/>
    <x v="11"/>
    <x v="11"/>
    <n v="120.42782"/>
    <x v="0"/>
    <x v="0"/>
    <x v="3"/>
    <x v="5"/>
    <x v="7"/>
    <x v="11"/>
    <n v="131.26632380000001"/>
  </r>
  <r>
    <x v="9"/>
    <x v="0"/>
    <x v="9"/>
    <x v="9"/>
    <x v="0"/>
    <x v="1"/>
    <x v="0"/>
    <x v="0"/>
    <x v="0"/>
    <x v="0"/>
    <x v="0"/>
    <x v="0"/>
    <x v="2"/>
    <x v="10"/>
    <x v="10"/>
    <x v="22"/>
    <x v="22"/>
    <n v="0.60006854838470003"/>
    <x v="0"/>
    <x v="0"/>
    <x v="0"/>
    <x v="0"/>
    <x v="0"/>
    <x v="0"/>
    <n v="0.65407471773932313"/>
  </r>
  <r>
    <x v="9"/>
    <x v="0"/>
    <x v="9"/>
    <x v="9"/>
    <x v="0"/>
    <x v="1"/>
    <x v="0"/>
    <x v="0"/>
    <x v="0"/>
    <x v="0"/>
    <x v="0"/>
    <x v="0"/>
    <x v="2"/>
    <x v="10"/>
    <x v="10"/>
    <x v="36"/>
    <x v="36"/>
    <n v="53.049779816481902"/>
    <x v="0"/>
    <x v="0"/>
    <x v="1"/>
    <x v="3"/>
    <x v="3"/>
    <x v="4"/>
    <n v="57.824259999965278"/>
  </r>
  <r>
    <x v="9"/>
    <x v="0"/>
    <x v="9"/>
    <x v="9"/>
    <x v="0"/>
    <x v="1"/>
    <x v="0"/>
    <x v="0"/>
    <x v="0"/>
    <x v="0"/>
    <x v="0"/>
    <x v="0"/>
    <x v="2"/>
    <x v="10"/>
    <x v="10"/>
    <x v="24"/>
    <x v="24"/>
    <n v="182.53354128429399"/>
    <x v="0"/>
    <x v="0"/>
    <x v="1"/>
    <x v="3"/>
    <x v="3"/>
    <x v="4"/>
    <n v="198.96155999988045"/>
  </r>
  <r>
    <x v="9"/>
    <x v="0"/>
    <x v="9"/>
    <x v="9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9"/>
    <x v="0"/>
    <x v="9"/>
    <x v="9"/>
    <x v="0"/>
    <x v="1"/>
    <x v="0"/>
    <x v="0"/>
    <x v="0"/>
    <x v="0"/>
    <x v="0"/>
    <x v="0"/>
    <x v="2"/>
    <x v="10"/>
    <x v="10"/>
    <x v="21"/>
    <x v="21"/>
    <n v="71.856522935736706"/>
    <x v="0"/>
    <x v="0"/>
    <x v="1"/>
    <x v="4"/>
    <x v="5"/>
    <x v="10"/>
    <n v="78.323609999953021"/>
  </r>
  <r>
    <x v="9"/>
    <x v="0"/>
    <x v="9"/>
    <x v="9"/>
    <x v="0"/>
    <x v="1"/>
    <x v="0"/>
    <x v="0"/>
    <x v="0"/>
    <x v="0"/>
    <x v="0"/>
    <x v="0"/>
    <x v="2"/>
    <x v="10"/>
    <x v="10"/>
    <x v="18"/>
    <x v="18"/>
    <n v="170.91011"/>
    <x v="0"/>
    <x v="0"/>
    <x v="0"/>
    <x v="0"/>
    <x v="4"/>
    <x v="18"/>
    <n v="186.29201990000001"/>
  </r>
  <r>
    <x v="9"/>
    <x v="0"/>
    <x v="9"/>
    <x v="9"/>
    <x v="0"/>
    <x v="1"/>
    <x v="0"/>
    <x v="0"/>
    <x v="0"/>
    <x v="0"/>
    <x v="0"/>
    <x v="0"/>
    <x v="2"/>
    <x v="10"/>
    <x v="10"/>
    <x v="34"/>
    <x v="34"/>
    <n v="137.509980783689"/>
    <x v="0"/>
    <x v="0"/>
    <x v="0"/>
    <x v="0"/>
    <x v="0"/>
    <x v="0"/>
    <n v="149.88587905422102"/>
  </r>
  <r>
    <x v="9"/>
    <x v="0"/>
    <x v="9"/>
    <x v="9"/>
    <x v="0"/>
    <x v="1"/>
    <x v="0"/>
    <x v="0"/>
    <x v="0"/>
    <x v="0"/>
    <x v="0"/>
    <x v="0"/>
    <x v="2"/>
    <x v="10"/>
    <x v="10"/>
    <x v="37"/>
    <x v="37"/>
    <n v="135.450614678818"/>
    <x v="0"/>
    <x v="0"/>
    <x v="1"/>
    <x v="3"/>
    <x v="3"/>
    <x v="4"/>
    <n v="147.64116999991163"/>
  </r>
  <r>
    <x v="9"/>
    <x v="0"/>
    <x v="9"/>
    <x v="9"/>
    <x v="0"/>
    <x v="1"/>
    <x v="0"/>
    <x v="0"/>
    <x v="0"/>
    <x v="0"/>
    <x v="0"/>
    <x v="0"/>
    <x v="2"/>
    <x v="10"/>
    <x v="10"/>
    <x v="26"/>
    <x v="26"/>
    <n v="87.606220183433706"/>
    <x v="0"/>
    <x v="0"/>
    <x v="1"/>
    <x v="3"/>
    <x v="3"/>
    <x v="15"/>
    <n v="95.490779999942745"/>
  </r>
  <r>
    <x v="9"/>
    <x v="0"/>
    <x v="9"/>
    <x v="9"/>
    <x v="0"/>
    <x v="1"/>
    <x v="0"/>
    <x v="0"/>
    <x v="0"/>
    <x v="0"/>
    <x v="0"/>
    <x v="0"/>
    <x v="2"/>
    <x v="10"/>
    <x v="10"/>
    <x v="0"/>
    <x v="0"/>
    <n v="331.77770373572599"/>
    <x v="0"/>
    <x v="0"/>
    <x v="0"/>
    <x v="0"/>
    <x v="0"/>
    <x v="0"/>
    <n v="361.63769707194137"/>
  </r>
  <r>
    <x v="9"/>
    <x v="0"/>
    <x v="9"/>
    <x v="9"/>
    <x v="0"/>
    <x v="1"/>
    <x v="0"/>
    <x v="0"/>
    <x v="0"/>
    <x v="0"/>
    <x v="0"/>
    <x v="0"/>
    <x v="4"/>
    <x v="5"/>
    <x v="5"/>
    <x v="4"/>
    <x v="4"/>
    <n v="23.977302752279201"/>
    <x v="0"/>
    <x v="0"/>
    <x v="1"/>
    <x v="3"/>
    <x v="3"/>
    <x v="4"/>
    <n v="26.135259999984331"/>
  </r>
  <r>
    <x v="9"/>
    <x v="0"/>
    <x v="9"/>
    <x v="9"/>
    <x v="0"/>
    <x v="1"/>
    <x v="0"/>
    <x v="0"/>
    <x v="0"/>
    <x v="0"/>
    <x v="0"/>
    <x v="0"/>
    <x v="4"/>
    <x v="5"/>
    <x v="5"/>
    <x v="6"/>
    <x v="6"/>
    <n v="1242.7983099999999"/>
    <x v="0"/>
    <x v="0"/>
    <x v="0"/>
    <x v="0"/>
    <x v="4"/>
    <x v="6"/>
    <n v="1354.6501579000001"/>
  </r>
  <r>
    <x v="9"/>
    <x v="0"/>
    <x v="9"/>
    <x v="9"/>
    <x v="0"/>
    <x v="1"/>
    <x v="0"/>
    <x v="0"/>
    <x v="0"/>
    <x v="0"/>
    <x v="0"/>
    <x v="0"/>
    <x v="4"/>
    <x v="5"/>
    <x v="5"/>
    <x v="7"/>
    <x v="7"/>
    <n v="44.037504587129497"/>
    <x v="0"/>
    <x v="0"/>
    <x v="1"/>
    <x v="4"/>
    <x v="5"/>
    <x v="7"/>
    <n v="48.000879999971154"/>
  </r>
  <r>
    <x v="9"/>
    <x v="0"/>
    <x v="9"/>
    <x v="9"/>
    <x v="0"/>
    <x v="1"/>
    <x v="0"/>
    <x v="0"/>
    <x v="0"/>
    <x v="0"/>
    <x v="0"/>
    <x v="0"/>
    <x v="4"/>
    <x v="5"/>
    <x v="5"/>
    <x v="8"/>
    <x v="8"/>
    <n v="6226.8872365263396"/>
    <x v="0"/>
    <x v="1"/>
    <x v="2"/>
    <x v="2"/>
    <x v="6"/>
    <x v="8"/>
    <n v="6787.3070878137105"/>
  </r>
  <r>
    <x v="9"/>
    <x v="0"/>
    <x v="9"/>
    <x v="9"/>
    <x v="0"/>
    <x v="1"/>
    <x v="0"/>
    <x v="0"/>
    <x v="0"/>
    <x v="0"/>
    <x v="0"/>
    <x v="0"/>
    <x v="4"/>
    <x v="5"/>
    <x v="5"/>
    <x v="9"/>
    <x v="9"/>
    <n v="11005.7232000681"/>
    <x v="0"/>
    <x v="0"/>
    <x v="1"/>
    <x v="4"/>
    <x v="5"/>
    <x v="9"/>
    <n v="11996.23828807423"/>
  </r>
  <r>
    <x v="9"/>
    <x v="0"/>
    <x v="9"/>
    <x v="9"/>
    <x v="0"/>
    <x v="1"/>
    <x v="0"/>
    <x v="0"/>
    <x v="0"/>
    <x v="0"/>
    <x v="0"/>
    <x v="0"/>
    <x v="4"/>
    <x v="5"/>
    <x v="5"/>
    <x v="10"/>
    <x v="10"/>
    <n v="437.779520288188"/>
    <x v="0"/>
    <x v="0"/>
    <x v="1"/>
    <x v="4"/>
    <x v="5"/>
    <x v="10"/>
    <n v="477.17967711412496"/>
  </r>
  <r>
    <x v="9"/>
    <x v="0"/>
    <x v="9"/>
    <x v="9"/>
    <x v="0"/>
    <x v="1"/>
    <x v="0"/>
    <x v="0"/>
    <x v="0"/>
    <x v="0"/>
    <x v="0"/>
    <x v="0"/>
    <x v="4"/>
    <x v="5"/>
    <x v="5"/>
    <x v="29"/>
    <x v="29"/>
    <n v="0.4118"/>
    <x v="0"/>
    <x v="0"/>
    <x v="1"/>
    <x v="3"/>
    <x v="3"/>
    <x v="13"/>
    <n v="0.44886200000000004"/>
  </r>
  <r>
    <x v="9"/>
    <x v="0"/>
    <x v="9"/>
    <x v="9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9"/>
    <x v="0"/>
    <x v="9"/>
    <x v="9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9"/>
    <x v="0"/>
    <x v="9"/>
    <x v="9"/>
    <x v="0"/>
    <x v="1"/>
    <x v="0"/>
    <x v="0"/>
    <x v="0"/>
    <x v="0"/>
    <x v="0"/>
    <x v="0"/>
    <x v="4"/>
    <x v="5"/>
    <x v="5"/>
    <x v="88"/>
    <x v="88"/>
    <n v="15.5152018348531"/>
    <x v="0"/>
    <x v="0"/>
    <x v="1"/>
    <x v="4"/>
    <x v="5"/>
    <x v="9"/>
    <n v="16.911569999989879"/>
  </r>
  <r>
    <x v="9"/>
    <x v="0"/>
    <x v="9"/>
    <x v="9"/>
    <x v="0"/>
    <x v="1"/>
    <x v="0"/>
    <x v="0"/>
    <x v="0"/>
    <x v="0"/>
    <x v="0"/>
    <x v="0"/>
    <x v="4"/>
    <x v="5"/>
    <x v="5"/>
    <x v="12"/>
    <x v="12"/>
    <n v="1126.9358139492099"/>
    <x v="0"/>
    <x v="0"/>
    <x v="0"/>
    <x v="0"/>
    <x v="8"/>
    <x v="12"/>
    <n v="1228.360037204639"/>
  </r>
  <r>
    <x v="9"/>
    <x v="0"/>
    <x v="9"/>
    <x v="9"/>
    <x v="0"/>
    <x v="1"/>
    <x v="0"/>
    <x v="0"/>
    <x v="0"/>
    <x v="0"/>
    <x v="0"/>
    <x v="0"/>
    <x v="4"/>
    <x v="5"/>
    <x v="5"/>
    <x v="14"/>
    <x v="14"/>
    <n v="453.286"/>
    <x v="0"/>
    <x v="0"/>
    <x v="0"/>
    <x v="0"/>
    <x v="8"/>
    <x v="14"/>
    <n v="494.08174000000002"/>
  </r>
  <r>
    <x v="9"/>
    <x v="0"/>
    <x v="9"/>
    <x v="9"/>
    <x v="0"/>
    <x v="1"/>
    <x v="0"/>
    <x v="0"/>
    <x v="0"/>
    <x v="0"/>
    <x v="0"/>
    <x v="0"/>
    <x v="4"/>
    <x v="5"/>
    <x v="5"/>
    <x v="22"/>
    <x v="22"/>
    <n v="76.685973117972793"/>
    <x v="0"/>
    <x v="0"/>
    <x v="0"/>
    <x v="0"/>
    <x v="0"/>
    <x v="0"/>
    <n v="83.587710698590357"/>
  </r>
  <r>
    <x v="9"/>
    <x v="0"/>
    <x v="9"/>
    <x v="9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9"/>
    <x v="0"/>
    <x v="9"/>
    <x v="9"/>
    <x v="0"/>
    <x v="1"/>
    <x v="0"/>
    <x v="0"/>
    <x v="0"/>
    <x v="0"/>
    <x v="0"/>
    <x v="0"/>
    <x v="4"/>
    <x v="5"/>
    <x v="5"/>
    <x v="36"/>
    <x v="36"/>
    <n v="206.25060550446301"/>
    <x v="0"/>
    <x v="0"/>
    <x v="1"/>
    <x v="3"/>
    <x v="3"/>
    <x v="4"/>
    <n v="224.81315999986469"/>
  </r>
  <r>
    <x v="9"/>
    <x v="0"/>
    <x v="9"/>
    <x v="9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9"/>
    <x v="0"/>
    <x v="9"/>
    <x v="9"/>
    <x v="0"/>
    <x v="1"/>
    <x v="0"/>
    <x v="0"/>
    <x v="0"/>
    <x v="0"/>
    <x v="0"/>
    <x v="0"/>
    <x v="4"/>
    <x v="5"/>
    <x v="5"/>
    <x v="24"/>
    <x v="24"/>
    <n v="273.59582568790898"/>
    <x v="0"/>
    <x v="0"/>
    <x v="1"/>
    <x v="3"/>
    <x v="3"/>
    <x v="4"/>
    <n v="298.21944999982082"/>
  </r>
  <r>
    <x v="9"/>
    <x v="0"/>
    <x v="9"/>
    <x v="9"/>
    <x v="0"/>
    <x v="1"/>
    <x v="0"/>
    <x v="0"/>
    <x v="0"/>
    <x v="0"/>
    <x v="0"/>
    <x v="0"/>
    <x v="4"/>
    <x v="5"/>
    <x v="5"/>
    <x v="17"/>
    <x v="17"/>
    <n v="449.38923"/>
    <x v="0"/>
    <x v="0"/>
    <x v="0"/>
    <x v="0"/>
    <x v="4"/>
    <x v="17"/>
    <n v="489.83426070000002"/>
  </r>
  <r>
    <x v="9"/>
    <x v="0"/>
    <x v="9"/>
    <x v="9"/>
    <x v="0"/>
    <x v="1"/>
    <x v="0"/>
    <x v="0"/>
    <x v="0"/>
    <x v="0"/>
    <x v="0"/>
    <x v="0"/>
    <x v="4"/>
    <x v="5"/>
    <x v="5"/>
    <x v="18"/>
    <x v="18"/>
    <n v="1333.9106099999999"/>
    <x v="0"/>
    <x v="0"/>
    <x v="0"/>
    <x v="0"/>
    <x v="4"/>
    <x v="18"/>
    <n v="1453.9625649"/>
  </r>
  <r>
    <x v="9"/>
    <x v="0"/>
    <x v="9"/>
    <x v="9"/>
    <x v="0"/>
    <x v="1"/>
    <x v="0"/>
    <x v="0"/>
    <x v="0"/>
    <x v="0"/>
    <x v="0"/>
    <x v="0"/>
    <x v="4"/>
    <x v="5"/>
    <x v="5"/>
    <x v="34"/>
    <x v="34"/>
    <n v="517.55262968552495"/>
    <x v="0"/>
    <x v="0"/>
    <x v="0"/>
    <x v="0"/>
    <x v="0"/>
    <x v="0"/>
    <n v="564.13236635722228"/>
  </r>
  <r>
    <x v="9"/>
    <x v="0"/>
    <x v="9"/>
    <x v="9"/>
    <x v="0"/>
    <x v="1"/>
    <x v="0"/>
    <x v="0"/>
    <x v="0"/>
    <x v="0"/>
    <x v="0"/>
    <x v="0"/>
    <x v="4"/>
    <x v="5"/>
    <x v="5"/>
    <x v="25"/>
    <x v="25"/>
    <n v="170.70945871549401"/>
    <x v="0"/>
    <x v="0"/>
    <x v="1"/>
    <x v="4"/>
    <x v="5"/>
    <x v="9"/>
    <n v="186.07330999988849"/>
  </r>
  <r>
    <x v="9"/>
    <x v="0"/>
    <x v="9"/>
    <x v="9"/>
    <x v="0"/>
    <x v="1"/>
    <x v="0"/>
    <x v="0"/>
    <x v="0"/>
    <x v="0"/>
    <x v="0"/>
    <x v="0"/>
    <x v="4"/>
    <x v="5"/>
    <x v="5"/>
    <x v="37"/>
    <x v="37"/>
    <n v="497.015623852913"/>
    <x v="0"/>
    <x v="0"/>
    <x v="1"/>
    <x v="3"/>
    <x v="3"/>
    <x v="4"/>
    <n v="541.74702999967519"/>
  </r>
  <r>
    <x v="9"/>
    <x v="0"/>
    <x v="9"/>
    <x v="9"/>
    <x v="0"/>
    <x v="1"/>
    <x v="0"/>
    <x v="0"/>
    <x v="0"/>
    <x v="0"/>
    <x v="0"/>
    <x v="0"/>
    <x v="4"/>
    <x v="5"/>
    <x v="5"/>
    <x v="27"/>
    <x v="27"/>
    <n v="103.84070495715601"/>
    <x v="0"/>
    <x v="0"/>
    <x v="1"/>
    <x v="3"/>
    <x v="3"/>
    <x v="19"/>
    <n v="113.18636840330005"/>
  </r>
  <r>
    <x v="9"/>
    <x v="0"/>
    <x v="9"/>
    <x v="9"/>
    <x v="0"/>
    <x v="1"/>
    <x v="0"/>
    <x v="0"/>
    <x v="0"/>
    <x v="0"/>
    <x v="0"/>
    <x v="0"/>
    <x v="4"/>
    <x v="5"/>
    <x v="5"/>
    <x v="26"/>
    <x v="26"/>
    <n v="78.555697247659296"/>
    <x v="0"/>
    <x v="0"/>
    <x v="1"/>
    <x v="3"/>
    <x v="3"/>
    <x v="15"/>
    <n v="85.62570999994864"/>
  </r>
  <r>
    <x v="9"/>
    <x v="0"/>
    <x v="9"/>
    <x v="9"/>
    <x v="0"/>
    <x v="1"/>
    <x v="0"/>
    <x v="0"/>
    <x v="0"/>
    <x v="0"/>
    <x v="0"/>
    <x v="0"/>
    <x v="4"/>
    <x v="5"/>
    <x v="5"/>
    <x v="0"/>
    <x v="0"/>
    <n v="272.11617971454098"/>
    <x v="0"/>
    <x v="0"/>
    <x v="0"/>
    <x v="0"/>
    <x v="0"/>
    <x v="0"/>
    <n v="296.60663588884967"/>
  </r>
  <r>
    <x v="9"/>
    <x v="0"/>
    <x v="9"/>
    <x v="9"/>
    <x v="0"/>
    <x v="1"/>
    <x v="0"/>
    <x v="0"/>
    <x v="0"/>
    <x v="0"/>
    <x v="0"/>
    <x v="0"/>
    <x v="4"/>
    <x v="5"/>
    <x v="5"/>
    <x v="2"/>
    <x v="2"/>
    <n v="17151.9207064117"/>
    <x v="0"/>
    <x v="1"/>
    <x v="2"/>
    <x v="2"/>
    <x v="13"/>
    <x v="2"/>
    <n v="18695.593569988756"/>
  </r>
  <r>
    <x v="9"/>
    <x v="0"/>
    <x v="9"/>
    <x v="9"/>
    <x v="0"/>
    <x v="1"/>
    <x v="0"/>
    <x v="0"/>
    <x v="0"/>
    <x v="0"/>
    <x v="0"/>
    <x v="0"/>
    <x v="4"/>
    <x v="5"/>
    <x v="5"/>
    <x v="3"/>
    <x v="3"/>
    <n v="21.226943840708799"/>
    <x v="0"/>
    <x v="0"/>
    <x v="1"/>
    <x v="3"/>
    <x v="3"/>
    <x v="3"/>
    <n v="23.137368786372594"/>
  </r>
  <r>
    <x v="9"/>
    <x v="0"/>
    <x v="9"/>
    <x v="9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9"/>
    <x v="0"/>
    <x v="9"/>
    <x v="9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9"/>
    <x v="0"/>
    <x v="9"/>
    <x v="9"/>
    <x v="0"/>
    <x v="1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0782171"/>
  </r>
  <r>
    <x v="9"/>
    <x v="0"/>
    <x v="9"/>
    <x v="9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9"/>
    <x v="0"/>
    <x v="9"/>
    <x v="9"/>
    <x v="0"/>
    <x v="1"/>
    <x v="0"/>
    <x v="0"/>
    <x v="0"/>
    <x v="0"/>
    <x v="3"/>
    <x v="3"/>
    <x v="2"/>
    <x v="2"/>
    <x v="2"/>
    <x v="5"/>
    <x v="5"/>
    <n v="20.341687116719001"/>
    <x v="0"/>
    <x v="0"/>
    <x v="1"/>
    <x v="1"/>
    <x v="1"/>
    <x v="5"/>
    <n v="22.172438957223711"/>
  </r>
  <r>
    <x v="9"/>
    <x v="0"/>
    <x v="9"/>
    <x v="9"/>
    <x v="0"/>
    <x v="1"/>
    <x v="0"/>
    <x v="0"/>
    <x v="0"/>
    <x v="0"/>
    <x v="3"/>
    <x v="3"/>
    <x v="2"/>
    <x v="2"/>
    <x v="2"/>
    <x v="6"/>
    <x v="6"/>
    <n v="104.13066000000001"/>
    <x v="0"/>
    <x v="0"/>
    <x v="0"/>
    <x v="0"/>
    <x v="4"/>
    <x v="6"/>
    <n v="113.50241940000001"/>
  </r>
  <r>
    <x v="9"/>
    <x v="0"/>
    <x v="9"/>
    <x v="9"/>
    <x v="0"/>
    <x v="1"/>
    <x v="0"/>
    <x v="0"/>
    <x v="0"/>
    <x v="0"/>
    <x v="3"/>
    <x v="3"/>
    <x v="2"/>
    <x v="2"/>
    <x v="2"/>
    <x v="8"/>
    <x v="8"/>
    <n v="658.08048649069804"/>
    <x v="0"/>
    <x v="1"/>
    <x v="2"/>
    <x v="2"/>
    <x v="6"/>
    <x v="8"/>
    <n v="717.30773027486089"/>
  </r>
  <r>
    <x v="9"/>
    <x v="0"/>
    <x v="9"/>
    <x v="9"/>
    <x v="0"/>
    <x v="1"/>
    <x v="0"/>
    <x v="0"/>
    <x v="0"/>
    <x v="0"/>
    <x v="3"/>
    <x v="3"/>
    <x v="2"/>
    <x v="2"/>
    <x v="2"/>
    <x v="9"/>
    <x v="9"/>
    <n v="1.4145504587147499"/>
    <x v="0"/>
    <x v="0"/>
    <x v="1"/>
    <x v="4"/>
    <x v="5"/>
    <x v="9"/>
    <n v="1.5418599999990776"/>
  </r>
  <r>
    <x v="9"/>
    <x v="0"/>
    <x v="9"/>
    <x v="9"/>
    <x v="0"/>
    <x v="1"/>
    <x v="0"/>
    <x v="0"/>
    <x v="0"/>
    <x v="0"/>
    <x v="3"/>
    <x v="3"/>
    <x v="2"/>
    <x v="2"/>
    <x v="2"/>
    <x v="16"/>
    <x v="16"/>
    <n v="16.79139"/>
    <x v="0"/>
    <x v="0"/>
    <x v="3"/>
    <x v="5"/>
    <x v="9"/>
    <x v="16"/>
    <n v="18.302615100000001"/>
  </r>
  <r>
    <x v="9"/>
    <x v="0"/>
    <x v="9"/>
    <x v="9"/>
    <x v="0"/>
    <x v="1"/>
    <x v="0"/>
    <x v="0"/>
    <x v="0"/>
    <x v="0"/>
    <x v="3"/>
    <x v="3"/>
    <x v="2"/>
    <x v="2"/>
    <x v="2"/>
    <x v="17"/>
    <x v="17"/>
    <n v="1.5831999999999999"/>
    <x v="0"/>
    <x v="0"/>
    <x v="0"/>
    <x v="0"/>
    <x v="4"/>
    <x v="17"/>
    <n v="1.7256880000000001"/>
  </r>
  <r>
    <x v="9"/>
    <x v="0"/>
    <x v="9"/>
    <x v="9"/>
    <x v="0"/>
    <x v="1"/>
    <x v="0"/>
    <x v="0"/>
    <x v="0"/>
    <x v="0"/>
    <x v="3"/>
    <x v="3"/>
    <x v="2"/>
    <x v="2"/>
    <x v="2"/>
    <x v="2"/>
    <x v="2"/>
    <n v="579.23665137579906"/>
    <x v="0"/>
    <x v="1"/>
    <x v="2"/>
    <x v="2"/>
    <x v="13"/>
    <x v="2"/>
    <n v="631.36794999962103"/>
  </r>
  <r>
    <x v="9"/>
    <x v="0"/>
    <x v="9"/>
    <x v="9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9"/>
    <x v="0"/>
    <x v="9"/>
    <x v="9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9"/>
    <x v="0"/>
    <x v="9"/>
    <x v="9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9"/>
    <x v="0"/>
    <x v="9"/>
    <x v="9"/>
    <x v="0"/>
    <x v="1"/>
    <x v="0"/>
    <x v="0"/>
    <x v="0"/>
    <x v="0"/>
    <x v="3"/>
    <x v="3"/>
    <x v="4"/>
    <x v="5"/>
    <x v="5"/>
    <x v="12"/>
    <x v="12"/>
    <n v="59.0275232555896"/>
    <x v="0"/>
    <x v="0"/>
    <x v="0"/>
    <x v="0"/>
    <x v="8"/>
    <x v="12"/>
    <n v="64.340000348592667"/>
  </r>
  <r>
    <x v="9"/>
    <x v="0"/>
    <x v="9"/>
    <x v="9"/>
    <x v="0"/>
    <x v="1"/>
    <x v="0"/>
    <x v="0"/>
    <x v="0"/>
    <x v="0"/>
    <x v="3"/>
    <x v="3"/>
    <x v="4"/>
    <x v="5"/>
    <x v="5"/>
    <x v="18"/>
    <x v="18"/>
    <n v="12.893660000000001"/>
    <x v="0"/>
    <x v="0"/>
    <x v="0"/>
    <x v="0"/>
    <x v="4"/>
    <x v="18"/>
    <n v="14.054089400000002"/>
  </r>
  <r>
    <x v="9"/>
    <x v="0"/>
    <x v="9"/>
    <x v="9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9"/>
    <x v="0"/>
    <x v="9"/>
    <x v="9"/>
    <x v="0"/>
    <x v="1"/>
    <x v="0"/>
    <x v="0"/>
    <x v="0"/>
    <x v="0"/>
    <x v="3"/>
    <x v="3"/>
    <x v="4"/>
    <x v="5"/>
    <x v="5"/>
    <x v="0"/>
    <x v="0"/>
    <n v="159.19623843371801"/>
    <x v="0"/>
    <x v="0"/>
    <x v="0"/>
    <x v="0"/>
    <x v="0"/>
    <x v="0"/>
    <n v="173.52389989275264"/>
  </r>
  <r>
    <x v="9"/>
    <x v="0"/>
    <x v="9"/>
    <x v="9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9"/>
    <x v="0"/>
    <x v="9"/>
    <x v="9"/>
    <x v="0"/>
    <x v="1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9"/>
    <x v="0"/>
    <x v="9"/>
    <x v="9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9"/>
    <x v="0"/>
    <x v="9"/>
    <x v="9"/>
    <x v="0"/>
    <x v="1"/>
    <x v="0"/>
    <x v="0"/>
    <x v="0"/>
    <x v="0"/>
    <x v="4"/>
    <x v="4"/>
    <x v="2"/>
    <x v="2"/>
    <x v="2"/>
    <x v="6"/>
    <x v="6"/>
    <n v="0.83542000000000005"/>
    <x v="0"/>
    <x v="0"/>
    <x v="0"/>
    <x v="0"/>
    <x v="4"/>
    <x v="6"/>
    <n v="0.91060780000000008"/>
  </r>
  <r>
    <x v="9"/>
    <x v="0"/>
    <x v="9"/>
    <x v="9"/>
    <x v="0"/>
    <x v="1"/>
    <x v="0"/>
    <x v="0"/>
    <x v="0"/>
    <x v="0"/>
    <x v="4"/>
    <x v="4"/>
    <x v="2"/>
    <x v="2"/>
    <x v="2"/>
    <x v="7"/>
    <x v="7"/>
    <n v="0.40504587155938998"/>
    <x v="0"/>
    <x v="0"/>
    <x v="1"/>
    <x v="4"/>
    <x v="5"/>
    <x v="7"/>
    <n v="0.4414999999997351"/>
  </r>
  <r>
    <x v="9"/>
    <x v="0"/>
    <x v="9"/>
    <x v="9"/>
    <x v="0"/>
    <x v="1"/>
    <x v="0"/>
    <x v="0"/>
    <x v="0"/>
    <x v="0"/>
    <x v="4"/>
    <x v="4"/>
    <x v="2"/>
    <x v="2"/>
    <x v="2"/>
    <x v="8"/>
    <x v="8"/>
    <n v="1.0997567567638"/>
    <x v="0"/>
    <x v="1"/>
    <x v="2"/>
    <x v="2"/>
    <x v="6"/>
    <x v="8"/>
    <n v="1.1987348648725422"/>
  </r>
  <r>
    <x v="9"/>
    <x v="0"/>
    <x v="9"/>
    <x v="9"/>
    <x v="0"/>
    <x v="1"/>
    <x v="0"/>
    <x v="0"/>
    <x v="0"/>
    <x v="0"/>
    <x v="4"/>
    <x v="4"/>
    <x v="2"/>
    <x v="2"/>
    <x v="2"/>
    <x v="9"/>
    <x v="9"/>
    <n v="0.69758715596288001"/>
    <x v="0"/>
    <x v="0"/>
    <x v="1"/>
    <x v="4"/>
    <x v="5"/>
    <x v="9"/>
    <n v="0.76036999999953925"/>
  </r>
  <r>
    <x v="9"/>
    <x v="0"/>
    <x v="9"/>
    <x v="9"/>
    <x v="0"/>
    <x v="1"/>
    <x v="0"/>
    <x v="0"/>
    <x v="0"/>
    <x v="0"/>
    <x v="4"/>
    <x v="4"/>
    <x v="2"/>
    <x v="2"/>
    <x v="2"/>
    <x v="29"/>
    <x v="29"/>
    <n v="1.0132000000000001"/>
    <x v="0"/>
    <x v="0"/>
    <x v="1"/>
    <x v="3"/>
    <x v="3"/>
    <x v="13"/>
    <n v="1.1043880000000001"/>
  </r>
  <r>
    <x v="9"/>
    <x v="0"/>
    <x v="9"/>
    <x v="9"/>
    <x v="0"/>
    <x v="1"/>
    <x v="0"/>
    <x v="0"/>
    <x v="0"/>
    <x v="0"/>
    <x v="4"/>
    <x v="4"/>
    <x v="2"/>
    <x v="2"/>
    <x v="2"/>
    <x v="12"/>
    <x v="12"/>
    <n v="17.788325581327801"/>
    <x v="0"/>
    <x v="0"/>
    <x v="0"/>
    <x v="0"/>
    <x v="8"/>
    <x v="12"/>
    <n v="19.389274883647303"/>
  </r>
  <r>
    <x v="9"/>
    <x v="0"/>
    <x v="9"/>
    <x v="9"/>
    <x v="0"/>
    <x v="1"/>
    <x v="0"/>
    <x v="0"/>
    <x v="0"/>
    <x v="0"/>
    <x v="4"/>
    <x v="4"/>
    <x v="2"/>
    <x v="2"/>
    <x v="2"/>
    <x v="14"/>
    <x v="14"/>
    <n v="0.19264999999999999"/>
    <x v="0"/>
    <x v="0"/>
    <x v="0"/>
    <x v="0"/>
    <x v="8"/>
    <x v="14"/>
    <n v="0.20998849999999999"/>
  </r>
  <r>
    <x v="9"/>
    <x v="0"/>
    <x v="9"/>
    <x v="9"/>
    <x v="0"/>
    <x v="1"/>
    <x v="0"/>
    <x v="0"/>
    <x v="0"/>
    <x v="0"/>
    <x v="4"/>
    <x v="4"/>
    <x v="2"/>
    <x v="2"/>
    <x v="2"/>
    <x v="16"/>
    <x v="16"/>
    <n v="10.4352"/>
    <x v="0"/>
    <x v="0"/>
    <x v="3"/>
    <x v="5"/>
    <x v="9"/>
    <x v="16"/>
    <n v="11.374368"/>
  </r>
  <r>
    <x v="9"/>
    <x v="0"/>
    <x v="9"/>
    <x v="9"/>
    <x v="0"/>
    <x v="1"/>
    <x v="0"/>
    <x v="0"/>
    <x v="0"/>
    <x v="0"/>
    <x v="4"/>
    <x v="4"/>
    <x v="2"/>
    <x v="2"/>
    <x v="2"/>
    <x v="25"/>
    <x v="25"/>
    <n v="0.13954128440359001"/>
    <x v="0"/>
    <x v="0"/>
    <x v="1"/>
    <x v="4"/>
    <x v="5"/>
    <x v="9"/>
    <n v="0.15209999999991311"/>
  </r>
  <r>
    <x v="9"/>
    <x v="0"/>
    <x v="9"/>
    <x v="9"/>
    <x v="0"/>
    <x v="1"/>
    <x v="0"/>
    <x v="0"/>
    <x v="0"/>
    <x v="0"/>
    <x v="4"/>
    <x v="4"/>
    <x v="2"/>
    <x v="2"/>
    <x v="2"/>
    <x v="27"/>
    <x v="27"/>
    <n v="1.8959099099501"/>
    <x v="0"/>
    <x v="0"/>
    <x v="1"/>
    <x v="3"/>
    <x v="3"/>
    <x v="19"/>
    <n v="2.066541801845609"/>
  </r>
  <r>
    <x v="9"/>
    <x v="0"/>
    <x v="9"/>
    <x v="9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9"/>
    <x v="0"/>
    <x v="9"/>
    <x v="9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9"/>
    <x v="0"/>
    <x v="9"/>
    <x v="9"/>
    <x v="0"/>
    <x v="1"/>
    <x v="0"/>
    <x v="0"/>
    <x v="2"/>
    <x v="2"/>
    <x v="5"/>
    <x v="5"/>
    <x v="2"/>
    <x v="2"/>
    <x v="2"/>
    <x v="42"/>
    <x v="42"/>
    <n v="12.137879999999999"/>
    <x v="1"/>
    <x v="2"/>
    <x v="5"/>
    <x v="7"/>
    <x v="11"/>
    <x v="22"/>
    <n v="13.2302892"/>
  </r>
  <r>
    <x v="9"/>
    <x v="0"/>
    <x v="9"/>
    <x v="9"/>
    <x v="0"/>
    <x v="1"/>
    <x v="0"/>
    <x v="0"/>
    <x v="2"/>
    <x v="2"/>
    <x v="5"/>
    <x v="5"/>
    <x v="2"/>
    <x v="2"/>
    <x v="2"/>
    <x v="41"/>
    <x v="41"/>
    <n v="7.8799255318849504"/>
    <x v="1"/>
    <x v="2"/>
    <x v="5"/>
    <x v="7"/>
    <x v="11"/>
    <x v="22"/>
    <n v="8.5891188297545966"/>
  </r>
  <r>
    <x v="9"/>
    <x v="0"/>
    <x v="9"/>
    <x v="9"/>
    <x v="0"/>
    <x v="1"/>
    <x v="0"/>
    <x v="0"/>
    <x v="2"/>
    <x v="2"/>
    <x v="5"/>
    <x v="5"/>
    <x v="2"/>
    <x v="2"/>
    <x v="2"/>
    <x v="40"/>
    <x v="40"/>
    <n v="409.05243999999999"/>
    <x v="1"/>
    <x v="2"/>
    <x v="5"/>
    <x v="7"/>
    <x v="11"/>
    <x v="22"/>
    <n v="445.86715960000004"/>
  </r>
  <r>
    <x v="9"/>
    <x v="0"/>
    <x v="9"/>
    <x v="9"/>
    <x v="0"/>
    <x v="1"/>
    <x v="0"/>
    <x v="0"/>
    <x v="2"/>
    <x v="2"/>
    <x v="5"/>
    <x v="5"/>
    <x v="2"/>
    <x v="2"/>
    <x v="2"/>
    <x v="38"/>
    <x v="38"/>
    <n v="13.71391"/>
    <x v="1"/>
    <x v="0"/>
    <x v="4"/>
    <x v="6"/>
    <x v="10"/>
    <x v="21"/>
    <n v="14.948161900000001"/>
  </r>
  <r>
    <x v="9"/>
    <x v="0"/>
    <x v="9"/>
    <x v="9"/>
    <x v="0"/>
    <x v="1"/>
    <x v="0"/>
    <x v="0"/>
    <x v="0"/>
    <x v="0"/>
    <x v="5"/>
    <x v="5"/>
    <x v="2"/>
    <x v="2"/>
    <x v="2"/>
    <x v="17"/>
    <x v="17"/>
    <n v="10.592689999999999"/>
    <x v="0"/>
    <x v="0"/>
    <x v="0"/>
    <x v="0"/>
    <x v="4"/>
    <x v="17"/>
    <n v="11.5460321"/>
  </r>
  <r>
    <x v="9"/>
    <x v="0"/>
    <x v="9"/>
    <x v="9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9"/>
    <x v="0"/>
    <x v="9"/>
    <x v="9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9"/>
    <x v="0"/>
    <x v="9"/>
    <x v="9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9"/>
    <x v="0"/>
    <x v="9"/>
    <x v="9"/>
    <x v="0"/>
    <x v="1"/>
    <x v="0"/>
    <x v="0"/>
    <x v="2"/>
    <x v="2"/>
    <x v="5"/>
    <x v="5"/>
    <x v="3"/>
    <x v="7"/>
    <x v="7"/>
    <x v="40"/>
    <x v="40"/>
    <n v="7.1696600000000004"/>
    <x v="1"/>
    <x v="2"/>
    <x v="5"/>
    <x v="7"/>
    <x v="11"/>
    <x v="22"/>
    <n v="7.8149294000000014"/>
  </r>
  <r>
    <x v="9"/>
    <x v="0"/>
    <x v="9"/>
    <x v="9"/>
    <x v="0"/>
    <x v="1"/>
    <x v="0"/>
    <x v="0"/>
    <x v="2"/>
    <x v="2"/>
    <x v="5"/>
    <x v="5"/>
    <x v="1"/>
    <x v="8"/>
    <x v="8"/>
    <x v="40"/>
    <x v="40"/>
    <n v="4.9731399999999999"/>
    <x v="1"/>
    <x v="2"/>
    <x v="5"/>
    <x v="7"/>
    <x v="11"/>
    <x v="22"/>
    <n v="5.4207226000000004"/>
  </r>
  <r>
    <x v="9"/>
    <x v="0"/>
    <x v="9"/>
    <x v="9"/>
    <x v="0"/>
    <x v="1"/>
    <x v="0"/>
    <x v="0"/>
    <x v="2"/>
    <x v="2"/>
    <x v="5"/>
    <x v="5"/>
    <x v="2"/>
    <x v="10"/>
    <x v="10"/>
    <x v="40"/>
    <x v="40"/>
    <n v="1.16126"/>
    <x v="1"/>
    <x v="2"/>
    <x v="5"/>
    <x v="7"/>
    <x v="11"/>
    <x v="22"/>
    <n v="1.2657734"/>
  </r>
  <r>
    <x v="9"/>
    <x v="0"/>
    <x v="9"/>
    <x v="9"/>
    <x v="0"/>
    <x v="1"/>
    <x v="0"/>
    <x v="0"/>
    <x v="2"/>
    <x v="2"/>
    <x v="5"/>
    <x v="5"/>
    <x v="4"/>
    <x v="5"/>
    <x v="5"/>
    <x v="40"/>
    <x v="40"/>
    <n v="166.8066"/>
    <x v="1"/>
    <x v="2"/>
    <x v="5"/>
    <x v="7"/>
    <x v="11"/>
    <x v="22"/>
    <n v="181.81919400000001"/>
  </r>
  <r>
    <x v="9"/>
    <x v="0"/>
    <x v="9"/>
    <x v="9"/>
    <x v="0"/>
    <x v="1"/>
    <x v="0"/>
    <x v="0"/>
    <x v="2"/>
    <x v="2"/>
    <x v="6"/>
    <x v="6"/>
    <x v="2"/>
    <x v="2"/>
    <x v="2"/>
    <x v="40"/>
    <x v="40"/>
    <n v="9.6453900000000008"/>
    <x v="1"/>
    <x v="2"/>
    <x v="5"/>
    <x v="7"/>
    <x v="11"/>
    <x v="22"/>
    <n v="10.513475100000001"/>
  </r>
  <r>
    <x v="9"/>
    <x v="0"/>
    <x v="9"/>
    <x v="9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9"/>
    <x v="0"/>
    <x v="9"/>
    <x v="9"/>
    <x v="0"/>
    <x v="1"/>
    <x v="0"/>
    <x v="0"/>
    <x v="2"/>
    <x v="2"/>
    <x v="7"/>
    <x v="7"/>
    <x v="2"/>
    <x v="2"/>
    <x v="2"/>
    <x v="40"/>
    <x v="40"/>
    <n v="120.54883"/>
    <x v="1"/>
    <x v="2"/>
    <x v="5"/>
    <x v="7"/>
    <x v="11"/>
    <x v="22"/>
    <n v="131.39822470000001"/>
  </r>
  <r>
    <x v="9"/>
    <x v="0"/>
    <x v="9"/>
    <x v="9"/>
    <x v="0"/>
    <x v="1"/>
    <x v="0"/>
    <x v="0"/>
    <x v="2"/>
    <x v="2"/>
    <x v="7"/>
    <x v="7"/>
    <x v="2"/>
    <x v="2"/>
    <x v="2"/>
    <x v="38"/>
    <x v="38"/>
    <n v="161.95122000000001"/>
    <x v="1"/>
    <x v="0"/>
    <x v="4"/>
    <x v="6"/>
    <x v="10"/>
    <x v="21"/>
    <n v="176.52682980000003"/>
  </r>
  <r>
    <x v="9"/>
    <x v="0"/>
    <x v="9"/>
    <x v="9"/>
    <x v="0"/>
    <x v="1"/>
    <x v="0"/>
    <x v="0"/>
    <x v="2"/>
    <x v="2"/>
    <x v="7"/>
    <x v="7"/>
    <x v="2"/>
    <x v="2"/>
    <x v="2"/>
    <x v="43"/>
    <x v="43"/>
    <n v="1.22221"/>
    <x v="1"/>
    <x v="0"/>
    <x v="4"/>
    <x v="6"/>
    <x v="10"/>
    <x v="21"/>
    <n v="1.3322089000000001"/>
  </r>
  <r>
    <x v="9"/>
    <x v="0"/>
    <x v="9"/>
    <x v="9"/>
    <x v="0"/>
    <x v="1"/>
    <x v="0"/>
    <x v="0"/>
    <x v="2"/>
    <x v="2"/>
    <x v="7"/>
    <x v="7"/>
    <x v="2"/>
    <x v="2"/>
    <x v="2"/>
    <x v="44"/>
    <x v="44"/>
    <n v="3.6538900000000001"/>
    <x v="1"/>
    <x v="0"/>
    <x v="4"/>
    <x v="6"/>
    <x v="10"/>
    <x v="21"/>
    <n v="3.9827401000000004"/>
  </r>
  <r>
    <x v="9"/>
    <x v="0"/>
    <x v="9"/>
    <x v="9"/>
    <x v="0"/>
    <x v="1"/>
    <x v="0"/>
    <x v="0"/>
    <x v="0"/>
    <x v="0"/>
    <x v="7"/>
    <x v="7"/>
    <x v="2"/>
    <x v="2"/>
    <x v="2"/>
    <x v="17"/>
    <x v="17"/>
    <n v="1.48445"/>
    <x v="0"/>
    <x v="0"/>
    <x v="0"/>
    <x v="0"/>
    <x v="4"/>
    <x v="17"/>
    <n v="1.6180505000000003"/>
  </r>
  <r>
    <x v="9"/>
    <x v="0"/>
    <x v="9"/>
    <x v="9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9"/>
    <x v="0"/>
    <x v="9"/>
    <x v="9"/>
    <x v="0"/>
    <x v="1"/>
    <x v="0"/>
    <x v="0"/>
    <x v="2"/>
    <x v="2"/>
    <x v="7"/>
    <x v="7"/>
    <x v="2"/>
    <x v="2"/>
    <x v="2"/>
    <x v="46"/>
    <x v="46"/>
    <n v="4.7752999999999997"/>
    <x v="1"/>
    <x v="0"/>
    <x v="4"/>
    <x v="6"/>
    <x v="10"/>
    <x v="21"/>
    <n v="5.2050770000000002"/>
  </r>
  <r>
    <x v="9"/>
    <x v="0"/>
    <x v="9"/>
    <x v="9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9"/>
    <x v="0"/>
    <x v="9"/>
    <x v="9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9"/>
    <x v="0"/>
    <x v="9"/>
    <x v="9"/>
    <x v="0"/>
    <x v="1"/>
    <x v="0"/>
    <x v="0"/>
    <x v="2"/>
    <x v="2"/>
    <x v="7"/>
    <x v="7"/>
    <x v="3"/>
    <x v="7"/>
    <x v="7"/>
    <x v="40"/>
    <x v="40"/>
    <n v="179.23591999999999"/>
    <x v="1"/>
    <x v="2"/>
    <x v="5"/>
    <x v="7"/>
    <x v="11"/>
    <x v="22"/>
    <n v="195.36715280000001"/>
  </r>
  <r>
    <x v="9"/>
    <x v="0"/>
    <x v="9"/>
    <x v="9"/>
    <x v="0"/>
    <x v="1"/>
    <x v="0"/>
    <x v="0"/>
    <x v="2"/>
    <x v="2"/>
    <x v="7"/>
    <x v="7"/>
    <x v="1"/>
    <x v="8"/>
    <x v="8"/>
    <x v="40"/>
    <x v="40"/>
    <n v="17.89124"/>
    <x v="1"/>
    <x v="2"/>
    <x v="5"/>
    <x v="7"/>
    <x v="11"/>
    <x v="22"/>
    <n v="19.501451600000003"/>
  </r>
  <r>
    <x v="9"/>
    <x v="0"/>
    <x v="9"/>
    <x v="9"/>
    <x v="0"/>
    <x v="1"/>
    <x v="0"/>
    <x v="0"/>
    <x v="2"/>
    <x v="2"/>
    <x v="7"/>
    <x v="7"/>
    <x v="2"/>
    <x v="10"/>
    <x v="10"/>
    <x v="40"/>
    <x v="40"/>
    <n v="3.8710200000000001"/>
    <x v="1"/>
    <x v="2"/>
    <x v="5"/>
    <x v="7"/>
    <x v="11"/>
    <x v="22"/>
    <n v="4.2194118000000005"/>
  </r>
  <r>
    <x v="9"/>
    <x v="0"/>
    <x v="9"/>
    <x v="9"/>
    <x v="0"/>
    <x v="1"/>
    <x v="0"/>
    <x v="0"/>
    <x v="2"/>
    <x v="2"/>
    <x v="7"/>
    <x v="7"/>
    <x v="4"/>
    <x v="5"/>
    <x v="5"/>
    <x v="40"/>
    <x v="40"/>
    <n v="135.43428"/>
    <x v="1"/>
    <x v="2"/>
    <x v="5"/>
    <x v="7"/>
    <x v="11"/>
    <x v="22"/>
    <n v="147.62336520000002"/>
  </r>
  <r>
    <x v="9"/>
    <x v="0"/>
    <x v="9"/>
    <x v="9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9"/>
    <x v="0"/>
    <x v="9"/>
    <x v="9"/>
    <x v="0"/>
    <x v="1"/>
    <x v="0"/>
    <x v="0"/>
    <x v="2"/>
    <x v="2"/>
    <x v="8"/>
    <x v="8"/>
    <x v="2"/>
    <x v="2"/>
    <x v="2"/>
    <x v="40"/>
    <x v="40"/>
    <n v="86.024850000000001"/>
    <x v="1"/>
    <x v="2"/>
    <x v="5"/>
    <x v="7"/>
    <x v="11"/>
    <x v="22"/>
    <n v="93.767086500000005"/>
  </r>
  <r>
    <x v="9"/>
    <x v="0"/>
    <x v="9"/>
    <x v="9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9"/>
    <x v="0"/>
    <x v="9"/>
    <x v="9"/>
    <x v="0"/>
    <x v="1"/>
    <x v="0"/>
    <x v="0"/>
    <x v="2"/>
    <x v="2"/>
    <x v="9"/>
    <x v="9"/>
    <x v="2"/>
    <x v="2"/>
    <x v="2"/>
    <x v="40"/>
    <x v="40"/>
    <n v="783.97161000000006"/>
    <x v="1"/>
    <x v="2"/>
    <x v="5"/>
    <x v="7"/>
    <x v="11"/>
    <x v="22"/>
    <n v="854.52905490000012"/>
  </r>
  <r>
    <x v="9"/>
    <x v="0"/>
    <x v="9"/>
    <x v="9"/>
    <x v="0"/>
    <x v="1"/>
    <x v="0"/>
    <x v="0"/>
    <x v="2"/>
    <x v="2"/>
    <x v="9"/>
    <x v="9"/>
    <x v="2"/>
    <x v="2"/>
    <x v="2"/>
    <x v="38"/>
    <x v="38"/>
    <n v="256.25574"/>
    <x v="1"/>
    <x v="0"/>
    <x v="4"/>
    <x v="6"/>
    <x v="10"/>
    <x v="21"/>
    <n v="279.31875660000003"/>
  </r>
  <r>
    <x v="9"/>
    <x v="0"/>
    <x v="9"/>
    <x v="9"/>
    <x v="0"/>
    <x v="1"/>
    <x v="0"/>
    <x v="0"/>
    <x v="2"/>
    <x v="2"/>
    <x v="9"/>
    <x v="9"/>
    <x v="2"/>
    <x v="2"/>
    <x v="2"/>
    <x v="48"/>
    <x v="48"/>
    <n v="33.990960000000001"/>
    <x v="1"/>
    <x v="0"/>
    <x v="4"/>
    <x v="6"/>
    <x v="10"/>
    <x v="21"/>
    <n v="37.050146400000003"/>
  </r>
  <r>
    <x v="9"/>
    <x v="0"/>
    <x v="9"/>
    <x v="9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9"/>
    <x v="0"/>
    <x v="9"/>
    <x v="9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9"/>
    <x v="0"/>
    <x v="9"/>
    <x v="9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9"/>
    <x v="0"/>
    <x v="9"/>
    <x v="9"/>
    <x v="0"/>
    <x v="1"/>
    <x v="0"/>
    <x v="0"/>
    <x v="0"/>
    <x v="0"/>
    <x v="9"/>
    <x v="9"/>
    <x v="1"/>
    <x v="6"/>
    <x v="6"/>
    <x v="12"/>
    <x v="12"/>
    <n v="15.8976744185442"/>
    <x v="0"/>
    <x v="0"/>
    <x v="0"/>
    <x v="0"/>
    <x v="8"/>
    <x v="12"/>
    <n v="17.328465116213181"/>
  </r>
  <r>
    <x v="9"/>
    <x v="0"/>
    <x v="9"/>
    <x v="9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9"/>
    <x v="0"/>
    <x v="9"/>
    <x v="9"/>
    <x v="0"/>
    <x v="1"/>
    <x v="0"/>
    <x v="0"/>
    <x v="2"/>
    <x v="2"/>
    <x v="9"/>
    <x v="9"/>
    <x v="3"/>
    <x v="7"/>
    <x v="7"/>
    <x v="40"/>
    <x v="40"/>
    <n v="890.49692000000005"/>
    <x v="1"/>
    <x v="2"/>
    <x v="5"/>
    <x v="7"/>
    <x v="11"/>
    <x v="22"/>
    <n v="970.64164280000011"/>
  </r>
  <r>
    <x v="9"/>
    <x v="0"/>
    <x v="9"/>
    <x v="9"/>
    <x v="0"/>
    <x v="1"/>
    <x v="0"/>
    <x v="0"/>
    <x v="2"/>
    <x v="2"/>
    <x v="9"/>
    <x v="9"/>
    <x v="1"/>
    <x v="8"/>
    <x v="8"/>
    <x v="40"/>
    <x v="40"/>
    <n v="245.1156"/>
    <x v="1"/>
    <x v="2"/>
    <x v="5"/>
    <x v="7"/>
    <x v="11"/>
    <x v="22"/>
    <n v="267.17600400000003"/>
  </r>
  <r>
    <x v="9"/>
    <x v="0"/>
    <x v="9"/>
    <x v="9"/>
    <x v="0"/>
    <x v="1"/>
    <x v="0"/>
    <x v="0"/>
    <x v="2"/>
    <x v="2"/>
    <x v="9"/>
    <x v="9"/>
    <x v="2"/>
    <x v="10"/>
    <x v="10"/>
    <x v="40"/>
    <x v="40"/>
    <n v="192.58104"/>
    <x v="1"/>
    <x v="2"/>
    <x v="5"/>
    <x v="7"/>
    <x v="11"/>
    <x v="22"/>
    <n v="209.91333360000002"/>
  </r>
  <r>
    <x v="9"/>
    <x v="0"/>
    <x v="9"/>
    <x v="9"/>
    <x v="0"/>
    <x v="1"/>
    <x v="0"/>
    <x v="0"/>
    <x v="2"/>
    <x v="2"/>
    <x v="9"/>
    <x v="9"/>
    <x v="4"/>
    <x v="5"/>
    <x v="5"/>
    <x v="40"/>
    <x v="40"/>
    <n v="1345.2787800000001"/>
    <x v="1"/>
    <x v="2"/>
    <x v="5"/>
    <x v="7"/>
    <x v="11"/>
    <x v="22"/>
    <n v="1466.3538702000003"/>
  </r>
  <r>
    <x v="9"/>
    <x v="0"/>
    <x v="9"/>
    <x v="9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9"/>
    <x v="0"/>
    <x v="9"/>
    <x v="9"/>
    <x v="0"/>
    <x v="1"/>
    <x v="0"/>
    <x v="0"/>
    <x v="2"/>
    <x v="2"/>
    <x v="10"/>
    <x v="10"/>
    <x v="2"/>
    <x v="2"/>
    <x v="2"/>
    <x v="41"/>
    <x v="41"/>
    <n v="3.3308297872213899"/>
    <x v="1"/>
    <x v="2"/>
    <x v="5"/>
    <x v="7"/>
    <x v="11"/>
    <x v="22"/>
    <n v="3.6306044680713154"/>
  </r>
  <r>
    <x v="9"/>
    <x v="0"/>
    <x v="9"/>
    <x v="9"/>
    <x v="0"/>
    <x v="1"/>
    <x v="0"/>
    <x v="0"/>
    <x v="2"/>
    <x v="2"/>
    <x v="10"/>
    <x v="10"/>
    <x v="2"/>
    <x v="2"/>
    <x v="2"/>
    <x v="40"/>
    <x v="40"/>
    <n v="322.17484000000002"/>
    <x v="1"/>
    <x v="2"/>
    <x v="5"/>
    <x v="7"/>
    <x v="11"/>
    <x v="22"/>
    <n v="351.17057560000006"/>
  </r>
  <r>
    <x v="9"/>
    <x v="0"/>
    <x v="9"/>
    <x v="9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9"/>
    <x v="0"/>
    <x v="9"/>
    <x v="9"/>
    <x v="0"/>
    <x v="1"/>
    <x v="0"/>
    <x v="0"/>
    <x v="3"/>
    <x v="3"/>
    <x v="12"/>
    <x v="12"/>
    <x v="2"/>
    <x v="2"/>
    <x v="2"/>
    <x v="40"/>
    <x v="40"/>
    <n v="9.4770400000000006"/>
    <x v="1"/>
    <x v="2"/>
    <x v="5"/>
    <x v="7"/>
    <x v="11"/>
    <x v="22"/>
    <n v="10.329973600000001"/>
  </r>
  <r>
    <x v="9"/>
    <x v="0"/>
    <x v="9"/>
    <x v="9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9"/>
    <x v="0"/>
    <x v="9"/>
    <x v="9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9"/>
    <x v="0"/>
    <x v="9"/>
    <x v="9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9"/>
    <x v="0"/>
    <x v="9"/>
    <x v="9"/>
    <x v="0"/>
    <x v="1"/>
    <x v="0"/>
    <x v="0"/>
    <x v="3"/>
    <x v="3"/>
    <x v="12"/>
    <x v="12"/>
    <x v="3"/>
    <x v="7"/>
    <x v="7"/>
    <x v="40"/>
    <x v="40"/>
    <n v="10.14532"/>
    <x v="1"/>
    <x v="2"/>
    <x v="5"/>
    <x v="7"/>
    <x v="11"/>
    <x v="22"/>
    <n v="11.058398800000001"/>
  </r>
  <r>
    <x v="9"/>
    <x v="0"/>
    <x v="9"/>
    <x v="9"/>
    <x v="0"/>
    <x v="1"/>
    <x v="0"/>
    <x v="0"/>
    <x v="3"/>
    <x v="3"/>
    <x v="12"/>
    <x v="12"/>
    <x v="4"/>
    <x v="5"/>
    <x v="5"/>
    <x v="40"/>
    <x v="40"/>
    <n v="20.574719999999999"/>
    <x v="1"/>
    <x v="2"/>
    <x v="5"/>
    <x v="7"/>
    <x v="11"/>
    <x v="22"/>
    <n v="22.426444800000002"/>
  </r>
  <r>
    <x v="9"/>
    <x v="0"/>
    <x v="9"/>
    <x v="9"/>
    <x v="0"/>
    <x v="1"/>
    <x v="0"/>
    <x v="0"/>
    <x v="3"/>
    <x v="3"/>
    <x v="13"/>
    <x v="13"/>
    <x v="2"/>
    <x v="2"/>
    <x v="2"/>
    <x v="41"/>
    <x v="41"/>
    <n v="21.823840425448999"/>
    <x v="1"/>
    <x v="2"/>
    <x v="5"/>
    <x v="7"/>
    <x v="11"/>
    <x v="22"/>
    <n v="23.78798606373941"/>
  </r>
  <r>
    <x v="9"/>
    <x v="0"/>
    <x v="9"/>
    <x v="9"/>
    <x v="0"/>
    <x v="1"/>
    <x v="0"/>
    <x v="0"/>
    <x v="3"/>
    <x v="3"/>
    <x v="13"/>
    <x v="13"/>
    <x v="2"/>
    <x v="2"/>
    <x v="2"/>
    <x v="40"/>
    <x v="40"/>
    <n v="223.89708999999999"/>
    <x v="1"/>
    <x v="2"/>
    <x v="5"/>
    <x v="7"/>
    <x v="11"/>
    <x v="22"/>
    <n v="244.0478281"/>
  </r>
  <r>
    <x v="9"/>
    <x v="0"/>
    <x v="9"/>
    <x v="9"/>
    <x v="0"/>
    <x v="1"/>
    <x v="0"/>
    <x v="0"/>
    <x v="3"/>
    <x v="3"/>
    <x v="13"/>
    <x v="13"/>
    <x v="2"/>
    <x v="2"/>
    <x v="2"/>
    <x v="12"/>
    <x v="12"/>
    <n v="26.4454883719925"/>
    <x v="0"/>
    <x v="0"/>
    <x v="0"/>
    <x v="0"/>
    <x v="8"/>
    <x v="12"/>
    <n v="28.825582325471828"/>
  </r>
  <r>
    <x v="9"/>
    <x v="0"/>
    <x v="9"/>
    <x v="9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9"/>
    <x v="0"/>
    <x v="9"/>
    <x v="9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9"/>
    <x v="0"/>
    <x v="9"/>
    <x v="9"/>
    <x v="0"/>
    <x v="1"/>
    <x v="0"/>
    <x v="0"/>
    <x v="3"/>
    <x v="3"/>
    <x v="13"/>
    <x v="13"/>
    <x v="1"/>
    <x v="8"/>
    <x v="8"/>
    <x v="40"/>
    <x v="40"/>
    <n v="2.5610400000000002"/>
    <x v="1"/>
    <x v="2"/>
    <x v="5"/>
    <x v="7"/>
    <x v="11"/>
    <x v="22"/>
    <n v="2.7915336000000006"/>
  </r>
  <r>
    <x v="9"/>
    <x v="0"/>
    <x v="9"/>
    <x v="9"/>
    <x v="0"/>
    <x v="1"/>
    <x v="0"/>
    <x v="0"/>
    <x v="3"/>
    <x v="3"/>
    <x v="13"/>
    <x v="13"/>
    <x v="4"/>
    <x v="5"/>
    <x v="5"/>
    <x v="40"/>
    <x v="40"/>
    <n v="1.19736"/>
    <x v="1"/>
    <x v="2"/>
    <x v="5"/>
    <x v="7"/>
    <x v="11"/>
    <x v="22"/>
    <n v="1.3051224000000001"/>
  </r>
  <r>
    <x v="9"/>
    <x v="0"/>
    <x v="9"/>
    <x v="9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9"/>
    <x v="0"/>
    <x v="9"/>
    <x v="9"/>
    <x v="0"/>
    <x v="1"/>
    <x v="0"/>
    <x v="0"/>
    <x v="2"/>
    <x v="2"/>
    <x v="14"/>
    <x v="14"/>
    <x v="2"/>
    <x v="2"/>
    <x v="2"/>
    <x v="40"/>
    <x v="40"/>
    <n v="25.010339999999999"/>
    <x v="1"/>
    <x v="2"/>
    <x v="5"/>
    <x v="7"/>
    <x v="11"/>
    <x v="22"/>
    <n v="27.2612706"/>
  </r>
  <r>
    <x v="9"/>
    <x v="0"/>
    <x v="9"/>
    <x v="9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9"/>
    <x v="0"/>
    <x v="9"/>
    <x v="9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9"/>
    <x v="0"/>
    <x v="9"/>
    <x v="9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9"/>
    <x v="0"/>
    <x v="9"/>
    <x v="9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9"/>
    <x v="0"/>
    <x v="9"/>
    <x v="9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9"/>
    <x v="0"/>
    <x v="9"/>
    <x v="9"/>
    <x v="0"/>
    <x v="1"/>
    <x v="0"/>
    <x v="0"/>
    <x v="2"/>
    <x v="2"/>
    <x v="17"/>
    <x v="17"/>
    <x v="2"/>
    <x v="2"/>
    <x v="2"/>
    <x v="42"/>
    <x v="42"/>
    <n v="2.7487499999999998"/>
    <x v="1"/>
    <x v="2"/>
    <x v="5"/>
    <x v="7"/>
    <x v="11"/>
    <x v="22"/>
    <n v="2.9961375000000001"/>
  </r>
  <r>
    <x v="9"/>
    <x v="0"/>
    <x v="9"/>
    <x v="9"/>
    <x v="0"/>
    <x v="1"/>
    <x v="0"/>
    <x v="0"/>
    <x v="2"/>
    <x v="2"/>
    <x v="17"/>
    <x v="17"/>
    <x v="2"/>
    <x v="2"/>
    <x v="2"/>
    <x v="40"/>
    <x v="40"/>
    <n v="152.51283000000001"/>
    <x v="1"/>
    <x v="2"/>
    <x v="5"/>
    <x v="7"/>
    <x v="11"/>
    <x v="22"/>
    <n v="166.23898470000003"/>
  </r>
  <r>
    <x v="9"/>
    <x v="0"/>
    <x v="9"/>
    <x v="9"/>
    <x v="0"/>
    <x v="1"/>
    <x v="0"/>
    <x v="0"/>
    <x v="2"/>
    <x v="2"/>
    <x v="17"/>
    <x v="17"/>
    <x v="2"/>
    <x v="2"/>
    <x v="2"/>
    <x v="38"/>
    <x v="38"/>
    <n v="1.0763799999999999"/>
    <x v="1"/>
    <x v="0"/>
    <x v="4"/>
    <x v="6"/>
    <x v="10"/>
    <x v="21"/>
    <n v="1.1732541999999999"/>
  </r>
  <r>
    <x v="9"/>
    <x v="0"/>
    <x v="9"/>
    <x v="9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9"/>
    <x v="0"/>
    <x v="9"/>
    <x v="9"/>
    <x v="0"/>
    <x v="1"/>
    <x v="0"/>
    <x v="0"/>
    <x v="2"/>
    <x v="2"/>
    <x v="17"/>
    <x v="17"/>
    <x v="3"/>
    <x v="7"/>
    <x v="7"/>
    <x v="40"/>
    <x v="40"/>
    <n v="26.104880000000001"/>
    <x v="1"/>
    <x v="2"/>
    <x v="5"/>
    <x v="7"/>
    <x v="11"/>
    <x v="22"/>
    <n v="28.454319200000004"/>
  </r>
  <r>
    <x v="9"/>
    <x v="0"/>
    <x v="9"/>
    <x v="9"/>
    <x v="0"/>
    <x v="1"/>
    <x v="0"/>
    <x v="0"/>
    <x v="2"/>
    <x v="2"/>
    <x v="17"/>
    <x v="17"/>
    <x v="1"/>
    <x v="8"/>
    <x v="8"/>
    <x v="40"/>
    <x v="40"/>
    <n v="13.395580000000001"/>
    <x v="1"/>
    <x v="2"/>
    <x v="5"/>
    <x v="7"/>
    <x v="11"/>
    <x v="22"/>
    <n v="14.601182200000002"/>
  </r>
  <r>
    <x v="9"/>
    <x v="0"/>
    <x v="9"/>
    <x v="9"/>
    <x v="0"/>
    <x v="1"/>
    <x v="0"/>
    <x v="0"/>
    <x v="2"/>
    <x v="2"/>
    <x v="17"/>
    <x v="17"/>
    <x v="2"/>
    <x v="10"/>
    <x v="10"/>
    <x v="40"/>
    <x v="40"/>
    <n v="3.8710399999999998"/>
    <x v="1"/>
    <x v="2"/>
    <x v="5"/>
    <x v="7"/>
    <x v="11"/>
    <x v="22"/>
    <n v="4.2194336000000003"/>
  </r>
  <r>
    <x v="9"/>
    <x v="0"/>
    <x v="9"/>
    <x v="9"/>
    <x v="0"/>
    <x v="1"/>
    <x v="0"/>
    <x v="0"/>
    <x v="2"/>
    <x v="2"/>
    <x v="17"/>
    <x v="17"/>
    <x v="4"/>
    <x v="5"/>
    <x v="5"/>
    <x v="40"/>
    <x v="40"/>
    <n v="229.11832000000001"/>
    <x v="1"/>
    <x v="2"/>
    <x v="5"/>
    <x v="7"/>
    <x v="11"/>
    <x v="22"/>
    <n v="249.73896880000004"/>
  </r>
  <r>
    <x v="9"/>
    <x v="0"/>
    <x v="9"/>
    <x v="9"/>
    <x v="0"/>
    <x v="2"/>
    <x v="0"/>
    <x v="0"/>
    <x v="0"/>
    <x v="0"/>
    <x v="0"/>
    <x v="0"/>
    <x v="3"/>
    <x v="3"/>
    <x v="3"/>
    <x v="9"/>
    <x v="9"/>
    <n v="6.3761467889869996"/>
    <x v="0"/>
    <x v="0"/>
    <x v="1"/>
    <x v="4"/>
    <x v="5"/>
    <x v="9"/>
    <n v="6.9499999999958302"/>
  </r>
  <r>
    <x v="9"/>
    <x v="0"/>
    <x v="9"/>
    <x v="9"/>
    <x v="0"/>
    <x v="2"/>
    <x v="0"/>
    <x v="0"/>
    <x v="0"/>
    <x v="0"/>
    <x v="0"/>
    <x v="0"/>
    <x v="3"/>
    <x v="3"/>
    <x v="3"/>
    <x v="10"/>
    <x v="10"/>
    <n v="1.80657798165029"/>
    <x v="0"/>
    <x v="0"/>
    <x v="1"/>
    <x v="4"/>
    <x v="5"/>
    <x v="10"/>
    <n v="1.9691699999988164"/>
  </r>
  <r>
    <x v="9"/>
    <x v="0"/>
    <x v="9"/>
    <x v="9"/>
    <x v="0"/>
    <x v="2"/>
    <x v="0"/>
    <x v="0"/>
    <x v="0"/>
    <x v="0"/>
    <x v="0"/>
    <x v="0"/>
    <x v="3"/>
    <x v="3"/>
    <x v="3"/>
    <x v="11"/>
    <x v="11"/>
    <n v="-0.78161000000000003"/>
    <x v="0"/>
    <x v="0"/>
    <x v="3"/>
    <x v="5"/>
    <x v="7"/>
    <x v="11"/>
    <n v="-0.85195490000000007"/>
  </r>
  <r>
    <x v="9"/>
    <x v="0"/>
    <x v="9"/>
    <x v="9"/>
    <x v="0"/>
    <x v="2"/>
    <x v="0"/>
    <x v="0"/>
    <x v="0"/>
    <x v="0"/>
    <x v="0"/>
    <x v="0"/>
    <x v="3"/>
    <x v="3"/>
    <x v="3"/>
    <x v="12"/>
    <x v="12"/>
    <n v="2.3255813953400001E-3"/>
    <x v="0"/>
    <x v="0"/>
    <x v="0"/>
    <x v="0"/>
    <x v="8"/>
    <x v="12"/>
    <n v="2.5348837209206001E-3"/>
  </r>
  <r>
    <x v="9"/>
    <x v="0"/>
    <x v="9"/>
    <x v="9"/>
    <x v="0"/>
    <x v="2"/>
    <x v="0"/>
    <x v="0"/>
    <x v="0"/>
    <x v="0"/>
    <x v="0"/>
    <x v="0"/>
    <x v="3"/>
    <x v="3"/>
    <x v="3"/>
    <x v="16"/>
    <x v="16"/>
    <n v="13.44"/>
    <x v="0"/>
    <x v="0"/>
    <x v="3"/>
    <x v="5"/>
    <x v="9"/>
    <x v="16"/>
    <n v="14.649600000000001"/>
  </r>
  <r>
    <x v="9"/>
    <x v="0"/>
    <x v="9"/>
    <x v="9"/>
    <x v="0"/>
    <x v="2"/>
    <x v="0"/>
    <x v="0"/>
    <x v="0"/>
    <x v="0"/>
    <x v="0"/>
    <x v="0"/>
    <x v="3"/>
    <x v="12"/>
    <x v="3"/>
    <x v="8"/>
    <x v="8"/>
    <n v="2132.7347837974298"/>
    <x v="0"/>
    <x v="1"/>
    <x v="2"/>
    <x v="2"/>
    <x v="6"/>
    <x v="8"/>
    <n v="2324.6809143391988"/>
  </r>
  <r>
    <x v="9"/>
    <x v="0"/>
    <x v="9"/>
    <x v="9"/>
    <x v="0"/>
    <x v="2"/>
    <x v="0"/>
    <x v="0"/>
    <x v="0"/>
    <x v="0"/>
    <x v="0"/>
    <x v="0"/>
    <x v="0"/>
    <x v="4"/>
    <x v="4"/>
    <x v="9"/>
    <x v="9"/>
    <n v="66.422752293538096"/>
    <x v="0"/>
    <x v="0"/>
    <x v="1"/>
    <x v="4"/>
    <x v="5"/>
    <x v="9"/>
    <n v="72.400799999956533"/>
  </r>
  <r>
    <x v="9"/>
    <x v="0"/>
    <x v="9"/>
    <x v="9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9"/>
    <x v="0"/>
    <x v="9"/>
    <x v="9"/>
    <x v="0"/>
    <x v="2"/>
    <x v="0"/>
    <x v="0"/>
    <x v="0"/>
    <x v="0"/>
    <x v="0"/>
    <x v="0"/>
    <x v="0"/>
    <x v="4"/>
    <x v="4"/>
    <x v="11"/>
    <x v="11"/>
    <n v="0.98"/>
    <x v="0"/>
    <x v="0"/>
    <x v="3"/>
    <x v="5"/>
    <x v="7"/>
    <x v="11"/>
    <n v="1.0682"/>
  </r>
  <r>
    <x v="9"/>
    <x v="0"/>
    <x v="9"/>
    <x v="9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9"/>
    <x v="0"/>
    <x v="9"/>
    <x v="9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9"/>
    <x v="0"/>
    <x v="9"/>
    <x v="9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9"/>
    <x v="0"/>
    <x v="9"/>
    <x v="9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9"/>
    <x v="0"/>
    <x v="9"/>
    <x v="9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9"/>
    <x v="0"/>
    <x v="9"/>
    <x v="9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9"/>
    <x v="0"/>
    <x v="9"/>
    <x v="9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9"/>
    <x v="0"/>
    <x v="9"/>
    <x v="9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9"/>
    <x v="0"/>
    <x v="9"/>
    <x v="9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9"/>
    <x v="0"/>
    <x v="9"/>
    <x v="9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9"/>
    <x v="0"/>
    <x v="9"/>
    <x v="9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9"/>
    <x v="0"/>
    <x v="9"/>
    <x v="9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9"/>
    <x v="0"/>
    <x v="9"/>
    <x v="9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9"/>
    <x v="0"/>
    <x v="9"/>
    <x v="9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9"/>
    <x v="0"/>
    <x v="9"/>
    <x v="9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9"/>
    <x v="0"/>
    <x v="9"/>
    <x v="9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9"/>
    <x v="0"/>
    <x v="9"/>
    <x v="9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9"/>
    <x v="0"/>
    <x v="9"/>
    <x v="9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9"/>
    <x v="0"/>
    <x v="9"/>
    <x v="9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9"/>
    <x v="0"/>
    <x v="9"/>
    <x v="9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9"/>
    <x v="0"/>
    <x v="9"/>
    <x v="9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9"/>
    <x v="0"/>
    <x v="9"/>
    <x v="9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9"/>
    <x v="0"/>
    <x v="9"/>
    <x v="9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9"/>
    <x v="0"/>
    <x v="9"/>
    <x v="9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9"/>
    <x v="0"/>
    <x v="9"/>
    <x v="9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9"/>
    <x v="0"/>
    <x v="9"/>
    <x v="9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9"/>
    <x v="0"/>
    <x v="9"/>
    <x v="9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9"/>
    <x v="0"/>
    <x v="9"/>
    <x v="9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9"/>
    <x v="0"/>
    <x v="9"/>
    <x v="9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9"/>
    <x v="0"/>
    <x v="9"/>
    <x v="9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9"/>
    <x v="0"/>
    <x v="9"/>
    <x v="9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9"/>
    <x v="0"/>
    <x v="9"/>
    <x v="9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9"/>
    <x v="0"/>
    <x v="9"/>
    <x v="9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9"/>
    <x v="0"/>
    <x v="9"/>
    <x v="9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9"/>
    <x v="0"/>
    <x v="9"/>
    <x v="9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9"/>
    <x v="0"/>
    <x v="9"/>
    <x v="9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9"/>
    <x v="0"/>
    <x v="9"/>
    <x v="9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9"/>
    <x v="0"/>
    <x v="9"/>
    <x v="9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9"/>
    <x v="0"/>
    <x v="9"/>
    <x v="9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9"/>
    <x v="0"/>
    <x v="9"/>
    <x v="9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9"/>
    <x v="0"/>
    <x v="9"/>
    <x v="9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9"/>
    <x v="0"/>
    <x v="9"/>
    <x v="9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9"/>
    <x v="0"/>
    <x v="9"/>
    <x v="9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9"/>
    <x v="0"/>
    <x v="9"/>
    <x v="9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9"/>
    <x v="0"/>
    <x v="9"/>
    <x v="9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9"/>
    <x v="0"/>
    <x v="9"/>
    <x v="9"/>
    <x v="0"/>
    <x v="2"/>
    <x v="0"/>
    <x v="0"/>
    <x v="0"/>
    <x v="0"/>
    <x v="0"/>
    <x v="0"/>
    <x v="0"/>
    <x v="4"/>
    <x v="4"/>
    <x v="12"/>
    <x v="12"/>
    <n v="429.89997674255198"/>
    <x v="0"/>
    <x v="0"/>
    <x v="0"/>
    <x v="0"/>
    <x v="8"/>
    <x v="12"/>
    <n v="468.59097464938168"/>
  </r>
  <r>
    <x v="9"/>
    <x v="0"/>
    <x v="9"/>
    <x v="9"/>
    <x v="0"/>
    <x v="2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9"/>
    <x v="0"/>
    <x v="9"/>
    <x v="9"/>
    <x v="0"/>
    <x v="2"/>
    <x v="0"/>
    <x v="0"/>
    <x v="0"/>
    <x v="0"/>
    <x v="0"/>
    <x v="0"/>
    <x v="0"/>
    <x v="4"/>
    <x v="4"/>
    <x v="25"/>
    <x v="25"/>
    <n v="7.4617706421973597"/>
    <x v="0"/>
    <x v="0"/>
    <x v="1"/>
    <x v="4"/>
    <x v="5"/>
    <x v="9"/>
    <n v="8.133329999995123"/>
  </r>
  <r>
    <x v="9"/>
    <x v="0"/>
    <x v="9"/>
    <x v="9"/>
    <x v="0"/>
    <x v="2"/>
    <x v="0"/>
    <x v="0"/>
    <x v="0"/>
    <x v="0"/>
    <x v="0"/>
    <x v="0"/>
    <x v="0"/>
    <x v="0"/>
    <x v="0"/>
    <x v="5"/>
    <x v="5"/>
    <n v="19.728957055364699"/>
    <x v="0"/>
    <x v="0"/>
    <x v="1"/>
    <x v="1"/>
    <x v="1"/>
    <x v="5"/>
    <n v="21.504563190347522"/>
  </r>
  <r>
    <x v="9"/>
    <x v="0"/>
    <x v="9"/>
    <x v="9"/>
    <x v="0"/>
    <x v="2"/>
    <x v="0"/>
    <x v="0"/>
    <x v="0"/>
    <x v="0"/>
    <x v="0"/>
    <x v="0"/>
    <x v="0"/>
    <x v="0"/>
    <x v="0"/>
    <x v="7"/>
    <x v="7"/>
    <n v="16.513761467879998"/>
    <x v="0"/>
    <x v="0"/>
    <x v="1"/>
    <x v="4"/>
    <x v="5"/>
    <x v="7"/>
    <n v="17.9999999999892"/>
  </r>
  <r>
    <x v="9"/>
    <x v="0"/>
    <x v="9"/>
    <x v="9"/>
    <x v="0"/>
    <x v="2"/>
    <x v="0"/>
    <x v="0"/>
    <x v="0"/>
    <x v="0"/>
    <x v="0"/>
    <x v="0"/>
    <x v="0"/>
    <x v="0"/>
    <x v="0"/>
    <x v="8"/>
    <x v="8"/>
    <n v="2349.6510810961199"/>
    <x v="0"/>
    <x v="1"/>
    <x v="2"/>
    <x v="2"/>
    <x v="6"/>
    <x v="8"/>
    <n v="2561.1196783947707"/>
  </r>
  <r>
    <x v="9"/>
    <x v="0"/>
    <x v="9"/>
    <x v="9"/>
    <x v="0"/>
    <x v="2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9"/>
    <x v="0"/>
    <x v="9"/>
    <x v="9"/>
    <x v="0"/>
    <x v="2"/>
    <x v="0"/>
    <x v="0"/>
    <x v="0"/>
    <x v="0"/>
    <x v="0"/>
    <x v="0"/>
    <x v="0"/>
    <x v="0"/>
    <x v="0"/>
    <x v="12"/>
    <x v="12"/>
    <n v="17.292976744120299"/>
    <x v="0"/>
    <x v="0"/>
    <x v="0"/>
    <x v="0"/>
    <x v="8"/>
    <x v="12"/>
    <n v="18.849344651091126"/>
  </r>
  <r>
    <x v="9"/>
    <x v="0"/>
    <x v="9"/>
    <x v="9"/>
    <x v="0"/>
    <x v="2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9"/>
    <x v="0"/>
    <x v="9"/>
    <x v="9"/>
    <x v="0"/>
    <x v="2"/>
    <x v="0"/>
    <x v="0"/>
    <x v="0"/>
    <x v="0"/>
    <x v="0"/>
    <x v="0"/>
    <x v="0"/>
    <x v="0"/>
    <x v="0"/>
    <x v="14"/>
    <x v="14"/>
    <n v="15.127800000000001"/>
    <x v="0"/>
    <x v="0"/>
    <x v="0"/>
    <x v="0"/>
    <x v="8"/>
    <x v="14"/>
    <n v="16.489302000000002"/>
  </r>
  <r>
    <x v="9"/>
    <x v="0"/>
    <x v="9"/>
    <x v="9"/>
    <x v="0"/>
    <x v="2"/>
    <x v="0"/>
    <x v="0"/>
    <x v="0"/>
    <x v="0"/>
    <x v="0"/>
    <x v="0"/>
    <x v="0"/>
    <x v="0"/>
    <x v="0"/>
    <x v="2"/>
    <x v="2"/>
    <n v="33.302752293558001"/>
    <x v="0"/>
    <x v="1"/>
    <x v="2"/>
    <x v="2"/>
    <x v="13"/>
    <x v="2"/>
    <n v="36.299999999978226"/>
  </r>
  <r>
    <x v="9"/>
    <x v="0"/>
    <x v="9"/>
    <x v="9"/>
    <x v="0"/>
    <x v="2"/>
    <x v="0"/>
    <x v="0"/>
    <x v="0"/>
    <x v="0"/>
    <x v="0"/>
    <x v="0"/>
    <x v="1"/>
    <x v="1"/>
    <x v="1"/>
    <x v="5"/>
    <x v="5"/>
    <n v="54.550527607776601"/>
    <x v="0"/>
    <x v="0"/>
    <x v="1"/>
    <x v="1"/>
    <x v="1"/>
    <x v="5"/>
    <n v="59.460075092476501"/>
  </r>
  <r>
    <x v="9"/>
    <x v="0"/>
    <x v="9"/>
    <x v="9"/>
    <x v="0"/>
    <x v="2"/>
    <x v="0"/>
    <x v="0"/>
    <x v="0"/>
    <x v="0"/>
    <x v="0"/>
    <x v="0"/>
    <x v="1"/>
    <x v="1"/>
    <x v="1"/>
    <x v="7"/>
    <x v="7"/>
    <n v="19.364256880722301"/>
    <x v="0"/>
    <x v="0"/>
    <x v="1"/>
    <x v="4"/>
    <x v="5"/>
    <x v="7"/>
    <n v="21.107039999987311"/>
  </r>
  <r>
    <x v="9"/>
    <x v="0"/>
    <x v="9"/>
    <x v="9"/>
    <x v="0"/>
    <x v="2"/>
    <x v="0"/>
    <x v="0"/>
    <x v="0"/>
    <x v="0"/>
    <x v="0"/>
    <x v="0"/>
    <x v="1"/>
    <x v="1"/>
    <x v="1"/>
    <x v="8"/>
    <x v="8"/>
    <n v="19.074324324446401"/>
    <x v="0"/>
    <x v="1"/>
    <x v="2"/>
    <x v="2"/>
    <x v="6"/>
    <x v="8"/>
    <n v="20.791013513646579"/>
  </r>
  <r>
    <x v="9"/>
    <x v="0"/>
    <x v="9"/>
    <x v="9"/>
    <x v="0"/>
    <x v="2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9"/>
    <x v="0"/>
    <x v="9"/>
    <x v="9"/>
    <x v="0"/>
    <x v="2"/>
    <x v="0"/>
    <x v="0"/>
    <x v="0"/>
    <x v="0"/>
    <x v="0"/>
    <x v="0"/>
    <x v="1"/>
    <x v="1"/>
    <x v="1"/>
    <x v="14"/>
    <x v="14"/>
    <n v="43.541759999999996"/>
    <x v="0"/>
    <x v="0"/>
    <x v="0"/>
    <x v="0"/>
    <x v="8"/>
    <x v="14"/>
    <n v="47.460518399999998"/>
  </r>
  <r>
    <x v="9"/>
    <x v="0"/>
    <x v="9"/>
    <x v="9"/>
    <x v="0"/>
    <x v="2"/>
    <x v="0"/>
    <x v="0"/>
    <x v="0"/>
    <x v="0"/>
    <x v="0"/>
    <x v="0"/>
    <x v="1"/>
    <x v="1"/>
    <x v="1"/>
    <x v="18"/>
    <x v="18"/>
    <n v="50.7498"/>
    <x v="0"/>
    <x v="0"/>
    <x v="0"/>
    <x v="0"/>
    <x v="4"/>
    <x v="18"/>
    <n v="55.317282000000006"/>
  </r>
  <r>
    <x v="9"/>
    <x v="0"/>
    <x v="9"/>
    <x v="9"/>
    <x v="0"/>
    <x v="2"/>
    <x v="0"/>
    <x v="0"/>
    <x v="0"/>
    <x v="0"/>
    <x v="0"/>
    <x v="0"/>
    <x v="1"/>
    <x v="1"/>
    <x v="1"/>
    <x v="2"/>
    <x v="2"/>
    <n v="122.91912844029299"/>
    <x v="0"/>
    <x v="1"/>
    <x v="2"/>
    <x v="2"/>
    <x v="13"/>
    <x v="2"/>
    <n v="133.98184999991938"/>
  </r>
  <r>
    <x v="9"/>
    <x v="0"/>
    <x v="9"/>
    <x v="9"/>
    <x v="0"/>
    <x v="2"/>
    <x v="0"/>
    <x v="0"/>
    <x v="0"/>
    <x v="0"/>
    <x v="0"/>
    <x v="0"/>
    <x v="2"/>
    <x v="2"/>
    <x v="2"/>
    <x v="5"/>
    <x v="5"/>
    <n v="17.633368098293499"/>
    <x v="0"/>
    <x v="0"/>
    <x v="1"/>
    <x v="1"/>
    <x v="1"/>
    <x v="5"/>
    <n v="19.220371227139914"/>
  </r>
  <r>
    <x v="9"/>
    <x v="0"/>
    <x v="9"/>
    <x v="9"/>
    <x v="0"/>
    <x v="2"/>
    <x v="0"/>
    <x v="0"/>
    <x v="0"/>
    <x v="0"/>
    <x v="0"/>
    <x v="0"/>
    <x v="2"/>
    <x v="2"/>
    <x v="2"/>
    <x v="9"/>
    <x v="9"/>
    <n v="77.334086677358201"/>
    <x v="0"/>
    <x v="0"/>
    <x v="1"/>
    <x v="4"/>
    <x v="5"/>
    <x v="9"/>
    <n v="84.294154478320451"/>
  </r>
  <r>
    <x v="9"/>
    <x v="0"/>
    <x v="9"/>
    <x v="9"/>
    <x v="0"/>
    <x v="2"/>
    <x v="0"/>
    <x v="0"/>
    <x v="0"/>
    <x v="0"/>
    <x v="0"/>
    <x v="0"/>
    <x v="2"/>
    <x v="2"/>
    <x v="2"/>
    <x v="10"/>
    <x v="10"/>
    <n v="12.336774401391301"/>
    <x v="0"/>
    <x v="0"/>
    <x v="1"/>
    <x v="4"/>
    <x v="5"/>
    <x v="10"/>
    <n v="13.44708409751652"/>
  </r>
  <r>
    <x v="9"/>
    <x v="0"/>
    <x v="9"/>
    <x v="9"/>
    <x v="0"/>
    <x v="2"/>
    <x v="0"/>
    <x v="0"/>
    <x v="0"/>
    <x v="0"/>
    <x v="0"/>
    <x v="0"/>
    <x v="2"/>
    <x v="2"/>
    <x v="2"/>
    <x v="28"/>
    <x v="28"/>
    <n v="4.8"/>
    <x v="0"/>
    <x v="0"/>
    <x v="1"/>
    <x v="3"/>
    <x v="3"/>
    <x v="13"/>
    <n v="5.2320000000000002"/>
  </r>
  <r>
    <x v="9"/>
    <x v="0"/>
    <x v="9"/>
    <x v="9"/>
    <x v="0"/>
    <x v="2"/>
    <x v="0"/>
    <x v="0"/>
    <x v="0"/>
    <x v="0"/>
    <x v="0"/>
    <x v="0"/>
    <x v="2"/>
    <x v="2"/>
    <x v="2"/>
    <x v="30"/>
    <x v="30"/>
    <n v="0.21281317204215999"/>
    <x v="0"/>
    <x v="0"/>
    <x v="0"/>
    <x v="0"/>
    <x v="0"/>
    <x v="0"/>
    <n v="0.2319663575259544"/>
  </r>
  <r>
    <x v="9"/>
    <x v="0"/>
    <x v="9"/>
    <x v="9"/>
    <x v="0"/>
    <x v="2"/>
    <x v="0"/>
    <x v="0"/>
    <x v="0"/>
    <x v="0"/>
    <x v="0"/>
    <x v="0"/>
    <x v="2"/>
    <x v="2"/>
    <x v="2"/>
    <x v="31"/>
    <x v="31"/>
    <n v="0.60631192660513999"/>
    <x v="0"/>
    <x v="0"/>
    <x v="1"/>
    <x v="4"/>
    <x v="5"/>
    <x v="10"/>
    <n v="0.66087999999960267"/>
  </r>
  <r>
    <x v="9"/>
    <x v="0"/>
    <x v="9"/>
    <x v="9"/>
    <x v="0"/>
    <x v="2"/>
    <x v="0"/>
    <x v="0"/>
    <x v="0"/>
    <x v="0"/>
    <x v="0"/>
    <x v="0"/>
    <x v="2"/>
    <x v="2"/>
    <x v="2"/>
    <x v="11"/>
    <x v="11"/>
    <n v="3"/>
    <x v="0"/>
    <x v="0"/>
    <x v="3"/>
    <x v="5"/>
    <x v="7"/>
    <x v="11"/>
    <n v="3.2700000000000005"/>
  </r>
  <r>
    <x v="9"/>
    <x v="0"/>
    <x v="9"/>
    <x v="9"/>
    <x v="0"/>
    <x v="2"/>
    <x v="0"/>
    <x v="0"/>
    <x v="0"/>
    <x v="0"/>
    <x v="0"/>
    <x v="0"/>
    <x v="2"/>
    <x v="2"/>
    <x v="2"/>
    <x v="12"/>
    <x v="12"/>
    <n v="64.870837209055793"/>
    <x v="0"/>
    <x v="0"/>
    <x v="0"/>
    <x v="0"/>
    <x v="8"/>
    <x v="12"/>
    <n v="70.709212557870813"/>
  </r>
  <r>
    <x v="9"/>
    <x v="0"/>
    <x v="9"/>
    <x v="9"/>
    <x v="0"/>
    <x v="2"/>
    <x v="0"/>
    <x v="0"/>
    <x v="0"/>
    <x v="0"/>
    <x v="0"/>
    <x v="0"/>
    <x v="2"/>
    <x v="2"/>
    <x v="2"/>
    <x v="13"/>
    <x v="13"/>
    <n v="89.596909999999994"/>
    <x v="0"/>
    <x v="0"/>
    <x v="1"/>
    <x v="3"/>
    <x v="3"/>
    <x v="13"/>
    <n v="97.660631899999998"/>
  </r>
  <r>
    <x v="9"/>
    <x v="0"/>
    <x v="9"/>
    <x v="9"/>
    <x v="0"/>
    <x v="2"/>
    <x v="0"/>
    <x v="0"/>
    <x v="0"/>
    <x v="0"/>
    <x v="0"/>
    <x v="0"/>
    <x v="2"/>
    <x v="2"/>
    <x v="2"/>
    <x v="14"/>
    <x v="14"/>
    <n v="69.907660000000007"/>
    <x v="0"/>
    <x v="0"/>
    <x v="0"/>
    <x v="0"/>
    <x v="8"/>
    <x v="14"/>
    <n v="76.199349400000017"/>
  </r>
  <r>
    <x v="9"/>
    <x v="0"/>
    <x v="9"/>
    <x v="9"/>
    <x v="0"/>
    <x v="2"/>
    <x v="0"/>
    <x v="0"/>
    <x v="0"/>
    <x v="0"/>
    <x v="0"/>
    <x v="0"/>
    <x v="2"/>
    <x v="2"/>
    <x v="2"/>
    <x v="22"/>
    <x v="22"/>
    <n v="0.21911290322492999"/>
    <x v="0"/>
    <x v="0"/>
    <x v="0"/>
    <x v="0"/>
    <x v="0"/>
    <x v="0"/>
    <n v="0.23883306451517369"/>
  </r>
  <r>
    <x v="9"/>
    <x v="0"/>
    <x v="9"/>
    <x v="9"/>
    <x v="0"/>
    <x v="2"/>
    <x v="0"/>
    <x v="0"/>
    <x v="0"/>
    <x v="0"/>
    <x v="0"/>
    <x v="0"/>
    <x v="2"/>
    <x v="2"/>
    <x v="2"/>
    <x v="16"/>
    <x v="16"/>
    <n v="20.39151"/>
    <x v="0"/>
    <x v="0"/>
    <x v="3"/>
    <x v="5"/>
    <x v="9"/>
    <x v="16"/>
    <n v="22.226745900000001"/>
  </r>
  <r>
    <x v="9"/>
    <x v="0"/>
    <x v="9"/>
    <x v="9"/>
    <x v="0"/>
    <x v="2"/>
    <x v="0"/>
    <x v="0"/>
    <x v="0"/>
    <x v="0"/>
    <x v="0"/>
    <x v="0"/>
    <x v="2"/>
    <x v="2"/>
    <x v="2"/>
    <x v="21"/>
    <x v="21"/>
    <n v="11.331614678892301"/>
    <x v="0"/>
    <x v="0"/>
    <x v="1"/>
    <x v="4"/>
    <x v="5"/>
    <x v="10"/>
    <n v="12.351459999992608"/>
  </r>
  <r>
    <x v="9"/>
    <x v="0"/>
    <x v="9"/>
    <x v="9"/>
    <x v="0"/>
    <x v="2"/>
    <x v="0"/>
    <x v="0"/>
    <x v="0"/>
    <x v="0"/>
    <x v="0"/>
    <x v="0"/>
    <x v="2"/>
    <x v="2"/>
    <x v="2"/>
    <x v="18"/>
    <x v="18"/>
    <n v="13.321289999999999"/>
    <x v="0"/>
    <x v="0"/>
    <x v="0"/>
    <x v="0"/>
    <x v="4"/>
    <x v="18"/>
    <n v="14.520206100000001"/>
  </r>
  <r>
    <x v="9"/>
    <x v="0"/>
    <x v="9"/>
    <x v="9"/>
    <x v="0"/>
    <x v="2"/>
    <x v="0"/>
    <x v="0"/>
    <x v="0"/>
    <x v="0"/>
    <x v="0"/>
    <x v="0"/>
    <x v="2"/>
    <x v="2"/>
    <x v="2"/>
    <x v="27"/>
    <x v="27"/>
    <n v="0.63063063064400005"/>
    <x v="0"/>
    <x v="0"/>
    <x v="1"/>
    <x v="3"/>
    <x v="3"/>
    <x v="19"/>
    <n v="0.68738738740196015"/>
  </r>
  <r>
    <x v="9"/>
    <x v="0"/>
    <x v="9"/>
    <x v="9"/>
    <x v="0"/>
    <x v="2"/>
    <x v="0"/>
    <x v="0"/>
    <x v="0"/>
    <x v="0"/>
    <x v="0"/>
    <x v="0"/>
    <x v="2"/>
    <x v="2"/>
    <x v="2"/>
    <x v="86"/>
    <x v="86"/>
    <n v="1.8"/>
    <x v="0"/>
    <x v="0"/>
    <x v="1"/>
    <x v="3"/>
    <x v="3"/>
    <x v="13"/>
    <n v="1.9620000000000002"/>
  </r>
  <r>
    <x v="9"/>
    <x v="0"/>
    <x v="9"/>
    <x v="9"/>
    <x v="0"/>
    <x v="2"/>
    <x v="0"/>
    <x v="0"/>
    <x v="0"/>
    <x v="0"/>
    <x v="0"/>
    <x v="0"/>
    <x v="2"/>
    <x v="2"/>
    <x v="2"/>
    <x v="0"/>
    <x v="0"/>
    <n v="17.4270587188124"/>
    <x v="0"/>
    <x v="0"/>
    <x v="0"/>
    <x v="0"/>
    <x v="0"/>
    <x v="0"/>
    <n v="18.995494003505517"/>
  </r>
  <r>
    <x v="9"/>
    <x v="0"/>
    <x v="9"/>
    <x v="9"/>
    <x v="0"/>
    <x v="2"/>
    <x v="0"/>
    <x v="0"/>
    <x v="0"/>
    <x v="0"/>
    <x v="0"/>
    <x v="0"/>
    <x v="2"/>
    <x v="2"/>
    <x v="2"/>
    <x v="1"/>
    <x v="1"/>
    <n v="126.792399999303"/>
    <x v="0"/>
    <x v="0"/>
    <x v="1"/>
    <x v="1"/>
    <x v="1"/>
    <x v="1"/>
    <n v="138.20371599924027"/>
  </r>
  <r>
    <x v="9"/>
    <x v="0"/>
    <x v="9"/>
    <x v="9"/>
    <x v="0"/>
    <x v="2"/>
    <x v="0"/>
    <x v="0"/>
    <x v="0"/>
    <x v="0"/>
    <x v="0"/>
    <x v="0"/>
    <x v="2"/>
    <x v="2"/>
    <x v="2"/>
    <x v="2"/>
    <x v="2"/>
    <n v="323.06798165118198"/>
    <x v="0"/>
    <x v="1"/>
    <x v="2"/>
    <x v="2"/>
    <x v="13"/>
    <x v="2"/>
    <n v="352.14409999978841"/>
  </r>
  <r>
    <x v="9"/>
    <x v="0"/>
    <x v="9"/>
    <x v="9"/>
    <x v="0"/>
    <x v="2"/>
    <x v="0"/>
    <x v="0"/>
    <x v="0"/>
    <x v="0"/>
    <x v="0"/>
    <x v="0"/>
    <x v="1"/>
    <x v="6"/>
    <x v="6"/>
    <x v="9"/>
    <x v="9"/>
    <n v="41.873577981626198"/>
    <x v="0"/>
    <x v="0"/>
    <x v="1"/>
    <x v="4"/>
    <x v="5"/>
    <x v="9"/>
    <n v="45.642199999972561"/>
  </r>
  <r>
    <x v="9"/>
    <x v="0"/>
    <x v="9"/>
    <x v="9"/>
    <x v="0"/>
    <x v="2"/>
    <x v="0"/>
    <x v="0"/>
    <x v="0"/>
    <x v="0"/>
    <x v="0"/>
    <x v="0"/>
    <x v="1"/>
    <x v="6"/>
    <x v="6"/>
    <x v="10"/>
    <x v="10"/>
    <n v="4.8383761467860902"/>
    <x v="0"/>
    <x v="0"/>
    <x v="1"/>
    <x v="4"/>
    <x v="5"/>
    <x v="10"/>
    <n v="5.2738299999968383"/>
  </r>
  <r>
    <x v="9"/>
    <x v="0"/>
    <x v="9"/>
    <x v="9"/>
    <x v="0"/>
    <x v="2"/>
    <x v="0"/>
    <x v="0"/>
    <x v="0"/>
    <x v="0"/>
    <x v="0"/>
    <x v="0"/>
    <x v="1"/>
    <x v="6"/>
    <x v="6"/>
    <x v="12"/>
    <x v="12"/>
    <n v="116.899999999556"/>
    <x v="0"/>
    <x v="0"/>
    <x v="0"/>
    <x v="0"/>
    <x v="8"/>
    <x v="12"/>
    <n v="127.42099999951606"/>
  </r>
  <r>
    <x v="9"/>
    <x v="0"/>
    <x v="9"/>
    <x v="9"/>
    <x v="0"/>
    <x v="2"/>
    <x v="0"/>
    <x v="0"/>
    <x v="0"/>
    <x v="0"/>
    <x v="0"/>
    <x v="0"/>
    <x v="1"/>
    <x v="6"/>
    <x v="6"/>
    <x v="16"/>
    <x v="16"/>
    <n v="3.49803"/>
    <x v="0"/>
    <x v="0"/>
    <x v="3"/>
    <x v="5"/>
    <x v="9"/>
    <x v="16"/>
    <n v="3.8128527000000001"/>
  </r>
  <r>
    <x v="9"/>
    <x v="0"/>
    <x v="9"/>
    <x v="9"/>
    <x v="0"/>
    <x v="2"/>
    <x v="0"/>
    <x v="0"/>
    <x v="0"/>
    <x v="0"/>
    <x v="0"/>
    <x v="0"/>
    <x v="1"/>
    <x v="6"/>
    <x v="6"/>
    <x v="25"/>
    <x v="25"/>
    <n v="2.3164495412830099"/>
    <x v="0"/>
    <x v="0"/>
    <x v="1"/>
    <x v="4"/>
    <x v="5"/>
    <x v="9"/>
    <n v="2.5249299999984811"/>
  </r>
  <r>
    <x v="9"/>
    <x v="0"/>
    <x v="9"/>
    <x v="9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9"/>
    <x v="0"/>
    <x v="9"/>
    <x v="9"/>
    <x v="0"/>
    <x v="2"/>
    <x v="0"/>
    <x v="0"/>
    <x v="0"/>
    <x v="0"/>
    <x v="0"/>
    <x v="0"/>
    <x v="3"/>
    <x v="7"/>
    <x v="7"/>
    <x v="10"/>
    <x v="10"/>
    <n v="0.31012364765568001"/>
    <x v="0"/>
    <x v="0"/>
    <x v="1"/>
    <x v="4"/>
    <x v="5"/>
    <x v="10"/>
    <n v="0.33803477594469122"/>
  </r>
  <r>
    <x v="9"/>
    <x v="0"/>
    <x v="9"/>
    <x v="9"/>
    <x v="0"/>
    <x v="2"/>
    <x v="0"/>
    <x v="0"/>
    <x v="0"/>
    <x v="0"/>
    <x v="0"/>
    <x v="0"/>
    <x v="1"/>
    <x v="8"/>
    <x v="8"/>
    <x v="9"/>
    <x v="9"/>
    <n v="6.0059880118200001E-3"/>
    <x v="0"/>
    <x v="0"/>
    <x v="1"/>
    <x v="4"/>
    <x v="5"/>
    <x v="9"/>
    <n v="6.546526932883801E-3"/>
  </r>
  <r>
    <x v="9"/>
    <x v="0"/>
    <x v="9"/>
    <x v="9"/>
    <x v="0"/>
    <x v="2"/>
    <x v="0"/>
    <x v="0"/>
    <x v="0"/>
    <x v="0"/>
    <x v="0"/>
    <x v="0"/>
    <x v="1"/>
    <x v="8"/>
    <x v="8"/>
    <x v="10"/>
    <x v="10"/>
    <n v="0.19893659827712001"/>
    <x v="0"/>
    <x v="0"/>
    <x v="1"/>
    <x v="4"/>
    <x v="5"/>
    <x v="10"/>
    <n v="0.21684089212206084"/>
  </r>
  <r>
    <x v="9"/>
    <x v="0"/>
    <x v="9"/>
    <x v="9"/>
    <x v="0"/>
    <x v="2"/>
    <x v="0"/>
    <x v="0"/>
    <x v="0"/>
    <x v="0"/>
    <x v="0"/>
    <x v="0"/>
    <x v="0"/>
    <x v="9"/>
    <x v="9"/>
    <x v="9"/>
    <x v="9"/>
    <n v="4.0918163590000003E-5"/>
    <x v="0"/>
    <x v="0"/>
    <x v="1"/>
    <x v="4"/>
    <x v="5"/>
    <x v="9"/>
    <n v="4.4600798313100006E-5"/>
  </r>
  <r>
    <x v="9"/>
    <x v="0"/>
    <x v="9"/>
    <x v="9"/>
    <x v="0"/>
    <x v="2"/>
    <x v="0"/>
    <x v="0"/>
    <x v="0"/>
    <x v="0"/>
    <x v="0"/>
    <x v="0"/>
    <x v="0"/>
    <x v="9"/>
    <x v="9"/>
    <x v="10"/>
    <x v="10"/>
    <n v="0.12385281050752001"/>
    <x v="0"/>
    <x v="0"/>
    <x v="1"/>
    <x v="4"/>
    <x v="5"/>
    <x v="10"/>
    <n v="0.1349995634531968"/>
  </r>
  <r>
    <x v="9"/>
    <x v="0"/>
    <x v="9"/>
    <x v="9"/>
    <x v="0"/>
    <x v="2"/>
    <x v="0"/>
    <x v="0"/>
    <x v="0"/>
    <x v="0"/>
    <x v="0"/>
    <x v="0"/>
    <x v="2"/>
    <x v="10"/>
    <x v="10"/>
    <x v="9"/>
    <x v="9"/>
    <n v="8.9820359099999998E-6"/>
    <x v="0"/>
    <x v="0"/>
    <x v="1"/>
    <x v="4"/>
    <x v="5"/>
    <x v="9"/>
    <n v="9.7904191418999998E-6"/>
  </r>
  <r>
    <x v="9"/>
    <x v="0"/>
    <x v="9"/>
    <x v="9"/>
    <x v="0"/>
    <x v="2"/>
    <x v="0"/>
    <x v="0"/>
    <x v="0"/>
    <x v="0"/>
    <x v="0"/>
    <x v="0"/>
    <x v="2"/>
    <x v="10"/>
    <x v="10"/>
    <x v="10"/>
    <x v="10"/>
    <n v="1.2121555954771199"/>
    <x v="0"/>
    <x v="0"/>
    <x v="1"/>
    <x v="4"/>
    <x v="5"/>
    <x v="10"/>
    <n v="1.3212495990700608"/>
  </r>
  <r>
    <x v="9"/>
    <x v="0"/>
    <x v="9"/>
    <x v="9"/>
    <x v="0"/>
    <x v="2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9"/>
    <x v="0"/>
    <x v="9"/>
    <x v="9"/>
    <x v="0"/>
    <x v="2"/>
    <x v="0"/>
    <x v="0"/>
    <x v="0"/>
    <x v="0"/>
    <x v="0"/>
    <x v="0"/>
    <x v="4"/>
    <x v="5"/>
    <x v="5"/>
    <x v="9"/>
    <x v="9"/>
    <n v="0.23531037876618999"/>
    <x v="0"/>
    <x v="0"/>
    <x v="1"/>
    <x v="4"/>
    <x v="5"/>
    <x v="9"/>
    <n v="0.25648831285514712"/>
  </r>
  <r>
    <x v="9"/>
    <x v="0"/>
    <x v="9"/>
    <x v="9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9"/>
    <x v="0"/>
    <x v="9"/>
    <x v="9"/>
    <x v="0"/>
    <x v="2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11.44748600000001"/>
  </r>
  <r>
    <x v="9"/>
    <x v="0"/>
    <x v="9"/>
    <x v="9"/>
    <x v="0"/>
    <x v="2"/>
    <x v="0"/>
    <x v="0"/>
    <x v="0"/>
    <x v="0"/>
    <x v="0"/>
    <x v="0"/>
    <x v="4"/>
    <x v="5"/>
    <x v="5"/>
    <x v="27"/>
    <x v="27"/>
    <n v="11.0648648650994"/>
    <x v="0"/>
    <x v="0"/>
    <x v="1"/>
    <x v="3"/>
    <x v="3"/>
    <x v="19"/>
    <n v="12.060702702958347"/>
  </r>
  <r>
    <x v="9"/>
    <x v="0"/>
    <x v="9"/>
    <x v="9"/>
    <x v="0"/>
    <x v="2"/>
    <x v="0"/>
    <x v="0"/>
    <x v="0"/>
    <x v="0"/>
    <x v="0"/>
    <x v="0"/>
    <x v="4"/>
    <x v="5"/>
    <x v="5"/>
    <x v="2"/>
    <x v="2"/>
    <n v="2313.1175137600799"/>
    <x v="0"/>
    <x v="1"/>
    <x v="2"/>
    <x v="2"/>
    <x v="13"/>
    <x v="2"/>
    <n v="2521.2980899984873"/>
  </r>
  <r>
    <x v="9"/>
    <x v="0"/>
    <x v="9"/>
    <x v="9"/>
    <x v="0"/>
    <x v="2"/>
    <x v="0"/>
    <x v="0"/>
    <x v="0"/>
    <x v="0"/>
    <x v="3"/>
    <x v="3"/>
    <x v="2"/>
    <x v="2"/>
    <x v="2"/>
    <x v="5"/>
    <x v="5"/>
    <n v="1.08322085890394"/>
    <x v="0"/>
    <x v="0"/>
    <x v="1"/>
    <x v="1"/>
    <x v="1"/>
    <x v="5"/>
    <n v="1.1807107362052947"/>
  </r>
  <r>
    <x v="9"/>
    <x v="0"/>
    <x v="9"/>
    <x v="9"/>
    <x v="0"/>
    <x v="2"/>
    <x v="0"/>
    <x v="0"/>
    <x v="0"/>
    <x v="0"/>
    <x v="3"/>
    <x v="3"/>
    <x v="2"/>
    <x v="2"/>
    <x v="2"/>
    <x v="16"/>
    <x v="16"/>
    <n v="10.023910000000001"/>
    <x v="0"/>
    <x v="0"/>
    <x v="3"/>
    <x v="5"/>
    <x v="9"/>
    <x v="16"/>
    <n v="10.926061900000002"/>
  </r>
  <r>
    <x v="9"/>
    <x v="0"/>
    <x v="9"/>
    <x v="9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9"/>
    <x v="0"/>
    <x v="9"/>
    <x v="9"/>
    <x v="0"/>
    <x v="2"/>
    <x v="0"/>
    <x v="0"/>
    <x v="0"/>
    <x v="0"/>
    <x v="4"/>
    <x v="4"/>
    <x v="2"/>
    <x v="2"/>
    <x v="2"/>
    <x v="7"/>
    <x v="7"/>
    <n v="0.31192660550439999"/>
    <x v="0"/>
    <x v="0"/>
    <x v="1"/>
    <x v="4"/>
    <x v="5"/>
    <x v="7"/>
    <n v="0.33999999999979602"/>
  </r>
  <r>
    <x v="9"/>
    <x v="0"/>
    <x v="9"/>
    <x v="9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9"/>
    <x v="0"/>
    <x v="9"/>
    <x v="9"/>
    <x v="0"/>
    <x v="2"/>
    <x v="0"/>
    <x v="0"/>
    <x v="0"/>
    <x v="0"/>
    <x v="4"/>
    <x v="4"/>
    <x v="2"/>
    <x v="2"/>
    <x v="2"/>
    <x v="10"/>
    <x v="10"/>
    <n v="0.53494566312960001"/>
    <x v="0"/>
    <x v="0"/>
    <x v="1"/>
    <x v="4"/>
    <x v="5"/>
    <x v="10"/>
    <n v="0.58309077281126409"/>
  </r>
  <r>
    <x v="9"/>
    <x v="0"/>
    <x v="9"/>
    <x v="9"/>
    <x v="0"/>
    <x v="2"/>
    <x v="0"/>
    <x v="0"/>
    <x v="2"/>
    <x v="2"/>
    <x v="5"/>
    <x v="5"/>
    <x v="2"/>
    <x v="2"/>
    <x v="2"/>
    <x v="40"/>
    <x v="40"/>
    <n v="1.3815299999999999"/>
    <x v="1"/>
    <x v="2"/>
    <x v="5"/>
    <x v="7"/>
    <x v="11"/>
    <x v="22"/>
    <n v="1.5058677"/>
  </r>
  <r>
    <x v="9"/>
    <x v="0"/>
    <x v="9"/>
    <x v="9"/>
    <x v="0"/>
    <x v="2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9"/>
    <x v="0"/>
    <x v="9"/>
    <x v="9"/>
    <x v="0"/>
    <x v="2"/>
    <x v="0"/>
    <x v="0"/>
    <x v="2"/>
    <x v="2"/>
    <x v="5"/>
    <x v="5"/>
    <x v="4"/>
    <x v="5"/>
    <x v="5"/>
    <x v="40"/>
    <x v="40"/>
    <n v="79.858199999999997"/>
    <x v="1"/>
    <x v="2"/>
    <x v="5"/>
    <x v="7"/>
    <x v="11"/>
    <x v="22"/>
    <n v="87.045438000000004"/>
  </r>
  <r>
    <x v="9"/>
    <x v="0"/>
    <x v="9"/>
    <x v="9"/>
    <x v="0"/>
    <x v="2"/>
    <x v="0"/>
    <x v="0"/>
    <x v="2"/>
    <x v="2"/>
    <x v="7"/>
    <x v="7"/>
    <x v="2"/>
    <x v="2"/>
    <x v="2"/>
    <x v="40"/>
    <x v="40"/>
    <n v="8.9250000000000007"/>
    <x v="1"/>
    <x v="2"/>
    <x v="5"/>
    <x v="7"/>
    <x v="11"/>
    <x v="22"/>
    <n v="9.728250000000001"/>
  </r>
  <r>
    <x v="9"/>
    <x v="0"/>
    <x v="9"/>
    <x v="9"/>
    <x v="0"/>
    <x v="2"/>
    <x v="0"/>
    <x v="0"/>
    <x v="2"/>
    <x v="2"/>
    <x v="7"/>
    <x v="7"/>
    <x v="2"/>
    <x v="2"/>
    <x v="2"/>
    <x v="38"/>
    <x v="38"/>
    <n v="113.876"/>
    <x v="1"/>
    <x v="0"/>
    <x v="4"/>
    <x v="6"/>
    <x v="10"/>
    <x v="21"/>
    <n v="124.12484000000002"/>
  </r>
  <r>
    <x v="9"/>
    <x v="0"/>
    <x v="9"/>
    <x v="9"/>
    <x v="0"/>
    <x v="2"/>
    <x v="0"/>
    <x v="0"/>
    <x v="2"/>
    <x v="2"/>
    <x v="7"/>
    <x v="7"/>
    <x v="1"/>
    <x v="8"/>
    <x v="8"/>
    <x v="40"/>
    <x v="40"/>
    <n v="14.059799999999999"/>
    <x v="1"/>
    <x v="2"/>
    <x v="5"/>
    <x v="7"/>
    <x v="11"/>
    <x v="22"/>
    <n v="15.325182"/>
  </r>
  <r>
    <x v="9"/>
    <x v="0"/>
    <x v="9"/>
    <x v="9"/>
    <x v="0"/>
    <x v="2"/>
    <x v="0"/>
    <x v="0"/>
    <x v="2"/>
    <x v="2"/>
    <x v="9"/>
    <x v="9"/>
    <x v="2"/>
    <x v="2"/>
    <x v="2"/>
    <x v="40"/>
    <x v="40"/>
    <n v="113.45"/>
    <x v="1"/>
    <x v="2"/>
    <x v="5"/>
    <x v="7"/>
    <x v="11"/>
    <x v="22"/>
    <n v="123.66050000000001"/>
  </r>
  <r>
    <x v="9"/>
    <x v="0"/>
    <x v="9"/>
    <x v="9"/>
    <x v="0"/>
    <x v="2"/>
    <x v="0"/>
    <x v="0"/>
    <x v="2"/>
    <x v="2"/>
    <x v="9"/>
    <x v="9"/>
    <x v="2"/>
    <x v="2"/>
    <x v="2"/>
    <x v="38"/>
    <x v="38"/>
    <n v="0.5"/>
    <x v="1"/>
    <x v="0"/>
    <x v="4"/>
    <x v="6"/>
    <x v="10"/>
    <x v="21"/>
    <n v="0.54500000000000004"/>
  </r>
  <r>
    <x v="9"/>
    <x v="0"/>
    <x v="9"/>
    <x v="9"/>
    <x v="0"/>
    <x v="2"/>
    <x v="0"/>
    <x v="0"/>
    <x v="2"/>
    <x v="2"/>
    <x v="9"/>
    <x v="9"/>
    <x v="1"/>
    <x v="6"/>
    <x v="6"/>
    <x v="40"/>
    <x v="40"/>
    <n v="71.88"/>
    <x v="1"/>
    <x v="2"/>
    <x v="5"/>
    <x v="7"/>
    <x v="11"/>
    <x v="22"/>
    <n v="78.349199999999996"/>
  </r>
  <r>
    <x v="9"/>
    <x v="0"/>
    <x v="9"/>
    <x v="9"/>
    <x v="0"/>
    <x v="2"/>
    <x v="0"/>
    <x v="0"/>
    <x v="2"/>
    <x v="2"/>
    <x v="9"/>
    <x v="9"/>
    <x v="3"/>
    <x v="7"/>
    <x v="7"/>
    <x v="40"/>
    <x v="40"/>
    <n v="154.7826"/>
    <x v="1"/>
    <x v="2"/>
    <x v="5"/>
    <x v="7"/>
    <x v="11"/>
    <x v="22"/>
    <n v="168.71303400000002"/>
  </r>
  <r>
    <x v="9"/>
    <x v="0"/>
    <x v="9"/>
    <x v="9"/>
    <x v="0"/>
    <x v="2"/>
    <x v="0"/>
    <x v="0"/>
    <x v="2"/>
    <x v="2"/>
    <x v="9"/>
    <x v="9"/>
    <x v="1"/>
    <x v="8"/>
    <x v="8"/>
    <x v="40"/>
    <x v="40"/>
    <n v="443.94659999999999"/>
    <x v="1"/>
    <x v="2"/>
    <x v="5"/>
    <x v="7"/>
    <x v="11"/>
    <x v="22"/>
    <n v="483.90179400000005"/>
  </r>
  <r>
    <x v="9"/>
    <x v="0"/>
    <x v="9"/>
    <x v="9"/>
    <x v="0"/>
    <x v="2"/>
    <x v="0"/>
    <x v="0"/>
    <x v="2"/>
    <x v="2"/>
    <x v="9"/>
    <x v="9"/>
    <x v="2"/>
    <x v="10"/>
    <x v="10"/>
    <x v="40"/>
    <x v="40"/>
    <n v="52.494599999999998"/>
    <x v="1"/>
    <x v="2"/>
    <x v="5"/>
    <x v="7"/>
    <x v="11"/>
    <x v="22"/>
    <n v="57.219114000000005"/>
  </r>
  <r>
    <x v="9"/>
    <x v="0"/>
    <x v="9"/>
    <x v="9"/>
    <x v="0"/>
    <x v="2"/>
    <x v="0"/>
    <x v="0"/>
    <x v="2"/>
    <x v="2"/>
    <x v="9"/>
    <x v="9"/>
    <x v="4"/>
    <x v="5"/>
    <x v="5"/>
    <x v="40"/>
    <x v="40"/>
    <n v="387.62939999999998"/>
    <x v="1"/>
    <x v="2"/>
    <x v="5"/>
    <x v="7"/>
    <x v="11"/>
    <x v="22"/>
    <n v="422.51604600000002"/>
  </r>
  <r>
    <x v="9"/>
    <x v="0"/>
    <x v="9"/>
    <x v="9"/>
    <x v="0"/>
    <x v="2"/>
    <x v="0"/>
    <x v="0"/>
    <x v="2"/>
    <x v="2"/>
    <x v="10"/>
    <x v="10"/>
    <x v="2"/>
    <x v="2"/>
    <x v="2"/>
    <x v="40"/>
    <x v="40"/>
    <n v="199.22663"/>
    <x v="1"/>
    <x v="2"/>
    <x v="5"/>
    <x v="7"/>
    <x v="11"/>
    <x v="22"/>
    <n v="217.15702670000002"/>
  </r>
  <r>
    <x v="9"/>
    <x v="0"/>
    <x v="9"/>
    <x v="9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9"/>
    <x v="0"/>
    <x v="9"/>
    <x v="9"/>
    <x v="0"/>
    <x v="2"/>
    <x v="0"/>
    <x v="0"/>
    <x v="3"/>
    <x v="3"/>
    <x v="13"/>
    <x v="13"/>
    <x v="2"/>
    <x v="2"/>
    <x v="2"/>
    <x v="40"/>
    <x v="40"/>
    <n v="41.337499999999999"/>
    <x v="1"/>
    <x v="2"/>
    <x v="5"/>
    <x v="7"/>
    <x v="11"/>
    <x v="22"/>
    <n v="45.057875000000003"/>
  </r>
  <r>
    <x v="9"/>
    <x v="0"/>
    <x v="9"/>
    <x v="9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9"/>
    <x v="0"/>
    <x v="9"/>
    <x v="9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9"/>
    <x v="0"/>
    <x v="9"/>
    <x v="9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9"/>
    <x v="0"/>
    <x v="9"/>
    <x v="9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9"/>
    <x v="0"/>
    <x v="9"/>
    <x v="9"/>
    <x v="0"/>
    <x v="2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9"/>
    <x v="0"/>
    <x v="9"/>
    <x v="9"/>
    <x v="0"/>
    <x v="2"/>
    <x v="0"/>
    <x v="0"/>
    <x v="2"/>
    <x v="2"/>
    <x v="15"/>
    <x v="15"/>
    <x v="0"/>
    <x v="4"/>
    <x v="4"/>
    <x v="40"/>
    <x v="40"/>
    <n v="2"/>
    <x v="1"/>
    <x v="2"/>
    <x v="5"/>
    <x v="7"/>
    <x v="11"/>
    <x v="22"/>
    <n v="2.1800000000000002"/>
  </r>
  <r>
    <x v="9"/>
    <x v="0"/>
    <x v="9"/>
    <x v="9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9"/>
    <x v="0"/>
    <x v="9"/>
    <x v="9"/>
    <x v="0"/>
    <x v="2"/>
    <x v="0"/>
    <x v="0"/>
    <x v="2"/>
    <x v="2"/>
    <x v="15"/>
    <x v="15"/>
    <x v="3"/>
    <x v="7"/>
    <x v="7"/>
    <x v="40"/>
    <x v="40"/>
    <n v="8.6075999999999997"/>
    <x v="1"/>
    <x v="2"/>
    <x v="5"/>
    <x v="7"/>
    <x v="11"/>
    <x v="22"/>
    <n v="9.3822840000000003"/>
  </r>
  <r>
    <x v="9"/>
    <x v="0"/>
    <x v="9"/>
    <x v="9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9"/>
    <x v="0"/>
    <x v="9"/>
    <x v="9"/>
    <x v="0"/>
    <x v="2"/>
    <x v="0"/>
    <x v="0"/>
    <x v="2"/>
    <x v="2"/>
    <x v="15"/>
    <x v="15"/>
    <x v="1"/>
    <x v="8"/>
    <x v="8"/>
    <x v="40"/>
    <x v="40"/>
    <n v="25.4712"/>
    <x v="1"/>
    <x v="2"/>
    <x v="5"/>
    <x v="7"/>
    <x v="11"/>
    <x v="22"/>
    <n v="27.763608000000001"/>
  </r>
  <r>
    <x v="9"/>
    <x v="0"/>
    <x v="9"/>
    <x v="9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9"/>
    <x v="0"/>
    <x v="9"/>
    <x v="9"/>
    <x v="0"/>
    <x v="2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9"/>
    <x v="0"/>
    <x v="9"/>
    <x v="9"/>
    <x v="0"/>
    <x v="2"/>
    <x v="0"/>
    <x v="0"/>
    <x v="2"/>
    <x v="2"/>
    <x v="15"/>
    <x v="15"/>
    <x v="4"/>
    <x v="5"/>
    <x v="5"/>
    <x v="40"/>
    <x v="40"/>
    <n v="244.8006"/>
    <x v="1"/>
    <x v="2"/>
    <x v="5"/>
    <x v="7"/>
    <x v="11"/>
    <x v="22"/>
    <n v="266.83265400000005"/>
  </r>
  <r>
    <x v="9"/>
    <x v="0"/>
    <x v="9"/>
    <x v="9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9"/>
    <x v="0"/>
    <x v="9"/>
    <x v="9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9"/>
    <x v="0"/>
    <x v="9"/>
    <x v="9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9"/>
    <x v="0"/>
    <x v="9"/>
    <x v="9"/>
    <x v="0"/>
    <x v="2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9"/>
    <x v="0"/>
    <x v="9"/>
    <x v="9"/>
    <x v="0"/>
    <x v="2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9"/>
    <x v="0"/>
    <x v="9"/>
    <x v="9"/>
    <x v="0"/>
    <x v="2"/>
    <x v="0"/>
    <x v="0"/>
    <x v="2"/>
    <x v="2"/>
    <x v="17"/>
    <x v="17"/>
    <x v="0"/>
    <x v="9"/>
    <x v="9"/>
    <x v="7"/>
    <x v="7"/>
    <n v="72.127817071281001"/>
    <x v="0"/>
    <x v="0"/>
    <x v="1"/>
    <x v="4"/>
    <x v="5"/>
    <x v="7"/>
    <n v="78.619320607696295"/>
  </r>
  <r>
    <x v="9"/>
    <x v="0"/>
    <x v="9"/>
    <x v="9"/>
    <x v="0"/>
    <x v="2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9"/>
    <x v="0"/>
    <x v="9"/>
    <x v="9"/>
    <x v="0"/>
    <x v="2"/>
    <x v="0"/>
    <x v="0"/>
    <x v="2"/>
    <x v="2"/>
    <x v="17"/>
    <x v="17"/>
    <x v="4"/>
    <x v="5"/>
    <x v="5"/>
    <x v="40"/>
    <x v="40"/>
    <n v="271.64654000000002"/>
    <x v="1"/>
    <x v="2"/>
    <x v="5"/>
    <x v="7"/>
    <x v="11"/>
    <x v="22"/>
    <n v="296.09472860000005"/>
  </r>
  <r>
    <x v="9"/>
    <x v="0"/>
    <x v="9"/>
    <x v="9"/>
    <x v="0"/>
    <x v="3"/>
    <x v="0"/>
    <x v="0"/>
    <x v="0"/>
    <x v="0"/>
    <x v="0"/>
    <x v="0"/>
    <x v="3"/>
    <x v="3"/>
    <x v="3"/>
    <x v="9"/>
    <x v="9"/>
    <n v="19.856880733933"/>
    <x v="0"/>
    <x v="0"/>
    <x v="1"/>
    <x v="4"/>
    <x v="5"/>
    <x v="9"/>
    <n v="21.643999999986971"/>
  </r>
  <r>
    <x v="9"/>
    <x v="0"/>
    <x v="9"/>
    <x v="9"/>
    <x v="0"/>
    <x v="3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4500000000000004"/>
  </r>
  <r>
    <x v="9"/>
    <x v="0"/>
    <x v="9"/>
    <x v="9"/>
    <x v="0"/>
    <x v="3"/>
    <x v="0"/>
    <x v="0"/>
    <x v="0"/>
    <x v="0"/>
    <x v="0"/>
    <x v="0"/>
    <x v="3"/>
    <x v="3"/>
    <x v="3"/>
    <x v="12"/>
    <x v="12"/>
    <n v="16.8139186045873"/>
    <x v="0"/>
    <x v="0"/>
    <x v="0"/>
    <x v="0"/>
    <x v="8"/>
    <x v="12"/>
    <n v="18.327171279000158"/>
  </r>
  <r>
    <x v="9"/>
    <x v="0"/>
    <x v="9"/>
    <x v="9"/>
    <x v="0"/>
    <x v="3"/>
    <x v="0"/>
    <x v="0"/>
    <x v="0"/>
    <x v="0"/>
    <x v="0"/>
    <x v="0"/>
    <x v="3"/>
    <x v="3"/>
    <x v="3"/>
    <x v="26"/>
    <x v="26"/>
    <n v="19.686385321089102"/>
    <x v="0"/>
    <x v="0"/>
    <x v="1"/>
    <x v="3"/>
    <x v="3"/>
    <x v="15"/>
    <n v="21.458159999987121"/>
  </r>
  <r>
    <x v="9"/>
    <x v="0"/>
    <x v="9"/>
    <x v="9"/>
    <x v="0"/>
    <x v="3"/>
    <x v="0"/>
    <x v="0"/>
    <x v="0"/>
    <x v="0"/>
    <x v="0"/>
    <x v="0"/>
    <x v="0"/>
    <x v="4"/>
    <x v="4"/>
    <x v="9"/>
    <x v="9"/>
    <n v="123.787155963228"/>
    <x v="0"/>
    <x v="0"/>
    <x v="1"/>
    <x v="4"/>
    <x v="5"/>
    <x v="9"/>
    <n v="134.92799999991854"/>
  </r>
  <r>
    <x v="9"/>
    <x v="0"/>
    <x v="9"/>
    <x v="9"/>
    <x v="0"/>
    <x v="3"/>
    <x v="0"/>
    <x v="0"/>
    <x v="0"/>
    <x v="0"/>
    <x v="0"/>
    <x v="0"/>
    <x v="0"/>
    <x v="4"/>
    <x v="4"/>
    <x v="10"/>
    <x v="10"/>
    <n v="144.19449541275799"/>
    <x v="0"/>
    <x v="0"/>
    <x v="1"/>
    <x v="4"/>
    <x v="5"/>
    <x v="10"/>
    <n v="157.17199999990621"/>
  </r>
  <r>
    <x v="9"/>
    <x v="0"/>
    <x v="9"/>
    <x v="9"/>
    <x v="0"/>
    <x v="3"/>
    <x v="0"/>
    <x v="0"/>
    <x v="0"/>
    <x v="0"/>
    <x v="0"/>
    <x v="0"/>
    <x v="0"/>
    <x v="4"/>
    <x v="4"/>
    <x v="11"/>
    <x v="11"/>
    <n v="144.91591"/>
    <x v="0"/>
    <x v="0"/>
    <x v="3"/>
    <x v="5"/>
    <x v="7"/>
    <x v="11"/>
    <n v="157.95834190000002"/>
  </r>
  <r>
    <x v="9"/>
    <x v="0"/>
    <x v="9"/>
    <x v="9"/>
    <x v="0"/>
    <x v="3"/>
    <x v="0"/>
    <x v="0"/>
    <x v="0"/>
    <x v="0"/>
    <x v="0"/>
    <x v="0"/>
    <x v="0"/>
    <x v="0"/>
    <x v="0"/>
    <x v="9"/>
    <x v="9"/>
    <n v="6.42201834862"/>
    <x v="0"/>
    <x v="0"/>
    <x v="1"/>
    <x v="4"/>
    <x v="5"/>
    <x v="9"/>
    <n v="6.9999999999958007"/>
  </r>
  <r>
    <x v="9"/>
    <x v="0"/>
    <x v="9"/>
    <x v="9"/>
    <x v="0"/>
    <x v="3"/>
    <x v="0"/>
    <x v="0"/>
    <x v="0"/>
    <x v="0"/>
    <x v="0"/>
    <x v="0"/>
    <x v="0"/>
    <x v="0"/>
    <x v="0"/>
    <x v="11"/>
    <x v="11"/>
    <n v="23.290749999999999"/>
    <x v="0"/>
    <x v="0"/>
    <x v="3"/>
    <x v="5"/>
    <x v="7"/>
    <x v="11"/>
    <n v="25.386917500000003"/>
  </r>
  <r>
    <x v="9"/>
    <x v="0"/>
    <x v="9"/>
    <x v="9"/>
    <x v="0"/>
    <x v="3"/>
    <x v="0"/>
    <x v="0"/>
    <x v="0"/>
    <x v="0"/>
    <x v="0"/>
    <x v="0"/>
    <x v="1"/>
    <x v="1"/>
    <x v="1"/>
    <x v="9"/>
    <x v="9"/>
    <n v="20.18348623852"/>
    <x v="0"/>
    <x v="0"/>
    <x v="1"/>
    <x v="4"/>
    <x v="5"/>
    <x v="9"/>
    <n v="21.999999999986802"/>
  </r>
  <r>
    <x v="9"/>
    <x v="0"/>
    <x v="9"/>
    <x v="9"/>
    <x v="0"/>
    <x v="3"/>
    <x v="0"/>
    <x v="0"/>
    <x v="0"/>
    <x v="0"/>
    <x v="0"/>
    <x v="0"/>
    <x v="1"/>
    <x v="1"/>
    <x v="1"/>
    <x v="11"/>
    <x v="11"/>
    <n v="20.412980000000001"/>
    <x v="0"/>
    <x v="0"/>
    <x v="3"/>
    <x v="5"/>
    <x v="7"/>
    <x v="11"/>
    <n v="22.250148200000002"/>
  </r>
  <r>
    <x v="9"/>
    <x v="0"/>
    <x v="9"/>
    <x v="9"/>
    <x v="0"/>
    <x v="3"/>
    <x v="0"/>
    <x v="0"/>
    <x v="0"/>
    <x v="0"/>
    <x v="0"/>
    <x v="0"/>
    <x v="2"/>
    <x v="2"/>
    <x v="2"/>
    <x v="9"/>
    <x v="9"/>
    <n v="67.219926605464295"/>
    <x v="0"/>
    <x v="0"/>
    <x v="1"/>
    <x v="4"/>
    <x v="5"/>
    <x v="9"/>
    <n v="73.269719999956081"/>
  </r>
  <r>
    <x v="9"/>
    <x v="0"/>
    <x v="9"/>
    <x v="9"/>
    <x v="0"/>
    <x v="3"/>
    <x v="0"/>
    <x v="0"/>
    <x v="0"/>
    <x v="0"/>
    <x v="0"/>
    <x v="0"/>
    <x v="2"/>
    <x v="2"/>
    <x v="2"/>
    <x v="10"/>
    <x v="10"/>
    <n v="20.067889908244801"/>
    <x v="0"/>
    <x v="0"/>
    <x v="1"/>
    <x v="4"/>
    <x v="5"/>
    <x v="10"/>
    <n v="21.873999999986836"/>
  </r>
  <r>
    <x v="9"/>
    <x v="0"/>
    <x v="9"/>
    <x v="9"/>
    <x v="0"/>
    <x v="3"/>
    <x v="0"/>
    <x v="0"/>
    <x v="0"/>
    <x v="0"/>
    <x v="0"/>
    <x v="0"/>
    <x v="2"/>
    <x v="2"/>
    <x v="2"/>
    <x v="11"/>
    <x v="11"/>
    <n v="149.94475"/>
    <x v="0"/>
    <x v="0"/>
    <x v="3"/>
    <x v="5"/>
    <x v="7"/>
    <x v="11"/>
    <n v="163.43977750000002"/>
  </r>
  <r>
    <x v="9"/>
    <x v="0"/>
    <x v="9"/>
    <x v="9"/>
    <x v="0"/>
    <x v="3"/>
    <x v="0"/>
    <x v="0"/>
    <x v="0"/>
    <x v="0"/>
    <x v="0"/>
    <x v="0"/>
    <x v="2"/>
    <x v="2"/>
    <x v="2"/>
    <x v="12"/>
    <x v="12"/>
    <n v="6.5232558139287002"/>
    <x v="0"/>
    <x v="0"/>
    <x v="0"/>
    <x v="0"/>
    <x v="8"/>
    <x v="12"/>
    <n v="7.1103488371822836"/>
  </r>
  <r>
    <x v="9"/>
    <x v="0"/>
    <x v="9"/>
    <x v="9"/>
    <x v="0"/>
    <x v="3"/>
    <x v="0"/>
    <x v="0"/>
    <x v="0"/>
    <x v="0"/>
    <x v="0"/>
    <x v="0"/>
    <x v="2"/>
    <x v="2"/>
    <x v="2"/>
    <x v="26"/>
    <x v="26"/>
    <n v="3.2493944954108902"/>
    <x v="0"/>
    <x v="0"/>
    <x v="1"/>
    <x v="3"/>
    <x v="3"/>
    <x v="15"/>
    <n v="3.5418399999978707"/>
  </r>
  <r>
    <x v="9"/>
    <x v="0"/>
    <x v="9"/>
    <x v="9"/>
    <x v="0"/>
    <x v="3"/>
    <x v="0"/>
    <x v="0"/>
    <x v="0"/>
    <x v="0"/>
    <x v="0"/>
    <x v="0"/>
    <x v="1"/>
    <x v="6"/>
    <x v="6"/>
    <x v="9"/>
    <x v="9"/>
    <n v="3.2770642201815199"/>
    <x v="0"/>
    <x v="0"/>
    <x v="1"/>
    <x v="4"/>
    <x v="5"/>
    <x v="9"/>
    <n v="3.5719999999978569"/>
  </r>
  <r>
    <x v="9"/>
    <x v="0"/>
    <x v="9"/>
    <x v="9"/>
    <x v="0"/>
    <x v="3"/>
    <x v="0"/>
    <x v="0"/>
    <x v="0"/>
    <x v="0"/>
    <x v="0"/>
    <x v="0"/>
    <x v="1"/>
    <x v="6"/>
    <x v="6"/>
    <x v="10"/>
    <x v="10"/>
    <n v="12.540366972469499"/>
    <x v="0"/>
    <x v="0"/>
    <x v="1"/>
    <x v="4"/>
    <x v="5"/>
    <x v="10"/>
    <n v="13.668999999991755"/>
  </r>
  <r>
    <x v="9"/>
    <x v="0"/>
    <x v="9"/>
    <x v="9"/>
    <x v="0"/>
    <x v="3"/>
    <x v="0"/>
    <x v="0"/>
    <x v="0"/>
    <x v="0"/>
    <x v="0"/>
    <x v="0"/>
    <x v="1"/>
    <x v="6"/>
    <x v="6"/>
    <x v="11"/>
    <x v="11"/>
    <n v="19.45025"/>
    <x v="0"/>
    <x v="0"/>
    <x v="3"/>
    <x v="5"/>
    <x v="7"/>
    <x v="11"/>
    <n v="21.200772500000003"/>
  </r>
  <r>
    <x v="9"/>
    <x v="0"/>
    <x v="9"/>
    <x v="9"/>
    <x v="0"/>
    <x v="3"/>
    <x v="0"/>
    <x v="0"/>
    <x v="0"/>
    <x v="0"/>
    <x v="0"/>
    <x v="0"/>
    <x v="4"/>
    <x v="5"/>
    <x v="5"/>
    <x v="9"/>
    <x v="9"/>
    <n v="17.706385321090298"/>
    <x v="0"/>
    <x v="0"/>
    <x v="1"/>
    <x v="4"/>
    <x v="5"/>
    <x v="9"/>
    <n v="19.299959999988427"/>
  </r>
  <r>
    <x v="9"/>
    <x v="0"/>
    <x v="9"/>
    <x v="9"/>
    <x v="0"/>
    <x v="3"/>
    <x v="0"/>
    <x v="0"/>
    <x v="0"/>
    <x v="0"/>
    <x v="4"/>
    <x v="4"/>
    <x v="2"/>
    <x v="2"/>
    <x v="2"/>
    <x v="9"/>
    <x v="9"/>
    <n v="0.42411009174286002"/>
    <x v="0"/>
    <x v="0"/>
    <x v="1"/>
    <x v="4"/>
    <x v="5"/>
    <x v="9"/>
    <n v="0.46227999999971747"/>
  </r>
  <r>
    <x v="9"/>
    <x v="0"/>
    <x v="9"/>
    <x v="9"/>
    <x v="0"/>
    <x v="5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9"/>
    <x v="0"/>
    <x v="9"/>
    <x v="9"/>
    <x v="0"/>
    <x v="5"/>
    <x v="0"/>
    <x v="0"/>
    <x v="0"/>
    <x v="0"/>
    <x v="0"/>
    <x v="0"/>
    <x v="2"/>
    <x v="2"/>
    <x v="2"/>
    <x v="11"/>
    <x v="11"/>
    <n v="7.6278100000000002"/>
    <x v="0"/>
    <x v="0"/>
    <x v="3"/>
    <x v="5"/>
    <x v="7"/>
    <x v="11"/>
    <n v="8.3143129000000009"/>
  </r>
  <r>
    <x v="9"/>
    <x v="0"/>
    <x v="9"/>
    <x v="9"/>
    <x v="0"/>
    <x v="5"/>
    <x v="0"/>
    <x v="0"/>
    <x v="0"/>
    <x v="0"/>
    <x v="0"/>
    <x v="0"/>
    <x v="2"/>
    <x v="2"/>
    <x v="2"/>
    <x v="26"/>
    <x v="26"/>
    <n v="1.1926605504579999"/>
    <x v="0"/>
    <x v="0"/>
    <x v="1"/>
    <x v="3"/>
    <x v="3"/>
    <x v="15"/>
    <n v="1.29999999999922"/>
  </r>
  <r>
    <x v="9"/>
    <x v="0"/>
    <x v="9"/>
    <x v="9"/>
    <x v="0"/>
    <x v="5"/>
    <x v="0"/>
    <x v="0"/>
    <x v="0"/>
    <x v="0"/>
    <x v="0"/>
    <x v="0"/>
    <x v="3"/>
    <x v="7"/>
    <x v="7"/>
    <x v="9"/>
    <x v="9"/>
    <n v="33.944954128420001"/>
    <x v="0"/>
    <x v="0"/>
    <x v="1"/>
    <x v="4"/>
    <x v="5"/>
    <x v="9"/>
    <n v="36.999999999977803"/>
  </r>
  <r>
    <x v="9"/>
    <x v="0"/>
    <x v="9"/>
    <x v="9"/>
    <x v="0"/>
    <x v="5"/>
    <x v="0"/>
    <x v="0"/>
    <x v="0"/>
    <x v="0"/>
    <x v="0"/>
    <x v="0"/>
    <x v="1"/>
    <x v="8"/>
    <x v="8"/>
    <x v="9"/>
    <x v="9"/>
    <n v="133.02752293570001"/>
    <x v="0"/>
    <x v="0"/>
    <x v="1"/>
    <x v="4"/>
    <x v="5"/>
    <x v="9"/>
    <n v="144.99999999991303"/>
  </r>
  <r>
    <x v="9"/>
    <x v="0"/>
    <x v="9"/>
    <x v="9"/>
    <x v="0"/>
    <x v="5"/>
    <x v="0"/>
    <x v="0"/>
    <x v="0"/>
    <x v="0"/>
    <x v="0"/>
    <x v="0"/>
    <x v="0"/>
    <x v="9"/>
    <x v="9"/>
    <x v="9"/>
    <x v="9"/>
    <n v="3.83761467889678"/>
    <x v="0"/>
    <x v="0"/>
    <x v="1"/>
    <x v="4"/>
    <x v="5"/>
    <x v="9"/>
    <n v="4.1829999999974907"/>
  </r>
  <r>
    <x v="9"/>
    <x v="0"/>
    <x v="9"/>
    <x v="9"/>
    <x v="0"/>
    <x v="5"/>
    <x v="0"/>
    <x v="0"/>
    <x v="0"/>
    <x v="0"/>
    <x v="0"/>
    <x v="0"/>
    <x v="2"/>
    <x v="10"/>
    <x v="10"/>
    <x v="9"/>
    <x v="9"/>
    <n v="12.38532110091"/>
    <x v="0"/>
    <x v="0"/>
    <x v="1"/>
    <x v="4"/>
    <x v="5"/>
    <x v="9"/>
    <n v="13.4999999999919"/>
  </r>
  <r>
    <x v="9"/>
    <x v="0"/>
    <x v="9"/>
    <x v="9"/>
    <x v="0"/>
    <x v="5"/>
    <x v="0"/>
    <x v="0"/>
    <x v="0"/>
    <x v="0"/>
    <x v="0"/>
    <x v="0"/>
    <x v="4"/>
    <x v="5"/>
    <x v="5"/>
    <x v="9"/>
    <x v="9"/>
    <n v="57.79816513758"/>
    <x v="0"/>
    <x v="0"/>
    <x v="1"/>
    <x v="4"/>
    <x v="5"/>
    <x v="9"/>
    <n v="62.999999999962206"/>
  </r>
  <r>
    <x v="9"/>
    <x v="0"/>
    <x v="9"/>
    <x v="9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9"/>
    <x v="0"/>
    <x v="9"/>
    <x v="9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9"/>
    <x v="0"/>
    <x v="9"/>
    <x v="9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9"/>
    <x v="0"/>
    <x v="9"/>
    <x v="9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9"/>
    <x v="0"/>
    <x v="9"/>
    <x v="9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9"/>
    <x v="0"/>
    <x v="9"/>
    <x v="9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9"/>
    <x v="0"/>
    <x v="9"/>
    <x v="9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9"/>
    <x v="0"/>
    <x v="9"/>
    <x v="9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9"/>
    <x v="0"/>
    <x v="9"/>
    <x v="9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9"/>
    <x v="0"/>
    <x v="9"/>
    <x v="9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9"/>
    <x v="0"/>
    <x v="9"/>
    <x v="9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9"/>
    <x v="0"/>
    <x v="9"/>
    <x v="9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9"/>
    <x v="0"/>
    <x v="9"/>
    <x v="9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9"/>
    <x v="0"/>
    <x v="9"/>
    <x v="9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9"/>
    <x v="0"/>
    <x v="9"/>
    <x v="9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9"/>
    <x v="0"/>
    <x v="9"/>
    <x v="9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9"/>
    <x v="0"/>
    <x v="9"/>
    <x v="9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9"/>
    <x v="0"/>
    <x v="9"/>
    <x v="9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9"/>
    <x v="0"/>
    <x v="9"/>
    <x v="9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9"/>
    <x v="0"/>
    <x v="9"/>
    <x v="9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9"/>
    <x v="0"/>
    <x v="9"/>
    <x v="9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9"/>
    <x v="0"/>
    <x v="9"/>
    <x v="9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9"/>
    <x v="0"/>
    <x v="9"/>
    <x v="9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9"/>
    <x v="0"/>
    <x v="9"/>
    <x v="9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9"/>
    <x v="0"/>
    <x v="9"/>
    <x v="9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9"/>
    <x v="0"/>
    <x v="9"/>
    <x v="9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9"/>
    <x v="0"/>
    <x v="9"/>
    <x v="9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9"/>
    <x v="0"/>
    <x v="9"/>
    <x v="9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9"/>
    <x v="0"/>
    <x v="9"/>
    <x v="9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9"/>
    <x v="0"/>
    <x v="9"/>
    <x v="9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9"/>
    <x v="0"/>
    <x v="9"/>
    <x v="9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9"/>
    <x v="0"/>
    <x v="9"/>
    <x v="9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9"/>
    <x v="0"/>
    <x v="9"/>
    <x v="9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9"/>
    <x v="0"/>
    <x v="9"/>
    <x v="9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9"/>
    <x v="0"/>
    <x v="9"/>
    <x v="9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9"/>
    <x v="0"/>
    <x v="9"/>
    <x v="9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9"/>
    <x v="0"/>
    <x v="9"/>
    <x v="9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9"/>
    <x v="0"/>
    <x v="9"/>
    <x v="9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9"/>
    <x v="0"/>
    <x v="9"/>
    <x v="9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9"/>
    <x v="0"/>
    <x v="9"/>
    <x v="9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9"/>
    <x v="0"/>
    <x v="9"/>
    <x v="9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9"/>
    <x v="0"/>
    <x v="9"/>
    <x v="9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9"/>
    <x v="0"/>
    <x v="9"/>
    <x v="9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9"/>
    <x v="0"/>
    <x v="9"/>
    <x v="9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9"/>
    <x v="0"/>
    <x v="9"/>
    <x v="9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9"/>
    <x v="0"/>
    <x v="9"/>
    <x v="9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9"/>
    <x v="0"/>
    <x v="9"/>
    <x v="9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9"/>
    <x v="0"/>
    <x v="9"/>
    <x v="9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9"/>
    <x v="0"/>
    <x v="9"/>
    <x v="9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9"/>
    <x v="0"/>
    <x v="9"/>
    <x v="9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9"/>
    <x v="0"/>
    <x v="9"/>
    <x v="9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9"/>
    <x v="0"/>
    <x v="9"/>
    <x v="9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9"/>
    <x v="0"/>
    <x v="9"/>
    <x v="9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9"/>
    <x v="0"/>
    <x v="9"/>
    <x v="9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9"/>
    <x v="0"/>
    <x v="9"/>
    <x v="9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9"/>
    <x v="0"/>
    <x v="9"/>
    <x v="9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9"/>
    <x v="0"/>
    <x v="9"/>
    <x v="9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9"/>
    <x v="0"/>
    <x v="9"/>
    <x v="9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9"/>
    <x v="0"/>
    <x v="9"/>
    <x v="9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9"/>
    <x v="0"/>
    <x v="9"/>
    <x v="9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9"/>
    <x v="0"/>
    <x v="9"/>
    <x v="9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9"/>
    <x v="0"/>
    <x v="9"/>
    <x v="9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9"/>
    <x v="0"/>
    <x v="9"/>
    <x v="9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9"/>
    <x v="0"/>
    <x v="9"/>
    <x v="9"/>
    <x v="0"/>
    <x v="4"/>
    <x v="0"/>
    <x v="0"/>
    <x v="0"/>
    <x v="0"/>
    <x v="0"/>
    <x v="0"/>
    <x v="4"/>
    <x v="5"/>
    <x v="5"/>
    <x v="9"/>
    <x v="9"/>
    <n v="376.71"/>
    <x v="0"/>
    <x v="0"/>
    <x v="1"/>
    <x v="4"/>
    <x v="5"/>
    <x v="9"/>
    <n v="410.6139"/>
  </r>
  <r>
    <x v="9"/>
    <x v="0"/>
    <x v="9"/>
    <x v="9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9"/>
    <x v="0"/>
    <x v="9"/>
    <x v="9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9"/>
    <x v="0"/>
    <x v="9"/>
    <x v="9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9"/>
    <x v="0"/>
    <x v="9"/>
    <x v="9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9"/>
    <x v="0"/>
    <x v="9"/>
    <x v="9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9"/>
    <x v="0"/>
    <x v="9"/>
    <x v="9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9"/>
    <x v="0"/>
    <x v="9"/>
    <x v="9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9"/>
    <x v="0"/>
    <x v="9"/>
    <x v="9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9"/>
    <x v="0"/>
    <x v="9"/>
    <x v="9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9"/>
    <x v="0"/>
    <x v="9"/>
    <x v="9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9"/>
    <x v="0"/>
    <x v="9"/>
    <x v="9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9"/>
    <x v="0"/>
    <x v="9"/>
    <x v="9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9"/>
    <x v="0"/>
    <x v="9"/>
    <x v="9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9"/>
    <x v="0"/>
    <x v="9"/>
    <x v="9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9"/>
    <x v="0"/>
    <x v="9"/>
    <x v="9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9"/>
    <x v="0"/>
    <x v="9"/>
    <x v="9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9"/>
    <x v="0"/>
    <x v="9"/>
    <x v="9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9"/>
    <x v="0"/>
    <x v="9"/>
    <x v="9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9"/>
    <x v="0"/>
    <x v="9"/>
    <x v="9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9"/>
    <x v="0"/>
    <x v="9"/>
    <x v="9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9"/>
    <x v="0"/>
    <x v="9"/>
    <x v="9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9"/>
    <x v="0"/>
    <x v="9"/>
    <x v="9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9"/>
    <x v="0"/>
    <x v="9"/>
    <x v="9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9"/>
    <x v="0"/>
    <x v="9"/>
    <x v="9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9"/>
    <x v="0"/>
    <x v="9"/>
    <x v="9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9"/>
    <x v="0"/>
    <x v="9"/>
    <x v="9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9"/>
    <x v="0"/>
    <x v="9"/>
    <x v="9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9"/>
    <x v="0"/>
    <x v="9"/>
    <x v="9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9"/>
    <x v="0"/>
    <x v="9"/>
    <x v="9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9"/>
    <x v="0"/>
    <x v="9"/>
    <x v="9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9"/>
    <x v="0"/>
    <x v="9"/>
    <x v="9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9"/>
    <x v="0"/>
    <x v="9"/>
    <x v="9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9"/>
    <x v="0"/>
    <x v="9"/>
    <x v="9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9"/>
    <x v="0"/>
    <x v="9"/>
    <x v="9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9"/>
    <x v="0"/>
    <x v="9"/>
    <x v="9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9"/>
    <x v="0"/>
    <x v="9"/>
    <x v="9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9"/>
    <x v="0"/>
    <x v="9"/>
    <x v="9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9"/>
    <x v="0"/>
    <x v="9"/>
    <x v="9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9"/>
    <x v="0"/>
    <x v="9"/>
    <x v="9"/>
    <x v="1"/>
    <x v="6"/>
    <x v="0"/>
    <x v="0"/>
    <x v="2"/>
    <x v="2"/>
    <x v="5"/>
    <x v="5"/>
    <x v="4"/>
    <x v="5"/>
    <x v="5"/>
    <x v="41"/>
    <x v="41"/>
    <n v="95.246159574106102"/>
    <x v="1"/>
    <x v="2"/>
    <x v="5"/>
    <x v="7"/>
    <x v="11"/>
    <x v="22"/>
    <n v="103.81831393577566"/>
  </r>
  <r>
    <x v="9"/>
    <x v="0"/>
    <x v="9"/>
    <x v="9"/>
    <x v="1"/>
    <x v="6"/>
    <x v="0"/>
    <x v="0"/>
    <x v="2"/>
    <x v="2"/>
    <x v="5"/>
    <x v="5"/>
    <x v="4"/>
    <x v="5"/>
    <x v="5"/>
    <x v="40"/>
    <x v="40"/>
    <n v="1093.21425"/>
    <x v="1"/>
    <x v="2"/>
    <x v="5"/>
    <x v="7"/>
    <x v="11"/>
    <x v="22"/>
    <n v="1191.6035325"/>
  </r>
  <r>
    <x v="9"/>
    <x v="0"/>
    <x v="9"/>
    <x v="9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9"/>
    <x v="0"/>
    <x v="9"/>
    <x v="9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9"/>
    <x v="0"/>
    <x v="9"/>
    <x v="9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9"/>
    <x v="0"/>
    <x v="9"/>
    <x v="9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9"/>
    <x v="0"/>
    <x v="9"/>
    <x v="9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9"/>
    <x v="0"/>
    <x v="9"/>
    <x v="9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9"/>
    <x v="0"/>
    <x v="9"/>
    <x v="9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9"/>
    <x v="0"/>
    <x v="9"/>
    <x v="9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9"/>
    <x v="0"/>
    <x v="9"/>
    <x v="9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9"/>
    <x v="0"/>
    <x v="9"/>
    <x v="9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9"/>
    <x v="0"/>
    <x v="9"/>
    <x v="9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9"/>
    <x v="0"/>
    <x v="9"/>
    <x v="9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9"/>
    <x v="0"/>
    <x v="9"/>
    <x v="9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9"/>
    <x v="0"/>
    <x v="9"/>
    <x v="9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9"/>
    <x v="0"/>
    <x v="9"/>
    <x v="9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9"/>
    <x v="0"/>
    <x v="9"/>
    <x v="9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9"/>
    <x v="0"/>
    <x v="9"/>
    <x v="9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9"/>
    <x v="0"/>
    <x v="9"/>
    <x v="9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9"/>
    <x v="0"/>
    <x v="9"/>
    <x v="9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9"/>
    <x v="0"/>
    <x v="9"/>
    <x v="9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9"/>
    <x v="0"/>
    <x v="9"/>
    <x v="9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9"/>
    <x v="0"/>
    <x v="9"/>
    <x v="9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9"/>
    <x v="0"/>
    <x v="9"/>
    <x v="9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9"/>
    <x v="0"/>
    <x v="9"/>
    <x v="9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9"/>
    <x v="0"/>
    <x v="9"/>
    <x v="9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9"/>
    <x v="0"/>
    <x v="9"/>
    <x v="9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9"/>
    <x v="0"/>
    <x v="9"/>
    <x v="9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9"/>
    <x v="0"/>
    <x v="9"/>
    <x v="9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9"/>
    <x v="0"/>
    <x v="9"/>
    <x v="9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9"/>
    <x v="0"/>
    <x v="9"/>
    <x v="9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9"/>
    <x v="0"/>
    <x v="9"/>
    <x v="9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9"/>
    <x v="0"/>
    <x v="9"/>
    <x v="9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9"/>
    <x v="0"/>
    <x v="9"/>
    <x v="9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9"/>
    <x v="0"/>
    <x v="9"/>
    <x v="9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9"/>
    <x v="0"/>
    <x v="9"/>
    <x v="9"/>
    <x v="1"/>
    <x v="6"/>
    <x v="0"/>
    <x v="0"/>
    <x v="2"/>
    <x v="2"/>
    <x v="7"/>
    <x v="7"/>
    <x v="2"/>
    <x v="2"/>
    <x v="2"/>
    <x v="40"/>
    <x v="40"/>
    <n v="2511.9098199999999"/>
    <x v="1"/>
    <x v="2"/>
    <x v="5"/>
    <x v="7"/>
    <x v="11"/>
    <x v="22"/>
    <n v="2737.9817038000001"/>
  </r>
  <r>
    <x v="9"/>
    <x v="0"/>
    <x v="9"/>
    <x v="9"/>
    <x v="1"/>
    <x v="6"/>
    <x v="0"/>
    <x v="0"/>
    <x v="2"/>
    <x v="2"/>
    <x v="7"/>
    <x v="7"/>
    <x v="2"/>
    <x v="2"/>
    <x v="2"/>
    <x v="38"/>
    <x v="38"/>
    <n v="3966.3876500000001"/>
    <x v="1"/>
    <x v="0"/>
    <x v="4"/>
    <x v="6"/>
    <x v="10"/>
    <x v="21"/>
    <n v="4323.3625385000005"/>
  </r>
  <r>
    <x v="9"/>
    <x v="0"/>
    <x v="9"/>
    <x v="9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9"/>
    <x v="0"/>
    <x v="9"/>
    <x v="9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9"/>
    <x v="0"/>
    <x v="9"/>
    <x v="9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9"/>
    <x v="0"/>
    <x v="9"/>
    <x v="9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9"/>
    <x v="0"/>
    <x v="9"/>
    <x v="9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9"/>
    <x v="0"/>
    <x v="9"/>
    <x v="9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9"/>
    <x v="0"/>
    <x v="9"/>
    <x v="9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9"/>
    <x v="0"/>
    <x v="9"/>
    <x v="9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9"/>
    <x v="0"/>
    <x v="9"/>
    <x v="9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9"/>
    <x v="0"/>
    <x v="9"/>
    <x v="9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9"/>
    <x v="0"/>
    <x v="9"/>
    <x v="9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9"/>
    <x v="0"/>
    <x v="9"/>
    <x v="9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9"/>
    <x v="0"/>
    <x v="9"/>
    <x v="9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9"/>
    <x v="0"/>
    <x v="9"/>
    <x v="9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9"/>
    <x v="0"/>
    <x v="9"/>
    <x v="9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9"/>
    <x v="0"/>
    <x v="9"/>
    <x v="9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9"/>
    <x v="0"/>
    <x v="9"/>
    <x v="9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9"/>
    <x v="0"/>
    <x v="9"/>
    <x v="9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9"/>
    <x v="0"/>
    <x v="9"/>
    <x v="9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9"/>
    <x v="0"/>
    <x v="9"/>
    <x v="9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194.02818590000001"/>
  </r>
  <r>
    <x v="9"/>
    <x v="0"/>
    <x v="9"/>
    <x v="9"/>
    <x v="1"/>
    <x v="6"/>
    <x v="0"/>
    <x v="0"/>
    <x v="2"/>
    <x v="2"/>
    <x v="7"/>
    <x v="7"/>
    <x v="1"/>
    <x v="8"/>
    <x v="8"/>
    <x v="40"/>
    <x v="40"/>
    <n v="208.60576"/>
    <x v="1"/>
    <x v="2"/>
    <x v="5"/>
    <x v="7"/>
    <x v="11"/>
    <x v="22"/>
    <n v="227.38027840000001"/>
  </r>
  <r>
    <x v="9"/>
    <x v="0"/>
    <x v="9"/>
    <x v="9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9"/>
    <x v="0"/>
    <x v="9"/>
    <x v="9"/>
    <x v="1"/>
    <x v="6"/>
    <x v="0"/>
    <x v="0"/>
    <x v="2"/>
    <x v="2"/>
    <x v="7"/>
    <x v="7"/>
    <x v="4"/>
    <x v="5"/>
    <x v="5"/>
    <x v="40"/>
    <x v="40"/>
    <n v="183.48287999999999"/>
    <x v="1"/>
    <x v="2"/>
    <x v="5"/>
    <x v="7"/>
    <x v="11"/>
    <x v="22"/>
    <n v="199.99633920000002"/>
  </r>
  <r>
    <x v="9"/>
    <x v="0"/>
    <x v="9"/>
    <x v="9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9"/>
    <x v="0"/>
    <x v="9"/>
    <x v="9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9"/>
    <x v="0"/>
    <x v="9"/>
    <x v="9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9"/>
    <x v="0"/>
    <x v="9"/>
    <x v="9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9"/>
    <x v="0"/>
    <x v="9"/>
    <x v="9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9"/>
    <x v="0"/>
    <x v="9"/>
    <x v="9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9"/>
    <x v="0"/>
    <x v="9"/>
    <x v="9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9"/>
    <x v="0"/>
    <x v="9"/>
    <x v="9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9"/>
    <x v="0"/>
    <x v="9"/>
    <x v="9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9"/>
    <x v="0"/>
    <x v="9"/>
    <x v="9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9"/>
    <x v="0"/>
    <x v="9"/>
    <x v="9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9"/>
    <x v="0"/>
    <x v="9"/>
    <x v="9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9"/>
    <x v="0"/>
    <x v="9"/>
    <x v="9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9"/>
    <x v="0"/>
    <x v="9"/>
    <x v="9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9"/>
    <x v="0"/>
    <x v="9"/>
    <x v="9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9"/>
    <x v="0"/>
    <x v="9"/>
    <x v="9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9"/>
    <x v="0"/>
    <x v="9"/>
    <x v="9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9"/>
    <x v="0"/>
    <x v="9"/>
    <x v="9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9"/>
    <x v="0"/>
    <x v="9"/>
    <x v="9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9"/>
    <x v="0"/>
    <x v="9"/>
    <x v="9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9"/>
    <x v="0"/>
    <x v="9"/>
    <x v="9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9"/>
    <x v="0"/>
    <x v="9"/>
    <x v="9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9"/>
    <x v="0"/>
    <x v="9"/>
    <x v="9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9"/>
    <x v="0"/>
    <x v="9"/>
    <x v="9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9"/>
    <x v="0"/>
    <x v="9"/>
    <x v="9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9"/>
    <x v="0"/>
    <x v="9"/>
    <x v="9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9"/>
    <x v="0"/>
    <x v="9"/>
    <x v="9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9"/>
    <x v="0"/>
    <x v="9"/>
    <x v="9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9"/>
    <x v="0"/>
    <x v="9"/>
    <x v="9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9"/>
    <x v="0"/>
    <x v="9"/>
    <x v="9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9"/>
    <x v="0"/>
    <x v="9"/>
    <x v="9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9"/>
    <x v="0"/>
    <x v="9"/>
    <x v="9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9"/>
    <x v="0"/>
    <x v="9"/>
    <x v="9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9"/>
    <x v="0"/>
    <x v="9"/>
    <x v="9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9"/>
    <x v="0"/>
    <x v="9"/>
    <x v="9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9"/>
    <x v="0"/>
    <x v="9"/>
    <x v="9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9"/>
    <x v="0"/>
    <x v="9"/>
    <x v="9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9"/>
    <x v="0"/>
    <x v="9"/>
    <x v="9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9"/>
    <x v="0"/>
    <x v="9"/>
    <x v="9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9"/>
    <x v="0"/>
    <x v="9"/>
    <x v="9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9"/>
    <x v="0"/>
    <x v="9"/>
    <x v="9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9"/>
    <x v="0"/>
    <x v="9"/>
    <x v="9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9"/>
    <x v="0"/>
    <x v="9"/>
    <x v="9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9"/>
    <x v="0"/>
    <x v="9"/>
    <x v="9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9"/>
    <x v="0"/>
    <x v="9"/>
    <x v="9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9"/>
    <x v="0"/>
    <x v="9"/>
    <x v="9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9"/>
    <x v="0"/>
    <x v="9"/>
    <x v="9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9"/>
    <x v="0"/>
    <x v="9"/>
    <x v="9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9"/>
    <x v="0"/>
    <x v="9"/>
    <x v="9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9"/>
    <x v="0"/>
    <x v="9"/>
    <x v="9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9"/>
    <x v="0"/>
    <x v="9"/>
    <x v="9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9"/>
    <x v="0"/>
    <x v="9"/>
    <x v="9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9"/>
    <x v="0"/>
    <x v="9"/>
    <x v="9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9"/>
    <x v="0"/>
    <x v="9"/>
    <x v="9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9"/>
    <x v="0"/>
    <x v="9"/>
    <x v="9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9"/>
    <x v="0"/>
    <x v="9"/>
    <x v="9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9"/>
    <x v="0"/>
    <x v="9"/>
    <x v="9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9"/>
    <x v="0"/>
    <x v="9"/>
    <x v="9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9"/>
    <x v="0"/>
    <x v="9"/>
    <x v="9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9"/>
    <x v="0"/>
    <x v="9"/>
    <x v="9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9"/>
    <x v="0"/>
    <x v="9"/>
    <x v="9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9"/>
    <x v="0"/>
    <x v="9"/>
    <x v="9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9"/>
    <x v="0"/>
    <x v="9"/>
    <x v="9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9"/>
    <x v="0"/>
    <x v="9"/>
    <x v="9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9"/>
    <x v="0"/>
    <x v="9"/>
    <x v="9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9"/>
    <x v="0"/>
    <x v="9"/>
    <x v="9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9"/>
    <x v="0"/>
    <x v="9"/>
    <x v="9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9"/>
    <x v="0"/>
    <x v="9"/>
    <x v="9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9"/>
    <x v="0"/>
    <x v="9"/>
    <x v="9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9"/>
    <x v="0"/>
    <x v="9"/>
    <x v="9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9"/>
    <x v="0"/>
    <x v="9"/>
    <x v="9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9"/>
    <x v="0"/>
    <x v="9"/>
    <x v="9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9"/>
    <x v="0"/>
    <x v="9"/>
    <x v="9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9"/>
    <x v="0"/>
    <x v="9"/>
    <x v="9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9"/>
    <x v="0"/>
    <x v="9"/>
    <x v="9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9"/>
    <x v="0"/>
    <x v="9"/>
    <x v="9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9"/>
    <x v="0"/>
    <x v="9"/>
    <x v="9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9"/>
    <x v="0"/>
    <x v="9"/>
    <x v="9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9"/>
    <x v="0"/>
    <x v="9"/>
    <x v="9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9"/>
    <x v="0"/>
    <x v="9"/>
    <x v="9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9"/>
    <x v="0"/>
    <x v="9"/>
    <x v="9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9"/>
    <x v="0"/>
    <x v="9"/>
    <x v="9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9"/>
    <x v="0"/>
    <x v="9"/>
    <x v="9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9"/>
    <x v="0"/>
    <x v="9"/>
    <x v="9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9"/>
    <x v="0"/>
    <x v="9"/>
    <x v="9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9"/>
    <x v="0"/>
    <x v="9"/>
    <x v="9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9"/>
    <x v="0"/>
    <x v="9"/>
    <x v="9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9"/>
    <x v="0"/>
    <x v="9"/>
    <x v="9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9"/>
    <x v="0"/>
    <x v="9"/>
    <x v="9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9"/>
    <x v="0"/>
    <x v="9"/>
    <x v="9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9"/>
    <x v="0"/>
    <x v="9"/>
    <x v="9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9"/>
    <x v="0"/>
    <x v="9"/>
    <x v="9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9"/>
    <x v="0"/>
    <x v="9"/>
    <x v="9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9"/>
    <x v="0"/>
    <x v="9"/>
    <x v="9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9"/>
    <x v="0"/>
    <x v="9"/>
    <x v="9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9"/>
    <x v="0"/>
    <x v="9"/>
    <x v="9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9"/>
    <x v="0"/>
    <x v="9"/>
    <x v="9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9"/>
    <x v="0"/>
    <x v="9"/>
    <x v="9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9"/>
    <x v="0"/>
    <x v="9"/>
    <x v="9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9"/>
    <x v="0"/>
    <x v="9"/>
    <x v="9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9"/>
    <x v="0"/>
    <x v="9"/>
    <x v="9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9"/>
    <x v="0"/>
    <x v="9"/>
    <x v="9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9"/>
    <x v="0"/>
    <x v="9"/>
    <x v="9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9"/>
    <x v="0"/>
    <x v="9"/>
    <x v="9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9"/>
    <x v="0"/>
    <x v="9"/>
    <x v="9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9"/>
    <x v="0"/>
    <x v="9"/>
    <x v="9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9"/>
    <x v="0"/>
    <x v="9"/>
    <x v="9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9"/>
    <x v="0"/>
    <x v="9"/>
    <x v="9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9"/>
    <x v="0"/>
    <x v="9"/>
    <x v="9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9"/>
    <x v="0"/>
    <x v="9"/>
    <x v="9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9"/>
    <x v="0"/>
    <x v="9"/>
    <x v="9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9"/>
    <x v="0"/>
    <x v="9"/>
    <x v="9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9"/>
    <x v="0"/>
    <x v="9"/>
    <x v="9"/>
    <x v="1"/>
    <x v="6"/>
    <x v="0"/>
    <x v="0"/>
    <x v="0"/>
    <x v="0"/>
    <x v="2"/>
    <x v="2"/>
    <x v="2"/>
    <x v="2"/>
    <x v="2"/>
    <x v="9"/>
    <x v="9"/>
    <n v="16.103713540324801"/>
    <x v="0"/>
    <x v="0"/>
    <x v="1"/>
    <x v="4"/>
    <x v="5"/>
    <x v="9"/>
    <n v="17.553047758954033"/>
  </r>
  <r>
    <x v="9"/>
    <x v="0"/>
    <x v="9"/>
    <x v="9"/>
    <x v="1"/>
    <x v="6"/>
    <x v="0"/>
    <x v="0"/>
    <x v="0"/>
    <x v="0"/>
    <x v="2"/>
    <x v="2"/>
    <x v="2"/>
    <x v="2"/>
    <x v="2"/>
    <x v="10"/>
    <x v="10"/>
    <n v="3.8929534311769598"/>
    <x v="0"/>
    <x v="0"/>
    <x v="1"/>
    <x v="4"/>
    <x v="5"/>
    <x v="10"/>
    <n v="4.2433192399828865"/>
  </r>
  <r>
    <x v="9"/>
    <x v="0"/>
    <x v="9"/>
    <x v="9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9"/>
    <x v="0"/>
    <x v="9"/>
    <x v="9"/>
    <x v="1"/>
    <x v="6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9"/>
    <x v="0"/>
    <x v="9"/>
    <x v="9"/>
    <x v="1"/>
    <x v="6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9"/>
    <x v="0"/>
    <x v="9"/>
    <x v="9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9"/>
    <x v="0"/>
    <x v="9"/>
    <x v="9"/>
    <x v="1"/>
    <x v="6"/>
    <x v="0"/>
    <x v="0"/>
    <x v="0"/>
    <x v="0"/>
    <x v="0"/>
    <x v="0"/>
    <x v="3"/>
    <x v="3"/>
    <x v="3"/>
    <x v="11"/>
    <x v="11"/>
    <n v="0.20316000000000001"/>
    <x v="0"/>
    <x v="0"/>
    <x v="3"/>
    <x v="5"/>
    <x v="7"/>
    <x v="11"/>
    <n v="0.22144440000000001"/>
  </r>
  <r>
    <x v="9"/>
    <x v="0"/>
    <x v="9"/>
    <x v="9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9"/>
    <x v="0"/>
    <x v="9"/>
    <x v="9"/>
    <x v="1"/>
    <x v="6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9"/>
    <x v="0"/>
    <x v="9"/>
    <x v="9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9"/>
    <x v="0"/>
    <x v="9"/>
    <x v="9"/>
    <x v="1"/>
    <x v="6"/>
    <x v="0"/>
    <x v="0"/>
    <x v="0"/>
    <x v="0"/>
    <x v="0"/>
    <x v="0"/>
    <x v="0"/>
    <x v="4"/>
    <x v="4"/>
    <x v="9"/>
    <x v="9"/>
    <n v="8.8734766784052592"/>
    <x v="0"/>
    <x v="0"/>
    <x v="1"/>
    <x v="4"/>
    <x v="5"/>
    <x v="9"/>
    <n v="9.6720895794617334"/>
  </r>
  <r>
    <x v="9"/>
    <x v="0"/>
    <x v="9"/>
    <x v="9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9"/>
    <x v="0"/>
    <x v="9"/>
    <x v="9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9"/>
    <x v="0"/>
    <x v="9"/>
    <x v="9"/>
    <x v="1"/>
    <x v="6"/>
    <x v="0"/>
    <x v="0"/>
    <x v="0"/>
    <x v="0"/>
    <x v="0"/>
    <x v="0"/>
    <x v="0"/>
    <x v="4"/>
    <x v="4"/>
    <x v="25"/>
    <x v="25"/>
    <n v="1.8348623853199999E-3"/>
    <x v="0"/>
    <x v="0"/>
    <x v="1"/>
    <x v="4"/>
    <x v="5"/>
    <x v="9"/>
    <n v="1.9999999999988E-3"/>
  </r>
  <r>
    <x v="9"/>
    <x v="0"/>
    <x v="9"/>
    <x v="9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9"/>
    <x v="0"/>
    <x v="9"/>
    <x v="9"/>
    <x v="1"/>
    <x v="6"/>
    <x v="0"/>
    <x v="0"/>
    <x v="0"/>
    <x v="0"/>
    <x v="0"/>
    <x v="0"/>
    <x v="0"/>
    <x v="4"/>
    <x v="4"/>
    <x v="78"/>
    <x v="78"/>
    <n v="25.921935779801"/>
    <x v="0"/>
    <x v="0"/>
    <x v="1"/>
    <x v="4"/>
    <x v="5"/>
    <x v="9"/>
    <n v="28.254909999983091"/>
  </r>
  <r>
    <x v="9"/>
    <x v="0"/>
    <x v="9"/>
    <x v="9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9"/>
    <x v="0"/>
    <x v="9"/>
    <x v="9"/>
    <x v="1"/>
    <x v="6"/>
    <x v="0"/>
    <x v="0"/>
    <x v="0"/>
    <x v="0"/>
    <x v="0"/>
    <x v="0"/>
    <x v="0"/>
    <x v="4"/>
    <x v="4"/>
    <x v="1"/>
    <x v="1"/>
    <n v="53.933793103151601"/>
    <x v="0"/>
    <x v="0"/>
    <x v="1"/>
    <x v="1"/>
    <x v="1"/>
    <x v="1"/>
    <n v="58.787834482435251"/>
  </r>
  <r>
    <x v="9"/>
    <x v="0"/>
    <x v="9"/>
    <x v="9"/>
    <x v="1"/>
    <x v="6"/>
    <x v="0"/>
    <x v="0"/>
    <x v="0"/>
    <x v="0"/>
    <x v="0"/>
    <x v="0"/>
    <x v="0"/>
    <x v="4"/>
    <x v="4"/>
    <x v="2"/>
    <x v="2"/>
    <n v="417.41317431167602"/>
    <x v="0"/>
    <x v="1"/>
    <x v="2"/>
    <x v="2"/>
    <x v="13"/>
    <x v="2"/>
    <n v="454.98035999972689"/>
  </r>
  <r>
    <x v="9"/>
    <x v="0"/>
    <x v="9"/>
    <x v="9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9"/>
    <x v="0"/>
    <x v="9"/>
    <x v="9"/>
    <x v="1"/>
    <x v="6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9"/>
    <x v="0"/>
    <x v="9"/>
    <x v="9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9"/>
    <x v="0"/>
    <x v="9"/>
    <x v="9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9"/>
    <x v="0"/>
    <x v="9"/>
    <x v="9"/>
    <x v="1"/>
    <x v="6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9"/>
    <x v="0"/>
    <x v="9"/>
    <x v="9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9"/>
    <x v="0"/>
    <x v="9"/>
    <x v="9"/>
    <x v="1"/>
    <x v="6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9"/>
    <x v="0"/>
    <x v="9"/>
    <x v="9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9"/>
    <x v="0"/>
    <x v="9"/>
    <x v="9"/>
    <x v="1"/>
    <x v="6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9"/>
    <x v="0"/>
    <x v="9"/>
    <x v="9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9"/>
    <x v="0"/>
    <x v="9"/>
    <x v="9"/>
    <x v="1"/>
    <x v="6"/>
    <x v="0"/>
    <x v="0"/>
    <x v="0"/>
    <x v="0"/>
    <x v="0"/>
    <x v="0"/>
    <x v="1"/>
    <x v="1"/>
    <x v="1"/>
    <x v="21"/>
    <x v="21"/>
    <n v="51.100954128409697"/>
    <x v="0"/>
    <x v="0"/>
    <x v="1"/>
    <x v="4"/>
    <x v="5"/>
    <x v="10"/>
    <n v="55.70003999996657"/>
  </r>
  <r>
    <x v="9"/>
    <x v="0"/>
    <x v="9"/>
    <x v="9"/>
    <x v="1"/>
    <x v="6"/>
    <x v="0"/>
    <x v="0"/>
    <x v="0"/>
    <x v="0"/>
    <x v="0"/>
    <x v="0"/>
    <x v="1"/>
    <x v="1"/>
    <x v="1"/>
    <x v="27"/>
    <x v="27"/>
    <n v="6.6229436938340998"/>
    <x v="0"/>
    <x v="0"/>
    <x v="1"/>
    <x v="3"/>
    <x v="3"/>
    <x v="19"/>
    <n v="7.2190086262791695"/>
  </r>
  <r>
    <x v="9"/>
    <x v="0"/>
    <x v="9"/>
    <x v="9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9"/>
    <x v="0"/>
    <x v="9"/>
    <x v="9"/>
    <x v="1"/>
    <x v="6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9"/>
    <x v="0"/>
    <x v="9"/>
    <x v="9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9"/>
    <x v="0"/>
    <x v="9"/>
    <x v="9"/>
    <x v="1"/>
    <x v="6"/>
    <x v="0"/>
    <x v="0"/>
    <x v="0"/>
    <x v="0"/>
    <x v="0"/>
    <x v="0"/>
    <x v="2"/>
    <x v="2"/>
    <x v="2"/>
    <x v="4"/>
    <x v="4"/>
    <n v="105.032238532047"/>
    <x v="0"/>
    <x v="0"/>
    <x v="1"/>
    <x v="3"/>
    <x v="3"/>
    <x v="4"/>
    <n v="114.48513999993125"/>
  </r>
  <r>
    <x v="9"/>
    <x v="0"/>
    <x v="9"/>
    <x v="9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9"/>
    <x v="0"/>
    <x v="9"/>
    <x v="9"/>
    <x v="1"/>
    <x v="6"/>
    <x v="0"/>
    <x v="0"/>
    <x v="0"/>
    <x v="0"/>
    <x v="0"/>
    <x v="0"/>
    <x v="2"/>
    <x v="2"/>
    <x v="2"/>
    <x v="5"/>
    <x v="5"/>
    <n v="51.528036810207603"/>
    <x v="0"/>
    <x v="0"/>
    <x v="1"/>
    <x v="1"/>
    <x v="1"/>
    <x v="5"/>
    <n v="56.165560123126291"/>
  </r>
  <r>
    <x v="9"/>
    <x v="0"/>
    <x v="9"/>
    <x v="9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9"/>
    <x v="0"/>
    <x v="9"/>
    <x v="9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9"/>
    <x v="0"/>
    <x v="9"/>
    <x v="9"/>
    <x v="1"/>
    <x v="6"/>
    <x v="0"/>
    <x v="0"/>
    <x v="0"/>
    <x v="0"/>
    <x v="0"/>
    <x v="0"/>
    <x v="2"/>
    <x v="2"/>
    <x v="2"/>
    <x v="9"/>
    <x v="9"/>
    <n v="36.598103160016301"/>
    <x v="0"/>
    <x v="0"/>
    <x v="1"/>
    <x v="4"/>
    <x v="5"/>
    <x v="9"/>
    <n v="39.891932444417769"/>
  </r>
  <r>
    <x v="9"/>
    <x v="0"/>
    <x v="9"/>
    <x v="9"/>
    <x v="1"/>
    <x v="6"/>
    <x v="0"/>
    <x v="0"/>
    <x v="0"/>
    <x v="0"/>
    <x v="0"/>
    <x v="0"/>
    <x v="2"/>
    <x v="2"/>
    <x v="2"/>
    <x v="10"/>
    <x v="10"/>
    <n v="40.728585979049001"/>
    <x v="0"/>
    <x v="0"/>
    <x v="1"/>
    <x v="4"/>
    <x v="5"/>
    <x v="10"/>
    <n v="44.394158717163414"/>
  </r>
  <r>
    <x v="9"/>
    <x v="0"/>
    <x v="9"/>
    <x v="9"/>
    <x v="1"/>
    <x v="6"/>
    <x v="0"/>
    <x v="0"/>
    <x v="0"/>
    <x v="0"/>
    <x v="0"/>
    <x v="0"/>
    <x v="2"/>
    <x v="2"/>
    <x v="2"/>
    <x v="28"/>
    <x v="28"/>
    <n v="2.39994"/>
    <x v="0"/>
    <x v="0"/>
    <x v="1"/>
    <x v="3"/>
    <x v="3"/>
    <x v="13"/>
    <n v="2.6159346000000001"/>
  </r>
  <r>
    <x v="9"/>
    <x v="0"/>
    <x v="9"/>
    <x v="9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9"/>
    <x v="0"/>
    <x v="9"/>
    <x v="9"/>
    <x v="1"/>
    <x v="6"/>
    <x v="0"/>
    <x v="0"/>
    <x v="0"/>
    <x v="0"/>
    <x v="0"/>
    <x v="0"/>
    <x v="2"/>
    <x v="2"/>
    <x v="2"/>
    <x v="80"/>
    <x v="80"/>
    <n v="7.51478899082118"/>
    <x v="0"/>
    <x v="0"/>
    <x v="1"/>
    <x v="4"/>
    <x v="5"/>
    <x v="10"/>
    <n v="8.1911199999950863"/>
  </r>
  <r>
    <x v="9"/>
    <x v="0"/>
    <x v="9"/>
    <x v="9"/>
    <x v="1"/>
    <x v="6"/>
    <x v="0"/>
    <x v="0"/>
    <x v="0"/>
    <x v="0"/>
    <x v="0"/>
    <x v="0"/>
    <x v="2"/>
    <x v="2"/>
    <x v="2"/>
    <x v="31"/>
    <x v="31"/>
    <n v="2.1559816513748502"/>
    <x v="0"/>
    <x v="0"/>
    <x v="1"/>
    <x v="4"/>
    <x v="5"/>
    <x v="10"/>
    <n v="2.3500199999985867"/>
  </r>
  <r>
    <x v="9"/>
    <x v="0"/>
    <x v="9"/>
    <x v="9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9"/>
    <x v="0"/>
    <x v="9"/>
    <x v="9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9"/>
    <x v="0"/>
    <x v="9"/>
    <x v="9"/>
    <x v="1"/>
    <x v="6"/>
    <x v="0"/>
    <x v="0"/>
    <x v="0"/>
    <x v="0"/>
    <x v="0"/>
    <x v="0"/>
    <x v="2"/>
    <x v="2"/>
    <x v="2"/>
    <x v="12"/>
    <x v="12"/>
    <n v="80.548244185740401"/>
    <x v="0"/>
    <x v="0"/>
    <x v="0"/>
    <x v="0"/>
    <x v="8"/>
    <x v="12"/>
    <n v="87.797586162457037"/>
  </r>
  <r>
    <x v="9"/>
    <x v="0"/>
    <x v="9"/>
    <x v="9"/>
    <x v="1"/>
    <x v="6"/>
    <x v="0"/>
    <x v="0"/>
    <x v="0"/>
    <x v="0"/>
    <x v="0"/>
    <x v="0"/>
    <x v="2"/>
    <x v="2"/>
    <x v="2"/>
    <x v="16"/>
    <x v="16"/>
    <n v="161.46440999999999"/>
    <x v="0"/>
    <x v="0"/>
    <x v="3"/>
    <x v="5"/>
    <x v="9"/>
    <x v="16"/>
    <n v="175.9962069"/>
  </r>
  <r>
    <x v="9"/>
    <x v="0"/>
    <x v="9"/>
    <x v="9"/>
    <x v="1"/>
    <x v="6"/>
    <x v="0"/>
    <x v="0"/>
    <x v="0"/>
    <x v="0"/>
    <x v="0"/>
    <x v="0"/>
    <x v="2"/>
    <x v="2"/>
    <x v="2"/>
    <x v="21"/>
    <x v="21"/>
    <n v="22.6191284403534"/>
    <x v="0"/>
    <x v="0"/>
    <x v="1"/>
    <x v="4"/>
    <x v="5"/>
    <x v="10"/>
    <n v="24.654849999985206"/>
  </r>
  <r>
    <x v="9"/>
    <x v="0"/>
    <x v="9"/>
    <x v="9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9"/>
    <x v="0"/>
    <x v="9"/>
    <x v="9"/>
    <x v="1"/>
    <x v="6"/>
    <x v="0"/>
    <x v="0"/>
    <x v="0"/>
    <x v="0"/>
    <x v="0"/>
    <x v="0"/>
    <x v="2"/>
    <x v="2"/>
    <x v="2"/>
    <x v="25"/>
    <x v="25"/>
    <n v="15.0414128440277"/>
    <x v="0"/>
    <x v="0"/>
    <x v="1"/>
    <x v="4"/>
    <x v="5"/>
    <x v="9"/>
    <n v="16.395139999990196"/>
  </r>
  <r>
    <x v="9"/>
    <x v="0"/>
    <x v="9"/>
    <x v="9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9"/>
    <x v="0"/>
    <x v="9"/>
    <x v="9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9"/>
    <x v="0"/>
    <x v="9"/>
    <x v="9"/>
    <x v="1"/>
    <x v="6"/>
    <x v="0"/>
    <x v="0"/>
    <x v="0"/>
    <x v="0"/>
    <x v="0"/>
    <x v="0"/>
    <x v="2"/>
    <x v="2"/>
    <x v="2"/>
    <x v="26"/>
    <x v="26"/>
    <n v="62.510880733907399"/>
    <x v="0"/>
    <x v="0"/>
    <x v="1"/>
    <x v="3"/>
    <x v="3"/>
    <x v="15"/>
    <n v="68.136859999959071"/>
  </r>
  <r>
    <x v="9"/>
    <x v="0"/>
    <x v="9"/>
    <x v="9"/>
    <x v="1"/>
    <x v="6"/>
    <x v="0"/>
    <x v="0"/>
    <x v="0"/>
    <x v="0"/>
    <x v="0"/>
    <x v="0"/>
    <x v="2"/>
    <x v="2"/>
    <x v="2"/>
    <x v="0"/>
    <x v="0"/>
    <n v="1.4602980427005401"/>
    <x v="0"/>
    <x v="0"/>
    <x v="0"/>
    <x v="0"/>
    <x v="0"/>
    <x v="0"/>
    <n v="1.5917248665435888"/>
  </r>
  <r>
    <x v="9"/>
    <x v="0"/>
    <x v="9"/>
    <x v="9"/>
    <x v="1"/>
    <x v="6"/>
    <x v="0"/>
    <x v="0"/>
    <x v="0"/>
    <x v="0"/>
    <x v="0"/>
    <x v="0"/>
    <x v="2"/>
    <x v="2"/>
    <x v="2"/>
    <x v="1"/>
    <x v="1"/>
    <n v="10.1609172413234"/>
    <x v="0"/>
    <x v="0"/>
    <x v="1"/>
    <x v="1"/>
    <x v="1"/>
    <x v="1"/>
    <n v="11.075399793042507"/>
  </r>
  <r>
    <x v="9"/>
    <x v="0"/>
    <x v="9"/>
    <x v="9"/>
    <x v="1"/>
    <x v="6"/>
    <x v="0"/>
    <x v="0"/>
    <x v="0"/>
    <x v="0"/>
    <x v="0"/>
    <x v="0"/>
    <x v="2"/>
    <x v="2"/>
    <x v="2"/>
    <x v="2"/>
    <x v="2"/>
    <n v="193.20692660538899"/>
    <x v="0"/>
    <x v="1"/>
    <x v="2"/>
    <x v="2"/>
    <x v="13"/>
    <x v="2"/>
    <n v="210.59554999987401"/>
  </r>
  <r>
    <x v="9"/>
    <x v="0"/>
    <x v="9"/>
    <x v="9"/>
    <x v="1"/>
    <x v="6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9"/>
    <x v="0"/>
    <x v="9"/>
    <x v="9"/>
    <x v="1"/>
    <x v="6"/>
    <x v="0"/>
    <x v="0"/>
    <x v="0"/>
    <x v="0"/>
    <x v="0"/>
    <x v="0"/>
    <x v="1"/>
    <x v="6"/>
    <x v="6"/>
    <x v="9"/>
    <x v="9"/>
    <n v="18.4310091743009"/>
    <x v="0"/>
    <x v="0"/>
    <x v="1"/>
    <x v="4"/>
    <x v="5"/>
    <x v="9"/>
    <n v="20.089799999987981"/>
  </r>
  <r>
    <x v="9"/>
    <x v="0"/>
    <x v="9"/>
    <x v="9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9"/>
    <x v="0"/>
    <x v="9"/>
    <x v="9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9"/>
    <x v="0"/>
    <x v="9"/>
    <x v="9"/>
    <x v="1"/>
    <x v="6"/>
    <x v="0"/>
    <x v="0"/>
    <x v="0"/>
    <x v="0"/>
    <x v="0"/>
    <x v="0"/>
    <x v="1"/>
    <x v="6"/>
    <x v="6"/>
    <x v="21"/>
    <x v="21"/>
    <n v="277.91417431176001"/>
    <x v="0"/>
    <x v="0"/>
    <x v="1"/>
    <x v="4"/>
    <x v="5"/>
    <x v="10"/>
    <n v="302.92644999981843"/>
  </r>
  <r>
    <x v="9"/>
    <x v="0"/>
    <x v="9"/>
    <x v="9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9"/>
    <x v="0"/>
    <x v="9"/>
    <x v="9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9"/>
    <x v="0"/>
    <x v="9"/>
    <x v="9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9"/>
    <x v="0"/>
    <x v="9"/>
    <x v="9"/>
    <x v="1"/>
    <x v="6"/>
    <x v="0"/>
    <x v="0"/>
    <x v="0"/>
    <x v="0"/>
    <x v="0"/>
    <x v="0"/>
    <x v="1"/>
    <x v="6"/>
    <x v="6"/>
    <x v="1"/>
    <x v="1"/>
    <n v="17.8393655171433"/>
    <x v="0"/>
    <x v="0"/>
    <x v="1"/>
    <x v="1"/>
    <x v="1"/>
    <x v="1"/>
    <n v="19.4449084136862"/>
  </r>
  <r>
    <x v="9"/>
    <x v="0"/>
    <x v="9"/>
    <x v="9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9"/>
    <x v="0"/>
    <x v="9"/>
    <x v="9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9"/>
    <x v="0"/>
    <x v="9"/>
    <x v="9"/>
    <x v="1"/>
    <x v="6"/>
    <x v="0"/>
    <x v="0"/>
    <x v="0"/>
    <x v="0"/>
    <x v="0"/>
    <x v="0"/>
    <x v="3"/>
    <x v="7"/>
    <x v="7"/>
    <x v="9"/>
    <x v="9"/>
    <n v="6.44215268159763"/>
    <x v="0"/>
    <x v="0"/>
    <x v="1"/>
    <x v="4"/>
    <x v="5"/>
    <x v="9"/>
    <n v="7.0219464229414168"/>
  </r>
  <r>
    <x v="9"/>
    <x v="0"/>
    <x v="9"/>
    <x v="9"/>
    <x v="1"/>
    <x v="6"/>
    <x v="0"/>
    <x v="0"/>
    <x v="0"/>
    <x v="0"/>
    <x v="0"/>
    <x v="0"/>
    <x v="3"/>
    <x v="7"/>
    <x v="7"/>
    <x v="10"/>
    <x v="10"/>
    <n v="9.0670291711999996E-4"/>
    <x v="0"/>
    <x v="0"/>
    <x v="1"/>
    <x v="4"/>
    <x v="5"/>
    <x v="10"/>
    <n v="9.8830617966080012E-4"/>
  </r>
  <r>
    <x v="9"/>
    <x v="0"/>
    <x v="9"/>
    <x v="9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9"/>
    <x v="0"/>
    <x v="9"/>
    <x v="9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9"/>
    <x v="0"/>
    <x v="9"/>
    <x v="9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9"/>
    <x v="0"/>
    <x v="9"/>
    <x v="9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9"/>
    <x v="0"/>
    <x v="9"/>
    <x v="9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9"/>
    <x v="0"/>
    <x v="9"/>
    <x v="9"/>
    <x v="1"/>
    <x v="6"/>
    <x v="0"/>
    <x v="0"/>
    <x v="0"/>
    <x v="0"/>
    <x v="0"/>
    <x v="0"/>
    <x v="1"/>
    <x v="8"/>
    <x v="8"/>
    <x v="9"/>
    <x v="9"/>
    <n v="83.809661507351194"/>
    <x v="0"/>
    <x v="0"/>
    <x v="1"/>
    <x v="4"/>
    <x v="5"/>
    <x v="9"/>
    <n v="91.352531043012803"/>
  </r>
  <r>
    <x v="9"/>
    <x v="0"/>
    <x v="9"/>
    <x v="9"/>
    <x v="1"/>
    <x v="6"/>
    <x v="0"/>
    <x v="0"/>
    <x v="0"/>
    <x v="0"/>
    <x v="0"/>
    <x v="0"/>
    <x v="1"/>
    <x v="8"/>
    <x v="8"/>
    <x v="10"/>
    <x v="10"/>
    <n v="7.9190416023993597"/>
    <x v="0"/>
    <x v="0"/>
    <x v="1"/>
    <x v="4"/>
    <x v="5"/>
    <x v="10"/>
    <n v="8.6317553466153019"/>
  </r>
  <r>
    <x v="9"/>
    <x v="0"/>
    <x v="9"/>
    <x v="9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9"/>
    <x v="0"/>
    <x v="9"/>
    <x v="9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9"/>
    <x v="0"/>
    <x v="9"/>
    <x v="9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9"/>
    <x v="0"/>
    <x v="9"/>
    <x v="9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9"/>
    <x v="0"/>
    <x v="9"/>
    <x v="9"/>
    <x v="1"/>
    <x v="6"/>
    <x v="0"/>
    <x v="0"/>
    <x v="0"/>
    <x v="0"/>
    <x v="0"/>
    <x v="0"/>
    <x v="0"/>
    <x v="9"/>
    <x v="9"/>
    <x v="9"/>
    <x v="9"/>
    <n v="224.98530094273499"/>
    <x v="0"/>
    <x v="0"/>
    <x v="1"/>
    <x v="4"/>
    <x v="5"/>
    <x v="9"/>
    <n v="245.23397802758117"/>
  </r>
  <r>
    <x v="9"/>
    <x v="0"/>
    <x v="9"/>
    <x v="9"/>
    <x v="1"/>
    <x v="6"/>
    <x v="0"/>
    <x v="0"/>
    <x v="0"/>
    <x v="0"/>
    <x v="0"/>
    <x v="0"/>
    <x v="0"/>
    <x v="9"/>
    <x v="9"/>
    <x v="10"/>
    <x v="10"/>
    <n v="4.8894640947014398"/>
    <x v="0"/>
    <x v="0"/>
    <x v="1"/>
    <x v="4"/>
    <x v="5"/>
    <x v="10"/>
    <n v="5.3295158632245698"/>
  </r>
  <r>
    <x v="9"/>
    <x v="0"/>
    <x v="9"/>
    <x v="9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70.4292935"/>
  </r>
  <r>
    <x v="9"/>
    <x v="0"/>
    <x v="9"/>
    <x v="9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9"/>
    <x v="0"/>
    <x v="9"/>
    <x v="9"/>
    <x v="1"/>
    <x v="6"/>
    <x v="0"/>
    <x v="0"/>
    <x v="0"/>
    <x v="0"/>
    <x v="0"/>
    <x v="0"/>
    <x v="0"/>
    <x v="9"/>
    <x v="9"/>
    <x v="21"/>
    <x v="21"/>
    <n v="107.004266054982"/>
    <x v="0"/>
    <x v="0"/>
    <x v="1"/>
    <x v="4"/>
    <x v="5"/>
    <x v="10"/>
    <n v="116.63464999993039"/>
  </r>
  <r>
    <x v="9"/>
    <x v="0"/>
    <x v="9"/>
    <x v="9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9"/>
    <x v="0"/>
    <x v="9"/>
    <x v="9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9"/>
    <x v="0"/>
    <x v="9"/>
    <x v="9"/>
    <x v="1"/>
    <x v="6"/>
    <x v="0"/>
    <x v="0"/>
    <x v="0"/>
    <x v="0"/>
    <x v="0"/>
    <x v="0"/>
    <x v="2"/>
    <x v="10"/>
    <x v="10"/>
    <x v="9"/>
    <x v="9"/>
    <n v="68.511648564201295"/>
    <x v="0"/>
    <x v="0"/>
    <x v="1"/>
    <x v="4"/>
    <x v="5"/>
    <x v="9"/>
    <n v="74.677696934979423"/>
  </r>
  <r>
    <x v="9"/>
    <x v="0"/>
    <x v="9"/>
    <x v="9"/>
    <x v="1"/>
    <x v="6"/>
    <x v="0"/>
    <x v="0"/>
    <x v="0"/>
    <x v="0"/>
    <x v="0"/>
    <x v="0"/>
    <x v="2"/>
    <x v="10"/>
    <x v="10"/>
    <x v="10"/>
    <x v="10"/>
    <n v="1.7814764857600001E-3"/>
    <x v="0"/>
    <x v="0"/>
    <x v="1"/>
    <x v="4"/>
    <x v="5"/>
    <x v="10"/>
    <n v="1.9418093694784002E-3"/>
  </r>
  <r>
    <x v="9"/>
    <x v="0"/>
    <x v="9"/>
    <x v="9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96.729891800000004"/>
  </r>
  <r>
    <x v="9"/>
    <x v="0"/>
    <x v="9"/>
    <x v="9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9"/>
    <x v="0"/>
    <x v="9"/>
    <x v="9"/>
    <x v="1"/>
    <x v="6"/>
    <x v="0"/>
    <x v="0"/>
    <x v="0"/>
    <x v="0"/>
    <x v="0"/>
    <x v="0"/>
    <x v="2"/>
    <x v="10"/>
    <x v="10"/>
    <x v="21"/>
    <x v="21"/>
    <n v="30.678495412825601"/>
    <x v="0"/>
    <x v="0"/>
    <x v="1"/>
    <x v="4"/>
    <x v="5"/>
    <x v="10"/>
    <n v="33.439559999979906"/>
  </r>
  <r>
    <x v="9"/>
    <x v="0"/>
    <x v="9"/>
    <x v="9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9"/>
    <x v="0"/>
    <x v="9"/>
    <x v="9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9"/>
    <x v="0"/>
    <x v="9"/>
    <x v="9"/>
    <x v="1"/>
    <x v="6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9"/>
    <x v="0"/>
    <x v="9"/>
    <x v="9"/>
    <x v="1"/>
    <x v="6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9"/>
    <x v="0"/>
    <x v="9"/>
    <x v="9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9"/>
    <x v="0"/>
    <x v="9"/>
    <x v="9"/>
    <x v="1"/>
    <x v="6"/>
    <x v="0"/>
    <x v="0"/>
    <x v="0"/>
    <x v="0"/>
    <x v="0"/>
    <x v="0"/>
    <x v="4"/>
    <x v="5"/>
    <x v="5"/>
    <x v="9"/>
    <x v="9"/>
    <n v="258.68511324991101"/>
    <x v="0"/>
    <x v="0"/>
    <x v="1"/>
    <x v="4"/>
    <x v="5"/>
    <x v="9"/>
    <n v="281.966773442403"/>
  </r>
  <r>
    <x v="9"/>
    <x v="0"/>
    <x v="9"/>
    <x v="9"/>
    <x v="1"/>
    <x v="6"/>
    <x v="0"/>
    <x v="0"/>
    <x v="0"/>
    <x v="0"/>
    <x v="0"/>
    <x v="0"/>
    <x v="4"/>
    <x v="5"/>
    <x v="5"/>
    <x v="10"/>
    <x v="10"/>
    <n v="54.971123861315803"/>
    <x v="0"/>
    <x v="0"/>
    <x v="1"/>
    <x v="4"/>
    <x v="5"/>
    <x v="10"/>
    <n v="59.91852500883423"/>
  </r>
  <r>
    <x v="9"/>
    <x v="0"/>
    <x v="9"/>
    <x v="9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9"/>
    <x v="0"/>
    <x v="9"/>
    <x v="9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285.27934530000005"/>
  </r>
  <r>
    <x v="9"/>
    <x v="0"/>
    <x v="9"/>
    <x v="9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9"/>
    <x v="0"/>
    <x v="9"/>
    <x v="9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9"/>
    <x v="0"/>
    <x v="9"/>
    <x v="9"/>
    <x v="1"/>
    <x v="6"/>
    <x v="0"/>
    <x v="0"/>
    <x v="0"/>
    <x v="0"/>
    <x v="0"/>
    <x v="0"/>
    <x v="4"/>
    <x v="5"/>
    <x v="5"/>
    <x v="21"/>
    <x v="21"/>
    <n v="99.024825688014005"/>
    <x v="0"/>
    <x v="0"/>
    <x v="1"/>
    <x v="4"/>
    <x v="5"/>
    <x v="10"/>
    <n v="107.93705999993527"/>
  </r>
  <r>
    <x v="9"/>
    <x v="0"/>
    <x v="9"/>
    <x v="9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9"/>
    <x v="0"/>
    <x v="9"/>
    <x v="9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9"/>
    <x v="0"/>
    <x v="9"/>
    <x v="9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9"/>
    <x v="0"/>
    <x v="9"/>
    <x v="9"/>
    <x v="1"/>
    <x v="6"/>
    <x v="0"/>
    <x v="0"/>
    <x v="0"/>
    <x v="0"/>
    <x v="0"/>
    <x v="0"/>
    <x v="4"/>
    <x v="5"/>
    <x v="5"/>
    <x v="2"/>
    <x v="2"/>
    <n v="8.3486238531999999E-4"/>
    <x v="0"/>
    <x v="1"/>
    <x v="2"/>
    <x v="2"/>
    <x v="13"/>
    <x v="2"/>
    <n v="9.0999999999880001E-4"/>
  </r>
  <r>
    <x v="9"/>
    <x v="0"/>
    <x v="9"/>
    <x v="9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9"/>
    <x v="0"/>
    <x v="9"/>
    <x v="9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9"/>
    <x v="0"/>
    <x v="9"/>
    <x v="9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9"/>
    <x v="0"/>
    <x v="9"/>
    <x v="9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9"/>
    <x v="0"/>
    <x v="9"/>
    <x v="9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9"/>
    <x v="0"/>
    <x v="9"/>
    <x v="9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9"/>
    <x v="0"/>
    <x v="9"/>
    <x v="9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9"/>
    <x v="0"/>
    <x v="9"/>
    <x v="9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9"/>
    <x v="0"/>
    <x v="9"/>
    <x v="9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9"/>
    <x v="0"/>
    <x v="9"/>
    <x v="9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9"/>
    <x v="0"/>
    <x v="9"/>
    <x v="9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9"/>
    <x v="0"/>
    <x v="9"/>
    <x v="9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9"/>
    <x v="0"/>
    <x v="9"/>
    <x v="9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9"/>
    <x v="0"/>
    <x v="9"/>
    <x v="9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9"/>
    <x v="0"/>
    <x v="9"/>
    <x v="9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9"/>
    <x v="0"/>
    <x v="9"/>
    <x v="9"/>
    <x v="1"/>
    <x v="6"/>
    <x v="0"/>
    <x v="0"/>
    <x v="0"/>
    <x v="0"/>
    <x v="3"/>
    <x v="3"/>
    <x v="2"/>
    <x v="2"/>
    <x v="2"/>
    <x v="5"/>
    <x v="5"/>
    <n v="24.573674846812501"/>
    <x v="0"/>
    <x v="0"/>
    <x v="1"/>
    <x v="1"/>
    <x v="1"/>
    <x v="5"/>
    <n v="26.785305583025629"/>
  </r>
  <r>
    <x v="9"/>
    <x v="0"/>
    <x v="9"/>
    <x v="9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9"/>
    <x v="0"/>
    <x v="9"/>
    <x v="9"/>
    <x v="1"/>
    <x v="6"/>
    <x v="0"/>
    <x v="0"/>
    <x v="0"/>
    <x v="0"/>
    <x v="3"/>
    <x v="3"/>
    <x v="2"/>
    <x v="2"/>
    <x v="2"/>
    <x v="9"/>
    <x v="9"/>
    <n v="19.362155649511202"/>
    <x v="0"/>
    <x v="0"/>
    <x v="1"/>
    <x v="4"/>
    <x v="5"/>
    <x v="9"/>
    <n v="21.104749657967211"/>
  </r>
  <r>
    <x v="9"/>
    <x v="0"/>
    <x v="9"/>
    <x v="9"/>
    <x v="1"/>
    <x v="6"/>
    <x v="0"/>
    <x v="0"/>
    <x v="0"/>
    <x v="0"/>
    <x v="3"/>
    <x v="3"/>
    <x v="2"/>
    <x v="2"/>
    <x v="2"/>
    <x v="10"/>
    <x v="10"/>
    <n v="11.861087199436801"/>
    <x v="0"/>
    <x v="0"/>
    <x v="1"/>
    <x v="4"/>
    <x v="5"/>
    <x v="10"/>
    <n v="12.928585047386115"/>
  </r>
  <r>
    <x v="9"/>
    <x v="0"/>
    <x v="9"/>
    <x v="9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9"/>
    <x v="0"/>
    <x v="9"/>
    <x v="9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9"/>
    <x v="0"/>
    <x v="9"/>
    <x v="9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9"/>
    <x v="0"/>
    <x v="9"/>
    <x v="9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9"/>
    <x v="0"/>
    <x v="9"/>
    <x v="9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9"/>
    <x v="0"/>
    <x v="9"/>
    <x v="9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9"/>
    <x v="0"/>
    <x v="9"/>
    <x v="9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9"/>
    <x v="0"/>
    <x v="9"/>
    <x v="9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9"/>
    <x v="0"/>
    <x v="9"/>
    <x v="9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9"/>
    <x v="0"/>
    <x v="9"/>
    <x v="9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9"/>
    <x v="0"/>
    <x v="9"/>
    <x v="9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9"/>
    <x v="0"/>
    <x v="9"/>
    <x v="9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9"/>
    <x v="0"/>
    <x v="9"/>
    <x v="9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9"/>
    <x v="0"/>
    <x v="9"/>
    <x v="9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9"/>
    <x v="0"/>
    <x v="9"/>
    <x v="9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9"/>
    <x v="0"/>
    <x v="9"/>
    <x v="9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9"/>
    <x v="0"/>
    <x v="9"/>
    <x v="9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9"/>
    <x v="0"/>
    <x v="9"/>
    <x v="9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9"/>
    <x v="0"/>
    <x v="9"/>
    <x v="9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9"/>
    <x v="0"/>
    <x v="9"/>
    <x v="9"/>
    <x v="1"/>
    <x v="6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9"/>
    <x v="0"/>
    <x v="9"/>
    <x v="9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9"/>
    <x v="0"/>
    <x v="9"/>
    <x v="9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9"/>
    <x v="0"/>
    <x v="9"/>
    <x v="9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9"/>
    <x v="0"/>
    <x v="9"/>
    <x v="9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9"/>
    <x v="0"/>
    <x v="9"/>
    <x v="9"/>
    <x v="1"/>
    <x v="6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9"/>
    <x v="0"/>
    <x v="9"/>
    <x v="9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9"/>
    <x v="0"/>
    <x v="9"/>
    <x v="9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9"/>
    <x v="0"/>
    <x v="9"/>
    <x v="9"/>
    <x v="1"/>
    <x v="6"/>
    <x v="0"/>
    <x v="0"/>
    <x v="0"/>
    <x v="0"/>
    <x v="4"/>
    <x v="4"/>
    <x v="2"/>
    <x v="2"/>
    <x v="2"/>
    <x v="10"/>
    <x v="10"/>
    <n v="0.43766305244159998"/>
    <x v="0"/>
    <x v="0"/>
    <x v="1"/>
    <x v="4"/>
    <x v="5"/>
    <x v="10"/>
    <n v="0.477052727161344"/>
  </r>
  <r>
    <x v="9"/>
    <x v="0"/>
    <x v="9"/>
    <x v="9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9"/>
    <x v="0"/>
    <x v="9"/>
    <x v="9"/>
    <x v="1"/>
    <x v="6"/>
    <x v="0"/>
    <x v="0"/>
    <x v="0"/>
    <x v="0"/>
    <x v="4"/>
    <x v="4"/>
    <x v="2"/>
    <x v="2"/>
    <x v="2"/>
    <x v="21"/>
    <x v="21"/>
    <n v="3.8838165137591401"/>
    <x v="0"/>
    <x v="0"/>
    <x v="1"/>
    <x v="4"/>
    <x v="5"/>
    <x v="10"/>
    <n v="4.2333599999974627"/>
  </r>
  <r>
    <x v="9"/>
    <x v="0"/>
    <x v="9"/>
    <x v="9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9"/>
    <x v="0"/>
    <x v="9"/>
    <x v="9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9"/>
    <x v="0"/>
    <x v="9"/>
    <x v="9"/>
    <x v="1"/>
    <x v="6"/>
    <x v="0"/>
    <x v="0"/>
    <x v="0"/>
    <x v="0"/>
    <x v="4"/>
    <x v="4"/>
    <x v="2"/>
    <x v="2"/>
    <x v="2"/>
    <x v="26"/>
    <x v="26"/>
    <n v="0.52759633027491004"/>
    <x v="0"/>
    <x v="0"/>
    <x v="1"/>
    <x v="3"/>
    <x v="3"/>
    <x v="15"/>
    <n v="0.57507999999965198"/>
  </r>
  <r>
    <x v="9"/>
    <x v="0"/>
    <x v="9"/>
    <x v="9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9"/>
    <x v="0"/>
    <x v="9"/>
    <x v="9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9"/>
    <x v="0"/>
    <x v="9"/>
    <x v="9"/>
    <x v="1"/>
    <x v="6"/>
    <x v="0"/>
    <x v="0"/>
    <x v="0"/>
    <x v="0"/>
    <x v="4"/>
    <x v="4"/>
    <x v="4"/>
    <x v="5"/>
    <x v="5"/>
    <x v="20"/>
    <x v="20"/>
    <n v="23.4175"/>
    <x v="0"/>
    <x v="0"/>
    <x v="1"/>
    <x v="3"/>
    <x v="3"/>
    <x v="13"/>
    <n v="25.525075000000001"/>
  </r>
  <r>
    <x v="9"/>
    <x v="0"/>
    <x v="9"/>
    <x v="9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9"/>
    <x v="0"/>
    <x v="9"/>
    <x v="9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9"/>
    <x v="0"/>
    <x v="9"/>
    <x v="9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9"/>
    <x v="0"/>
    <x v="9"/>
    <x v="9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9"/>
    <x v="0"/>
    <x v="9"/>
    <x v="9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9"/>
    <x v="0"/>
    <x v="9"/>
    <x v="9"/>
    <x v="1"/>
    <x v="6"/>
    <x v="0"/>
    <x v="0"/>
    <x v="2"/>
    <x v="2"/>
    <x v="5"/>
    <x v="5"/>
    <x v="2"/>
    <x v="2"/>
    <x v="2"/>
    <x v="40"/>
    <x v="40"/>
    <n v="10133.64013"/>
    <x v="1"/>
    <x v="2"/>
    <x v="5"/>
    <x v="7"/>
    <x v="11"/>
    <x v="22"/>
    <n v="11045.667741700001"/>
  </r>
  <r>
    <x v="9"/>
    <x v="0"/>
    <x v="9"/>
    <x v="9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9"/>
    <x v="0"/>
    <x v="9"/>
    <x v="9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9"/>
    <x v="0"/>
    <x v="9"/>
    <x v="9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9"/>
    <x v="0"/>
    <x v="9"/>
    <x v="9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9"/>
    <x v="0"/>
    <x v="9"/>
    <x v="9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9"/>
    <x v="0"/>
    <x v="9"/>
    <x v="9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9"/>
    <x v="0"/>
    <x v="9"/>
    <x v="9"/>
    <x v="1"/>
    <x v="6"/>
    <x v="0"/>
    <x v="0"/>
    <x v="2"/>
    <x v="2"/>
    <x v="5"/>
    <x v="5"/>
    <x v="1"/>
    <x v="6"/>
    <x v="6"/>
    <x v="40"/>
    <x v="40"/>
    <n v="3215.6868599999998"/>
    <x v="1"/>
    <x v="2"/>
    <x v="5"/>
    <x v="7"/>
    <x v="11"/>
    <x v="22"/>
    <n v="3505.0986773999998"/>
  </r>
  <r>
    <x v="9"/>
    <x v="0"/>
    <x v="9"/>
    <x v="9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9"/>
    <x v="0"/>
    <x v="9"/>
    <x v="9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9"/>
    <x v="0"/>
    <x v="9"/>
    <x v="9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686.88847190000001"/>
  </r>
  <r>
    <x v="9"/>
    <x v="0"/>
    <x v="9"/>
    <x v="9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9"/>
    <x v="0"/>
    <x v="9"/>
    <x v="9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195.94236760000001"/>
  </r>
  <r>
    <x v="9"/>
    <x v="0"/>
    <x v="9"/>
    <x v="9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9"/>
    <x v="0"/>
    <x v="9"/>
    <x v="9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79.757948700000014"/>
  </r>
  <r>
    <x v="9"/>
    <x v="0"/>
    <x v="9"/>
    <x v="9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9"/>
    <x v="0"/>
    <x v="9"/>
    <x v="9"/>
    <x v="1"/>
    <x v="6"/>
    <x v="0"/>
    <x v="0"/>
    <x v="3"/>
    <x v="3"/>
    <x v="12"/>
    <x v="12"/>
    <x v="2"/>
    <x v="10"/>
    <x v="10"/>
    <x v="40"/>
    <x v="40"/>
    <n v="17.974589999999999"/>
    <x v="1"/>
    <x v="2"/>
    <x v="5"/>
    <x v="7"/>
    <x v="11"/>
    <x v="22"/>
    <n v="19.592303100000002"/>
  </r>
  <r>
    <x v="9"/>
    <x v="0"/>
    <x v="9"/>
    <x v="9"/>
    <x v="1"/>
    <x v="6"/>
    <x v="0"/>
    <x v="0"/>
    <x v="3"/>
    <x v="3"/>
    <x v="12"/>
    <x v="12"/>
    <x v="4"/>
    <x v="5"/>
    <x v="5"/>
    <x v="41"/>
    <x v="41"/>
    <n v="21.873340425448799"/>
    <x v="1"/>
    <x v="2"/>
    <x v="5"/>
    <x v="7"/>
    <x v="11"/>
    <x v="22"/>
    <n v="23.841941063739192"/>
  </r>
  <r>
    <x v="9"/>
    <x v="0"/>
    <x v="9"/>
    <x v="9"/>
    <x v="1"/>
    <x v="6"/>
    <x v="0"/>
    <x v="0"/>
    <x v="3"/>
    <x v="3"/>
    <x v="12"/>
    <x v="12"/>
    <x v="4"/>
    <x v="5"/>
    <x v="5"/>
    <x v="40"/>
    <x v="40"/>
    <n v="237.52191999999999"/>
    <x v="1"/>
    <x v="2"/>
    <x v="5"/>
    <x v="7"/>
    <x v="11"/>
    <x v="22"/>
    <n v="258.8988928"/>
  </r>
  <r>
    <x v="9"/>
    <x v="0"/>
    <x v="9"/>
    <x v="9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9"/>
    <x v="0"/>
    <x v="9"/>
    <x v="9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9"/>
    <x v="0"/>
    <x v="9"/>
    <x v="9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9"/>
    <x v="0"/>
    <x v="9"/>
    <x v="9"/>
    <x v="1"/>
    <x v="6"/>
    <x v="0"/>
    <x v="0"/>
    <x v="3"/>
    <x v="3"/>
    <x v="13"/>
    <x v="13"/>
    <x v="2"/>
    <x v="2"/>
    <x v="2"/>
    <x v="40"/>
    <x v="40"/>
    <n v="2114.7563700000001"/>
    <x v="1"/>
    <x v="2"/>
    <x v="5"/>
    <x v="7"/>
    <x v="11"/>
    <x v="22"/>
    <n v="2305.0844433000002"/>
  </r>
  <r>
    <x v="9"/>
    <x v="0"/>
    <x v="9"/>
    <x v="9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9"/>
    <x v="0"/>
    <x v="9"/>
    <x v="9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9"/>
    <x v="0"/>
    <x v="9"/>
    <x v="9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9"/>
    <x v="0"/>
    <x v="9"/>
    <x v="9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9"/>
    <x v="0"/>
    <x v="9"/>
    <x v="9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9"/>
    <x v="0"/>
    <x v="9"/>
    <x v="9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9"/>
    <x v="0"/>
    <x v="9"/>
    <x v="9"/>
    <x v="1"/>
    <x v="6"/>
    <x v="0"/>
    <x v="0"/>
    <x v="3"/>
    <x v="3"/>
    <x v="19"/>
    <x v="19"/>
    <x v="3"/>
    <x v="7"/>
    <x v="7"/>
    <x v="40"/>
    <x v="40"/>
    <n v="6678.4062899999999"/>
    <x v="1"/>
    <x v="2"/>
    <x v="5"/>
    <x v="7"/>
    <x v="11"/>
    <x v="22"/>
    <n v="7279.4628561000009"/>
  </r>
  <r>
    <x v="9"/>
    <x v="0"/>
    <x v="9"/>
    <x v="9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9"/>
    <x v="0"/>
    <x v="9"/>
    <x v="9"/>
    <x v="1"/>
    <x v="6"/>
    <x v="0"/>
    <x v="0"/>
    <x v="3"/>
    <x v="3"/>
    <x v="19"/>
    <x v="19"/>
    <x v="1"/>
    <x v="8"/>
    <x v="8"/>
    <x v="40"/>
    <x v="40"/>
    <n v="2090.3256799999999"/>
    <x v="1"/>
    <x v="2"/>
    <x v="5"/>
    <x v="7"/>
    <x v="11"/>
    <x v="22"/>
    <n v="2278.4549912000002"/>
  </r>
  <r>
    <x v="9"/>
    <x v="0"/>
    <x v="9"/>
    <x v="9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9"/>
    <x v="0"/>
    <x v="9"/>
    <x v="9"/>
    <x v="1"/>
    <x v="6"/>
    <x v="0"/>
    <x v="0"/>
    <x v="3"/>
    <x v="3"/>
    <x v="19"/>
    <x v="19"/>
    <x v="2"/>
    <x v="10"/>
    <x v="10"/>
    <x v="40"/>
    <x v="40"/>
    <n v="891.26963999999998"/>
    <x v="1"/>
    <x v="2"/>
    <x v="5"/>
    <x v="7"/>
    <x v="11"/>
    <x v="22"/>
    <n v="971.48390760000007"/>
  </r>
  <r>
    <x v="9"/>
    <x v="0"/>
    <x v="9"/>
    <x v="9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9"/>
    <x v="0"/>
    <x v="9"/>
    <x v="9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9"/>
    <x v="0"/>
    <x v="9"/>
    <x v="9"/>
    <x v="1"/>
    <x v="6"/>
    <x v="0"/>
    <x v="0"/>
    <x v="3"/>
    <x v="3"/>
    <x v="19"/>
    <x v="19"/>
    <x v="4"/>
    <x v="5"/>
    <x v="5"/>
    <x v="40"/>
    <x v="40"/>
    <n v="9232.62075"/>
    <x v="1"/>
    <x v="2"/>
    <x v="5"/>
    <x v="7"/>
    <x v="11"/>
    <x v="22"/>
    <n v="10063.5566175"/>
  </r>
  <r>
    <x v="9"/>
    <x v="0"/>
    <x v="9"/>
    <x v="9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9"/>
    <x v="0"/>
    <x v="9"/>
    <x v="9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9"/>
    <x v="0"/>
    <x v="9"/>
    <x v="9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9"/>
    <x v="0"/>
    <x v="9"/>
    <x v="9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9"/>
    <x v="0"/>
    <x v="9"/>
    <x v="9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9"/>
    <x v="0"/>
    <x v="9"/>
    <x v="9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9"/>
    <x v="0"/>
    <x v="9"/>
    <x v="9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9"/>
    <x v="0"/>
    <x v="9"/>
    <x v="9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9"/>
    <x v="0"/>
    <x v="9"/>
    <x v="9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9"/>
    <x v="0"/>
    <x v="9"/>
    <x v="9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9"/>
    <x v="0"/>
    <x v="9"/>
    <x v="9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9"/>
    <x v="0"/>
    <x v="9"/>
    <x v="9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9"/>
    <x v="0"/>
    <x v="9"/>
    <x v="9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9"/>
    <x v="0"/>
    <x v="9"/>
    <x v="9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9"/>
    <x v="0"/>
    <x v="9"/>
    <x v="9"/>
    <x v="1"/>
    <x v="6"/>
    <x v="0"/>
    <x v="0"/>
    <x v="2"/>
    <x v="2"/>
    <x v="14"/>
    <x v="14"/>
    <x v="4"/>
    <x v="5"/>
    <x v="5"/>
    <x v="40"/>
    <x v="40"/>
    <n v="289.10766000000001"/>
    <x v="1"/>
    <x v="2"/>
    <x v="5"/>
    <x v="7"/>
    <x v="11"/>
    <x v="22"/>
    <n v="315.12734940000001"/>
  </r>
  <r>
    <x v="9"/>
    <x v="0"/>
    <x v="9"/>
    <x v="9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9"/>
    <x v="0"/>
    <x v="9"/>
    <x v="9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9"/>
    <x v="0"/>
    <x v="9"/>
    <x v="9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9"/>
    <x v="0"/>
    <x v="9"/>
    <x v="9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9"/>
    <x v="0"/>
    <x v="9"/>
    <x v="9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9"/>
    <x v="0"/>
    <x v="9"/>
    <x v="9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9"/>
    <x v="0"/>
    <x v="9"/>
    <x v="9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9"/>
    <x v="0"/>
    <x v="9"/>
    <x v="9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9"/>
    <x v="0"/>
    <x v="9"/>
    <x v="9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9"/>
    <x v="0"/>
    <x v="9"/>
    <x v="9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9"/>
    <x v="0"/>
    <x v="9"/>
    <x v="9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9"/>
    <x v="0"/>
    <x v="9"/>
    <x v="9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9"/>
    <x v="0"/>
    <x v="9"/>
    <x v="9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9"/>
    <x v="0"/>
    <x v="9"/>
    <x v="9"/>
    <x v="1"/>
    <x v="6"/>
    <x v="0"/>
    <x v="0"/>
    <x v="2"/>
    <x v="2"/>
    <x v="15"/>
    <x v="15"/>
    <x v="3"/>
    <x v="7"/>
    <x v="7"/>
    <x v="40"/>
    <x v="40"/>
    <n v="3.4083899999999998"/>
    <x v="1"/>
    <x v="2"/>
    <x v="5"/>
    <x v="7"/>
    <x v="11"/>
    <x v="22"/>
    <n v="3.7151451"/>
  </r>
  <r>
    <x v="9"/>
    <x v="0"/>
    <x v="9"/>
    <x v="9"/>
    <x v="1"/>
    <x v="6"/>
    <x v="0"/>
    <x v="0"/>
    <x v="2"/>
    <x v="2"/>
    <x v="15"/>
    <x v="15"/>
    <x v="1"/>
    <x v="8"/>
    <x v="8"/>
    <x v="40"/>
    <x v="40"/>
    <n v="7.8149999999999997E-2"/>
    <x v="1"/>
    <x v="2"/>
    <x v="5"/>
    <x v="7"/>
    <x v="11"/>
    <x v="22"/>
    <n v="8.5183500000000009E-2"/>
  </r>
  <r>
    <x v="9"/>
    <x v="0"/>
    <x v="9"/>
    <x v="9"/>
    <x v="1"/>
    <x v="6"/>
    <x v="0"/>
    <x v="0"/>
    <x v="2"/>
    <x v="2"/>
    <x v="15"/>
    <x v="15"/>
    <x v="4"/>
    <x v="5"/>
    <x v="5"/>
    <x v="40"/>
    <x v="40"/>
    <n v="40.41695"/>
    <x v="1"/>
    <x v="2"/>
    <x v="5"/>
    <x v="7"/>
    <x v="11"/>
    <x v="22"/>
    <n v="44.054475500000002"/>
  </r>
  <r>
    <x v="9"/>
    <x v="0"/>
    <x v="9"/>
    <x v="9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9"/>
    <x v="0"/>
    <x v="9"/>
    <x v="9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9"/>
    <x v="0"/>
    <x v="9"/>
    <x v="9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9"/>
    <x v="0"/>
    <x v="9"/>
    <x v="9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9"/>
    <x v="0"/>
    <x v="9"/>
    <x v="9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9"/>
    <x v="0"/>
    <x v="9"/>
    <x v="9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9"/>
    <x v="0"/>
    <x v="9"/>
    <x v="9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9"/>
    <x v="0"/>
    <x v="9"/>
    <x v="9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9"/>
    <x v="0"/>
    <x v="9"/>
    <x v="9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9"/>
    <x v="0"/>
    <x v="9"/>
    <x v="9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9"/>
    <x v="0"/>
    <x v="9"/>
    <x v="9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9"/>
    <x v="0"/>
    <x v="9"/>
    <x v="9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9"/>
    <x v="0"/>
    <x v="9"/>
    <x v="9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9"/>
    <x v="0"/>
    <x v="9"/>
    <x v="9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9"/>
    <x v="0"/>
    <x v="9"/>
    <x v="9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9"/>
    <x v="0"/>
    <x v="9"/>
    <x v="9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9"/>
    <x v="0"/>
    <x v="9"/>
    <x v="9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9"/>
    <x v="0"/>
    <x v="9"/>
    <x v="9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9"/>
    <x v="0"/>
    <x v="9"/>
    <x v="9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9"/>
    <x v="0"/>
    <x v="9"/>
    <x v="9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9"/>
    <x v="0"/>
    <x v="9"/>
    <x v="9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9"/>
    <x v="0"/>
    <x v="9"/>
    <x v="9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9"/>
    <x v="0"/>
    <x v="9"/>
    <x v="9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9"/>
    <x v="0"/>
    <x v="9"/>
    <x v="9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9"/>
    <x v="0"/>
    <x v="9"/>
    <x v="9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9"/>
    <x v="0"/>
    <x v="9"/>
    <x v="9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9"/>
    <x v="0"/>
    <x v="9"/>
    <x v="9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9"/>
    <x v="0"/>
    <x v="9"/>
    <x v="9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9"/>
    <x v="0"/>
    <x v="9"/>
    <x v="9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9"/>
    <x v="0"/>
    <x v="9"/>
    <x v="9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9"/>
    <x v="0"/>
    <x v="9"/>
    <x v="9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9"/>
    <x v="0"/>
    <x v="9"/>
    <x v="9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9"/>
    <x v="0"/>
    <x v="9"/>
    <x v="9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9"/>
    <x v="0"/>
    <x v="9"/>
    <x v="9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9"/>
    <x v="0"/>
    <x v="9"/>
    <x v="9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9"/>
    <x v="0"/>
    <x v="9"/>
    <x v="9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9"/>
    <x v="0"/>
    <x v="9"/>
    <x v="9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9"/>
    <x v="0"/>
    <x v="9"/>
    <x v="9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9"/>
    <x v="0"/>
    <x v="9"/>
    <x v="9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9"/>
    <x v="0"/>
    <x v="9"/>
    <x v="9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9"/>
    <x v="0"/>
    <x v="9"/>
    <x v="9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9"/>
    <x v="0"/>
    <x v="9"/>
    <x v="9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9"/>
    <x v="0"/>
    <x v="9"/>
    <x v="9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9"/>
    <x v="0"/>
    <x v="9"/>
    <x v="9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9"/>
    <x v="0"/>
    <x v="9"/>
    <x v="9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9"/>
    <x v="0"/>
    <x v="9"/>
    <x v="9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9"/>
    <x v="0"/>
    <x v="9"/>
    <x v="9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685.0067584000003"/>
  </r>
  <r>
    <x v="9"/>
    <x v="0"/>
    <x v="9"/>
    <x v="9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9"/>
    <x v="0"/>
    <x v="9"/>
    <x v="9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9"/>
    <x v="0"/>
    <x v="9"/>
    <x v="9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9"/>
    <x v="0"/>
    <x v="9"/>
    <x v="9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9"/>
    <x v="0"/>
    <x v="9"/>
    <x v="9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9"/>
    <x v="0"/>
    <x v="9"/>
    <x v="9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9"/>
    <x v="0"/>
    <x v="9"/>
    <x v="9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9"/>
    <x v="0"/>
    <x v="9"/>
    <x v="9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9"/>
    <x v="0"/>
    <x v="9"/>
    <x v="9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9"/>
    <x v="0"/>
    <x v="9"/>
    <x v="9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9"/>
    <x v="0"/>
    <x v="9"/>
    <x v="9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9"/>
    <x v="0"/>
    <x v="9"/>
    <x v="9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9"/>
    <x v="0"/>
    <x v="9"/>
    <x v="9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9"/>
    <x v="0"/>
    <x v="9"/>
    <x v="9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9"/>
    <x v="0"/>
    <x v="9"/>
    <x v="9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9"/>
    <x v="0"/>
    <x v="9"/>
    <x v="9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9"/>
    <x v="0"/>
    <x v="9"/>
    <x v="9"/>
    <x v="1"/>
    <x v="6"/>
    <x v="0"/>
    <x v="0"/>
    <x v="2"/>
    <x v="2"/>
    <x v="9"/>
    <x v="9"/>
    <x v="2"/>
    <x v="2"/>
    <x v="2"/>
    <x v="40"/>
    <x v="40"/>
    <n v="13150.179260000001"/>
    <x v="1"/>
    <x v="2"/>
    <x v="5"/>
    <x v="7"/>
    <x v="11"/>
    <x v="22"/>
    <n v="14333.695393400001"/>
  </r>
  <r>
    <x v="9"/>
    <x v="0"/>
    <x v="9"/>
    <x v="9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9"/>
    <x v="0"/>
    <x v="9"/>
    <x v="9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9"/>
    <x v="0"/>
    <x v="9"/>
    <x v="9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9"/>
    <x v="0"/>
    <x v="9"/>
    <x v="9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9"/>
    <x v="0"/>
    <x v="9"/>
    <x v="9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9"/>
    <x v="0"/>
    <x v="9"/>
    <x v="9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9"/>
    <x v="0"/>
    <x v="9"/>
    <x v="9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9"/>
    <x v="0"/>
    <x v="9"/>
    <x v="9"/>
    <x v="1"/>
    <x v="6"/>
    <x v="0"/>
    <x v="0"/>
    <x v="2"/>
    <x v="2"/>
    <x v="9"/>
    <x v="9"/>
    <x v="1"/>
    <x v="6"/>
    <x v="6"/>
    <x v="40"/>
    <x v="40"/>
    <n v="25729.250899999999"/>
    <x v="1"/>
    <x v="2"/>
    <x v="5"/>
    <x v="7"/>
    <x v="11"/>
    <x v="22"/>
    <n v="28044.883481000001"/>
  </r>
  <r>
    <x v="9"/>
    <x v="0"/>
    <x v="9"/>
    <x v="9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9"/>
    <x v="0"/>
    <x v="9"/>
    <x v="9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9"/>
    <x v="0"/>
    <x v="9"/>
    <x v="9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9"/>
    <x v="0"/>
    <x v="9"/>
    <x v="9"/>
    <x v="1"/>
    <x v="6"/>
    <x v="0"/>
    <x v="0"/>
    <x v="2"/>
    <x v="2"/>
    <x v="9"/>
    <x v="9"/>
    <x v="3"/>
    <x v="7"/>
    <x v="7"/>
    <x v="40"/>
    <x v="40"/>
    <n v="596.30861000000004"/>
    <x v="1"/>
    <x v="2"/>
    <x v="5"/>
    <x v="7"/>
    <x v="11"/>
    <x v="22"/>
    <n v="649.97638490000008"/>
  </r>
  <r>
    <x v="9"/>
    <x v="0"/>
    <x v="9"/>
    <x v="9"/>
    <x v="1"/>
    <x v="6"/>
    <x v="0"/>
    <x v="0"/>
    <x v="2"/>
    <x v="2"/>
    <x v="9"/>
    <x v="9"/>
    <x v="1"/>
    <x v="8"/>
    <x v="8"/>
    <x v="40"/>
    <x v="40"/>
    <n v="12082.9372"/>
    <x v="1"/>
    <x v="2"/>
    <x v="5"/>
    <x v="7"/>
    <x v="11"/>
    <x v="22"/>
    <n v="13170.401548000002"/>
  </r>
  <r>
    <x v="9"/>
    <x v="0"/>
    <x v="9"/>
    <x v="9"/>
    <x v="1"/>
    <x v="6"/>
    <x v="0"/>
    <x v="0"/>
    <x v="2"/>
    <x v="2"/>
    <x v="9"/>
    <x v="9"/>
    <x v="2"/>
    <x v="10"/>
    <x v="10"/>
    <x v="40"/>
    <x v="40"/>
    <n v="144.07237000000001"/>
    <x v="1"/>
    <x v="2"/>
    <x v="5"/>
    <x v="7"/>
    <x v="11"/>
    <x v="22"/>
    <n v="157.03888330000001"/>
  </r>
  <r>
    <x v="9"/>
    <x v="0"/>
    <x v="9"/>
    <x v="9"/>
    <x v="1"/>
    <x v="6"/>
    <x v="0"/>
    <x v="0"/>
    <x v="2"/>
    <x v="2"/>
    <x v="9"/>
    <x v="9"/>
    <x v="4"/>
    <x v="5"/>
    <x v="5"/>
    <x v="41"/>
    <x v="41"/>
    <n v="330.69256382853098"/>
    <x v="1"/>
    <x v="2"/>
    <x v="5"/>
    <x v="7"/>
    <x v="11"/>
    <x v="22"/>
    <n v="360.45489457309878"/>
  </r>
  <r>
    <x v="9"/>
    <x v="0"/>
    <x v="9"/>
    <x v="9"/>
    <x v="1"/>
    <x v="6"/>
    <x v="0"/>
    <x v="0"/>
    <x v="2"/>
    <x v="2"/>
    <x v="9"/>
    <x v="9"/>
    <x v="4"/>
    <x v="5"/>
    <x v="5"/>
    <x v="40"/>
    <x v="40"/>
    <n v="2967.1064200000001"/>
    <x v="1"/>
    <x v="2"/>
    <x v="5"/>
    <x v="7"/>
    <x v="11"/>
    <x v="22"/>
    <n v="3234.1459978000003"/>
  </r>
  <r>
    <x v="9"/>
    <x v="0"/>
    <x v="9"/>
    <x v="9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9"/>
    <x v="0"/>
    <x v="9"/>
    <x v="9"/>
    <x v="1"/>
    <x v="6"/>
    <x v="0"/>
    <x v="0"/>
    <x v="2"/>
    <x v="2"/>
    <x v="10"/>
    <x v="10"/>
    <x v="2"/>
    <x v="2"/>
    <x v="2"/>
    <x v="41"/>
    <x v="41"/>
    <n v="537.70699999795704"/>
    <x v="1"/>
    <x v="2"/>
    <x v="5"/>
    <x v="7"/>
    <x v="11"/>
    <x v="22"/>
    <n v="586.10062999777324"/>
  </r>
  <r>
    <x v="9"/>
    <x v="0"/>
    <x v="9"/>
    <x v="9"/>
    <x v="1"/>
    <x v="6"/>
    <x v="0"/>
    <x v="0"/>
    <x v="2"/>
    <x v="2"/>
    <x v="10"/>
    <x v="10"/>
    <x v="2"/>
    <x v="2"/>
    <x v="2"/>
    <x v="40"/>
    <x v="40"/>
    <n v="4365.2138500000001"/>
    <x v="1"/>
    <x v="2"/>
    <x v="5"/>
    <x v="7"/>
    <x v="11"/>
    <x v="22"/>
    <n v="4758.0830965000005"/>
  </r>
  <r>
    <x v="9"/>
    <x v="0"/>
    <x v="9"/>
    <x v="9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9"/>
    <x v="0"/>
    <x v="9"/>
    <x v="9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9"/>
    <x v="0"/>
    <x v="9"/>
    <x v="9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9"/>
    <x v="0"/>
    <x v="9"/>
    <x v="9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9"/>
    <x v="0"/>
    <x v="9"/>
    <x v="9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9"/>
    <x v="0"/>
    <x v="9"/>
    <x v="9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9"/>
    <x v="0"/>
    <x v="9"/>
    <x v="9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9"/>
    <x v="0"/>
    <x v="9"/>
    <x v="9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9"/>
    <x v="0"/>
    <x v="9"/>
    <x v="9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9"/>
    <x v="0"/>
    <x v="9"/>
    <x v="9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9"/>
    <x v="0"/>
    <x v="9"/>
    <x v="9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9"/>
    <x v="0"/>
    <x v="9"/>
    <x v="9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9"/>
    <x v="0"/>
    <x v="9"/>
    <x v="9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9"/>
    <x v="0"/>
    <x v="9"/>
    <x v="9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9"/>
    <x v="0"/>
    <x v="9"/>
    <x v="9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9"/>
    <x v="0"/>
    <x v="9"/>
    <x v="9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9"/>
    <x v="0"/>
    <x v="9"/>
    <x v="9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9"/>
    <x v="0"/>
    <x v="9"/>
    <x v="9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9"/>
    <x v="0"/>
    <x v="9"/>
    <x v="9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9"/>
    <x v="0"/>
    <x v="9"/>
    <x v="9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9"/>
    <x v="0"/>
    <x v="9"/>
    <x v="9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9"/>
    <x v="0"/>
    <x v="9"/>
    <x v="9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9"/>
    <x v="0"/>
    <x v="9"/>
    <x v="9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9"/>
    <x v="0"/>
    <x v="9"/>
    <x v="9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9"/>
    <x v="0"/>
    <x v="9"/>
    <x v="9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9"/>
    <x v="0"/>
    <x v="9"/>
    <x v="9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9"/>
    <x v="0"/>
    <x v="9"/>
    <x v="9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9"/>
    <x v="0"/>
    <x v="9"/>
    <x v="9"/>
    <x v="1"/>
    <x v="6"/>
    <x v="0"/>
    <x v="0"/>
    <x v="3"/>
    <x v="3"/>
    <x v="12"/>
    <x v="12"/>
    <x v="3"/>
    <x v="7"/>
    <x v="7"/>
    <x v="40"/>
    <x v="40"/>
    <n v="181.13209000000001"/>
    <x v="1"/>
    <x v="2"/>
    <x v="5"/>
    <x v="7"/>
    <x v="11"/>
    <x v="22"/>
    <n v="197.43397810000002"/>
  </r>
  <r>
    <x v="9"/>
    <x v="0"/>
    <x v="9"/>
    <x v="9"/>
    <x v="1"/>
    <x v="6"/>
    <x v="0"/>
    <x v="0"/>
    <x v="3"/>
    <x v="3"/>
    <x v="12"/>
    <x v="12"/>
    <x v="1"/>
    <x v="8"/>
    <x v="8"/>
    <x v="40"/>
    <x v="40"/>
    <n v="82.918040000000005"/>
    <x v="1"/>
    <x v="2"/>
    <x v="5"/>
    <x v="7"/>
    <x v="11"/>
    <x v="22"/>
    <n v="90.380663600000005"/>
  </r>
  <r>
    <x v="9"/>
    <x v="0"/>
    <x v="9"/>
    <x v="9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9"/>
    <x v="0"/>
    <x v="9"/>
    <x v="9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388.16235250000005"/>
  </r>
  <r>
    <x v="9"/>
    <x v="0"/>
    <x v="9"/>
    <x v="9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9"/>
    <x v="0"/>
    <x v="9"/>
    <x v="9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9"/>
    <x v="0"/>
    <x v="9"/>
    <x v="9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9"/>
    <x v="0"/>
    <x v="9"/>
    <x v="9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9"/>
    <x v="0"/>
    <x v="9"/>
    <x v="9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65.08520960000004"/>
  </r>
  <r>
    <x v="9"/>
    <x v="0"/>
    <x v="9"/>
    <x v="9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9"/>
    <x v="0"/>
    <x v="9"/>
    <x v="9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9"/>
    <x v="0"/>
    <x v="9"/>
    <x v="9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9"/>
    <x v="0"/>
    <x v="9"/>
    <x v="9"/>
    <x v="1"/>
    <x v="6"/>
    <x v="0"/>
    <x v="0"/>
    <x v="2"/>
    <x v="2"/>
    <x v="17"/>
    <x v="17"/>
    <x v="4"/>
    <x v="5"/>
    <x v="5"/>
    <x v="41"/>
    <x v="41"/>
    <n v="222.33386170128301"/>
    <x v="1"/>
    <x v="2"/>
    <x v="5"/>
    <x v="7"/>
    <x v="11"/>
    <x v="22"/>
    <n v="242.34390925439851"/>
  </r>
  <r>
    <x v="9"/>
    <x v="0"/>
    <x v="9"/>
    <x v="9"/>
    <x v="1"/>
    <x v="6"/>
    <x v="0"/>
    <x v="0"/>
    <x v="2"/>
    <x v="2"/>
    <x v="17"/>
    <x v="17"/>
    <x v="4"/>
    <x v="5"/>
    <x v="5"/>
    <x v="40"/>
    <x v="40"/>
    <n v="2910.6943799999999"/>
    <x v="1"/>
    <x v="2"/>
    <x v="5"/>
    <x v="7"/>
    <x v="11"/>
    <x v="22"/>
    <n v="3172.6568741999999"/>
  </r>
  <r>
    <x v="9"/>
    <x v="0"/>
    <x v="9"/>
    <x v="9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9"/>
    <x v="0"/>
    <x v="9"/>
    <x v="9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9"/>
    <x v="0"/>
    <x v="9"/>
    <x v="9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9"/>
    <x v="0"/>
    <x v="9"/>
    <x v="9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9"/>
    <x v="0"/>
    <x v="9"/>
    <x v="9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9"/>
    <x v="0"/>
    <x v="9"/>
    <x v="9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9"/>
    <x v="0"/>
    <x v="9"/>
    <x v="9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9"/>
    <x v="0"/>
    <x v="9"/>
    <x v="9"/>
    <x v="1"/>
    <x v="7"/>
    <x v="0"/>
    <x v="0"/>
    <x v="0"/>
    <x v="0"/>
    <x v="0"/>
    <x v="0"/>
    <x v="3"/>
    <x v="3"/>
    <x v="3"/>
    <x v="11"/>
    <x v="11"/>
    <n v="260.28739000000002"/>
    <x v="0"/>
    <x v="0"/>
    <x v="3"/>
    <x v="5"/>
    <x v="7"/>
    <x v="11"/>
    <n v="283.71325510000003"/>
  </r>
  <r>
    <x v="9"/>
    <x v="0"/>
    <x v="9"/>
    <x v="9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9"/>
    <x v="0"/>
    <x v="9"/>
    <x v="9"/>
    <x v="1"/>
    <x v="7"/>
    <x v="0"/>
    <x v="0"/>
    <x v="0"/>
    <x v="0"/>
    <x v="0"/>
    <x v="0"/>
    <x v="0"/>
    <x v="4"/>
    <x v="4"/>
    <x v="11"/>
    <x v="11"/>
    <n v="238.00628"/>
    <x v="0"/>
    <x v="0"/>
    <x v="3"/>
    <x v="5"/>
    <x v="7"/>
    <x v="11"/>
    <n v="259.4268452"/>
  </r>
  <r>
    <x v="9"/>
    <x v="0"/>
    <x v="9"/>
    <x v="9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48.178000000000004"/>
  </r>
  <r>
    <x v="9"/>
    <x v="0"/>
    <x v="9"/>
    <x v="9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9"/>
    <x v="0"/>
    <x v="9"/>
    <x v="9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9"/>
    <x v="0"/>
    <x v="9"/>
    <x v="9"/>
    <x v="1"/>
    <x v="7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9"/>
    <x v="0"/>
    <x v="9"/>
    <x v="9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9"/>
    <x v="0"/>
    <x v="9"/>
    <x v="9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9"/>
    <x v="0"/>
    <x v="9"/>
    <x v="9"/>
    <x v="1"/>
    <x v="7"/>
    <x v="0"/>
    <x v="0"/>
    <x v="0"/>
    <x v="0"/>
    <x v="0"/>
    <x v="0"/>
    <x v="2"/>
    <x v="2"/>
    <x v="2"/>
    <x v="10"/>
    <x v="10"/>
    <n v="2.9550458715578598"/>
    <x v="0"/>
    <x v="0"/>
    <x v="1"/>
    <x v="4"/>
    <x v="5"/>
    <x v="10"/>
    <n v="3.2209999999980674"/>
  </r>
  <r>
    <x v="9"/>
    <x v="0"/>
    <x v="9"/>
    <x v="9"/>
    <x v="1"/>
    <x v="7"/>
    <x v="0"/>
    <x v="0"/>
    <x v="0"/>
    <x v="0"/>
    <x v="0"/>
    <x v="0"/>
    <x v="2"/>
    <x v="2"/>
    <x v="2"/>
    <x v="11"/>
    <x v="11"/>
    <n v="166.03389999999999"/>
    <x v="0"/>
    <x v="0"/>
    <x v="3"/>
    <x v="5"/>
    <x v="7"/>
    <x v="11"/>
    <n v="180.97695100000001"/>
  </r>
  <r>
    <x v="9"/>
    <x v="0"/>
    <x v="9"/>
    <x v="9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9"/>
    <x v="0"/>
    <x v="9"/>
    <x v="9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0.31324"/>
  </r>
  <r>
    <x v="9"/>
    <x v="0"/>
    <x v="9"/>
    <x v="9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9"/>
    <x v="0"/>
    <x v="9"/>
    <x v="9"/>
    <x v="1"/>
    <x v="7"/>
    <x v="0"/>
    <x v="0"/>
    <x v="0"/>
    <x v="0"/>
    <x v="0"/>
    <x v="0"/>
    <x v="2"/>
    <x v="2"/>
    <x v="2"/>
    <x v="18"/>
    <x v="18"/>
    <n v="24.518999999999998"/>
    <x v="0"/>
    <x v="0"/>
    <x v="0"/>
    <x v="0"/>
    <x v="4"/>
    <x v="18"/>
    <n v="26.725709999999999"/>
  </r>
  <r>
    <x v="9"/>
    <x v="0"/>
    <x v="9"/>
    <x v="9"/>
    <x v="1"/>
    <x v="7"/>
    <x v="0"/>
    <x v="0"/>
    <x v="0"/>
    <x v="0"/>
    <x v="0"/>
    <x v="0"/>
    <x v="2"/>
    <x v="2"/>
    <x v="2"/>
    <x v="26"/>
    <x v="26"/>
    <n v="347.70642201814002"/>
    <x v="0"/>
    <x v="0"/>
    <x v="1"/>
    <x v="3"/>
    <x v="3"/>
    <x v="15"/>
    <n v="378.99999999977263"/>
  </r>
  <r>
    <x v="9"/>
    <x v="0"/>
    <x v="9"/>
    <x v="9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9"/>
    <x v="0"/>
    <x v="9"/>
    <x v="9"/>
    <x v="1"/>
    <x v="7"/>
    <x v="0"/>
    <x v="0"/>
    <x v="0"/>
    <x v="0"/>
    <x v="0"/>
    <x v="0"/>
    <x v="1"/>
    <x v="6"/>
    <x v="6"/>
    <x v="11"/>
    <x v="11"/>
    <n v="46.788249999999998"/>
    <x v="0"/>
    <x v="0"/>
    <x v="3"/>
    <x v="5"/>
    <x v="7"/>
    <x v="11"/>
    <n v="50.999192499999999"/>
  </r>
  <r>
    <x v="9"/>
    <x v="0"/>
    <x v="9"/>
    <x v="9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28.256070000000001"/>
  </r>
  <r>
    <x v="9"/>
    <x v="0"/>
    <x v="9"/>
    <x v="9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9"/>
    <x v="0"/>
    <x v="9"/>
    <x v="9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9"/>
    <x v="0"/>
    <x v="9"/>
    <x v="9"/>
    <x v="1"/>
    <x v="7"/>
    <x v="0"/>
    <x v="0"/>
    <x v="0"/>
    <x v="0"/>
    <x v="0"/>
    <x v="0"/>
    <x v="3"/>
    <x v="12"/>
    <x v="3"/>
    <x v="11"/>
    <x v="11"/>
    <n v="5.3607500000000003"/>
    <x v="0"/>
    <x v="0"/>
    <x v="3"/>
    <x v="5"/>
    <x v="7"/>
    <x v="11"/>
    <n v="5.8432175000000006"/>
  </r>
  <r>
    <x v="9"/>
    <x v="0"/>
    <x v="9"/>
    <x v="9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10"/>
    <x v="0"/>
    <x v="10"/>
    <x v="10"/>
    <x v="0"/>
    <x v="0"/>
    <x v="0"/>
    <x v="0"/>
    <x v="0"/>
    <x v="0"/>
    <x v="2"/>
    <x v="2"/>
    <x v="2"/>
    <x v="2"/>
    <x v="2"/>
    <x v="2"/>
    <x v="2"/>
    <n v="1.9816513761500001E-3"/>
    <x v="0"/>
    <x v="1"/>
    <x v="2"/>
    <x v="2"/>
    <x v="13"/>
    <x v="2"/>
    <n v="2.1600000000035003E-3"/>
  </r>
  <r>
    <x v="10"/>
    <x v="0"/>
    <x v="10"/>
    <x v="10"/>
    <x v="0"/>
    <x v="0"/>
    <x v="0"/>
    <x v="0"/>
    <x v="0"/>
    <x v="0"/>
    <x v="2"/>
    <x v="2"/>
    <x v="4"/>
    <x v="5"/>
    <x v="5"/>
    <x v="18"/>
    <x v="18"/>
    <n v="0.38107999999999997"/>
    <x v="0"/>
    <x v="0"/>
    <x v="0"/>
    <x v="0"/>
    <x v="4"/>
    <x v="18"/>
    <n v="0.4153772"/>
  </r>
  <r>
    <x v="10"/>
    <x v="0"/>
    <x v="10"/>
    <x v="10"/>
    <x v="0"/>
    <x v="0"/>
    <x v="0"/>
    <x v="0"/>
    <x v="0"/>
    <x v="0"/>
    <x v="0"/>
    <x v="0"/>
    <x v="3"/>
    <x v="3"/>
    <x v="3"/>
    <x v="5"/>
    <x v="5"/>
    <n v="24.7491779142985"/>
    <x v="0"/>
    <x v="0"/>
    <x v="1"/>
    <x v="1"/>
    <x v="1"/>
    <x v="5"/>
    <n v="26.976603926585366"/>
  </r>
  <r>
    <x v="10"/>
    <x v="0"/>
    <x v="10"/>
    <x v="10"/>
    <x v="0"/>
    <x v="0"/>
    <x v="0"/>
    <x v="0"/>
    <x v="0"/>
    <x v="0"/>
    <x v="0"/>
    <x v="0"/>
    <x v="3"/>
    <x v="3"/>
    <x v="3"/>
    <x v="6"/>
    <x v="6"/>
    <n v="5.79"/>
    <x v="0"/>
    <x v="0"/>
    <x v="0"/>
    <x v="0"/>
    <x v="4"/>
    <x v="6"/>
    <n v="6.3111000000000006"/>
  </r>
  <r>
    <x v="10"/>
    <x v="0"/>
    <x v="10"/>
    <x v="10"/>
    <x v="0"/>
    <x v="0"/>
    <x v="0"/>
    <x v="0"/>
    <x v="0"/>
    <x v="0"/>
    <x v="0"/>
    <x v="0"/>
    <x v="3"/>
    <x v="3"/>
    <x v="3"/>
    <x v="9"/>
    <x v="9"/>
    <n v="19.856697247694498"/>
    <x v="0"/>
    <x v="0"/>
    <x v="1"/>
    <x v="4"/>
    <x v="5"/>
    <x v="9"/>
    <n v="21.643799999987003"/>
  </r>
  <r>
    <x v="10"/>
    <x v="0"/>
    <x v="10"/>
    <x v="10"/>
    <x v="0"/>
    <x v="0"/>
    <x v="0"/>
    <x v="0"/>
    <x v="0"/>
    <x v="0"/>
    <x v="0"/>
    <x v="0"/>
    <x v="3"/>
    <x v="3"/>
    <x v="3"/>
    <x v="12"/>
    <x v="12"/>
    <n v="127.42247674370201"/>
    <x v="0"/>
    <x v="0"/>
    <x v="0"/>
    <x v="0"/>
    <x v="8"/>
    <x v="12"/>
    <n v="138.89049965063521"/>
  </r>
  <r>
    <x v="10"/>
    <x v="0"/>
    <x v="10"/>
    <x v="10"/>
    <x v="0"/>
    <x v="0"/>
    <x v="0"/>
    <x v="0"/>
    <x v="0"/>
    <x v="0"/>
    <x v="0"/>
    <x v="0"/>
    <x v="3"/>
    <x v="3"/>
    <x v="3"/>
    <x v="32"/>
    <x v="32"/>
    <n v="31.289066193146301"/>
    <x v="0"/>
    <x v="0"/>
    <x v="1"/>
    <x v="1"/>
    <x v="1"/>
    <x v="20"/>
    <n v="34.105082150529469"/>
  </r>
  <r>
    <x v="10"/>
    <x v="0"/>
    <x v="10"/>
    <x v="10"/>
    <x v="0"/>
    <x v="0"/>
    <x v="0"/>
    <x v="0"/>
    <x v="0"/>
    <x v="0"/>
    <x v="0"/>
    <x v="0"/>
    <x v="3"/>
    <x v="3"/>
    <x v="3"/>
    <x v="14"/>
    <x v="14"/>
    <n v="13.15409"/>
    <x v="0"/>
    <x v="0"/>
    <x v="0"/>
    <x v="0"/>
    <x v="8"/>
    <x v="14"/>
    <n v="14.337958100000002"/>
  </r>
  <r>
    <x v="10"/>
    <x v="0"/>
    <x v="10"/>
    <x v="10"/>
    <x v="0"/>
    <x v="0"/>
    <x v="0"/>
    <x v="0"/>
    <x v="0"/>
    <x v="0"/>
    <x v="0"/>
    <x v="0"/>
    <x v="3"/>
    <x v="3"/>
    <x v="3"/>
    <x v="16"/>
    <x v="16"/>
    <n v="13.372960000000001"/>
    <x v="0"/>
    <x v="0"/>
    <x v="3"/>
    <x v="5"/>
    <x v="9"/>
    <x v="16"/>
    <n v="14.576526400000002"/>
  </r>
  <r>
    <x v="10"/>
    <x v="0"/>
    <x v="10"/>
    <x v="10"/>
    <x v="0"/>
    <x v="0"/>
    <x v="0"/>
    <x v="0"/>
    <x v="0"/>
    <x v="0"/>
    <x v="0"/>
    <x v="0"/>
    <x v="3"/>
    <x v="3"/>
    <x v="3"/>
    <x v="2"/>
    <x v="2"/>
    <n v="256.91287155947902"/>
    <x v="0"/>
    <x v="1"/>
    <x v="2"/>
    <x v="2"/>
    <x v="13"/>
    <x v="2"/>
    <n v="280.03502999983215"/>
  </r>
  <r>
    <x v="10"/>
    <x v="0"/>
    <x v="10"/>
    <x v="10"/>
    <x v="0"/>
    <x v="0"/>
    <x v="0"/>
    <x v="0"/>
    <x v="0"/>
    <x v="0"/>
    <x v="0"/>
    <x v="0"/>
    <x v="3"/>
    <x v="12"/>
    <x v="3"/>
    <x v="8"/>
    <x v="8"/>
    <n v="127.703033784601"/>
    <x v="0"/>
    <x v="1"/>
    <x v="2"/>
    <x v="2"/>
    <x v="6"/>
    <x v="8"/>
    <n v="139.19630682521512"/>
  </r>
  <r>
    <x v="10"/>
    <x v="0"/>
    <x v="10"/>
    <x v="10"/>
    <x v="0"/>
    <x v="0"/>
    <x v="0"/>
    <x v="0"/>
    <x v="0"/>
    <x v="0"/>
    <x v="0"/>
    <x v="0"/>
    <x v="3"/>
    <x v="12"/>
    <x v="3"/>
    <x v="12"/>
    <x v="12"/>
    <n v="31.943127906855398"/>
    <x v="0"/>
    <x v="0"/>
    <x v="0"/>
    <x v="0"/>
    <x v="8"/>
    <x v="12"/>
    <n v="34.818009418472386"/>
  </r>
  <r>
    <x v="10"/>
    <x v="0"/>
    <x v="10"/>
    <x v="10"/>
    <x v="0"/>
    <x v="0"/>
    <x v="0"/>
    <x v="0"/>
    <x v="0"/>
    <x v="0"/>
    <x v="0"/>
    <x v="0"/>
    <x v="3"/>
    <x v="12"/>
    <x v="3"/>
    <x v="2"/>
    <x v="2"/>
    <n v="1866.2578532098901"/>
    <x v="0"/>
    <x v="1"/>
    <x v="2"/>
    <x v="2"/>
    <x v="13"/>
    <x v="2"/>
    <n v="2034.2210599987802"/>
  </r>
  <r>
    <x v="10"/>
    <x v="0"/>
    <x v="10"/>
    <x v="10"/>
    <x v="0"/>
    <x v="0"/>
    <x v="0"/>
    <x v="0"/>
    <x v="0"/>
    <x v="0"/>
    <x v="0"/>
    <x v="0"/>
    <x v="0"/>
    <x v="4"/>
    <x v="4"/>
    <x v="6"/>
    <x v="6"/>
    <n v="15.942360000000001"/>
    <x v="0"/>
    <x v="0"/>
    <x v="0"/>
    <x v="0"/>
    <x v="4"/>
    <x v="6"/>
    <n v="17.377172400000003"/>
  </r>
  <r>
    <x v="10"/>
    <x v="0"/>
    <x v="10"/>
    <x v="10"/>
    <x v="0"/>
    <x v="0"/>
    <x v="0"/>
    <x v="0"/>
    <x v="0"/>
    <x v="0"/>
    <x v="0"/>
    <x v="0"/>
    <x v="0"/>
    <x v="4"/>
    <x v="4"/>
    <x v="8"/>
    <x v="8"/>
    <n v="68.171148649084898"/>
    <x v="0"/>
    <x v="1"/>
    <x v="2"/>
    <x v="2"/>
    <x v="6"/>
    <x v="8"/>
    <n v="74.306552027502548"/>
  </r>
  <r>
    <x v="10"/>
    <x v="0"/>
    <x v="10"/>
    <x v="10"/>
    <x v="0"/>
    <x v="0"/>
    <x v="0"/>
    <x v="0"/>
    <x v="0"/>
    <x v="0"/>
    <x v="0"/>
    <x v="0"/>
    <x v="0"/>
    <x v="4"/>
    <x v="4"/>
    <x v="12"/>
    <x v="12"/>
    <n v="520.08052325383801"/>
    <x v="0"/>
    <x v="0"/>
    <x v="0"/>
    <x v="0"/>
    <x v="8"/>
    <x v="12"/>
    <n v="566.88777034668351"/>
  </r>
  <r>
    <x v="10"/>
    <x v="0"/>
    <x v="10"/>
    <x v="10"/>
    <x v="0"/>
    <x v="0"/>
    <x v="0"/>
    <x v="0"/>
    <x v="0"/>
    <x v="0"/>
    <x v="0"/>
    <x v="0"/>
    <x v="0"/>
    <x v="4"/>
    <x v="4"/>
    <x v="14"/>
    <x v="14"/>
    <n v="64.571439999999996"/>
    <x v="0"/>
    <x v="0"/>
    <x v="0"/>
    <x v="0"/>
    <x v="8"/>
    <x v="14"/>
    <n v="70.382869600000006"/>
  </r>
  <r>
    <x v="10"/>
    <x v="0"/>
    <x v="10"/>
    <x v="10"/>
    <x v="0"/>
    <x v="0"/>
    <x v="0"/>
    <x v="0"/>
    <x v="0"/>
    <x v="0"/>
    <x v="0"/>
    <x v="0"/>
    <x v="0"/>
    <x v="4"/>
    <x v="4"/>
    <x v="16"/>
    <x v="16"/>
    <n v="79.66516"/>
    <x v="0"/>
    <x v="0"/>
    <x v="3"/>
    <x v="5"/>
    <x v="9"/>
    <x v="16"/>
    <n v="86.835024400000009"/>
  </r>
  <r>
    <x v="10"/>
    <x v="0"/>
    <x v="10"/>
    <x v="10"/>
    <x v="0"/>
    <x v="0"/>
    <x v="0"/>
    <x v="0"/>
    <x v="0"/>
    <x v="0"/>
    <x v="0"/>
    <x v="0"/>
    <x v="0"/>
    <x v="4"/>
    <x v="4"/>
    <x v="17"/>
    <x v="17"/>
    <n v="33.176839999999999"/>
    <x v="0"/>
    <x v="0"/>
    <x v="0"/>
    <x v="0"/>
    <x v="4"/>
    <x v="17"/>
    <n v="36.162755600000004"/>
  </r>
  <r>
    <x v="10"/>
    <x v="0"/>
    <x v="10"/>
    <x v="10"/>
    <x v="0"/>
    <x v="0"/>
    <x v="0"/>
    <x v="0"/>
    <x v="0"/>
    <x v="0"/>
    <x v="0"/>
    <x v="0"/>
    <x v="0"/>
    <x v="4"/>
    <x v="4"/>
    <x v="18"/>
    <x v="18"/>
    <n v="0.31991999999999998"/>
    <x v="0"/>
    <x v="0"/>
    <x v="0"/>
    <x v="0"/>
    <x v="4"/>
    <x v="18"/>
    <n v="0.34871279999999999"/>
  </r>
  <r>
    <x v="10"/>
    <x v="0"/>
    <x v="10"/>
    <x v="10"/>
    <x v="0"/>
    <x v="0"/>
    <x v="0"/>
    <x v="0"/>
    <x v="0"/>
    <x v="0"/>
    <x v="0"/>
    <x v="0"/>
    <x v="0"/>
    <x v="4"/>
    <x v="4"/>
    <x v="2"/>
    <x v="2"/>
    <n v="1369.1003577973399"/>
    <x v="0"/>
    <x v="1"/>
    <x v="2"/>
    <x v="2"/>
    <x v="13"/>
    <x v="2"/>
    <n v="1492.3193899991006"/>
  </r>
  <r>
    <x v="10"/>
    <x v="0"/>
    <x v="10"/>
    <x v="10"/>
    <x v="0"/>
    <x v="0"/>
    <x v="0"/>
    <x v="0"/>
    <x v="0"/>
    <x v="0"/>
    <x v="0"/>
    <x v="0"/>
    <x v="0"/>
    <x v="0"/>
    <x v="0"/>
    <x v="5"/>
    <x v="5"/>
    <n v="1.31237423313881"/>
    <x v="0"/>
    <x v="0"/>
    <x v="1"/>
    <x v="1"/>
    <x v="1"/>
    <x v="5"/>
    <n v="1.4304879141213029"/>
  </r>
  <r>
    <x v="10"/>
    <x v="0"/>
    <x v="10"/>
    <x v="10"/>
    <x v="0"/>
    <x v="0"/>
    <x v="0"/>
    <x v="0"/>
    <x v="0"/>
    <x v="0"/>
    <x v="0"/>
    <x v="0"/>
    <x v="0"/>
    <x v="0"/>
    <x v="0"/>
    <x v="6"/>
    <x v="6"/>
    <n v="60.954859999999996"/>
    <x v="0"/>
    <x v="0"/>
    <x v="0"/>
    <x v="0"/>
    <x v="4"/>
    <x v="6"/>
    <n v="66.440797400000008"/>
  </r>
  <r>
    <x v="10"/>
    <x v="0"/>
    <x v="10"/>
    <x v="10"/>
    <x v="0"/>
    <x v="0"/>
    <x v="0"/>
    <x v="0"/>
    <x v="0"/>
    <x v="0"/>
    <x v="0"/>
    <x v="0"/>
    <x v="0"/>
    <x v="0"/>
    <x v="0"/>
    <x v="7"/>
    <x v="7"/>
    <n v="0.82397247706373"/>
    <x v="0"/>
    <x v="0"/>
    <x v="1"/>
    <x v="4"/>
    <x v="5"/>
    <x v="7"/>
    <n v="0.89812999999946574"/>
  </r>
  <r>
    <x v="10"/>
    <x v="0"/>
    <x v="10"/>
    <x v="10"/>
    <x v="0"/>
    <x v="0"/>
    <x v="0"/>
    <x v="0"/>
    <x v="0"/>
    <x v="0"/>
    <x v="0"/>
    <x v="0"/>
    <x v="0"/>
    <x v="0"/>
    <x v="0"/>
    <x v="8"/>
    <x v="8"/>
    <n v="3.1542770270472098"/>
    <x v="0"/>
    <x v="1"/>
    <x v="2"/>
    <x v="2"/>
    <x v="6"/>
    <x v="8"/>
    <n v="3.4381619594814588"/>
  </r>
  <r>
    <x v="10"/>
    <x v="0"/>
    <x v="10"/>
    <x v="10"/>
    <x v="0"/>
    <x v="0"/>
    <x v="0"/>
    <x v="0"/>
    <x v="0"/>
    <x v="0"/>
    <x v="0"/>
    <x v="0"/>
    <x v="0"/>
    <x v="0"/>
    <x v="0"/>
    <x v="9"/>
    <x v="9"/>
    <n v="2.7175826201429998"/>
    <x v="0"/>
    <x v="0"/>
    <x v="1"/>
    <x v="4"/>
    <x v="5"/>
    <x v="9"/>
    <n v="2.9621650559558699"/>
  </r>
  <r>
    <x v="10"/>
    <x v="0"/>
    <x v="10"/>
    <x v="10"/>
    <x v="0"/>
    <x v="0"/>
    <x v="0"/>
    <x v="0"/>
    <x v="0"/>
    <x v="0"/>
    <x v="0"/>
    <x v="0"/>
    <x v="0"/>
    <x v="0"/>
    <x v="0"/>
    <x v="10"/>
    <x v="10"/>
    <n v="5.1265401865132798"/>
    <x v="0"/>
    <x v="0"/>
    <x v="1"/>
    <x v="4"/>
    <x v="5"/>
    <x v="10"/>
    <n v="5.5879288032994756"/>
  </r>
  <r>
    <x v="10"/>
    <x v="0"/>
    <x v="10"/>
    <x v="10"/>
    <x v="0"/>
    <x v="0"/>
    <x v="0"/>
    <x v="0"/>
    <x v="0"/>
    <x v="0"/>
    <x v="0"/>
    <x v="0"/>
    <x v="0"/>
    <x v="0"/>
    <x v="0"/>
    <x v="55"/>
    <x v="55"/>
    <n v="5.6339449541250003E-2"/>
    <x v="0"/>
    <x v="0"/>
    <x v="1"/>
    <x v="3"/>
    <x v="3"/>
    <x v="15"/>
    <n v="6.1409999999962508E-2"/>
  </r>
  <r>
    <x v="10"/>
    <x v="0"/>
    <x v="10"/>
    <x v="10"/>
    <x v="0"/>
    <x v="0"/>
    <x v="0"/>
    <x v="0"/>
    <x v="0"/>
    <x v="0"/>
    <x v="0"/>
    <x v="0"/>
    <x v="0"/>
    <x v="0"/>
    <x v="0"/>
    <x v="11"/>
    <x v="11"/>
    <n v="6.3159700000000001"/>
    <x v="0"/>
    <x v="0"/>
    <x v="3"/>
    <x v="5"/>
    <x v="7"/>
    <x v="11"/>
    <n v="6.8844073000000003"/>
  </r>
  <r>
    <x v="10"/>
    <x v="0"/>
    <x v="10"/>
    <x v="10"/>
    <x v="0"/>
    <x v="0"/>
    <x v="0"/>
    <x v="0"/>
    <x v="0"/>
    <x v="0"/>
    <x v="0"/>
    <x v="0"/>
    <x v="0"/>
    <x v="0"/>
    <x v="0"/>
    <x v="12"/>
    <x v="12"/>
    <n v="206.06490697596101"/>
    <x v="0"/>
    <x v="0"/>
    <x v="0"/>
    <x v="0"/>
    <x v="8"/>
    <x v="12"/>
    <n v="224.6107486037975"/>
  </r>
  <r>
    <x v="10"/>
    <x v="0"/>
    <x v="10"/>
    <x v="10"/>
    <x v="0"/>
    <x v="0"/>
    <x v="0"/>
    <x v="0"/>
    <x v="0"/>
    <x v="0"/>
    <x v="0"/>
    <x v="0"/>
    <x v="0"/>
    <x v="0"/>
    <x v="0"/>
    <x v="13"/>
    <x v="13"/>
    <n v="0.47156999999999999"/>
    <x v="0"/>
    <x v="0"/>
    <x v="1"/>
    <x v="3"/>
    <x v="3"/>
    <x v="13"/>
    <n v="0.51401130000000006"/>
  </r>
  <r>
    <x v="10"/>
    <x v="0"/>
    <x v="10"/>
    <x v="10"/>
    <x v="0"/>
    <x v="0"/>
    <x v="0"/>
    <x v="0"/>
    <x v="0"/>
    <x v="0"/>
    <x v="0"/>
    <x v="0"/>
    <x v="0"/>
    <x v="0"/>
    <x v="0"/>
    <x v="14"/>
    <x v="14"/>
    <n v="1.3717200000000001"/>
    <x v="0"/>
    <x v="0"/>
    <x v="0"/>
    <x v="0"/>
    <x v="8"/>
    <x v="14"/>
    <n v="1.4951748000000002"/>
  </r>
  <r>
    <x v="10"/>
    <x v="0"/>
    <x v="10"/>
    <x v="10"/>
    <x v="0"/>
    <x v="0"/>
    <x v="0"/>
    <x v="0"/>
    <x v="0"/>
    <x v="0"/>
    <x v="0"/>
    <x v="0"/>
    <x v="0"/>
    <x v="0"/>
    <x v="0"/>
    <x v="22"/>
    <x v="22"/>
    <n v="0.41703629032091"/>
    <x v="0"/>
    <x v="0"/>
    <x v="0"/>
    <x v="0"/>
    <x v="0"/>
    <x v="0"/>
    <n v="0.45456955644979191"/>
  </r>
  <r>
    <x v="10"/>
    <x v="0"/>
    <x v="10"/>
    <x v="10"/>
    <x v="0"/>
    <x v="0"/>
    <x v="0"/>
    <x v="0"/>
    <x v="0"/>
    <x v="0"/>
    <x v="0"/>
    <x v="0"/>
    <x v="0"/>
    <x v="0"/>
    <x v="0"/>
    <x v="23"/>
    <x v="23"/>
    <n v="1.38337614678816"/>
    <x v="0"/>
    <x v="0"/>
    <x v="1"/>
    <x v="3"/>
    <x v="3"/>
    <x v="15"/>
    <n v="1.5078799999990946"/>
  </r>
  <r>
    <x v="10"/>
    <x v="0"/>
    <x v="10"/>
    <x v="10"/>
    <x v="0"/>
    <x v="0"/>
    <x v="0"/>
    <x v="0"/>
    <x v="0"/>
    <x v="0"/>
    <x v="0"/>
    <x v="0"/>
    <x v="0"/>
    <x v="0"/>
    <x v="0"/>
    <x v="24"/>
    <x v="24"/>
    <n v="0.28883486238514999"/>
    <x v="0"/>
    <x v="0"/>
    <x v="1"/>
    <x v="3"/>
    <x v="3"/>
    <x v="4"/>
    <n v="0.31482999999981354"/>
  </r>
  <r>
    <x v="10"/>
    <x v="0"/>
    <x v="10"/>
    <x v="10"/>
    <x v="0"/>
    <x v="0"/>
    <x v="0"/>
    <x v="0"/>
    <x v="0"/>
    <x v="0"/>
    <x v="0"/>
    <x v="0"/>
    <x v="0"/>
    <x v="0"/>
    <x v="0"/>
    <x v="17"/>
    <x v="17"/>
    <n v="0.23128000000000001"/>
    <x v="0"/>
    <x v="0"/>
    <x v="0"/>
    <x v="0"/>
    <x v="4"/>
    <x v="17"/>
    <n v="0.25209520000000002"/>
  </r>
  <r>
    <x v="10"/>
    <x v="0"/>
    <x v="10"/>
    <x v="10"/>
    <x v="0"/>
    <x v="0"/>
    <x v="0"/>
    <x v="0"/>
    <x v="0"/>
    <x v="0"/>
    <x v="0"/>
    <x v="0"/>
    <x v="0"/>
    <x v="0"/>
    <x v="0"/>
    <x v="21"/>
    <x v="21"/>
    <n v="0.92328440366916997"/>
    <x v="0"/>
    <x v="0"/>
    <x v="1"/>
    <x v="4"/>
    <x v="5"/>
    <x v="10"/>
    <n v="1.0063799999993954"/>
  </r>
  <r>
    <x v="10"/>
    <x v="0"/>
    <x v="10"/>
    <x v="10"/>
    <x v="0"/>
    <x v="0"/>
    <x v="0"/>
    <x v="0"/>
    <x v="0"/>
    <x v="0"/>
    <x v="0"/>
    <x v="0"/>
    <x v="0"/>
    <x v="0"/>
    <x v="0"/>
    <x v="18"/>
    <x v="18"/>
    <n v="2.1173099999999998"/>
    <x v="0"/>
    <x v="0"/>
    <x v="0"/>
    <x v="0"/>
    <x v="4"/>
    <x v="18"/>
    <n v="2.3078678999999998"/>
  </r>
  <r>
    <x v="10"/>
    <x v="0"/>
    <x v="10"/>
    <x v="10"/>
    <x v="0"/>
    <x v="0"/>
    <x v="0"/>
    <x v="0"/>
    <x v="0"/>
    <x v="0"/>
    <x v="0"/>
    <x v="0"/>
    <x v="0"/>
    <x v="0"/>
    <x v="0"/>
    <x v="25"/>
    <x v="25"/>
    <n v="2.6245321100901702"/>
    <x v="0"/>
    <x v="0"/>
    <x v="1"/>
    <x v="4"/>
    <x v="5"/>
    <x v="9"/>
    <n v="2.8607399999982857"/>
  </r>
  <r>
    <x v="10"/>
    <x v="0"/>
    <x v="10"/>
    <x v="10"/>
    <x v="0"/>
    <x v="0"/>
    <x v="0"/>
    <x v="0"/>
    <x v="0"/>
    <x v="0"/>
    <x v="0"/>
    <x v="0"/>
    <x v="0"/>
    <x v="0"/>
    <x v="0"/>
    <x v="27"/>
    <x v="27"/>
    <n v="0.69390540542012003"/>
    <x v="0"/>
    <x v="0"/>
    <x v="1"/>
    <x v="3"/>
    <x v="3"/>
    <x v="19"/>
    <n v="0.75635689190793087"/>
  </r>
  <r>
    <x v="10"/>
    <x v="0"/>
    <x v="10"/>
    <x v="10"/>
    <x v="0"/>
    <x v="0"/>
    <x v="0"/>
    <x v="0"/>
    <x v="0"/>
    <x v="0"/>
    <x v="0"/>
    <x v="0"/>
    <x v="0"/>
    <x v="0"/>
    <x v="0"/>
    <x v="78"/>
    <x v="78"/>
    <n v="0.65767889908217003"/>
    <x v="0"/>
    <x v="0"/>
    <x v="1"/>
    <x v="4"/>
    <x v="5"/>
    <x v="9"/>
    <n v="0.71686999999956535"/>
  </r>
  <r>
    <x v="10"/>
    <x v="0"/>
    <x v="10"/>
    <x v="10"/>
    <x v="0"/>
    <x v="0"/>
    <x v="0"/>
    <x v="0"/>
    <x v="0"/>
    <x v="0"/>
    <x v="0"/>
    <x v="0"/>
    <x v="0"/>
    <x v="0"/>
    <x v="0"/>
    <x v="26"/>
    <x v="26"/>
    <n v="2.10922018348497"/>
    <x v="0"/>
    <x v="0"/>
    <x v="1"/>
    <x v="3"/>
    <x v="3"/>
    <x v="15"/>
    <n v="2.2990499999986174"/>
  </r>
  <r>
    <x v="10"/>
    <x v="0"/>
    <x v="10"/>
    <x v="10"/>
    <x v="0"/>
    <x v="0"/>
    <x v="0"/>
    <x v="0"/>
    <x v="0"/>
    <x v="0"/>
    <x v="0"/>
    <x v="0"/>
    <x v="0"/>
    <x v="0"/>
    <x v="0"/>
    <x v="0"/>
    <x v="0"/>
    <n v="0.79462188611877005"/>
    <x v="0"/>
    <x v="0"/>
    <x v="0"/>
    <x v="0"/>
    <x v="0"/>
    <x v="0"/>
    <n v="0.86613785586945946"/>
  </r>
  <r>
    <x v="10"/>
    <x v="0"/>
    <x v="10"/>
    <x v="10"/>
    <x v="0"/>
    <x v="0"/>
    <x v="0"/>
    <x v="0"/>
    <x v="0"/>
    <x v="0"/>
    <x v="0"/>
    <x v="0"/>
    <x v="0"/>
    <x v="0"/>
    <x v="0"/>
    <x v="2"/>
    <x v="2"/>
    <n v="3954.09878898845"/>
    <x v="0"/>
    <x v="1"/>
    <x v="2"/>
    <x v="2"/>
    <x v="13"/>
    <x v="2"/>
    <n v="4309.9676799974104"/>
  </r>
  <r>
    <x v="10"/>
    <x v="0"/>
    <x v="10"/>
    <x v="10"/>
    <x v="0"/>
    <x v="0"/>
    <x v="0"/>
    <x v="0"/>
    <x v="0"/>
    <x v="0"/>
    <x v="0"/>
    <x v="0"/>
    <x v="0"/>
    <x v="0"/>
    <x v="0"/>
    <x v="3"/>
    <x v="3"/>
    <n v="4.4948275858559997E-2"/>
    <x v="0"/>
    <x v="0"/>
    <x v="1"/>
    <x v="3"/>
    <x v="3"/>
    <x v="3"/>
    <n v="4.8993620685830401E-2"/>
  </r>
  <r>
    <x v="10"/>
    <x v="0"/>
    <x v="10"/>
    <x v="10"/>
    <x v="0"/>
    <x v="0"/>
    <x v="0"/>
    <x v="0"/>
    <x v="0"/>
    <x v="0"/>
    <x v="0"/>
    <x v="0"/>
    <x v="1"/>
    <x v="1"/>
    <x v="1"/>
    <x v="4"/>
    <x v="4"/>
    <n v="0.78458715596283002"/>
    <x v="0"/>
    <x v="0"/>
    <x v="1"/>
    <x v="3"/>
    <x v="3"/>
    <x v="4"/>
    <n v="0.85519999999948482"/>
  </r>
  <r>
    <x v="10"/>
    <x v="0"/>
    <x v="10"/>
    <x v="10"/>
    <x v="0"/>
    <x v="0"/>
    <x v="0"/>
    <x v="0"/>
    <x v="0"/>
    <x v="0"/>
    <x v="0"/>
    <x v="0"/>
    <x v="1"/>
    <x v="1"/>
    <x v="1"/>
    <x v="5"/>
    <x v="5"/>
    <n v="2.2476380368269"/>
    <x v="0"/>
    <x v="0"/>
    <x v="1"/>
    <x v="1"/>
    <x v="1"/>
    <x v="5"/>
    <n v="2.4499254601413214"/>
  </r>
  <r>
    <x v="10"/>
    <x v="0"/>
    <x v="10"/>
    <x v="10"/>
    <x v="0"/>
    <x v="0"/>
    <x v="0"/>
    <x v="0"/>
    <x v="0"/>
    <x v="0"/>
    <x v="0"/>
    <x v="0"/>
    <x v="1"/>
    <x v="1"/>
    <x v="1"/>
    <x v="6"/>
    <x v="6"/>
    <n v="29.73518"/>
    <x v="0"/>
    <x v="0"/>
    <x v="0"/>
    <x v="0"/>
    <x v="4"/>
    <x v="6"/>
    <n v="32.411346200000004"/>
  </r>
  <r>
    <x v="10"/>
    <x v="0"/>
    <x v="10"/>
    <x v="10"/>
    <x v="0"/>
    <x v="0"/>
    <x v="0"/>
    <x v="0"/>
    <x v="0"/>
    <x v="0"/>
    <x v="0"/>
    <x v="0"/>
    <x v="1"/>
    <x v="1"/>
    <x v="1"/>
    <x v="7"/>
    <x v="7"/>
    <n v="0.82397247706373"/>
    <x v="0"/>
    <x v="0"/>
    <x v="1"/>
    <x v="4"/>
    <x v="5"/>
    <x v="7"/>
    <n v="0.89812999999946574"/>
  </r>
  <r>
    <x v="10"/>
    <x v="0"/>
    <x v="10"/>
    <x v="10"/>
    <x v="0"/>
    <x v="0"/>
    <x v="0"/>
    <x v="0"/>
    <x v="0"/>
    <x v="0"/>
    <x v="0"/>
    <x v="0"/>
    <x v="1"/>
    <x v="1"/>
    <x v="1"/>
    <x v="8"/>
    <x v="8"/>
    <n v="1.54843243244234"/>
    <x v="0"/>
    <x v="1"/>
    <x v="2"/>
    <x v="2"/>
    <x v="6"/>
    <x v="8"/>
    <n v="1.6877913513621507"/>
  </r>
  <r>
    <x v="10"/>
    <x v="0"/>
    <x v="10"/>
    <x v="10"/>
    <x v="0"/>
    <x v="0"/>
    <x v="0"/>
    <x v="0"/>
    <x v="0"/>
    <x v="0"/>
    <x v="0"/>
    <x v="0"/>
    <x v="1"/>
    <x v="1"/>
    <x v="1"/>
    <x v="9"/>
    <x v="9"/>
    <n v="4.2992221041618199"/>
    <x v="0"/>
    <x v="0"/>
    <x v="1"/>
    <x v="4"/>
    <x v="5"/>
    <x v="9"/>
    <n v="4.6861520935363838"/>
  </r>
  <r>
    <x v="10"/>
    <x v="0"/>
    <x v="10"/>
    <x v="10"/>
    <x v="0"/>
    <x v="0"/>
    <x v="0"/>
    <x v="0"/>
    <x v="0"/>
    <x v="0"/>
    <x v="0"/>
    <x v="0"/>
    <x v="1"/>
    <x v="1"/>
    <x v="1"/>
    <x v="10"/>
    <x v="10"/>
    <n v="1.07830595505472"/>
    <x v="0"/>
    <x v="0"/>
    <x v="1"/>
    <x v="4"/>
    <x v="5"/>
    <x v="10"/>
    <n v="1.175353491009645"/>
  </r>
  <r>
    <x v="10"/>
    <x v="0"/>
    <x v="10"/>
    <x v="10"/>
    <x v="0"/>
    <x v="0"/>
    <x v="0"/>
    <x v="0"/>
    <x v="0"/>
    <x v="0"/>
    <x v="0"/>
    <x v="0"/>
    <x v="1"/>
    <x v="1"/>
    <x v="1"/>
    <x v="55"/>
    <x v="55"/>
    <n v="0.11011926605498"/>
    <x v="0"/>
    <x v="0"/>
    <x v="1"/>
    <x v="3"/>
    <x v="3"/>
    <x v="15"/>
    <n v="0.12002999999992821"/>
  </r>
  <r>
    <x v="10"/>
    <x v="0"/>
    <x v="10"/>
    <x v="10"/>
    <x v="0"/>
    <x v="0"/>
    <x v="0"/>
    <x v="0"/>
    <x v="0"/>
    <x v="0"/>
    <x v="0"/>
    <x v="0"/>
    <x v="1"/>
    <x v="1"/>
    <x v="1"/>
    <x v="11"/>
    <x v="11"/>
    <n v="11.588150000000001"/>
    <x v="0"/>
    <x v="0"/>
    <x v="3"/>
    <x v="5"/>
    <x v="7"/>
    <x v="11"/>
    <n v="12.631083500000001"/>
  </r>
  <r>
    <x v="10"/>
    <x v="0"/>
    <x v="10"/>
    <x v="10"/>
    <x v="0"/>
    <x v="0"/>
    <x v="0"/>
    <x v="0"/>
    <x v="0"/>
    <x v="0"/>
    <x v="0"/>
    <x v="0"/>
    <x v="1"/>
    <x v="1"/>
    <x v="1"/>
    <x v="12"/>
    <x v="12"/>
    <n v="177.66524418537099"/>
    <x v="0"/>
    <x v="0"/>
    <x v="0"/>
    <x v="0"/>
    <x v="8"/>
    <x v="12"/>
    <n v="193.65511616205441"/>
  </r>
  <r>
    <x v="10"/>
    <x v="0"/>
    <x v="10"/>
    <x v="10"/>
    <x v="0"/>
    <x v="0"/>
    <x v="0"/>
    <x v="0"/>
    <x v="0"/>
    <x v="0"/>
    <x v="0"/>
    <x v="0"/>
    <x v="1"/>
    <x v="1"/>
    <x v="1"/>
    <x v="13"/>
    <x v="13"/>
    <n v="0.61185"/>
    <x v="0"/>
    <x v="0"/>
    <x v="1"/>
    <x v="3"/>
    <x v="3"/>
    <x v="13"/>
    <n v="0.66691650000000002"/>
  </r>
  <r>
    <x v="10"/>
    <x v="0"/>
    <x v="10"/>
    <x v="10"/>
    <x v="0"/>
    <x v="0"/>
    <x v="0"/>
    <x v="0"/>
    <x v="0"/>
    <x v="0"/>
    <x v="0"/>
    <x v="0"/>
    <x v="1"/>
    <x v="1"/>
    <x v="1"/>
    <x v="14"/>
    <x v="14"/>
    <n v="63.773719999999997"/>
    <x v="0"/>
    <x v="0"/>
    <x v="0"/>
    <x v="0"/>
    <x v="8"/>
    <x v="14"/>
    <n v="69.513354800000002"/>
  </r>
  <r>
    <x v="10"/>
    <x v="0"/>
    <x v="10"/>
    <x v="10"/>
    <x v="0"/>
    <x v="0"/>
    <x v="0"/>
    <x v="0"/>
    <x v="0"/>
    <x v="0"/>
    <x v="0"/>
    <x v="0"/>
    <x v="1"/>
    <x v="1"/>
    <x v="1"/>
    <x v="15"/>
    <x v="15"/>
    <n v="1.7834862385309999E-2"/>
    <x v="0"/>
    <x v="0"/>
    <x v="1"/>
    <x v="3"/>
    <x v="3"/>
    <x v="15"/>
    <n v="1.9439999999987901E-2"/>
  </r>
  <r>
    <x v="10"/>
    <x v="0"/>
    <x v="10"/>
    <x v="10"/>
    <x v="0"/>
    <x v="0"/>
    <x v="0"/>
    <x v="0"/>
    <x v="0"/>
    <x v="0"/>
    <x v="0"/>
    <x v="0"/>
    <x v="1"/>
    <x v="1"/>
    <x v="1"/>
    <x v="22"/>
    <x v="22"/>
    <n v="0.13901209677363999"/>
    <x v="0"/>
    <x v="0"/>
    <x v="0"/>
    <x v="0"/>
    <x v="0"/>
    <x v="0"/>
    <n v="0.1515231854832676"/>
  </r>
  <r>
    <x v="10"/>
    <x v="0"/>
    <x v="10"/>
    <x v="10"/>
    <x v="0"/>
    <x v="0"/>
    <x v="0"/>
    <x v="0"/>
    <x v="0"/>
    <x v="0"/>
    <x v="0"/>
    <x v="0"/>
    <x v="1"/>
    <x v="1"/>
    <x v="1"/>
    <x v="16"/>
    <x v="16"/>
    <n v="28.62312"/>
    <x v="0"/>
    <x v="0"/>
    <x v="3"/>
    <x v="5"/>
    <x v="9"/>
    <x v="16"/>
    <n v="31.199200800000003"/>
  </r>
  <r>
    <x v="10"/>
    <x v="0"/>
    <x v="10"/>
    <x v="10"/>
    <x v="0"/>
    <x v="0"/>
    <x v="0"/>
    <x v="0"/>
    <x v="0"/>
    <x v="0"/>
    <x v="0"/>
    <x v="0"/>
    <x v="1"/>
    <x v="1"/>
    <x v="1"/>
    <x v="23"/>
    <x v="23"/>
    <n v="15.784844036687799"/>
    <x v="0"/>
    <x v="0"/>
    <x v="1"/>
    <x v="3"/>
    <x v="3"/>
    <x v="15"/>
    <n v="17.205479999989702"/>
  </r>
  <r>
    <x v="10"/>
    <x v="0"/>
    <x v="10"/>
    <x v="10"/>
    <x v="0"/>
    <x v="0"/>
    <x v="0"/>
    <x v="0"/>
    <x v="0"/>
    <x v="0"/>
    <x v="0"/>
    <x v="0"/>
    <x v="1"/>
    <x v="1"/>
    <x v="1"/>
    <x v="24"/>
    <x v="24"/>
    <n v="0.78180733944906999"/>
    <x v="0"/>
    <x v="0"/>
    <x v="1"/>
    <x v="3"/>
    <x v="3"/>
    <x v="4"/>
    <n v="0.85216999999948639"/>
  </r>
  <r>
    <x v="10"/>
    <x v="0"/>
    <x v="10"/>
    <x v="10"/>
    <x v="0"/>
    <x v="0"/>
    <x v="0"/>
    <x v="0"/>
    <x v="0"/>
    <x v="0"/>
    <x v="0"/>
    <x v="0"/>
    <x v="1"/>
    <x v="1"/>
    <x v="1"/>
    <x v="17"/>
    <x v="17"/>
    <n v="0.27988000000000002"/>
    <x v="0"/>
    <x v="0"/>
    <x v="0"/>
    <x v="0"/>
    <x v="4"/>
    <x v="17"/>
    <n v="0.30506920000000004"/>
  </r>
  <r>
    <x v="10"/>
    <x v="0"/>
    <x v="10"/>
    <x v="10"/>
    <x v="0"/>
    <x v="0"/>
    <x v="0"/>
    <x v="0"/>
    <x v="0"/>
    <x v="0"/>
    <x v="0"/>
    <x v="0"/>
    <x v="1"/>
    <x v="1"/>
    <x v="1"/>
    <x v="18"/>
    <x v="18"/>
    <n v="2.53688"/>
    <x v="0"/>
    <x v="0"/>
    <x v="0"/>
    <x v="0"/>
    <x v="4"/>
    <x v="18"/>
    <n v="2.7651992000000001"/>
  </r>
  <r>
    <x v="10"/>
    <x v="0"/>
    <x v="10"/>
    <x v="10"/>
    <x v="0"/>
    <x v="0"/>
    <x v="0"/>
    <x v="0"/>
    <x v="0"/>
    <x v="0"/>
    <x v="0"/>
    <x v="0"/>
    <x v="1"/>
    <x v="1"/>
    <x v="1"/>
    <x v="27"/>
    <x v="27"/>
    <n v="43.557520271193702"/>
    <x v="0"/>
    <x v="0"/>
    <x v="1"/>
    <x v="3"/>
    <x v="3"/>
    <x v="19"/>
    <n v="47.477697095601137"/>
  </r>
  <r>
    <x v="10"/>
    <x v="0"/>
    <x v="10"/>
    <x v="10"/>
    <x v="0"/>
    <x v="0"/>
    <x v="0"/>
    <x v="0"/>
    <x v="0"/>
    <x v="0"/>
    <x v="0"/>
    <x v="0"/>
    <x v="1"/>
    <x v="1"/>
    <x v="1"/>
    <x v="78"/>
    <x v="78"/>
    <n v="0.41131192660526"/>
    <x v="0"/>
    <x v="0"/>
    <x v="1"/>
    <x v="4"/>
    <x v="5"/>
    <x v="9"/>
    <n v="0.44832999999973344"/>
  </r>
  <r>
    <x v="10"/>
    <x v="0"/>
    <x v="10"/>
    <x v="10"/>
    <x v="0"/>
    <x v="0"/>
    <x v="0"/>
    <x v="0"/>
    <x v="0"/>
    <x v="0"/>
    <x v="0"/>
    <x v="0"/>
    <x v="1"/>
    <x v="1"/>
    <x v="1"/>
    <x v="26"/>
    <x v="26"/>
    <n v="0.98186238532050996"/>
    <x v="0"/>
    <x v="0"/>
    <x v="1"/>
    <x v="3"/>
    <x v="3"/>
    <x v="15"/>
    <n v="1.0702299999993559"/>
  </r>
  <r>
    <x v="10"/>
    <x v="0"/>
    <x v="10"/>
    <x v="10"/>
    <x v="0"/>
    <x v="0"/>
    <x v="0"/>
    <x v="0"/>
    <x v="0"/>
    <x v="0"/>
    <x v="0"/>
    <x v="0"/>
    <x v="1"/>
    <x v="1"/>
    <x v="1"/>
    <x v="0"/>
    <x v="0"/>
    <n v="0.82234074732866003"/>
    <x v="0"/>
    <x v="0"/>
    <x v="0"/>
    <x v="0"/>
    <x v="0"/>
    <x v="0"/>
    <n v="0.89635141458823953"/>
  </r>
  <r>
    <x v="10"/>
    <x v="0"/>
    <x v="10"/>
    <x v="10"/>
    <x v="0"/>
    <x v="0"/>
    <x v="0"/>
    <x v="0"/>
    <x v="0"/>
    <x v="0"/>
    <x v="0"/>
    <x v="0"/>
    <x v="1"/>
    <x v="1"/>
    <x v="1"/>
    <x v="2"/>
    <x v="2"/>
    <n v="101.927229357737"/>
    <x v="0"/>
    <x v="1"/>
    <x v="2"/>
    <x v="2"/>
    <x v="13"/>
    <x v="2"/>
    <n v="111.10067999993335"/>
  </r>
  <r>
    <x v="10"/>
    <x v="0"/>
    <x v="10"/>
    <x v="10"/>
    <x v="0"/>
    <x v="0"/>
    <x v="0"/>
    <x v="0"/>
    <x v="0"/>
    <x v="0"/>
    <x v="0"/>
    <x v="0"/>
    <x v="1"/>
    <x v="1"/>
    <x v="1"/>
    <x v="3"/>
    <x v="3"/>
    <n v="3.2146517238871901"/>
    <x v="0"/>
    <x v="0"/>
    <x v="1"/>
    <x v="3"/>
    <x v="3"/>
    <x v="3"/>
    <n v="3.5039703790370376"/>
  </r>
  <r>
    <x v="10"/>
    <x v="0"/>
    <x v="10"/>
    <x v="10"/>
    <x v="0"/>
    <x v="0"/>
    <x v="0"/>
    <x v="0"/>
    <x v="0"/>
    <x v="0"/>
    <x v="0"/>
    <x v="0"/>
    <x v="2"/>
    <x v="2"/>
    <x v="2"/>
    <x v="4"/>
    <x v="4"/>
    <n v="17.914100917420399"/>
    <x v="0"/>
    <x v="0"/>
    <x v="1"/>
    <x v="3"/>
    <x v="3"/>
    <x v="4"/>
    <n v="19.526369999988237"/>
  </r>
  <r>
    <x v="10"/>
    <x v="0"/>
    <x v="10"/>
    <x v="10"/>
    <x v="0"/>
    <x v="0"/>
    <x v="0"/>
    <x v="0"/>
    <x v="0"/>
    <x v="0"/>
    <x v="0"/>
    <x v="0"/>
    <x v="2"/>
    <x v="2"/>
    <x v="2"/>
    <x v="5"/>
    <x v="5"/>
    <n v="22.219552147408098"/>
    <x v="0"/>
    <x v="0"/>
    <x v="1"/>
    <x v="1"/>
    <x v="1"/>
    <x v="5"/>
    <n v="24.21931184067483"/>
  </r>
  <r>
    <x v="10"/>
    <x v="0"/>
    <x v="10"/>
    <x v="10"/>
    <x v="0"/>
    <x v="0"/>
    <x v="0"/>
    <x v="0"/>
    <x v="0"/>
    <x v="0"/>
    <x v="0"/>
    <x v="0"/>
    <x v="2"/>
    <x v="2"/>
    <x v="2"/>
    <x v="6"/>
    <x v="6"/>
    <n v="77.373980000000003"/>
    <x v="0"/>
    <x v="0"/>
    <x v="0"/>
    <x v="0"/>
    <x v="4"/>
    <x v="6"/>
    <n v="84.337638200000015"/>
  </r>
  <r>
    <x v="10"/>
    <x v="0"/>
    <x v="10"/>
    <x v="10"/>
    <x v="0"/>
    <x v="0"/>
    <x v="0"/>
    <x v="0"/>
    <x v="0"/>
    <x v="0"/>
    <x v="0"/>
    <x v="0"/>
    <x v="2"/>
    <x v="2"/>
    <x v="2"/>
    <x v="7"/>
    <x v="7"/>
    <n v="1.3092385321093101"/>
    <x v="0"/>
    <x v="0"/>
    <x v="1"/>
    <x v="4"/>
    <x v="5"/>
    <x v="7"/>
    <n v="1.4270699999991481"/>
  </r>
  <r>
    <x v="10"/>
    <x v="0"/>
    <x v="10"/>
    <x v="10"/>
    <x v="0"/>
    <x v="0"/>
    <x v="0"/>
    <x v="0"/>
    <x v="0"/>
    <x v="0"/>
    <x v="0"/>
    <x v="0"/>
    <x v="2"/>
    <x v="2"/>
    <x v="2"/>
    <x v="8"/>
    <x v="8"/>
    <n v="42.802880300298497"/>
    <x v="0"/>
    <x v="1"/>
    <x v="2"/>
    <x v="2"/>
    <x v="6"/>
    <x v="8"/>
    <n v="46.655139527325368"/>
  </r>
  <r>
    <x v="10"/>
    <x v="0"/>
    <x v="10"/>
    <x v="10"/>
    <x v="0"/>
    <x v="0"/>
    <x v="0"/>
    <x v="0"/>
    <x v="0"/>
    <x v="0"/>
    <x v="0"/>
    <x v="0"/>
    <x v="2"/>
    <x v="2"/>
    <x v="2"/>
    <x v="9"/>
    <x v="9"/>
    <n v="30.308247706403801"/>
    <x v="0"/>
    <x v="0"/>
    <x v="1"/>
    <x v="4"/>
    <x v="5"/>
    <x v="9"/>
    <n v="33.035989999980146"/>
  </r>
  <r>
    <x v="10"/>
    <x v="0"/>
    <x v="10"/>
    <x v="10"/>
    <x v="0"/>
    <x v="0"/>
    <x v="0"/>
    <x v="0"/>
    <x v="0"/>
    <x v="0"/>
    <x v="0"/>
    <x v="0"/>
    <x v="2"/>
    <x v="2"/>
    <x v="2"/>
    <x v="28"/>
    <x v="28"/>
    <n v="1.92045"/>
    <x v="0"/>
    <x v="0"/>
    <x v="1"/>
    <x v="3"/>
    <x v="3"/>
    <x v="13"/>
    <n v="2.0932905000000002"/>
  </r>
  <r>
    <x v="10"/>
    <x v="0"/>
    <x v="10"/>
    <x v="10"/>
    <x v="0"/>
    <x v="0"/>
    <x v="0"/>
    <x v="0"/>
    <x v="0"/>
    <x v="0"/>
    <x v="0"/>
    <x v="0"/>
    <x v="2"/>
    <x v="2"/>
    <x v="2"/>
    <x v="30"/>
    <x v="30"/>
    <n v="20.5154233870147"/>
    <x v="0"/>
    <x v="0"/>
    <x v="0"/>
    <x v="0"/>
    <x v="0"/>
    <x v="0"/>
    <n v="22.361811491846023"/>
  </r>
  <r>
    <x v="10"/>
    <x v="0"/>
    <x v="10"/>
    <x v="10"/>
    <x v="0"/>
    <x v="0"/>
    <x v="0"/>
    <x v="0"/>
    <x v="0"/>
    <x v="0"/>
    <x v="0"/>
    <x v="0"/>
    <x v="2"/>
    <x v="2"/>
    <x v="2"/>
    <x v="80"/>
    <x v="80"/>
    <n v="0.53986238532078001"/>
    <x v="0"/>
    <x v="0"/>
    <x v="1"/>
    <x v="4"/>
    <x v="5"/>
    <x v="10"/>
    <n v="0.58844999999965031"/>
  </r>
  <r>
    <x v="10"/>
    <x v="0"/>
    <x v="10"/>
    <x v="10"/>
    <x v="0"/>
    <x v="0"/>
    <x v="0"/>
    <x v="0"/>
    <x v="0"/>
    <x v="0"/>
    <x v="0"/>
    <x v="0"/>
    <x v="2"/>
    <x v="2"/>
    <x v="2"/>
    <x v="11"/>
    <x v="11"/>
    <n v="20.10643"/>
    <x v="0"/>
    <x v="0"/>
    <x v="3"/>
    <x v="5"/>
    <x v="7"/>
    <x v="11"/>
    <n v="21.916008700000003"/>
  </r>
  <r>
    <x v="10"/>
    <x v="0"/>
    <x v="10"/>
    <x v="10"/>
    <x v="0"/>
    <x v="0"/>
    <x v="0"/>
    <x v="0"/>
    <x v="0"/>
    <x v="0"/>
    <x v="0"/>
    <x v="0"/>
    <x v="2"/>
    <x v="2"/>
    <x v="2"/>
    <x v="88"/>
    <x v="88"/>
    <n v="1.981651376146E-2"/>
    <x v="0"/>
    <x v="0"/>
    <x v="1"/>
    <x v="4"/>
    <x v="5"/>
    <x v="9"/>
    <n v="2.15999999999914E-2"/>
  </r>
  <r>
    <x v="10"/>
    <x v="0"/>
    <x v="10"/>
    <x v="10"/>
    <x v="0"/>
    <x v="0"/>
    <x v="0"/>
    <x v="0"/>
    <x v="0"/>
    <x v="0"/>
    <x v="0"/>
    <x v="0"/>
    <x v="2"/>
    <x v="2"/>
    <x v="2"/>
    <x v="12"/>
    <x v="12"/>
    <n v="221.280697673578"/>
    <x v="0"/>
    <x v="0"/>
    <x v="0"/>
    <x v="0"/>
    <x v="8"/>
    <x v="12"/>
    <n v="241.19596046420006"/>
  </r>
  <r>
    <x v="10"/>
    <x v="0"/>
    <x v="10"/>
    <x v="10"/>
    <x v="0"/>
    <x v="0"/>
    <x v="0"/>
    <x v="0"/>
    <x v="0"/>
    <x v="0"/>
    <x v="0"/>
    <x v="0"/>
    <x v="2"/>
    <x v="2"/>
    <x v="2"/>
    <x v="32"/>
    <x v="32"/>
    <n v="6.8891028367237404"/>
    <x v="0"/>
    <x v="0"/>
    <x v="1"/>
    <x v="1"/>
    <x v="1"/>
    <x v="20"/>
    <n v="7.5091220920288775"/>
  </r>
  <r>
    <x v="10"/>
    <x v="0"/>
    <x v="10"/>
    <x v="10"/>
    <x v="0"/>
    <x v="0"/>
    <x v="0"/>
    <x v="0"/>
    <x v="0"/>
    <x v="0"/>
    <x v="0"/>
    <x v="0"/>
    <x v="2"/>
    <x v="2"/>
    <x v="2"/>
    <x v="14"/>
    <x v="14"/>
    <n v="73.623199999999997"/>
    <x v="0"/>
    <x v="0"/>
    <x v="0"/>
    <x v="0"/>
    <x v="8"/>
    <x v="14"/>
    <n v="80.249288000000007"/>
  </r>
  <r>
    <x v="10"/>
    <x v="0"/>
    <x v="10"/>
    <x v="10"/>
    <x v="0"/>
    <x v="0"/>
    <x v="0"/>
    <x v="0"/>
    <x v="0"/>
    <x v="0"/>
    <x v="0"/>
    <x v="0"/>
    <x v="2"/>
    <x v="2"/>
    <x v="2"/>
    <x v="22"/>
    <x v="22"/>
    <n v="1.24383467741438"/>
    <x v="0"/>
    <x v="0"/>
    <x v="0"/>
    <x v="0"/>
    <x v="0"/>
    <x v="0"/>
    <n v="1.3557797983816744"/>
  </r>
  <r>
    <x v="10"/>
    <x v="0"/>
    <x v="10"/>
    <x v="10"/>
    <x v="0"/>
    <x v="0"/>
    <x v="0"/>
    <x v="0"/>
    <x v="0"/>
    <x v="0"/>
    <x v="0"/>
    <x v="0"/>
    <x v="2"/>
    <x v="2"/>
    <x v="2"/>
    <x v="16"/>
    <x v="16"/>
    <n v="125.89572"/>
    <x v="0"/>
    <x v="0"/>
    <x v="3"/>
    <x v="5"/>
    <x v="9"/>
    <x v="16"/>
    <n v="137.22633480000002"/>
  </r>
  <r>
    <x v="10"/>
    <x v="0"/>
    <x v="10"/>
    <x v="10"/>
    <x v="0"/>
    <x v="0"/>
    <x v="0"/>
    <x v="0"/>
    <x v="0"/>
    <x v="0"/>
    <x v="0"/>
    <x v="0"/>
    <x v="2"/>
    <x v="2"/>
    <x v="2"/>
    <x v="24"/>
    <x v="24"/>
    <n v="7.0520091743076998"/>
    <x v="0"/>
    <x v="0"/>
    <x v="1"/>
    <x v="3"/>
    <x v="3"/>
    <x v="4"/>
    <n v="7.6866899999953935"/>
  </r>
  <r>
    <x v="10"/>
    <x v="0"/>
    <x v="10"/>
    <x v="10"/>
    <x v="0"/>
    <x v="0"/>
    <x v="0"/>
    <x v="0"/>
    <x v="0"/>
    <x v="0"/>
    <x v="0"/>
    <x v="0"/>
    <x v="2"/>
    <x v="2"/>
    <x v="2"/>
    <x v="17"/>
    <x v="17"/>
    <n v="24.739339999999999"/>
    <x v="0"/>
    <x v="0"/>
    <x v="0"/>
    <x v="0"/>
    <x v="4"/>
    <x v="17"/>
    <n v="26.965880600000002"/>
  </r>
  <r>
    <x v="10"/>
    <x v="0"/>
    <x v="10"/>
    <x v="10"/>
    <x v="0"/>
    <x v="0"/>
    <x v="0"/>
    <x v="0"/>
    <x v="0"/>
    <x v="0"/>
    <x v="0"/>
    <x v="0"/>
    <x v="2"/>
    <x v="2"/>
    <x v="2"/>
    <x v="18"/>
    <x v="18"/>
    <n v="140.54938000000001"/>
    <x v="0"/>
    <x v="0"/>
    <x v="0"/>
    <x v="0"/>
    <x v="4"/>
    <x v="18"/>
    <n v="153.19882420000002"/>
  </r>
  <r>
    <x v="10"/>
    <x v="0"/>
    <x v="10"/>
    <x v="10"/>
    <x v="0"/>
    <x v="0"/>
    <x v="0"/>
    <x v="0"/>
    <x v="0"/>
    <x v="0"/>
    <x v="0"/>
    <x v="0"/>
    <x v="2"/>
    <x v="2"/>
    <x v="2"/>
    <x v="34"/>
    <x v="34"/>
    <n v="9.4207100435079703"/>
    <x v="0"/>
    <x v="0"/>
    <x v="0"/>
    <x v="0"/>
    <x v="0"/>
    <x v="0"/>
    <n v="10.268573947423688"/>
  </r>
  <r>
    <x v="10"/>
    <x v="0"/>
    <x v="10"/>
    <x v="10"/>
    <x v="0"/>
    <x v="0"/>
    <x v="0"/>
    <x v="0"/>
    <x v="0"/>
    <x v="0"/>
    <x v="0"/>
    <x v="0"/>
    <x v="2"/>
    <x v="2"/>
    <x v="2"/>
    <x v="25"/>
    <x v="25"/>
    <n v="2.9467706422000699"/>
    <x v="0"/>
    <x v="0"/>
    <x v="1"/>
    <x v="4"/>
    <x v="5"/>
    <x v="9"/>
    <n v="3.2119799999980763"/>
  </r>
  <r>
    <x v="10"/>
    <x v="0"/>
    <x v="10"/>
    <x v="10"/>
    <x v="0"/>
    <x v="0"/>
    <x v="0"/>
    <x v="0"/>
    <x v="0"/>
    <x v="0"/>
    <x v="0"/>
    <x v="0"/>
    <x v="2"/>
    <x v="2"/>
    <x v="2"/>
    <x v="27"/>
    <x v="27"/>
    <n v="35.813479730489"/>
    <x v="0"/>
    <x v="0"/>
    <x v="1"/>
    <x v="3"/>
    <x v="3"/>
    <x v="19"/>
    <n v="39.036692906233014"/>
  </r>
  <r>
    <x v="10"/>
    <x v="0"/>
    <x v="10"/>
    <x v="10"/>
    <x v="0"/>
    <x v="0"/>
    <x v="0"/>
    <x v="0"/>
    <x v="0"/>
    <x v="0"/>
    <x v="0"/>
    <x v="0"/>
    <x v="2"/>
    <x v="2"/>
    <x v="2"/>
    <x v="26"/>
    <x v="26"/>
    <n v="3.1896605504568001"/>
    <x v="0"/>
    <x v="0"/>
    <x v="1"/>
    <x v="3"/>
    <x v="3"/>
    <x v="15"/>
    <n v="3.4767299999979122"/>
  </r>
  <r>
    <x v="10"/>
    <x v="0"/>
    <x v="10"/>
    <x v="10"/>
    <x v="0"/>
    <x v="0"/>
    <x v="0"/>
    <x v="0"/>
    <x v="0"/>
    <x v="0"/>
    <x v="0"/>
    <x v="0"/>
    <x v="2"/>
    <x v="2"/>
    <x v="2"/>
    <x v="0"/>
    <x v="0"/>
    <n v="5.0206281138649498"/>
    <x v="0"/>
    <x v="0"/>
    <x v="0"/>
    <x v="0"/>
    <x v="0"/>
    <x v="0"/>
    <n v="5.4724846441127957"/>
  </r>
  <r>
    <x v="10"/>
    <x v="0"/>
    <x v="10"/>
    <x v="10"/>
    <x v="0"/>
    <x v="0"/>
    <x v="0"/>
    <x v="0"/>
    <x v="0"/>
    <x v="0"/>
    <x v="0"/>
    <x v="0"/>
    <x v="2"/>
    <x v="2"/>
    <x v="2"/>
    <x v="1"/>
    <x v="1"/>
    <n v="16.452724137840502"/>
    <x v="0"/>
    <x v="0"/>
    <x v="1"/>
    <x v="1"/>
    <x v="1"/>
    <x v="1"/>
    <n v="17.933469310246149"/>
  </r>
  <r>
    <x v="10"/>
    <x v="0"/>
    <x v="10"/>
    <x v="10"/>
    <x v="0"/>
    <x v="0"/>
    <x v="0"/>
    <x v="0"/>
    <x v="0"/>
    <x v="0"/>
    <x v="0"/>
    <x v="0"/>
    <x v="2"/>
    <x v="2"/>
    <x v="2"/>
    <x v="20"/>
    <x v="20"/>
    <n v="75.571709999999996"/>
    <x v="0"/>
    <x v="0"/>
    <x v="1"/>
    <x v="3"/>
    <x v="3"/>
    <x v="13"/>
    <n v="82.373163900000009"/>
  </r>
  <r>
    <x v="10"/>
    <x v="0"/>
    <x v="10"/>
    <x v="10"/>
    <x v="0"/>
    <x v="0"/>
    <x v="0"/>
    <x v="0"/>
    <x v="0"/>
    <x v="0"/>
    <x v="0"/>
    <x v="0"/>
    <x v="2"/>
    <x v="2"/>
    <x v="2"/>
    <x v="2"/>
    <x v="2"/>
    <n v="105.987889908193"/>
    <x v="0"/>
    <x v="1"/>
    <x v="2"/>
    <x v="2"/>
    <x v="13"/>
    <x v="2"/>
    <n v="115.52679999993038"/>
  </r>
  <r>
    <x v="10"/>
    <x v="0"/>
    <x v="10"/>
    <x v="10"/>
    <x v="0"/>
    <x v="0"/>
    <x v="0"/>
    <x v="0"/>
    <x v="0"/>
    <x v="0"/>
    <x v="0"/>
    <x v="0"/>
    <x v="2"/>
    <x v="2"/>
    <x v="2"/>
    <x v="3"/>
    <x v="3"/>
    <n v="19.1339513927708"/>
    <x v="0"/>
    <x v="0"/>
    <x v="1"/>
    <x v="3"/>
    <x v="3"/>
    <x v="3"/>
    <n v="20.856007018120174"/>
  </r>
  <r>
    <x v="10"/>
    <x v="0"/>
    <x v="10"/>
    <x v="10"/>
    <x v="0"/>
    <x v="0"/>
    <x v="0"/>
    <x v="0"/>
    <x v="0"/>
    <x v="0"/>
    <x v="0"/>
    <x v="0"/>
    <x v="1"/>
    <x v="6"/>
    <x v="6"/>
    <x v="6"/>
    <x v="6"/>
    <n v="22.132000000000001"/>
    <x v="0"/>
    <x v="0"/>
    <x v="0"/>
    <x v="0"/>
    <x v="4"/>
    <x v="6"/>
    <n v="24.123880000000003"/>
  </r>
  <r>
    <x v="10"/>
    <x v="0"/>
    <x v="10"/>
    <x v="10"/>
    <x v="0"/>
    <x v="0"/>
    <x v="0"/>
    <x v="0"/>
    <x v="0"/>
    <x v="0"/>
    <x v="0"/>
    <x v="0"/>
    <x v="1"/>
    <x v="6"/>
    <x v="6"/>
    <x v="7"/>
    <x v="7"/>
    <n v="4.4036697247680001"/>
    <x v="0"/>
    <x v="0"/>
    <x v="1"/>
    <x v="4"/>
    <x v="5"/>
    <x v="7"/>
    <n v="4.7999999999971203"/>
  </r>
  <r>
    <x v="10"/>
    <x v="0"/>
    <x v="10"/>
    <x v="10"/>
    <x v="0"/>
    <x v="0"/>
    <x v="0"/>
    <x v="0"/>
    <x v="0"/>
    <x v="0"/>
    <x v="0"/>
    <x v="0"/>
    <x v="1"/>
    <x v="6"/>
    <x v="6"/>
    <x v="8"/>
    <x v="8"/>
    <n v="24.562837837995001"/>
    <x v="0"/>
    <x v="1"/>
    <x v="2"/>
    <x v="2"/>
    <x v="6"/>
    <x v="8"/>
    <n v="26.773493243414553"/>
  </r>
  <r>
    <x v="10"/>
    <x v="0"/>
    <x v="10"/>
    <x v="10"/>
    <x v="0"/>
    <x v="0"/>
    <x v="0"/>
    <x v="0"/>
    <x v="0"/>
    <x v="0"/>
    <x v="0"/>
    <x v="0"/>
    <x v="1"/>
    <x v="6"/>
    <x v="6"/>
    <x v="9"/>
    <x v="9"/>
    <n v="57.515779816479302"/>
    <x v="0"/>
    <x v="0"/>
    <x v="1"/>
    <x v="4"/>
    <x v="5"/>
    <x v="9"/>
    <n v="62.69219999996244"/>
  </r>
  <r>
    <x v="10"/>
    <x v="0"/>
    <x v="10"/>
    <x v="10"/>
    <x v="0"/>
    <x v="0"/>
    <x v="0"/>
    <x v="0"/>
    <x v="0"/>
    <x v="0"/>
    <x v="0"/>
    <x v="0"/>
    <x v="1"/>
    <x v="6"/>
    <x v="6"/>
    <x v="12"/>
    <x v="12"/>
    <n v="305.616546510467"/>
    <x v="0"/>
    <x v="0"/>
    <x v="0"/>
    <x v="0"/>
    <x v="8"/>
    <x v="12"/>
    <n v="333.12203569640906"/>
  </r>
  <r>
    <x v="10"/>
    <x v="0"/>
    <x v="10"/>
    <x v="10"/>
    <x v="0"/>
    <x v="0"/>
    <x v="0"/>
    <x v="0"/>
    <x v="0"/>
    <x v="0"/>
    <x v="0"/>
    <x v="0"/>
    <x v="1"/>
    <x v="6"/>
    <x v="6"/>
    <x v="14"/>
    <x v="14"/>
    <n v="9.3725199999999997"/>
    <x v="0"/>
    <x v="0"/>
    <x v="0"/>
    <x v="0"/>
    <x v="8"/>
    <x v="14"/>
    <n v="10.216046800000001"/>
  </r>
  <r>
    <x v="10"/>
    <x v="0"/>
    <x v="10"/>
    <x v="10"/>
    <x v="0"/>
    <x v="0"/>
    <x v="0"/>
    <x v="0"/>
    <x v="0"/>
    <x v="0"/>
    <x v="0"/>
    <x v="0"/>
    <x v="1"/>
    <x v="6"/>
    <x v="6"/>
    <x v="16"/>
    <x v="16"/>
    <n v="1E-3"/>
    <x v="0"/>
    <x v="0"/>
    <x v="3"/>
    <x v="5"/>
    <x v="9"/>
    <x v="16"/>
    <n v="1.09E-3"/>
  </r>
  <r>
    <x v="10"/>
    <x v="0"/>
    <x v="10"/>
    <x v="10"/>
    <x v="0"/>
    <x v="0"/>
    <x v="0"/>
    <x v="0"/>
    <x v="0"/>
    <x v="0"/>
    <x v="0"/>
    <x v="0"/>
    <x v="1"/>
    <x v="6"/>
    <x v="6"/>
    <x v="17"/>
    <x v="17"/>
    <n v="10.50548"/>
    <x v="0"/>
    <x v="0"/>
    <x v="0"/>
    <x v="0"/>
    <x v="4"/>
    <x v="17"/>
    <n v="11.450973200000002"/>
  </r>
  <r>
    <x v="10"/>
    <x v="0"/>
    <x v="10"/>
    <x v="10"/>
    <x v="0"/>
    <x v="0"/>
    <x v="0"/>
    <x v="0"/>
    <x v="0"/>
    <x v="0"/>
    <x v="0"/>
    <x v="0"/>
    <x v="1"/>
    <x v="6"/>
    <x v="6"/>
    <x v="27"/>
    <x v="27"/>
    <n v="10.139324324539301"/>
    <x v="0"/>
    <x v="0"/>
    <x v="1"/>
    <x v="3"/>
    <x v="3"/>
    <x v="19"/>
    <n v="11.051863513747838"/>
  </r>
  <r>
    <x v="10"/>
    <x v="0"/>
    <x v="10"/>
    <x v="10"/>
    <x v="0"/>
    <x v="0"/>
    <x v="0"/>
    <x v="0"/>
    <x v="0"/>
    <x v="0"/>
    <x v="0"/>
    <x v="0"/>
    <x v="1"/>
    <x v="6"/>
    <x v="6"/>
    <x v="26"/>
    <x v="26"/>
    <n v="13.320045871551599"/>
    <x v="0"/>
    <x v="0"/>
    <x v="1"/>
    <x v="3"/>
    <x v="3"/>
    <x v="15"/>
    <n v="14.518849999991245"/>
  </r>
  <r>
    <x v="10"/>
    <x v="0"/>
    <x v="10"/>
    <x v="10"/>
    <x v="0"/>
    <x v="0"/>
    <x v="0"/>
    <x v="0"/>
    <x v="0"/>
    <x v="0"/>
    <x v="0"/>
    <x v="0"/>
    <x v="1"/>
    <x v="6"/>
    <x v="6"/>
    <x v="2"/>
    <x v="2"/>
    <n v="832.50605504537202"/>
    <x v="0"/>
    <x v="1"/>
    <x v="2"/>
    <x v="2"/>
    <x v="13"/>
    <x v="2"/>
    <n v="907.43159999945556"/>
  </r>
  <r>
    <x v="10"/>
    <x v="0"/>
    <x v="10"/>
    <x v="10"/>
    <x v="0"/>
    <x v="0"/>
    <x v="0"/>
    <x v="0"/>
    <x v="0"/>
    <x v="0"/>
    <x v="0"/>
    <x v="0"/>
    <x v="3"/>
    <x v="7"/>
    <x v="7"/>
    <x v="6"/>
    <x v="6"/>
    <n v="6.0403799999999999"/>
    <x v="0"/>
    <x v="0"/>
    <x v="0"/>
    <x v="0"/>
    <x v="4"/>
    <x v="6"/>
    <n v="6.5840142000000004"/>
  </r>
  <r>
    <x v="10"/>
    <x v="0"/>
    <x v="10"/>
    <x v="10"/>
    <x v="0"/>
    <x v="0"/>
    <x v="0"/>
    <x v="0"/>
    <x v="0"/>
    <x v="0"/>
    <x v="0"/>
    <x v="0"/>
    <x v="3"/>
    <x v="7"/>
    <x v="7"/>
    <x v="9"/>
    <x v="9"/>
    <n v="39.296208884485701"/>
    <x v="0"/>
    <x v="0"/>
    <x v="1"/>
    <x v="4"/>
    <x v="5"/>
    <x v="9"/>
    <n v="42.832867684089415"/>
  </r>
  <r>
    <x v="10"/>
    <x v="0"/>
    <x v="10"/>
    <x v="10"/>
    <x v="0"/>
    <x v="0"/>
    <x v="0"/>
    <x v="0"/>
    <x v="0"/>
    <x v="0"/>
    <x v="0"/>
    <x v="0"/>
    <x v="3"/>
    <x v="7"/>
    <x v="7"/>
    <x v="10"/>
    <x v="10"/>
    <n v="3.0986277808512002"/>
    <x v="0"/>
    <x v="0"/>
    <x v="1"/>
    <x v="4"/>
    <x v="5"/>
    <x v="10"/>
    <n v="3.3775042811278082"/>
  </r>
  <r>
    <x v="10"/>
    <x v="0"/>
    <x v="10"/>
    <x v="10"/>
    <x v="0"/>
    <x v="0"/>
    <x v="0"/>
    <x v="0"/>
    <x v="0"/>
    <x v="0"/>
    <x v="0"/>
    <x v="0"/>
    <x v="3"/>
    <x v="7"/>
    <x v="7"/>
    <x v="11"/>
    <x v="11"/>
    <n v="8.26023"/>
    <x v="0"/>
    <x v="0"/>
    <x v="3"/>
    <x v="5"/>
    <x v="7"/>
    <x v="11"/>
    <n v="9.0036507000000015"/>
  </r>
  <r>
    <x v="10"/>
    <x v="0"/>
    <x v="10"/>
    <x v="10"/>
    <x v="0"/>
    <x v="0"/>
    <x v="0"/>
    <x v="0"/>
    <x v="0"/>
    <x v="0"/>
    <x v="0"/>
    <x v="0"/>
    <x v="3"/>
    <x v="7"/>
    <x v="7"/>
    <x v="36"/>
    <x v="36"/>
    <n v="10.479853211002901"/>
    <x v="0"/>
    <x v="0"/>
    <x v="1"/>
    <x v="3"/>
    <x v="3"/>
    <x v="4"/>
    <n v="11.423039999993163"/>
  </r>
  <r>
    <x v="10"/>
    <x v="0"/>
    <x v="10"/>
    <x v="10"/>
    <x v="0"/>
    <x v="0"/>
    <x v="0"/>
    <x v="0"/>
    <x v="0"/>
    <x v="0"/>
    <x v="0"/>
    <x v="0"/>
    <x v="3"/>
    <x v="7"/>
    <x v="7"/>
    <x v="24"/>
    <x v="24"/>
    <n v="6.9462201834820698"/>
    <x v="0"/>
    <x v="0"/>
    <x v="1"/>
    <x v="3"/>
    <x v="3"/>
    <x v="4"/>
    <n v="7.5713799999954565"/>
  </r>
  <r>
    <x v="10"/>
    <x v="0"/>
    <x v="10"/>
    <x v="10"/>
    <x v="0"/>
    <x v="0"/>
    <x v="0"/>
    <x v="0"/>
    <x v="0"/>
    <x v="0"/>
    <x v="0"/>
    <x v="0"/>
    <x v="3"/>
    <x v="7"/>
    <x v="7"/>
    <x v="17"/>
    <x v="17"/>
    <n v="48.512369999999997"/>
    <x v="0"/>
    <x v="0"/>
    <x v="0"/>
    <x v="0"/>
    <x v="4"/>
    <x v="17"/>
    <n v="52.878483299999999"/>
  </r>
  <r>
    <x v="10"/>
    <x v="0"/>
    <x v="10"/>
    <x v="10"/>
    <x v="0"/>
    <x v="0"/>
    <x v="0"/>
    <x v="0"/>
    <x v="0"/>
    <x v="0"/>
    <x v="0"/>
    <x v="0"/>
    <x v="3"/>
    <x v="7"/>
    <x v="7"/>
    <x v="18"/>
    <x v="18"/>
    <n v="3.5514000000000001"/>
    <x v="0"/>
    <x v="0"/>
    <x v="0"/>
    <x v="0"/>
    <x v="4"/>
    <x v="18"/>
    <n v="3.8710260000000005"/>
  </r>
  <r>
    <x v="10"/>
    <x v="0"/>
    <x v="10"/>
    <x v="10"/>
    <x v="0"/>
    <x v="0"/>
    <x v="0"/>
    <x v="0"/>
    <x v="0"/>
    <x v="0"/>
    <x v="0"/>
    <x v="0"/>
    <x v="3"/>
    <x v="7"/>
    <x v="7"/>
    <x v="34"/>
    <x v="34"/>
    <n v="2.44236419209822"/>
    <x v="0"/>
    <x v="0"/>
    <x v="0"/>
    <x v="0"/>
    <x v="0"/>
    <x v="0"/>
    <n v="2.6621769693870601"/>
  </r>
  <r>
    <x v="10"/>
    <x v="0"/>
    <x v="10"/>
    <x v="10"/>
    <x v="0"/>
    <x v="0"/>
    <x v="0"/>
    <x v="0"/>
    <x v="0"/>
    <x v="0"/>
    <x v="0"/>
    <x v="0"/>
    <x v="3"/>
    <x v="7"/>
    <x v="7"/>
    <x v="26"/>
    <x v="26"/>
    <n v="12.2608532110018"/>
    <x v="0"/>
    <x v="0"/>
    <x v="1"/>
    <x v="3"/>
    <x v="3"/>
    <x v="15"/>
    <n v="13.364329999991963"/>
  </r>
  <r>
    <x v="10"/>
    <x v="0"/>
    <x v="10"/>
    <x v="10"/>
    <x v="0"/>
    <x v="0"/>
    <x v="0"/>
    <x v="0"/>
    <x v="0"/>
    <x v="0"/>
    <x v="0"/>
    <x v="0"/>
    <x v="1"/>
    <x v="8"/>
    <x v="8"/>
    <x v="6"/>
    <x v="6"/>
    <n v="5.8914"/>
    <x v="0"/>
    <x v="0"/>
    <x v="0"/>
    <x v="0"/>
    <x v="4"/>
    <x v="6"/>
    <n v="6.4216260000000007"/>
  </r>
  <r>
    <x v="10"/>
    <x v="0"/>
    <x v="10"/>
    <x v="10"/>
    <x v="0"/>
    <x v="0"/>
    <x v="0"/>
    <x v="0"/>
    <x v="0"/>
    <x v="0"/>
    <x v="0"/>
    <x v="0"/>
    <x v="1"/>
    <x v="8"/>
    <x v="8"/>
    <x v="8"/>
    <x v="8"/>
    <n v="16.5657027028087"/>
    <x v="0"/>
    <x v="1"/>
    <x v="2"/>
    <x v="2"/>
    <x v="6"/>
    <x v="8"/>
    <n v="18.056615946061484"/>
  </r>
  <r>
    <x v="10"/>
    <x v="0"/>
    <x v="10"/>
    <x v="10"/>
    <x v="0"/>
    <x v="0"/>
    <x v="0"/>
    <x v="0"/>
    <x v="0"/>
    <x v="0"/>
    <x v="0"/>
    <x v="0"/>
    <x v="1"/>
    <x v="8"/>
    <x v="8"/>
    <x v="9"/>
    <x v="9"/>
    <n v="27.233274630061299"/>
    <x v="0"/>
    <x v="0"/>
    <x v="1"/>
    <x v="4"/>
    <x v="5"/>
    <x v="9"/>
    <n v="29.684269346766818"/>
  </r>
  <r>
    <x v="10"/>
    <x v="0"/>
    <x v="10"/>
    <x v="10"/>
    <x v="0"/>
    <x v="0"/>
    <x v="0"/>
    <x v="0"/>
    <x v="0"/>
    <x v="0"/>
    <x v="0"/>
    <x v="0"/>
    <x v="1"/>
    <x v="8"/>
    <x v="8"/>
    <x v="10"/>
    <x v="10"/>
    <n v="4.3139638564659197"/>
    <x v="0"/>
    <x v="0"/>
    <x v="1"/>
    <x v="4"/>
    <x v="5"/>
    <x v="10"/>
    <n v="4.7022206035478531"/>
  </r>
  <r>
    <x v="10"/>
    <x v="0"/>
    <x v="10"/>
    <x v="10"/>
    <x v="0"/>
    <x v="0"/>
    <x v="0"/>
    <x v="0"/>
    <x v="0"/>
    <x v="0"/>
    <x v="0"/>
    <x v="0"/>
    <x v="1"/>
    <x v="8"/>
    <x v="8"/>
    <x v="11"/>
    <x v="11"/>
    <n v="0.58657999999999999"/>
    <x v="0"/>
    <x v="0"/>
    <x v="3"/>
    <x v="5"/>
    <x v="7"/>
    <x v="11"/>
    <n v="0.63937220000000006"/>
  </r>
  <r>
    <x v="10"/>
    <x v="0"/>
    <x v="10"/>
    <x v="10"/>
    <x v="0"/>
    <x v="0"/>
    <x v="0"/>
    <x v="0"/>
    <x v="0"/>
    <x v="0"/>
    <x v="0"/>
    <x v="0"/>
    <x v="1"/>
    <x v="8"/>
    <x v="8"/>
    <x v="36"/>
    <x v="36"/>
    <n v="0.47261467889879999"/>
    <x v="0"/>
    <x v="0"/>
    <x v="1"/>
    <x v="3"/>
    <x v="3"/>
    <x v="4"/>
    <n v="0.51514999999969202"/>
  </r>
  <r>
    <x v="10"/>
    <x v="0"/>
    <x v="10"/>
    <x v="10"/>
    <x v="0"/>
    <x v="0"/>
    <x v="0"/>
    <x v="0"/>
    <x v="0"/>
    <x v="0"/>
    <x v="0"/>
    <x v="0"/>
    <x v="1"/>
    <x v="8"/>
    <x v="8"/>
    <x v="24"/>
    <x v="24"/>
    <n v="8.7573853210956596"/>
    <x v="0"/>
    <x v="0"/>
    <x v="1"/>
    <x v="3"/>
    <x v="3"/>
    <x v="4"/>
    <n v="9.5455499999942699"/>
  </r>
  <r>
    <x v="10"/>
    <x v="0"/>
    <x v="10"/>
    <x v="10"/>
    <x v="0"/>
    <x v="0"/>
    <x v="0"/>
    <x v="0"/>
    <x v="0"/>
    <x v="0"/>
    <x v="0"/>
    <x v="0"/>
    <x v="1"/>
    <x v="8"/>
    <x v="8"/>
    <x v="17"/>
    <x v="17"/>
    <n v="2.8986000000000001"/>
    <x v="0"/>
    <x v="0"/>
    <x v="0"/>
    <x v="0"/>
    <x v="4"/>
    <x v="17"/>
    <n v="3.1594740000000003"/>
  </r>
  <r>
    <x v="10"/>
    <x v="0"/>
    <x v="10"/>
    <x v="10"/>
    <x v="0"/>
    <x v="0"/>
    <x v="0"/>
    <x v="0"/>
    <x v="0"/>
    <x v="0"/>
    <x v="0"/>
    <x v="0"/>
    <x v="1"/>
    <x v="8"/>
    <x v="8"/>
    <x v="21"/>
    <x v="21"/>
    <n v="0.69699999999957996"/>
    <x v="0"/>
    <x v="0"/>
    <x v="1"/>
    <x v="4"/>
    <x v="5"/>
    <x v="10"/>
    <n v="0.75972999999954216"/>
  </r>
  <r>
    <x v="10"/>
    <x v="0"/>
    <x v="10"/>
    <x v="10"/>
    <x v="0"/>
    <x v="0"/>
    <x v="0"/>
    <x v="0"/>
    <x v="0"/>
    <x v="0"/>
    <x v="0"/>
    <x v="0"/>
    <x v="1"/>
    <x v="8"/>
    <x v="8"/>
    <x v="18"/>
    <x v="18"/>
    <n v="2.3966400000000001"/>
    <x v="0"/>
    <x v="0"/>
    <x v="0"/>
    <x v="0"/>
    <x v="4"/>
    <x v="18"/>
    <n v="2.6123376000000005"/>
  </r>
  <r>
    <x v="10"/>
    <x v="0"/>
    <x v="10"/>
    <x v="10"/>
    <x v="0"/>
    <x v="0"/>
    <x v="0"/>
    <x v="0"/>
    <x v="0"/>
    <x v="0"/>
    <x v="0"/>
    <x v="0"/>
    <x v="1"/>
    <x v="8"/>
    <x v="8"/>
    <x v="34"/>
    <x v="34"/>
    <n v="0.34285676855311997"/>
    <x v="0"/>
    <x v="0"/>
    <x v="0"/>
    <x v="0"/>
    <x v="0"/>
    <x v="0"/>
    <n v="0.37371387772290082"/>
  </r>
  <r>
    <x v="10"/>
    <x v="0"/>
    <x v="10"/>
    <x v="10"/>
    <x v="0"/>
    <x v="0"/>
    <x v="0"/>
    <x v="0"/>
    <x v="0"/>
    <x v="0"/>
    <x v="0"/>
    <x v="0"/>
    <x v="1"/>
    <x v="8"/>
    <x v="8"/>
    <x v="37"/>
    <x v="37"/>
    <n v="5.1266055045840799"/>
    <x v="0"/>
    <x v="0"/>
    <x v="1"/>
    <x v="3"/>
    <x v="3"/>
    <x v="4"/>
    <n v="5.5879999999966472"/>
  </r>
  <r>
    <x v="10"/>
    <x v="0"/>
    <x v="10"/>
    <x v="10"/>
    <x v="0"/>
    <x v="0"/>
    <x v="0"/>
    <x v="0"/>
    <x v="0"/>
    <x v="0"/>
    <x v="0"/>
    <x v="0"/>
    <x v="1"/>
    <x v="8"/>
    <x v="8"/>
    <x v="0"/>
    <x v="0"/>
    <n v="1.25110765124205"/>
    <x v="0"/>
    <x v="0"/>
    <x v="0"/>
    <x v="0"/>
    <x v="0"/>
    <x v="0"/>
    <n v="1.3637073398538346"/>
  </r>
  <r>
    <x v="10"/>
    <x v="0"/>
    <x v="10"/>
    <x v="10"/>
    <x v="0"/>
    <x v="0"/>
    <x v="0"/>
    <x v="0"/>
    <x v="0"/>
    <x v="0"/>
    <x v="0"/>
    <x v="0"/>
    <x v="0"/>
    <x v="9"/>
    <x v="9"/>
    <x v="6"/>
    <x v="6"/>
    <n v="13.79609"/>
    <x v="0"/>
    <x v="0"/>
    <x v="0"/>
    <x v="0"/>
    <x v="4"/>
    <x v="6"/>
    <n v="15.0377381"/>
  </r>
  <r>
    <x v="10"/>
    <x v="0"/>
    <x v="10"/>
    <x v="10"/>
    <x v="0"/>
    <x v="0"/>
    <x v="0"/>
    <x v="0"/>
    <x v="0"/>
    <x v="0"/>
    <x v="0"/>
    <x v="0"/>
    <x v="0"/>
    <x v="9"/>
    <x v="9"/>
    <x v="7"/>
    <x v="7"/>
    <n v="12.9418623853133"/>
    <x v="0"/>
    <x v="0"/>
    <x v="1"/>
    <x v="4"/>
    <x v="5"/>
    <x v="7"/>
    <n v="14.106629999991497"/>
  </r>
  <r>
    <x v="10"/>
    <x v="0"/>
    <x v="10"/>
    <x v="10"/>
    <x v="0"/>
    <x v="0"/>
    <x v="0"/>
    <x v="0"/>
    <x v="0"/>
    <x v="0"/>
    <x v="0"/>
    <x v="0"/>
    <x v="0"/>
    <x v="9"/>
    <x v="9"/>
    <x v="9"/>
    <x v="9"/>
    <n v="54.114460892702901"/>
    <x v="0"/>
    <x v="0"/>
    <x v="1"/>
    <x v="4"/>
    <x v="5"/>
    <x v="9"/>
    <n v="58.984762373046166"/>
  </r>
  <r>
    <x v="10"/>
    <x v="0"/>
    <x v="10"/>
    <x v="10"/>
    <x v="0"/>
    <x v="0"/>
    <x v="0"/>
    <x v="0"/>
    <x v="0"/>
    <x v="0"/>
    <x v="0"/>
    <x v="0"/>
    <x v="0"/>
    <x v="9"/>
    <x v="9"/>
    <x v="10"/>
    <x v="10"/>
    <n v="5.532965466576"/>
    <x v="0"/>
    <x v="0"/>
    <x v="1"/>
    <x v="4"/>
    <x v="5"/>
    <x v="10"/>
    <n v="6.0309323585678403"/>
  </r>
  <r>
    <x v="10"/>
    <x v="0"/>
    <x v="10"/>
    <x v="10"/>
    <x v="0"/>
    <x v="0"/>
    <x v="0"/>
    <x v="0"/>
    <x v="0"/>
    <x v="0"/>
    <x v="0"/>
    <x v="0"/>
    <x v="0"/>
    <x v="9"/>
    <x v="9"/>
    <x v="11"/>
    <x v="11"/>
    <n v="4.86388"/>
    <x v="0"/>
    <x v="0"/>
    <x v="3"/>
    <x v="5"/>
    <x v="7"/>
    <x v="11"/>
    <n v="5.3016292000000007"/>
  </r>
  <r>
    <x v="10"/>
    <x v="0"/>
    <x v="10"/>
    <x v="10"/>
    <x v="0"/>
    <x v="0"/>
    <x v="0"/>
    <x v="0"/>
    <x v="0"/>
    <x v="0"/>
    <x v="0"/>
    <x v="0"/>
    <x v="0"/>
    <x v="9"/>
    <x v="9"/>
    <x v="12"/>
    <x v="12"/>
    <n v="1.1143372092980901"/>
    <x v="0"/>
    <x v="0"/>
    <x v="0"/>
    <x v="0"/>
    <x v="8"/>
    <x v="12"/>
    <n v="1.2146275581349184"/>
  </r>
  <r>
    <x v="10"/>
    <x v="0"/>
    <x v="10"/>
    <x v="10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0573000000000002E-3"/>
  </r>
  <r>
    <x v="10"/>
    <x v="0"/>
    <x v="10"/>
    <x v="10"/>
    <x v="0"/>
    <x v="0"/>
    <x v="0"/>
    <x v="0"/>
    <x v="0"/>
    <x v="0"/>
    <x v="0"/>
    <x v="0"/>
    <x v="0"/>
    <x v="9"/>
    <x v="9"/>
    <x v="36"/>
    <x v="36"/>
    <n v="1.72993577981548"/>
    <x v="0"/>
    <x v="0"/>
    <x v="1"/>
    <x v="3"/>
    <x v="3"/>
    <x v="4"/>
    <n v="1.8856299999988733"/>
  </r>
  <r>
    <x v="10"/>
    <x v="0"/>
    <x v="10"/>
    <x v="10"/>
    <x v="0"/>
    <x v="0"/>
    <x v="0"/>
    <x v="0"/>
    <x v="0"/>
    <x v="0"/>
    <x v="0"/>
    <x v="0"/>
    <x v="0"/>
    <x v="9"/>
    <x v="9"/>
    <x v="24"/>
    <x v="24"/>
    <n v="7.1297064220140696"/>
    <x v="0"/>
    <x v="0"/>
    <x v="1"/>
    <x v="3"/>
    <x v="3"/>
    <x v="4"/>
    <n v="7.7713799999953368"/>
  </r>
  <r>
    <x v="10"/>
    <x v="0"/>
    <x v="10"/>
    <x v="10"/>
    <x v="0"/>
    <x v="0"/>
    <x v="0"/>
    <x v="0"/>
    <x v="0"/>
    <x v="0"/>
    <x v="0"/>
    <x v="0"/>
    <x v="0"/>
    <x v="9"/>
    <x v="9"/>
    <x v="17"/>
    <x v="17"/>
    <n v="7.8400299999999996"/>
    <x v="0"/>
    <x v="0"/>
    <x v="0"/>
    <x v="0"/>
    <x v="4"/>
    <x v="17"/>
    <n v="8.5456327000000005"/>
  </r>
  <r>
    <x v="10"/>
    <x v="0"/>
    <x v="10"/>
    <x v="10"/>
    <x v="0"/>
    <x v="0"/>
    <x v="0"/>
    <x v="0"/>
    <x v="0"/>
    <x v="0"/>
    <x v="0"/>
    <x v="0"/>
    <x v="0"/>
    <x v="9"/>
    <x v="9"/>
    <x v="21"/>
    <x v="21"/>
    <n v="108.849972476999"/>
    <x v="0"/>
    <x v="0"/>
    <x v="1"/>
    <x v="4"/>
    <x v="5"/>
    <x v="10"/>
    <n v="118.64646999992893"/>
  </r>
  <r>
    <x v="10"/>
    <x v="0"/>
    <x v="10"/>
    <x v="10"/>
    <x v="0"/>
    <x v="0"/>
    <x v="0"/>
    <x v="0"/>
    <x v="0"/>
    <x v="0"/>
    <x v="0"/>
    <x v="0"/>
    <x v="0"/>
    <x v="9"/>
    <x v="9"/>
    <x v="18"/>
    <x v="18"/>
    <n v="12.53567"/>
    <x v="0"/>
    <x v="0"/>
    <x v="0"/>
    <x v="0"/>
    <x v="4"/>
    <x v="18"/>
    <n v="13.663880300000001"/>
  </r>
  <r>
    <x v="10"/>
    <x v="0"/>
    <x v="10"/>
    <x v="10"/>
    <x v="0"/>
    <x v="0"/>
    <x v="0"/>
    <x v="0"/>
    <x v="0"/>
    <x v="0"/>
    <x v="0"/>
    <x v="0"/>
    <x v="0"/>
    <x v="9"/>
    <x v="9"/>
    <x v="34"/>
    <x v="34"/>
    <n v="1.38646550215984"/>
    <x v="0"/>
    <x v="0"/>
    <x v="0"/>
    <x v="0"/>
    <x v="0"/>
    <x v="0"/>
    <n v="1.5112473973542258"/>
  </r>
  <r>
    <x v="10"/>
    <x v="0"/>
    <x v="10"/>
    <x v="10"/>
    <x v="0"/>
    <x v="0"/>
    <x v="0"/>
    <x v="0"/>
    <x v="0"/>
    <x v="0"/>
    <x v="0"/>
    <x v="0"/>
    <x v="0"/>
    <x v="9"/>
    <x v="9"/>
    <x v="37"/>
    <x v="37"/>
    <n v="2.3705596330261001"/>
    <x v="0"/>
    <x v="0"/>
    <x v="1"/>
    <x v="3"/>
    <x v="3"/>
    <x v="4"/>
    <n v="2.5839099999984492"/>
  </r>
  <r>
    <x v="10"/>
    <x v="0"/>
    <x v="10"/>
    <x v="10"/>
    <x v="0"/>
    <x v="0"/>
    <x v="0"/>
    <x v="0"/>
    <x v="0"/>
    <x v="0"/>
    <x v="0"/>
    <x v="0"/>
    <x v="0"/>
    <x v="9"/>
    <x v="9"/>
    <x v="26"/>
    <x v="26"/>
    <n v="4.7178073394467104"/>
    <x v="0"/>
    <x v="0"/>
    <x v="1"/>
    <x v="3"/>
    <x v="3"/>
    <x v="15"/>
    <n v="5.1424099999969144"/>
  </r>
  <r>
    <x v="10"/>
    <x v="0"/>
    <x v="10"/>
    <x v="10"/>
    <x v="0"/>
    <x v="0"/>
    <x v="0"/>
    <x v="0"/>
    <x v="0"/>
    <x v="0"/>
    <x v="0"/>
    <x v="0"/>
    <x v="0"/>
    <x v="9"/>
    <x v="9"/>
    <x v="0"/>
    <x v="0"/>
    <n v="0.15823042704581999"/>
    <x v="0"/>
    <x v="0"/>
    <x v="0"/>
    <x v="0"/>
    <x v="0"/>
    <x v="0"/>
    <n v="0.17247116547994382"/>
  </r>
  <r>
    <x v="10"/>
    <x v="0"/>
    <x v="10"/>
    <x v="10"/>
    <x v="0"/>
    <x v="0"/>
    <x v="0"/>
    <x v="0"/>
    <x v="0"/>
    <x v="0"/>
    <x v="0"/>
    <x v="0"/>
    <x v="0"/>
    <x v="9"/>
    <x v="9"/>
    <x v="2"/>
    <x v="2"/>
    <n v="2.2765045871546001"/>
    <x v="0"/>
    <x v="1"/>
    <x v="2"/>
    <x v="2"/>
    <x v="13"/>
    <x v="2"/>
    <n v="2.4813899999985143"/>
  </r>
  <r>
    <x v="10"/>
    <x v="0"/>
    <x v="10"/>
    <x v="10"/>
    <x v="0"/>
    <x v="0"/>
    <x v="0"/>
    <x v="0"/>
    <x v="0"/>
    <x v="0"/>
    <x v="0"/>
    <x v="0"/>
    <x v="2"/>
    <x v="10"/>
    <x v="10"/>
    <x v="6"/>
    <x v="6"/>
    <n v="11.25755"/>
    <x v="0"/>
    <x v="0"/>
    <x v="0"/>
    <x v="0"/>
    <x v="4"/>
    <x v="6"/>
    <n v="12.270729500000002"/>
  </r>
  <r>
    <x v="10"/>
    <x v="0"/>
    <x v="10"/>
    <x v="10"/>
    <x v="0"/>
    <x v="0"/>
    <x v="0"/>
    <x v="0"/>
    <x v="0"/>
    <x v="0"/>
    <x v="0"/>
    <x v="0"/>
    <x v="2"/>
    <x v="10"/>
    <x v="10"/>
    <x v="7"/>
    <x v="7"/>
    <n v="1.7835137614668199"/>
    <x v="0"/>
    <x v="0"/>
    <x v="1"/>
    <x v="4"/>
    <x v="5"/>
    <x v="7"/>
    <n v="1.944029999998834"/>
  </r>
  <r>
    <x v="10"/>
    <x v="0"/>
    <x v="10"/>
    <x v="10"/>
    <x v="0"/>
    <x v="0"/>
    <x v="0"/>
    <x v="0"/>
    <x v="0"/>
    <x v="0"/>
    <x v="0"/>
    <x v="0"/>
    <x v="2"/>
    <x v="10"/>
    <x v="10"/>
    <x v="9"/>
    <x v="9"/>
    <n v="34.296123006262697"/>
    <x v="0"/>
    <x v="0"/>
    <x v="1"/>
    <x v="4"/>
    <x v="5"/>
    <x v="9"/>
    <n v="37.382774076826344"/>
  </r>
  <r>
    <x v="10"/>
    <x v="0"/>
    <x v="10"/>
    <x v="10"/>
    <x v="0"/>
    <x v="0"/>
    <x v="0"/>
    <x v="0"/>
    <x v="0"/>
    <x v="0"/>
    <x v="0"/>
    <x v="0"/>
    <x v="2"/>
    <x v="10"/>
    <x v="10"/>
    <x v="10"/>
    <x v="10"/>
    <n v="1.622016564016"/>
    <x v="0"/>
    <x v="0"/>
    <x v="1"/>
    <x v="4"/>
    <x v="5"/>
    <x v="10"/>
    <n v="1.7679980547774401"/>
  </r>
  <r>
    <x v="10"/>
    <x v="0"/>
    <x v="10"/>
    <x v="10"/>
    <x v="0"/>
    <x v="0"/>
    <x v="0"/>
    <x v="0"/>
    <x v="0"/>
    <x v="0"/>
    <x v="0"/>
    <x v="0"/>
    <x v="2"/>
    <x v="10"/>
    <x v="10"/>
    <x v="11"/>
    <x v="11"/>
    <n v="3.08596"/>
    <x v="0"/>
    <x v="0"/>
    <x v="3"/>
    <x v="5"/>
    <x v="7"/>
    <x v="11"/>
    <n v="3.3636964000000003"/>
  </r>
  <r>
    <x v="10"/>
    <x v="0"/>
    <x v="10"/>
    <x v="10"/>
    <x v="0"/>
    <x v="0"/>
    <x v="0"/>
    <x v="0"/>
    <x v="0"/>
    <x v="0"/>
    <x v="0"/>
    <x v="0"/>
    <x v="2"/>
    <x v="10"/>
    <x v="10"/>
    <x v="22"/>
    <x v="22"/>
    <n v="0.30003360214934"/>
    <x v="0"/>
    <x v="0"/>
    <x v="0"/>
    <x v="0"/>
    <x v="0"/>
    <x v="0"/>
    <n v="0.32703662634278063"/>
  </r>
  <r>
    <x v="10"/>
    <x v="0"/>
    <x v="10"/>
    <x v="10"/>
    <x v="0"/>
    <x v="0"/>
    <x v="0"/>
    <x v="0"/>
    <x v="0"/>
    <x v="0"/>
    <x v="0"/>
    <x v="0"/>
    <x v="2"/>
    <x v="10"/>
    <x v="10"/>
    <x v="36"/>
    <x v="36"/>
    <n v="3.6598807339427601"/>
    <x v="0"/>
    <x v="0"/>
    <x v="1"/>
    <x v="3"/>
    <x v="3"/>
    <x v="4"/>
    <n v="3.9892699999976089"/>
  </r>
  <r>
    <x v="10"/>
    <x v="0"/>
    <x v="10"/>
    <x v="10"/>
    <x v="0"/>
    <x v="0"/>
    <x v="0"/>
    <x v="0"/>
    <x v="0"/>
    <x v="0"/>
    <x v="0"/>
    <x v="0"/>
    <x v="2"/>
    <x v="10"/>
    <x v="10"/>
    <x v="24"/>
    <x v="24"/>
    <n v="4.2667155963277201"/>
    <x v="0"/>
    <x v="0"/>
    <x v="1"/>
    <x v="3"/>
    <x v="3"/>
    <x v="4"/>
    <n v="4.6507199999972153"/>
  </r>
  <r>
    <x v="10"/>
    <x v="0"/>
    <x v="10"/>
    <x v="10"/>
    <x v="0"/>
    <x v="0"/>
    <x v="0"/>
    <x v="0"/>
    <x v="0"/>
    <x v="0"/>
    <x v="0"/>
    <x v="0"/>
    <x v="2"/>
    <x v="10"/>
    <x v="10"/>
    <x v="17"/>
    <x v="17"/>
    <n v="3.1392600000000002"/>
    <x v="0"/>
    <x v="0"/>
    <x v="0"/>
    <x v="0"/>
    <x v="4"/>
    <x v="17"/>
    <n v="3.4217934000000003"/>
  </r>
  <r>
    <x v="10"/>
    <x v="0"/>
    <x v="10"/>
    <x v="10"/>
    <x v="0"/>
    <x v="0"/>
    <x v="0"/>
    <x v="0"/>
    <x v="0"/>
    <x v="0"/>
    <x v="0"/>
    <x v="0"/>
    <x v="2"/>
    <x v="10"/>
    <x v="10"/>
    <x v="21"/>
    <x v="21"/>
    <n v="18.542908256869602"/>
    <x v="0"/>
    <x v="0"/>
    <x v="1"/>
    <x v="4"/>
    <x v="5"/>
    <x v="10"/>
    <n v="20.211769999987869"/>
  </r>
  <r>
    <x v="10"/>
    <x v="0"/>
    <x v="10"/>
    <x v="10"/>
    <x v="0"/>
    <x v="0"/>
    <x v="0"/>
    <x v="0"/>
    <x v="0"/>
    <x v="0"/>
    <x v="0"/>
    <x v="0"/>
    <x v="2"/>
    <x v="10"/>
    <x v="10"/>
    <x v="18"/>
    <x v="18"/>
    <n v="5.1581799999999998"/>
    <x v="0"/>
    <x v="0"/>
    <x v="0"/>
    <x v="0"/>
    <x v="4"/>
    <x v="18"/>
    <n v="5.6224162"/>
  </r>
  <r>
    <x v="10"/>
    <x v="0"/>
    <x v="10"/>
    <x v="10"/>
    <x v="0"/>
    <x v="0"/>
    <x v="0"/>
    <x v="0"/>
    <x v="0"/>
    <x v="0"/>
    <x v="0"/>
    <x v="0"/>
    <x v="2"/>
    <x v="10"/>
    <x v="10"/>
    <x v="34"/>
    <x v="34"/>
    <n v="2.8891545851037201"/>
    <x v="0"/>
    <x v="0"/>
    <x v="0"/>
    <x v="0"/>
    <x v="0"/>
    <x v="0"/>
    <n v="3.1491784977630553"/>
  </r>
  <r>
    <x v="10"/>
    <x v="0"/>
    <x v="10"/>
    <x v="10"/>
    <x v="0"/>
    <x v="0"/>
    <x v="0"/>
    <x v="0"/>
    <x v="0"/>
    <x v="0"/>
    <x v="0"/>
    <x v="0"/>
    <x v="2"/>
    <x v="10"/>
    <x v="10"/>
    <x v="37"/>
    <x v="37"/>
    <n v="3.0780733944935701"/>
    <x v="0"/>
    <x v="0"/>
    <x v="1"/>
    <x v="3"/>
    <x v="3"/>
    <x v="4"/>
    <n v="3.3550999999979916"/>
  </r>
  <r>
    <x v="10"/>
    <x v="0"/>
    <x v="10"/>
    <x v="10"/>
    <x v="0"/>
    <x v="0"/>
    <x v="0"/>
    <x v="0"/>
    <x v="0"/>
    <x v="0"/>
    <x v="0"/>
    <x v="0"/>
    <x v="2"/>
    <x v="10"/>
    <x v="10"/>
    <x v="26"/>
    <x v="26"/>
    <n v="16.036908256871101"/>
    <x v="0"/>
    <x v="0"/>
    <x v="1"/>
    <x v="3"/>
    <x v="3"/>
    <x v="15"/>
    <n v="17.480229999989501"/>
  </r>
  <r>
    <x v="10"/>
    <x v="0"/>
    <x v="10"/>
    <x v="10"/>
    <x v="0"/>
    <x v="0"/>
    <x v="0"/>
    <x v="0"/>
    <x v="0"/>
    <x v="0"/>
    <x v="0"/>
    <x v="0"/>
    <x v="2"/>
    <x v="10"/>
    <x v="10"/>
    <x v="0"/>
    <x v="0"/>
    <n v="9.9741432384062403"/>
    <x v="0"/>
    <x v="0"/>
    <x v="0"/>
    <x v="0"/>
    <x v="0"/>
    <x v="0"/>
    <n v="10.871816129862802"/>
  </r>
  <r>
    <x v="10"/>
    <x v="0"/>
    <x v="10"/>
    <x v="10"/>
    <x v="0"/>
    <x v="0"/>
    <x v="0"/>
    <x v="0"/>
    <x v="0"/>
    <x v="0"/>
    <x v="0"/>
    <x v="0"/>
    <x v="2"/>
    <x v="10"/>
    <x v="10"/>
    <x v="2"/>
    <x v="2"/>
    <n v="391.82031192636998"/>
    <x v="0"/>
    <x v="1"/>
    <x v="2"/>
    <x v="2"/>
    <x v="13"/>
    <x v="2"/>
    <n v="427.08413999974329"/>
  </r>
  <r>
    <x v="10"/>
    <x v="0"/>
    <x v="10"/>
    <x v="10"/>
    <x v="0"/>
    <x v="0"/>
    <x v="0"/>
    <x v="0"/>
    <x v="0"/>
    <x v="0"/>
    <x v="0"/>
    <x v="0"/>
    <x v="4"/>
    <x v="5"/>
    <x v="5"/>
    <x v="4"/>
    <x v="4"/>
    <n v="0.50400917431161996"/>
    <x v="0"/>
    <x v="0"/>
    <x v="1"/>
    <x v="3"/>
    <x v="3"/>
    <x v="4"/>
    <n v="0.54936999999966585"/>
  </r>
  <r>
    <x v="10"/>
    <x v="0"/>
    <x v="10"/>
    <x v="10"/>
    <x v="0"/>
    <x v="0"/>
    <x v="0"/>
    <x v="0"/>
    <x v="0"/>
    <x v="0"/>
    <x v="0"/>
    <x v="0"/>
    <x v="4"/>
    <x v="5"/>
    <x v="5"/>
    <x v="6"/>
    <x v="6"/>
    <n v="70.884630000000001"/>
    <x v="0"/>
    <x v="0"/>
    <x v="0"/>
    <x v="0"/>
    <x v="4"/>
    <x v="6"/>
    <n v="77.264246700000001"/>
  </r>
  <r>
    <x v="10"/>
    <x v="0"/>
    <x v="10"/>
    <x v="10"/>
    <x v="0"/>
    <x v="0"/>
    <x v="0"/>
    <x v="0"/>
    <x v="0"/>
    <x v="0"/>
    <x v="0"/>
    <x v="0"/>
    <x v="4"/>
    <x v="5"/>
    <x v="5"/>
    <x v="7"/>
    <x v="7"/>
    <n v="1.02359633027462"/>
    <x v="0"/>
    <x v="0"/>
    <x v="1"/>
    <x v="4"/>
    <x v="5"/>
    <x v="7"/>
    <n v="1.1157199999993359"/>
  </r>
  <r>
    <x v="10"/>
    <x v="0"/>
    <x v="10"/>
    <x v="10"/>
    <x v="0"/>
    <x v="0"/>
    <x v="0"/>
    <x v="0"/>
    <x v="0"/>
    <x v="0"/>
    <x v="0"/>
    <x v="0"/>
    <x v="4"/>
    <x v="5"/>
    <x v="5"/>
    <x v="8"/>
    <x v="8"/>
    <n v="181.30812162278201"/>
    <x v="0"/>
    <x v="1"/>
    <x v="2"/>
    <x v="2"/>
    <x v="6"/>
    <x v="8"/>
    <n v="197.62585256883241"/>
  </r>
  <r>
    <x v="10"/>
    <x v="0"/>
    <x v="10"/>
    <x v="10"/>
    <x v="0"/>
    <x v="0"/>
    <x v="0"/>
    <x v="0"/>
    <x v="0"/>
    <x v="0"/>
    <x v="0"/>
    <x v="0"/>
    <x v="4"/>
    <x v="5"/>
    <x v="5"/>
    <x v="9"/>
    <x v="9"/>
    <n v="112.67861781320499"/>
    <x v="0"/>
    <x v="0"/>
    <x v="1"/>
    <x v="4"/>
    <x v="5"/>
    <x v="9"/>
    <n v="122.81969341639345"/>
  </r>
  <r>
    <x v="10"/>
    <x v="0"/>
    <x v="10"/>
    <x v="10"/>
    <x v="0"/>
    <x v="0"/>
    <x v="0"/>
    <x v="0"/>
    <x v="0"/>
    <x v="0"/>
    <x v="0"/>
    <x v="0"/>
    <x v="4"/>
    <x v="5"/>
    <x v="5"/>
    <x v="10"/>
    <x v="10"/>
    <n v="14.871965204940199"/>
    <x v="0"/>
    <x v="0"/>
    <x v="1"/>
    <x v="4"/>
    <x v="5"/>
    <x v="10"/>
    <n v="16.210442073384819"/>
  </r>
  <r>
    <x v="10"/>
    <x v="0"/>
    <x v="10"/>
    <x v="10"/>
    <x v="0"/>
    <x v="0"/>
    <x v="0"/>
    <x v="0"/>
    <x v="0"/>
    <x v="0"/>
    <x v="0"/>
    <x v="0"/>
    <x v="4"/>
    <x v="5"/>
    <x v="5"/>
    <x v="29"/>
    <x v="29"/>
    <n v="8.2360000000000003E-2"/>
    <x v="0"/>
    <x v="0"/>
    <x v="1"/>
    <x v="3"/>
    <x v="3"/>
    <x v="13"/>
    <n v="8.9772400000000016E-2"/>
  </r>
  <r>
    <x v="10"/>
    <x v="0"/>
    <x v="10"/>
    <x v="10"/>
    <x v="0"/>
    <x v="0"/>
    <x v="0"/>
    <x v="0"/>
    <x v="0"/>
    <x v="0"/>
    <x v="0"/>
    <x v="0"/>
    <x v="4"/>
    <x v="5"/>
    <x v="5"/>
    <x v="35"/>
    <x v="35"/>
    <n v="39.090009999999999"/>
    <x v="0"/>
    <x v="0"/>
    <x v="0"/>
    <x v="0"/>
    <x v="0"/>
    <x v="0"/>
    <n v="42.6081109"/>
  </r>
  <r>
    <x v="10"/>
    <x v="0"/>
    <x v="10"/>
    <x v="10"/>
    <x v="0"/>
    <x v="0"/>
    <x v="0"/>
    <x v="0"/>
    <x v="0"/>
    <x v="0"/>
    <x v="0"/>
    <x v="0"/>
    <x v="4"/>
    <x v="5"/>
    <x v="5"/>
    <x v="55"/>
    <x v="55"/>
    <n v="0.28623853210992001"/>
    <x v="0"/>
    <x v="0"/>
    <x v="1"/>
    <x v="3"/>
    <x v="3"/>
    <x v="15"/>
    <n v="0.31199999999981282"/>
  </r>
  <r>
    <x v="10"/>
    <x v="0"/>
    <x v="10"/>
    <x v="10"/>
    <x v="0"/>
    <x v="0"/>
    <x v="0"/>
    <x v="0"/>
    <x v="0"/>
    <x v="0"/>
    <x v="0"/>
    <x v="0"/>
    <x v="4"/>
    <x v="5"/>
    <x v="5"/>
    <x v="88"/>
    <x v="88"/>
    <n v="0.12270642201828"/>
    <x v="0"/>
    <x v="0"/>
    <x v="1"/>
    <x v="4"/>
    <x v="5"/>
    <x v="9"/>
    <n v="0.13374999999992521"/>
  </r>
  <r>
    <x v="10"/>
    <x v="0"/>
    <x v="10"/>
    <x v="10"/>
    <x v="0"/>
    <x v="0"/>
    <x v="0"/>
    <x v="0"/>
    <x v="0"/>
    <x v="0"/>
    <x v="0"/>
    <x v="0"/>
    <x v="4"/>
    <x v="5"/>
    <x v="5"/>
    <x v="12"/>
    <x v="12"/>
    <n v="333.77608139408102"/>
    <x v="0"/>
    <x v="0"/>
    <x v="0"/>
    <x v="0"/>
    <x v="8"/>
    <x v="12"/>
    <n v="363.81592871954831"/>
  </r>
  <r>
    <x v="10"/>
    <x v="0"/>
    <x v="10"/>
    <x v="10"/>
    <x v="0"/>
    <x v="0"/>
    <x v="0"/>
    <x v="0"/>
    <x v="0"/>
    <x v="0"/>
    <x v="0"/>
    <x v="0"/>
    <x v="4"/>
    <x v="5"/>
    <x v="5"/>
    <x v="22"/>
    <x v="22"/>
    <n v="4.1105779569728096"/>
    <x v="0"/>
    <x v="0"/>
    <x v="0"/>
    <x v="0"/>
    <x v="0"/>
    <x v="0"/>
    <n v="4.4805299731003627"/>
  </r>
  <r>
    <x v="10"/>
    <x v="0"/>
    <x v="10"/>
    <x v="10"/>
    <x v="0"/>
    <x v="0"/>
    <x v="0"/>
    <x v="0"/>
    <x v="0"/>
    <x v="0"/>
    <x v="0"/>
    <x v="0"/>
    <x v="4"/>
    <x v="5"/>
    <x v="5"/>
    <x v="33"/>
    <x v="33"/>
    <n v="0.51911009174280998"/>
    <x v="0"/>
    <x v="0"/>
    <x v="1"/>
    <x v="3"/>
    <x v="3"/>
    <x v="4"/>
    <n v="0.56582999999966288"/>
  </r>
  <r>
    <x v="10"/>
    <x v="0"/>
    <x v="10"/>
    <x v="10"/>
    <x v="0"/>
    <x v="0"/>
    <x v="0"/>
    <x v="0"/>
    <x v="0"/>
    <x v="0"/>
    <x v="0"/>
    <x v="0"/>
    <x v="4"/>
    <x v="5"/>
    <x v="5"/>
    <x v="36"/>
    <x v="36"/>
    <n v="14.2291376146704"/>
    <x v="0"/>
    <x v="0"/>
    <x v="1"/>
    <x v="3"/>
    <x v="3"/>
    <x v="4"/>
    <n v="15.509759999990736"/>
  </r>
  <r>
    <x v="10"/>
    <x v="0"/>
    <x v="10"/>
    <x v="10"/>
    <x v="0"/>
    <x v="0"/>
    <x v="0"/>
    <x v="0"/>
    <x v="0"/>
    <x v="0"/>
    <x v="0"/>
    <x v="0"/>
    <x v="4"/>
    <x v="5"/>
    <x v="5"/>
    <x v="23"/>
    <x v="23"/>
    <n v="2.62861467889751"/>
    <x v="0"/>
    <x v="0"/>
    <x v="1"/>
    <x v="3"/>
    <x v="3"/>
    <x v="15"/>
    <n v="2.8651899999982859"/>
  </r>
  <r>
    <x v="10"/>
    <x v="0"/>
    <x v="10"/>
    <x v="10"/>
    <x v="0"/>
    <x v="0"/>
    <x v="0"/>
    <x v="0"/>
    <x v="0"/>
    <x v="0"/>
    <x v="0"/>
    <x v="0"/>
    <x v="4"/>
    <x v="5"/>
    <x v="5"/>
    <x v="24"/>
    <x v="24"/>
    <n v="7.7438073394449001"/>
    <x v="0"/>
    <x v="0"/>
    <x v="1"/>
    <x v="3"/>
    <x v="3"/>
    <x v="4"/>
    <n v="8.4407499999949422"/>
  </r>
  <r>
    <x v="10"/>
    <x v="0"/>
    <x v="10"/>
    <x v="10"/>
    <x v="0"/>
    <x v="0"/>
    <x v="0"/>
    <x v="0"/>
    <x v="0"/>
    <x v="0"/>
    <x v="0"/>
    <x v="0"/>
    <x v="4"/>
    <x v="5"/>
    <x v="5"/>
    <x v="17"/>
    <x v="17"/>
    <n v="223.24339000000001"/>
    <x v="0"/>
    <x v="0"/>
    <x v="0"/>
    <x v="0"/>
    <x v="4"/>
    <x v="17"/>
    <n v="243.33529510000002"/>
  </r>
  <r>
    <x v="10"/>
    <x v="0"/>
    <x v="10"/>
    <x v="10"/>
    <x v="0"/>
    <x v="0"/>
    <x v="0"/>
    <x v="0"/>
    <x v="0"/>
    <x v="0"/>
    <x v="0"/>
    <x v="0"/>
    <x v="4"/>
    <x v="5"/>
    <x v="5"/>
    <x v="21"/>
    <x v="21"/>
    <n v="16.2937981651278"/>
    <x v="0"/>
    <x v="0"/>
    <x v="1"/>
    <x v="4"/>
    <x v="5"/>
    <x v="10"/>
    <n v="17.760239999989302"/>
  </r>
  <r>
    <x v="10"/>
    <x v="0"/>
    <x v="10"/>
    <x v="10"/>
    <x v="0"/>
    <x v="0"/>
    <x v="0"/>
    <x v="0"/>
    <x v="0"/>
    <x v="0"/>
    <x v="0"/>
    <x v="0"/>
    <x v="4"/>
    <x v="5"/>
    <x v="5"/>
    <x v="18"/>
    <x v="18"/>
    <n v="59.03116"/>
    <x v="0"/>
    <x v="0"/>
    <x v="0"/>
    <x v="0"/>
    <x v="4"/>
    <x v="18"/>
    <n v="64.343964400000004"/>
  </r>
  <r>
    <x v="10"/>
    <x v="0"/>
    <x v="10"/>
    <x v="10"/>
    <x v="0"/>
    <x v="0"/>
    <x v="0"/>
    <x v="0"/>
    <x v="0"/>
    <x v="0"/>
    <x v="0"/>
    <x v="0"/>
    <x v="4"/>
    <x v="5"/>
    <x v="5"/>
    <x v="34"/>
    <x v="34"/>
    <n v="11.6610855893214"/>
    <x v="0"/>
    <x v="0"/>
    <x v="0"/>
    <x v="0"/>
    <x v="0"/>
    <x v="0"/>
    <n v="12.710583292360328"/>
  </r>
  <r>
    <x v="10"/>
    <x v="0"/>
    <x v="10"/>
    <x v="10"/>
    <x v="0"/>
    <x v="0"/>
    <x v="0"/>
    <x v="0"/>
    <x v="0"/>
    <x v="0"/>
    <x v="0"/>
    <x v="0"/>
    <x v="4"/>
    <x v="5"/>
    <x v="5"/>
    <x v="25"/>
    <x v="25"/>
    <n v="2.6664954128424401"/>
    <x v="0"/>
    <x v="0"/>
    <x v="1"/>
    <x v="4"/>
    <x v="5"/>
    <x v="9"/>
    <n v="2.9064799999982598"/>
  </r>
  <r>
    <x v="10"/>
    <x v="0"/>
    <x v="10"/>
    <x v="10"/>
    <x v="0"/>
    <x v="0"/>
    <x v="0"/>
    <x v="0"/>
    <x v="0"/>
    <x v="0"/>
    <x v="0"/>
    <x v="0"/>
    <x v="4"/>
    <x v="5"/>
    <x v="5"/>
    <x v="37"/>
    <x v="37"/>
    <n v="11.294532110084999"/>
    <x v="0"/>
    <x v="0"/>
    <x v="1"/>
    <x v="3"/>
    <x v="3"/>
    <x v="4"/>
    <n v="12.31103999999265"/>
  </r>
  <r>
    <x v="10"/>
    <x v="0"/>
    <x v="10"/>
    <x v="10"/>
    <x v="0"/>
    <x v="0"/>
    <x v="0"/>
    <x v="0"/>
    <x v="0"/>
    <x v="0"/>
    <x v="0"/>
    <x v="0"/>
    <x v="4"/>
    <x v="5"/>
    <x v="5"/>
    <x v="27"/>
    <x v="27"/>
    <n v="38.999718469295303"/>
    <x v="0"/>
    <x v="0"/>
    <x v="1"/>
    <x v="3"/>
    <x v="3"/>
    <x v="19"/>
    <n v="42.509693131531883"/>
  </r>
  <r>
    <x v="10"/>
    <x v="0"/>
    <x v="10"/>
    <x v="10"/>
    <x v="0"/>
    <x v="0"/>
    <x v="0"/>
    <x v="0"/>
    <x v="0"/>
    <x v="0"/>
    <x v="0"/>
    <x v="0"/>
    <x v="4"/>
    <x v="5"/>
    <x v="5"/>
    <x v="26"/>
    <x v="26"/>
    <n v="12.7589999999923"/>
    <x v="0"/>
    <x v="0"/>
    <x v="1"/>
    <x v="3"/>
    <x v="3"/>
    <x v="15"/>
    <n v="13.907309999991607"/>
  </r>
  <r>
    <x v="10"/>
    <x v="0"/>
    <x v="10"/>
    <x v="10"/>
    <x v="0"/>
    <x v="0"/>
    <x v="0"/>
    <x v="0"/>
    <x v="0"/>
    <x v="0"/>
    <x v="0"/>
    <x v="0"/>
    <x v="4"/>
    <x v="5"/>
    <x v="5"/>
    <x v="0"/>
    <x v="0"/>
    <n v="15.669387900312"/>
    <x v="0"/>
    <x v="0"/>
    <x v="0"/>
    <x v="0"/>
    <x v="0"/>
    <x v="0"/>
    <n v="17.07963281134008"/>
  </r>
  <r>
    <x v="10"/>
    <x v="0"/>
    <x v="10"/>
    <x v="10"/>
    <x v="0"/>
    <x v="0"/>
    <x v="0"/>
    <x v="0"/>
    <x v="0"/>
    <x v="0"/>
    <x v="0"/>
    <x v="0"/>
    <x v="4"/>
    <x v="5"/>
    <x v="5"/>
    <x v="2"/>
    <x v="2"/>
    <n v="603.54099999963796"/>
    <x v="0"/>
    <x v="1"/>
    <x v="2"/>
    <x v="2"/>
    <x v="13"/>
    <x v="2"/>
    <n v="657.85968999960539"/>
  </r>
  <r>
    <x v="10"/>
    <x v="0"/>
    <x v="10"/>
    <x v="10"/>
    <x v="0"/>
    <x v="0"/>
    <x v="0"/>
    <x v="0"/>
    <x v="0"/>
    <x v="0"/>
    <x v="0"/>
    <x v="0"/>
    <x v="4"/>
    <x v="5"/>
    <x v="5"/>
    <x v="3"/>
    <x v="3"/>
    <n v="4.4916911326545703"/>
    <x v="0"/>
    <x v="0"/>
    <x v="1"/>
    <x v="3"/>
    <x v="3"/>
    <x v="3"/>
    <n v="4.8959433345934817"/>
  </r>
  <r>
    <x v="10"/>
    <x v="0"/>
    <x v="10"/>
    <x v="10"/>
    <x v="0"/>
    <x v="0"/>
    <x v="0"/>
    <x v="0"/>
    <x v="0"/>
    <x v="0"/>
    <x v="3"/>
    <x v="3"/>
    <x v="2"/>
    <x v="2"/>
    <x v="2"/>
    <x v="5"/>
    <x v="5"/>
    <n v="2.56321472394586"/>
    <x v="0"/>
    <x v="0"/>
    <x v="1"/>
    <x v="1"/>
    <x v="1"/>
    <x v="5"/>
    <n v="2.7939040491009877"/>
  </r>
  <r>
    <x v="10"/>
    <x v="0"/>
    <x v="10"/>
    <x v="10"/>
    <x v="0"/>
    <x v="0"/>
    <x v="0"/>
    <x v="0"/>
    <x v="0"/>
    <x v="0"/>
    <x v="3"/>
    <x v="3"/>
    <x v="2"/>
    <x v="2"/>
    <x v="2"/>
    <x v="6"/>
    <x v="6"/>
    <n v="3.2276400000000001"/>
    <x v="0"/>
    <x v="0"/>
    <x v="0"/>
    <x v="0"/>
    <x v="4"/>
    <x v="6"/>
    <n v="3.5181276000000001"/>
  </r>
  <r>
    <x v="10"/>
    <x v="0"/>
    <x v="10"/>
    <x v="10"/>
    <x v="0"/>
    <x v="0"/>
    <x v="0"/>
    <x v="0"/>
    <x v="0"/>
    <x v="0"/>
    <x v="3"/>
    <x v="3"/>
    <x v="2"/>
    <x v="2"/>
    <x v="2"/>
    <x v="8"/>
    <x v="8"/>
    <n v="8.0531797049839895"/>
    <x v="0"/>
    <x v="1"/>
    <x v="2"/>
    <x v="2"/>
    <x v="6"/>
    <x v="8"/>
    <n v="8.7779658784325498"/>
  </r>
  <r>
    <x v="10"/>
    <x v="0"/>
    <x v="10"/>
    <x v="10"/>
    <x v="0"/>
    <x v="0"/>
    <x v="0"/>
    <x v="0"/>
    <x v="0"/>
    <x v="0"/>
    <x v="3"/>
    <x v="3"/>
    <x v="2"/>
    <x v="2"/>
    <x v="2"/>
    <x v="9"/>
    <x v="9"/>
    <n v="3.7155963302730001E-2"/>
    <x v="0"/>
    <x v="0"/>
    <x v="1"/>
    <x v="4"/>
    <x v="5"/>
    <x v="9"/>
    <n v="4.0499999999975701E-2"/>
  </r>
  <r>
    <x v="10"/>
    <x v="0"/>
    <x v="10"/>
    <x v="10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10"/>
    <x v="0"/>
    <x v="10"/>
    <x v="10"/>
    <x v="0"/>
    <x v="0"/>
    <x v="0"/>
    <x v="0"/>
    <x v="0"/>
    <x v="0"/>
    <x v="3"/>
    <x v="3"/>
    <x v="2"/>
    <x v="2"/>
    <x v="2"/>
    <x v="16"/>
    <x v="16"/>
    <n v="6.2941200000000004"/>
    <x v="0"/>
    <x v="0"/>
    <x v="3"/>
    <x v="5"/>
    <x v="9"/>
    <x v="16"/>
    <n v="6.8605908000000007"/>
  </r>
  <r>
    <x v="10"/>
    <x v="0"/>
    <x v="10"/>
    <x v="10"/>
    <x v="0"/>
    <x v="0"/>
    <x v="0"/>
    <x v="0"/>
    <x v="0"/>
    <x v="0"/>
    <x v="3"/>
    <x v="3"/>
    <x v="2"/>
    <x v="2"/>
    <x v="2"/>
    <x v="17"/>
    <x v="17"/>
    <n v="1.3104"/>
    <x v="0"/>
    <x v="0"/>
    <x v="0"/>
    <x v="0"/>
    <x v="4"/>
    <x v="17"/>
    <n v="1.4283360000000001"/>
  </r>
  <r>
    <x v="10"/>
    <x v="0"/>
    <x v="10"/>
    <x v="10"/>
    <x v="0"/>
    <x v="0"/>
    <x v="0"/>
    <x v="0"/>
    <x v="0"/>
    <x v="0"/>
    <x v="3"/>
    <x v="3"/>
    <x v="2"/>
    <x v="2"/>
    <x v="2"/>
    <x v="2"/>
    <x v="2"/>
    <n v="1.7366972477050002E-2"/>
    <x v="0"/>
    <x v="1"/>
    <x v="2"/>
    <x v="2"/>
    <x v="13"/>
    <x v="2"/>
    <n v="1.8929999999984504E-2"/>
  </r>
  <r>
    <x v="10"/>
    <x v="0"/>
    <x v="10"/>
    <x v="10"/>
    <x v="0"/>
    <x v="0"/>
    <x v="0"/>
    <x v="0"/>
    <x v="0"/>
    <x v="0"/>
    <x v="3"/>
    <x v="3"/>
    <x v="4"/>
    <x v="5"/>
    <x v="5"/>
    <x v="8"/>
    <x v="8"/>
    <n v="7.6182567568055104"/>
    <x v="0"/>
    <x v="1"/>
    <x v="2"/>
    <x v="2"/>
    <x v="6"/>
    <x v="8"/>
    <n v="8.3038998649180069"/>
  </r>
  <r>
    <x v="10"/>
    <x v="0"/>
    <x v="10"/>
    <x v="10"/>
    <x v="0"/>
    <x v="0"/>
    <x v="0"/>
    <x v="0"/>
    <x v="0"/>
    <x v="0"/>
    <x v="3"/>
    <x v="3"/>
    <x v="4"/>
    <x v="5"/>
    <x v="5"/>
    <x v="12"/>
    <x v="12"/>
    <n v="5.5841976743973802"/>
    <x v="0"/>
    <x v="0"/>
    <x v="0"/>
    <x v="0"/>
    <x v="8"/>
    <x v="12"/>
    <n v="6.0867754650931447"/>
  </r>
  <r>
    <x v="10"/>
    <x v="0"/>
    <x v="10"/>
    <x v="10"/>
    <x v="0"/>
    <x v="0"/>
    <x v="0"/>
    <x v="0"/>
    <x v="0"/>
    <x v="0"/>
    <x v="3"/>
    <x v="3"/>
    <x v="4"/>
    <x v="5"/>
    <x v="5"/>
    <x v="18"/>
    <x v="18"/>
    <n v="2.3200500000000002"/>
    <x v="0"/>
    <x v="0"/>
    <x v="0"/>
    <x v="0"/>
    <x v="4"/>
    <x v="18"/>
    <n v="2.5288545000000004"/>
  </r>
  <r>
    <x v="10"/>
    <x v="0"/>
    <x v="10"/>
    <x v="10"/>
    <x v="0"/>
    <x v="0"/>
    <x v="0"/>
    <x v="0"/>
    <x v="0"/>
    <x v="0"/>
    <x v="3"/>
    <x v="3"/>
    <x v="4"/>
    <x v="5"/>
    <x v="5"/>
    <x v="27"/>
    <x v="27"/>
    <n v="0.67567567568999998"/>
    <x v="0"/>
    <x v="0"/>
    <x v="1"/>
    <x v="3"/>
    <x v="3"/>
    <x v="19"/>
    <n v="0.73648648650210002"/>
  </r>
  <r>
    <x v="10"/>
    <x v="0"/>
    <x v="10"/>
    <x v="10"/>
    <x v="0"/>
    <x v="0"/>
    <x v="0"/>
    <x v="0"/>
    <x v="0"/>
    <x v="0"/>
    <x v="3"/>
    <x v="3"/>
    <x v="4"/>
    <x v="5"/>
    <x v="5"/>
    <x v="0"/>
    <x v="0"/>
    <n v="39.798678825511303"/>
    <x v="0"/>
    <x v="0"/>
    <x v="0"/>
    <x v="0"/>
    <x v="0"/>
    <x v="0"/>
    <n v="43.380559919807325"/>
  </r>
  <r>
    <x v="10"/>
    <x v="0"/>
    <x v="10"/>
    <x v="10"/>
    <x v="0"/>
    <x v="0"/>
    <x v="0"/>
    <x v="0"/>
    <x v="0"/>
    <x v="0"/>
    <x v="3"/>
    <x v="3"/>
    <x v="4"/>
    <x v="5"/>
    <x v="5"/>
    <x v="2"/>
    <x v="2"/>
    <n v="0.33447706421998002"/>
    <x v="0"/>
    <x v="1"/>
    <x v="2"/>
    <x v="2"/>
    <x v="13"/>
    <x v="2"/>
    <n v="0.36457999999977825"/>
  </r>
  <r>
    <x v="10"/>
    <x v="0"/>
    <x v="10"/>
    <x v="10"/>
    <x v="0"/>
    <x v="0"/>
    <x v="0"/>
    <x v="0"/>
    <x v="0"/>
    <x v="0"/>
    <x v="4"/>
    <x v="4"/>
    <x v="2"/>
    <x v="2"/>
    <x v="2"/>
    <x v="6"/>
    <x v="6"/>
    <n v="0.74"/>
    <x v="0"/>
    <x v="0"/>
    <x v="0"/>
    <x v="0"/>
    <x v="4"/>
    <x v="6"/>
    <n v="0.80660000000000009"/>
  </r>
  <r>
    <x v="10"/>
    <x v="0"/>
    <x v="10"/>
    <x v="10"/>
    <x v="0"/>
    <x v="0"/>
    <x v="0"/>
    <x v="0"/>
    <x v="0"/>
    <x v="0"/>
    <x v="4"/>
    <x v="4"/>
    <x v="2"/>
    <x v="2"/>
    <x v="2"/>
    <x v="7"/>
    <x v="7"/>
    <n v="5.1990825688039997E-2"/>
    <x v="0"/>
    <x v="0"/>
    <x v="1"/>
    <x v="4"/>
    <x v="5"/>
    <x v="7"/>
    <n v="5.6669999999963604E-2"/>
  </r>
  <r>
    <x v="10"/>
    <x v="0"/>
    <x v="10"/>
    <x v="10"/>
    <x v="0"/>
    <x v="0"/>
    <x v="0"/>
    <x v="0"/>
    <x v="0"/>
    <x v="0"/>
    <x v="4"/>
    <x v="4"/>
    <x v="2"/>
    <x v="2"/>
    <x v="2"/>
    <x v="8"/>
    <x v="8"/>
    <n v="1.6074324324430001E-2"/>
    <x v="0"/>
    <x v="1"/>
    <x v="2"/>
    <x v="2"/>
    <x v="6"/>
    <x v="8"/>
    <n v="1.7521013513628704E-2"/>
  </r>
  <r>
    <x v="10"/>
    <x v="0"/>
    <x v="10"/>
    <x v="10"/>
    <x v="0"/>
    <x v="0"/>
    <x v="0"/>
    <x v="0"/>
    <x v="0"/>
    <x v="0"/>
    <x v="4"/>
    <x v="4"/>
    <x v="2"/>
    <x v="2"/>
    <x v="2"/>
    <x v="9"/>
    <x v="9"/>
    <n v="8.0642201834800007E-3"/>
    <x v="0"/>
    <x v="0"/>
    <x v="1"/>
    <x v="4"/>
    <x v="5"/>
    <x v="9"/>
    <n v="8.7899999999932008E-3"/>
  </r>
  <r>
    <x v="10"/>
    <x v="0"/>
    <x v="10"/>
    <x v="10"/>
    <x v="0"/>
    <x v="0"/>
    <x v="0"/>
    <x v="0"/>
    <x v="0"/>
    <x v="0"/>
    <x v="4"/>
    <x v="4"/>
    <x v="2"/>
    <x v="2"/>
    <x v="2"/>
    <x v="12"/>
    <x v="12"/>
    <n v="21.2025465115473"/>
    <x v="0"/>
    <x v="0"/>
    <x v="0"/>
    <x v="0"/>
    <x v="8"/>
    <x v="12"/>
    <n v="23.110775697586558"/>
  </r>
  <r>
    <x v="10"/>
    <x v="0"/>
    <x v="10"/>
    <x v="10"/>
    <x v="0"/>
    <x v="0"/>
    <x v="0"/>
    <x v="0"/>
    <x v="0"/>
    <x v="0"/>
    <x v="4"/>
    <x v="4"/>
    <x v="2"/>
    <x v="2"/>
    <x v="2"/>
    <x v="14"/>
    <x v="14"/>
    <n v="0.16694999999999999"/>
    <x v="0"/>
    <x v="0"/>
    <x v="0"/>
    <x v="0"/>
    <x v="8"/>
    <x v="14"/>
    <n v="0.18197550000000001"/>
  </r>
  <r>
    <x v="10"/>
    <x v="0"/>
    <x v="10"/>
    <x v="10"/>
    <x v="0"/>
    <x v="0"/>
    <x v="0"/>
    <x v="0"/>
    <x v="0"/>
    <x v="0"/>
    <x v="4"/>
    <x v="4"/>
    <x v="2"/>
    <x v="2"/>
    <x v="2"/>
    <x v="16"/>
    <x v="16"/>
    <n v="0.43722"/>
    <x v="0"/>
    <x v="0"/>
    <x v="3"/>
    <x v="5"/>
    <x v="9"/>
    <x v="16"/>
    <n v="0.47656980000000004"/>
  </r>
  <r>
    <x v="10"/>
    <x v="0"/>
    <x v="10"/>
    <x v="10"/>
    <x v="0"/>
    <x v="0"/>
    <x v="0"/>
    <x v="0"/>
    <x v="0"/>
    <x v="0"/>
    <x v="4"/>
    <x v="4"/>
    <x v="2"/>
    <x v="2"/>
    <x v="2"/>
    <x v="25"/>
    <x v="25"/>
    <n v="2.749541284402E-2"/>
    <x v="0"/>
    <x v="0"/>
    <x v="1"/>
    <x v="4"/>
    <x v="5"/>
    <x v="9"/>
    <n v="2.9969999999981803E-2"/>
  </r>
  <r>
    <x v="10"/>
    <x v="0"/>
    <x v="10"/>
    <x v="10"/>
    <x v="0"/>
    <x v="0"/>
    <x v="0"/>
    <x v="0"/>
    <x v="0"/>
    <x v="0"/>
    <x v="4"/>
    <x v="4"/>
    <x v="2"/>
    <x v="2"/>
    <x v="2"/>
    <x v="27"/>
    <x v="27"/>
    <n v="0.59844594595862999"/>
    <x v="0"/>
    <x v="0"/>
    <x v="1"/>
    <x v="3"/>
    <x v="3"/>
    <x v="19"/>
    <n v="0.65230608109490673"/>
  </r>
  <r>
    <x v="10"/>
    <x v="0"/>
    <x v="10"/>
    <x v="10"/>
    <x v="0"/>
    <x v="0"/>
    <x v="0"/>
    <x v="0"/>
    <x v="2"/>
    <x v="2"/>
    <x v="5"/>
    <x v="5"/>
    <x v="2"/>
    <x v="2"/>
    <x v="2"/>
    <x v="42"/>
    <x v="42"/>
    <n v="0.17745"/>
    <x v="1"/>
    <x v="2"/>
    <x v="5"/>
    <x v="7"/>
    <x v="11"/>
    <x v="22"/>
    <n v="0.19342050000000002"/>
  </r>
  <r>
    <x v="10"/>
    <x v="0"/>
    <x v="10"/>
    <x v="10"/>
    <x v="0"/>
    <x v="0"/>
    <x v="0"/>
    <x v="0"/>
    <x v="2"/>
    <x v="2"/>
    <x v="5"/>
    <x v="5"/>
    <x v="2"/>
    <x v="2"/>
    <x v="2"/>
    <x v="41"/>
    <x v="41"/>
    <n v="3.7468085106240001E-2"/>
    <x v="1"/>
    <x v="2"/>
    <x v="5"/>
    <x v="7"/>
    <x v="11"/>
    <x v="22"/>
    <n v="4.0840212765801603E-2"/>
  </r>
  <r>
    <x v="10"/>
    <x v="0"/>
    <x v="10"/>
    <x v="10"/>
    <x v="0"/>
    <x v="0"/>
    <x v="0"/>
    <x v="0"/>
    <x v="2"/>
    <x v="2"/>
    <x v="5"/>
    <x v="5"/>
    <x v="2"/>
    <x v="2"/>
    <x v="2"/>
    <x v="40"/>
    <x v="40"/>
    <n v="2.66865"/>
    <x v="1"/>
    <x v="2"/>
    <x v="5"/>
    <x v="7"/>
    <x v="11"/>
    <x v="22"/>
    <n v="2.9088285000000003"/>
  </r>
  <r>
    <x v="10"/>
    <x v="0"/>
    <x v="10"/>
    <x v="10"/>
    <x v="0"/>
    <x v="0"/>
    <x v="0"/>
    <x v="0"/>
    <x v="2"/>
    <x v="2"/>
    <x v="5"/>
    <x v="5"/>
    <x v="2"/>
    <x v="2"/>
    <x v="2"/>
    <x v="38"/>
    <x v="38"/>
    <n v="86.391000000000005"/>
    <x v="1"/>
    <x v="0"/>
    <x v="4"/>
    <x v="6"/>
    <x v="10"/>
    <x v="21"/>
    <n v="94.166190000000014"/>
  </r>
  <r>
    <x v="10"/>
    <x v="0"/>
    <x v="10"/>
    <x v="10"/>
    <x v="0"/>
    <x v="0"/>
    <x v="0"/>
    <x v="0"/>
    <x v="0"/>
    <x v="0"/>
    <x v="5"/>
    <x v="5"/>
    <x v="2"/>
    <x v="2"/>
    <x v="2"/>
    <x v="17"/>
    <x v="17"/>
    <n v="0.15489"/>
    <x v="0"/>
    <x v="0"/>
    <x v="0"/>
    <x v="0"/>
    <x v="4"/>
    <x v="17"/>
    <n v="0.16883010000000001"/>
  </r>
  <r>
    <x v="10"/>
    <x v="0"/>
    <x v="10"/>
    <x v="10"/>
    <x v="0"/>
    <x v="0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10"/>
    <x v="0"/>
    <x v="10"/>
    <x v="10"/>
    <x v="0"/>
    <x v="0"/>
    <x v="0"/>
    <x v="0"/>
    <x v="2"/>
    <x v="2"/>
    <x v="5"/>
    <x v="5"/>
    <x v="3"/>
    <x v="7"/>
    <x v="7"/>
    <x v="40"/>
    <x v="40"/>
    <n v="1.67292"/>
    <x v="1"/>
    <x v="2"/>
    <x v="5"/>
    <x v="7"/>
    <x v="11"/>
    <x v="22"/>
    <n v="1.8234828000000001"/>
  </r>
  <r>
    <x v="10"/>
    <x v="0"/>
    <x v="10"/>
    <x v="10"/>
    <x v="0"/>
    <x v="0"/>
    <x v="0"/>
    <x v="0"/>
    <x v="2"/>
    <x v="2"/>
    <x v="5"/>
    <x v="5"/>
    <x v="1"/>
    <x v="8"/>
    <x v="8"/>
    <x v="40"/>
    <x v="40"/>
    <n v="1.3352999999999999"/>
    <x v="1"/>
    <x v="2"/>
    <x v="5"/>
    <x v="7"/>
    <x v="11"/>
    <x v="22"/>
    <n v="1.4554770000000001"/>
  </r>
  <r>
    <x v="10"/>
    <x v="0"/>
    <x v="10"/>
    <x v="10"/>
    <x v="0"/>
    <x v="0"/>
    <x v="0"/>
    <x v="0"/>
    <x v="2"/>
    <x v="2"/>
    <x v="5"/>
    <x v="5"/>
    <x v="2"/>
    <x v="10"/>
    <x v="10"/>
    <x v="40"/>
    <x v="40"/>
    <n v="0.27095999999999998"/>
    <x v="1"/>
    <x v="2"/>
    <x v="5"/>
    <x v="7"/>
    <x v="11"/>
    <x v="22"/>
    <n v="0.29534640000000001"/>
  </r>
  <r>
    <x v="10"/>
    <x v="0"/>
    <x v="10"/>
    <x v="10"/>
    <x v="0"/>
    <x v="0"/>
    <x v="0"/>
    <x v="0"/>
    <x v="2"/>
    <x v="2"/>
    <x v="5"/>
    <x v="5"/>
    <x v="4"/>
    <x v="5"/>
    <x v="5"/>
    <x v="40"/>
    <x v="40"/>
    <n v="46.228819999999999"/>
    <x v="1"/>
    <x v="2"/>
    <x v="5"/>
    <x v="7"/>
    <x v="11"/>
    <x v="22"/>
    <n v="50.3894138"/>
  </r>
  <r>
    <x v="10"/>
    <x v="0"/>
    <x v="10"/>
    <x v="10"/>
    <x v="0"/>
    <x v="0"/>
    <x v="0"/>
    <x v="0"/>
    <x v="2"/>
    <x v="2"/>
    <x v="6"/>
    <x v="6"/>
    <x v="2"/>
    <x v="2"/>
    <x v="2"/>
    <x v="40"/>
    <x v="40"/>
    <n v="6.966E-2"/>
    <x v="1"/>
    <x v="2"/>
    <x v="5"/>
    <x v="7"/>
    <x v="11"/>
    <x v="22"/>
    <n v="7.5929400000000008E-2"/>
  </r>
  <r>
    <x v="10"/>
    <x v="0"/>
    <x v="10"/>
    <x v="10"/>
    <x v="0"/>
    <x v="0"/>
    <x v="0"/>
    <x v="0"/>
    <x v="2"/>
    <x v="2"/>
    <x v="7"/>
    <x v="7"/>
    <x v="2"/>
    <x v="2"/>
    <x v="2"/>
    <x v="40"/>
    <x v="40"/>
    <n v="6.31182"/>
    <x v="1"/>
    <x v="2"/>
    <x v="5"/>
    <x v="7"/>
    <x v="11"/>
    <x v="22"/>
    <n v="6.8798838000000009"/>
  </r>
  <r>
    <x v="10"/>
    <x v="0"/>
    <x v="10"/>
    <x v="10"/>
    <x v="0"/>
    <x v="0"/>
    <x v="0"/>
    <x v="0"/>
    <x v="2"/>
    <x v="2"/>
    <x v="7"/>
    <x v="7"/>
    <x v="2"/>
    <x v="2"/>
    <x v="2"/>
    <x v="38"/>
    <x v="38"/>
    <n v="127.8509"/>
    <x v="1"/>
    <x v="0"/>
    <x v="4"/>
    <x v="6"/>
    <x v="10"/>
    <x v="21"/>
    <n v="139.35748100000001"/>
  </r>
  <r>
    <x v="10"/>
    <x v="0"/>
    <x v="10"/>
    <x v="10"/>
    <x v="0"/>
    <x v="0"/>
    <x v="0"/>
    <x v="0"/>
    <x v="2"/>
    <x v="2"/>
    <x v="7"/>
    <x v="7"/>
    <x v="2"/>
    <x v="2"/>
    <x v="2"/>
    <x v="43"/>
    <x v="43"/>
    <n v="7.1749999999999998"/>
    <x v="1"/>
    <x v="0"/>
    <x v="4"/>
    <x v="6"/>
    <x v="10"/>
    <x v="21"/>
    <n v="7.8207500000000003"/>
  </r>
  <r>
    <x v="10"/>
    <x v="0"/>
    <x v="10"/>
    <x v="10"/>
    <x v="0"/>
    <x v="0"/>
    <x v="0"/>
    <x v="0"/>
    <x v="2"/>
    <x v="2"/>
    <x v="7"/>
    <x v="7"/>
    <x v="2"/>
    <x v="2"/>
    <x v="2"/>
    <x v="44"/>
    <x v="44"/>
    <n v="6.54"/>
    <x v="1"/>
    <x v="0"/>
    <x v="4"/>
    <x v="6"/>
    <x v="10"/>
    <x v="21"/>
    <n v="7.1286000000000005"/>
  </r>
  <r>
    <x v="10"/>
    <x v="0"/>
    <x v="10"/>
    <x v="10"/>
    <x v="0"/>
    <x v="0"/>
    <x v="0"/>
    <x v="0"/>
    <x v="0"/>
    <x v="0"/>
    <x v="7"/>
    <x v="7"/>
    <x v="2"/>
    <x v="2"/>
    <x v="2"/>
    <x v="17"/>
    <x v="17"/>
    <n v="10.02"/>
    <x v="0"/>
    <x v="0"/>
    <x v="0"/>
    <x v="0"/>
    <x v="4"/>
    <x v="17"/>
    <n v="10.921800000000001"/>
  </r>
  <r>
    <x v="10"/>
    <x v="0"/>
    <x v="10"/>
    <x v="10"/>
    <x v="0"/>
    <x v="0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10"/>
    <x v="0"/>
    <x v="10"/>
    <x v="10"/>
    <x v="0"/>
    <x v="0"/>
    <x v="0"/>
    <x v="0"/>
    <x v="2"/>
    <x v="2"/>
    <x v="7"/>
    <x v="7"/>
    <x v="2"/>
    <x v="2"/>
    <x v="2"/>
    <x v="46"/>
    <x v="46"/>
    <n v="8.6220000000000005E-2"/>
    <x v="1"/>
    <x v="0"/>
    <x v="4"/>
    <x v="6"/>
    <x v="10"/>
    <x v="21"/>
    <n v="9.3979800000000016E-2"/>
  </r>
  <r>
    <x v="10"/>
    <x v="0"/>
    <x v="10"/>
    <x v="10"/>
    <x v="0"/>
    <x v="0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10"/>
    <x v="0"/>
    <x v="10"/>
    <x v="10"/>
    <x v="0"/>
    <x v="0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10"/>
    <x v="0"/>
    <x v="10"/>
    <x v="10"/>
    <x v="0"/>
    <x v="0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10"/>
    <x v="0"/>
    <x v="10"/>
    <x v="10"/>
    <x v="0"/>
    <x v="0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10"/>
    <x v="0"/>
    <x v="10"/>
    <x v="10"/>
    <x v="0"/>
    <x v="0"/>
    <x v="0"/>
    <x v="0"/>
    <x v="2"/>
    <x v="2"/>
    <x v="7"/>
    <x v="7"/>
    <x v="3"/>
    <x v="7"/>
    <x v="7"/>
    <x v="40"/>
    <x v="40"/>
    <n v="50.996780000000001"/>
    <x v="1"/>
    <x v="2"/>
    <x v="5"/>
    <x v="7"/>
    <x v="11"/>
    <x v="22"/>
    <n v="55.586490200000007"/>
  </r>
  <r>
    <x v="10"/>
    <x v="0"/>
    <x v="10"/>
    <x v="10"/>
    <x v="0"/>
    <x v="0"/>
    <x v="0"/>
    <x v="0"/>
    <x v="2"/>
    <x v="2"/>
    <x v="7"/>
    <x v="7"/>
    <x v="1"/>
    <x v="8"/>
    <x v="8"/>
    <x v="40"/>
    <x v="40"/>
    <n v="4.9986300000000004"/>
    <x v="1"/>
    <x v="2"/>
    <x v="5"/>
    <x v="7"/>
    <x v="11"/>
    <x v="22"/>
    <n v="5.4485067000000011"/>
  </r>
  <r>
    <x v="10"/>
    <x v="0"/>
    <x v="10"/>
    <x v="10"/>
    <x v="0"/>
    <x v="0"/>
    <x v="0"/>
    <x v="0"/>
    <x v="2"/>
    <x v="2"/>
    <x v="7"/>
    <x v="7"/>
    <x v="2"/>
    <x v="10"/>
    <x v="10"/>
    <x v="40"/>
    <x v="40"/>
    <n v="0.90324000000000004"/>
    <x v="1"/>
    <x v="2"/>
    <x v="5"/>
    <x v="7"/>
    <x v="11"/>
    <x v="22"/>
    <n v="0.98453160000000017"/>
  </r>
  <r>
    <x v="10"/>
    <x v="0"/>
    <x v="10"/>
    <x v="10"/>
    <x v="0"/>
    <x v="0"/>
    <x v="0"/>
    <x v="0"/>
    <x v="2"/>
    <x v="2"/>
    <x v="7"/>
    <x v="7"/>
    <x v="4"/>
    <x v="5"/>
    <x v="5"/>
    <x v="40"/>
    <x v="40"/>
    <n v="40.875439999999998"/>
    <x v="1"/>
    <x v="2"/>
    <x v="5"/>
    <x v="7"/>
    <x v="11"/>
    <x v="22"/>
    <n v="44.554229599999999"/>
  </r>
  <r>
    <x v="10"/>
    <x v="0"/>
    <x v="10"/>
    <x v="10"/>
    <x v="0"/>
    <x v="0"/>
    <x v="0"/>
    <x v="0"/>
    <x v="2"/>
    <x v="2"/>
    <x v="8"/>
    <x v="8"/>
    <x v="2"/>
    <x v="2"/>
    <x v="2"/>
    <x v="40"/>
    <x v="40"/>
    <n v="0.84909000000000001"/>
    <x v="1"/>
    <x v="2"/>
    <x v="5"/>
    <x v="7"/>
    <x v="11"/>
    <x v="22"/>
    <n v="0.92550810000000006"/>
  </r>
  <r>
    <x v="10"/>
    <x v="0"/>
    <x v="10"/>
    <x v="10"/>
    <x v="0"/>
    <x v="0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10"/>
    <x v="0"/>
    <x v="10"/>
    <x v="10"/>
    <x v="0"/>
    <x v="0"/>
    <x v="0"/>
    <x v="0"/>
    <x v="2"/>
    <x v="2"/>
    <x v="9"/>
    <x v="9"/>
    <x v="2"/>
    <x v="2"/>
    <x v="2"/>
    <x v="40"/>
    <x v="40"/>
    <n v="39.38646"/>
    <x v="1"/>
    <x v="2"/>
    <x v="5"/>
    <x v="7"/>
    <x v="11"/>
    <x v="22"/>
    <n v="42.931241400000005"/>
  </r>
  <r>
    <x v="10"/>
    <x v="0"/>
    <x v="10"/>
    <x v="10"/>
    <x v="0"/>
    <x v="0"/>
    <x v="0"/>
    <x v="0"/>
    <x v="2"/>
    <x v="2"/>
    <x v="9"/>
    <x v="9"/>
    <x v="2"/>
    <x v="2"/>
    <x v="2"/>
    <x v="38"/>
    <x v="38"/>
    <n v="609.92985999999996"/>
    <x v="1"/>
    <x v="0"/>
    <x v="4"/>
    <x v="6"/>
    <x v="10"/>
    <x v="21"/>
    <n v="664.82354740000005"/>
  </r>
  <r>
    <x v="10"/>
    <x v="0"/>
    <x v="10"/>
    <x v="10"/>
    <x v="0"/>
    <x v="0"/>
    <x v="0"/>
    <x v="0"/>
    <x v="2"/>
    <x v="2"/>
    <x v="9"/>
    <x v="9"/>
    <x v="2"/>
    <x v="2"/>
    <x v="2"/>
    <x v="48"/>
    <x v="48"/>
    <n v="9.1560000000000002E-2"/>
    <x v="1"/>
    <x v="0"/>
    <x v="4"/>
    <x v="6"/>
    <x v="10"/>
    <x v="21"/>
    <n v="9.9800400000000011E-2"/>
  </r>
  <r>
    <x v="10"/>
    <x v="0"/>
    <x v="10"/>
    <x v="10"/>
    <x v="0"/>
    <x v="0"/>
    <x v="0"/>
    <x v="0"/>
    <x v="2"/>
    <x v="2"/>
    <x v="9"/>
    <x v="9"/>
    <x v="1"/>
    <x v="6"/>
    <x v="6"/>
    <x v="40"/>
    <x v="40"/>
    <n v="31.774999999999999"/>
    <x v="1"/>
    <x v="2"/>
    <x v="5"/>
    <x v="7"/>
    <x v="11"/>
    <x v="22"/>
    <n v="34.634750000000004"/>
  </r>
  <r>
    <x v="10"/>
    <x v="0"/>
    <x v="10"/>
    <x v="10"/>
    <x v="0"/>
    <x v="0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10"/>
    <x v="0"/>
    <x v="10"/>
    <x v="10"/>
    <x v="0"/>
    <x v="0"/>
    <x v="0"/>
    <x v="0"/>
    <x v="2"/>
    <x v="2"/>
    <x v="9"/>
    <x v="9"/>
    <x v="3"/>
    <x v="7"/>
    <x v="7"/>
    <x v="40"/>
    <x v="40"/>
    <n v="265.60187000000002"/>
    <x v="1"/>
    <x v="2"/>
    <x v="5"/>
    <x v="7"/>
    <x v="11"/>
    <x v="22"/>
    <n v="289.50603830000006"/>
  </r>
  <r>
    <x v="10"/>
    <x v="0"/>
    <x v="10"/>
    <x v="10"/>
    <x v="0"/>
    <x v="0"/>
    <x v="0"/>
    <x v="0"/>
    <x v="2"/>
    <x v="2"/>
    <x v="9"/>
    <x v="9"/>
    <x v="1"/>
    <x v="8"/>
    <x v="8"/>
    <x v="40"/>
    <x v="40"/>
    <n v="72.838279999999997"/>
    <x v="1"/>
    <x v="2"/>
    <x v="5"/>
    <x v="7"/>
    <x v="11"/>
    <x v="22"/>
    <n v="79.393725200000006"/>
  </r>
  <r>
    <x v="10"/>
    <x v="0"/>
    <x v="10"/>
    <x v="10"/>
    <x v="0"/>
    <x v="0"/>
    <x v="0"/>
    <x v="0"/>
    <x v="2"/>
    <x v="2"/>
    <x v="9"/>
    <x v="9"/>
    <x v="2"/>
    <x v="10"/>
    <x v="10"/>
    <x v="40"/>
    <x v="40"/>
    <n v="60.473959999999998"/>
    <x v="1"/>
    <x v="2"/>
    <x v="5"/>
    <x v="7"/>
    <x v="11"/>
    <x v="22"/>
    <n v="65.916616400000009"/>
  </r>
  <r>
    <x v="10"/>
    <x v="0"/>
    <x v="10"/>
    <x v="10"/>
    <x v="0"/>
    <x v="0"/>
    <x v="0"/>
    <x v="0"/>
    <x v="2"/>
    <x v="2"/>
    <x v="9"/>
    <x v="9"/>
    <x v="4"/>
    <x v="5"/>
    <x v="5"/>
    <x v="40"/>
    <x v="40"/>
    <n v="407.82247999999998"/>
    <x v="1"/>
    <x v="2"/>
    <x v="5"/>
    <x v="7"/>
    <x v="11"/>
    <x v="22"/>
    <n v="444.52650320000004"/>
  </r>
  <r>
    <x v="10"/>
    <x v="0"/>
    <x v="10"/>
    <x v="10"/>
    <x v="0"/>
    <x v="0"/>
    <x v="0"/>
    <x v="0"/>
    <x v="2"/>
    <x v="2"/>
    <x v="10"/>
    <x v="10"/>
    <x v="2"/>
    <x v="2"/>
    <x v="2"/>
    <x v="41"/>
    <x v="41"/>
    <n v="4.867021276577E-2"/>
    <x v="1"/>
    <x v="2"/>
    <x v="5"/>
    <x v="7"/>
    <x v="11"/>
    <x v="22"/>
    <n v="5.3050531914689301E-2"/>
  </r>
  <r>
    <x v="10"/>
    <x v="0"/>
    <x v="10"/>
    <x v="10"/>
    <x v="0"/>
    <x v="0"/>
    <x v="0"/>
    <x v="0"/>
    <x v="2"/>
    <x v="2"/>
    <x v="10"/>
    <x v="10"/>
    <x v="2"/>
    <x v="2"/>
    <x v="2"/>
    <x v="40"/>
    <x v="40"/>
    <n v="8.0640800000000006"/>
    <x v="1"/>
    <x v="2"/>
    <x v="5"/>
    <x v="7"/>
    <x v="11"/>
    <x v="22"/>
    <n v="8.7898472000000005"/>
  </r>
  <r>
    <x v="10"/>
    <x v="0"/>
    <x v="10"/>
    <x v="10"/>
    <x v="0"/>
    <x v="0"/>
    <x v="0"/>
    <x v="0"/>
    <x v="0"/>
    <x v="0"/>
    <x v="11"/>
    <x v="11"/>
    <x v="4"/>
    <x v="5"/>
    <x v="5"/>
    <x v="10"/>
    <x v="10"/>
    <n v="2.2644927999999998E-6"/>
    <x v="0"/>
    <x v="0"/>
    <x v="1"/>
    <x v="4"/>
    <x v="5"/>
    <x v="10"/>
    <n v="2.468297152E-6"/>
  </r>
  <r>
    <x v="10"/>
    <x v="0"/>
    <x v="10"/>
    <x v="10"/>
    <x v="0"/>
    <x v="0"/>
    <x v="0"/>
    <x v="0"/>
    <x v="3"/>
    <x v="3"/>
    <x v="12"/>
    <x v="12"/>
    <x v="2"/>
    <x v="2"/>
    <x v="2"/>
    <x v="40"/>
    <x v="40"/>
    <n v="0.13863"/>
    <x v="1"/>
    <x v="2"/>
    <x v="5"/>
    <x v="7"/>
    <x v="11"/>
    <x v="22"/>
    <n v="0.15110670000000001"/>
  </r>
  <r>
    <x v="10"/>
    <x v="0"/>
    <x v="10"/>
    <x v="10"/>
    <x v="0"/>
    <x v="0"/>
    <x v="0"/>
    <x v="0"/>
    <x v="3"/>
    <x v="3"/>
    <x v="12"/>
    <x v="12"/>
    <x v="3"/>
    <x v="7"/>
    <x v="7"/>
    <x v="40"/>
    <x v="40"/>
    <n v="2.3672399999999998"/>
    <x v="1"/>
    <x v="2"/>
    <x v="5"/>
    <x v="7"/>
    <x v="11"/>
    <x v="22"/>
    <n v="2.5802915999999998"/>
  </r>
  <r>
    <x v="10"/>
    <x v="0"/>
    <x v="10"/>
    <x v="10"/>
    <x v="0"/>
    <x v="0"/>
    <x v="0"/>
    <x v="0"/>
    <x v="3"/>
    <x v="3"/>
    <x v="12"/>
    <x v="12"/>
    <x v="4"/>
    <x v="5"/>
    <x v="5"/>
    <x v="40"/>
    <x v="40"/>
    <n v="6.1724100000000002"/>
    <x v="1"/>
    <x v="2"/>
    <x v="5"/>
    <x v="7"/>
    <x v="11"/>
    <x v="22"/>
    <n v="6.7279269000000008"/>
  </r>
  <r>
    <x v="10"/>
    <x v="0"/>
    <x v="10"/>
    <x v="10"/>
    <x v="0"/>
    <x v="0"/>
    <x v="0"/>
    <x v="0"/>
    <x v="3"/>
    <x v="3"/>
    <x v="13"/>
    <x v="13"/>
    <x v="2"/>
    <x v="2"/>
    <x v="2"/>
    <x v="41"/>
    <x v="41"/>
    <n v="4.4936170212599998E-2"/>
    <x v="1"/>
    <x v="2"/>
    <x v="5"/>
    <x v="7"/>
    <x v="11"/>
    <x v="22"/>
    <n v="4.8980425531733998E-2"/>
  </r>
  <r>
    <x v="10"/>
    <x v="0"/>
    <x v="10"/>
    <x v="10"/>
    <x v="0"/>
    <x v="0"/>
    <x v="0"/>
    <x v="0"/>
    <x v="3"/>
    <x v="3"/>
    <x v="13"/>
    <x v="13"/>
    <x v="2"/>
    <x v="2"/>
    <x v="2"/>
    <x v="40"/>
    <x v="40"/>
    <n v="7.5270599999999996"/>
    <x v="1"/>
    <x v="2"/>
    <x v="5"/>
    <x v="7"/>
    <x v="11"/>
    <x v="22"/>
    <n v="8.2044954000000008"/>
  </r>
  <r>
    <x v="10"/>
    <x v="0"/>
    <x v="10"/>
    <x v="10"/>
    <x v="0"/>
    <x v="0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10"/>
    <x v="0"/>
    <x v="10"/>
    <x v="10"/>
    <x v="0"/>
    <x v="0"/>
    <x v="0"/>
    <x v="0"/>
    <x v="3"/>
    <x v="3"/>
    <x v="13"/>
    <x v="13"/>
    <x v="1"/>
    <x v="8"/>
    <x v="8"/>
    <x v="40"/>
    <x v="40"/>
    <n v="1.0670999999999999"/>
    <x v="1"/>
    <x v="2"/>
    <x v="5"/>
    <x v="7"/>
    <x v="11"/>
    <x v="22"/>
    <n v="1.1631389999999999"/>
  </r>
  <r>
    <x v="10"/>
    <x v="0"/>
    <x v="10"/>
    <x v="10"/>
    <x v="0"/>
    <x v="0"/>
    <x v="0"/>
    <x v="0"/>
    <x v="3"/>
    <x v="3"/>
    <x v="13"/>
    <x v="13"/>
    <x v="4"/>
    <x v="5"/>
    <x v="5"/>
    <x v="40"/>
    <x v="40"/>
    <n v="0.49890000000000001"/>
    <x v="1"/>
    <x v="2"/>
    <x v="5"/>
    <x v="7"/>
    <x v="11"/>
    <x v="22"/>
    <n v="0.54380100000000009"/>
  </r>
  <r>
    <x v="10"/>
    <x v="0"/>
    <x v="10"/>
    <x v="10"/>
    <x v="0"/>
    <x v="0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10"/>
    <x v="0"/>
    <x v="10"/>
    <x v="10"/>
    <x v="0"/>
    <x v="0"/>
    <x v="0"/>
    <x v="0"/>
    <x v="2"/>
    <x v="2"/>
    <x v="14"/>
    <x v="14"/>
    <x v="2"/>
    <x v="2"/>
    <x v="2"/>
    <x v="40"/>
    <x v="40"/>
    <n v="2.4982799999999998"/>
    <x v="1"/>
    <x v="2"/>
    <x v="5"/>
    <x v="7"/>
    <x v="11"/>
    <x v="22"/>
    <n v="2.7231252000000001"/>
  </r>
  <r>
    <x v="10"/>
    <x v="0"/>
    <x v="10"/>
    <x v="10"/>
    <x v="0"/>
    <x v="0"/>
    <x v="0"/>
    <x v="0"/>
    <x v="2"/>
    <x v="2"/>
    <x v="15"/>
    <x v="15"/>
    <x v="0"/>
    <x v="4"/>
    <x v="4"/>
    <x v="40"/>
    <x v="40"/>
    <n v="8"/>
    <x v="1"/>
    <x v="2"/>
    <x v="5"/>
    <x v="7"/>
    <x v="11"/>
    <x v="22"/>
    <n v="8.7200000000000006"/>
  </r>
  <r>
    <x v="10"/>
    <x v="0"/>
    <x v="10"/>
    <x v="10"/>
    <x v="0"/>
    <x v="0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10"/>
    <x v="0"/>
    <x v="10"/>
    <x v="10"/>
    <x v="0"/>
    <x v="0"/>
    <x v="0"/>
    <x v="0"/>
    <x v="2"/>
    <x v="2"/>
    <x v="17"/>
    <x v="17"/>
    <x v="2"/>
    <x v="2"/>
    <x v="2"/>
    <x v="42"/>
    <x v="42"/>
    <n v="5.0719500000000002"/>
    <x v="1"/>
    <x v="2"/>
    <x v="5"/>
    <x v="7"/>
    <x v="11"/>
    <x v="22"/>
    <n v="5.5284255000000009"/>
  </r>
  <r>
    <x v="10"/>
    <x v="0"/>
    <x v="10"/>
    <x v="10"/>
    <x v="0"/>
    <x v="0"/>
    <x v="0"/>
    <x v="0"/>
    <x v="2"/>
    <x v="2"/>
    <x v="17"/>
    <x v="17"/>
    <x v="2"/>
    <x v="2"/>
    <x v="2"/>
    <x v="40"/>
    <x v="40"/>
    <n v="6.7356800000000003"/>
    <x v="1"/>
    <x v="2"/>
    <x v="5"/>
    <x v="7"/>
    <x v="11"/>
    <x v="22"/>
    <n v="7.3418912000000009"/>
  </r>
  <r>
    <x v="10"/>
    <x v="0"/>
    <x v="10"/>
    <x v="10"/>
    <x v="0"/>
    <x v="0"/>
    <x v="0"/>
    <x v="0"/>
    <x v="2"/>
    <x v="2"/>
    <x v="17"/>
    <x v="17"/>
    <x v="2"/>
    <x v="2"/>
    <x v="2"/>
    <x v="38"/>
    <x v="38"/>
    <n v="30.5625"/>
    <x v="1"/>
    <x v="0"/>
    <x v="4"/>
    <x v="6"/>
    <x v="10"/>
    <x v="21"/>
    <n v="33.313124999999999"/>
  </r>
  <r>
    <x v="10"/>
    <x v="0"/>
    <x v="10"/>
    <x v="10"/>
    <x v="0"/>
    <x v="0"/>
    <x v="0"/>
    <x v="0"/>
    <x v="2"/>
    <x v="2"/>
    <x v="17"/>
    <x v="17"/>
    <x v="3"/>
    <x v="7"/>
    <x v="7"/>
    <x v="40"/>
    <x v="40"/>
    <n v="8.8841400000000004"/>
    <x v="1"/>
    <x v="2"/>
    <x v="5"/>
    <x v="7"/>
    <x v="11"/>
    <x v="22"/>
    <n v="9.6837126000000016"/>
  </r>
  <r>
    <x v="10"/>
    <x v="0"/>
    <x v="10"/>
    <x v="10"/>
    <x v="0"/>
    <x v="0"/>
    <x v="0"/>
    <x v="0"/>
    <x v="2"/>
    <x v="2"/>
    <x v="17"/>
    <x v="17"/>
    <x v="1"/>
    <x v="8"/>
    <x v="8"/>
    <x v="40"/>
    <x v="40"/>
    <n v="3.1256400000000002"/>
    <x v="1"/>
    <x v="2"/>
    <x v="5"/>
    <x v="7"/>
    <x v="11"/>
    <x v="22"/>
    <n v="3.4069476000000005"/>
  </r>
  <r>
    <x v="10"/>
    <x v="0"/>
    <x v="10"/>
    <x v="10"/>
    <x v="0"/>
    <x v="0"/>
    <x v="0"/>
    <x v="0"/>
    <x v="2"/>
    <x v="2"/>
    <x v="17"/>
    <x v="17"/>
    <x v="0"/>
    <x v="9"/>
    <x v="9"/>
    <x v="7"/>
    <x v="7"/>
    <n v="69.081012193312006"/>
    <x v="0"/>
    <x v="0"/>
    <x v="1"/>
    <x v="4"/>
    <x v="5"/>
    <x v="7"/>
    <n v="75.298303290710095"/>
  </r>
  <r>
    <x v="10"/>
    <x v="0"/>
    <x v="10"/>
    <x v="10"/>
    <x v="0"/>
    <x v="0"/>
    <x v="0"/>
    <x v="0"/>
    <x v="2"/>
    <x v="2"/>
    <x v="17"/>
    <x v="17"/>
    <x v="2"/>
    <x v="10"/>
    <x v="10"/>
    <x v="40"/>
    <x v="40"/>
    <n v="0.90324000000000004"/>
    <x v="1"/>
    <x v="2"/>
    <x v="5"/>
    <x v="7"/>
    <x v="11"/>
    <x v="22"/>
    <n v="0.98453160000000017"/>
  </r>
  <r>
    <x v="10"/>
    <x v="0"/>
    <x v="10"/>
    <x v="10"/>
    <x v="0"/>
    <x v="0"/>
    <x v="0"/>
    <x v="0"/>
    <x v="2"/>
    <x v="2"/>
    <x v="17"/>
    <x v="17"/>
    <x v="4"/>
    <x v="5"/>
    <x v="5"/>
    <x v="40"/>
    <x v="40"/>
    <n v="70.70514"/>
    <x v="1"/>
    <x v="2"/>
    <x v="5"/>
    <x v="7"/>
    <x v="11"/>
    <x v="22"/>
    <n v="77.068602600000006"/>
  </r>
  <r>
    <x v="10"/>
    <x v="0"/>
    <x v="10"/>
    <x v="10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10"/>
    <x v="0"/>
    <x v="10"/>
    <x v="10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10"/>
    <x v="0"/>
    <x v="10"/>
    <x v="10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10"/>
    <x v="0"/>
    <x v="10"/>
    <x v="10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10"/>
    <x v="0"/>
    <x v="10"/>
    <x v="10"/>
    <x v="0"/>
    <x v="1"/>
    <x v="0"/>
    <x v="0"/>
    <x v="0"/>
    <x v="0"/>
    <x v="2"/>
    <x v="2"/>
    <x v="2"/>
    <x v="2"/>
    <x v="2"/>
    <x v="2"/>
    <x v="2"/>
    <n v="202.94940366960299"/>
    <x v="0"/>
    <x v="1"/>
    <x v="2"/>
    <x v="2"/>
    <x v="13"/>
    <x v="2"/>
    <n v="221.21484999986728"/>
  </r>
  <r>
    <x v="10"/>
    <x v="0"/>
    <x v="10"/>
    <x v="10"/>
    <x v="0"/>
    <x v="1"/>
    <x v="0"/>
    <x v="0"/>
    <x v="0"/>
    <x v="0"/>
    <x v="2"/>
    <x v="2"/>
    <x v="4"/>
    <x v="5"/>
    <x v="5"/>
    <x v="18"/>
    <x v="18"/>
    <n v="4.5813499999999996"/>
    <x v="0"/>
    <x v="0"/>
    <x v="0"/>
    <x v="0"/>
    <x v="4"/>
    <x v="18"/>
    <n v="4.9936714999999996"/>
  </r>
  <r>
    <x v="10"/>
    <x v="0"/>
    <x v="10"/>
    <x v="10"/>
    <x v="0"/>
    <x v="1"/>
    <x v="0"/>
    <x v="0"/>
    <x v="0"/>
    <x v="0"/>
    <x v="0"/>
    <x v="0"/>
    <x v="2"/>
    <x v="2"/>
    <x v="2"/>
    <x v="9"/>
    <x v="9"/>
    <n v="331.260064219985"/>
    <x v="0"/>
    <x v="0"/>
    <x v="1"/>
    <x v="4"/>
    <x v="5"/>
    <x v="9"/>
    <n v="361.0734699997837"/>
  </r>
  <r>
    <x v="10"/>
    <x v="0"/>
    <x v="10"/>
    <x v="10"/>
    <x v="0"/>
    <x v="1"/>
    <x v="0"/>
    <x v="0"/>
    <x v="0"/>
    <x v="0"/>
    <x v="0"/>
    <x v="0"/>
    <x v="2"/>
    <x v="2"/>
    <x v="2"/>
    <x v="10"/>
    <x v="10"/>
    <n v="1.6141304678399999"/>
    <x v="0"/>
    <x v="0"/>
    <x v="1"/>
    <x v="4"/>
    <x v="5"/>
    <x v="10"/>
    <n v="1.7594022099456001"/>
  </r>
  <r>
    <x v="10"/>
    <x v="0"/>
    <x v="10"/>
    <x v="10"/>
    <x v="0"/>
    <x v="1"/>
    <x v="0"/>
    <x v="0"/>
    <x v="0"/>
    <x v="0"/>
    <x v="0"/>
    <x v="0"/>
    <x v="2"/>
    <x v="2"/>
    <x v="2"/>
    <x v="28"/>
    <x v="28"/>
    <n v="17.924199999999999"/>
    <x v="0"/>
    <x v="0"/>
    <x v="1"/>
    <x v="3"/>
    <x v="3"/>
    <x v="13"/>
    <n v="19.537378"/>
  </r>
  <r>
    <x v="10"/>
    <x v="0"/>
    <x v="10"/>
    <x v="10"/>
    <x v="0"/>
    <x v="1"/>
    <x v="0"/>
    <x v="0"/>
    <x v="0"/>
    <x v="0"/>
    <x v="0"/>
    <x v="0"/>
    <x v="2"/>
    <x v="2"/>
    <x v="2"/>
    <x v="29"/>
    <x v="29"/>
    <n v="51.788400000000003"/>
    <x v="0"/>
    <x v="0"/>
    <x v="1"/>
    <x v="3"/>
    <x v="3"/>
    <x v="13"/>
    <n v="56.449356000000009"/>
  </r>
  <r>
    <x v="10"/>
    <x v="0"/>
    <x v="10"/>
    <x v="10"/>
    <x v="0"/>
    <x v="1"/>
    <x v="0"/>
    <x v="0"/>
    <x v="0"/>
    <x v="0"/>
    <x v="0"/>
    <x v="0"/>
    <x v="2"/>
    <x v="2"/>
    <x v="2"/>
    <x v="30"/>
    <x v="30"/>
    <n v="71.395094085735906"/>
    <x v="0"/>
    <x v="0"/>
    <x v="0"/>
    <x v="0"/>
    <x v="0"/>
    <x v="0"/>
    <n v="77.820652553452149"/>
  </r>
  <r>
    <x v="10"/>
    <x v="0"/>
    <x v="10"/>
    <x v="10"/>
    <x v="0"/>
    <x v="1"/>
    <x v="0"/>
    <x v="0"/>
    <x v="0"/>
    <x v="0"/>
    <x v="0"/>
    <x v="0"/>
    <x v="2"/>
    <x v="2"/>
    <x v="2"/>
    <x v="80"/>
    <x v="80"/>
    <n v="6.4783486238493202"/>
    <x v="0"/>
    <x v="0"/>
    <x v="1"/>
    <x v="4"/>
    <x v="5"/>
    <x v="10"/>
    <n v="7.0613999999957597"/>
  </r>
  <r>
    <x v="10"/>
    <x v="0"/>
    <x v="10"/>
    <x v="10"/>
    <x v="0"/>
    <x v="1"/>
    <x v="0"/>
    <x v="0"/>
    <x v="0"/>
    <x v="0"/>
    <x v="0"/>
    <x v="0"/>
    <x v="2"/>
    <x v="2"/>
    <x v="2"/>
    <x v="11"/>
    <x v="11"/>
    <n v="257.30853000000002"/>
    <x v="0"/>
    <x v="0"/>
    <x v="3"/>
    <x v="5"/>
    <x v="7"/>
    <x v="11"/>
    <n v="280.46629770000004"/>
  </r>
  <r>
    <x v="10"/>
    <x v="0"/>
    <x v="10"/>
    <x v="10"/>
    <x v="0"/>
    <x v="1"/>
    <x v="0"/>
    <x v="0"/>
    <x v="0"/>
    <x v="0"/>
    <x v="0"/>
    <x v="0"/>
    <x v="2"/>
    <x v="2"/>
    <x v="2"/>
    <x v="88"/>
    <x v="88"/>
    <n v="0.23779816513747001"/>
    <x v="0"/>
    <x v="0"/>
    <x v="1"/>
    <x v="4"/>
    <x v="5"/>
    <x v="9"/>
    <n v="0.25919999999984233"/>
  </r>
  <r>
    <x v="10"/>
    <x v="0"/>
    <x v="10"/>
    <x v="10"/>
    <x v="0"/>
    <x v="1"/>
    <x v="0"/>
    <x v="0"/>
    <x v="0"/>
    <x v="0"/>
    <x v="0"/>
    <x v="0"/>
    <x v="2"/>
    <x v="2"/>
    <x v="2"/>
    <x v="12"/>
    <x v="12"/>
    <n v="1483.10852325018"/>
    <x v="0"/>
    <x v="0"/>
    <x v="0"/>
    <x v="0"/>
    <x v="8"/>
    <x v="12"/>
    <n v="1616.5882903426964"/>
  </r>
  <r>
    <x v="10"/>
    <x v="0"/>
    <x v="10"/>
    <x v="10"/>
    <x v="0"/>
    <x v="1"/>
    <x v="0"/>
    <x v="0"/>
    <x v="0"/>
    <x v="0"/>
    <x v="0"/>
    <x v="0"/>
    <x v="2"/>
    <x v="2"/>
    <x v="2"/>
    <x v="32"/>
    <x v="32"/>
    <n v="28.7448912523055"/>
    <x v="0"/>
    <x v="0"/>
    <x v="1"/>
    <x v="1"/>
    <x v="1"/>
    <x v="20"/>
    <n v="31.331931465012996"/>
  </r>
  <r>
    <x v="10"/>
    <x v="0"/>
    <x v="10"/>
    <x v="10"/>
    <x v="0"/>
    <x v="1"/>
    <x v="0"/>
    <x v="0"/>
    <x v="0"/>
    <x v="0"/>
    <x v="0"/>
    <x v="0"/>
    <x v="2"/>
    <x v="2"/>
    <x v="2"/>
    <x v="14"/>
    <x v="14"/>
    <n v="705.67822999999999"/>
    <x v="0"/>
    <x v="0"/>
    <x v="0"/>
    <x v="0"/>
    <x v="8"/>
    <x v="14"/>
    <n v="769.18927070000007"/>
  </r>
  <r>
    <x v="10"/>
    <x v="0"/>
    <x v="10"/>
    <x v="10"/>
    <x v="0"/>
    <x v="1"/>
    <x v="0"/>
    <x v="0"/>
    <x v="0"/>
    <x v="0"/>
    <x v="0"/>
    <x v="0"/>
    <x v="2"/>
    <x v="2"/>
    <x v="2"/>
    <x v="22"/>
    <x v="22"/>
    <n v="0.82922311827624995"/>
    <x v="0"/>
    <x v="0"/>
    <x v="0"/>
    <x v="0"/>
    <x v="0"/>
    <x v="0"/>
    <n v="0.90385319892111249"/>
  </r>
  <r>
    <x v="10"/>
    <x v="0"/>
    <x v="10"/>
    <x v="10"/>
    <x v="0"/>
    <x v="1"/>
    <x v="0"/>
    <x v="0"/>
    <x v="0"/>
    <x v="0"/>
    <x v="0"/>
    <x v="0"/>
    <x v="2"/>
    <x v="2"/>
    <x v="2"/>
    <x v="16"/>
    <x v="16"/>
    <n v="598.34288000000004"/>
    <x v="0"/>
    <x v="0"/>
    <x v="3"/>
    <x v="5"/>
    <x v="9"/>
    <x v="16"/>
    <n v="652.1937392000001"/>
  </r>
  <r>
    <x v="10"/>
    <x v="0"/>
    <x v="10"/>
    <x v="10"/>
    <x v="0"/>
    <x v="1"/>
    <x v="0"/>
    <x v="0"/>
    <x v="0"/>
    <x v="0"/>
    <x v="0"/>
    <x v="0"/>
    <x v="2"/>
    <x v="2"/>
    <x v="2"/>
    <x v="24"/>
    <x v="24"/>
    <n v="84.624110091692302"/>
    <x v="0"/>
    <x v="0"/>
    <x v="1"/>
    <x v="3"/>
    <x v="3"/>
    <x v="4"/>
    <n v="92.240279999944619"/>
  </r>
  <r>
    <x v="10"/>
    <x v="0"/>
    <x v="10"/>
    <x v="10"/>
    <x v="0"/>
    <x v="1"/>
    <x v="0"/>
    <x v="0"/>
    <x v="0"/>
    <x v="0"/>
    <x v="0"/>
    <x v="0"/>
    <x v="2"/>
    <x v="2"/>
    <x v="2"/>
    <x v="17"/>
    <x v="17"/>
    <n v="179.13418999999999"/>
    <x v="0"/>
    <x v="0"/>
    <x v="0"/>
    <x v="0"/>
    <x v="4"/>
    <x v="17"/>
    <n v="195.2562671"/>
  </r>
  <r>
    <x v="10"/>
    <x v="0"/>
    <x v="10"/>
    <x v="10"/>
    <x v="0"/>
    <x v="1"/>
    <x v="0"/>
    <x v="0"/>
    <x v="0"/>
    <x v="0"/>
    <x v="0"/>
    <x v="0"/>
    <x v="2"/>
    <x v="2"/>
    <x v="2"/>
    <x v="21"/>
    <x v="21"/>
    <n v="19.0363302752179"/>
    <x v="0"/>
    <x v="0"/>
    <x v="1"/>
    <x v="4"/>
    <x v="5"/>
    <x v="10"/>
    <n v="20.749599999987513"/>
  </r>
  <r>
    <x v="10"/>
    <x v="0"/>
    <x v="10"/>
    <x v="10"/>
    <x v="0"/>
    <x v="1"/>
    <x v="0"/>
    <x v="0"/>
    <x v="0"/>
    <x v="0"/>
    <x v="0"/>
    <x v="0"/>
    <x v="2"/>
    <x v="2"/>
    <x v="2"/>
    <x v="18"/>
    <x v="18"/>
    <n v="187.27695"/>
    <x v="0"/>
    <x v="0"/>
    <x v="0"/>
    <x v="0"/>
    <x v="4"/>
    <x v="18"/>
    <n v="204.13187550000001"/>
  </r>
  <r>
    <x v="10"/>
    <x v="0"/>
    <x v="10"/>
    <x v="10"/>
    <x v="0"/>
    <x v="1"/>
    <x v="0"/>
    <x v="0"/>
    <x v="0"/>
    <x v="0"/>
    <x v="0"/>
    <x v="0"/>
    <x v="2"/>
    <x v="2"/>
    <x v="2"/>
    <x v="34"/>
    <x v="34"/>
    <n v="77.450405238857996"/>
    <x v="0"/>
    <x v="0"/>
    <x v="0"/>
    <x v="0"/>
    <x v="0"/>
    <x v="0"/>
    <n v="84.420941710355223"/>
  </r>
  <r>
    <x v="10"/>
    <x v="0"/>
    <x v="10"/>
    <x v="10"/>
    <x v="0"/>
    <x v="1"/>
    <x v="0"/>
    <x v="0"/>
    <x v="0"/>
    <x v="0"/>
    <x v="0"/>
    <x v="0"/>
    <x v="2"/>
    <x v="2"/>
    <x v="2"/>
    <x v="79"/>
    <x v="79"/>
    <n v="12.235963302745001"/>
    <x v="0"/>
    <x v="0"/>
    <x v="1"/>
    <x v="4"/>
    <x v="5"/>
    <x v="10"/>
    <n v="13.337199999992052"/>
  </r>
  <r>
    <x v="10"/>
    <x v="0"/>
    <x v="10"/>
    <x v="10"/>
    <x v="0"/>
    <x v="1"/>
    <x v="0"/>
    <x v="0"/>
    <x v="0"/>
    <x v="0"/>
    <x v="0"/>
    <x v="0"/>
    <x v="2"/>
    <x v="2"/>
    <x v="2"/>
    <x v="25"/>
    <x v="25"/>
    <n v="18.6628807339338"/>
    <x v="0"/>
    <x v="0"/>
    <x v="1"/>
    <x v="4"/>
    <x v="5"/>
    <x v="9"/>
    <n v="20.342539999987842"/>
  </r>
  <r>
    <x v="10"/>
    <x v="0"/>
    <x v="10"/>
    <x v="10"/>
    <x v="0"/>
    <x v="1"/>
    <x v="0"/>
    <x v="0"/>
    <x v="0"/>
    <x v="0"/>
    <x v="0"/>
    <x v="0"/>
    <x v="2"/>
    <x v="2"/>
    <x v="2"/>
    <x v="27"/>
    <x v="27"/>
    <n v="386.69795045864799"/>
    <x v="0"/>
    <x v="0"/>
    <x v="1"/>
    <x v="3"/>
    <x v="3"/>
    <x v="19"/>
    <n v="421.50076599992633"/>
  </r>
  <r>
    <x v="10"/>
    <x v="0"/>
    <x v="10"/>
    <x v="10"/>
    <x v="0"/>
    <x v="1"/>
    <x v="0"/>
    <x v="0"/>
    <x v="0"/>
    <x v="0"/>
    <x v="0"/>
    <x v="0"/>
    <x v="2"/>
    <x v="2"/>
    <x v="2"/>
    <x v="26"/>
    <x v="26"/>
    <n v="90.514091743064995"/>
    <x v="0"/>
    <x v="0"/>
    <x v="1"/>
    <x v="3"/>
    <x v="3"/>
    <x v="15"/>
    <n v="98.660359999940852"/>
  </r>
  <r>
    <x v="10"/>
    <x v="0"/>
    <x v="10"/>
    <x v="10"/>
    <x v="0"/>
    <x v="1"/>
    <x v="0"/>
    <x v="0"/>
    <x v="0"/>
    <x v="0"/>
    <x v="0"/>
    <x v="0"/>
    <x v="2"/>
    <x v="2"/>
    <x v="2"/>
    <x v="0"/>
    <x v="0"/>
    <n v="36.517603202744702"/>
    <x v="0"/>
    <x v="0"/>
    <x v="0"/>
    <x v="0"/>
    <x v="0"/>
    <x v="0"/>
    <n v="39.80418749099173"/>
  </r>
  <r>
    <x v="10"/>
    <x v="0"/>
    <x v="10"/>
    <x v="10"/>
    <x v="0"/>
    <x v="1"/>
    <x v="0"/>
    <x v="0"/>
    <x v="0"/>
    <x v="0"/>
    <x v="0"/>
    <x v="0"/>
    <x v="2"/>
    <x v="2"/>
    <x v="2"/>
    <x v="1"/>
    <x v="1"/>
    <n v="340.95187586019398"/>
    <x v="0"/>
    <x v="0"/>
    <x v="1"/>
    <x v="1"/>
    <x v="1"/>
    <x v="1"/>
    <n v="371.63754468761147"/>
  </r>
  <r>
    <x v="10"/>
    <x v="0"/>
    <x v="10"/>
    <x v="10"/>
    <x v="0"/>
    <x v="1"/>
    <x v="0"/>
    <x v="0"/>
    <x v="0"/>
    <x v="0"/>
    <x v="0"/>
    <x v="0"/>
    <x v="2"/>
    <x v="2"/>
    <x v="2"/>
    <x v="20"/>
    <x v="20"/>
    <n v="260.97752000000003"/>
    <x v="0"/>
    <x v="0"/>
    <x v="1"/>
    <x v="3"/>
    <x v="3"/>
    <x v="13"/>
    <n v="284.46549680000004"/>
  </r>
  <r>
    <x v="10"/>
    <x v="0"/>
    <x v="10"/>
    <x v="10"/>
    <x v="0"/>
    <x v="1"/>
    <x v="0"/>
    <x v="0"/>
    <x v="0"/>
    <x v="0"/>
    <x v="0"/>
    <x v="0"/>
    <x v="2"/>
    <x v="2"/>
    <x v="2"/>
    <x v="2"/>
    <x v="2"/>
    <n v="14948.315467880901"/>
    <x v="0"/>
    <x v="1"/>
    <x v="2"/>
    <x v="2"/>
    <x v="13"/>
    <x v="2"/>
    <n v="16293.663859990183"/>
  </r>
  <r>
    <x v="10"/>
    <x v="0"/>
    <x v="10"/>
    <x v="10"/>
    <x v="0"/>
    <x v="1"/>
    <x v="0"/>
    <x v="0"/>
    <x v="0"/>
    <x v="0"/>
    <x v="0"/>
    <x v="0"/>
    <x v="2"/>
    <x v="2"/>
    <x v="2"/>
    <x v="3"/>
    <x v="3"/>
    <n v="153.50156747571199"/>
    <x v="0"/>
    <x v="0"/>
    <x v="1"/>
    <x v="3"/>
    <x v="3"/>
    <x v="3"/>
    <n v="167.31670854852609"/>
  </r>
  <r>
    <x v="10"/>
    <x v="0"/>
    <x v="10"/>
    <x v="10"/>
    <x v="0"/>
    <x v="1"/>
    <x v="0"/>
    <x v="0"/>
    <x v="0"/>
    <x v="0"/>
    <x v="0"/>
    <x v="0"/>
    <x v="1"/>
    <x v="6"/>
    <x v="6"/>
    <x v="4"/>
    <x v="4"/>
    <n v="6.6055045872000001E-4"/>
    <x v="0"/>
    <x v="0"/>
    <x v="1"/>
    <x v="3"/>
    <x v="3"/>
    <x v="4"/>
    <n v="7.2000000000480003E-4"/>
  </r>
  <r>
    <x v="10"/>
    <x v="0"/>
    <x v="10"/>
    <x v="10"/>
    <x v="0"/>
    <x v="1"/>
    <x v="0"/>
    <x v="0"/>
    <x v="0"/>
    <x v="0"/>
    <x v="0"/>
    <x v="0"/>
    <x v="1"/>
    <x v="6"/>
    <x v="6"/>
    <x v="6"/>
    <x v="6"/>
    <n v="40.506"/>
    <x v="0"/>
    <x v="0"/>
    <x v="0"/>
    <x v="0"/>
    <x v="4"/>
    <x v="6"/>
    <n v="44.151540000000004"/>
  </r>
  <r>
    <x v="10"/>
    <x v="0"/>
    <x v="10"/>
    <x v="10"/>
    <x v="0"/>
    <x v="1"/>
    <x v="0"/>
    <x v="0"/>
    <x v="0"/>
    <x v="0"/>
    <x v="0"/>
    <x v="0"/>
    <x v="1"/>
    <x v="6"/>
    <x v="6"/>
    <x v="8"/>
    <x v="8"/>
    <n v="165.72809459565499"/>
    <x v="0"/>
    <x v="1"/>
    <x v="2"/>
    <x v="2"/>
    <x v="6"/>
    <x v="8"/>
    <n v="180.64362310926396"/>
  </r>
  <r>
    <x v="10"/>
    <x v="0"/>
    <x v="10"/>
    <x v="10"/>
    <x v="0"/>
    <x v="1"/>
    <x v="0"/>
    <x v="0"/>
    <x v="0"/>
    <x v="0"/>
    <x v="0"/>
    <x v="0"/>
    <x v="1"/>
    <x v="6"/>
    <x v="6"/>
    <x v="9"/>
    <x v="9"/>
    <n v="38.279798165114599"/>
    <x v="0"/>
    <x v="0"/>
    <x v="1"/>
    <x v="4"/>
    <x v="5"/>
    <x v="9"/>
    <n v="41.724979999974913"/>
  </r>
  <r>
    <x v="10"/>
    <x v="0"/>
    <x v="10"/>
    <x v="10"/>
    <x v="0"/>
    <x v="1"/>
    <x v="0"/>
    <x v="0"/>
    <x v="0"/>
    <x v="0"/>
    <x v="0"/>
    <x v="0"/>
    <x v="1"/>
    <x v="6"/>
    <x v="6"/>
    <x v="29"/>
    <x v="29"/>
    <n v="8.8408200000000008"/>
    <x v="0"/>
    <x v="0"/>
    <x v="1"/>
    <x v="3"/>
    <x v="3"/>
    <x v="13"/>
    <n v="9.636493800000002"/>
  </r>
  <r>
    <x v="10"/>
    <x v="0"/>
    <x v="10"/>
    <x v="10"/>
    <x v="0"/>
    <x v="1"/>
    <x v="0"/>
    <x v="0"/>
    <x v="0"/>
    <x v="0"/>
    <x v="0"/>
    <x v="0"/>
    <x v="1"/>
    <x v="6"/>
    <x v="6"/>
    <x v="12"/>
    <x v="12"/>
    <n v="289.09953488262198"/>
    <x v="0"/>
    <x v="0"/>
    <x v="0"/>
    <x v="0"/>
    <x v="8"/>
    <x v="12"/>
    <n v="315.11849302205798"/>
  </r>
  <r>
    <x v="10"/>
    <x v="0"/>
    <x v="10"/>
    <x v="10"/>
    <x v="0"/>
    <x v="1"/>
    <x v="0"/>
    <x v="0"/>
    <x v="0"/>
    <x v="0"/>
    <x v="0"/>
    <x v="0"/>
    <x v="1"/>
    <x v="6"/>
    <x v="6"/>
    <x v="32"/>
    <x v="32"/>
    <n v="35.093639479112298"/>
    <x v="0"/>
    <x v="0"/>
    <x v="1"/>
    <x v="1"/>
    <x v="1"/>
    <x v="20"/>
    <n v="38.252067032232411"/>
  </r>
  <r>
    <x v="10"/>
    <x v="0"/>
    <x v="10"/>
    <x v="10"/>
    <x v="0"/>
    <x v="1"/>
    <x v="0"/>
    <x v="0"/>
    <x v="0"/>
    <x v="0"/>
    <x v="0"/>
    <x v="0"/>
    <x v="1"/>
    <x v="6"/>
    <x v="6"/>
    <x v="14"/>
    <x v="14"/>
    <n v="181.65375"/>
    <x v="0"/>
    <x v="0"/>
    <x v="0"/>
    <x v="0"/>
    <x v="8"/>
    <x v="14"/>
    <n v="198.0025875"/>
  </r>
  <r>
    <x v="10"/>
    <x v="0"/>
    <x v="10"/>
    <x v="10"/>
    <x v="0"/>
    <x v="1"/>
    <x v="0"/>
    <x v="0"/>
    <x v="0"/>
    <x v="0"/>
    <x v="0"/>
    <x v="0"/>
    <x v="1"/>
    <x v="6"/>
    <x v="6"/>
    <x v="16"/>
    <x v="16"/>
    <n v="579.30151999999998"/>
    <x v="0"/>
    <x v="0"/>
    <x v="3"/>
    <x v="5"/>
    <x v="9"/>
    <x v="16"/>
    <n v="631.43865679999999"/>
  </r>
  <r>
    <x v="10"/>
    <x v="0"/>
    <x v="10"/>
    <x v="10"/>
    <x v="0"/>
    <x v="1"/>
    <x v="0"/>
    <x v="0"/>
    <x v="0"/>
    <x v="0"/>
    <x v="0"/>
    <x v="0"/>
    <x v="1"/>
    <x v="6"/>
    <x v="6"/>
    <x v="24"/>
    <x v="24"/>
    <n v="8.8073486238479308"/>
    <x v="0"/>
    <x v="0"/>
    <x v="1"/>
    <x v="3"/>
    <x v="3"/>
    <x v="4"/>
    <n v="9.6000099999942456"/>
  </r>
  <r>
    <x v="10"/>
    <x v="0"/>
    <x v="10"/>
    <x v="10"/>
    <x v="0"/>
    <x v="1"/>
    <x v="0"/>
    <x v="0"/>
    <x v="0"/>
    <x v="0"/>
    <x v="0"/>
    <x v="0"/>
    <x v="1"/>
    <x v="6"/>
    <x v="6"/>
    <x v="18"/>
    <x v="18"/>
    <n v="26.8065"/>
    <x v="0"/>
    <x v="0"/>
    <x v="0"/>
    <x v="0"/>
    <x v="4"/>
    <x v="18"/>
    <n v="29.219085000000003"/>
  </r>
  <r>
    <x v="10"/>
    <x v="0"/>
    <x v="10"/>
    <x v="10"/>
    <x v="0"/>
    <x v="1"/>
    <x v="0"/>
    <x v="0"/>
    <x v="0"/>
    <x v="0"/>
    <x v="0"/>
    <x v="0"/>
    <x v="1"/>
    <x v="6"/>
    <x v="6"/>
    <x v="27"/>
    <x v="27"/>
    <n v="93.782702704690905"/>
    <x v="0"/>
    <x v="0"/>
    <x v="1"/>
    <x v="3"/>
    <x v="3"/>
    <x v="19"/>
    <n v="102.2231459481131"/>
  </r>
  <r>
    <x v="10"/>
    <x v="0"/>
    <x v="10"/>
    <x v="10"/>
    <x v="0"/>
    <x v="1"/>
    <x v="0"/>
    <x v="0"/>
    <x v="0"/>
    <x v="0"/>
    <x v="0"/>
    <x v="0"/>
    <x v="1"/>
    <x v="6"/>
    <x v="6"/>
    <x v="26"/>
    <x v="26"/>
    <n v="844.76358715545598"/>
    <x v="0"/>
    <x v="0"/>
    <x v="1"/>
    <x v="3"/>
    <x v="3"/>
    <x v="15"/>
    <n v="920.79230999944707"/>
  </r>
  <r>
    <x v="10"/>
    <x v="0"/>
    <x v="10"/>
    <x v="10"/>
    <x v="0"/>
    <x v="1"/>
    <x v="0"/>
    <x v="0"/>
    <x v="0"/>
    <x v="0"/>
    <x v="0"/>
    <x v="0"/>
    <x v="1"/>
    <x v="6"/>
    <x v="6"/>
    <x v="0"/>
    <x v="0"/>
    <n v="2.2329181494599402"/>
    <x v="0"/>
    <x v="0"/>
    <x v="0"/>
    <x v="0"/>
    <x v="0"/>
    <x v="0"/>
    <n v="2.4338807829113351"/>
  </r>
  <r>
    <x v="10"/>
    <x v="0"/>
    <x v="10"/>
    <x v="10"/>
    <x v="0"/>
    <x v="1"/>
    <x v="0"/>
    <x v="0"/>
    <x v="0"/>
    <x v="0"/>
    <x v="0"/>
    <x v="0"/>
    <x v="1"/>
    <x v="6"/>
    <x v="6"/>
    <x v="1"/>
    <x v="1"/>
    <n v="51.724137930749997"/>
    <x v="0"/>
    <x v="0"/>
    <x v="1"/>
    <x v="1"/>
    <x v="1"/>
    <x v="1"/>
    <n v="56.379310344517499"/>
  </r>
  <r>
    <x v="10"/>
    <x v="0"/>
    <x v="10"/>
    <x v="10"/>
    <x v="0"/>
    <x v="1"/>
    <x v="0"/>
    <x v="0"/>
    <x v="0"/>
    <x v="0"/>
    <x v="0"/>
    <x v="0"/>
    <x v="1"/>
    <x v="6"/>
    <x v="6"/>
    <x v="20"/>
    <x v="20"/>
    <n v="12.51333"/>
    <x v="0"/>
    <x v="0"/>
    <x v="1"/>
    <x v="3"/>
    <x v="3"/>
    <x v="13"/>
    <n v="13.639529700000001"/>
  </r>
  <r>
    <x v="10"/>
    <x v="0"/>
    <x v="10"/>
    <x v="10"/>
    <x v="0"/>
    <x v="1"/>
    <x v="0"/>
    <x v="0"/>
    <x v="0"/>
    <x v="0"/>
    <x v="0"/>
    <x v="0"/>
    <x v="1"/>
    <x v="6"/>
    <x v="6"/>
    <x v="2"/>
    <x v="2"/>
    <n v="1352.8836788982701"/>
    <x v="0"/>
    <x v="1"/>
    <x v="2"/>
    <x v="2"/>
    <x v="13"/>
    <x v="2"/>
    <n v="1474.6432099991146"/>
  </r>
  <r>
    <x v="10"/>
    <x v="0"/>
    <x v="10"/>
    <x v="10"/>
    <x v="0"/>
    <x v="1"/>
    <x v="0"/>
    <x v="0"/>
    <x v="0"/>
    <x v="0"/>
    <x v="0"/>
    <x v="0"/>
    <x v="1"/>
    <x v="6"/>
    <x v="6"/>
    <x v="3"/>
    <x v="3"/>
    <n v="10.4274364523886"/>
    <x v="0"/>
    <x v="0"/>
    <x v="1"/>
    <x v="3"/>
    <x v="3"/>
    <x v="3"/>
    <n v="11.365905733103574"/>
  </r>
  <r>
    <x v="10"/>
    <x v="0"/>
    <x v="10"/>
    <x v="10"/>
    <x v="0"/>
    <x v="1"/>
    <x v="0"/>
    <x v="0"/>
    <x v="0"/>
    <x v="0"/>
    <x v="0"/>
    <x v="0"/>
    <x v="3"/>
    <x v="7"/>
    <x v="7"/>
    <x v="6"/>
    <x v="6"/>
    <n v="144.96856"/>
    <x v="0"/>
    <x v="0"/>
    <x v="0"/>
    <x v="0"/>
    <x v="4"/>
    <x v="6"/>
    <n v="158.0157304"/>
  </r>
  <r>
    <x v="10"/>
    <x v="0"/>
    <x v="10"/>
    <x v="10"/>
    <x v="0"/>
    <x v="1"/>
    <x v="0"/>
    <x v="0"/>
    <x v="0"/>
    <x v="0"/>
    <x v="0"/>
    <x v="0"/>
    <x v="3"/>
    <x v="7"/>
    <x v="7"/>
    <x v="9"/>
    <x v="9"/>
    <n v="532.48110407583499"/>
    <x v="0"/>
    <x v="0"/>
    <x v="1"/>
    <x v="4"/>
    <x v="5"/>
    <x v="9"/>
    <n v="580.40440344266017"/>
  </r>
  <r>
    <x v="10"/>
    <x v="0"/>
    <x v="10"/>
    <x v="10"/>
    <x v="0"/>
    <x v="1"/>
    <x v="0"/>
    <x v="0"/>
    <x v="0"/>
    <x v="0"/>
    <x v="0"/>
    <x v="0"/>
    <x v="3"/>
    <x v="7"/>
    <x v="7"/>
    <x v="10"/>
    <x v="10"/>
    <n v="89.860207003380495"/>
    <x v="0"/>
    <x v="0"/>
    <x v="1"/>
    <x v="4"/>
    <x v="5"/>
    <x v="10"/>
    <n v="97.947625633684751"/>
  </r>
  <r>
    <x v="10"/>
    <x v="0"/>
    <x v="10"/>
    <x v="10"/>
    <x v="0"/>
    <x v="1"/>
    <x v="0"/>
    <x v="0"/>
    <x v="0"/>
    <x v="0"/>
    <x v="0"/>
    <x v="0"/>
    <x v="3"/>
    <x v="7"/>
    <x v="7"/>
    <x v="11"/>
    <x v="11"/>
    <n v="322.14891999999998"/>
    <x v="0"/>
    <x v="0"/>
    <x v="3"/>
    <x v="5"/>
    <x v="7"/>
    <x v="11"/>
    <n v="351.14232279999999"/>
  </r>
  <r>
    <x v="10"/>
    <x v="0"/>
    <x v="10"/>
    <x v="10"/>
    <x v="0"/>
    <x v="1"/>
    <x v="0"/>
    <x v="0"/>
    <x v="0"/>
    <x v="0"/>
    <x v="0"/>
    <x v="0"/>
    <x v="3"/>
    <x v="7"/>
    <x v="7"/>
    <x v="36"/>
    <x v="36"/>
    <n v="157.197752293484"/>
    <x v="0"/>
    <x v="0"/>
    <x v="1"/>
    <x v="3"/>
    <x v="3"/>
    <x v="4"/>
    <n v="171.34554999989757"/>
  </r>
  <r>
    <x v="10"/>
    <x v="0"/>
    <x v="10"/>
    <x v="10"/>
    <x v="0"/>
    <x v="1"/>
    <x v="0"/>
    <x v="0"/>
    <x v="0"/>
    <x v="0"/>
    <x v="0"/>
    <x v="0"/>
    <x v="3"/>
    <x v="7"/>
    <x v="7"/>
    <x v="24"/>
    <x v="24"/>
    <n v="274.15220183469802"/>
    <x v="0"/>
    <x v="0"/>
    <x v="1"/>
    <x v="3"/>
    <x v="3"/>
    <x v="4"/>
    <n v="298.82589999982088"/>
  </r>
  <r>
    <x v="10"/>
    <x v="0"/>
    <x v="10"/>
    <x v="10"/>
    <x v="0"/>
    <x v="1"/>
    <x v="0"/>
    <x v="0"/>
    <x v="0"/>
    <x v="0"/>
    <x v="0"/>
    <x v="0"/>
    <x v="3"/>
    <x v="7"/>
    <x v="7"/>
    <x v="17"/>
    <x v="17"/>
    <n v="863.13374999999996"/>
    <x v="0"/>
    <x v="0"/>
    <x v="0"/>
    <x v="0"/>
    <x v="4"/>
    <x v="17"/>
    <n v="940.81578750000006"/>
  </r>
  <r>
    <x v="10"/>
    <x v="0"/>
    <x v="10"/>
    <x v="10"/>
    <x v="0"/>
    <x v="1"/>
    <x v="0"/>
    <x v="0"/>
    <x v="0"/>
    <x v="0"/>
    <x v="0"/>
    <x v="0"/>
    <x v="3"/>
    <x v="7"/>
    <x v="7"/>
    <x v="18"/>
    <x v="18"/>
    <n v="43.852440000000001"/>
    <x v="0"/>
    <x v="0"/>
    <x v="0"/>
    <x v="0"/>
    <x v="4"/>
    <x v="18"/>
    <n v="47.799159600000003"/>
  </r>
  <r>
    <x v="10"/>
    <x v="0"/>
    <x v="10"/>
    <x v="10"/>
    <x v="0"/>
    <x v="1"/>
    <x v="0"/>
    <x v="0"/>
    <x v="0"/>
    <x v="0"/>
    <x v="0"/>
    <x v="0"/>
    <x v="3"/>
    <x v="7"/>
    <x v="7"/>
    <x v="34"/>
    <x v="34"/>
    <n v="116.244890827718"/>
    <x v="0"/>
    <x v="0"/>
    <x v="0"/>
    <x v="0"/>
    <x v="0"/>
    <x v="0"/>
    <n v="126.70693100221263"/>
  </r>
  <r>
    <x v="10"/>
    <x v="0"/>
    <x v="10"/>
    <x v="10"/>
    <x v="0"/>
    <x v="1"/>
    <x v="0"/>
    <x v="0"/>
    <x v="0"/>
    <x v="0"/>
    <x v="0"/>
    <x v="0"/>
    <x v="3"/>
    <x v="7"/>
    <x v="7"/>
    <x v="26"/>
    <x v="26"/>
    <n v="12.2608440366899"/>
    <x v="0"/>
    <x v="0"/>
    <x v="1"/>
    <x v="3"/>
    <x v="3"/>
    <x v="15"/>
    <n v="13.364319999991991"/>
  </r>
  <r>
    <x v="10"/>
    <x v="0"/>
    <x v="10"/>
    <x v="10"/>
    <x v="0"/>
    <x v="1"/>
    <x v="0"/>
    <x v="0"/>
    <x v="0"/>
    <x v="0"/>
    <x v="0"/>
    <x v="0"/>
    <x v="1"/>
    <x v="8"/>
    <x v="8"/>
    <x v="6"/>
    <x v="6"/>
    <n v="147.99621999999999"/>
    <x v="0"/>
    <x v="0"/>
    <x v="0"/>
    <x v="0"/>
    <x v="4"/>
    <x v="6"/>
    <n v="161.3158798"/>
  </r>
  <r>
    <x v="10"/>
    <x v="0"/>
    <x v="10"/>
    <x v="10"/>
    <x v="0"/>
    <x v="1"/>
    <x v="0"/>
    <x v="0"/>
    <x v="0"/>
    <x v="0"/>
    <x v="0"/>
    <x v="0"/>
    <x v="1"/>
    <x v="8"/>
    <x v="8"/>
    <x v="8"/>
    <x v="8"/>
    <n v="447.273648651511"/>
    <x v="0"/>
    <x v="1"/>
    <x v="2"/>
    <x v="2"/>
    <x v="6"/>
    <x v="8"/>
    <n v="487.52827703014702"/>
  </r>
  <r>
    <x v="10"/>
    <x v="0"/>
    <x v="10"/>
    <x v="10"/>
    <x v="0"/>
    <x v="1"/>
    <x v="0"/>
    <x v="0"/>
    <x v="0"/>
    <x v="0"/>
    <x v="0"/>
    <x v="0"/>
    <x v="1"/>
    <x v="8"/>
    <x v="8"/>
    <x v="9"/>
    <x v="9"/>
    <n v="979.10698297435704"/>
    <x v="0"/>
    <x v="0"/>
    <x v="1"/>
    <x v="4"/>
    <x v="5"/>
    <x v="9"/>
    <n v="1067.2266114420493"/>
  </r>
  <r>
    <x v="10"/>
    <x v="0"/>
    <x v="10"/>
    <x v="10"/>
    <x v="0"/>
    <x v="1"/>
    <x v="0"/>
    <x v="0"/>
    <x v="0"/>
    <x v="0"/>
    <x v="0"/>
    <x v="0"/>
    <x v="1"/>
    <x v="8"/>
    <x v="8"/>
    <x v="10"/>
    <x v="10"/>
    <n v="111.735892007554"/>
    <x v="0"/>
    <x v="0"/>
    <x v="1"/>
    <x v="4"/>
    <x v="5"/>
    <x v="10"/>
    <n v="121.79212228823387"/>
  </r>
  <r>
    <x v="10"/>
    <x v="0"/>
    <x v="10"/>
    <x v="10"/>
    <x v="0"/>
    <x v="1"/>
    <x v="0"/>
    <x v="0"/>
    <x v="0"/>
    <x v="0"/>
    <x v="0"/>
    <x v="0"/>
    <x v="1"/>
    <x v="8"/>
    <x v="8"/>
    <x v="11"/>
    <x v="11"/>
    <n v="22.8766"/>
    <x v="0"/>
    <x v="0"/>
    <x v="3"/>
    <x v="5"/>
    <x v="7"/>
    <x v="11"/>
    <n v="24.935494000000002"/>
  </r>
  <r>
    <x v="10"/>
    <x v="0"/>
    <x v="10"/>
    <x v="10"/>
    <x v="0"/>
    <x v="1"/>
    <x v="0"/>
    <x v="0"/>
    <x v="0"/>
    <x v="0"/>
    <x v="0"/>
    <x v="0"/>
    <x v="1"/>
    <x v="8"/>
    <x v="8"/>
    <x v="36"/>
    <x v="36"/>
    <n v="7.0891467889865698"/>
    <x v="0"/>
    <x v="0"/>
    <x v="1"/>
    <x v="3"/>
    <x v="3"/>
    <x v="4"/>
    <n v="7.727169999995362"/>
  </r>
  <r>
    <x v="10"/>
    <x v="0"/>
    <x v="10"/>
    <x v="10"/>
    <x v="0"/>
    <x v="1"/>
    <x v="0"/>
    <x v="0"/>
    <x v="0"/>
    <x v="0"/>
    <x v="0"/>
    <x v="0"/>
    <x v="1"/>
    <x v="8"/>
    <x v="8"/>
    <x v="24"/>
    <x v="24"/>
    <n v="323.20458715576899"/>
    <x v="0"/>
    <x v="0"/>
    <x v="1"/>
    <x v="3"/>
    <x v="3"/>
    <x v="4"/>
    <n v="352.29299999978821"/>
  </r>
  <r>
    <x v="10"/>
    <x v="0"/>
    <x v="10"/>
    <x v="10"/>
    <x v="0"/>
    <x v="1"/>
    <x v="0"/>
    <x v="0"/>
    <x v="0"/>
    <x v="0"/>
    <x v="0"/>
    <x v="0"/>
    <x v="1"/>
    <x v="8"/>
    <x v="8"/>
    <x v="17"/>
    <x v="17"/>
    <n v="78.261750000000006"/>
    <x v="0"/>
    <x v="0"/>
    <x v="0"/>
    <x v="0"/>
    <x v="4"/>
    <x v="17"/>
    <n v="85.305307500000012"/>
  </r>
  <r>
    <x v="10"/>
    <x v="0"/>
    <x v="10"/>
    <x v="10"/>
    <x v="0"/>
    <x v="1"/>
    <x v="0"/>
    <x v="0"/>
    <x v="0"/>
    <x v="0"/>
    <x v="0"/>
    <x v="0"/>
    <x v="1"/>
    <x v="8"/>
    <x v="8"/>
    <x v="21"/>
    <x v="21"/>
    <n v="22.303990825674699"/>
    <x v="0"/>
    <x v="0"/>
    <x v="1"/>
    <x v="4"/>
    <x v="5"/>
    <x v="10"/>
    <n v="24.311349999985424"/>
  </r>
  <r>
    <x v="10"/>
    <x v="0"/>
    <x v="10"/>
    <x v="10"/>
    <x v="0"/>
    <x v="1"/>
    <x v="0"/>
    <x v="0"/>
    <x v="0"/>
    <x v="0"/>
    <x v="0"/>
    <x v="0"/>
    <x v="1"/>
    <x v="8"/>
    <x v="8"/>
    <x v="18"/>
    <x v="18"/>
    <n v="17.227740000000001"/>
    <x v="0"/>
    <x v="0"/>
    <x v="0"/>
    <x v="0"/>
    <x v="4"/>
    <x v="18"/>
    <n v="18.778236600000003"/>
  </r>
  <r>
    <x v="10"/>
    <x v="0"/>
    <x v="10"/>
    <x v="10"/>
    <x v="0"/>
    <x v="1"/>
    <x v="0"/>
    <x v="0"/>
    <x v="0"/>
    <x v="0"/>
    <x v="0"/>
    <x v="0"/>
    <x v="1"/>
    <x v="8"/>
    <x v="8"/>
    <x v="34"/>
    <x v="34"/>
    <n v="16.318351091425601"/>
    <x v="0"/>
    <x v="0"/>
    <x v="0"/>
    <x v="0"/>
    <x v="0"/>
    <x v="0"/>
    <n v="17.787002689653907"/>
  </r>
  <r>
    <x v="10"/>
    <x v="0"/>
    <x v="10"/>
    <x v="10"/>
    <x v="0"/>
    <x v="1"/>
    <x v="0"/>
    <x v="0"/>
    <x v="0"/>
    <x v="0"/>
    <x v="0"/>
    <x v="0"/>
    <x v="1"/>
    <x v="8"/>
    <x v="8"/>
    <x v="37"/>
    <x v="37"/>
    <n v="225.57076146775501"/>
    <x v="0"/>
    <x v="0"/>
    <x v="1"/>
    <x v="3"/>
    <x v="3"/>
    <x v="4"/>
    <n v="245.87212999985297"/>
  </r>
  <r>
    <x v="10"/>
    <x v="0"/>
    <x v="10"/>
    <x v="10"/>
    <x v="0"/>
    <x v="1"/>
    <x v="0"/>
    <x v="0"/>
    <x v="0"/>
    <x v="0"/>
    <x v="0"/>
    <x v="0"/>
    <x v="1"/>
    <x v="8"/>
    <x v="8"/>
    <x v="26"/>
    <x v="26"/>
    <n v="28.761467889891001"/>
    <x v="0"/>
    <x v="0"/>
    <x v="1"/>
    <x v="3"/>
    <x v="3"/>
    <x v="15"/>
    <n v="31.349999999981193"/>
  </r>
  <r>
    <x v="10"/>
    <x v="0"/>
    <x v="10"/>
    <x v="10"/>
    <x v="0"/>
    <x v="1"/>
    <x v="0"/>
    <x v="0"/>
    <x v="0"/>
    <x v="0"/>
    <x v="0"/>
    <x v="0"/>
    <x v="1"/>
    <x v="8"/>
    <x v="8"/>
    <x v="0"/>
    <x v="0"/>
    <n v="41.616572063940403"/>
    <x v="0"/>
    <x v="0"/>
    <x v="0"/>
    <x v="0"/>
    <x v="0"/>
    <x v="0"/>
    <n v="45.362063549695044"/>
  </r>
  <r>
    <x v="10"/>
    <x v="0"/>
    <x v="10"/>
    <x v="10"/>
    <x v="0"/>
    <x v="1"/>
    <x v="0"/>
    <x v="0"/>
    <x v="0"/>
    <x v="0"/>
    <x v="0"/>
    <x v="0"/>
    <x v="0"/>
    <x v="9"/>
    <x v="9"/>
    <x v="6"/>
    <x v="6"/>
    <n v="386.94783000000001"/>
    <x v="0"/>
    <x v="0"/>
    <x v="0"/>
    <x v="0"/>
    <x v="4"/>
    <x v="6"/>
    <n v="421.77313470000001"/>
  </r>
  <r>
    <x v="10"/>
    <x v="0"/>
    <x v="10"/>
    <x v="10"/>
    <x v="0"/>
    <x v="1"/>
    <x v="0"/>
    <x v="0"/>
    <x v="0"/>
    <x v="0"/>
    <x v="0"/>
    <x v="0"/>
    <x v="0"/>
    <x v="9"/>
    <x v="9"/>
    <x v="7"/>
    <x v="7"/>
    <n v="464.27367889880401"/>
    <x v="0"/>
    <x v="0"/>
    <x v="1"/>
    <x v="4"/>
    <x v="5"/>
    <x v="7"/>
    <n v="506.05830999969641"/>
  </r>
  <r>
    <x v="10"/>
    <x v="0"/>
    <x v="10"/>
    <x v="10"/>
    <x v="0"/>
    <x v="1"/>
    <x v="0"/>
    <x v="0"/>
    <x v="0"/>
    <x v="0"/>
    <x v="0"/>
    <x v="0"/>
    <x v="0"/>
    <x v="9"/>
    <x v="9"/>
    <x v="9"/>
    <x v="9"/>
    <n v="5249.2722779510796"/>
    <x v="0"/>
    <x v="0"/>
    <x v="1"/>
    <x v="4"/>
    <x v="5"/>
    <x v="9"/>
    <n v="5721.7067829666776"/>
  </r>
  <r>
    <x v="10"/>
    <x v="0"/>
    <x v="10"/>
    <x v="10"/>
    <x v="0"/>
    <x v="1"/>
    <x v="0"/>
    <x v="0"/>
    <x v="0"/>
    <x v="0"/>
    <x v="0"/>
    <x v="0"/>
    <x v="0"/>
    <x v="9"/>
    <x v="9"/>
    <x v="10"/>
    <x v="10"/>
    <n v="152.89557604796801"/>
    <x v="0"/>
    <x v="0"/>
    <x v="1"/>
    <x v="4"/>
    <x v="5"/>
    <x v="10"/>
    <n v="166.65617789228514"/>
  </r>
  <r>
    <x v="10"/>
    <x v="0"/>
    <x v="10"/>
    <x v="10"/>
    <x v="0"/>
    <x v="1"/>
    <x v="0"/>
    <x v="0"/>
    <x v="0"/>
    <x v="0"/>
    <x v="0"/>
    <x v="0"/>
    <x v="0"/>
    <x v="9"/>
    <x v="9"/>
    <x v="11"/>
    <x v="11"/>
    <n v="189.69112000000001"/>
    <x v="0"/>
    <x v="0"/>
    <x v="3"/>
    <x v="5"/>
    <x v="7"/>
    <x v="11"/>
    <n v="206.76332080000003"/>
  </r>
  <r>
    <x v="10"/>
    <x v="0"/>
    <x v="10"/>
    <x v="10"/>
    <x v="0"/>
    <x v="1"/>
    <x v="0"/>
    <x v="0"/>
    <x v="0"/>
    <x v="0"/>
    <x v="0"/>
    <x v="0"/>
    <x v="0"/>
    <x v="9"/>
    <x v="9"/>
    <x v="12"/>
    <x v="12"/>
    <n v="30.086976744071698"/>
    <x v="0"/>
    <x v="0"/>
    <x v="0"/>
    <x v="0"/>
    <x v="8"/>
    <x v="12"/>
    <n v="32.794804651038156"/>
  </r>
  <r>
    <x v="10"/>
    <x v="0"/>
    <x v="10"/>
    <x v="10"/>
    <x v="0"/>
    <x v="1"/>
    <x v="0"/>
    <x v="0"/>
    <x v="0"/>
    <x v="0"/>
    <x v="0"/>
    <x v="0"/>
    <x v="3"/>
    <x v="3"/>
    <x v="3"/>
    <x v="4"/>
    <x v="4"/>
    <n v="20.7807247706297"/>
    <x v="0"/>
    <x v="0"/>
    <x v="1"/>
    <x v="3"/>
    <x v="3"/>
    <x v="4"/>
    <n v="22.650989999986376"/>
  </r>
  <r>
    <x v="10"/>
    <x v="0"/>
    <x v="10"/>
    <x v="10"/>
    <x v="0"/>
    <x v="1"/>
    <x v="0"/>
    <x v="0"/>
    <x v="0"/>
    <x v="0"/>
    <x v="0"/>
    <x v="0"/>
    <x v="3"/>
    <x v="3"/>
    <x v="3"/>
    <x v="8"/>
    <x v="8"/>
    <n v="119.179702703465"/>
    <x v="0"/>
    <x v="1"/>
    <x v="2"/>
    <x v="2"/>
    <x v="6"/>
    <x v="8"/>
    <n v="129.90587594677686"/>
  </r>
  <r>
    <x v="10"/>
    <x v="0"/>
    <x v="10"/>
    <x v="10"/>
    <x v="0"/>
    <x v="1"/>
    <x v="0"/>
    <x v="0"/>
    <x v="0"/>
    <x v="0"/>
    <x v="0"/>
    <x v="0"/>
    <x v="3"/>
    <x v="3"/>
    <x v="3"/>
    <x v="9"/>
    <x v="9"/>
    <n v="25.560532110076402"/>
    <x v="0"/>
    <x v="0"/>
    <x v="1"/>
    <x v="4"/>
    <x v="5"/>
    <x v="9"/>
    <n v="27.860979999983279"/>
  </r>
  <r>
    <x v="10"/>
    <x v="0"/>
    <x v="10"/>
    <x v="10"/>
    <x v="0"/>
    <x v="1"/>
    <x v="0"/>
    <x v="0"/>
    <x v="0"/>
    <x v="0"/>
    <x v="0"/>
    <x v="0"/>
    <x v="3"/>
    <x v="3"/>
    <x v="3"/>
    <x v="12"/>
    <x v="12"/>
    <n v="16.930813953424"/>
    <x v="0"/>
    <x v="0"/>
    <x v="0"/>
    <x v="0"/>
    <x v="8"/>
    <x v="12"/>
    <n v="18.454587209232162"/>
  </r>
  <r>
    <x v="10"/>
    <x v="0"/>
    <x v="10"/>
    <x v="10"/>
    <x v="0"/>
    <x v="1"/>
    <x v="0"/>
    <x v="0"/>
    <x v="0"/>
    <x v="0"/>
    <x v="0"/>
    <x v="0"/>
    <x v="3"/>
    <x v="3"/>
    <x v="3"/>
    <x v="14"/>
    <x v="14"/>
    <n v="134.10659000000001"/>
    <x v="0"/>
    <x v="0"/>
    <x v="0"/>
    <x v="0"/>
    <x v="8"/>
    <x v="14"/>
    <n v="146.17618310000003"/>
  </r>
  <r>
    <x v="10"/>
    <x v="0"/>
    <x v="10"/>
    <x v="10"/>
    <x v="0"/>
    <x v="1"/>
    <x v="0"/>
    <x v="0"/>
    <x v="0"/>
    <x v="0"/>
    <x v="0"/>
    <x v="0"/>
    <x v="3"/>
    <x v="3"/>
    <x v="3"/>
    <x v="16"/>
    <x v="16"/>
    <n v="478.14100000000002"/>
    <x v="0"/>
    <x v="0"/>
    <x v="3"/>
    <x v="5"/>
    <x v="9"/>
    <x v="16"/>
    <n v="521.17369000000008"/>
  </r>
  <r>
    <x v="10"/>
    <x v="0"/>
    <x v="10"/>
    <x v="10"/>
    <x v="0"/>
    <x v="1"/>
    <x v="0"/>
    <x v="0"/>
    <x v="0"/>
    <x v="0"/>
    <x v="0"/>
    <x v="0"/>
    <x v="3"/>
    <x v="3"/>
    <x v="3"/>
    <x v="17"/>
    <x v="17"/>
    <n v="47.003999999999998"/>
    <x v="0"/>
    <x v="0"/>
    <x v="0"/>
    <x v="0"/>
    <x v="4"/>
    <x v="17"/>
    <n v="51.234360000000002"/>
  </r>
  <r>
    <x v="10"/>
    <x v="0"/>
    <x v="10"/>
    <x v="10"/>
    <x v="0"/>
    <x v="1"/>
    <x v="0"/>
    <x v="0"/>
    <x v="0"/>
    <x v="0"/>
    <x v="0"/>
    <x v="0"/>
    <x v="3"/>
    <x v="3"/>
    <x v="3"/>
    <x v="27"/>
    <x v="27"/>
    <n v="273.81863964544499"/>
    <x v="0"/>
    <x v="0"/>
    <x v="1"/>
    <x v="3"/>
    <x v="3"/>
    <x v="19"/>
    <n v="298.46231721353507"/>
  </r>
  <r>
    <x v="10"/>
    <x v="0"/>
    <x v="10"/>
    <x v="10"/>
    <x v="0"/>
    <x v="1"/>
    <x v="0"/>
    <x v="0"/>
    <x v="0"/>
    <x v="0"/>
    <x v="0"/>
    <x v="0"/>
    <x v="3"/>
    <x v="3"/>
    <x v="3"/>
    <x v="26"/>
    <x v="26"/>
    <n v="51.167073394464701"/>
    <x v="0"/>
    <x v="0"/>
    <x v="1"/>
    <x v="3"/>
    <x v="3"/>
    <x v="15"/>
    <n v="55.772109999966531"/>
  </r>
  <r>
    <x v="10"/>
    <x v="0"/>
    <x v="10"/>
    <x v="10"/>
    <x v="0"/>
    <x v="1"/>
    <x v="0"/>
    <x v="0"/>
    <x v="0"/>
    <x v="0"/>
    <x v="0"/>
    <x v="0"/>
    <x v="3"/>
    <x v="3"/>
    <x v="3"/>
    <x v="2"/>
    <x v="2"/>
    <n v="914.39019266000196"/>
    <x v="0"/>
    <x v="1"/>
    <x v="2"/>
    <x v="2"/>
    <x v="13"/>
    <x v="2"/>
    <n v="996.68530999940219"/>
  </r>
  <r>
    <x v="10"/>
    <x v="0"/>
    <x v="10"/>
    <x v="10"/>
    <x v="0"/>
    <x v="1"/>
    <x v="0"/>
    <x v="0"/>
    <x v="0"/>
    <x v="0"/>
    <x v="0"/>
    <x v="0"/>
    <x v="3"/>
    <x v="12"/>
    <x v="3"/>
    <x v="8"/>
    <x v="8"/>
    <n v="8057.2709730245397"/>
    <x v="0"/>
    <x v="1"/>
    <x v="2"/>
    <x v="2"/>
    <x v="6"/>
    <x v="8"/>
    <n v="8782.4253605967497"/>
  </r>
  <r>
    <x v="10"/>
    <x v="0"/>
    <x v="10"/>
    <x v="10"/>
    <x v="0"/>
    <x v="1"/>
    <x v="0"/>
    <x v="0"/>
    <x v="0"/>
    <x v="0"/>
    <x v="0"/>
    <x v="0"/>
    <x v="3"/>
    <x v="12"/>
    <x v="3"/>
    <x v="12"/>
    <x v="12"/>
    <n v="2523.4985116183202"/>
    <x v="0"/>
    <x v="0"/>
    <x v="0"/>
    <x v="0"/>
    <x v="8"/>
    <x v="12"/>
    <n v="2750.613377663969"/>
  </r>
  <r>
    <x v="10"/>
    <x v="0"/>
    <x v="10"/>
    <x v="10"/>
    <x v="0"/>
    <x v="1"/>
    <x v="0"/>
    <x v="0"/>
    <x v="0"/>
    <x v="0"/>
    <x v="0"/>
    <x v="0"/>
    <x v="3"/>
    <x v="12"/>
    <x v="3"/>
    <x v="2"/>
    <x v="2"/>
    <n v="8542.9409724719408"/>
    <x v="0"/>
    <x v="1"/>
    <x v="2"/>
    <x v="2"/>
    <x v="13"/>
    <x v="2"/>
    <n v="9311.8056599944157"/>
  </r>
  <r>
    <x v="10"/>
    <x v="0"/>
    <x v="10"/>
    <x v="10"/>
    <x v="0"/>
    <x v="1"/>
    <x v="0"/>
    <x v="0"/>
    <x v="0"/>
    <x v="0"/>
    <x v="0"/>
    <x v="0"/>
    <x v="0"/>
    <x v="4"/>
    <x v="4"/>
    <x v="4"/>
    <x v="4"/>
    <n v="175.25435779806"/>
    <x v="0"/>
    <x v="0"/>
    <x v="1"/>
    <x v="3"/>
    <x v="3"/>
    <x v="4"/>
    <n v="191.02724999988541"/>
  </r>
  <r>
    <x v="10"/>
    <x v="0"/>
    <x v="10"/>
    <x v="10"/>
    <x v="0"/>
    <x v="1"/>
    <x v="0"/>
    <x v="0"/>
    <x v="0"/>
    <x v="0"/>
    <x v="0"/>
    <x v="0"/>
    <x v="0"/>
    <x v="4"/>
    <x v="4"/>
    <x v="6"/>
    <x v="6"/>
    <n v="9.9"/>
    <x v="0"/>
    <x v="0"/>
    <x v="0"/>
    <x v="0"/>
    <x v="4"/>
    <x v="6"/>
    <n v="10.791"/>
  </r>
  <r>
    <x v="10"/>
    <x v="0"/>
    <x v="10"/>
    <x v="10"/>
    <x v="0"/>
    <x v="1"/>
    <x v="0"/>
    <x v="0"/>
    <x v="0"/>
    <x v="0"/>
    <x v="0"/>
    <x v="0"/>
    <x v="0"/>
    <x v="4"/>
    <x v="4"/>
    <x v="7"/>
    <x v="7"/>
    <n v="1.3458715596322199"/>
    <x v="0"/>
    <x v="0"/>
    <x v="1"/>
    <x v="4"/>
    <x v="5"/>
    <x v="7"/>
    <n v="1.4669999999991199"/>
  </r>
  <r>
    <x v="10"/>
    <x v="0"/>
    <x v="10"/>
    <x v="10"/>
    <x v="0"/>
    <x v="1"/>
    <x v="0"/>
    <x v="0"/>
    <x v="0"/>
    <x v="0"/>
    <x v="0"/>
    <x v="0"/>
    <x v="0"/>
    <x v="4"/>
    <x v="4"/>
    <x v="8"/>
    <x v="8"/>
    <n v="187.66958108228201"/>
    <x v="0"/>
    <x v="1"/>
    <x v="2"/>
    <x v="2"/>
    <x v="6"/>
    <x v="8"/>
    <n v="204.55984337968741"/>
  </r>
  <r>
    <x v="10"/>
    <x v="0"/>
    <x v="10"/>
    <x v="10"/>
    <x v="0"/>
    <x v="1"/>
    <x v="0"/>
    <x v="0"/>
    <x v="0"/>
    <x v="0"/>
    <x v="0"/>
    <x v="0"/>
    <x v="0"/>
    <x v="4"/>
    <x v="4"/>
    <x v="9"/>
    <x v="9"/>
    <n v="68.678449541243197"/>
    <x v="0"/>
    <x v="0"/>
    <x v="1"/>
    <x v="4"/>
    <x v="5"/>
    <x v="9"/>
    <n v="74.859509999955094"/>
  </r>
  <r>
    <x v="10"/>
    <x v="0"/>
    <x v="10"/>
    <x v="10"/>
    <x v="0"/>
    <x v="1"/>
    <x v="0"/>
    <x v="0"/>
    <x v="0"/>
    <x v="0"/>
    <x v="0"/>
    <x v="0"/>
    <x v="0"/>
    <x v="4"/>
    <x v="4"/>
    <x v="29"/>
    <x v="29"/>
    <n v="69.011930000000007"/>
    <x v="0"/>
    <x v="0"/>
    <x v="1"/>
    <x v="3"/>
    <x v="3"/>
    <x v="13"/>
    <n v="75.223003700000007"/>
  </r>
  <r>
    <x v="10"/>
    <x v="0"/>
    <x v="10"/>
    <x v="10"/>
    <x v="0"/>
    <x v="1"/>
    <x v="0"/>
    <x v="0"/>
    <x v="0"/>
    <x v="0"/>
    <x v="0"/>
    <x v="0"/>
    <x v="0"/>
    <x v="4"/>
    <x v="4"/>
    <x v="12"/>
    <x v="12"/>
    <n v="821.34244185734406"/>
    <x v="0"/>
    <x v="0"/>
    <x v="0"/>
    <x v="0"/>
    <x v="8"/>
    <x v="12"/>
    <n v="895.26326162450505"/>
  </r>
  <r>
    <x v="10"/>
    <x v="0"/>
    <x v="10"/>
    <x v="10"/>
    <x v="0"/>
    <x v="1"/>
    <x v="0"/>
    <x v="0"/>
    <x v="0"/>
    <x v="0"/>
    <x v="0"/>
    <x v="0"/>
    <x v="0"/>
    <x v="4"/>
    <x v="4"/>
    <x v="32"/>
    <x v="32"/>
    <n v="13.439716311752999"/>
    <x v="0"/>
    <x v="0"/>
    <x v="1"/>
    <x v="1"/>
    <x v="1"/>
    <x v="20"/>
    <n v="14.649290779810769"/>
  </r>
  <r>
    <x v="10"/>
    <x v="0"/>
    <x v="10"/>
    <x v="10"/>
    <x v="0"/>
    <x v="1"/>
    <x v="0"/>
    <x v="0"/>
    <x v="0"/>
    <x v="0"/>
    <x v="0"/>
    <x v="0"/>
    <x v="0"/>
    <x v="4"/>
    <x v="4"/>
    <x v="14"/>
    <x v="14"/>
    <n v="302.87947000000003"/>
    <x v="0"/>
    <x v="0"/>
    <x v="0"/>
    <x v="0"/>
    <x v="8"/>
    <x v="14"/>
    <n v="330.13862230000007"/>
  </r>
  <r>
    <x v="10"/>
    <x v="0"/>
    <x v="10"/>
    <x v="10"/>
    <x v="0"/>
    <x v="1"/>
    <x v="0"/>
    <x v="0"/>
    <x v="0"/>
    <x v="0"/>
    <x v="0"/>
    <x v="0"/>
    <x v="0"/>
    <x v="4"/>
    <x v="4"/>
    <x v="16"/>
    <x v="16"/>
    <n v="1309.02091"/>
    <x v="0"/>
    <x v="0"/>
    <x v="3"/>
    <x v="5"/>
    <x v="9"/>
    <x v="16"/>
    <n v="1426.8327919000001"/>
  </r>
  <r>
    <x v="10"/>
    <x v="0"/>
    <x v="10"/>
    <x v="10"/>
    <x v="0"/>
    <x v="1"/>
    <x v="0"/>
    <x v="0"/>
    <x v="0"/>
    <x v="0"/>
    <x v="0"/>
    <x v="0"/>
    <x v="0"/>
    <x v="4"/>
    <x v="4"/>
    <x v="24"/>
    <x v="24"/>
    <n v="53.807073394463103"/>
    <x v="0"/>
    <x v="0"/>
    <x v="1"/>
    <x v="3"/>
    <x v="3"/>
    <x v="4"/>
    <n v="58.649709999964784"/>
  </r>
  <r>
    <x v="10"/>
    <x v="0"/>
    <x v="10"/>
    <x v="10"/>
    <x v="0"/>
    <x v="1"/>
    <x v="0"/>
    <x v="0"/>
    <x v="0"/>
    <x v="0"/>
    <x v="0"/>
    <x v="0"/>
    <x v="0"/>
    <x v="4"/>
    <x v="4"/>
    <x v="18"/>
    <x v="18"/>
    <n v="96.207840000000004"/>
    <x v="0"/>
    <x v="0"/>
    <x v="0"/>
    <x v="0"/>
    <x v="4"/>
    <x v="18"/>
    <n v="104.86654560000001"/>
  </r>
  <r>
    <x v="10"/>
    <x v="0"/>
    <x v="10"/>
    <x v="10"/>
    <x v="0"/>
    <x v="1"/>
    <x v="0"/>
    <x v="0"/>
    <x v="0"/>
    <x v="0"/>
    <x v="0"/>
    <x v="0"/>
    <x v="0"/>
    <x v="4"/>
    <x v="4"/>
    <x v="27"/>
    <x v="27"/>
    <n v="354.67173198950098"/>
    <x v="0"/>
    <x v="0"/>
    <x v="1"/>
    <x v="3"/>
    <x v="3"/>
    <x v="19"/>
    <n v="386.5921878685561"/>
  </r>
  <r>
    <x v="10"/>
    <x v="0"/>
    <x v="10"/>
    <x v="10"/>
    <x v="0"/>
    <x v="1"/>
    <x v="0"/>
    <x v="0"/>
    <x v="0"/>
    <x v="0"/>
    <x v="0"/>
    <x v="0"/>
    <x v="0"/>
    <x v="4"/>
    <x v="4"/>
    <x v="26"/>
    <x v="26"/>
    <n v="970.82766972418801"/>
    <x v="0"/>
    <x v="0"/>
    <x v="1"/>
    <x v="3"/>
    <x v="3"/>
    <x v="15"/>
    <n v="1058.202159999365"/>
  </r>
  <r>
    <x v="10"/>
    <x v="0"/>
    <x v="10"/>
    <x v="10"/>
    <x v="0"/>
    <x v="1"/>
    <x v="0"/>
    <x v="0"/>
    <x v="0"/>
    <x v="0"/>
    <x v="0"/>
    <x v="0"/>
    <x v="0"/>
    <x v="4"/>
    <x v="4"/>
    <x v="1"/>
    <x v="1"/>
    <n v="510.33931034202101"/>
    <x v="0"/>
    <x v="0"/>
    <x v="1"/>
    <x v="1"/>
    <x v="1"/>
    <x v="1"/>
    <n v="556.26984827280296"/>
  </r>
  <r>
    <x v="10"/>
    <x v="0"/>
    <x v="10"/>
    <x v="10"/>
    <x v="0"/>
    <x v="1"/>
    <x v="0"/>
    <x v="0"/>
    <x v="0"/>
    <x v="0"/>
    <x v="0"/>
    <x v="0"/>
    <x v="0"/>
    <x v="4"/>
    <x v="4"/>
    <x v="20"/>
    <x v="20"/>
    <n v="151.32289"/>
    <x v="0"/>
    <x v="0"/>
    <x v="1"/>
    <x v="3"/>
    <x v="3"/>
    <x v="13"/>
    <n v="164.94195010000001"/>
  </r>
  <r>
    <x v="10"/>
    <x v="0"/>
    <x v="10"/>
    <x v="10"/>
    <x v="0"/>
    <x v="1"/>
    <x v="0"/>
    <x v="0"/>
    <x v="0"/>
    <x v="0"/>
    <x v="0"/>
    <x v="0"/>
    <x v="0"/>
    <x v="4"/>
    <x v="4"/>
    <x v="2"/>
    <x v="2"/>
    <n v="3973.9389724746802"/>
    <x v="0"/>
    <x v="1"/>
    <x v="2"/>
    <x v="2"/>
    <x v="13"/>
    <x v="2"/>
    <n v="4331.593479997402"/>
  </r>
  <r>
    <x v="10"/>
    <x v="0"/>
    <x v="10"/>
    <x v="10"/>
    <x v="0"/>
    <x v="1"/>
    <x v="0"/>
    <x v="0"/>
    <x v="0"/>
    <x v="0"/>
    <x v="0"/>
    <x v="0"/>
    <x v="0"/>
    <x v="4"/>
    <x v="4"/>
    <x v="3"/>
    <x v="3"/>
    <n v="8.0698226594690805"/>
    <x v="0"/>
    <x v="0"/>
    <x v="1"/>
    <x v="3"/>
    <x v="3"/>
    <x v="3"/>
    <n v="8.7961066988212977"/>
  </r>
  <r>
    <x v="10"/>
    <x v="0"/>
    <x v="10"/>
    <x v="10"/>
    <x v="0"/>
    <x v="1"/>
    <x v="0"/>
    <x v="0"/>
    <x v="0"/>
    <x v="0"/>
    <x v="0"/>
    <x v="0"/>
    <x v="0"/>
    <x v="0"/>
    <x v="0"/>
    <x v="5"/>
    <x v="5"/>
    <n v="54.131901840902202"/>
    <x v="0"/>
    <x v="0"/>
    <x v="1"/>
    <x v="1"/>
    <x v="1"/>
    <x v="5"/>
    <n v="59.003773006583401"/>
  </r>
  <r>
    <x v="10"/>
    <x v="0"/>
    <x v="10"/>
    <x v="10"/>
    <x v="0"/>
    <x v="1"/>
    <x v="0"/>
    <x v="0"/>
    <x v="0"/>
    <x v="0"/>
    <x v="0"/>
    <x v="0"/>
    <x v="0"/>
    <x v="0"/>
    <x v="0"/>
    <x v="6"/>
    <x v="6"/>
    <n v="98.030190000000005"/>
    <x v="0"/>
    <x v="0"/>
    <x v="0"/>
    <x v="0"/>
    <x v="4"/>
    <x v="6"/>
    <n v="106.85290710000001"/>
  </r>
  <r>
    <x v="10"/>
    <x v="0"/>
    <x v="10"/>
    <x v="10"/>
    <x v="0"/>
    <x v="1"/>
    <x v="0"/>
    <x v="0"/>
    <x v="0"/>
    <x v="0"/>
    <x v="0"/>
    <x v="0"/>
    <x v="0"/>
    <x v="0"/>
    <x v="0"/>
    <x v="7"/>
    <x v="7"/>
    <n v="31.7017155963112"/>
    <x v="0"/>
    <x v="0"/>
    <x v="1"/>
    <x v="4"/>
    <x v="5"/>
    <x v="7"/>
    <n v="34.554869999979211"/>
  </r>
  <r>
    <x v="10"/>
    <x v="0"/>
    <x v="10"/>
    <x v="10"/>
    <x v="0"/>
    <x v="1"/>
    <x v="0"/>
    <x v="0"/>
    <x v="0"/>
    <x v="0"/>
    <x v="0"/>
    <x v="0"/>
    <x v="0"/>
    <x v="0"/>
    <x v="0"/>
    <x v="8"/>
    <x v="8"/>
    <n v="5260.1274121958304"/>
    <x v="0"/>
    <x v="1"/>
    <x v="2"/>
    <x v="2"/>
    <x v="6"/>
    <x v="8"/>
    <n v="5733.5388792934555"/>
  </r>
  <r>
    <x v="10"/>
    <x v="0"/>
    <x v="10"/>
    <x v="10"/>
    <x v="0"/>
    <x v="1"/>
    <x v="0"/>
    <x v="0"/>
    <x v="0"/>
    <x v="0"/>
    <x v="0"/>
    <x v="0"/>
    <x v="0"/>
    <x v="0"/>
    <x v="0"/>
    <x v="9"/>
    <x v="9"/>
    <n v="188.94156793967599"/>
    <x v="0"/>
    <x v="0"/>
    <x v="1"/>
    <x v="4"/>
    <x v="5"/>
    <x v="9"/>
    <n v="205.94630905424685"/>
  </r>
  <r>
    <x v="10"/>
    <x v="0"/>
    <x v="10"/>
    <x v="10"/>
    <x v="0"/>
    <x v="1"/>
    <x v="0"/>
    <x v="0"/>
    <x v="0"/>
    <x v="0"/>
    <x v="0"/>
    <x v="0"/>
    <x v="0"/>
    <x v="0"/>
    <x v="0"/>
    <x v="10"/>
    <x v="10"/>
    <n v="128.47948225082499"/>
    <x v="0"/>
    <x v="0"/>
    <x v="1"/>
    <x v="4"/>
    <x v="5"/>
    <x v="10"/>
    <n v="140.04263565339926"/>
  </r>
  <r>
    <x v="10"/>
    <x v="0"/>
    <x v="10"/>
    <x v="10"/>
    <x v="0"/>
    <x v="1"/>
    <x v="0"/>
    <x v="0"/>
    <x v="0"/>
    <x v="0"/>
    <x v="0"/>
    <x v="0"/>
    <x v="0"/>
    <x v="0"/>
    <x v="0"/>
    <x v="55"/>
    <x v="55"/>
    <n v="1.60379816513665"/>
    <x v="0"/>
    <x v="0"/>
    <x v="1"/>
    <x v="3"/>
    <x v="3"/>
    <x v="15"/>
    <n v="1.7481399999989486"/>
  </r>
  <r>
    <x v="10"/>
    <x v="0"/>
    <x v="10"/>
    <x v="10"/>
    <x v="0"/>
    <x v="1"/>
    <x v="0"/>
    <x v="0"/>
    <x v="0"/>
    <x v="0"/>
    <x v="0"/>
    <x v="0"/>
    <x v="0"/>
    <x v="0"/>
    <x v="0"/>
    <x v="11"/>
    <x v="11"/>
    <n v="16.158239999999999"/>
    <x v="0"/>
    <x v="0"/>
    <x v="3"/>
    <x v="5"/>
    <x v="7"/>
    <x v="11"/>
    <n v="17.612481599999999"/>
  </r>
  <r>
    <x v="10"/>
    <x v="0"/>
    <x v="10"/>
    <x v="10"/>
    <x v="0"/>
    <x v="1"/>
    <x v="0"/>
    <x v="0"/>
    <x v="0"/>
    <x v="0"/>
    <x v="0"/>
    <x v="0"/>
    <x v="0"/>
    <x v="0"/>
    <x v="0"/>
    <x v="12"/>
    <x v="12"/>
    <n v="998.94196511248299"/>
    <x v="0"/>
    <x v="0"/>
    <x v="0"/>
    <x v="0"/>
    <x v="8"/>
    <x v="12"/>
    <n v="1088.8467419726067"/>
  </r>
  <r>
    <x v="10"/>
    <x v="0"/>
    <x v="10"/>
    <x v="10"/>
    <x v="0"/>
    <x v="1"/>
    <x v="0"/>
    <x v="0"/>
    <x v="0"/>
    <x v="0"/>
    <x v="0"/>
    <x v="0"/>
    <x v="0"/>
    <x v="0"/>
    <x v="0"/>
    <x v="13"/>
    <x v="13"/>
    <n v="4.2441300000000002"/>
    <x v="0"/>
    <x v="0"/>
    <x v="1"/>
    <x v="3"/>
    <x v="3"/>
    <x v="13"/>
    <n v="4.6261017000000004"/>
  </r>
  <r>
    <x v="10"/>
    <x v="0"/>
    <x v="10"/>
    <x v="10"/>
    <x v="0"/>
    <x v="1"/>
    <x v="0"/>
    <x v="0"/>
    <x v="0"/>
    <x v="0"/>
    <x v="0"/>
    <x v="0"/>
    <x v="0"/>
    <x v="0"/>
    <x v="0"/>
    <x v="14"/>
    <x v="14"/>
    <n v="229.84415000000001"/>
    <x v="0"/>
    <x v="0"/>
    <x v="0"/>
    <x v="0"/>
    <x v="8"/>
    <x v="14"/>
    <n v="250.53012350000003"/>
  </r>
  <r>
    <x v="10"/>
    <x v="0"/>
    <x v="10"/>
    <x v="10"/>
    <x v="0"/>
    <x v="1"/>
    <x v="0"/>
    <x v="0"/>
    <x v="0"/>
    <x v="0"/>
    <x v="0"/>
    <x v="0"/>
    <x v="0"/>
    <x v="0"/>
    <x v="0"/>
    <x v="22"/>
    <x v="22"/>
    <n v="19.364334677341901"/>
    <x v="0"/>
    <x v="0"/>
    <x v="0"/>
    <x v="0"/>
    <x v="0"/>
    <x v="0"/>
    <n v="21.107124798302674"/>
  </r>
  <r>
    <x v="10"/>
    <x v="0"/>
    <x v="10"/>
    <x v="10"/>
    <x v="0"/>
    <x v="1"/>
    <x v="0"/>
    <x v="0"/>
    <x v="0"/>
    <x v="0"/>
    <x v="0"/>
    <x v="0"/>
    <x v="0"/>
    <x v="0"/>
    <x v="0"/>
    <x v="23"/>
    <x v="23"/>
    <n v="8.2568990825638497"/>
    <x v="0"/>
    <x v="0"/>
    <x v="1"/>
    <x v="3"/>
    <x v="3"/>
    <x v="15"/>
    <n v="9.0000199999945973"/>
  </r>
  <r>
    <x v="10"/>
    <x v="0"/>
    <x v="10"/>
    <x v="10"/>
    <x v="0"/>
    <x v="1"/>
    <x v="0"/>
    <x v="0"/>
    <x v="0"/>
    <x v="0"/>
    <x v="0"/>
    <x v="0"/>
    <x v="0"/>
    <x v="0"/>
    <x v="0"/>
    <x v="24"/>
    <x v="24"/>
    <n v="12.7354495412768"/>
    <x v="0"/>
    <x v="0"/>
    <x v="1"/>
    <x v="3"/>
    <x v="3"/>
    <x v="4"/>
    <n v="13.881639999991714"/>
  </r>
  <r>
    <x v="10"/>
    <x v="0"/>
    <x v="10"/>
    <x v="10"/>
    <x v="0"/>
    <x v="1"/>
    <x v="0"/>
    <x v="0"/>
    <x v="0"/>
    <x v="0"/>
    <x v="0"/>
    <x v="0"/>
    <x v="0"/>
    <x v="0"/>
    <x v="0"/>
    <x v="17"/>
    <x v="17"/>
    <n v="2.77536"/>
    <x v="0"/>
    <x v="0"/>
    <x v="0"/>
    <x v="0"/>
    <x v="4"/>
    <x v="17"/>
    <n v="3.0251424000000005"/>
  </r>
  <r>
    <x v="10"/>
    <x v="0"/>
    <x v="10"/>
    <x v="10"/>
    <x v="0"/>
    <x v="1"/>
    <x v="0"/>
    <x v="0"/>
    <x v="0"/>
    <x v="0"/>
    <x v="0"/>
    <x v="0"/>
    <x v="0"/>
    <x v="0"/>
    <x v="0"/>
    <x v="21"/>
    <x v="21"/>
    <n v="17.850165137604002"/>
    <x v="0"/>
    <x v="0"/>
    <x v="1"/>
    <x v="4"/>
    <x v="5"/>
    <x v="10"/>
    <n v="19.456679999988364"/>
  </r>
  <r>
    <x v="10"/>
    <x v="0"/>
    <x v="10"/>
    <x v="10"/>
    <x v="0"/>
    <x v="1"/>
    <x v="0"/>
    <x v="0"/>
    <x v="0"/>
    <x v="0"/>
    <x v="0"/>
    <x v="0"/>
    <x v="0"/>
    <x v="0"/>
    <x v="0"/>
    <x v="18"/>
    <x v="18"/>
    <n v="49.55977"/>
    <x v="0"/>
    <x v="0"/>
    <x v="0"/>
    <x v="0"/>
    <x v="4"/>
    <x v="18"/>
    <n v="54.020149300000007"/>
  </r>
  <r>
    <x v="10"/>
    <x v="0"/>
    <x v="10"/>
    <x v="10"/>
    <x v="0"/>
    <x v="1"/>
    <x v="0"/>
    <x v="0"/>
    <x v="0"/>
    <x v="0"/>
    <x v="0"/>
    <x v="0"/>
    <x v="0"/>
    <x v="0"/>
    <x v="0"/>
    <x v="25"/>
    <x v="25"/>
    <n v="112.83319266048299"/>
    <x v="0"/>
    <x v="0"/>
    <x v="1"/>
    <x v="4"/>
    <x v="5"/>
    <x v="9"/>
    <n v="122.98817999992647"/>
  </r>
  <r>
    <x v="10"/>
    <x v="0"/>
    <x v="10"/>
    <x v="10"/>
    <x v="0"/>
    <x v="1"/>
    <x v="0"/>
    <x v="0"/>
    <x v="0"/>
    <x v="0"/>
    <x v="0"/>
    <x v="0"/>
    <x v="0"/>
    <x v="0"/>
    <x v="0"/>
    <x v="27"/>
    <x v="27"/>
    <n v="11.4890202705138"/>
    <x v="0"/>
    <x v="0"/>
    <x v="1"/>
    <x v="3"/>
    <x v="3"/>
    <x v="19"/>
    <n v="12.523032094860042"/>
  </r>
  <r>
    <x v="10"/>
    <x v="0"/>
    <x v="10"/>
    <x v="10"/>
    <x v="0"/>
    <x v="1"/>
    <x v="0"/>
    <x v="0"/>
    <x v="0"/>
    <x v="0"/>
    <x v="0"/>
    <x v="0"/>
    <x v="0"/>
    <x v="0"/>
    <x v="0"/>
    <x v="78"/>
    <x v="78"/>
    <n v="5.9191100917395696"/>
    <x v="0"/>
    <x v="0"/>
    <x v="1"/>
    <x v="4"/>
    <x v="5"/>
    <x v="9"/>
    <n v="6.4518299999961313"/>
  </r>
  <r>
    <x v="10"/>
    <x v="0"/>
    <x v="10"/>
    <x v="10"/>
    <x v="0"/>
    <x v="1"/>
    <x v="0"/>
    <x v="0"/>
    <x v="0"/>
    <x v="0"/>
    <x v="0"/>
    <x v="0"/>
    <x v="0"/>
    <x v="0"/>
    <x v="0"/>
    <x v="26"/>
    <x v="26"/>
    <n v="261.12949541268699"/>
    <x v="0"/>
    <x v="0"/>
    <x v="1"/>
    <x v="3"/>
    <x v="3"/>
    <x v="15"/>
    <n v="284.63114999982884"/>
  </r>
  <r>
    <x v="10"/>
    <x v="0"/>
    <x v="10"/>
    <x v="10"/>
    <x v="0"/>
    <x v="1"/>
    <x v="0"/>
    <x v="0"/>
    <x v="0"/>
    <x v="0"/>
    <x v="0"/>
    <x v="0"/>
    <x v="0"/>
    <x v="0"/>
    <x v="0"/>
    <x v="0"/>
    <x v="0"/>
    <n v="16.931147686785302"/>
    <x v="0"/>
    <x v="0"/>
    <x v="0"/>
    <x v="0"/>
    <x v="0"/>
    <x v="0"/>
    <n v="18.454950978595981"/>
  </r>
  <r>
    <x v="10"/>
    <x v="0"/>
    <x v="10"/>
    <x v="10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10"/>
    <x v="0"/>
    <x v="10"/>
    <x v="10"/>
    <x v="0"/>
    <x v="1"/>
    <x v="0"/>
    <x v="0"/>
    <x v="0"/>
    <x v="0"/>
    <x v="0"/>
    <x v="0"/>
    <x v="0"/>
    <x v="0"/>
    <x v="0"/>
    <x v="2"/>
    <x v="2"/>
    <n v="15012.1796972387"/>
    <x v="0"/>
    <x v="1"/>
    <x v="2"/>
    <x v="2"/>
    <x v="13"/>
    <x v="2"/>
    <n v="16363.275869990184"/>
  </r>
  <r>
    <x v="10"/>
    <x v="0"/>
    <x v="10"/>
    <x v="10"/>
    <x v="0"/>
    <x v="1"/>
    <x v="0"/>
    <x v="0"/>
    <x v="0"/>
    <x v="0"/>
    <x v="0"/>
    <x v="0"/>
    <x v="0"/>
    <x v="0"/>
    <x v="0"/>
    <x v="3"/>
    <x v="3"/>
    <n v="0.22474137929282001"/>
    <x v="0"/>
    <x v="0"/>
    <x v="1"/>
    <x v="3"/>
    <x v="3"/>
    <x v="3"/>
    <n v="0.24496810342917383"/>
  </r>
  <r>
    <x v="10"/>
    <x v="0"/>
    <x v="10"/>
    <x v="10"/>
    <x v="0"/>
    <x v="1"/>
    <x v="0"/>
    <x v="0"/>
    <x v="0"/>
    <x v="0"/>
    <x v="0"/>
    <x v="0"/>
    <x v="1"/>
    <x v="1"/>
    <x v="1"/>
    <x v="4"/>
    <x v="4"/>
    <n v="40.391229357773902"/>
    <x v="0"/>
    <x v="0"/>
    <x v="1"/>
    <x v="3"/>
    <x v="3"/>
    <x v="4"/>
    <n v="44.026439999973555"/>
  </r>
  <r>
    <x v="10"/>
    <x v="0"/>
    <x v="10"/>
    <x v="10"/>
    <x v="0"/>
    <x v="1"/>
    <x v="0"/>
    <x v="0"/>
    <x v="0"/>
    <x v="0"/>
    <x v="0"/>
    <x v="0"/>
    <x v="1"/>
    <x v="1"/>
    <x v="1"/>
    <x v="5"/>
    <x v="5"/>
    <n v="90.992269939341895"/>
    <x v="0"/>
    <x v="0"/>
    <x v="1"/>
    <x v="1"/>
    <x v="1"/>
    <x v="5"/>
    <n v="99.181574233882671"/>
  </r>
  <r>
    <x v="10"/>
    <x v="0"/>
    <x v="10"/>
    <x v="10"/>
    <x v="0"/>
    <x v="1"/>
    <x v="0"/>
    <x v="0"/>
    <x v="0"/>
    <x v="0"/>
    <x v="0"/>
    <x v="0"/>
    <x v="1"/>
    <x v="1"/>
    <x v="1"/>
    <x v="6"/>
    <x v="6"/>
    <n v="651.69500000000005"/>
    <x v="0"/>
    <x v="0"/>
    <x v="0"/>
    <x v="0"/>
    <x v="4"/>
    <x v="6"/>
    <n v="710.34755000000007"/>
  </r>
  <r>
    <x v="10"/>
    <x v="0"/>
    <x v="10"/>
    <x v="10"/>
    <x v="0"/>
    <x v="1"/>
    <x v="0"/>
    <x v="0"/>
    <x v="0"/>
    <x v="0"/>
    <x v="0"/>
    <x v="0"/>
    <x v="1"/>
    <x v="1"/>
    <x v="1"/>
    <x v="7"/>
    <x v="7"/>
    <n v="31.7017155963112"/>
    <x v="0"/>
    <x v="0"/>
    <x v="1"/>
    <x v="4"/>
    <x v="5"/>
    <x v="7"/>
    <n v="34.554869999979211"/>
  </r>
  <r>
    <x v="10"/>
    <x v="0"/>
    <x v="10"/>
    <x v="10"/>
    <x v="0"/>
    <x v="1"/>
    <x v="0"/>
    <x v="0"/>
    <x v="0"/>
    <x v="0"/>
    <x v="0"/>
    <x v="0"/>
    <x v="1"/>
    <x v="1"/>
    <x v="1"/>
    <x v="8"/>
    <x v="8"/>
    <n v="753.97433784266298"/>
    <x v="0"/>
    <x v="1"/>
    <x v="2"/>
    <x v="2"/>
    <x v="6"/>
    <x v="8"/>
    <n v="821.83202824850275"/>
  </r>
  <r>
    <x v="10"/>
    <x v="0"/>
    <x v="10"/>
    <x v="10"/>
    <x v="0"/>
    <x v="1"/>
    <x v="0"/>
    <x v="0"/>
    <x v="0"/>
    <x v="0"/>
    <x v="0"/>
    <x v="0"/>
    <x v="1"/>
    <x v="1"/>
    <x v="1"/>
    <x v="9"/>
    <x v="9"/>
    <n v="220.25235189596501"/>
    <x v="0"/>
    <x v="0"/>
    <x v="1"/>
    <x v="4"/>
    <x v="5"/>
    <x v="9"/>
    <n v="240.07506356660187"/>
  </r>
  <r>
    <x v="10"/>
    <x v="0"/>
    <x v="10"/>
    <x v="10"/>
    <x v="0"/>
    <x v="1"/>
    <x v="0"/>
    <x v="0"/>
    <x v="0"/>
    <x v="0"/>
    <x v="0"/>
    <x v="0"/>
    <x v="1"/>
    <x v="1"/>
    <x v="1"/>
    <x v="10"/>
    <x v="10"/>
    <n v="58.756318196155298"/>
    <x v="0"/>
    <x v="0"/>
    <x v="1"/>
    <x v="4"/>
    <x v="5"/>
    <x v="10"/>
    <n v="64.044386833809284"/>
  </r>
  <r>
    <x v="10"/>
    <x v="0"/>
    <x v="10"/>
    <x v="10"/>
    <x v="0"/>
    <x v="1"/>
    <x v="0"/>
    <x v="0"/>
    <x v="0"/>
    <x v="0"/>
    <x v="0"/>
    <x v="0"/>
    <x v="1"/>
    <x v="1"/>
    <x v="1"/>
    <x v="55"/>
    <x v="55"/>
    <n v="3.1347247706403198"/>
    <x v="0"/>
    <x v="0"/>
    <x v="1"/>
    <x v="3"/>
    <x v="3"/>
    <x v="15"/>
    <n v="3.4168499999979489"/>
  </r>
  <r>
    <x v="10"/>
    <x v="0"/>
    <x v="10"/>
    <x v="10"/>
    <x v="0"/>
    <x v="1"/>
    <x v="0"/>
    <x v="0"/>
    <x v="0"/>
    <x v="0"/>
    <x v="0"/>
    <x v="0"/>
    <x v="1"/>
    <x v="1"/>
    <x v="1"/>
    <x v="11"/>
    <x v="11"/>
    <n v="63.561019999999999"/>
    <x v="0"/>
    <x v="0"/>
    <x v="3"/>
    <x v="5"/>
    <x v="7"/>
    <x v="11"/>
    <n v="69.281511800000004"/>
  </r>
  <r>
    <x v="10"/>
    <x v="0"/>
    <x v="10"/>
    <x v="10"/>
    <x v="0"/>
    <x v="1"/>
    <x v="0"/>
    <x v="0"/>
    <x v="0"/>
    <x v="0"/>
    <x v="0"/>
    <x v="0"/>
    <x v="1"/>
    <x v="1"/>
    <x v="1"/>
    <x v="12"/>
    <x v="12"/>
    <n v="1985.04746510874"/>
    <x v="0"/>
    <x v="0"/>
    <x v="0"/>
    <x v="0"/>
    <x v="8"/>
    <x v="12"/>
    <n v="2163.7017369685268"/>
  </r>
  <r>
    <x v="10"/>
    <x v="0"/>
    <x v="10"/>
    <x v="10"/>
    <x v="0"/>
    <x v="1"/>
    <x v="0"/>
    <x v="0"/>
    <x v="0"/>
    <x v="0"/>
    <x v="0"/>
    <x v="0"/>
    <x v="1"/>
    <x v="1"/>
    <x v="1"/>
    <x v="13"/>
    <x v="13"/>
    <n v="5.5066499999999996"/>
    <x v="0"/>
    <x v="0"/>
    <x v="1"/>
    <x v="3"/>
    <x v="3"/>
    <x v="13"/>
    <n v="6.0022485000000003"/>
  </r>
  <r>
    <x v="10"/>
    <x v="0"/>
    <x v="10"/>
    <x v="10"/>
    <x v="0"/>
    <x v="1"/>
    <x v="0"/>
    <x v="0"/>
    <x v="0"/>
    <x v="0"/>
    <x v="0"/>
    <x v="0"/>
    <x v="1"/>
    <x v="1"/>
    <x v="1"/>
    <x v="32"/>
    <x v="32"/>
    <n v="15.831390070564201"/>
    <x v="0"/>
    <x v="0"/>
    <x v="1"/>
    <x v="1"/>
    <x v="1"/>
    <x v="20"/>
    <n v="17.256215176914981"/>
  </r>
  <r>
    <x v="10"/>
    <x v="0"/>
    <x v="10"/>
    <x v="10"/>
    <x v="0"/>
    <x v="1"/>
    <x v="0"/>
    <x v="0"/>
    <x v="0"/>
    <x v="0"/>
    <x v="0"/>
    <x v="0"/>
    <x v="1"/>
    <x v="1"/>
    <x v="1"/>
    <x v="14"/>
    <x v="14"/>
    <n v="373.26409000000001"/>
    <x v="0"/>
    <x v="0"/>
    <x v="0"/>
    <x v="0"/>
    <x v="8"/>
    <x v="14"/>
    <n v="406.85785810000004"/>
  </r>
  <r>
    <x v="10"/>
    <x v="0"/>
    <x v="10"/>
    <x v="10"/>
    <x v="0"/>
    <x v="1"/>
    <x v="0"/>
    <x v="0"/>
    <x v="0"/>
    <x v="0"/>
    <x v="0"/>
    <x v="0"/>
    <x v="1"/>
    <x v="1"/>
    <x v="1"/>
    <x v="15"/>
    <x v="15"/>
    <n v="0.55287155963269996"/>
    <x v="0"/>
    <x v="0"/>
    <x v="1"/>
    <x v="3"/>
    <x v="3"/>
    <x v="15"/>
    <n v="0.60262999999964295"/>
  </r>
  <r>
    <x v="10"/>
    <x v="0"/>
    <x v="10"/>
    <x v="10"/>
    <x v="0"/>
    <x v="1"/>
    <x v="0"/>
    <x v="0"/>
    <x v="0"/>
    <x v="0"/>
    <x v="0"/>
    <x v="0"/>
    <x v="1"/>
    <x v="1"/>
    <x v="1"/>
    <x v="22"/>
    <x v="22"/>
    <n v="6.4547782257806299"/>
    <x v="0"/>
    <x v="0"/>
    <x v="0"/>
    <x v="0"/>
    <x v="0"/>
    <x v="0"/>
    <n v="7.0357082661008867"/>
  </r>
  <r>
    <x v="10"/>
    <x v="0"/>
    <x v="10"/>
    <x v="10"/>
    <x v="0"/>
    <x v="1"/>
    <x v="0"/>
    <x v="0"/>
    <x v="0"/>
    <x v="0"/>
    <x v="0"/>
    <x v="0"/>
    <x v="1"/>
    <x v="1"/>
    <x v="1"/>
    <x v="16"/>
    <x v="16"/>
    <n v="378.95517000000001"/>
    <x v="0"/>
    <x v="0"/>
    <x v="3"/>
    <x v="5"/>
    <x v="9"/>
    <x v="16"/>
    <n v="413.06113530000005"/>
  </r>
  <r>
    <x v="10"/>
    <x v="0"/>
    <x v="10"/>
    <x v="10"/>
    <x v="0"/>
    <x v="1"/>
    <x v="0"/>
    <x v="0"/>
    <x v="0"/>
    <x v="0"/>
    <x v="0"/>
    <x v="0"/>
    <x v="1"/>
    <x v="1"/>
    <x v="1"/>
    <x v="23"/>
    <x v="23"/>
    <n v="58.601660550423603"/>
    <x v="0"/>
    <x v="0"/>
    <x v="1"/>
    <x v="3"/>
    <x v="3"/>
    <x v="15"/>
    <n v="63.875809999961731"/>
  </r>
  <r>
    <x v="10"/>
    <x v="0"/>
    <x v="10"/>
    <x v="10"/>
    <x v="0"/>
    <x v="1"/>
    <x v="0"/>
    <x v="0"/>
    <x v="0"/>
    <x v="0"/>
    <x v="0"/>
    <x v="0"/>
    <x v="1"/>
    <x v="1"/>
    <x v="1"/>
    <x v="24"/>
    <x v="24"/>
    <n v="36.5570642201616"/>
    <x v="0"/>
    <x v="0"/>
    <x v="1"/>
    <x v="3"/>
    <x v="3"/>
    <x v="4"/>
    <n v="39.847199999976148"/>
  </r>
  <r>
    <x v="10"/>
    <x v="0"/>
    <x v="10"/>
    <x v="10"/>
    <x v="0"/>
    <x v="1"/>
    <x v="0"/>
    <x v="0"/>
    <x v="0"/>
    <x v="0"/>
    <x v="0"/>
    <x v="0"/>
    <x v="1"/>
    <x v="1"/>
    <x v="1"/>
    <x v="17"/>
    <x v="17"/>
    <n v="3.3585500000000001"/>
    <x v="0"/>
    <x v="0"/>
    <x v="0"/>
    <x v="0"/>
    <x v="4"/>
    <x v="17"/>
    <n v="3.6608195000000006"/>
  </r>
  <r>
    <x v="10"/>
    <x v="0"/>
    <x v="10"/>
    <x v="10"/>
    <x v="0"/>
    <x v="1"/>
    <x v="0"/>
    <x v="0"/>
    <x v="0"/>
    <x v="0"/>
    <x v="0"/>
    <x v="0"/>
    <x v="1"/>
    <x v="1"/>
    <x v="1"/>
    <x v="18"/>
    <x v="18"/>
    <n v="58.784649999999999"/>
    <x v="0"/>
    <x v="0"/>
    <x v="0"/>
    <x v="0"/>
    <x v="4"/>
    <x v="18"/>
    <n v="64.075268500000007"/>
  </r>
  <r>
    <x v="10"/>
    <x v="0"/>
    <x v="10"/>
    <x v="10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10"/>
    <x v="0"/>
    <x v="10"/>
    <x v="10"/>
    <x v="0"/>
    <x v="1"/>
    <x v="0"/>
    <x v="0"/>
    <x v="0"/>
    <x v="0"/>
    <x v="0"/>
    <x v="0"/>
    <x v="1"/>
    <x v="1"/>
    <x v="1"/>
    <x v="27"/>
    <x v="27"/>
    <n v="45.747222973942797"/>
    <x v="0"/>
    <x v="0"/>
    <x v="1"/>
    <x v="3"/>
    <x v="3"/>
    <x v="19"/>
    <n v="49.864473041597655"/>
  </r>
  <r>
    <x v="10"/>
    <x v="0"/>
    <x v="10"/>
    <x v="10"/>
    <x v="0"/>
    <x v="1"/>
    <x v="0"/>
    <x v="0"/>
    <x v="0"/>
    <x v="0"/>
    <x v="0"/>
    <x v="0"/>
    <x v="1"/>
    <x v="1"/>
    <x v="1"/>
    <x v="78"/>
    <x v="78"/>
    <n v="3.7018073394473201"/>
    <x v="0"/>
    <x v="0"/>
    <x v="1"/>
    <x v="4"/>
    <x v="5"/>
    <x v="9"/>
    <n v="4.0349699999975792"/>
  </r>
  <r>
    <x v="10"/>
    <x v="0"/>
    <x v="10"/>
    <x v="10"/>
    <x v="0"/>
    <x v="1"/>
    <x v="0"/>
    <x v="0"/>
    <x v="0"/>
    <x v="0"/>
    <x v="0"/>
    <x v="0"/>
    <x v="1"/>
    <x v="1"/>
    <x v="1"/>
    <x v="26"/>
    <x v="26"/>
    <n v="436.36311926579299"/>
    <x v="0"/>
    <x v="0"/>
    <x v="1"/>
    <x v="3"/>
    <x v="3"/>
    <x v="15"/>
    <n v="475.63579999971438"/>
  </r>
  <r>
    <x v="10"/>
    <x v="0"/>
    <x v="10"/>
    <x v="10"/>
    <x v="0"/>
    <x v="1"/>
    <x v="0"/>
    <x v="0"/>
    <x v="0"/>
    <x v="0"/>
    <x v="0"/>
    <x v="0"/>
    <x v="1"/>
    <x v="1"/>
    <x v="1"/>
    <x v="0"/>
    <x v="0"/>
    <n v="18.4428300711227"/>
    <x v="0"/>
    <x v="0"/>
    <x v="0"/>
    <x v="0"/>
    <x v="0"/>
    <x v="0"/>
    <n v="20.102684777523745"/>
  </r>
  <r>
    <x v="10"/>
    <x v="0"/>
    <x v="10"/>
    <x v="10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10"/>
    <x v="0"/>
    <x v="10"/>
    <x v="10"/>
    <x v="0"/>
    <x v="1"/>
    <x v="0"/>
    <x v="0"/>
    <x v="0"/>
    <x v="0"/>
    <x v="0"/>
    <x v="0"/>
    <x v="1"/>
    <x v="1"/>
    <x v="1"/>
    <x v="2"/>
    <x v="2"/>
    <n v="938.04688990769398"/>
    <x v="0"/>
    <x v="1"/>
    <x v="2"/>
    <x v="2"/>
    <x v="13"/>
    <x v="2"/>
    <n v="1022.4711099993865"/>
  </r>
  <r>
    <x v="10"/>
    <x v="0"/>
    <x v="10"/>
    <x v="10"/>
    <x v="0"/>
    <x v="1"/>
    <x v="0"/>
    <x v="0"/>
    <x v="0"/>
    <x v="0"/>
    <x v="0"/>
    <x v="0"/>
    <x v="1"/>
    <x v="1"/>
    <x v="1"/>
    <x v="3"/>
    <x v="3"/>
    <n v="16.073273397761099"/>
    <x v="0"/>
    <x v="0"/>
    <x v="1"/>
    <x v="3"/>
    <x v="3"/>
    <x v="3"/>
    <n v="17.519868003559598"/>
  </r>
  <r>
    <x v="10"/>
    <x v="0"/>
    <x v="10"/>
    <x v="10"/>
    <x v="0"/>
    <x v="1"/>
    <x v="0"/>
    <x v="0"/>
    <x v="0"/>
    <x v="0"/>
    <x v="0"/>
    <x v="0"/>
    <x v="2"/>
    <x v="2"/>
    <x v="2"/>
    <x v="4"/>
    <x v="4"/>
    <n v="91.9441284403118"/>
    <x v="0"/>
    <x v="0"/>
    <x v="1"/>
    <x v="3"/>
    <x v="3"/>
    <x v="4"/>
    <n v="100.21909999993987"/>
  </r>
  <r>
    <x v="10"/>
    <x v="0"/>
    <x v="10"/>
    <x v="10"/>
    <x v="0"/>
    <x v="1"/>
    <x v="0"/>
    <x v="0"/>
    <x v="0"/>
    <x v="0"/>
    <x v="0"/>
    <x v="0"/>
    <x v="2"/>
    <x v="2"/>
    <x v="2"/>
    <x v="39"/>
    <x v="39"/>
    <n v="11.559633027516"/>
    <x v="0"/>
    <x v="0"/>
    <x v="1"/>
    <x v="4"/>
    <x v="5"/>
    <x v="9"/>
    <n v="12.599999999992441"/>
  </r>
  <r>
    <x v="10"/>
    <x v="0"/>
    <x v="10"/>
    <x v="10"/>
    <x v="0"/>
    <x v="1"/>
    <x v="0"/>
    <x v="0"/>
    <x v="0"/>
    <x v="0"/>
    <x v="0"/>
    <x v="0"/>
    <x v="2"/>
    <x v="2"/>
    <x v="2"/>
    <x v="5"/>
    <x v="5"/>
    <n v="104.69148466337199"/>
    <x v="0"/>
    <x v="0"/>
    <x v="1"/>
    <x v="1"/>
    <x v="1"/>
    <x v="5"/>
    <n v="114.11371828307549"/>
  </r>
  <r>
    <x v="10"/>
    <x v="0"/>
    <x v="10"/>
    <x v="10"/>
    <x v="0"/>
    <x v="1"/>
    <x v="0"/>
    <x v="0"/>
    <x v="0"/>
    <x v="0"/>
    <x v="0"/>
    <x v="0"/>
    <x v="2"/>
    <x v="2"/>
    <x v="2"/>
    <x v="6"/>
    <x v="6"/>
    <n v="930.83928000000003"/>
    <x v="0"/>
    <x v="0"/>
    <x v="0"/>
    <x v="0"/>
    <x v="4"/>
    <x v="6"/>
    <n v="1014.6148152000001"/>
  </r>
  <r>
    <x v="10"/>
    <x v="0"/>
    <x v="10"/>
    <x v="10"/>
    <x v="0"/>
    <x v="1"/>
    <x v="0"/>
    <x v="0"/>
    <x v="0"/>
    <x v="0"/>
    <x v="0"/>
    <x v="0"/>
    <x v="2"/>
    <x v="2"/>
    <x v="2"/>
    <x v="7"/>
    <x v="7"/>
    <n v="20.273348623840999"/>
    <x v="0"/>
    <x v="0"/>
    <x v="1"/>
    <x v="4"/>
    <x v="5"/>
    <x v="7"/>
    <n v="22.097949999986689"/>
  </r>
  <r>
    <x v="10"/>
    <x v="0"/>
    <x v="10"/>
    <x v="10"/>
    <x v="0"/>
    <x v="1"/>
    <x v="0"/>
    <x v="0"/>
    <x v="0"/>
    <x v="0"/>
    <x v="0"/>
    <x v="0"/>
    <x v="2"/>
    <x v="2"/>
    <x v="2"/>
    <x v="8"/>
    <x v="8"/>
    <n v="3852.8782297543898"/>
    <x v="0"/>
    <x v="1"/>
    <x v="2"/>
    <x v="2"/>
    <x v="6"/>
    <x v="8"/>
    <n v="4199.6372704322848"/>
  </r>
  <r>
    <x v="10"/>
    <x v="0"/>
    <x v="10"/>
    <x v="10"/>
    <x v="0"/>
    <x v="1"/>
    <x v="0"/>
    <x v="0"/>
    <x v="0"/>
    <x v="0"/>
    <x v="0"/>
    <x v="0"/>
    <x v="0"/>
    <x v="9"/>
    <x v="9"/>
    <x v="36"/>
    <x v="36"/>
    <n v="25.9490917431037"/>
    <x v="0"/>
    <x v="0"/>
    <x v="1"/>
    <x v="3"/>
    <x v="3"/>
    <x v="4"/>
    <n v="28.284509999983037"/>
  </r>
  <r>
    <x v="10"/>
    <x v="0"/>
    <x v="10"/>
    <x v="10"/>
    <x v="0"/>
    <x v="1"/>
    <x v="0"/>
    <x v="0"/>
    <x v="0"/>
    <x v="0"/>
    <x v="0"/>
    <x v="0"/>
    <x v="0"/>
    <x v="9"/>
    <x v="9"/>
    <x v="24"/>
    <x v="24"/>
    <n v="309.98165137596101"/>
    <x v="0"/>
    <x v="0"/>
    <x v="1"/>
    <x v="3"/>
    <x v="3"/>
    <x v="4"/>
    <n v="337.87999999979752"/>
  </r>
  <r>
    <x v="10"/>
    <x v="0"/>
    <x v="10"/>
    <x v="10"/>
    <x v="0"/>
    <x v="1"/>
    <x v="0"/>
    <x v="0"/>
    <x v="0"/>
    <x v="0"/>
    <x v="0"/>
    <x v="0"/>
    <x v="0"/>
    <x v="9"/>
    <x v="9"/>
    <x v="17"/>
    <x v="17"/>
    <n v="211.68"/>
    <x v="0"/>
    <x v="0"/>
    <x v="0"/>
    <x v="0"/>
    <x v="4"/>
    <x v="17"/>
    <n v="230.73120000000003"/>
  </r>
  <r>
    <x v="10"/>
    <x v="0"/>
    <x v="10"/>
    <x v="10"/>
    <x v="0"/>
    <x v="1"/>
    <x v="0"/>
    <x v="0"/>
    <x v="0"/>
    <x v="0"/>
    <x v="0"/>
    <x v="0"/>
    <x v="0"/>
    <x v="9"/>
    <x v="9"/>
    <x v="21"/>
    <x v="21"/>
    <n v="180.99512844025799"/>
    <x v="0"/>
    <x v="0"/>
    <x v="1"/>
    <x v="4"/>
    <x v="5"/>
    <x v="10"/>
    <n v="197.28468999988121"/>
  </r>
  <r>
    <x v="10"/>
    <x v="0"/>
    <x v="10"/>
    <x v="10"/>
    <x v="0"/>
    <x v="1"/>
    <x v="0"/>
    <x v="0"/>
    <x v="0"/>
    <x v="0"/>
    <x v="0"/>
    <x v="0"/>
    <x v="0"/>
    <x v="9"/>
    <x v="9"/>
    <x v="18"/>
    <x v="18"/>
    <n v="110.07216"/>
    <x v="0"/>
    <x v="0"/>
    <x v="0"/>
    <x v="0"/>
    <x v="4"/>
    <x v="18"/>
    <n v="119.97865440000001"/>
  </r>
  <r>
    <x v="10"/>
    <x v="0"/>
    <x v="10"/>
    <x v="10"/>
    <x v="0"/>
    <x v="1"/>
    <x v="0"/>
    <x v="0"/>
    <x v="0"/>
    <x v="0"/>
    <x v="0"/>
    <x v="0"/>
    <x v="0"/>
    <x v="9"/>
    <x v="9"/>
    <x v="34"/>
    <x v="34"/>
    <n v="65.989156330755904"/>
    <x v="0"/>
    <x v="0"/>
    <x v="0"/>
    <x v="0"/>
    <x v="0"/>
    <x v="0"/>
    <n v="71.928180400523942"/>
  </r>
  <r>
    <x v="10"/>
    <x v="0"/>
    <x v="10"/>
    <x v="10"/>
    <x v="0"/>
    <x v="1"/>
    <x v="0"/>
    <x v="0"/>
    <x v="0"/>
    <x v="0"/>
    <x v="0"/>
    <x v="0"/>
    <x v="0"/>
    <x v="9"/>
    <x v="9"/>
    <x v="37"/>
    <x v="37"/>
    <n v="104.304788990763"/>
    <x v="0"/>
    <x v="0"/>
    <x v="1"/>
    <x v="3"/>
    <x v="3"/>
    <x v="4"/>
    <n v="113.69221999993168"/>
  </r>
  <r>
    <x v="10"/>
    <x v="0"/>
    <x v="10"/>
    <x v="10"/>
    <x v="0"/>
    <x v="1"/>
    <x v="0"/>
    <x v="0"/>
    <x v="0"/>
    <x v="0"/>
    <x v="0"/>
    <x v="0"/>
    <x v="0"/>
    <x v="9"/>
    <x v="9"/>
    <x v="26"/>
    <x v="26"/>
    <n v="47.299623853182602"/>
    <x v="0"/>
    <x v="0"/>
    <x v="1"/>
    <x v="3"/>
    <x v="3"/>
    <x v="15"/>
    <n v="51.556589999969042"/>
  </r>
  <r>
    <x v="10"/>
    <x v="0"/>
    <x v="10"/>
    <x v="10"/>
    <x v="0"/>
    <x v="1"/>
    <x v="0"/>
    <x v="0"/>
    <x v="0"/>
    <x v="0"/>
    <x v="0"/>
    <x v="0"/>
    <x v="0"/>
    <x v="9"/>
    <x v="9"/>
    <x v="0"/>
    <x v="0"/>
    <n v="5.2633434163553696"/>
    <x v="0"/>
    <x v="0"/>
    <x v="0"/>
    <x v="0"/>
    <x v="0"/>
    <x v="0"/>
    <n v="5.7370443238273534"/>
  </r>
  <r>
    <x v="10"/>
    <x v="0"/>
    <x v="10"/>
    <x v="10"/>
    <x v="0"/>
    <x v="1"/>
    <x v="0"/>
    <x v="0"/>
    <x v="0"/>
    <x v="0"/>
    <x v="0"/>
    <x v="0"/>
    <x v="0"/>
    <x v="9"/>
    <x v="9"/>
    <x v="2"/>
    <x v="2"/>
    <n v="72.260045871516297"/>
    <x v="0"/>
    <x v="1"/>
    <x v="2"/>
    <x v="2"/>
    <x v="13"/>
    <x v="2"/>
    <n v="78.763449999952769"/>
  </r>
  <r>
    <x v="10"/>
    <x v="0"/>
    <x v="10"/>
    <x v="10"/>
    <x v="0"/>
    <x v="1"/>
    <x v="0"/>
    <x v="0"/>
    <x v="0"/>
    <x v="0"/>
    <x v="0"/>
    <x v="0"/>
    <x v="2"/>
    <x v="10"/>
    <x v="10"/>
    <x v="6"/>
    <x v="6"/>
    <n v="448.72223000000002"/>
    <x v="0"/>
    <x v="0"/>
    <x v="0"/>
    <x v="0"/>
    <x v="4"/>
    <x v="6"/>
    <n v="489.10723070000006"/>
  </r>
  <r>
    <x v="10"/>
    <x v="0"/>
    <x v="10"/>
    <x v="10"/>
    <x v="0"/>
    <x v="1"/>
    <x v="0"/>
    <x v="0"/>
    <x v="0"/>
    <x v="0"/>
    <x v="0"/>
    <x v="0"/>
    <x v="2"/>
    <x v="10"/>
    <x v="10"/>
    <x v="7"/>
    <x v="7"/>
    <n v="56.650972477030201"/>
    <x v="0"/>
    <x v="0"/>
    <x v="1"/>
    <x v="4"/>
    <x v="5"/>
    <x v="7"/>
    <n v="61.749559999962926"/>
  </r>
  <r>
    <x v="10"/>
    <x v="0"/>
    <x v="10"/>
    <x v="10"/>
    <x v="0"/>
    <x v="1"/>
    <x v="0"/>
    <x v="0"/>
    <x v="0"/>
    <x v="0"/>
    <x v="0"/>
    <x v="0"/>
    <x v="2"/>
    <x v="10"/>
    <x v="10"/>
    <x v="9"/>
    <x v="9"/>
    <n v="1509.08334018051"/>
    <x v="0"/>
    <x v="0"/>
    <x v="1"/>
    <x v="4"/>
    <x v="5"/>
    <x v="9"/>
    <n v="1644.900840796756"/>
  </r>
  <r>
    <x v="10"/>
    <x v="0"/>
    <x v="10"/>
    <x v="10"/>
    <x v="0"/>
    <x v="1"/>
    <x v="0"/>
    <x v="0"/>
    <x v="0"/>
    <x v="0"/>
    <x v="0"/>
    <x v="0"/>
    <x v="2"/>
    <x v="10"/>
    <x v="10"/>
    <x v="10"/>
    <x v="10"/>
    <n v="47.038478544869797"/>
    <x v="0"/>
    <x v="0"/>
    <x v="1"/>
    <x v="4"/>
    <x v="5"/>
    <x v="10"/>
    <n v="51.271941613908083"/>
  </r>
  <r>
    <x v="10"/>
    <x v="0"/>
    <x v="10"/>
    <x v="10"/>
    <x v="0"/>
    <x v="1"/>
    <x v="0"/>
    <x v="0"/>
    <x v="0"/>
    <x v="0"/>
    <x v="0"/>
    <x v="0"/>
    <x v="2"/>
    <x v="10"/>
    <x v="10"/>
    <x v="11"/>
    <x v="11"/>
    <n v="120.35254"/>
    <x v="0"/>
    <x v="0"/>
    <x v="3"/>
    <x v="5"/>
    <x v="7"/>
    <x v="11"/>
    <n v="131.18426860000002"/>
  </r>
  <r>
    <x v="10"/>
    <x v="0"/>
    <x v="10"/>
    <x v="10"/>
    <x v="0"/>
    <x v="1"/>
    <x v="0"/>
    <x v="0"/>
    <x v="0"/>
    <x v="0"/>
    <x v="0"/>
    <x v="0"/>
    <x v="2"/>
    <x v="10"/>
    <x v="10"/>
    <x v="22"/>
    <x v="22"/>
    <n v="0.60006854838470003"/>
    <x v="0"/>
    <x v="0"/>
    <x v="0"/>
    <x v="0"/>
    <x v="0"/>
    <x v="0"/>
    <n v="0.65407471773932313"/>
  </r>
  <r>
    <x v="10"/>
    <x v="0"/>
    <x v="10"/>
    <x v="10"/>
    <x v="0"/>
    <x v="1"/>
    <x v="0"/>
    <x v="0"/>
    <x v="0"/>
    <x v="0"/>
    <x v="0"/>
    <x v="0"/>
    <x v="2"/>
    <x v="10"/>
    <x v="10"/>
    <x v="36"/>
    <x v="36"/>
    <n v="54.898211009141399"/>
    <x v="0"/>
    <x v="0"/>
    <x v="1"/>
    <x v="3"/>
    <x v="3"/>
    <x v="4"/>
    <n v="59.839049999964132"/>
  </r>
  <r>
    <x v="10"/>
    <x v="0"/>
    <x v="10"/>
    <x v="10"/>
    <x v="0"/>
    <x v="1"/>
    <x v="0"/>
    <x v="0"/>
    <x v="0"/>
    <x v="0"/>
    <x v="0"/>
    <x v="0"/>
    <x v="2"/>
    <x v="10"/>
    <x v="10"/>
    <x v="24"/>
    <x v="24"/>
    <n v="190.789458715482"/>
    <x v="0"/>
    <x v="0"/>
    <x v="1"/>
    <x v="3"/>
    <x v="3"/>
    <x v="4"/>
    <n v="207.9605099998754"/>
  </r>
  <r>
    <x v="10"/>
    <x v="0"/>
    <x v="10"/>
    <x v="10"/>
    <x v="0"/>
    <x v="1"/>
    <x v="0"/>
    <x v="0"/>
    <x v="0"/>
    <x v="0"/>
    <x v="0"/>
    <x v="0"/>
    <x v="2"/>
    <x v="10"/>
    <x v="10"/>
    <x v="17"/>
    <x v="17"/>
    <n v="84.759749999999997"/>
    <x v="0"/>
    <x v="0"/>
    <x v="0"/>
    <x v="0"/>
    <x v="4"/>
    <x v="17"/>
    <n v="92.38812750000001"/>
  </r>
  <r>
    <x v="10"/>
    <x v="0"/>
    <x v="10"/>
    <x v="10"/>
    <x v="0"/>
    <x v="1"/>
    <x v="0"/>
    <x v="0"/>
    <x v="0"/>
    <x v="0"/>
    <x v="0"/>
    <x v="0"/>
    <x v="2"/>
    <x v="10"/>
    <x v="10"/>
    <x v="21"/>
    <x v="21"/>
    <n v="71.971513761424703"/>
    <x v="0"/>
    <x v="0"/>
    <x v="1"/>
    <x v="4"/>
    <x v="5"/>
    <x v="10"/>
    <n v="78.44894999995293"/>
  </r>
  <r>
    <x v="10"/>
    <x v="0"/>
    <x v="10"/>
    <x v="10"/>
    <x v="0"/>
    <x v="1"/>
    <x v="0"/>
    <x v="0"/>
    <x v="0"/>
    <x v="0"/>
    <x v="0"/>
    <x v="0"/>
    <x v="2"/>
    <x v="10"/>
    <x v="10"/>
    <x v="18"/>
    <x v="18"/>
    <n v="156.75015999999999"/>
    <x v="0"/>
    <x v="0"/>
    <x v="0"/>
    <x v="0"/>
    <x v="4"/>
    <x v="18"/>
    <n v="170.85767440000001"/>
  </r>
  <r>
    <x v="10"/>
    <x v="0"/>
    <x v="10"/>
    <x v="10"/>
    <x v="0"/>
    <x v="1"/>
    <x v="0"/>
    <x v="0"/>
    <x v="0"/>
    <x v="0"/>
    <x v="0"/>
    <x v="0"/>
    <x v="2"/>
    <x v="10"/>
    <x v="10"/>
    <x v="34"/>
    <x v="34"/>
    <n v="141.07478515043999"/>
    <x v="0"/>
    <x v="0"/>
    <x v="0"/>
    <x v="0"/>
    <x v="0"/>
    <x v="0"/>
    <n v="153.77151581397959"/>
  </r>
  <r>
    <x v="10"/>
    <x v="0"/>
    <x v="10"/>
    <x v="10"/>
    <x v="0"/>
    <x v="1"/>
    <x v="0"/>
    <x v="0"/>
    <x v="0"/>
    <x v="0"/>
    <x v="0"/>
    <x v="0"/>
    <x v="2"/>
    <x v="10"/>
    <x v="10"/>
    <x v="37"/>
    <x v="37"/>
    <n v="135.43527522927701"/>
    <x v="0"/>
    <x v="0"/>
    <x v="1"/>
    <x v="3"/>
    <x v="3"/>
    <x v="4"/>
    <n v="147.62444999991195"/>
  </r>
  <r>
    <x v="10"/>
    <x v="0"/>
    <x v="10"/>
    <x v="10"/>
    <x v="0"/>
    <x v="1"/>
    <x v="0"/>
    <x v="0"/>
    <x v="0"/>
    <x v="0"/>
    <x v="0"/>
    <x v="0"/>
    <x v="2"/>
    <x v="10"/>
    <x v="10"/>
    <x v="26"/>
    <x v="26"/>
    <n v="92.183715596274993"/>
    <x v="0"/>
    <x v="0"/>
    <x v="1"/>
    <x v="3"/>
    <x v="3"/>
    <x v="15"/>
    <n v="100.48024999993974"/>
  </r>
  <r>
    <x v="10"/>
    <x v="0"/>
    <x v="10"/>
    <x v="10"/>
    <x v="0"/>
    <x v="1"/>
    <x v="0"/>
    <x v="0"/>
    <x v="0"/>
    <x v="0"/>
    <x v="0"/>
    <x v="0"/>
    <x v="2"/>
    <x v="10"/>
    <x v="10"/>
    <x v="0"/>
    <x v="0"/>
    <n v="331.77770373572599"/>
    <x v="0"/>
    <x v="0"/>
    <x v="0"/>
    <x v="0"/>
    <x v="0"/>
    <x v="0"/>
    <n v="361.63769707194137"/>
  </r>
  <r>
    <x v="10"/>
    <x v="0"/>
    <x v="10"/>
    <x v="10"/>
    <x v="0"/>
    <x v="1"/>
    <x v="0"/>
    <x v="0"/>
    <x v="0"/>
    <x v="0"/>
    <x v="0"/>
    <x v="0"/>
    <x v="4"/>
    <x v="5"/>
    <x v="5"/>
    <x v="4"/>
    <x v="4"/>
    <n v="27.704779816497101"/>
    <x v="0"/>
    <x v="0"/>
    <x v="1"/>
    <x v="3"/>
    <x v="3"/>
    <x v="4"/>
    <n v="30.198209999981842"/>
  </r>
  <r>
    <x v="10"/>
    <x v="0"/>
    <x v="10"/>
    <x v="10"/>
    <x v="0"/>
    <x v="1"/>
    <x v="0"/>
    <x v="0"/>
    <x v="0"/>
    <x v="0"/>
    <x v="0"/>
    <x v="0"/>
    <x v="4"/>
    <x v="5"/>
    <x v="5"/>
    <x v="6"/>
    <x v="6"/>
    <n v="1779.0968399999999"/>
    <x v="0"/>
    <x v="0"/>
    <x v="0"/>
    <x v="0"/>
    <x v="4"/>
    <x v="6"/>
    <n v="1939.2155556"/>
  </r>
  <r>
    <x v="10"/>
    <x v="0"/>
    <x v="10"/>
    <x v="10"/>
    <x v="0"/>
    <x v="1"/>
    <x v="0"/>
    <x v="0"/>
    <x v="0"/>
    <x v="0"/>
    <x v="0"/>
    <x v="0"/>
    <x v="4"/>
    <x v="5"/>
    <x v="5"/>
    <x v="7"/>
    <x v="7"/>
    <n v="44.014761467863501"/>
    <x v="0"/>
    <x v="0"/>
    <x v="1"/>
    <x v="4"/>
    <x v="5"/>
    <x v="7"/>
    <n v="47.976089999971222"/>
  </r>
  <r>
    <x v="10"/>
    <x v="0"/>
    <x v="10"/>
    <x v="10"/>
    <x v="0"/>
    <x v="1"/>
    <x v="0"/>
    <x v="0"/>
    <x v="0"/>
    <x v="0"/>
    <x v="0"/>
    <x v="0"/>
    <x v="4"/>
    <x v="5"/>
    <x v="5"/>
    <x v="8"/>
    <x v="8"/>
    <n v="6228.8264662560796"/>
    <x v="0"/>
    <x v="1"/>
    <x v="2"/>
    <x v="2"/>
    <x v="6"/>
    <x v="8"/>
    <n v="6789.420848219127"/>
  </r>
  <r>
    <x v="10"/>
    <x v="0"/>
    <x v="10"/>
    <x v="10"/>
    <x v="0"/>
    <x v="1"/>
    <x v="0"/>
    <x v="0"/>
    <x v="0"/>
    <x v="0"/>
    <x v="0"/>
    <x v="0"/>
    <x v="4"/>
    <x v="5"/>
    <x v="5"/>
    <x v="9"/>
    <x v="9"/>
    <n v="11026.8255867278"/>
    <x v="0"/>
    <x v="0"/>
    <x v="1"/>
    <x v="4"/>
    <x v="5"/>
    <x v="9"/>
    <n v="12019.239889533303"/>
  </r>
  <r>
    <x v="10"/>
    <x v="0"/>
    <x v="10"/>
    <x v="10"/>
    <x v="0"/>
    <x v="1"/>
    <x v="0"/>
    <x v="0"/>
    <x v="0"/>
    <x v="0"/>
    <x v="0"/>
    <x v="0"/>
    <x v="4"/>
    <x v="5"/>
    <x v="5"/>
    <x v="10"/>
    <x v="10"/>
    <n v="435.749755074517"/>
    <x v="0"/>
    <x v="0"/>
    <x v="1"/>
    <x v="4"/>
    <x v="5"/>
    <x v="10"/>
    <n v="474.96723303122354"/>
  </r>
  <r>
    <x v="10"/>
    <x v="0"/>
    <x v="10"/>
    <x v="10"/>
    <x v="0"/>
    <x v="1"/>
    <x v="0"/>
    <x v="0"/>
    <x v="0"/>
    <x v="0"/>
    <x v="0"/>
    <x v="0"/>
    <x v="4"/>
    <x v="5"/>
    <x v="5"/>
    <x v="29"/>
    <x v="29"/>
    <n v="0.32944000000000001"/>
    <x v="0"/>
    <x v="0"/>
    <x v="1"/>
    <x v="3"/>
    <x v="3"/>
    <x v="13"/>
    <n v="0.35908960000000006"/>
  </r>
  <r>
    <x v="10"/>
    <x v="0"/>
    <x v="10"/>
    <x v="10"/>
    <x v="0"/>
    <x v="1"/>
    <x v="0"/>
    <x v="0"/>
    <x v="0"/>
    <x v="0"/>
    <x v="0"/>
    <x v="0"/>
    <x v="4"/>
    <x v="5"/>
    <x v="5"/>
    <x v="35"/>
    <x v="35"/>
    <n v="2289.7959999999998"/>
    <x v="0"/>
    <x v="0"/>
    <x v="0"/>
    <x v="0"/>
    <x v="0"/>
    <x v="0"/>
    <n v="2495.8776400000002"/>
  </r>
  <r>
    <x v="10"/>
    <x v="0"/>
    <x v="10"/>
    <x v="10"/>
    <x v="0"/>
    <x v="1"/>
    <x v="0"/>
    <x v="0"/>
    <x v="0"/>
    <x v="0"/>
    <x v="0"/>
    <x v="0"/>
    <x v="4"/>
    <x v="5"/>
    <x v="5"/>
    <x v="55"/>
    <x v="55"/>
    <n v="8.1482568807290594"/>
    <x v="0"/>
    <x v="0"/>
    <x v="1"/>
    <x v="3"/>
    <x v="3"/>
    <x v="15"/>
    <n v="8.8815999999946751"/>
  </r>
  <r>
    <x v="10"/>
    <x v="0"/>
    <x v="10"/>
    <x v="10"/>
    <x v="0"/>
    <x v="1"/>
    <x v="0"/>
    <x v="0"/>
    <x v="0"/>
    <x v="0"/>
    <x v="0"/>
    <x v="0"/>
    <x v="4"/>
    <x v="5"/>
    <x v="5"/>
    <x v="88"/>
    <x v="88"/>
    <n v="15.5152018348531"/>
    <x v="0"/>
    <x v="0"/>
    <x v="1"/>
    <x v="4"/>
    <x v="5"/>
    <x v="9"/>
    <n v="16.911569999989879"/>
  </r>
  <r>
    <x v="10"/>
    <x v="0"/>
    <x v="10"/>
    <x v="10"/>
    <x v="0"/>
    <x v="1"/>
    <x v="0"/>
    <x v="0"/>
    <x v="0"/>
    <x v="0"/>
    <x v="0"/>
    <x v="0"/>
    <x v="4"/>
    <x v="5"/>
    <x v="5"/>
    <x v="12"/>
    <x v="12"/>
    <n v="1127.18990697246"/>
    <x v="0"/>
    <x v="0"/>
    <x v="0"/>
    <x v="0"/>
    <x v="8"/>
    <x v="12"/>
    <n v="1228.6369985999816"/>
  </r>
  <r>
    <x v="10"/>
    <x v="0"/>
    <x v="10"/>
    <x v="10"/>
    <x v="0"/>
    <x v="1"/>
    <x v="0"/>
    <x v="0"/>
    <x v="0"/>
    <x v="0"/>
    <x v="0"/>
    <x v="0"/>
    <x v="4"/>
    <x v="5"/>
    <x v="5"/>
    <x v="14"/>
    <x v="14"/>
    <n v="451.65742999999998"/>
    <x v="0"/>
    <x v="0"/>
    <x v="0"/>
    <x v="0"/>
    <x v="8"/>
    <x v="14"/>
    <n v="492.3065987"/>
  </r>
  <r>
    <x v="10"/>
    <x v="0"/>
    <x v="10"/>
    <x v="10"/>
    <x v="0"/>
    <x v="1"/>
    <x v="0"/>
    <x v="0"/>
    <x v="0"/>
    <x v="0"/>
    <x v="0"/>
    <x v="0"/>
    <x v="4"/>
    <x v="5"/>
    <x v="5"/>
    <x v="22"/>
    <x v="22"/>
    <n v="76.685974462058894"/>
    <x v="0"/>
    <x v="0"/>
    <x v="0"/>
    <x v="0"/>
    <x v="0"/>
    <x v="0"/>
    <n v="83.587712163644198"/>
  </r>
  <r>
    <x v="10"/>
    <x v="0"/>
    <x v="10"/>
    <x v="10"/>
    <x v="0"/>
    <x v="1"/>
    <x v="0"/>
    <x v="0"/>
    <x v="0"/>
    <x v="0"/>
    <x v="0"/>
    <x v="0"/>
    <x v="4"/>
    <x v="5"/>
    <x v="5"/>
    <x v="33"/>
    <x v="33"/>
    <n v="23.399559633013499"/>
    <x v="0"/>
    <x v="0"/>
    <x v="1"/>
    <x v="3"/>
    <x v="3"/>
    <x v="4"/>
    <n v="25.505519999984717"/>
  </r>
  <r>
    <x v="10"/>
    <x v="0"/>
    <x v="10"/>
    <x v="10"/>
    <x v="0"/>
    <x v="1"/>
    <x v="0"/>
    <x v="0"/>
    <x v="0"/>
    <x v="0"/>
    <x v="0"/>
    <x v="0"/>
    <x v="4"/>
    <x v="5"/>
    <x v="5"/>
    <x v="36"/>
    <x v="36"/>
    <n v="213.43706422005499"/>
    <x v="0"/>
    <x v="0"/>
    <x v="1"/>
    <x v="3"/>
    <x v="3"/>
    <x v="4"/>
    <n v="232.64639999985997"/>
  </r>
  <r>
    <x v="10"/>
    <x v="0"/>
    <x v="10"/>
    <x v="10"/>
    <x v="0"/>
    <x v="1"/>
    <x v="0"/>
    <x v="0"/>
    <x v="0"/>
    <x v="0"/>
    <x v="0"/>
    <x v="0"/>
    <x v="4"/>
    <x v="5"/>
    <x v="5"/>
    <x v="23"/>
    <x v="23"/>
    <n v="3.2334036697228301"/>
    <x v="0"/>
    <x v="0"/>
    <x v="1"/>
    <x v="3"/>
    <x v="3"/>
    <x v="15"/>
    <n v="3.5244099999978853"/>
  </r>
  <r>
    <x v="10"/>
    <x v="0"/>
    <x v="10"/>
    <x v="10"/>
    <x v="0"/>
    <x v="1"/>
    <x v="0"/>
    <x v="0"/>
    <x v="0"/>
    <x v="0"/>
    <x v="0"/>
    <x v="0"/>
    <x v="4"/>
    <x v="5"/>
    <x v="5"/>
    <x v="24"/>
    <x v="24"/>
    <n v="273.40851376130399"/>
    <x v="0"/>
    <x v="0"/>
    <x v="1"/>
    <x v="3"/>
    <x v="3"/>
    <x v="4"/>
    <n v="298.01527999982136"/>
  </r>
  <r>
    <x v="10"/>
    <x v="0"/>
    <x v="10"/>
    <x v="10"/>
    <x v="0"/>
    <x v="1"/>
    <x v="0"/>
    <x v="0"/>
    <x v="0"/>
    <x v="0"/>
    <x v="0"/>
    <x v="0"/>
    <x v="4"/>
    <x v="5"/>
    <x v="5"/>
    <x v="17"/>
    <x v="17"/>
    <n v="449.38923"/>
    <x v="0"/>
    <x v="0"/>
    <x v="0"/>
    <x v="0"/>
    <x v="4"/>
    <x v="17"/>
    <n v="489.83426070000002"/>
  </r>
  <r>
    <x v="10"/>
    <x v="0"/>
    <x v="10"/>
    <x v="10"/>
    <x v="0"/>
    <x v="1"/>
    <x v="0"/>
    <x v="0"/>
    <x v="0"/>
    <x v="0"/>
    <x v="0"/>
    <x v="0"/>
    <x v="4"/>
    <x v="5"/>
    <x v="5"/>
    <x v="18"/>
    <x v="18"/>
    <n v="1292.1062899999999"/>
    <x v="0"/>
    <x v="0"/>
    <x v="0"/>
    <x v="0"/>
    <x v="4"/>
    <x v="18"/>
    <n v="1408.3958560999999"/>
  </r>
  <r>
    <x v="10"/>
    <x v="0"/>
    <x v="10"/>
    <x v="10"/>
    <x v="0"/>
    <x v="1"/>
    <x v="0"/>
    <x v="0"/>
    <x v="0"/>
    <x v="0"/>
    <x v="0"/>
    <x v="0"/>
    <x v="4"/>
    <x v="5"/>
    <x v="5"/>
    <x v="34"/>
    <x v="34"/>
    <n v="521.81889431427305"/>
    <x v="0"/>
    <x v="0"/>
    <x v="0"/>
    <x v="0"/>
    <x v="0"/>
    <x v="0"/>
    <n v="568.7825948025577"/>
  </r>
  <r>
    <x v="10"/>
    <x v="0"/>
    <x v="10"/>
    <x v="10"/>
    <x v="0"/>
    <x v="1"/>
    <x v="0"/>
    <x v="0"/>
    <x v="0"/>
    <x v="0"/>
    <x v="0"/>
    <x v="0"/>
    <x v="4"/>
    <x v="5"/>
    <x v="5"/>
    <x v="25"/>
    <x v="25"/>
    <n v="170.61044036686999"/>
    <x v="0"/>
    <x v="0"/>
    <x v="1"/>
    <x v="4"/>
    <x v="5"/>
    <x v="9"/>
    <n v="185.96537999988831"/>
  </r>
  <r>
    <x v="10"/>
    <x v="0"/>
    <x v="10"/>
    <x v="10"/>
    <x v="0"/>
    <x v="1"/>
    <x v="0"/>
    <x v="0"/>
    <x v="0"/>
    <x v="0"/>
    <x v="0"/>
    <x v="0"/>
    <x v="4"/>
    <x v="5"/>
    <x v="5"/>
    <x v="37"/>
    <x v="37"/>
    <n v="496.959348623555"/>
    <x v="0"/>
    <x v="0"/>
    <x v="1"/>
    <x v="3"/>
    <x v="3"/>
    <x v="4"/>
    <n v="541.68568999967499"/>
  </r>
  <r>
    <x v="10"/>
    <x v="0"/>
    <x v="10"/>
    <x v="10"/>
    <x v="0"/>
    <x v="1"/>
    <x v="0"/>
    <x v="0"/>
    <x v="0"/>
    <x v="0"/>
    <x v="0"/>
    <x v="0"/>
    <x v="4"/>
    <x v="5"/>
    <x v="5"/>
    <x v="27"/>
    <x v="27"/>
    <n v="127.778725227934"/>
    <x v="0"/>
    <x v="0"/>
    <x v="1"/>
    <x v="3"/>
    <x v="3"/>
    <x v="19"/>
    <n v="139.27881049844808"/>
  </r>
  <r>
    <x v="10"/>
    <x v="0"/>
    <x v="10"/>
    <x v="10"/>
    <x v="0"/>
    <x v="1"/>
    <x v="0"/>
    <x v="0"/>
    <x v="0"/>
    <x v="0"/>
    <x v="0"/>
    <x v="0"/>
    <x v="4"/>
    <x v="5"/>
    <x v="5"/>
    <x v="26"/>
    <x v="26"/>
    <n v="82.0036972476572"/>
    <x v="0"/>
    <x v="0"/>
    <x v="1"/>
    <x v="3"/>
    <x v="3"/>
    <x v="15"/>
    <n v="89.38402999994635"/>
  </r>
  <r>
    <x v="10"/>
    <x v="0"/>
    <x v="10"/>
    <x v="10"/>
    <x v="0"/>
    <x v="1"/>
    <x v="0"/>
    <x v="0"/>
    <x v="0"/>
    <x v="0"/>
    <x v="0"/>
    <x v="0"/>
    <x v="4"/>
    <x v="5"/>
    <x v="5"/>
    <x v="0"/>
    <x v="0"/>
    <n v="272.11617971454098"/>
    <x v="0"/>
    <x v="0"/>
    <x v="0"/>
    <x v="0"/>
    <x v="0"/>
    <x v="0"/>
    <n v="296.60663588884967"/>
  </r>
  <r>
    <x v="10"/>
    <x v="0"/>
    <x v="10"/>
    <x v="10"/>
    <x v="0"/>
    <x v="1"/>
    <x v="0"/>
    <x v="0"/>
    <x v="0"/>
    <x v="0"/>
    <x v="0"/>
    <x v="0"/>
    <x v="4"/>
    <x v="5"/>
    <x v="5"/>
    <x v="2"/>
    <x v="2"/>
    <n v="17420.217633017099"/>
    <x v="0"/>
    <x v="1"/>
    <x v="2"/>
    <x v="2"/>
    <x v="13"/>
    <x v="2"/>
    <n v="18988.037219988641"/>
  </r>
  <r>
    <x v="10"/>
    <x v="0"/>
    <x v="10"/>
    <x v="10"/>
    <x v="0"/>
    <x v="1"/>
    <x v="0"/>
    <x v="0"/>
    <x v="0"/>
    <x v="0"/>
    <x v="0"/>
    <x v="0"/>
    <x v="4"/>
    <x v="5"/>
    <x v="5"/>
    <x v="3"/>
    <x v="3"/>
    <n v="21.226943840708799"/>
    <x v="0"/>
    <x v="0"/>
    <x v="1"/>
    <x v="3"/>
    <x v="3"/>
    <x v="3"/>
    <n v="23.137368786372594"/>
  </r>
  <r>
    <x v="10"/>
    <x v="0"/>
    <x v="10"/>
    <x v="10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10"/>
    <x v="0"/>
    <x v="10"/>
    <x v="10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10"/>
    <x v="0"/>
    <x v="10"/>
    <x v="10"/>
    <x v="0"/>
    <x v="1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0782171"/>
  </r>
  <r>
    <x v="10"/>
    <x v="0"/>
    <x v="10"/>
    <x v="10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10"/>
    <x v="0"/>
    <x v="10"/>
    <x v="10"/>
    <x v="0"/>
    <x v="1"/>
    <x v="0"/>
    <x v="0"/>
    <x v="0"/>
    <x v="0"/>
    <x v="3"/>
    <x v="3"/>
    <x v="2"/>
    <x v="2"/>
    <x v="2"/>
    <x v="5"/>
    <x v="5"/>
    <n v="12.333116564510901"/>
    <x v="0"/>
    <x v="0"/>
    <x v="1"/>
    <x v="1"/>
    <x v="1"/>
    <x v="5"/>
    <n v="13.443097055316883"/>
  </r>
  <r>
    <x v="10"/>
    <x v="0"/>
    <x v="10"/>
    <x v="10"/>
    <x v="0"/>
    <x v="1"/>
    <x v="0"/>
    <x v="0"/>
    <x v="0"/>
    <x v="0"/>
    <x v="3"/>
    <x v="3"/>
    <x v="2"/>
    <x v="2"/>
    <x v="2"/>
    <x v="6"/>
    <x v="6"/>
    <n v="108.27262"/>
    <x v="0"/>
    <x v="0"/>
    <x v="0"/>
    <x v="0"/>
    <x v="4"/>
    <x v="6"/>
    <n v="118.01715580000001"/>
  </r>
  <r>
    <x v="10"/>
    <x v="0"/>
    <x v="10"/>
    <x v="10"/>
    <x v="0"/>
    <x v="1"/>
    <x v="0"/>
    <x v="0"/>
    <x v="0"/>
    <x v="0"/>
    <x v="3"/>
    <x v="3"/>
    <x v="2"/>
    <x v="2"/>
    <x v="2"/>
    <x v="8"/>
    <x v="8"/>
    <n v="668.51157432860305"/>
    <x v="0"/>
    <x v="1"/>
    <x v="2"/>
    <x v="2"/>
    <x v="6"/>
    <x v="8"/>
    <n v="728.67761601817733"/>
  </r>
  <r>
    <x v="10"/>
    <x v="0"/>
    <x v="10"/>
    <x v="10"/>
    <x v="0"/>
    <x v="1"/>
    <x v="0"/>
    <x v="0"/>
    <x v="0"/>
    <x v="0"/>
    <x v="3"/>
    <x v="3"/>
    <x v="2"/>
    <x v="2"/>
    <x v="2"/>
    <x v="9"/>
    <x v="9"/>
    <n v="1.46496330275141"/>
    <x v="0"/>
    <x v="0"/>
    <x v="1"/>
    <x v="4"/>
    <x v="5"/>
    <x v="9"/>
    <n v="1.5968099999990371"/>
  </r>
  <r>
    <x v="10"/>
    <x v="0"/>
    <x v="10"/>
    <x v="10"/>
    <x v="0"/>
    <x v="1"/>
    <x v="0"/>
    <x v="0"/>
    <x v="0"/>
    <x v="0"/>
    <x v="3"/>
    <x v="3"/>
    <x v="2"/>
    <x v="2"/>
    <x v="2"/>
    <x v="16"/>
    <x v="16"/>
    <n v="23.51606"/>
    <x v="0"/>
    <x v="0"/>
    <x v="3"/>
    <x v="5"/>
    <x v="9"/>
    <x v="16"/>
    <n v="25.632505400000003"/>
  </r>
  <r>
    <x v="10"/>
    <x v="0"/>
    <x v="10"/>
    <x v="10"/>
    <x v="0"/>
    <x v="1"/>
    <x v="0"/>
    <x v="0"/>
    <x v="0"/>
    <x v="0"/>
    <x v="3"/>
    <x v="3"/>
    <x v="2"/>
    <x v="2"/>
    <x v="2"/>
    <x v="17"/>
    <x v="17"/>
    <n v="2.6208"/>
    <x v="0"/>
    <x v="0"/>
    <x v="0"/>
    <x v="0"/>
    <x v="4"/>
    <x v="17"/>
    <n v="2.8566720000000001"/>
  </r>
  <r>
    <x v="10"/>
    <x v="0"/>
    <x v="10"/>
    <x v="10"/>
    <x v="0"/>
    <x v="1"/>
    <x v="0"/>
    <x v="0"/>
    <x v="0"/>
    <x v="0"/>
    <x v="3"/>
    <x v="3"/>
    <x v="2"/>
    <x v="2"/>
    <x v="2"/>
    <x v="2"/>
    <x v="2"/>
    <n v="500.98382568777299"/>
    <x v="0"/>
    <x v="1"/>
    <x v="2"/>
    <x v="2"/>
    <x v="13"/>
    <x v="2"/>
    <n v="546.07236999967256"/>
  </r>
  <r>
    <x v="10"/>
    <x v="0"/>
    <x v="10"/>
    <x v="10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10"/>
    <x v="0"/>
    <x v="10"/>
    <x v="10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10"/>
    <x v="0"/>
    <x v="10"/>
    <x v="10"/>
    <x v="0"/>
    <x v="1"/>
    <x v="0"/>
    <x v="0"/>
    <x v="0"/>
    <x v="0"/>
    <x v="3"/>
    <x v="3"/>
    <x v="4"/>
    <x v="5"/>
    <x v="5"/>
    <x v="8"/>
    <x v="8"/>
    <n v="45.708628378670902"/>
    <x v="0"/>
    <x v="1"/>
    <x v="2"/>
    <x v="2"/>
    <x v="6"/>
    <x v="8"/>
    <n v="49.82240493275129"/>
  </r>
  <r>
    <x v="10"/>
    <x v="0"/>
    <x v="10"/>
    <x v="10"/>
    <x v="0"/>
    <x v="1"/>
    <x v="0"/>
    <x v="0"/>
    <x v="0"/>
    <x v="0"/>
    <x v="3"/>
    <x v="3"/>
    <x v="4"/>
    <x v="5"/>
    <x v="5"/>
    <x v="12"/>
    <x v="12"/>
    <n v="62.169755813717202"/>
    <x v="0"/>
    <x v="0"/>
    <x v="0"/>
    <x v="0"/>
    <x v="8"/>
    <x v="12"/>
    <n v="67.765033836951758"/>
  </r>
  <r>
    <x v="10"/>
    <x v="0"/>
    <x v="10"/>
    <x v="10"/>
    <x v="0"/>
    <x v="1"/>
    <x v="0"/>
    <x v="0"/>
    <x v="0"/>
    <x v="0"/>
    <x v="3"/>
    <x v="3"/>
    <x v="4"/>
    <x v="5"/>
    <x v="5"/>
    <x v="18"/>
    <x v="18"/>
    <n v="12.893660000000001"/>
    <x v="0"/>
    <x v="0"/>
    <x v="0"/>
    <x v="0"/>
    <x v="4"/>
    <x v="18"/>
    <n v="14.054089400000002"/>
  </r>
  <r>
    <x v="10"/>
    <x v="0"/>
    <x v="10"/>
    <x v="10"/>
    <x v="0"/>
    <x v="1"/>
    <x v="0"/>
    <x v="0"/>
    <x v="0"/>
    <x v="0"/>
    <x v="3"/>
    <x v="3"/>
    <x v="4"/>
    <x v="5"/>
    <x v="5"/>
    <x v="27"/>
    <x v="27"/>
    <n v="3.2432229730417301"/>
    <x v="0"/>
    <x v="0"/>
    <x v="1"/>
    <x v="3"/>
    <x v="3"/>
    <x v="19"/>
    <n v="3.535113040615486"/>
  </r>
  <r>
    <x v="10"/>
    <x v="0"/>
    <x v="10"/>
    <x v="10"/>
    <x v="0"/>
    <x v="1"/>
    <x v="0"/>
    <x v="0"/>
    <x v="0"/>
    <x v="0"/>
    <x v="3"/>
    <x v="3"/>
    <x v="4"/>
    <x v="5"/>
    <x v="5"/>
    <x v="0"/>
    <x v="0"/>
    <n v="159.19623843371801"/>
    <x v="0"/>
    <x v="0"/>
    <x v="0"/>
    <x v="0"/>
    <x v="0"/>
    <x v="0"/>
    <n v="173.52389989275264"/>
  </r>
  <r>
    <x v="10"/>
    <x v="0"/>
    <x v="10"/>
    <x v="10"/>
    <x v="0"/>
    <x v="1"/>
    <x v="0"/>
    <x v="0"/>
    <x v="0"/>
    <x v="0"/>
    <x v="3"/>
    <x v="3"/>
    <x v="4"/>
    <x v="5"/>
    <x v="5"/>
    <x v="2"/>
    <x v="2"/>
    <n v="10.034220183480199"/>
    <x v="0"/>
    <x v="1"/>
    <x v="2"/>
    <x v="2"/>
    <x v="13"/>
    <x v="2"/>
    <n v="10.937299999993417"/>
  </r>
  <r>
    <x v="10"/>
    <x v="0"/>
    <x v="10"/>
    <x v="10"/>
    <x v="0"/>
    <x v="1"/>
    <x v="0"/>
    <x v="0"/>
    <x v="0"/>
    <x v="0"/>
    <x v="18"/>
    <x v="18"/>
    <x v="1"/>
    <x v="6"/>
    <x v="6"/>
    <x v="12"/>
    <x v="12"/>
    <n v="20.860651162711399"/>
    <x v="0"/>
    <x v="0"/>
    <x v="0"/>
    <x v="0"/>
    <x v="8"/>
    <x v="12"/>
    <n v="22.738109767355425"/>
  </r>
  <r>
    <x v="10"/>
    <x v="0"/>
    <x v="10"/>
    <x v="10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10"/>
    <x v="0"/>
    <x v="10"/>
    <x v="10"/>
    <x v="0"/>
    <x v="1"/>
    <x v="0"/>
    <x v="0"/>
    <x v="0"/>
    <x v="0"/>
    <x v="4"/>
    <x v="4"/>
    <x v="2"/>
    <x v="2"/>
    <x v="2"/>
    <x v="6"/>
    <x v="6"/>
    <n v="1.94876"/>
    <x v="0"/>
    <x v="0"/>
    <x v="0"/>
    <x v="0"/>
    <x v="4"/>
    <x v="6"/>
    <n v="2.1241484000000002"/>
  </r>
  <r>
    <x v="10"/>
    <x v="0"/>
    <x v="10"/>
    <x v="10"/>
    <x v="0"/>
    <x v="1"/>
    <x v="0"/>
    <x v="0"/>
    <x v="0"/>
    <x v="0"/>
    <x v="4"/>
    <x v="4"/>
    <x v="2"/>
    <x v="2"/>
    <x v="2"/>
    <x v="7"/>
    <x v="7"/>
    <n v="0.46655963302724002"/>
    <x v="0"/>
    <x v="0"/>
    <x v="1"/>
    <x v="4"/>
    <x v="5"/>
    <x v="7"/>
    <n v="0.50854999999969164"/>
  </r>
  <r>
    <x v="10"/>
    <x v="0"/>
    <x v="10"/>
    <x v="10"/>
    <x v="0"/>
    <x v="1"/>
    <x v="0"/>
    <x v="0"/>
    <x v="0"/>
    <x v="0"/>
    <x v="4"/>
    <x v="4"/>
    <x v="2"/>
    <x v="2"/>
    <x v="2"/>
    <x v="8"/>
    <x v="8"/>
    <n v="1.1253716216288201"/>
    <x v="0"/>
    <x v="1"/>
    <x v="2"/>
    <x v="2"/>
    <x v="6"/>
    <x v="8"/>
    <n v="1.226655067575414"/>
  </r>
  <r>
    <x v="10"/>
    <x v="0"/>
    <x v="10"/>
    <x v="10"/>
    <x v="0"/>
    <x v="1"/>
    <x v="0"/>
    <x v="0"/>
    <x v="0"/>
    <x v="0"/>
    <x v="4"/>
    <x v="4"/>
    <x v="2"/>
    <x v="2"/>
    <x v="2"/>
    <x v="9"/>
    <x v="9"/>
    <n v="0.70990825688031001"/>
    <x v="0"/>
    <x v="0"/>
    <x v="1"/>
    <x v="4"/>
    <x v="5"/>
    <x v="9"/>
    <n v="0.77379999999953797"/>
  </r>
  <r>
    <x v="10"/>
    <x v="0"/>
    <x v="10"/>
    <x v="10"/>
    <x v="0"/>
    <x v="1"/>
    <x v="0"/>
    <x v="0"/>
    <x v="0"/>
    <x v="0"/>
    <x v="4"/>
    <x v="4"/>
    <x v="2"/>
    <x v="2"/>
    <x v="2"/>
    <x v="29"/>
    <x v="29"/>
    <n v="1.0132000000000001"/>
    <x v="0"/>
    <x v="0"/>
    <x v="1"/>
    <x v="3"/>
    <x v="3"/>
    <x v="13"/>
    <n v="1.1043880000000001"/>
  </r>
  <r>
    <x v="10"/>
    <x v="0"/>
    <x v="10"/>
    <x v="10"/>
    <x v="0"/>
    <x v="1"/>
    <x v="0"/>
    <x v="0"/>
    <x v="0"/>
    <x v="0"/>
    <x v="4"/>
    <x v="4"/>
    <x v="2"/>
    <x v="2"/>
    <x v="2"/>
    <x v="12"/>
    <x v="12"/>
    <n v="17.788325581327801"/>
    <x v="0"/>
    <x v="0"/>
    <x v="0"/>
    <x v="0"/>
    <x v="8"/>
    <x v="12"/>
    <n v="19.389274883647303"/>
  </r>
  <r>
    <x v="10"/>
    <x v="0"/>
    <x v="10"/>
    <x v="10"/>
    <x v="0"/>
    <x v="1"/>
    <x v="0"/>
    <x v="0"/>
    <x v="0"/>
    <x v="0"/>
    <x v="4"/>
    <x v="4"/>
    <x v="2"/>
    <x v="2"/>
    <x v="2"/>
    <x v="14"/>
    <x v="14"/>
    <n v="0.33389999999999997"/>
    <x v="0"/>
    <x v="0"/>
    <x v="0"/>
    <x v="0"/>
    <x v="8"/>
    <x v="14"/>
    <n v="0.36395100000000002"/>
  </r>
  <r>
    <x v="10"/>
    <x v="0"/>
    <x v="10"/>
    <x v="10"/>
    <x v="0"/>
    <x v="1"/>
    <x v="0"/>
    <x v="0"/>
    <x v="0"/>
    <x v="0"/>
    <x v="4"/>
    <x v="4"/>
    <x v="2"/>
    <x v="2"/>
    <x v="2"/>
    <x v="16"/>
    <x v="16"/>
    <n v="10.836510000000001"/>
    <x v="0"/>
    <x v="0"/>
    <x v="3"/>
    <x v="5"/>
    <x v="9"/>
    <x v="16"/>
    <n v="11.811795900000002"/>
  </r>
  <r>
    <x v="10"/>
    <x v="0"/>
    <x v="10"/>
    <x v="10"/>
    <x v="0"/>
    <x v="1"/>
    <x v="0"/>
    <x v="0"/>
    <x v="0"/>
    <x v="0"/>
    <x v="4"/>
    <x v="4"/>
    <x v="2"/>
    <x v="2"/>
    <x v="2"/>
    <x v="25"/>
    <x v="25"/>
    <n v="0.17413761467878999"/>
    <x v="0"/>
    <x v="0"/>
    <x v="1"/>
    <x v="4"/>
    <x v="5"/>
    <x v="9"/>
    <n v="0.1898099999998811"/>
  </r>
  <r>
    <x v="10"/>
    <x v="0"/>
    <x v="10"/>
    <x v="10"/>
    <x v="0"/>
    <x v="1"/>
    <x v="0"/>
    <x v="0"/>
    <x v="0"/>
    <x v="0"/>
    <x v="4"/>
    <x v="4"/>
    <x v="2"/>
    <x v="2"/>
    <x v="2"/>
    <x v="27"/>
    <x v="27"/>
    <n v="4.2181981982876202"/>
    <x v="0"/>
    <x v="0"/>
    <x v="1"/>
    <x v="3"/>
    <x v="3"/>
    <x v="19"/>
    <n v="4.597836036133506"/>
  </r>
  <r>
    <x v="10"/>
    <x v="0"/>
    <x v="10"/>
    <x v="10"/>
    <x v="0"/>
    <x v="1"/>
    <x v="0"/>
    <x v="0"/>
    <x v="0"/>
    <x v="0"/>
    <x v="4"/>
    <x v="4"/>
    <x v="2"/>
    <x v="2"/>
    <x v="2"/>
    <x v="2"/>
    <x v="2"/>
    <n v="8.9577798165083902"/>
    <x v="0"/>
    <x v="1"/>
    <x v="2"/>
    <x v="2"/>
    <x v="13"/>
    <x v="2"/>
    <n v="9.7639799999941452"/>
  </r>
  <r>
    <x v="10"/>
    <x v="0"/>
    <x v="10"/>
    <x v="10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10"/>
    <x v="0"/>
    <x v="10"/>
    <x v="10"/>
    <x v="0"/>
    <x v="1"/>
    <x v="0"/>
    <x v="0"/>
    <x v="2"/>
    <x v="2"/>
    <x v="5"/>
    <x v="5"/>
    <x v="2"/>
    <x v="2"/>
    <x v="2"/>
    <x v="42"/>
    <x v="42"/>
    <n v="12.421810000000001"/>
    <x v="1"/>
    <x v="2"/>
    <x v="5"/>
    <x v="7"/>
    <x v="11"/>
    <x v="22"/>
    <n v="13.539772900000001"/>
  </r>
  <r>
    <x v="10"/>
    <x v="0"/>
    <x v="10"/>
    <x v="10"/>
    <x v="0"/>
    <x v="1"/>
    <x v="0"/>
    <x v="0"/>
    <x v="2"/>
    <x v="2"/>
    <x v="5"/>
    <x v="5"/>
    <x v="2"/>
    <x v="2"/>
    <x v="2"/>
    <x v="41"/>
    <x v="41"/>
    <n v="7.9417234042251401"/>
    <x v="1"/>
    <x v="2"/>
    <x v="5"/>
    <x v="7"/>
    <x v="11"/>
    <x v="22"/>
    <n v="8.6564785106054032"/>
  </r>
  <r>
    <x v="10"/>
    <x v="0"/>
    <x v="10"/>
    <x v="10"/>
    <x v="0"/>
    <x v="1"/>
    <x v="0"/>
    <x v="0"/>
    <x v="2"/>
    <x v="2"/>
    <x v="5"/>
    <x v="5"/>
    <x v="2"/>
    <x v="2"/>
    <x v="2"/>
    <x v="40"/>
    <x v="40"/>
    <n v="413.33575000000002"/>
    <x v="1"/>
    <x v="2"/>
    <x v="5"/>
    <x v="7"/>
    <x v="11"/>
    <x v="22"/>
    <n v="450.53596750000003"/>
  </r>
  <r>
    <x v="10"/>
    <x v="0"/>
    <x v="10"/>
    <x v="10"/>
    <x v="0"/>
    <x v="1"/>
    <x v="0"/>
    <x v="0"/>
    <x v="2"/>
    <x v="2"/>
    <x v="5"/>
    <x v="5"/>
    <x v="2"/>
    <x v="2"/>
    <x v="2"/>
    <x v="38"/>
    <x v="38"/>
    <n v="30.884"/>
    <x v="1"/>
    <x v="0"/>
    <x v="4"/>
    <x v="6"/>
    <x v="10"/>
    <x v="21"/>
    <n v="33.663560000000004"/>
  </r>
  <r>
    <x v="10"/>
    <x v="0"/>
    <x v="10"/>
    <x v="10"/>
    <x v="0"/>
    <x v="1"/>
    <x v="0"/>
    <x v="0"/>
    <x v="0"/>
    <x v="0"/>
    <x v="5"/>
    <x v="5"/>
    <x v="2"/>
    <x v="2"/>
    <x v="2"/>
    <x v="17"/>
    <x v="17"/>
    <n v="10.8422"/>
    <x v="0"/>
    <x v="0"/>
    <x v="0"/>
    <x v="0"/>
    <x v="4"/>
    <x v="17"/>
    <n v="11.817998000000001"/>
  </r>
  <r>
    <x v="10"/>
    <x v="0"/>
    <x v="10"/>
    <x v="10"/>
    <x v="0"/>
    <x v="1"/>
    <x v="0"/>
    <x v="0"/>
    <x v="2"/>
    <x v="2"/>
    <x v="5"/>
    <x v="5"/>
    <x v="1"/>
    <x v="6"/>
    <x v="6"/>
    <x v="41"/>
    <x v="41"/>
    <n v="25.328106382882499"/>
    <x v="1"/>
    <x v="2"/>
    <x v="5"/>
    <x v="7"/>
    <x v="11"/>
    <x v="22"/>
    <n v="27.607635957341927"/>
  </r>
  <r>
    <x v="10"/>
    <x v="0"/>
    <x v="10"/>
    <x v="10"/>
    <x v="0"/>
    <x v="1"/>
    <x v="0"/>
    <x v="0"/>
    <x v="2"/>
    <x v="2"/>
    <x v="5"/>
    <x v="5"/>
    <x v="1"/>
    <x v="6"/>
    <x v="6"/>
    <x v="40"/>
    <x v="40"/>
    <n v="648.03420000000006"/>
    <x v="1"/>
    <x v="2"/>
    <x v="5"/>
    <x v="7"/>
    <x v="11"/>
    <x v="22"/>
    <n v="706.35727800000006"/>
  </r>
  <r>
    <x v="10"/>
    <x v="0"/>
    <x v="10"/>
    <x v="10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10"/>
    <x v="0"/>
    <x v="10"/>
    <x v="10"/>
    <x v="0"/>
    <x v="1"/>
    <x v="0"/>
    <x v="0"/>
    <x v="2"/>
    <x v="2"/>
    <x v="5"/>
    <x v="5"/>
    <x v="3"/>
    <x v="7"/>
    <x v="7"/>
    <x v="40"/>
    <x v="40"/>
    <n v="8.3645999999999994"/>
    <x v="1"/>
    <x v="2"/>
    <x v="5"/>
    <x v="7"/>
    <x v="11"/>
    <x v="22"/>
    <n v="9.1174140000000001"/>
  </r>
  <r>
    <x v="10"/>
    <x v="0"/>
    <x v="10"/>
    <x v="10"/>
    <x v="0"/>
    <x v="1"/>
    <x v="0"/>
    <x v="0"/>
    <x v="2"/>
    <x v="2"/>
    <x v="5"/>
    <x v="5"/>
    <x v="1"/>
    <x v="8"/>
    <x v="8"/>
    <x v="40"/>
    <x v="40"/>
    <n v="5.8815"/>
    <x v="1"/>
    <x v="2"/>
    <x v="5"/>
    <x v="7"/>
    <x v="11"/>
    <x v="22"/>
    <n v="6.4108350000000005"/>
  </r>
  <r>
    <x v="10"/>
    <x v="0"/>
    <x v="10"/>
    <x v="10"/>
    <x v="0"/>
    <x v="1"/>
    <x v="0"/>
    <x v="0"/>
    <x v="2"/>
    <x v="2"/>
    <x v="5"/>
    <x v="5"/>
    <x v="2"/>
    <x v="10"/>
    <x v="10"/>
    <x v="40"/>
    <x v="40"/>
    <n v="1.3548"/>
    <x v="1"/>
    <x v="2"/>
    <x v="5"/>
    <x v="7"/>
    <x v="11"/>
    <x v="22"/>
    <n v="1.4767320000000002"/>
  </r>
  <r>
    <x v="10"/>
    <x v="0"/>
    <x v="10"/>
    <x v="10"/>
    <x v="0"/>
    <x v="1"/>
    <x v="0"/>
    <x v="0"/>
    <x v="2"/>
    <x v="2"/>
    <x v="5"/>
    <x v="5"/>
    <x v="4"/>
    <x v="5"/>
    <x v="5"/>
    <x v="40"/>
    <x v="40"/>
    <n v="198.25762"/>
    <x v="1"/>
    <x v="2"/>
    <x v="5"/>
    <x v="7"/>
    <x v="11"/>
    <x v="22"/>
    <n v="216.10080580000002"/>
  </r>
  <r>
    <x v="10"/>
    <x v="0"/>
    <x v="10"/>
    <x v="10"/>
    <x v="0"/>
    <x v="1"/>
    <x v="0"/>
    <x v="0"/>
    <x v="2"/>
    <x v="2"/>
    <x v="6"/>
    <x v="6"/>
    <x v="2"/>
    <x v="2"/>
    <x v="2"/>
    <x v="40"/>
    <x v="40"/>
    <n v="9.7566799999999994"/>
    <x v="1"/>
    <x v="2"/>
    <x v="5"/>
    <x v="7"/>
    <x v="11"/>
    <x v="22"/>
    <n v="10.634781200000001"/>
  </r>
  <r>
    <x v="10"/>
    <x v="0"/>
    <x v="10"/>
    <x v="10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10"/>
    <x v="0"/>
    <x v="10"/>
    <x v="10"/>
    <x v="0"/>
    <x v="1"/>
    <x v="0"/>
    <x v="0"/>
    <x v="2"/>
    <x v="2"/>
    <x v="7"/>
    <x v="7"/>
    <x v="2"/>
    <x v="2"/>
    <x v="2"/>
    <x v="40"/>
    <x v="40"/>
    <n v="123.48733"/>
    <x v="1"/>
    <x v="2"/>
    <x v="5"/>
    <x v="7"/>
    <x v="11"/>
    <x v="22"/>
    <n v="134.60118970000002"/>
  </r>
  <r>
    <x v="10"/>
    <x v="0"/>
    <x v="10"/>
    <x v="10"/>
    <x v="0"/>
    <x v="1"/>
    <x v="0"/>
    <x v="0"/>
    <x v="2"/>
    <x v="2"/>
    <x v="7"/>
    <x v="7"/>
    <x v="2"/>
    <x v="2"/>
    <x v="2"/>
    <x v="38"/>
    <x v="38"/>
    <n v="187.21503000000001"/>
    <x v="1"/>
    <x v="0"/>
    <x v="4"/>
    <x v="6"/>
    <x v="10"/>
    <x v="21"/>
    <n v="204.06438270000004"/>
  </r>
  <r>
    <x v="10"/>
    <x v="0"/>
    <x v="10"/>
    <x v="10"/>
    <x v="0"/>
    <x v="1"/>
    <x v="0"/>
    <x v="0"/>
    <x v="2"/>
    <x v="2"/>
    <x v="7"/>
    <x v="7"/>
    <x v="2"/>
    <x v="2"/>
    <x v="2"/>
    <x v="43"/>
    <x v="43"/>
    <n v="4.4000000000000004"/>
    <x v="1"/>
    <x v="0"/>
    <x v="4"/>
    <x v="6"/>
    <x v="10"/>
    <x v="21"/>
    <n v="4.7960000000000012"/>
  </r>
  <r>
    <x v="10"/>
    <x v="0"/>
    <x v="10"/>
    <x v="10"/>
    <x v="0"/>
    <x v="1"/>
    <x v="0"/>
    <x v="0"/>
    <x v="2"/>
    <x v="2"/>
    <x v="7"/>
    <x v="7"/>
    <x v="2"/>
    <x v="2"/>
    <x v="2"/>
    <x v="44"/>
    <x v="44"/>
    <n v="4.9249999999999998"/>
    <x v="1"/>
    <x v="0"/>
    <x v="4"/>
    <x v="6"/>
    <x v="10"/>
    <x v="21"/>
    <n v="5.3682500000000006"/>
  </r>
  <r>
    <x v="10"/>
    <x v="0"/>
    <x v="10"/>
    <x v="10"/>
    <x v="0"/>
    <x v="1"/>
    <x v="0"/>
    <x v="0"/>
    <x v="0"/>
    <x v="0"/>
    <x v="7"/>
    <x v="7"/>
    <x v="2"/>
    <x v="2"/>
    <x v="2"/>
    <x v="17"/>
    <x v="17"/>
    <n v="3.34"/>
    <x v="0"/>
    <x v="0"/>
    <x v="0"/>
    <x v="0"/>
    <x v="4"/>
    <x v="17"/>
    <n v="3.6406000000000001"/>
  </r>
  <r>
    <x v="10"/>
    <x v="0"/>
    <x v="10"/>
    <x v="10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10"/>
    <x v="0"/>
    <x v="10"/>
    <x v="10"/>
    <x v="0"/>
    <x v="1"/>
    <x v="0"/>
    <x v="0"/>
    <x v="2"/>
    <x v="2"/>
    <x v="7"/>
    <x v="7"/>
    <x v="2"/>
    <x v="2"/>
    <x v="2"/>
    <x v="46"/>
    <x v="46"/>
    <n v="4.9144399999999999"/>
    <x v="1"/>
    <x v="0"/>
    <x v="4"/>
    <x v="6"/>
    <x v="10"/>
    <x v="21"/>
    <n v="5.3567396"/>
  </r>
  <r>
    <x v="10"/>
    <x v="0"/>
    <x v="10"/>
    <x v="10"/>
    <x v="0"/>
    <x v="1"/>
    <x v="0"/>
    <x v="0"/>
    <x v="2"/>
    <x v="2"/>
    <x v="7"/>
    <x v="7"/>
    <x v="1"/>
    <x v="6"/>
    <x v="6"/>
    <x v="40"/>
    <x v="40"/>
    <n v="239.55159"/>
    <x v="1"/>
    <x v="2"/>
    <x v="5"/>
    <x v="7"/>
    <x v="11"/>
    <x v="22"/>
    <n v="261.11123310000005"/>
  </r>
  <r>
    <x v="10"/>
    <x v="0"/>
    <x v="10"/>
    <x v="10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10"/>
    <x v="0"/>
    <x v="10"/>
    <x v="10"/>
    <x v="0"/>
    <x v="1"/>
    <x v="0"/>
    <x v="0"/>
    <x v="2"/>
    <x v="2"/>
    <x v="7"/>
    <x v="7"/>
    <x v="3"/>
    <x v="7"/>
    <x v="7"/>
    <x v="40"/>
    <x v="40"/>
    <n v="213.6961"/>
    <x v="1"/>
    <x v="2"/>
    <x v="5"/>
    <x v="7"/>
    <x v="11"/>
    <x v="22"/>
    <n v="232.92874900000001"/>
  </r>
  <r>
    <x v="10"/>
    <x v="0"/>
    <x v="10"/>
    <x v="10"/>
    <x v="0"/>
    <x v="1"/>
    <x v="0"/>
    <x v="0"/>
    <x v="2"/>
    <x v="2"/>
    <x v="7"/>
    <x v="7"/>
    <x v="1"/>
    <x v="8"/>
    <x v="8"/>
    <x v="40"/>
    <x v="40"/>
    <n v="21.24765"/>
    <x v="1"/>
    <x v="2"/>
    <x v="5"/>
    <x v="7"/>
    <x v="11"/>
    <x v="22"/>
    <n v="23.159938500000003"/>
  </r>
  <r>
    <x v="10"/>
    <x v="0"/>
    <x v="10"/>
    <x v="10"/>
    <x v="0"/>
    <x v="1"/>
    <x v="0"/>
    <x v="0"/>
    <x v="2"/>
    <x v="2"/>
    <x v="7"/>
    <x v="7"/>
    <x v="2"/>
    <x v="10"/>
    <x v="10"/>
    <x v="40"/>
    <x v="40"/>
    <n v="4.5162000000000004"/>
    <x v="1"/>
    <x v="2"/>
    <x v="5"/>
    <x v="7"/>
    <x v="11"/>
    <x v="22"/>
    <n v="4.9226580000000011"/>
  </r>
  <r>
    <x v="10"/>
    <x v="0"/>
    <x v="10"/>
    <x v="10"/>
    <x v="0"/>
    <x v="1"/>
    <x v="0"/>
    <x v="0"/>
    <x v="2"/>
    <x v="2"/>
    <x v="7"/>
    <x v="7"/>
    <x v="4"/>
    <x v="5"/>
    <x v="5"/>
    <x v="40"/>
    <x v="40"/>
    <n v="162.62620000000001"/>
    <x v="1"/>
    <x v="2"/>
    <x v="5"/>
    <x v="7"/>
    <x v="11"/>
    <x v="22"/>
    <n v="177.26255800000001"/>
  </r>
  <r>
    <x v="10"/>
    <x v="0"/>
    <x v="10"/>
    <x v="10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10"/>
    <x v="0"/>
    <x v="10"/>
    <x v="10"/>
    <x v="0"/>
    <x v="1"/>
    <x v="0"/>
    <x v="0"/>
    <x v="2"/>
    <x v="2"/>
    <x v="8"/>
    <x v="8"/>
    <x v="2"/>
    <x v="2"/>
    <x v="2"/>
    <x v="40"/>
    <x v="40"/>
    <n v="87.386520000000004"/>
    <x v="1"/>
    <x v="2"/>
    <x v="5"/>
    <x v="7"/>
    <x v="11"/>
    <x v="22"/>
    <n v="95.251306800000009"/>
  </r>
  <r>
    <x v="10"/>
    <x v="0"/>
    <x v="10"/>
    <x v="10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10"/>
    <x v="0"/>
    <x v="10"/>
    <x v="10"/>
    <x v="0"/>
    <x v="1"/>
    <x v="0"/>
    <x v="0"/>
    <x v="2"/>
    <x v="2"/>
    <x v="9"/>
    <x v="9"/>
    <x v="2"/>
    <x v="2"/>
    <x v="2"/>
    <x v="40"/>
    <x v="40"/>
    <n v="810.23590000000002"/>
    <x v="1"/>
    <x v="2"/>
    <x v="5"/>
    <x v="7"/>
    <x v="11"/>
    <x v="22"/>
    <n v="883.15713100000005"/>
  </r>
  <r>
    <x v="10"/>
    <x v="0"/>
    <x v="10"/>
    <x v="10"/>
    <x v="0"/>
    <x v="1"/>
    <x v="0"/>
    <x v="0"/>
    <x v="2"/>
    <x v="2"/>
    <x v="9"/>
    <x v="9"/>
    <x v="2"/>
    <x v="2"/>
    <x v="2"/>
    <x v="38"/>
    <x v="38"/>
    <n v="351.17869999999999"/>
    <x v="1"/>
    <x v="0"/>
    <x v="4"/>
    <x v="6"/>
    <x v="10"/>
    <x v="21"/>
    <n v="382.784783"/>
  </r>
  <r>
    <x v="10"/>
    <x v="0"/>
    <x v="10"/>
    <x v="10"/>
    <x v="0"/>
    <x v="1"/>
    <x v="0"/>
    <x v="0"/>
    <x v="2"/>
    <x v="2"/>
    <x v="9"/>
    <x v="9"/>
    <x v="2"/>
    <x v="2"/>
    <x v="2"/>
    <x v="48"/>
    <x v="48"/>
    <n v="34.141030000000001"/>
    <x v="1"/>
    <x v="0"/>
    <x v="4"/>
    <x v="6"/>
    <x v="10"/>
    <x v="21"/>
    <n v="37.213722700000005"/>
  </r>
  <r>
    <x v="10"/>
    <x v="0"/>
    <x v="10"/>
    <x v="10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10"/>
    <x v="0"/>
    <x v="10"/>
    <x v="10"/>
    <x v="0"/>
    <x v="1"/>
    <x v="0"/>
    <x v="0"/>
    <x v="2"/>
    <x v="2"/>
    <x v="9"/>
    <x v="9"/>
    <x v="1"/>
    <x v="6"/>
    <x v="6"/>
    <x v="40"/>
    <x v="40"/>
    <n v="1595.5993000000001"/>
    <x v="1"/>
    <x v="2"/>
    <x v="5"/>
    <x v="7"/>
    <x v="11"/>
    <x v="22"/>
    <n v="1739.2032370000002"/>
  </r>
  <r>
    <x v="10"/>
    <x v="0"/>
    <x v="10"/>
    <x v="10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10"/>
    <x v="0"/>
    <x v="10"/>
    <x v="10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10"/>
    <x v="0"/>
    <x v="10"/>
    <x v="10"/>
    <x v="0"/>
    <x v="1"/>
    <x v="0"/>
    <x v="0"/>
    <x v="2"/>
    <x v="2"/>
    <x v="9"/>
    <x v="9"/>
    <x v="3"/>
    <x v="7"/>
    <x v="7"/>
    <x v="40"/>
    <x v="40"/>
    <n v="1063.4302700000001"/>
    <x v="1"/>
    <x v="2"/>
    <x v="5"/>
    <x v="7"/>
    <x v="11"/>
    <x v="22"/>
    <n v="1159.1389943000001"/>
  </r>
  <r>
    <x v="10"/>
    <x v="0"/>
    <x v="10"/>
    <x v="10"/>
    <x v="0"/>
    <x v="1"/>
    <x v="0"/>
    <x v="0"/>
    <x v="2"/>
    <x v="2"/>
    <x v="9"/>
    <x v="9"/>
    <x v="1"/>
    <x v="8"/>
    <x v="8"/>
    <x v="40"/>
    <x v="40"/>
    <n v="292.38240000000002"/>
    <x v="1"/>
    <x v="2"/>
    <x v="5"/>
    <x v="7"/>
    <x v="11"/>
    <x v="22"/>
    <n v="318.69681600000007"/>
  </r>
  <r>
    <x v="10"/>
    <x v="0"/>
    <x v="10"/>
    <x v="10"/>
    <x v="0"/>
    <x v="1"/>
    <x v="0"/>
    <x v="0"/>
    <x v="2"/>
    <x v="2"/>
    <x v="9"/>
    <x v="9"/>
    <x v="2"/>
    <x v="10"/>
    <x v="10"/>
    <x v="40"/>
    <x v="40"/>
    <n v="230.93732"/>
    <x v="1"/>
    <x v="2"/>
    <x v="5"/>
    <x v="7"/>
    <x v="11"/>
    <x v="22"/>
    <n v="251.72167880000001"/>
  </r>
  <r>
    <x v="10"/>
    <x v="0"/>
    <x v="10"/>
    <x v="10"/>
    <x v="0"/>
    <x v="1"/>
    <x v="0"/>
    <x v="0"/>
    <x v="2"/>
    <x v="2"/>
    <x v="9"/>
    <x v="9"/>
    <x v="4"/>
    <x v="5"/>
    <x v="5"/>
    <x v="40"/>
    <x v="40"/>
    <n v="1613.84808"/>
    <x v="1"/>
    <x v="2"/>
    <x v="5"/>
    <x v="7"/>
    <x v="11"/>
    <x v="22"/>
    <n v="1759.0944072000002"/>
  </r>
  <r>
    <x v="10"/>
    <x v="0"/>
    <x v="10"/>
    <x v="10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10"/>
    <x v="0"/>
    <x v="10"/>
    <x v="10"/>
    <x v="0"/>
    <x v="1"/>
    <x v="0"/>
    <x v="0"/>
    <x v="2"/>
    <x v="2"/>
    <x v="10"/>
    <x v="10"/>
    <x v="2"/>
    <x v="2"/>
    <x v="2"/>
    <x v="41"/>
    <x v="41"/>
    <n v="3.4074574467955601"/>
    <x v="1"/>
    <x v="2"/>
    <x v="5"/>
    <x v="7"/>
    <x v="11"/>
    <x v="22"/>
    <n v="3.7141286170071606"/>
  </r>
  <r>
    <x v="10"/>
    <x v="0"/>
    <x v="10"/>
    <x v="10"/>
    <x v="0"/>
    <x v="1"/>
    <x v="0"/>
    <x v="0"/>
    <x v="2"/>
    <x v="2"/>
    <x v="10"/>
    <x v="10"/>
    <x v="2"/>
    <x v="2"/>
    <x v="2"/>
    <x v="40"/>
    <x v="40"/>
    <n v="331.61847"/>
    <x v="1"/>
    <x v="2"/>
    <x v="5"/>
    <x v="7"/>
    <x v="11"/>
    <x v="22"/>
    <n v="361.46413230000002"/>
  </r>
  <r>
    <x v="10"/>
    <x v="0"/>
    <x v="10"/>
    <x v="10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10"/>
    <x v="0"/>
    <x v="10"/>
    <x v="10"/>
    <x v="0"/>
    <x v="1"/>
    <x v="0"/>
    <x v="0"/>
    <x v="0"/>
    <x v="0"/>
    <x v="11"/>
    <x v="11"/>
    <x v="4"/>
    <x v="5"/>
    <x v="5"/>
    <x v="10"/>
    <x v="10"/>
    <n v="2.2644928000000001E-5"/>
    <x v="0"/>
    <x v="0"/>
    <x v="1"/>
    <x v="4"/>
    <x v="5"/>
    <x v="10"/>
    <n v="2.4682971520000002E-5"/>
  </r>
  <r>
    <x v="10"/>
    <x v="0"/>
    <x v="10"/>
    <x v="10"/>
    <x v="0"/>
    <x v="1"/>
    <x v="0"/>
    <x v="0"/>
    <x v="3"/>
    <x v="3"/>
    <x v="12"/>
    <x v="12"/>
    <x v="2"/>
    <x v="2"/>
    <x v="2"/>
    <x v="40"/>
    <x v="40"/>
    <n v="9.7038499999999992"/>
    <x v="1"/>
    <x v="2"/>
    <x v="5"/>
    <x v="7"/>
    <x v="11"/>
    <x v="22"/>
    <n v="10.577196499999999"/>
  </r>
  <r>
    <x v="10"/>
    <x v="0"/>
    <x v="10"/>
    <x v="10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10"/>
    <x v="0"/>
    <x v="10"/>
    <x v="10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10"/>
    <x v="0"/>
    <x v="10"/>
    <x v="10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10"/>
    <x v="0"/>
    <x v="10"/>
    <x v="10"/>
    <x v="0"/>
    <x v="1"/>
    <x v="0"/>
    <x v="0"/>
    <x v="3"/>
    <x v="3"/>
    <x v="12"/>
    <x v="12"/>
    <x v="3"/>
    <x v="7"/>
    <x v="7"/>
    <x v="40"/>
    <x v="40"/>
    <n v="11.8362"/>
    <x v="1"/>
    <x v="2"/>
    <x v="5"/>
    <x v="7"/>
    <x v="11"/>
    <x v="22"/>
    <n v="12.901458000000002"/>
  </r>
  <r>
    <x v="10"/>
    <x v="0"/>
    <x v="10"/>
    <x v="10"/>
    <x v="0"/>
    <x v="1"/>
    <x v="0"/>
    <x v="0"/>
    <x v="3"/>
    <x v="3"/>
    <x v="12"/>
    <x v="12"/>
    <x v="4"/>
    <x v="5"/>
    <x v="5"/>
    <x v="40"/>
    <x v="40"/>
    <n v="24.68967"/>
    <x v="1"/>
    <x v="2"/>
    <x v="5"/>
    <x v="7"/>
    <x v="11"/>
    <x v="22"/>
    <n v="26.911740300000002"/>
  </r>
  <r>
    <x v="10"/>
    <x v="0"/>
    <x v="10"/>
    <x v="10"/>
    <x v="0"/>
    <x v="1"/>
    <x v="0"/>
    <x v="0"/>
    <x v="3"/>
    <x v="3"/>
    <x v="13"/>
    <x v="13"/>
    <x v="2"/>
    <x v="2"/>
    <x v="2"/>
    <x v="41"/>
    <x v="41"/>
    <n v="21.8955212765125"/>
    <x v="1"/>
    <x v="2"/>
    <x v="5"/>
    <x v="7"/>
    <x v="11"/>
    <x v="22"/>
    <n v="23.866118191398627"/>
  </r>
  <r>
    <x v="10"/>
    <x v="0"/>
    <x v="10"/>
    <x v="10"/>
    <x v="0"/>
    <x v="1"/>
    <x v="0"/>
    <x v="0"/>
    <x v="3"/>
    <x v="3"/>
    <x v="13"/>
    <x v="13"/>
    <x v="2"/>
    <x v="2"/>
    <x v="2"/>
    <x v="40"/>
    <x v="40"/>
    <n v="227.27663000000001"/>
    <x v="1"/>
    <x v="2"/>
    <x v="5"/>
    <x v="7"/>
    <x v="11"/>
    <x v="22"/>
    <n v="247.73152670000002"/>
  </r>
  <r>
    <x v="10"/>
    <x v="0"/>
    <x v="10"/>
    <x v="10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10"/>
    <x v="0"/>
    <x v="10"/>
    <x v="10"/>
    <x v="0"/>
    <x v="1"/>
    <x v="0"/>
    <x v="0"/>
    <x v="3"/>
    <x v="3"/>
    <x v="13"/>
    <x v="13"/>
    <x v="1"/>
    <x v="6"/>
    <x v="6"/>
    <x v="40"/>
    <x v="40"/>
    <n v="168.0087"/>
    <x v="1"/>
    <x v="2"/>
    <x v="5"/>
    <x v="7"/>
    <x v="11"/>
    <x v="22"/>
    <n v="183.12948300000002"/>
  </r>
  <r>
    <x v="10"/>
    <x v="0"/>
    <x v="10"/>
    <x v="10"/>
    <x v="0"/>
    <x v="1"/>
    <x v="0"/>
    <x v="0"/>
    <x v="3"/>
    <x v="3"/>
    <x v="13"/>
    <x v="13"/>
    <x v="1"/>
    <x v="8"/>
    <x v="8"/>
    <x v="40"/>
    <x v="40"/>
    <n v="3.2012999999999998"/>
    <x v="1"/>
    <x v="2"/>
    <x v="5"/>
    <x v="7"/>
    <x v="11"/>
    <x v="22"/>
    <n v="3.489417"/>
  </r>
  <r>
    <x v="10"/>
    <x v="0"/>
    <x v="10"/>
    <x v="10"/>
    <x v="0"/>
    <x v="1"/>
    <x v="0"/>
    <x v="0"/>
    <x v="3"/>
    <x v="3"/>
    <x v="13"/>
    <x v="13"/>
    <x v="4"/>
    <x v="5"/>
    <x v="5"/>
    <x v="40"/>
    <x v="40"/>
    <n v="1.4966999999999999"/>
    <x v="1"/>
    <x v="2"/>
    <x v="5"/>
    <x v="7"/>
    <x v="11"/>
    <x v="22"/>
    <n v="1.6314029999999999"/>
  </r>
  <r>
    <x v="10"/>
    <x v="0"/>
    <x v="10"/>
    <x v="10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10"/>
    <x v="0"/>
    <x v="10"/>
    <x v="10"/>
    <x v="0"/>
    <x v="1"/>
    <x v="0"/>
    <x v="0"/>
    <x v="2"/>
    <x v="2"/>
    <x v="14"/>
    <x v="14"/>
    <x v="2"/>
    <x v="2"/>
    <x v="2"/>
    <x v="40"/>
    <x v="40"/>
    <n v="26.389710000000001"/>
    <x v="1"/>
    <x v="2"/>
    <x v="5"/>
    <x v="7"/>
    <x v="11"/>
    <x v="22"/>
    <n v="28.764783900000005"/>
  </r>
  <r>
    <x v="10"/>
    <x v="0"/>
    <x v="10"/>
    <x v="10"/>
    <x v="0"/>
    <x v="1"/>
    <x v="0"/>
    <x v="0"/>
    <x v="2"/>
    <x v="2"/>
    <x v="15"/>
    <x v="15"/>
    <x v="0"/>
    <x v="4"/>
    <x v="4"/>
    <x v="40"/>
    <x v="40"/>
    <n v="48.917160000000003"/>
    <x v="1"/>
    <x v="2"/>
    <x v="5"/>
    <x v="7"/>
    <x v="11"/>
    <x v="22"/>
    <n v="53.319704400000006"/>
  </r>
  <r>
    <x v="10"/>
    <x v="0"/>
    <x v="10"/>
    <x v="10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10"/>
    <x v="0"/>
    <x v="10"/>
    <x v="10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10"/>
    <x v="0"/>
    <x v="10"/>
    <x v="10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10"/>
    <x v="0"/>
    <x v="10"/>
    <x v="10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10"/>
    <x v="0"/>
    <x v="10"/>
    <x v="10"/>
    <x v="0"/>
    <x v="1"/>
    <x v="0"/>
    <x v="0"/>
    <x v="2"/>
    <x v="2"/>
    <x v="17"/>
    <x v="17"/>
    <x v="2"/>
    <x v="2"/>
    <x v="2"/>
    <x v="42"/>
    <x v="42"/>
    <n v="5.2142600000000003"/>
    <x v="1"/>
    <x v="2"/>
    <x v="5"/>
    <x v="7"/>
    <x v="11"/>
    <x v="22"/>
    <n v="5.6835434000000005"/>
  </r>
  <r>
    <x v="10"/>
    <x v="0"/>
    <x v="10"/>
    <x v="10"/>
    <x v="0"/>
    <x v="1"/>
    <x v="0"/>
    <x v="0"/>
    <x v="2"/>
    <x v="2"/>
    <x v="17"/>
    <x v="17"/>
    <x v="2"/>
    <x v="2"/>
    <x v="2"/>
    <x v="40"/>
    <x v="40"/>
    <n v="154.32454999999999"/>
    <x v="1"/>
    <x v="2"/>
    <x v="5"/>
    <x v="7"/>
    <x v="11"/>
    <x v="22"/>
    <n v="168.21375950000001"/>
  </r>
  <r>
    <x v="10"/>
    <x v="0"/>
    <x v="10"/>
    <x v="10"/>
    <x v="0"/>
    <x v="1"/>
    <x v="0"/>
    <x v="0"/>
    <x v="2"/>
    <x v="2"/>
    <x v="17"/>
    <x v="17"/>
    <x v="2"/>
    <x v="2"/>
    <x v="2"/>
    <x v="38"/>
    <x v="38"/>
    <n v="3.875"/>
    <x v="1"/>
    <x v="0"/>
    <x v="4"/>
    <x v="6"/>
    <x v="10"/>
    <x v="21"/>
    <n v="4.2237499999999999"/>
  </r>
  <r>
    <x v="10"/>
    <x v="0"/>
    <x v="10"/>
    <x v="10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10"/>
    <x v="0"/>
    <x v="10"/>
    <x v="10"/>
    <x v="0"/>
    <x v="1"/>
    <x v="0"/>
    <x v="0"/>
    <x v="2"/>
    <x v="2"/>
    <x v="17"/>
    <x v="17"/>
    <x v="3"/>
    <x v="7"/>
    <x v="7"/>
    <x v="40"/>
    <x v="40"/>
    <n v="31.1907"/>
    <x v="1"/>
    <x v="2"/>
    <x v="5"/>
    <x v="7"/>
    <x v="11"/>
    <x v="22"/>
    <n v="33.997863000000002"/>
  </r>
  <r>
    <x v="10"/>
    <x v="0"/>
    <x v="10"/>
    <x v="10"/>
    <x v="0"/>
    <x v="1"/>
    <x v="0"/>
    <x v="0"/>
    <x v="2"/>
    <x v="2"/>
    <x v="17"/>
    <x v="17"/>
    <x v="1"/>
    <x v="8"/>
    <x v="8"/>
    <x v="40"/>
    <x v="40"/>
    <n v="15.6282"/>
    <x v="1"/>
    <x v="2"/>
    <x v="5"/>
    <x v="7"/>
    <x v="11"/>
    <x v="22"/>
    <n v="17.034738000000001"/>
  </r>
  <r>
    <x v="10"/>
    <x v="0"/>
    <x v="10"/>
    <x v="10"/>
    <x v="0"/>
    <x v="1"/>
    <x v="0"/>
    <x v="0"/>
    <x v="2"/>
    <x v="2"/>
    <x v="17"/>
    <x v="17"/>
    <x v="2"/>
    <x v="10"/>
    <x v="10"/>
    <x v="40"/>
    <x v="40"/>
    <n v="4.5162000000000004"/>
    <x v="1"/>
    <x v="2"/>
    <x v="5"/>
    <x v="7"/>
    <x v="11"/>
    <x v="22"/>
    <n v="4.9226580000000011"/>
  </r>
  <r>
    <x v="10"/>
    <x v="0"/>
    <x v="10"/>
    <x v="10"/>
    <x v="0"/>
    <x v="1"/>
    <x v="0"/>
    <x v="0"/>
    <x v="2"/>
    <x v="2"/>
    <x v="17"/>
    <x v="17"/>
    <x v="4"/>
    <x v="5"/>
    <x v="5"/>
    <x v="40"/>
    <x v="40"/>
    <n v="275.26530000000002"/>
    <x v="1"/>
    <x v="2"/>
    <x v="5"/>
    <x v="7"/>
    <x v="11"/>
    <x v="22"/>
    <n v="300.03917700000005"/>
  </r>
  <r>
    <x v="10"/>
    <x v="0"/>
    <x v="10"/>
    <x v="10"/>
    <x v="0"/>
    <x v="2"/>
    <x v="0"/>
    <x v="0"/>
    <x v="0"/>
    <x v="0"/>
    <x v="0"/>
    <x v="0"/>
    <x v="3"/>
    <x v="3"/>
    <x v="3"/>
    <x v="9"/>
    <x v="9"/>
    <n v="22.306197473807199"/>
    <x v="0"/>
    <x v="0"/>
    <x v="1"/>
    <x v="4"/>
    <x v="5"/>
    <x v="9"/>
    <n v="24.313755246449848"/>
  </r>
  <r>
    <x v="10"/>
    <x v="0"/>
    <x v="10"/>
    <x v="10"/>
    <x v="0"/>
    <x v="2"/>
    <x v="0"/>
    <x v="0"/>
    <x v="0"/>
    <x v="0"/>
    <x v="0"/>
    <x v="0"/>
    <x v="3"/>
    <x v="3"/>
    <x v="3"/>
    <x v="10"/>
    <x v="10"/>
    <n v="1.80657798165029"/>
    <x v="0"/>
    <x v="0"/>
    <x v="1"/>
    <x v="4"/>
    <x v="5"/>
    <x v="10"/>
    <n v="1.9691699999988164"/>
  </r>
  <r>
    <x v="10"/>
    <x v="0"/>
    <x v="10"/>
    <x v="10"/>
    <x v="0"/>
    <x v="2"/>
    <x v="0"/>
    <x v="0"/>
    <x v="0"/>
    <x v="0"/>
    <x v="0"/>
    <x v="0"/>
    <x v="3"/>
    <x v="3"/>
    <x v="3"/>
    <x v="11"/>
    <x v="11"/>
    <n v="6.9046799999999999"/>
    <x v="0"/>
    <x v="0"/>
    <x v="3"/>
    <x v="5"/>
    <x v="7"/>
    <x v="11"/>
    <n v="7.5261012000000003"/>
  </r>
  <r>
    <x v="10"/>
    <x v="0"/>
    <x v="10"/>
    <x v="10"/>
    <x v="0"/>
    <x v="2"/>
    <x v="0"/>
    <x v="0"/>
    <x v="0"/>
    <x v="0"/>
    <x v="0"/>
    <x v="0"/>
    <x v="3"/>
    <x v="3"/>
    <x v="3"/>
    <x v="12"/>
    <x v="12"/>
    <n v="2.3255813953400001E-3"/>
    <x v="0"/>
    <x v="0"/>
    <x v="0"/>
    <x v="0"/>
    <x v="8"/>
    <x v="12"/>
    <n v="2.5348837209206001E-3"/>
  </r>
  <r>
    <x v="10"/>
    <x v="0"/>
    <x v="10"/>
    <x v="10"/>
    <x v="0"/>
    <x v="2"/>
    <x v="0"/>
    <x v="0"/>
    <x v="0"/>
    <x v="0"/>
    <x v="0"/>
    <x v="0"/>
    <x v="3"/>
    <x v="3"/>
    <x v="3"/>
    <x v="32"/>
    <x v="32"/>
    <n v="9.28676122910454"/>
    <x v="0"/>
    <x v="0"/>
    <x v="1"/>
    <x v="1"/>
    <x v="1"/>
    <x v="20"/>
    <n v="10.12256973972395"/>
  </r>
  <r>
    <x v="10"/>
    <x v="0"/>
    <x v="10"/>
    <x v="10"/>
    <x v="0"/>
    <x v="2"/>
    <x v="0"/>
    <x v="0"/>
    <x v="0"/>
    <x v="0"/>
    <x v="0"/>
    <x v="0"/>
    <x v="3"/>
    <x v="3"/>
    <x v="3"/>
    <x v="16"/>
    <x v="16"/>
    <n v="48.32"/>
    <x v="0"/>
    <x v="0"/>
    <x v="3"/>
    <x v="5"/>
    <x v="9"/>
    <x v="16"/>
    <n v="52.668800000000005"/>
  </r>
  <r>
    <x v="10"/>
    <x v="0"/>
    <x v="10"/>
    <x v="10"/>
    <x v="0"/>
    <x v="2"/>
    <x v="0"/>
    <x v="0"/>
    <x v="0"/>
    <x v="0"/>
    <x v="0"/>
    <x v="0"/>
    <x v="3"/>
    <x v="12"/>
    <x v="3"/>
    <x v="8"/>
    <x v="8"/>
    <n v="2132.7347837974298"/>
    <x v="0"/>
    <x v="1"/>
    <x v="2"/>
    <x v="2"/>
    <x v="6"/>
    <x v="8"/>
    <n v="2324.6809143391988"/>
  </r>
  <r>
    <x v="10"/>
    <x v="0"/>
    <x v="10"/>
    <x v="10"/>
    <x v="0"/>
    <x v="2"/>
    <x v="0"/>
    <x v="0"/>
    <x v="0"/>
    <x v="0"/>
    <x v="0"/>
    <x v="0"/>
    <x v="0"/>
    <x v="4"/>
    <x v="4"/>
    <x v="6"/>
    <x v="6"/>
    <n v="7.5940000000000003"/>
    <x v="0"/>
    <x v="0"/>
    <x v="0"/>
    <x v="0"/>
    <x v="4"/>
    <x v="6"/>
    <n v="8.2774600000000014"/>
  </r>
  <r>
    <x v="10"/>
    <x v="0"/>
    <x v="10"/>
    <x v="10"/>
    <x v="0"/>
    <x v="2"/>
    <x v="0"/>
    <x v="0"/>
    <x v="0"/>
    <x v="0"/>
    <x v="0"/>
    <x v="0"/>
    <x v="0"/>
    <x v="4"/>
    <x v="4"/>
    <x v="9"/>
    <x v="9"/>
    <n v="190.20990825676699"/>
    <x v="0"/>
    <x v="0"/>
    <x v="1"/>
    <x v="4"/>
    <x v="5"/>
    <x v="9"/>
    <n v="207.32879999987603"/>
  </r>
  <r>
    <x v="10"/>
    <x v="0"/>
    <x v="10"/>
    <x v="10"/>
    <x v="0"/>
    <x v="2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10"/>
    <x v="0"/>
    <x v="10"/>
    <x v="10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10"/>
    <x v="0"/>
    <x v="10"/>
    <x v="10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10"/>
    <x v="0"/>
    <x v="10"/>
    <x v="10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10"/>
    <x v="0"/>
    <x v="10"/>
    <x v="10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10"/>
    <x v="0"/>
    <x v="10"/>
    <x v="10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10"/>
    <x v="0"/>
    <x v="10"/>
    <x v="10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10"/>
    <x v="0"/>
    <x v="10"/>
    <x v="10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10"/>
    <x v="0"/>
    <x v="10"/>
    <x v="10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10"/>
    <x v="0"/>
    <x v="10"/>
    <x v="10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10"/>
    <x v="0"/>
    <x v="10"/>
    <x v="10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10"/>
    <x v="0"/>
    <x v="10"/>
    <x v="10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10"/>
    <x v="0"/>
    <x v="10"/>
    <x v="10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10"/>
    <x v="0"/>
    <x v="10"/>
    <x v="10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10"/>
    <x v="0"/>
    <x v="10"/>
    <x v="10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10"/>
    <x v="0"/>
    <x v="10"/>
    <x v="10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10"/>
    <x v="0"/>
    <x v="10"/>
    <x v="10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10"/>
    <x v="0"/>
    <x v="10"/>
    <x v="10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10"/>
    <x v="0"/>
    <x v="10"/>
    <x v="10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10"/>
    <x v="0"/>
    <x v="10"/>
    <x v="10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10"/>
    <x v="0"/>
    <x v="10"/>
    <x v="10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10"/>
    <x v="0"/>
    <x v="10"/>
    <x v="10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10"/>
    <x v="0"/>
    <x v="10"/>
    <x v="10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10"/>
    <x v="0"/>
    <x v="10"/>
    <x v="10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10"/>
    <x v="0"/>
    <x v="10"/>
    <x v="10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10"/>
    <x v="0"/>
    <x v="10"/>
    <x v="10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10"/>
    <x v="0"/>
    <x v="10"/>
    <x v="10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10"/>
    <x v="0"/>
    <x v="10"/>
    <x v="10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10"/>
    <x v="0"/>
    <x v="10"/>
    <x v="10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10"/>
    <x v="0"/>
    <x v="10"/>
    <x v="10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10"/>
    <x v="0"/>
    <x v="10"/>
    <x v="10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10"/>
    <x v="0"/>
    <x v="10"/>
    <x v="10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10"/>
    <x v="0"/>
    <x v="10"/>
    <x v="10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10"/>
    <x v="0"/>
    <x v="10"/>
    <x v="10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10"/>
    <x v="0"/>
    <x v="10"/>
    <x v="10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10"/>
    <x v="0"/>
    <x v="10"/>
    <x v="10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10"/>
    <x v="0"/>
    <x v="10"/>
    <x v="10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10"/>
    <x v="0"/>
    <x v="10"/>
    <x v="10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10"/>
    <x v="0"/>
    <x v="10"/>
    <x v="10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10"/>
    <x v="0"/>
    <x v="10"/>
    <x v="10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10"/>
    <x v="0"/>
    <x v="10"/>
    <x v="10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10"/>
    <x v="0"/>
    <x v="10"/>
    <x v="10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10"/>
    <x v="0"/>
    <x v="10"/>
    <x v="10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10"/>
    <x v="0"/>
    <x v="10"/>
    <x v="10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10"/>
    <x v="0"/>
    <x v="10"/>
    <x v="10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10"/>
    <x v="0"/>
    <x v="10"/>
    <x v="10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10"/>
    <x v="0"/>
    <x v="10"/>
    <x v="10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10"/>
    <x v="0"/>
    <x v="10"/>
    <x v="10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10"/>
    <x v="0"/>
    <x v="10"/>
    <x v="10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10"/>
    <x v="0"/>
    <x v="10"/>
    <x v="10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10"/>
    <x v="0"/>
    <x v="10"/>
    <x v="10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10"/>
    <x v="0"/>
    <x v="10"/>
    <x v="10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10"/>
    <x v="0"/>
    <x v="10"/>
    <x v="10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10"/>
    <x v="0"/>
    <x v="10"/>
    <x v="10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10"/>
    <x v="0"/>
    <x v="10"/>
    <x v="10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10"/>
    <x v="0"/>
    <x v="10"/>
    <x v="10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10"/>
    <x v="0"/>
    <x v="10"/>
    <x v="10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10"/>
    <x v="0"/>
    <x v="10"/>
    <x v="10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10"/>
    <x v="0"/>
    <x v="10"/>
    <x v="10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10"/>
    <x v="0"/>
    <x v="10"/>
    <x v="10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10"/>
    <x v="0"/>
    <x v="10"/>
    <x v="10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10"/>
    <x v="0"/>
    <x v="10"/>
    <x v="10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10"/>
    <x v="0"/>
    <x v="10"/>
    <x v="10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10"/>
    <x v="0"/>
    <x v="10"/>
    <x v="10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10"/>
    <x v="0"/>
    <x v="10"/>
    <x v="10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10"/>
    <x v="0"/>
    <x v="10"/>
    <x v="10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10"/>
    <x v="0"/>
    <x v="10"/>
    <x v="10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10"/>
    <x v="0"/>
    <x v="10"/>
    <x v="10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10"/>
    <x v="0"/>
    <x v="10"/>
    <x v="10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10"/>
    <x v="0"/>
    <x v="10"/>
    <x v="10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10"/>
    <x v="0"/>
    <x v="10"/>
    <x v="10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10"/>
    <x v="0"/>
    <x v="10"/>
    <x v="10"/>
    <x v="0"/>
    <x v="4"/>
    <x v="0"/>
    <x v="0"/>
    <x v="0"/>
    <x v="0"/>
    <x v="0"/>
    <x v="0"/>
    <x v="2"/>
    <x v="2"/>
    <x v="2"/>
    <x v="79"/>
    <x v="79"/>
    <n v="7.2660550458672004"/>
    <x v="0"/>
    <x v="0"/>
    <x v="1"/>
    <x v="4"/>
    <x v="5"/>
    <x v="10"/>
    <n v="7.9199999999952491"/>
  </r>
  <r>
    <x v="10"/>
    <x v="0"/>
    <x v="10"/>
    <x v="10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10"/>
    <x v="0"/>
    <x v="10"/>
    <x v="10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10"/>
    <x v="0"/>
    <x v="10"/>
    <x v="10"/>
    <x v="0"/>
    <x v="2"/>
    <x v="0"/>
    <x v="0"/>
    <x v="0"/>
    <x v="0"/>
    <x v="0"/>
    <x v="0"/>
    <x v="0"/>
    <x v="4"/>
    <x v="4"/>
    <x v="11"/>
    <x v="11"/>
    <n v="4.0007000000000001"/>
    <x v="0"/>
    <x v="0"/>
    <x v="3"/>
    <x v="5"/>
    <x v="7"/>
    <x v="11"/>
    <n v="4.3607630000000004"/>
  </r>
  <r>
    <x v="10"/>
    <x v="0"/>
    <x v="10"/>
    <x v="10"/>
    <x v="0"/>
    <x v="2"/>
    <x v="0"/>
    <x v="0"/>
    <x v="0"/>
    <x v="0"/>
    <x v="0"/>
    <x v="0"/>
    <x v="0"/>
    <x v="4"/>
    <x v="4"/>
    <x v="12"/>
    <x v="12"/>
    <n v="399.72511627755102"/>
    <x v="0"/>
    <x v="0"/>
    <x v="0"/>
    <x v="0"/>
    <x v="8"/>
    <x v="12"/>
    <n v="435.70037674253064"/>
  </r>
  <r>
    <x v="10"/>
    <x v="0"/>
    <x v="10"/>
    <x v="10"/>
    <x v="0"/>
    <x v="2"/>
    <x v="0"/>
    <x v="0"/>
    <x v="0"/>
    <x v="0"/>
    <x v="0"/>
    <x v="0"/>
    <x v="0"/>
    <x v="4"/>
    <x v="4"/>
    <x v="14"/>
    <x v="14"/>
    <n v="74.797020000000003"/>
    <x v="0"/>
    <x v="0"/>
    <x v="0"/>
    <x v="0"/>
    <x v="8"/>
    <x v="14"/>
    <n v="81.528751800000009"/>
  </r>
  <r>
    <x v="10"/>
    <x v="0"/>
    <x v="10"/>
    <x v="10"/>
    <x v="0"/>
    <x v="2"/>
    <x v="0"/>
    <x v="0"/>
    <x v="0"/>
    <x v="0"/>
    <x v="0"/>
    <x v="0"/>
    <x v="0"/>
    <x v="4"/>
    <x v="4"/>
    <x v="16"/>
    <x v="16"/>
    <n v="18.068190000000001"/>
    <x v="0"/>
    <x v="0"/>
    <x v="3"/>
    <x v="5"/>
    <x v="9"/>
    <x v="16"/>
    <n v="19.694327100000002"/>
  </r>
  <r>
    <x v="10"/>
    <x v="0"/>
    <x v="10"/>
    <x v="10"/>
    <x v="0"/>
    <x v="2"/>
    <x v="0"/>
    <x v="0"/>
    <x v="0"/>
    <x v="0"/>
    <x v="0"/>
    <x v="0"/>
    <x v="0"/>
    <x v="4"/>
    <x v="4"/>
    <x v="25"/>
    <x v="25"/>
    <n v="7.4617706421973597"/>
    <x v="0"/>
    <x v="0"/>
    <x v="1"/>
    <x v="4"/>
    <x v="5"/>
    <x v="9"/>
    <n v="8.133329999995123"/>
  </r>
  <r>
    <x v="10"/>
    <x v="0"/>
    <x v="10"/>
    <x v="10"/>
    <x v="0"/>
    <x v="2"/>
    <x v="0"/>
    <x v="0"/>
    <x v="0"/>
    <x v="0"/>
    <x v="0"/>
    <x v="0"/>
    <x v="0"/>
    <x v="0"/>
    <x v="0"/>
    <x v="5"/>
    <x v="5"/>
    <n v="19.728957055364699"/>
    <x v="0"/>
    <x v="0"/>
    <x v="1"/>
    <x v="1"/>
    <x v="1"/>
    <x v="5"/>
    <n v="21.504563190347522"/>
  </r>
  <r>
    <x v="10"/>
    <x v="0"/>
    <x v="10"/>
    <x v="10"/>
    <x v="0"/>
    <x v="2"/>
    <x v="0"/>
    <x v="0"/>
    <x v="0"/>
    <x v="0"/>
    <x v="0"/>
    <x v="0"/>
    <x v="0"/>
    <x v="0"/>
    <x v="0"/>
    <x v="6"/>
    <x v="6"/>
    <n v="45"/>
    <x v="0"/>
    <x v="0"/>
    <x v="0"/>
    <x v="0"/>
    <x v="4"/>
    <x v="6"/>
    <n v="49.050000000000004"/>
  </r>
  <r>
    <x v="10"/>
    <x v="0"/>
    <x v="10"/>
    <x v="10"/>
    <x v="0"/>
    <x v="2"/>
    <x v="0"/>
    <x v="0"/>
    <x v="0"/>
    <x v="0"/>
    <x v="0"/>
    <x v="0"/>
    <x v="0"/>
    <x v="0"/>
    <x v="0"/>
    <x v="7"/>
    <x v="7"/>
    <n v="25.730311926590101"/>
    <x v="0"/>
    <x v="0"/>
    <x v="1"/>
    <x v="4"/>
    <x v="5"/>
    <x v="7"/>
    <n v="28.046039999983211"/>
  </r>
  <r>
    <x v="10"/>
    <x v="0"/>
    <x v="10"/>
    <x v="10"/>
    <x v="0"/>
    <x v="2"/>
    <x v="0"/>
    <x v="0"/>
    <x v="0"/>
    <x v="0"/>
    <x v="0"/>
    <x v="0"/>
    <x v="0"/>
    <x v="0"/>
    <x v="0"/>
    <x v="8"/>
    <x v="8"/>
    <n v="2426.1712702857999"/>
    <x v="0"/>
    <x v="1"/>
    <x v="2"/>
    <x v="2"/>
    <x v="6"/>
    <x v="8"/>
    <n v="2644.5266846115219"/>
  </r>
  <r>
    <x v="10"/>
    <x v="0"/>
    <x v="10"/>
    <x v="10"/>
    <x v="0"/>
    <x v="2"/>
    <x v="0"/>
    <x v="0"/>
    <x v="0"/>
    <x v="0"/>
    <x v="0"/>
    <x v="0"/>
    <x v="0"/>
    <x v="0"/>
    <x v="0"/>
    <x v="12"/>
    <x v="12"/>
    <n v="17.190697674353299"/>
    <x v="0"/>
    <x v="0"/>
    <x v="0"/>
    <x v="0"/>
    <x v="8"/>
    <x v="12"/>
    <n v="18.737860465045095"/>
  </r>
  <r>
    <x v="10"/>
    <x v="0"/>
    <x v="10"/>
    <x v="10"/>
    <x v="0"/>
    <x v="2"/>
    <x v="0"/>
    <x v="0"/>
    <x v="0"/>
    <x v="0"/>
    <x v="0"/>
    <x v="0"/>
    <x v="0"/>
    <x v="0"/>
    <x v="0"/>
    <x v="14"/>
    <x v="14"/>
    <n v="21.627839999999999"/>
    <x v="0"/>
    <x v="0"/>
    <x v="0"/>
    <x v="0"/>
    <x v="8"/>
    <x v="14"/>
    <n v="23.574345600000001"/>
  </r>
  <r>
    <x v="10"/>
    <x v="0"/>
    <x v="10"/>
    <x v="10"/>
    <x v="0"/>
    <x v="2"/>
    <x v="0"/>
    <x v="0"/>
    <x v="0"/>
    <x v="0"/>
    <x v="0"/>
    <x v="0"/>
    <x v="0"/>
    <x v="0"/>
    <x v="0"/>
    <x v="2"/>
    <x v="2"/>
    <n v="28.89908256879"/>
    <x v="0"/>
    <x v="1"/>
    <x v="2"/>
    <x v="2"/>
    <x v="13"/>
    <x v="2"/>
    <n v="31.499999999981103"/>
  </r>
  <r>
    <x v="10"/>
    <x v="0"/>
    <x v="10"/>
    <x v="10"/>
    <x v="0"/>
    <x v="2"/>
    <x v="0"/>
    <x v="0"/>
    <x v="0"/>
    <x v="0"/>
    <x v="0"/>
    <x v="0"/>
    <x v="1"/>
    <x v="1"/>
    <x v="1"/>
    <x v="5"/>
    <x v="5"/>
    <n v="54.550527607776601"/>
    <x v="0"/>
    <x v="0"/>
    <x v="1"/>
    <x v="1"/>
    <x v="1"/>
    <x v="5"/>
    <n v="59.460075092476501"/>
  </r>
  <r>
    <x v="10"/>
    <x v="0"/>
    <x v="10"/>
    <x v="10"/>
    <x v="0"/>
    <x v="2"/>
    <x v="0"/>
    <x v="0"/>
    <x v="0"/>
    <x v="0"/>
    <x v="0"/>
    <x v="0"/>
    <x v="1"/>
    <x v="1"/>
    <x v="1"/>
    <x v="6"/>
    <x v="6"/>
    <n v="30.805199999999999"/>
    <x v="0"/>
    <x v="0"/>
    <x v="0"/>
    <x v="0"/>
    <x v="4"/>
    <x v="6"/>
    <n v="33.577668000000003"/>
  </r>
  <r>
    <x v="10"/>
    <x v="0"/>
    <x v="10"/>
    <x v="10"/>
    <x v="0"/>
    <x v="2"/>
    <x v="0"/>
    <x v="0"/>
    <x v="0"/>
    <x v="0"/>
    <x v="0"/>
    <x v="0"/>
    <x v="1"/>
    <x v="1"/>
    <x v="1"/>
    <x v="7"/>
    <x v="7"/>
    <n v="35.566128440345601"/>
    <x v="0"/>
    <x v="0"/>
    <x v="1"/>
    <x v="4"/>
    <x v="5"/>
    <x v="7"/>
    <n v="38.767079999976708"/>
  </r>
  <r>
    <x v="10"/>
    <x v="0"/>
    <x v="10"/>
    <x v="10"/>
    <x v="0"/>
    <x v="2"/>
    <x v="0"/>
    <x v="0"/>
    <x v="0"/>
    <x v="0"/>
    <x v="0"/>
    <x v="0"/>
    <x v="1"/>
    <x v="1"/>
    <x v="1"/>
    <x v="8"/>
    <x v="8"/>
    <n v="38.910810811059797"/>
    <x v="0"/>
    <x v="1"/>
    <x v="2"/>
    <x v="2"/>
    <x v="6"/>
    <x v="8"/>
    <n v="42.412783784055179"/>
  </r>
  <r>
    <x v="10"/>
    <x v="0"/>
    <x v="10"/>
    <x v="10"/>
    <x v="0"/>
    <x v="2"/>
    <x v="0"/>
    <x v="0"/>
    <x v="0"/>
    <x v="0"/>
    <x v="0"/>
    <x v="0"/>
    <x v="1"/>
    <x v="1"/>
    <x v="1"/>
    <x v="14"/>
    <x v="14"/>
    <n v="43.541759999999996"/>
    <x v="0"/>
    <x v="0"/>
    <x v="0"/>
    <x v="0"/>
    <x v="8"/>
    <x v="14"/>
    <n v="47.460518399999998"/>
  </r>
  <r>
    <x v="10"/>
    <x v="0"/>
    <x v="10"/>
    <x v="10"/>
    <x v="0"/>
    <x v="2"/>
    <x v="0"/>
    <x v="0"/>
    <x v="0"/>
    <x v="0"/>
    <x v="0"/>
    <x v="0"/>
    <x v="1"/>
    <x v="1"/>
    <x v="1"/>
    <x v="18"/>
    <x v="18"/>
    <n v="50.7498"/>
    <x v="0"/>
    <x v="0"/>
    <x v="0"/>
    <x v="0"/>
    <x v="4"/>
    <x v="18"/>
    <n v="55.317282000000006"/>
  </r>
  <r>
    <x v="10"/>
    <x v="0"/>
    <x v="10"/>
    <x v="10"/>
    <x v="0"/>
    <x v="2"/>
    <x v="0"/>
    <x v="0"/>
    <x v="0"/>
    <x v="0"/>
    <x v="0"/>
    <x v="0"/>
    <x v="1"/>
    <x v="1"/>
    <x v="1"/>
    <x v="2"/>
    <x v="2"/>
    <n v="122.91912844029299"/>
    <x v="0"/>
    <x v="1"/>
    <x v="2"/>
    <x v="2"/>
    <x v="13"/>
    <x v="2"/>
    <n v="133.98184999991938"/>
  </r>
  <r>
    <x v="10"/>
    <x v="0"/>
    <x v="10"/>
    <x v="10"/>
    <x v="0"/>
    <x v="2"/>
    <x v="0"/>
    <x v="0"/>
    <x v="0"/>
    <x v="0"/>
    <x v="0"/>
    <x v="0"/>
    <x v="2"/>
    <x v="2"/>
    <x v="2"/>
    <x v="4"/>
    <x v="4"/>
    <n v="25.539999999984701"/>
    <x v="0"/>
    <x v="0"/>
    <x v="1"/>
    <x v="3"/>
    <x v="3"/>
    <x v="4"/>
    <n v="27.838599999983327"/>
  </r>
  <r>
    <x v="10"/>
    <x v="0"/>
    <x v="10"/>
    <x v="10"/>
    <x v="0"/>
    <x v="2"/>
    <x v="0"/>
    <x v="0"/>
    <x v="0"/>
    <x v="0"/>
    <x v="0"/>
    <x v="0"/>
    <x v="2"/>
    <x v="2"/>
    <x v="2"/>
    <x v="5"/>
    <x v="5"/>
    <n v="127.301306749434"/>
    <x v="0"/>
    <x v="0"/>
    <x v="1"/>
    <x v="1"/>
    <x v="1"/>
    <x v="5"/>
    <n v="138.75842435688307"/>
  </r>
  <r>
    <x v="10"/>
    <x v="0"/>
    <x v="10"/>
    <x v="10"/>
    <x v="0"/>
    <x v="2"/>
    <x v="0"/>
    <x v="0"/>
    <x v="0"/>
    <x v="0"/>
    <x v="0"/>
    <x v="0"/>
    <x v="2"/>
    <x v="2"/>
    <x v="2"/>
    <x v="7"/>
    <x v="7"/>
    <n v="1.7935779816502999"/>
    <x v="0"/>
    <x v="0"/>
    <x v="1"/>
    <x v="4"/>
    <x v="5"/>
    <x v="7"/>
    <n v="1.954999999998827"/>
  </r>
  <r>
    <x v="10"/>
    <x v="0"/>
    <x v="10"/>
    <x v="10"/>
    <x v="0"/>
    <x v="2"/>
    <x v="0"/>
    <x v="0"/>
    <x v="0"/>
    <x v="0"/>
    <x v="0"/>
    <x v="0"/>
    <x v="2"/>
    <x v="2"/>
    <x v="2"/>
    <x v="8"/>
    <x v="8"/>
    <n v="2.5381216216378699"/>
    <x v="0"/>
    <x v="1"/>
    <x v="2"/>
    <x v="2"/>
    <x v="6"/>
    <x v="8"/>
    <n v="2.7665525675852782"/>
  </r>
  <r>
    <x v="10"/>
    <x v="0"/>
    <x v="10"/>
    <x v="10"/>
    <x v="0"/>
    <x v="2"/>
    <x v="0"/>
    <x v="0"/>
    <x v="0"/>
    <x v="0"/>
    <x v="0"/>
    <x v="0"/>
    <x v="2"/>
    <x v="2"/>
    <x v="2"/>
    <x v="9"/>
    <x v="9"/>
    <n v="65.533788775497896"/>
    <x v="0"/>
    <x v="0"/>
    <x v="1"/>
    <x v="4"/>
    <x v="5"/>
    <x v="9"/>
    <n v="71.431829765292719"/>
  </r>
  <r>
    <x v="10"/>
    <x v="0"/>
    <x v="10"/>
    <x v="10"/>
    <x v="0"/>
    <x v="2"/>
    <x v="0"/>
    <x v="0"/>
    <x v="0"/>
    <x v="0"/>
    <x v="0"/>
    <x v="0"/>
    <x v="2"/>
    <x v="2"/>
    <x v="2"/>
    <x v="10"/>
    <x v="10"/>
    <n v="9.9571641531980806"/>
    <x v="0"/>
    <x v="0"/>
    <x v="1"/>
    <x v="4"/>
    <x v="5"/>
    <x v="10"/>
    <n v="10.853308926985909"/>
  </r>
  <r>
    <x v="10"/>
    <x v="0"/>
    <x v="10"/>
    <x v="10"/>
    <x v="0"/>
    <x v="2"/>
    <x v="0"/>
    <x v="0"/>
    <x v="0"/>
    <x v="0"/>
    <x v="0"/>
    <x v="0"/>
    <x v="2"/>
    <x v="2"/>
    <x v="2"/>
    <x v="28"/>
    <x v="28"/>
    <n v="4.8"/>
    <x v="0"/>
    <x v="0"/>
    <x v="1"/>
    <x v="3"/>
    <x v="3"/>
    <x v="13"/>
    <n v="5.2320000000000002"/>
  </r>
  <r>
    <x v="10"/>
    <x v="0"/>
    <x v="10"/>
    <x v="10"/>
    <x v="0"/>
    <x v="2"/>
    <x v="0"/>
    <x v="0"/>
    <x v="0"/>
    <x v="0"/>
    <x v="0"/>
    <x v="0"/>
    <x v="2"/>
    <x v="2"/>
    <x v="2"/>
    <x v="11"/>
    <x v="11"/>
    <n v="0.25"/>
    <x v="0"/>
    <x v="0"/>
    <x v="3"/>
    <x v="5"/>
    <x v="7"/>
    <x v="11"/>
    <n v="0.27250000000000002"/>
  </r>
  <r>
    <x v="10"/>
    <x v="0"/>
    <x v="10"/>
    <x v="10"/>
    <x v="0"/>
    <x v="2"/>
    <x v="0"/>
    <x v="0"/>
    <x v="0"/>
    <x v="0"/>
    <x v="0"/>
    <x v="0"/>
    <x v="2"/>
    <x v="2"/>
    <x v="2"/>
    <x v="12"/>
    <x v="12"/>
    <n v="67.472965116022706"/>
    <x v="0"/>
    <x v="0"/>
    <x v="0"/>
    <x v="0"/>
    <x v="8"/>
    <x v="12"/>
    <n v="73.545531976464758"/>
  </r>
  <r>
    <x v="10"/>
    <x v="0"/>
    <x v="10"/>
    <x v="10"/>
    <x v="0"/>
    <x v="2"/>
    <x v="0"/>
    <x v="0"/>
    <x v="0"/>
    <x v="0"/>
    <x v="0"/>
    <x v="0"/>
    <x v="2"/>
    <x v="2"/>
    <x v="2"/>
    <x v="14"/>
    <x v="14"/>
    <n v="75.238389999999995"/>
    <x v="0"/>
    <x v="0"/>
    <x v="0"/>
    <x v="0"/>
    <x v="8"/>
    <x v="14"/>
    <n v="82.009845100000007"/>
  </r>
  <r>
    <x v="10"/>
    <x v="0"/>
    <x v="10"/>
    <x v="10"/>
    <x v="0"/>
    <x v="2"/>
    <x v="0"/>
    <x v="0"/>
    <x v="0"/>
    <x v="0"/>
    <x v="0"/>
    <x v="0"/>
    <x v="2"/>
    <x v="2"/>
    <x v="2"/>
    <x v="16"/>
    <x v="16"/>
    <n v="46.186750000000004"/>
    <x v="0"/>
    <x v="0"/>
    <x v="3"/>
    <x v="5"/>
    <x v="9"/>
    <x v="16"/>
    <n v="50.34355750000001"/>
  </r>
  <r>
    <x v="10"/>
    <x v="0"/>
    <x v="10"/>
    <x v="10"/>
    <x v="0"/>
    <x v="2"/>
    <x v="0"/>
    <x v="0"/>
    <x v="0"/>
    <x v="0"/>
    <x v="0"/>
    <x v="0"/>
    <x v="2"/>
    <x v="2"/>
    <x v="2"/>
    <x v="21"/>
    <x v="21"/>
    <n v="7.2603394495369296"/>
    <x v="0"/>
    <x v="0"/>
    <x v="1"/>
    <x v="4"/>
    <x v="5"/>
    <x v="10"/>
    <n v="7.913769999995254"/>
  </r>
  <r>
    <x v="10"/>
    <x v="0"/>
    <x v="10"/>
    <x v="10"/>
    <x v="0"/>
    <x v="2"/>
    <x v="0"/>
    <x v="0"/>
    <x v="0"/>
    <x v="0"/>
    <x v="0"/>
    <x v="0"/>
    <x v="2"/>
    <x v="2"/>
    <x v="2"/>
    <x v="18"/>
    <x v="18"/>
    <n v="3.9712900000000002"/>
    <x v="0"/>
    <x v="0"/>
    <x v="0"/>
    <x v="0"/>
    <x v="4"/>
    <x v="18"/>
    <n v="4.3287061000000007"/>
  </r>
  <r>
    <x v="10"/>
    <x v="0"/>
    <x v="10"/>
    <x v="10"/>
    <x v="0"/>
    <x v="2"/>
    <x v="0"/>
    <x v="0"/>
    <x v="0"/>
    <x v="0"/>
    <x v="0"/>
    <x v="0"/>
    <x v="2"/>
    <x v="2"/>
    <x v="2"/>
    <x v="27"/>
    <x v="27"/>
    <n v="0.63063063064400005"/>
    <x v="0"/>
    <x v="0"/>
    <x v="1"/>
    <x v="3"/>
    <x v="3"/>
    <x v="19"/>
    <n v="0.68738738740196015"/>
  </r>
  <r>
    <x v="10"/>
    <x v="0"/>
    <x v="10"/>
    <x v="10"/>
    <x v="0"/>
    <x v="2"/>
    <x v="0"/>
    <x v="0"/>
    <x v="0"/>
    <x v="0"/>
    <x v="0"/>
    <x v="0"/>
    <x v="2"/>
    <x v="2"/>
    <x v="2"/>
    <x v="0"/>
    <x v="0"/>
    <n v="8.8185195729290395"/>
    <x v="0"/>
    <x v="0"/>
    <x v="0"/>
    <x v="0"/>
    <x v="0"/>
    <x v="0"/>
    <n v="9.6121863344926535"/>
  </r>
  <r>
    <x v="10"/>
    <x v="0"/>
    <x v="10"/>
    <x v="10"/>
    <x v="0"/>
    <x v="2"/>
    <x v="0"/>
    <x v="0"/>
    <x v="0"/>
    <x v="0"/>
    <x v="0"/>
    <x v="0"/>
    <x v="2"/>
    <x v="2"/>
    <x v="2"/>
    <x v="1"/>
    <x v="1"/>
    <n v="84.508558620224903"/>
    <x v="0"/>
    <x v="0"/>
    <x v="1"/>
    <x v="1"/>
    <x v="1"/>
    <x v="1"/>
    <n v="92.114328896045151"/>
  </r>
  <r>
    <x v="10"/>
    <x v="0"/>
    <x v="10"/>
    <x v="10"/>
    <x v="0"/>
    <x v="2"/>
    <x v="0"/>
    <x v="0"/>
    <x v="0"/>
    <x v="0"/>
    <x v="0"/>
    <x v="0"/>
    <x v="2"/>
    <x v="2"/>
    <x v="2"/>
    <x v="2"/>
    <x v="2"/>
    <n v="368.814770641981"/>
    <x v="0"/>
    <x v="1"/>
    <x v="2"/>
    <x v="2"/>
    <x v="13"/>
    <x v="2"/>
    <n v="402.00809999975934"/>
  </r>
  <r>
    <x v="10"/>
    <x v="0"/>
    <x v="10"/>
    <x v="10"/>
    <x v="0"/>
    <x v="2"/>
    <x v="0"/>
    <x v="0"/>
    <x v="0"/>
    <x v="0"/>
    <x v="0"/>
    <x v="0"/>
    <x v="2"/>
    <x v="2"/>
    <x v="2"/>
    <x v="3"/>
    <x v="3"/>
    <n v="3.8404310341832102"/>
    <x v="0"/>
    <x v="0"/>
    <x v="1"/>
    <x v="3"/>
    <x v="3"/>
    <x v="3"/>
    <n v="4.1860698272596997"/>
  </r>
  <r>
    <x v="10"/>
    <x v="0"/>
    <x v="10"/>
    <x v="10"/>
    <x v="0"/>
    <x v="2"/>
    <x v="0"/>
    <x v="0"/>
    <x v="0"/>
    <x v="0"/>
    <x v="0"/>
    <x v="0"/>
    <x v="1"/>
    <x v="6"/>
    <x v="6"/>
    <x v="9"/>
    <x v="9"/>
    <n v="51.549578471087599"/>
    <x v="0"/>
    <x v="0"/>
    <x v="1"/>
    <x v="4"/>
    <x v="5"/>
    <x v="9"/>
    <n v="56.189040533485489"/>
  </r>
  <r>
    <x v="10"/>
    <x v="0"/>
    <x v="10"/>
    <x v="10"/>
    <x v="0"/>
    <x v="2"/>
    <x v="0"/>
    <x v="0"/>
    <x v="0"/>
    <x v="0"/>
    <x v="0"/>
    <x v="0"/>
    <x v="1"/>
    <x v="6"/>
    <x v="6"/>
    <x v="10"/>
    <x v="10"/>
    <n v="4.8383761467860902"/>
    <x v="0"/>
    <x v="0"/>
    <x v="1"/>
    <x v="4"/>
    <x v="5"/>
    <x v="10"/>
    <n v="5.2738299999968383"/>
  </r>
  <r>
    <x v="10"/>
    <x v="0"/>
    <x v="10"/>
    <x v="10"/>
    <x v="0"/>
    <x v="2"/>
    <x v="0"/>
    <x v="0"/>
    <x v="0"/>
    <x v="0"/>
    <x v="0"/>
    <x v="0"/>
    <x v="1"/>
    <x v="6"/>
    <x v="6"/>
    <x v="12"/>
    <x v="12"/>
    <n v="289.863930231457"/>
    <x v="0"/>
    <x v="0"/>
    <x v="0"/>
    <x v="0"/>
    <x v="8"/>
    <x v="12"/>
    <n v="315.95168395228814"/>
  </r>
  <r>
    <x v="10"/>
    <x v="0"/>
    <x v="10"/>
    <x v="10"/>
    <x v="0"/>
    <x v="2"/>
    <x v="0"/>
    <x v="0"/>
    <x v="0"/>
    <x v="0"/>
    <x v="0"/>
    <x v="0"/>
    <x v="1"/>
    <x v="6"/>
    <x v="6"/>
    <x v="14"/>
    <x v="14"/>
    <n v="15.30298"/>
    <x v="0"/>
    <x v="0"/>
    <x v="0"/>
    <x v="0"/>
    <x v="8"/>
    <x v="14"/>
    <n v="16.680248200000001"/>
  </r>
  <r>
    <x v="10"/>
    <x v="0"/>
    <x v="10"/>
    <x v="10"/>
    <x v="0"/>
    <x v="2"/>
    <x v="0"/>
    <x v="0"/>
    <x v="0"/>
    <x v="0"/>
    <x v="0"/>
    <x v="0"/>
    <x v="1"/>
    <x v="6"/>
    <x v="6"/>
    <x v="25"/>
    <x v="25"/>
    <n v="2.3164495412830099"/>
    <x v="0"/>
    <x v="0"/>
    <x v="1"/>
    <x v="4"/>
    <x v="5"/>
    <x v="9"/>
    <n v="2.5249299999984811"/>
  </r>
  <r>
    <x v="10"/>
    <x v="0"/>
    <x v="10"/>
    <x v="10"/>
    <x v="0"/>
    <x v="2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10"/>
    <x v="0"/>
    <x v="10"/>
    <x v="10"/>
    <x v="0"/>
    <x v="2"/>
    <x v="0"/>
    <x v="0"/>
    <x v="0"/>
    <x v="0"/>
    <x v="0"/>
    <x v="0"/>
    <x v="3"/>
    <x v="7"/>
    <x v="7"/>
    <x v="10"/>
    <x v="10"/>
    <n v="0.31012364765568001"/>
    <x v="0"/>
    <x v="0"/>
    <x v="1"/>
    <x v="4"/>
    <x v="5"/>
    <x v="10"/>
    <n v="0.33803477594469122"/>
  </r>
  <r>
    <x v="10"/>
    <x v="0"/>
    <x v="10"/>
    <x v="10"/>
    <x v="0"/>
    <x v="2"/>
    <x v="0"/>
    <x v="0"/>
    <x v="0"/>
    <x v="0"/>
    <x v="0"/>
    <x v="0"/>
    <x v="1"/>
    <x v="8"/>
    <x v="8"/>
    <x v="9"/>
    <x v="9"/>
    <n v="6.0069860158099998E-3"/>
    <x v="0"/>
    <x v="0"/>
    <x v="1"/>
    <x v="4"/>
    <x v="5"/>
    <x v="9"/>
    <n v="6.5476147572328999E-3"/>
  </r>
  <r>
    <x v="10"/>
    <x v="0"/>
    <x v="10"/>
    <x v="10"/>
    <x v="0"/>
    <x v="2"/>
    <x v="0"/>
    <x v="0"/>
    <x v="0"/>
    <x v="0"/>
    <x v="0"/>
    <x v="0"/>
    <x v="1"/>
    <x v="8"/>
    <x v="8"/>
    <x v="10"/>
    <x v="10"/>
    <n v="0.19893659827712001"/>
    <x v="0"/>
    <x v="0"/>
    <x v="1"/>
    <x v="4"/>
    <x v="5"/>
    <x v="10"/>
    <n v="0.21684089212206084"/>
  </r>
  <r>
    <x v="10"/>
    <x v="0"/>
    <x v="10"/>
    <x v="10"/>
    <x v="0"/>
    <x v="2"/>
    <x v="0"/>
    <x v="0"/>
    <x v="0"/>
    <x v="0"/>
    <x v="0"/>
    <x v="0"/>
    <x v="0"/>
    <x v="9"/>
    <x v="9"/>
    <x v="9"/>
    <x v="9"/>
    <n v="2.794411172E-5"/>
    <x v="0"/>
    <x v="0"/>
    <x v="1"/>
    <x v="4"/>
    <x v="5"/>
    <x v="9"/>
    <n v="3.0459081774800003E-5"/>
  </r>
  <r>
    <x v="10"/>
    <x v="0"/>
    <x v="10"/>
    <x v="10"/>
    <x v="0"/>
    <x v="2"/>
    <x v="0"/>
    <x v="0"/>
    <x v="0"/>
    <x v="0"/>
    <x v="0"/>
    <x v="0"/>
    <x v="0"/>
    <x v="9"/>
    <x v="9"/>
    <x v="10"/>
    <x v="10"/>
    <n v="0.12385281050752001"/>
    <x v="0"/>
    <x v="0"/>
    <x v="1"/>
    <x v="4"/>
    <x v="5"/>
    <x v="10"/>
    <n v="0.1349995634531968"/>
  </r>
  <r>
    <x v="10"/>
    <x v="0"/>
    <x v="10"/>
    <x v="10"/>
    <x v="0"/>
    <x v="2"/>
    <x v="0"/>
    <x v="0"/>
    <x v="0"/>
    <x v="0"/>
    <x v="0"/>
    <x v="0"/>
    <x v="0"/>
    <x v="9"/>
    <x v="9"/>
    <x v="21"/>
    <x v="21"/>
    <n v="9.8537614678840004"/>
    <x v="0"/>
    <x v="0"/>
    <x v="1"/>
    <x v="4"/>
    <x v="5"/>
    <x v="10"/>
    <n v="10.740599999993561"/>
  </r>
  <r>
    <x v="10"/>
    <x v="0"/>
    <x v="10"/>
    <x v="10"/>
    <x v="0"/>
    <x v="2"/>
    <x v="0"/>
    <x v="0"/>
    <x v="0"/>
    <x v="0"/>
    <x v="0"/>
    <x v="0"/>
    <x v="2"/>
    <x v="10"/>
    <x v="10"/>
    <x v="9"/>
    <x v="9"/>
    <n v="9.9800399000000005E-6"/>
    <x v="0"/>
    <x v="0"/>
    <x v="1"/>
    <x v="4"/>
    <x v="5"/>
    <x v="9"/>
    <n v="1.0878243491000001E-5"/>
  </r>
  <r>
    <x v="10"/>
    <x v="0"/>
    <x v="10"/>
    <x v="10"/>
    <x v="0"/>
    <x v="2"/>
    <x v="0"/>
    <x v="0"/>
    <x v="0"/>
    <x v="0"/>
    <x v="0"/>
    <x v="0"/>
    <x v="2"/>
    <x v="10"/>
    <x v="10"/>
    <x v="10"/>
    <x v="10"/>
    <n v="1.2121555954771199"/>
    <x v="0"/>
    <x v="0"/>
    <x v="1"/>
    <x v="4"/>
    <x v="5"/>
    <x v="10"/>
    <n v="1.3212495990700608"/>
  </r>
  <r>
    <x v="10"/>
    <x v="0"/>
    <x v="10"/>
    <x v="10"/>
    <x v="0"/>
    <x v="2"/>
    <x v="0"/>
    <x v="0"/>
    <x v="0"/>
    <x v="0"/>
    <x v="0"/>
    <x v="0"/>
    <x v="2"/>
    <x v="10"/>
    <x v="10"/>
    <x v="21"/>
    <x v="21"/>
    <n v="9.8537614678840004"/>
    <x v="0"/>
    <x v="0"/>
    <x v="1"/>
    <x v="4"/>
    <x v="5"/>
    <x v="10"/>
    <n v="10.740599999993561"/>
  </r>
  <r>
    <x v="10"/>
    <x v="0"/>
    <x v="10"/>
    <x v="10"/>
    <x v="0"/>
    <x v="2"/>
    <x v="0"/>
    <x v="0"/>
    <x v="0"/>
    <x v="0"/>
    <x v="0"/>
    <x v="0"/>
    <x v="2"/>
    <x v="10"/>
    <x v="10"/>
    <x v="34"/>
    <x v="34"/>
    <n v="3.4724462365452502"/>
    <x v="0"/>
    <x v="0"/>
    <x v="0"/>
    <x v="0"/>
    <x v="0"/>
    <x v="0"/>
    <n v="3.7849663978343231"/>
  </r>
  <r>
    <x v="10"/>
    <x v="0"/>
    <x v="10"/>
    <x v="10"/>
    <x v="0"/>
    <x v="2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10"/>
    <x v="0"/>
    <x v="10"/>
    <x v="10"/>
    <x v="0"/>
    <x v="2"/>
    <x v="0"/>
    <x v="0"/>
    <x v="0"/>
    <x v="0"/>
    <x v="0"/>
    <x v="0"/>
    <x v="4"/>
    <x v="5"/>
    <x v="5"/>
    <x v="6"/>
    <x v="6"/>
    <n v="105.23304"/>
    <x v="0"/>
    <x v="0"/>
    <x v="0"/>
    <x v="0"/>
    <x v="4"/>
    <x v="6"/>
    <n v="114.70401360000001"/>
  </r>
  <r>
    <x v="10"/>
    <x v="0"/>
    <x v="10"/>
    <x v="10"/>
    <x v="0"/>
    <x v="2"/>
    <x v="0"/>
    <x v="0"/>
    <x v="0"/>
    <x v="0"/>
    <x v="0"/>
    <x v="0"/>
    <x v="4"/>
    <x v="5"/>
    <x v="5"/>
    <x v="9"/>
    <x v="9"/>
    <n v="2.295409177E-5"/>
    <x v="0"/>
    <x v="0"/>
    <x v="1"/>
    <x v="4"/>
    <x v="5"/>
    <x v="9"/>
    <n v="2.5019960029300003E-5"/>
  </r>
  <r>
    <x v="10"/>
    <x v="0"/>
    <x v="10"/>
    <x v="10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10"/>
    <x v="0"/>
    <x v="10"/>
    <x v="10"/>
    <x v="0"/>
    <x v="2"/>
    <x v="0"/>
    <x v="0"/>
    <x v="0"/>
    <x v="0"/>
    <x v="0"/>
    <x v="0"/>
    <x v="4"/>
    <x v="5"/>
    <x v="5"/>
    <x v="14"/>
    <x v="14"/>
    <n v="195.56556"/>
    <x v="0"/>
    <x v="0"/>
    <x v="0"/>
    <x v="0"/>
    <x v="8"/>
    <x v="14"/>
    <n v="213.16646040000003"/>
  </r>
  <r>
    <x v="10"/>
    <x v="0"/>
    <x v="10"/>
    <x v="10"/>
    <x v="0"/>
    <x v="2"/>
    <x v="0"/>
    <x v="0"/>
    <x v="0"/>
    <x v="0"/>
    <x v="0"/>
    <x v="0"/>
    <x v="4"/>
    <x v="5"/>
    <x v="5"/>
    <x v="21"/>
    <x v="21"/>
    <n v="10.583669724764301"/>
    <x v="0"/>
    <x v="0"/>
    <x v="1"/>
    <x v="4"/>
    <x v="5"/>
    <x v="10"/>
    <n v="11.536199999993089"/>
  </r>
  <r>
    <x v="10"/>
    <x v="0"/>
    <x v="10"/>
    <x v="10"/>
    <x v="0"/>
    <x v="2"/>
    <x v="0"/>
    <x v="0"/>
    <x v="0"/>
    <x v="0"/>
    <x v="0"/>
    <x v="0"/>
    <x v="4"/>
    <x v="5"/>
    <x v="5"/>
    <x v="34"/>
    <x v="34"/>
    <n v="4.1994959677251398"/>
    <x v="0"/>
    <x v="0"/>
    <x v="0"/>
    <x v="0"/>
    <x v="0"/>
    <x v="0"/>
    <n v="4.5774506048204024"/>
  </r>
  <r>
    <x v="10"/>
    <x v="0"/>
    <x v="10"/>
    <x v="10"/>
    <x v="0"/>
    <x v="2"/>
    <x v="0"/>
    <x v="0"/>
    <x v="0"/>
    <x v="0"/>
    <x v="0"/>
    <x v="0"/>
    <x v="4"/>
    <x v="5"/>
    <x v="5"/>
    <x v="27"/>
    <x v="27"/>
    <n v="9.8354346848931993"/>
    <x v="0"/>
    <x v="0"/>
    <x v="1"/>
    <x v="3"/>
    <x v="3"/>
    <x v="19"/>
    <n v="10.720623806533588"/>
  </r>
  <r>
    <x v="10"/>
    <x v="0"/>
    <x v="10"/>
    <x v="10"/>
    <x v="0"/>
    <x v="2"/>
    <x v="0"/>
    <x v="0"/>
    <x v="0"/>
    <x v="0"/>
    <x v="0"/>
    <x v="0"/>
    <x v="4"/>
    <x v="5"/>
    <x v="5"/>
    <x v="2"/>
    <x v="2"/>
    <n v="372.35311926583199"/>
    <x v="0"/>
    <x v="1"/>
    <x v="2"/>
    <x v="2"/>
    <x v="13"/>
    <x v="2"/>
    <n v="405.86489999975691"/>
  </r>
  <r>
    <x v="10"/>
    <x v="0"/>
    <x v="10"/>
    <x v="10"/>
    <x v="0"/>
    <x v="2"/>
    <x v="0"/>
    <x v="0"/>
    <x v="0"/>
    <x v="0"/>
    <x v="3"/>
    <x v="3"/>
    <x v="3"/>
    <x v="3"/>
    <x v="3"/>
    <x v="3"/>
    <x v="3"/>
    <n v="2.54152610817615"/>
    <x v="0"/>
    <x v="0"/>
    <x v="1"/>
    <x v="3"/>
    <x v="3"/>
    <x v="3"/>
    <n v="2.7702634579120038"/>
  </r>
  <r>
    <x v="10"/>
    <x v="0"/>
    <x v="10"/>
    <x v="10"/>
    <x v="0"/>
    <x v="2"/>
    <x v="0"/>
    <x v="0"/>
    <x v="0"/>
    <x v="0"/>
    <x v="3"/>
    <x v="3"/>
    <x v="0"/>
    <x v="4"/>
    <x v="4"/>
    <x v="16"/>
    <x v="16"/>
    <n v="4.1348000000000003"/>
    <x v="0"/>
    <x v="0"/>
    <x v="3"/>
    <x v="5"/>
    <x v="9"/>
    <x v="16"/>
    <n v="4.5069320000000008"/>
  </r>
  <r>
    <x v="10"/>
    <x v="0"/>
    <x v="10"/>
    <x v="10"/>
    <x v="0"/>
    <x v="2"/>
    <x v="0"/>
    <x v="0"/>
    <x v="0"/>
    <x v="0"/>
    <x v="3"/>
    <x v="3"/>
    <x v="2"/>
    <x v="2"/>
    <x v="2"/>
    <x v="5"/>
    <x v="5"/>
    <n v="2.4880981595281102"/>
    <x v="0"/>
    <x v="0"/>
    <x v="1"/>
    <x v="1"/>
    <x v="1"/>
    <x v="5"/>
    <n v="2.7120269938856403"/>
  </r>
  <r>
    <x v="10"/>
    <x v="0"/>
    <x v="10"/>
    <x v="10"/>
    <x v="0"/>
    <x v="2"/>
    <x v="0"/>
    <x v="0"/>
    <x v="0"/>
    <x v="0"/>
    <x v="3"/>
    <x v="3"/>
    <x v="2"/>
    <x v="2"/>
    <x v="2"/>
    <x v="16"/>
    <x v="16"/>
    <n v="1.38944"/>
    <x v="0"/>
    <x v="0"/>
    <x v="3"/>
    <x v="5"/>
    <x v="9"/>
    <x v="16"/>
    <n v="1.5144896000000001"/>
  </r>
  <r>
    <x v="10"/>
    <x v="0"/>
    <x v="10"/>
    <x v="10"/>
    <x v="0"/>
    <x v="2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10"/>
    <x v="0"/>
    <x v="10"/>
    <x v="10"/>
    <x v="0"/>
    <x v="2"/>
    <x v="0"/>
    <x v="0"/>
    <x v="0"/>
    <x v="0"/>
    <x v="4"/>
    <x v="4"/>
    <x v="2"/>
    <x v="2"/>
    <x v="2"/>
    <x v="5"/>
    <x v="5"/>
    <n v="0.46532515337776997"/>
    <x v="0"/>
    <x v="0"/>
    <x v="1"/>
    <x v="1"/>
    <x v="1"/>
    <x v="5"/>
    <n v="0.50720441718176934"/>
  </r>
  <r>
    <x v="10"/>
    <x v="0"/>
    <x v="10"/>
    <x v="10"/>
    <x v="0"/>
    <x v="2"/>
    <x v="0"/>
    <x v="0"/>
    <x v="0"/>
    <x v="0"/>
    <x v="4"/>
    <x v="4"/>
    <x v="2"/>
    <x v="2"/>
    <x v="2"/>
    <x v="7"/>
    <x v="7"/>
    <n v="0.62385321100879998"/>
    <x v="0"/>
    <x v="0"/>
    <x v="1"/>
    <x v="4"/>
    <x v="5"/>
    <x v="7"/>
    <n v="0.67999999999959204"/>
  </r>
  <r>
    <x v="10"/>
    <x v="0"/>
    <x v="10"/>
    <x v="10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10"/>
    <x v="0"/>
    <x v="10"/>
    <x v="10"/>
    <x v="0"/>
    <x v="2"/>
    <x v="0"/>
    <x v="0"/>
    <x v="0"/>
    <x v="0"/>
    <x v="4"/>
    <x v="4"/>
    <x v="2"/>
    <x v="2"/>
    <x v="2"/>
    <x v="10"/>
    <x v="10"/>
    <n v="0.53494566312960001"/>
    <x v="0"/>
    <x v="0"/>
    <x v="1"/>
    <x v="4"/>
    <x v="5"/>
    <x v="10"/>
    <n v="0.58309077281126409"/>
  </r>
  <r>
    <x v="10"/>
    <x v="0"/>
    <x v="10"/>
    <x v="10"/>
    <x v="0"/>
    <x v="2"/>
    <x v="0"/>
    <x v="0"/>
    <x v="2"/>
    <x v="2"/>
    <x v="5"/>
    <x v="5"/>
    <x v="2"/>
    <x v="2"/>
    <x v="2"/>
    <x v="40"/>
    <x v="40"/>
    <n v="1.3815299999999999"/>
    <x v="1"/>
    <x v="2"/>
    <x v="5"/>
    <x v="7"/>
    <x v="11"/>
    <x v="22"/>
    <n v="1.5058677"/>
  </r>
  <r>
    <x v="10"/>
    <x v="0"/>
    <x v="10"/>
    <x v="10"/>
    <x v="0"/>
    <x v="2"/>
    <x v="0"/>
    <x v="0"/>
    <x v="2"/>
    <x v="2"/>
    <x v="5"/>
    <x v="5"/>
    <x v="1"/>
    <x v="6"/>
    <x v="6"/>
    <x v="40"/>
    <x v="40"/>
    <n v="3.5"/>
    <x v="1"/>
    <x v="2"/>
    <x v="5"/>
    <x v="7"/>
    <x v="11"/>
    <x v="22"/>
    <n v="3.8150000000000004"/>
  </r>
  <r>
    <x v="10"/>
    <x v="0"/>
    <x v="10"/>
    <x v="10"/>
    <x v="0"/>
    <x v="2"/>
    <x v="0"/>
    <x v="0"/>
    <x v="2"/>
    <x v="2"/>
    <x v="5"/>
    <x v="5"/>
    <x v="4"/>
    <x v="5"/>
    <x v="5"/>
    <x v="40"/>
    <x v="40"/>
    <n v="18.658799999999999"/>
    <x v="1"/>
    <x v="2"/>
    <x v="5"/>
    <x v="7"/>
    <x v="11"/>
    <x v="22"/>
    <n v="20.338092"/>
  </r>
  <r>
    <x v="10"/>
    <x v="0"/>
    <x v="10"/>
    <x v="10"/>
    <x v="0"/>
    <x v="2"/>
    <x v="0"/>
    <x v="0"/>
    <x v="2"/>
    <x v="2"/>
    <x v="7"/>
    <x v="7"/>
    <x v="2"/>
    <x v="2"/>
    <x v="2"/>
    <x v="40"/>
    <x v="40"/>
    <n v="8.9250000000000007"/>
    <x v="1"/>
    <x v="2"/>
    <x v="5"/>
    <x v="7"/>
    <x v="11"/>
    <x v="22"/>
    <n v="9.728250000000001"/>
  </r>
  <r>
    <x v="10"/>
    <x v="0"/>
    <x v="10"/>
    <x v="10"/>
    <x v="0"/>
    <x v="2"/>
    <x v="0"/>
    <x v="0"/>
    <x v="2"/>
    <x v="2"/>
    <x v="7"/>
    <x v="7"/>
    <x v="2"/>
    <x v="2"/>
    <x v="2"/>
    <x v="38"/>
    <x v="38"/>
    <n v="66.445999999999998"/>
    <x v="1"/>
    <x v="0"/>
    <x v="4"/>
    <x v="6"/>
    <x v="10"/>
    <x v="21"/>
    <n v="72.426140000000004"/>
  </r>
  <r>
    <x v="10"/>
    <x v="0"/>
    <x v="10"/>
    <x v="10"/>
    <x v="0"/>
    <x v="2"/>
    <x v="0"/>
    <x v="0"/>
    <x v="2"/>
    <x v="2"/>
    <x v="9"/>
    <x v="9"/>
    <x v="2"/>
    <x v="2"/>
    <x v="2"/>
    <x v="40"/>
    <x v="40"/>
    <n v="113.45"/>
    <x v="1"/>
    <x v="2"/>
    <x v="5"/>
    <x v="7"/>
    <x v="11"/>
    <x v="22"/>
    <n v="123.66050000000001"/>
  </r>
  <r>
    <x v="10"/>
    <x v="0"/>
    <x v="10"/>
    <x v="10"/>
    <x v="0"/>
    <x v="2"/>
    <x v="0"/>
    <x v="0"/>
    <x v="2"/>
    <x v="2"/>
    <x v="9"/>
    <x v="9"/>
    <x v="2"/>
    <x v="2"/>
    <x v="2"/>
    <x v="38"/>
    <x v="38"/>
    <n v="0.5"/>
    <x v="1"/>
    <x v="0"/>
    <x v="4"/>
    <x v="6"/>
    <x v="10"/>
    <x v="21"/>
    <n v="0.54500000000000004"/>
  </r>
  <r>
    <x v="10"/>
    <x v="0"/>
    <x v="10"/>
    <x v="10"/>
    <x v="0"/>
    <x v="2"/>
    <x v="0"/>
    <x v="0"/>
    <x v="2"/>
    <x v="2"/>
    <x v="9"/>
    <x v="9"/>
    <x v="1"/>
    <x v="6"/>
    <x v="6"/>
    <x v="40"/>
    <x v="40"/>
    <n v="71.88"/>
    <x v="1"/>
    <x v="2"/>
    <x v="5"/>
    <x v="7"/>
    <x v="11"/>
    <x v="22"/>
    <n v="78.349199999999996"/>
  </r>
  <r>
    <x v="10"/>
    <x v="0"/>
    <x v="10"/>
    <x v="10"/>
    <x v="0"/>
    <x v="2"/>
    <x v="0"/>
    <x v="0"/>
    <x v="2"/>
    <x v="2"/>
    <x v="9"/>
    <x v="9"/>
    <x v="4"/>
    <x v="5"/>
    <x v="5"/>
    <x v="40"/>
    <x v="40"/>
    <n v="349.93079999999998"/>
    <x v="1"/>
    <x v="2"/>
    <x v="5"/>
    <x v="7"/>
    <x v="11"/>
    <x v="22"/>
    <n v="381.42457200000001"/>
  </r>
  <r>
    <x v="10"/>
    <x v="0"/>
    <x v="10"/>
    <x v="10"/>
    <x v="0"/>
    <x v="2"/>
    <x v="0"/>
    <x v="0"/>
    <x v="2"/>
    <x v="2"/>
    <x v="10"/>
    <x v="10"/>
    <x v="2"/>
    <x v="2"/>
    <x v="2"/>
    <x v="40"/>
    <x v="40"/>
    <n v="199.22663"/>
    <x v="1"/>
    <x v="2"/>
    <x v="5"/>
    <x v="7"/>
    <x v="11"/>
    <x v="22"/>
    <n v="217.15702670000002"/>
  </r>
  <r>
    <x v="10"/>
    <x v="0"/>
    <x v="10"/>
    <x v="10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10"/>
    <x v="0"/>
    <x v="10"/>
    <x v="10"/>
    <x v="0"/>
    <x v="2"/>
    <x v="0"/>
    <x v="0"/>
    <x v="3"/>
    <x v="3"/>
    <x v="13"/>
    <x v="13"/>
    <x v="2"/>
    <x v="2"/>
    <x v="2"/>
    <x v="40"/>
    <x v="40"/>
    <n v="41.337499999999999"/>
    <x v="1"/>
    <x v="2"/>
    <x v="5"/>
    <x v="7"/>
    <x v="11"/>
    <x v="22"/>
    <n v="45.057875000000003"/>
  </r>
  <r>
    <x v="10"/>
    <x v="0"/>
    <x v="10"/>
    <x v="10"/>
    <x v="0"/>
    <x v="2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10"/>
    <x v="0"/>
    <x v="10"/>
    <x v="10"/>
    <x v="0"/>
    <x v="2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10"/>
    <x v="0"/>
    <x v="10"/>
    <x v="10"/>
    <x v="0"/>
    <x v="2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10"/>
    <x v="0"/>
    <x v="10"/>
    <x v="10"/>
    <x v="0"/>
    <x v="2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10"/>
    <x v="0"/>
    <x v="10"/>
    <x v="10"/>
    <x v="0"/>
    <x v="2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10"/>
    <x v="0"/>
    <x v="10"/>
    <x v="10"/>
    <x v="0"/>
    <x v="2"/>
    <x v="0"/>
    <x v="0"/>
    <x v="2"/>
    <x v="2"/>
    <x v="15"/>
    <x v="15"/>
    <x v="0"/>
    <x v="4"/>
    <x v="4"/>
    <x v="40"/>
    <x v="40"/>
    <n v="2"/>
    <x v="1"/>
    <x v="2"/>
    <x v="5"/>
    <x v="7"/>
    <x v="11"/>
    <x v="22"/>
    <n v="2.1800000000000002"/>
  </r>
  <r>
    <x v="10"/>
    <x v="0"/>
    <x v="10"/>
    <x v="10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10"/>
    <x v="0"/>
    <x v="10"/>
    <x v="10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10"/>
    <x v="0"/>
    <x v="10"/>
    <x v="10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10"/>
    <x v="0"/>
    <x v="10"/>
    <x v="10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10"/>
    <x v="0"/>
    <x v="10"/>
    <x v="10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10"/>
    <x v="0"/>
    <x v="10"/>
    <x v="10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10"/>
    <x v="0"/>
    <x v="10"/>
    <x v="10"/>
    <x v="0"/>
    <x v="2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10"/>
    <x v="0"/>
    <x v="10"/>
    <x v="10"/>
    <x v="0"/>
    <x v="2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10"/>
    <x v="0"/>
    <x v="10"/>
    <x v="10"/>
    <x v="0"/>
    <x v="2"/>
    <x v="0"/>
    <x v="0"/>
    <x v="2"/>
    <x v="2"/>
    <x v="17"/>
    <x v="17"/>
    <x v="0"/>
    <x v="9"/>
    <x v="9"/>
    <x v="7"/>
    <x v="7"/>
    <n v="72.127817071281001"/>
    <x v="0"/>
    <x v="0"/>
    <x v="1"/>
    <x v="4"/>
    <x v="5"/>
    <x v="7"/>
    <n v="78.619320607696295"/>
  </r>
  <r>
    <x v="10"/>
    <x v="0"/>
    <x v="10"/>
    <x v="10"/>
    <x v="0"/>
    <x v="2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10"/>
    <x v="0"/>
    <x v="10"/>
    <x v="10"/>
    <x v="0"/>
    <x v="2"/>
    <x v="0"/>
    <x v="0"/>
    <x v="2"/>
    <x v="2"/>
    <x v="17"/>
    <x v="17"/>
    <x v="4"/>
    <x v="5"/>
    <x v="5"/>
    <x v="40"/>
    <x v="40"/>
    <n v="250.94654"/>
    <x v="1"/>
    <x v="2"/>
    <x v="5"/>
    <x v="7"/>
    <x v="11"/>
    <x v="22"/>
    <n v="273.53172860000001"/>
  </r>
  <r>
    <x v="10"/>
    <x v="0"/>
    <x v="10"/>
    <x v="10"/>
    <x v="0"/>
    <x v="3"/>
    <x v="0"/>
    <x v="0"/>
    <x v="0"/>
    <x v="0"/>
    <x v="0"/>
    <x v="0"/>
    <x v="3"/>
    <x v="3"/>
    <x v="3"/>
    <x v="9"/>
    <x v="9"/>
    <n v="19.856880733933"/>
    <x v="0"/>
    <x v="0"/>
    <x v="1"/>
    <x v="4"/>
    <x v="5"/>
    <x v="9"/>
    <n v="21.643999999986971"/>
  </r>
  <r>
    <x v="10"/>
    <x v="0"/>
    <x v="10"/>
    <x v="10"/>
    <x v="0"/>
    <x v="3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4500000000000004"/>
  </r>
  <r>
    <x v="10"/>
    <x v="0"/>
    <x v="10"/>
    <x v="10"/>
    <x v="0"/>
    <x v="3"/>
    <x v="0"/>
    <x v="0"/>
    <x v="0"/>
    <x v="0"/>
    <x v="0"/>
    <x v="0"/>
    <x v="3"/>
    <x v="3"/>
    <x v="3"/>
    <x v="12"/>
    <x v="12"/>
    <n v="16.8139186045873"/>
    <x v="0"/>
    <x v="0"/>
    <x v="0"/>
    <x v="0"/>
    <x v="8"/>
    <x v="12"/>
    <n v="18.327171279000158"/>
  </r>
  <r>
    <x v="10"/>
    <x v="0"/>
    <x v="10"/>
    <x v="10"/>
    <x v="0"/>
    <x v="3"/>
    <x v="0"/>
    <x v="0"/>
    <x v="0"/>
    <x v="0"/>
    <x v="0"/>
    <x v="0"/>
    <x v="3"/>
    <x v="3"/>
    <x v="3"/>
    <x v="36"/>
    <x v="36"/>
    <n v="12.382568807331999"/>
    <x v="0"/>
    <x v="0"/>
    <x v="1"/>
    <x v="3"/>
    <x v="3"/>
    <x v="4"/>
    <n v="13.49699999999188"/>
  </r>
  <r>
    <x v="10"/>
    <x v="0"/>
    <x v="10"/>
    <x v="10"/>
    <x v="0"/>
    <x v="3"/>
    <x v="0"/>
    <x v="0"/>
    <x v="0"/>
    <x v="0"/>
    <x v="0"/>
    <x v="0"/>
    <x v="3"/>
    <x v="3"/>
    <x v="3"/>
    <x v="24"/>
    <x v="24"/>
    <n v="14.368807339440901"/>
    <x v="0"/>
    <x v="0"/>
    <x v="1"/>
    <x v="3"/>
    <x v="3"/>
    <x v="4"/>
    <n v="15.661999999990583"/>
  </r>
  <r>
    <x v="10"/>
    <x v="0"/>
    <x v="10"/>
    <x v="10"/>
    <x v="0"/>
    <x v="3"/>
    <x v="0"/>
    <x v="0"/>
    <x v="0"/>
    <x v="0"/>
    <x v="0"/>
    <x v="0"/>
    <x v="3"/>
    <x v="3"/>
    <x v="3"/>
    <x v="26"/>
    <x v="26"/>
    <n v="19.686385321089102"/>
    <x v="0"/>
    <x v="0"/>
    <x v="1"/>
    <x v="3"/>
    <x v="3"/>
    <x v="15"/>
    <n v="21.458159999987121"/>
  </r>
  <r>
    <x v="10"/>
    <x v="0"/>
    <x v="10"/>
    <x v="10"/>
    <x v="0"/>
    <x v="3"/>
    <x v="0"/>
    <x v="0"/>
    <x v="0"/>
    <x v="0"/>
    <x v="0"/>
    <x v="0"/>
    <x v="0"/>
    <x v="4"/>
    <x v="4"/>
    <x v="9"/>
    <x v="9"/>
    <n v="227.27339449527599"/>
    <x v="0"/>
    <x v="0"/>
    <x v="1"/>
    <x v="4"/>
    <x v="5"/>
    <x v="9"/>
    <n v="247.72799999985085"/>
  </r>
  <r>
    <x v="10"/>
    <x v="0"/>
    <x v="10"/>
    <x v="10"/>
    <x v="0"/>
    <x v="3"/>
    <x v="0"/>
    <x v="0"/>
    <x v="0"/>
    <x v="0"/>
    <x v="0"/>
    <x v="0"/>
    <x v="0"/>
    <x v="4"/>
    <x v="4"/>
    <x v="11"/>
    <x v="11"/>
    <n v="144.35863000000001"/>
    <x v="0"/>
    <x v="0"/>
    <x v="3"/>
    <x v="5"/>
    <x v="7"/>
    <x v="11"/>
    <n v="157.35090670000002"/>
  </r>
  <r>
    <x v="10"/>
    <x v="0"/>
    <x v="10"/>
    <x v="10"/>
    <x v="0"/>
    <x v="3"/>
    <x v="0"/>
    <x v="0"/>
    <x v="0"/>
    <x v="0"/>
    <x v="0"/>
    <x v="0"/>
    <x v="0"/>
    <x v="4"/>
    <x v="4"/>
    <x v="24"/>
    <x v="24"/>
    <n v="1.52113761467799"/>
    <x v="0"/>
    <x v="0"/>
    <x v="1"/>
    <x v="3"/>
    <x v="3"/>
    <x v="4"/>
    <n v="1.6580399999990092"/>
  </r>
  <r>
    <x v="10"/>
    <x v="0"/>
    <x v="10"/>
    <x v="10"/>
    <x v="0"/>
    <x v="3"/>
    <x v="0"/>
    <x v="0"/>
    <x v="0"/>
    <x v="0"/>
    <x v="0"/>
    <x v="0"/>
    <x v="0"/>
    <x v="0"/>
    <x v="0"/>
    <x v="9"/>
    <x v="9"/>
    <n v="6.42201834862"/>
    <x v="0"/>
    <x v="0"/>
    <x v="1"/>
    <x v="4"/>
    <x v="5"/>
    <x v="9"/>
    <n v="6.9999999999958007"/>
  </r>
  <r>
    <x v="10"/>
    <x v="0"/>
    <x v="10"/>
    <x v="10"/>
    <x v="0"/>
    <x v="3"/>
    <x v="0"/>
    <x v="0"/>
    <x v="0"/>
    <x v="0"/>
    <x v="0"/>
    <x v="0"/>
    <x v="0"/>
    <x v="0"/>
    <x v="0"/>
    <x v="11"/>
    <x v="11"/>
    <n v="23.290749999999999"/>
    <x v="0"/>
    <x v="0"/>
    <x v="3"/>
    <x v="5"/>
    <x v="7"/>
    <x v="11"/>
    <n v="25.386917500000003"/>
  </r>
  <r>
    <x v="10"/>
    <x v="0"/>
    <x v="10"/>
    <x v="10"/>
    <x v="0"/>
    <x v="3"/>
    <x v="0"/>
    <x v="0"/>
    <x v="0"/>
    <x v="0"/>
    <x v="0"/>
    <x v="0"/>
    <x v="1"/>
    <x v="1"/>
    <x v="1"/>
    <x v="9"/>
    <x v="9"/>
    <n v="20.18348623852"/>
    <x v="0"/>
    <x v="0"/>
    <x v="1"/>
    <x v="4"/>
    <x v="5"/>
    <x v="9"/>
    <n v="21.999999999986802"/>
  </r>
  <r>
    <x v="10"/>
    <x v="0"/>
    <x v="10"/>
    <x v="10"/>
    <x v="0"/>
    <x v="3"/>
    <x v="0"/>
    <x v="0"/>
    <x v="0"/>
    <x v="0"/>
    <x v="0"/>
    <x v="0"/>
    <x v="1"/>
    <x v="1"/>
    <x v="1"/>
    <x v="11"/>
    <x v="11"/>
    <n v="20.412980000000001"/>
    <x v="0"/>
    <x v="0"/>
    <x v="3"/>
    <x v="5"/>
    <x v="7"/>
    <x v="11"/>
    <n v="22.250148200000002"/>
  </r>
  <r>
    <x v="10"/>
    <x v="0"/>
    <x v="10"/>
    <x v="10"/>
    <x v="0"/>
    <x v="3"/>
    <x v="0"/>
    <x v="0"/>
    <x v="0"/>
    <x v="0"/>
    <x v="0"/>
    <x v="0"/>
    <x v="2"/>
    <x v="2"/>
    <x v="2"/>
    <x v="9"/>
    <x v="9"/>
    <n v="77.568486238485605"/>
    <x v="0"/>
    <x v="0"/>
    <x v="1"/>
    <x v="4"/>
    <x v="5"/>
    <x v="9"/>
    <n v="84.54964999994931"/>
  </r>
  <r>
    <x v="10"/>
    <x v="0"/>
    <x v="10"/>
    <x v="10"/>
    <x v="0"/>
    <x v="3"/>
    <x v="0"/>
    <x v="0"/>
    <x v="0"/>
    <x v="0"/>
    <x v="0"/>
    <x v="0"/>
    <x v="2"/>
    <x v="2"/>
    <x v="2"/>
    <x v="11"/>
    <x v="11"/>
    <n v="149.94475"/>
    <x v="0"/>
    <x v="0"/>
    <x v="3"/>
    <x v="5"/>
    <x v="7"/>
    <x v="11"/>
    <n v="163.43977750000002"/>
  </r>
  <r>
    <x v="10"/>
    <x v="0"/>
    <x v="10"/>
    <x v="10"/>
    <x v="0"/>
    <x v="3"/>
    <x v="0"/>
    <x v="0"/>
    <x v="0"/>
    <x v="0"/>
    <x v="0"/>
    <x v="0"/>
    <x v="2"/>
    <x v="2"/>
    <x v="2"/>
    <x v="12"/>
    <x v="12"/>
    <n v="6.5232558139287002"/>
    <x v="0"/>
    <x v="0"/>
    <x v="0"/>
    <x v="0"/>
    <x v="8"/>
    <x v="12"/>
    <n v="7.1103488371822836"/>
  </r>
  <r>
    <x v="10"/>
    <x v="0"/>
    <x v="10"/>
    <x v="10"/>
    <x v="0"/>
    <x v="3"/>
    <x v="0"/>
    <x v="0"/>
    <x v="0"/>
    <x v="0"/>
    <x v="0"/>
    <x v="0"/>
    <x v="2"/>
    <x v="2"/>
    <x v="2"/>
    <x v="23"/>
    <x v="23"/>
    <n v="8.1697247706373002"/>
    <x v="0"/>
    <x v="0"/>
    <x v="1"/>
    <x v="3"/>
    <x v="3"/>
    <x v="15"/>
    <n v="8.9049999999946579"/>
  </r>
  <r>
    <x v="10"/>
    <x v="0"/>
    <x v="10"/>
    <x v="10"/>
    <x v="0"/>
    <x v="3"/>
    <x v="0"/>
    <x v="0"/>
    <x v="0"/>
    <x v="0"/>
    <x v="0"/>
    <x v="0"/>
    <x v="2"/>
    <x v="2"/>
    <x v="2"/>
    <x v="24"/>
    <x v="24"/>
    <n v="2.6540917431176698"/>
    <x v="0"/>
    <x v="0"/>
    <x v="1"/>
    <x v="3"/>
    <x v="3"/>
    <x v="4"/>
    <n v="2.8929599999982605"/>
  </r>
  <r>
    <x v="10"/>
    <x v="0"/>
    <x v="10"/>
    <x v="10"/>
    <x v="0"/>
    <x v="3"/>
    <x v="0"/>
    <x v="0"/>
    <x v="0"/>
    <x v="0"/>
    <x v="0"/>
    <x v="0"/>
    <x v="2"/>
    <x v="2"/>
    <x v="2"/>
    <x v="26"/>
    <x v="26"/>
    <n v="3.2493944954108902"/>
    <x v="0"/>
    <x v="0"/>
    <x v="1"/>
    <x v="3"/>
    <x v="3"/>
    <x v="15"/>
    <n v="3.5418399999978707"/>
  </r>
  <r>
    <x v="10"/>
    <x v="0"/>
    <x v="10"/>
    <x v="10"/>
    <x v="0"/>
    <x v="3"/>
    <x v="0"/>
    <x v="0"/>
    <x v="0"/>
    <x v="0"/>
    <x v="0"/>
    <x v="0"/>
    <x v="1"/>
    <x v="6"/>
    <x v="6"/>
    <x v="9"/>
    <x v="9"/>
    <n v="3.2770642201815199"/>
    <x v="0"/>
    <x v="0"/>
    <x v="1"/>
    <x v="4"/>
    <x v="5"/>
    <x v="9"/>
    <n v="3.5719999999978569"/>
  </r>
  <r>
    <x v="10"/>
    <x v="0"/>
    <x v="10"/>
    <x v="10"/>
    <x v="0"/>
    <x v="3"/>
    <x v="0"/>
    <x v="0"/>
    <x v="0"/>
    <x v="0"/>
    <x v="0"/>
    <x v="0"/>
    <x v="1"/>
    <x v="6"/>
    <x v="6"/>
    <x v="31"/>
    <x v="31"/>
    <n v="11.2504678899015"/>
    <x v="0"/>
    <x v="0"/>
    <x v="1"/>
    <x v="4"/>
    <x v="5"/>
    <x v="10"/>
    <n v="12.263009999992637"/>
  </r>
  <r>
    <x v="10"/>
    <x v="0"/>
    <x v="10"/>
    <x v="10"/>
    <x v="0"/>
    <x v="3"/>
    <x v="0"/>
    <x v="0"/>
    <x v="0"/>
    <x v="0"/>
    <x v="0"/>
    <x v="0"/>
    <x v="1"/>
    <x v="6"/>
    <x v="6"/>
    <x v="11"/>
    <x v="11"/>
    <n v="18.373999999999999"/>
    <x v="0"/>
    <x v="0"/>
    <x v="3"/>
    <x v="5"/>
    <x v="7"/>
    <x v="11"/>
    <n v="20.027660000000001"/>
  </r>
  <r>
    <x v="10"/>
    <x v="0"/>
    <x v="10"/>
    <x v="10"/>
    <x v="0"/>
    <x v="3"/>
    <x v="0"/>
    <x v="0"/>
    <x v="0"/>
    <x v="0"/>
    <x v="0"/>
    <x v="0"/>
    <x v="4"/>
    <x v="5"/>
    <x v="5"/>
    <x v="9"/>
    <x v="9"/>
    <n v="17.706385321090298"/>
    <x v="0"/>
    <x v="0"/>
    <x v="1"/>
    <x v="4"/>
    <x v="5"/>
    <x v="9"/>
    <n v="19.299959999988427"/>
  </r>
  <r>
    <x v="10"/>
    <x v="0"/>
    <x v="10"/>
    <x v="10"/>
    <x v="0"/>
    <x v="3"/>
    <x v="0"/>
    <x v="0"/>
    <x v="0"/>
    <x v="0"/>
    <x v="4"/>
    <x v="4"/>
    <x v="2"/>
    <x v="2"/>
    <x v="2"/>
    <x v="9"/>
    <x v="9"/>
    <n v="0.42411009174286002"/>
    <x v="0"/>
    <x v="0"/>
    <x v="1"/>
    <x v="4"/>
    <x v="5"/>
    <x v="9"/>
    <n v="0.46227999999971747"/>
  </r>
  <r>
    <x v="10"/>
    <x v="0"/>
    <x v="10"/>
    <x v="10"/>
    <x v="0"/>
    <x v="5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10"/>
    <x v="0"/>
    <x v="10"/>
    <x v="10"/>
    <x v="0"/>
    <x v="5"/>
    <x v="0"/>
    <x v="0"/>
    <x v="0"/>
    <x v="0"/>
    <x v="0"/>
    <x v="0"/>
    <x v="0"/>
    <x v="4"/>
    <x v="4"/>
    <x v="10"/>
    <x v="10"/>
    <n v="97.066972477006004"/>
    <x v="0"/>
    <x v="0"/>
    <x v="1"/>
    <x v="4"/>
    <x v="5"/>
    <x v="10"/>
    <n v="105.80299999993655"/>
  </r>
  <r>
    <x v="10"/>
    <x v="0"/>
    <x v="10"/>
    <x v="10"/>
    <x v="0"/>
    <x v="5"/>
    <x v="0"/>
    <x v="0"/>
    <x v="0"/>
    <x v="0"/>
    <x v="0"/>
    <x v="0"/>
    <x v="0"/>
    <x v="4"/>
    <x v="4"/>
    <x v="11"/>
    <x v="11"/>
    <n v="0.55728"/>
    <x v="0"/>
    <x v="0"/>
    <x v="3"/>
    <x v="5"/>
    <x v="7"/>
    <x v="11"/>
    <n v="0.60743520000000006"/>
  </r>
  <r>
    <x v="10"/>
    <x v="0"/>
    <x v="10"/>
    <x v="10"/>
    <x v="0"/>
    <x v="5"/>
    <x v="0"/>
    <x v="0"/>
    <x v="0"/>
    <x v="0"/>
    <x v="0"/>
    <x v="0"/>
    <x v="2"/>
    <x v="2"/>
    <x v="2"/>
    <x v="10"/>
    <x v="10"/>
    <n v="18.5816513761356"/>
    <x v="0"/>
    <x v="0"/>
    <x v="1"/>
    <x v="4"/>
    <x v="5"/>
    <x v="10"/>
    <n v="20.253999999987805"/>
  </r>
  <r>
    <x v="10"/>
    <x v="0"/>
    <x v="10"/>
    <x v="10"/>
    <x v="0"/>
    <x v="5"/>
    <x v="0"/>
    <x v="0"/>
    <x v="0"/>
    <x v="0"/>
    <x v="0"/>
    <x v="0"/>
    <x v="2"/>
    <x v="2"/>
    <x v="2"/>
    <x v="11"/>
    <x v="11"/>
    <n v="5"/>
    <x v="0"/>
    <x v="0"/>
    <x v="3"/>
    <x v="5"/>
    <x v="7"/>
    <x v="11"/>
    <n v="5.45"/>
  </r>
  <r>
    <x v="10"/>
    <x v="0"/>
    <x v="10"/>
    <x v="10"/>
    <x v="0"/>
    <x v="5"/>
    <x v="0"/>
    <x v="0"/>
    <x v="0"/>
    <x v="0"/>
    <x v="0"/>
    <x v="0"/>
    <x v="2"/>
    <x v="2"/>
    <x v="2"/>
    <x v="26"/>
    <x v="26"/>
    <n v="1.1926605504579999"/>
    <x v="0"/>
    <x v="0"/>
    <x v="1"/>
    <x v="3"/>
    <x v="3"/>
    <x v="15"/>
    <n v="1.29999999999922"/>
  </r>
  <r>
    <x v="10"/>
    <x v="0"/>
    <x v="10"/>
    <x v="10"/>
    <x v="0"/>
    <x v="5"/>
    <x v="0"/>
    <x v="0"/>
    <x v="0"/>
    <x v="0"/>
    <x v="0"/>
    <x v="0"/>
    <x v="1"/>
    <x v="6"/>
    <x v="6"/>
    <x v="11"/>
    <x v="11"/>
    <n v="1.0762499999999999"/>
    <x v="0"/>
    <x v="0"/>
    <x v="3"/>
    <x v="5"/>
    <x v="7"/>
    <x v="11"/>
    <n v="1.1731125"/>
  </r>
  <r>
    <x v="10"/>
    <x v="0"/>
    <x v="10"/>
    <x v="10"/>
    <x v="0"/>
    <x v="5"/>
    <x v="0"/>
    <x v="0"/>
    <x v="0"/>
    <x v="0"/>
    <x v="0"/>
    <x v="0"/>
    <x v="3"/>
    <x v="7"/>
    <x v="7"/>
    <x v="9"/>
    <x v="9"/>
    <n v="33.944954128420001"/>
    <x v="0"/>
    <x v="0"/>
    <x v="1"/>
    <x v="4"/>
    <x v="5"/>
    <x v="9"/>
    <n v="36.999999999977803"/>
  </r>
  <r>
    <x v="10"/>
    <x v="0"/>
    <x v="10"/>
    <x v="10"/>
    <x v="0"/>
    <x v="5"/>
    <x v="0"/>
    <x v="0"/>
    <x v="0"/>
    <x v="0"/>
    <x v="0"/>
    <x v="0"/>
    <x v="1"/>
    <x v="8"/>
    <x v="8"/>
    <x v="9"/>
    <x v="9"/>
    <n v="133.02752293570001"/>
    <x v="0"/>
    <x v="0"/>
    <x v="1"/>
    <x v="4"/>
    <x v="5"/>
    <x v="9"/>
    <n v="144.99999999991303"/>
  </r>
  <r>
    <x v="10"/>
    <x v="0"/>
    <x v="10"/>
    <x v="10"/>
    <x v="0"/>
    <x v="5"/>
    <x v="0"/>
    <x v="0"/>
    <x v="0"/>
    <x v="0"/>
    <x v="0"/>
    <x v="0"/>
    <x v="0"/>
    <x v="9"/>
    <x v="9"/>
    <x v="9"/>
    <x v="9"/>
    <n v="3.83761467889678"/>
    <x v="0"/>
    <x v="0"/>
    <x v="1"/>
    <x v="4"/>
    <x v="5"/>
    <x v="9"/>
    <n v="4.1829999999974907"/>
  </r>
  <r>
    <x v="10"/>
    <x v="0"/>
    <x v="10"/>
    <x v="10"/>
    <x v="0"/>
    <x v="5"/>
    <x v="0"/>
    <x v="0"/>
    <x v="0"/>
    <x v="0"/>
    <x v="0"/>
    <x v="0"/>
    <x v="2"/>
    <x v="10"/>
    <x v="10"/>
    <x v="9"/>
    <x v="9"/>
    <n v="12.38532110091"/>
    <x v="0"/>
    <x v="0"/>
    <x v="1"/>
    <x v="4"/>
    <x v="5"/>
    <x v="9"/>
    <n v="13.4999999999919"/>
  </r>
  <r>
    <x v="10"/>
    <x v="0"/>
    <x v="10"/>
    <x v="10"/>
    <x v="0"/>
    <x v="5"/>
    <x v="0"/>
    <x v="0"/>
    <x v="0"/>
    <x v="0"/>
    <x v="0"/>
    <x v="0"/>
    <x v="4"/>
    <x v="5"/>
    <x v="5"/>
    <x v="9"/>
    <x v="9"/>
    <n v="57.79816513758"/>
    <x v="0"/>
    <x v="0"/>
    <x v="1"/>
    <x v="4"/>
    <x v="5"/>
    <x v="9"/>
    <n v="62.999999999962206"/>
  </r>
  <r>
    <x v="10"/>
    <x v="0"/>
    <x v="10"/>
    <x v="10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10"/>
    <x v="0"/>
    <x v="10"/>
    <x v="10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10"/>
    <x v="0"/>
    <x v="10"/>
    <x v="10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10"/>
    <x v="0"/>
    <x v="10"/>
    <x v="10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10"/>
    <x v="0"/>
    <x v="10"/>
    <x v="10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10"/>
    <x v="0"/>
    <x v="10"/>
    <x v="10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10"/>
    <x v="0"/>
    <x v="10"/>
    <x v="10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10"/>
    <x v="0"/>
    <x v="10"/>
    <x v="10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10"/>
    <x v="0"/>
    <x v="10"/>
    <x v="10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10"/>
    <x v="0"/>
    <x v="10"/>
    <x v="10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10"/>
    <x v="0"/>
    <x v="10"/>
    <x v="10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10"/>
    <x v="0"/>
    <x v="10"/>
    <x v="10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10"/>
    <x v="0"/>
    <x v="10"/>
    <x v="10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10"/>
    <x v="0"/>
    <x v="10"/>
    <x v="10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10"/>
    <x v="0"/>
    <x v="10"/>
    <x v="10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10"/>
    <x v="0"/>
    <x v="10"/>
    <x v="10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10"/>
    <x v="0"/>
    <x v="10"/>
    <x v="10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10"/>
    <x v="0"/>
    <x v="10"/>
    <x v="10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10"/>
    <x v="0"/>
    <x v="10"/>
    <x v="10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10"/>
    <x v="0"/>
    <x v="10"/>
    <x v="10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10"/>
    <x v="0"/>
    <x v="10"/>
    <x v="10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10"/>
    <x v="0"/>
    <x v="10"/>
    <x v="10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10"/>
    <x v="0"/>
    <x v="10"/>
    <x v="10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10"/>
    <x v="0"/>
    <x v="10"/>
    <x v="10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10"/>
    <x v="0"/>
    <x v="10"/>
    <x v="10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10"/>
    <x v="0"/>
    <x v="10"/>
    <x v="10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10"/>
    <x v="0"/>
    <x v="10"/>
    <x v="10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10"/>
    <x v="0"/>
    <x v="10"/>
    <x v="10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10"/>
    <x v="0"/>
    <x v="10"/>
    <x v="10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10"/>
    <x v="0"/>
    <x v="10"/>
    <x v="10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10"/>
    <x v="0"/>
    <x v="10"/>
    <x v="10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10"/>
    <x v="0"/>
    <x v="10"/>
    <x v="10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10"/>
    <x v="0"/>
    <x v="10"/>
    <x v="10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10"/>
    <x v="0"/>
    <x v="10"/>
    <x v="10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10"/>
    <x v="0"/>
    <x v="10"/>
    <x v="10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10"/>
    <x v="0"/>
    <x v="10"/>
    <x v="10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10"/>
    <x v="0"/>
    <x v="10"/>
    <x v="10"/>
    <x v="0"/>
    <x v="4"/>
    <x v="0"/>
    <x v="0"/>
    <x v="0"/>
    <x v="0"/>
    <x v="0"/>
    <x v="0"/>
    <x v="4"/>
    <x v="5"/>
    <x v="5"/>
    <x v="9"/>
    <x v="9"/>
    <n v="376.71"/>
    <x v="0"/>
    <x v="0"/>
    <x v="1"/>
    <x v="4"/>
    <x v="5"/>
    <x v="9"/>
    <n v="410.6139"/>
  </r>
  <r>
    <x v="10"/>
    <x v="0"/>
    <x v="10"/>
    <x v="10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10"/>
    <x v="0"/>
    <x v="10"/>
    <x v="10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10"/>
    <x v="0"/>
    <x v="10"/>
    <x v="10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10"/>
    <x v="0"/>
    <x v="10"/>
    <x v="10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10"/>
    <x v="0"/>
    <x v="10"/>
    <x v="10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10"/>
    <x v="0"/>
    <x v="10"/>
    <x v="10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10"/>
    <x v="0"/>
    <x v="10"/>
    <x v="10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10"/>
    <x v="0"/>
    <x v="10"/>
    <x v="10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10"/>
    <x v="0"/>
    <x v="10"/>
    <x v="10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10"/>
    <x v="0"/>
    <x v="10"/>
    <x v="10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10"/>
    <x v="0"/>
    <x v="10"/>
    <x v="10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10"/>
    <x v="0"/>
    <x v="10"/>
    <x v="10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10"/>
    <x v="0"/>
    <x v="10"/>
    <x v="10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10"/>
    <x v="0"/>
    <x v="10"/>
    <x v="10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10"/>
    <x v="0"/>
    <x v="10"/>
    <x v="10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10"/>
    <x v="0"/>
    <x v="10"/>
    <x v="10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10"/>
    <x v="0"/>
    <x v="10"/>
    <x v="10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10"/>
    <x v="0"/>
    <x v="10"/>
    <x v="10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10"/>
    <x v="0"/>
    <x v="10"/>
    <x v="10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10"/>
    <x v="0"/>
    <x v="10"/>
    <x v="10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10"/>
    <x v="0"/>
    <x v="10"/>
    <x v="10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10"/>
    <x v="0"/>
    <x v="10"/>
    <x v="10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10"/>
    <x v="0"/>
    <x v="10"/>
    <x v="10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10"/>
    <x v="0"/>
    <x v="10"/>
    <x v="10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10"/>
    <x v="0"/>
    <x v="10"/>
    <x v="10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10"/>
    <x v="0"/>
    <x v="10"/>
    <x v="10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10"/>
    <x v="0"/>
    <x v="10"/>
    <x v="10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10"/>
    <x v="0"/>
    <x v="10"/>
    <x v="10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10"/>
    <x v="0"/>
    <x v="10"/>
    <x v="10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10"/>
    <x v="0"/>
    <x v="10"/>
    <x v="10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10"/>
    <x v="0"/>
    <x v="10"/>
    <x v="10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10"/>
    <x v="0"/>
    <x v="10"/>
    <x v="10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10"/>
    <x v="0"/>
    <x v="10"/>
    <x v="10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10"/>
    <x v="0"/>
    <x v="10"/>
    <x v="10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10"/>
    <x v="0"/>
    <x v="10"/>
    <x v="10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10"/>
    <x v="0"/>
    <x v="10"/>
    <x v="10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10"/>
    <x v="0"/>
    <x v="10"/>
    <x v="10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10"/>
    <x v="0"/>
    <x v="10"/>
    <x v="10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10"/>
    <x v="0"/>
    <x v="10"/>
    <x v="10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10"/>
    <x v="0"/>
    <x v="10"/>
    <x v="10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10"/>
    <x v="0"/>
    <x v="10"/>
    <x v="10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10"/>
    <x v="0"/>
    <x v="10"/>
    <x v="10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10"/>
    <x v="0"/>
    <x v="10"/>
    <x v="10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10"/>
    <x v="0"/>
    <x v="10"/>
    <x v="10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10"/>
    <x v="0"/>
    <x v="10"/>
    <x v="10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10"/>
    <x v="0"/>
    <x v="10"/>
    <x v="10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10"/>
    <x v="0"/>
    <x v="10"/>
    <x v="10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10"/>
    <x v="0"/>
    <x v="10"/>
    <x v="10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10"/>
    <x v="0"/>
    <x v="10"/>
    <x v="10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10"/>
    <x v="0"/>
    <x v="10"/>
    <x v="10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10"/>
    <x v="0"/>
    <x v="10"/>
    <x v="10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10"/>
    <x v="0"/>
    <x v="10"/>
    <x v="10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10"/>
    <x v="0"/>
    <x v="10"/>
    <x v="10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10"/>
    <x v="0"/>
    <x v="10"/>
    <x v="10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10"/>
    <x v="0"/>
    <x v="10"/>
    <x v="10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10"/>
    <x v="0"/>
    <x v="10"/>
    <x v="10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10"/>
    <x v="0"/>
    <x v="10"/>
    <x v="10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10"/>
    <x v="0"/>
    <x v="10"/>
    <x v="10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10"/>
    <x v="0"/>
    <x v="10"/>
    <x v="10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10"/>
    <x v="0"/>
    <x v="10"/>
    <x v="10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10"/>
    <x v="0"/>
    <x v="10"/>
    <x v="10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10"/>
    <x v="0"/>
    <x v="10"/>
    <x v="10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10"/>
    <x v="0"/>
    <x v="10"/>
    <x v="10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10"/>
    <x v="0"/>
    <x v="10"/>
    <x v="10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10"/>
    <x v="0"/>
    <x v="10"/>
    <x v="10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10"/>
    <x v="0"/>
    <x v="10"/>
    <x v="10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10"/>
    <x v="0"/>
    <x v="10"/>
    <x v="10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10"/>
    <x v="0"/>
    <x v="10"/>
    <x v="10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10"/>
    <x v="0"/>
    <x v="10"/>
    <x v="10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10"/>
    <x v="0"/>
    <x v="10"/>
    <x v="10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10"/>
    <x v="0"/>
    <x v="10"/>
    <x v="10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10"/>
    <x v="0"/>
    <x v="10"/>
    <x v="10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10"/>
    <x v="0"/>
    <x v="10"/>
    <x v="10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10"/>
    <x v="0"/>
    <x v="10"/>
    <x v="10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10"/>
    <x v="0"/>
    <x v="10"/>
    <x v="10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10"/>
    <x v="0"/>
    <x v="10"/>
    <x v="10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10"/>
    <x v="0"/>
    <x v="10"/>
    <x v="10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10"/>
    <x v="0"/>
    <x v="10"/>
    <x v="10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10"/>
    <x v="0"/>
    <x v="10"/>
    <x v="10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10"/>
    <x v="0"/>
    <x v="10"/>
    <x v="10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10"/>
    <x v="0"/>
    <x v="10"/>
    <x v="10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10"/>
    <x v="0"/>
    <x v="10"/>
    <x v="10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10"/>
    <x v="0"/>
    <x v="10"/>
    <x v="10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10"/>
    <x v="0"/>
    <x v="10"/>
    <x v="10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10"/>
    <x v="0"/>
    <x v="10"/>
    <x v="10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10"/>
    <x v="0"/>
    <x v="10"/>
    <x v="10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10"/>
    <x v="0"/>
    <x v="10"/>
    <x v="10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10"/>
    <x v="0"/>
    <x v="10"/>
    <x v="10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10"/>
    <x v="0"/>
    <x v="10"/>
    <x v="10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10"/>
    <x v="0"/>
    <x v="10"/>
    <x v="10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10"/>
    <x v="0"/>
    <x v="10"/>
    <x v="10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10"/>
    <x v="0"/>
    <x v="10"/>
    <x v="10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10"/>
    <x v="0"/>
    <x v="10"/>
    <x v="10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10"/>
    <x v="0"/>
    <x v="10"/>
    <x v="10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10"/>
    <x v="0"/>
    <x v="10"/>
    <x v="10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10"/>
    <x v="0"/>
    <x v="10"/>
    <x v="10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10"/>
    <x v="0"/>
    <x v="10"/>
    <x v="10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10"/>
    <x v="0"/>
    <x v="10"/>
    <x v="10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10"/>
    <x v="0"/>
    <x v="10"/>
    <x v="10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10"/>
    <x v="0"/>
    <x v="10"/>
    <x v="10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10"/>
    <x v="0"/>
    <x v="10"/>
    <x v="10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10"/>
    <x v="0"/>
    <x v="10"/>
    <x v="10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10"/>
    <x v="0"/>
    <x v="10"/>
    <x v="10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10"/>
    <x v="0"/>
    <x v="10"/>
    <x v="10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10"/>
    <x v="0"/>
    <x v="10"/>
    <x v="10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10"/>
    <x v="0"/>
    <x v="10"/>
    <x v="10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10"/>
    <x v="0"/>
    <x v="10"/>
    <x v="10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10"/>
    <x v="0"/>
    <x v="10"/>
    <x v="10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10"/>
    <x v="0"/>
    <x v="10"/>
    <x v="10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10"/>
    <x v="0"/>
    <x v="10"/>
    <x v="10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10"/>
    <x v="0"/>
    <x v="10"/>
    <x v="10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10"/>
    <x v="0"/>
    <x v="10"/>
    <x v="10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10"/>
    <x v="0"/>
    <x v="10"/>
    <x v="10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10"/>
    <x v="0"/>
    <x v="10"/>
    <x v="10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10"/>
    <x v="0"/>
    <x v="10"/>
    <x v="10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10"/>
    <x v="0"/>
    <x v="10"/>
    <x v="10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10"/>
    <x v="0"/>
    <x v="10"/>
    <x v="10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10"/>
    <x v="0"/>
    <x v="10"/>
    <x v="10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10"/>
    <x v="0"/>
    <x v="10"/>
    <x v="10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10"/>
    <x v="0"/>
    <x v="10"/>
    <x v="10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10"/>
    <x v="0"/>
    <x v="10"/>
    <x v="10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10"/>
    <x v="0"/>
    <x v="10"/>
    <x v="10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10"/>
    <x v="0"/>
    <x v="10"/>
    <x v="10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10"/>
    <x v="0"/>
    <x v="10"/>
    <x v="10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10"/>
    <x v="0"/>
    <x v="10"/>
    <x v="10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10"/>
    <x v="0"/>
    <x v="10"/>
    <x v="10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10"/>
    <x v="0"/>
    <x v="10"/>
    <x v="10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10"/>
    <x v="0"/>
    <x v="10"/>
    <x v="10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10"/>
    <x v="0"/>
    <x v="10"/>
    <x v="10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10"/>
    <x v="0"/>
    <x v="10"/>
    <x v="10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10"/>
    <x v="0"/>
    <x v="10"/>
    <x v="10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10"/>
    <x v="0"/>
    <x v="10"/>
    <x v="10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10"/>
    <x v="0"/>
    <x v="10"/>
    <x v="10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10"/>
    <x v="0"/>
    <x v="10"/>
    <x v="10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10"/>
    <x v="0"/>
    <x v="10"/>
    <x v="10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10"/>
    <x v="0"/>
    <x v="10"/>
    <x v="10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10"/>
    <x v="0"/>
    <x v="10"/>
    <x v="10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10"/>
    <x v="0"/>
    <x v="10"/>
    <x v="10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10"/>
    <x v="0"/>
    <x v="10"/>
    <x v="10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10"/>
    <x v="0"/>
    <x v="10"/>
    <x v="10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10"/>
    <x v="0"/>
    <x v="10"/>
    <x v="10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10"/>
    <x v="0"/>
    <x v="10"/>
    <x v="10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10"/>
    <x v="0"/>
    <x v="10"/>
    <x v="10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10"/>
    <x v="0"/>
    <x v="10"/>
    <x v="10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10"/>
    <x v="0"/>
    <x v="10"/>
    <x v="10"/>
    <x v="1"/>
    <x v="6"/>
    <x v="0"/>
    <x v="0"/>
    <x v="0"/>
    <x v="0"/>
    <x v="2"/>
    <x v="2"/>
    <x v="2"/>
    <x v="2"/>
    <x v="2"/>
    <x v="9"/>
    <x v="9"/>
    <n v="15.724851265641"/>
    <x v="0"/>
    <x v="0"/>
    <x v="1"/>
    <x v="4"/>
    <x v="5"/>
    <x v="9"/>
    <n v="17.140087879548691"/>
  </r>
  <r>
    <x v="10"/>
    <x v="0"/>
    <x v="10"/>
    <x v="10"/>
    <x v="1"/>
    <x v="6"/>
    <x v="0"/>
    <x v="0"/>
    <x v="0"/>
    <x v="0"/>
    <x v="2"/>
    <x v="2"/>
    <x v="2"/>
    <x v="2"/>
    <x v="2"/>
    <x v="10"/>
    <x v="10"/>
    <n v="2.6440630070489601"/>
    <x v="0"/>
    <x v="0"/>
    <x v="1"/>
    <x v="4"/>
    <x v="5"/>
    <x v="10"/>
    <n v="2.8820286776833668"/>
  </r>
  <r>
    <x v="10"/>
    <x v="0"/>
    <x v="10"/>
    <x v="10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10"/>
    <x v="0"/>
    <x v="10"/>
    <x v="10"/>
    <x v="1"/>
    <x v="6"/>
    <x v="0"/>
    <x v="0"/>
    <x v="0"/>
    <x v="0"/>
    <x v="0"/>
    <x v="0"/>
    <x v="3"/>
    <x v="3"/>
    <x v="3"/>
    <x v="4"/>
    <x v="4"/>
    <n v="15.962211009164699"/>
    <x v="0"/>
    <x v="0"/>
    <x v="1"/>
    <x v="3"/>
    <x v="3"/>
    <x v="4"/>
    <n v="17.398809999989524"/>
  </r>
  <r>
    <x v="10"/>
    <x v="0"/>
    <x v="10"/>
    <x v="10"/>
    <x v="1"/>
    <x v="6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10"/>
    <x v="0"/>
    <x v="10"/>
    <x v="10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10"/>
    <x v="0"/>
    <x v="10"/>
    <x v="10"/>
    <x v="1"/>
    <x v="6"/>
    <x v="0"/>
    <x v="0"/>
    <x v="0"/>
    <x v="0"/>
    <x v="0"/>
    <x v="0"/>
    <x v="3"/>
    <x v="3"/>
    <x v="3"/>
    <x v="11"/>
    <x v="11"/>
    <n v="-0.64961999999999998"/>
    <x v="0"/>
    <x v="0"/>
    <x v="3"/>
    <x v="5"/>
    <x v="7"/>
    <x v="11"/>
    <n v="-0.70808579999999999"/>
  </r>
  <r>
    <x v="10"/>
    <x v="0"/>
    <x v="10"/>
    <x v="10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10"/>
    <x v="0"/>
    <x v="10"/>
    <x v="10"/>
    <x v="1"/>
    <x v="6"/>
    <x v="0"/>
    <x v="0"/>
    <x v="0"/>
    <x v="0"/>
    <x v="0"/>
    <x v="0"/>
    <x v="0"/>
    <x v="4"/>
    <x v="4"/>
    <x v="4"/>
    <x v="4"/>
    <n v="87.672623853158399"/>
    <x v="0"/>
    <x v="0"/>
    <x v="1"/>
    <x v="3"/>
    <x v="3"/>
    <x v="4"/>
    <n v="95.563159999942656"/>
  </r>
  <r>
    <x v="10"/>
    <x v="0"/>
    <x v="10"/>
    <x v="10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10"/>
    <x v="0"/>
    <x v="10"/>
    <x v="10"/>
    <x v="1"/>
    <x v="6"/>
    <x v="0"/>
    <x v="0"/>
    <x v="0"/>
    <x v="0"/>
    <x v="0"/>
    <x v="0"/>
    <x v="0"/>
    <x v="4"/>
    <x v="4"/>
    <x v="9"/>
    <x v="9"/>
    <n v="5.1567794307010697"/>
    <x v="0"/>
    <x v="0"/>
    <x v="1"/>
    <x v="4"/>
    <x v="5"/>
    <x v="9"/>
    <n v="5.6208895794641665"/>
  </r>
  <r>
    <x v="10"/>
    <x v="0"/>
    <x v="10"/>
    <x v="10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10"/>
    <x v="0"/>
    <x v="10"/>
    <x v="10"/>
    <x v="1"/>
    <x v="6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10"/>
    <x v="0"/>
    <x v="10"/>
    <x v="10"/>
    <x v="1"/>
    <x v="6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10"/>
    <x v="0"/>
    <x v="10"/>
    <x v="10"/>
    <x v="1"/>
    <x v="6"/>
    <x v="0"/>
    <x v="0"/>
    <x v="0"/>
    <x v="0"/>
    <x v="0"/>
    <x v="0"/>
    <x v="0"/>
    <x v="4"/>
    <x v="4"/>
    <x v="25"/>
    <x v="25"/>
    <n v="1.8348623853199999E-3"/>
    <x v="0"/>
    <x v="0"/>
    <x v="1"/>
    <x v="4"/>
    <x v="5"/>
    <x v="9"/>
    <n v="1.9999999999988E-3"/>
  </r>
  <r>
    <x v="10"/>
    <x v="0"/>
    <x v="10"/>
    <x v="10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10"/>
    <x v="0"/>
    <x v="10"/>
    <x v="10"/>
    <x v="1"/>
    <x v="6"/>
    <x v="0"/>
    <x v="0"/>
    <x v="0"/>
    <x v="0"/>
    <x v="0"/>
    <x v="0"/>
    <x v="0"/>
    <x v="4"/>
    <x v="4"/>
    <x v="78"/>
    <x v="78"/>
    <n v="12.9513761467812"/>
    <x v="0"/>
    <x v="0"/>
    <x v="1"/>
    <x v="4"/>
    <x v="5"/>
    <x v="9"/>
    <n v="14.11699999999151"/>
  </r>
  <r>
    <x v="10"/>
    <x v="0"/>
    <x v="10"/>
    <x v="10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10"/>
    <x v="0"/>
    <x v="10"/>
    <x v="10"/>
    <x v="1"/>
    <x v="6"/>
    <x v="0"/>
    <x v="0"/>
    <x v="0"/>
    <x v="0"/>
    <x v="0"/>
    <x v="0"/>
    <x v="0"/>
    <x v="4"/>
    <x v="4"/>
    <x v="2"/>
    <x v="2"/>
    <n v="417.41317431167602"/>
    <x v="0"/>
    <x v="1"/>
    <x v="2"/>
    <x v="2"/>
    <x v="13"/>
    <x v="2"/>
    <n v="454.98035999972689"/>
  </r>
  <r>
    <x v="10"/>
    <x v="0"/>
    <x v="10"/>
    <x v="10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10"/>
    <x v="0"/>
    <x v="10"/>
    <x v="10"/>
    <x v="1"/>
    <x v="6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10"/>
    <x v="0"/>
    <x v="10"/>
    <x v="10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10"/>
    <x v="0"/>
    <x v="10"/>
    <x v="10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10"/>
    <x v="0"/>
    <x v="10"/>
    <x v="10"/>
    <x v="1"/>
    <x v="6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10"/>
    <x v="0"/>
    <x v="10"/>
    <x v="10"/>
    <x v="1"/>
    <x v="6"/>
    <x v="0"/>
    <x v="0"/>
    <x v="0"/>
    <x v="0"/>
    <x v="0"/>
    <x v="0"/>
    <x v="0"/>
    <x v="0"/>
    <x v="0"/>
    <x v="12"/>
    <x v="12"/>
    <n v="32.744232558015099"/>
    <x v="0"/>
    <x v="0"/>
    <x v="0"/>
    <x v="0"/>
    <x v="8"/>
    <x v="12"/>
    <n v="35.691213488236464"/>
  </r>
  <r>
    <x v="10"/>
    <x v="0"/>
    <x v="10"/>
    <x v="10"/>
    <x v="1"/>
    <x v="6"/>
    <x v="0"/>
    <x v="0"/>
    <x v="0"/>
    <x v="0"/>
    <x v="0"/>
    <x v="0"/>
    <x v="0"/>
    <x v="0"/>
    <x v="0"/>
    <x v="13"/>
    <x v="13"/>
    <n v="8.3755199999999999"/>
    <x v="0"/>
    <x v="0"/>
    <x v="1"/>
    <x v="3"/>
    <x v="3"/>
    <x v="13"/>
    <n v="9.1293167999999998"/>
  </r>
  <r>
    <x v="10"/>
    <x v="0"/>
    <x v="10"/>
    <x v="10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10"/>
    <x v="0"/>
    <x v="10"/>
    <x v="10"/>
    <x v="1"/>
    <x v="6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10"/>
    <x v="0"/>
    <x v="10"/>
    <x v="10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10"/>
    <x v="0"/>
    <x v="10"/>
    <x v="10"/>
    <x v="1"/>
    <x v="6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10"/>
    <x v="0"/>
    <x v="10"/>
    <x v="10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10"/>
    <x v="0"/>
    <x v="10"/>
    <x v="10"/>
    <x v="1"/>
    <x v="6"/>
    <x v="0"/>
    <x v="0"/>
    <x v="0"/>
    <x v="0"/>
    <x v="0"/>
    <x v="0"/>
    <x v="1"/>
    <x v="1"/>
    <x v="1"/>
    <x v="13"/>
    <x v="13"/>
    <n v="4.6256399999999998"/>
    <x v="0"/>
    <x v="0"/>
    <x v="1"/>
    <x v="3"/>
    <x v="3"/>
    <x v="13"/>
    <n v="5.0419476000000003"/>
  </r>
  <r>
    <x v="10"/>
    <x v="0"/>
    <x v="10"/>
    <x v="10"/>
    <x v="1"/>
    <x v="6"/>
    <x v="0"/>
    <x v="0"/>
    <x v="0"/>
    <x v="0"/>
    <x v="0"/>
    <x v="0"/>
    <x v="1"/>
    <x v="1"/>
    <x v="1"/>
    <x v="27"/>
    <x v="27"/>
    <n v="6.43896846860497"/>
    <x v="0"/>
    <x v="0"/>
    <x v="1"/>
    <x v="3"/>
    <x v="3"/>
    <x v="19"/>
    <n v="7.0184756307794176"/>
  </r>
  <r>
    <x v="10"/>
    <x v="0"/>
    <x v="10"/>
    <x v="10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10"/>
    <x v="0"/>
    <x v="10"/>
    <x v="10"/>
    <x v="1"/>
    <x v="6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10"/>
    <x v="0"/>
    <x v="10"/>
    <x v="10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10"/>
    <x v="0"/>
    <x v="10"/>
    <x v="10"/>
    <x v="1"/>
    <x v="6"/>
    <x v="0"/>
    <x v="0"/>
    <x v="0"/>
    <x v="0"/>
    <x v="0"/>
    <x v="0"/>
    <x v="2"/>
    <x v="2"/>
    <x v="2"/>
    <x v="4"/>
    <x v="4"/>
    <n v="105.032238532047"/>
    <x v="0"/>
    <x v="0"/>
    <x v="1"/>
    <x v="3"/>
    <x v="3"/>
    <x v="4"/>
    <n v="114.48513999993125"/>
  </r>
  <r>
    <x v="10"/>
    <x v="0"/>
    <x v="10"/>
    <x v="10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10"/>
    <x v="0"/>
    <x v="10"/>
    <x v="10"/>
    <x v="1"/>
    <x v="6"/>
    <x v="0"/>
    <x v="0"/>
    <x v="0"/>
    <x v="0"/>
    <x v="0"/>
    <x v="0"/>
    <x v="2"/>
    <x v="2"/>
    <x v="2"/>
    <x v="5"/>
    <x v="5"/>
    <n v="39.672104294779999"/>
    <x v="0"/>
    <x v="0"/>
    <x v="1"/>
    <x v="1"/>
    <x v="1"/>
    <x v="5"/>
    <n v="43.242593681310204"/>
  </r>
  <r>
    <x v="10"/>
    <x v="0"/>
    <x v="10"/>
    <x v="10"/>
    <x v="1"/>
    <x v="6"/>
    <x v="0"/>
    <x v="0"/>
    <x v="0"/>
    <x v="0"/>
    <x v="0"/>
    <x v="0"/>
    <x v="2"/>
    <x v="2"/>
    <x v="2"/>
    <x v="7"/>
    <x v="7"/>
    <n v="33.205871559616199"/>
    <x v="0"/>
    <x v="0"/>
    <x v="1"/>
    <x v="4"/>
    <x v="5"/>
    <x v="7"/>
    <n v="36.194399999981663"/>
  </r>
  <r>
    <x v="10"/>
    <x v="0"/>
    <x v="10"/>
    <x v="10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10"/>
    <x v="0"/>
    <x v="10"/>
    <x v="10"/>
    <x v="1"/>
    <x v="6"/>
    <x v="0"/>
    <x v="0"/>
    <x v="0"/>
    <x v="0"/>
    <x v="0"/>
    <x v="0"/>
    <x v="2"/>
    <x v="2"/>
    <x v="2"/>
    <x v="9"/>
    <x v="9"/>
    <n v="34.286856657698998"/>
    <x v="0"/>
    <x v="0"/>
    <x v="1"/>
    <x v="4"/>
    <x v="5"/>
    <x v="9"/>
    <n v="37.372673756891913"/>
  </r>
  <r>
    <x v="10"/>
    <x v="0"/>
    <x v="10"/>
    <x v="10"/>
    <x v="1"/>
    <x v="6"/>
    <x v="0"/>
    <x v="0"/>
    <x v="0"/>
    <x v="0"/>
    <x v="0"/>
    <x v="0"/>
    <x v="2"/>
    <x v="2"/>
    <x v="2"/>
    <x v="10"/>
    <x v="10"/>
    <n v="37.912151138759697"/>
    <x v="0"/>
    <x v="0"/>
    <x v="1"/>
    <x v="4"/>
    <x v="5"/>
    <x v="10"/>
    <n v="41.324244741248073"/>
  </r>
  <r>
    <x v="10"/>
    <x v="0"/>
    <x v="10"/>
    <x v="10"/>
    <x v="1"/>
    <x v="6"/>
    <x v="0"/>
    <x v="0"/>
    <x v="0"/>
    <x v="0"/>
    <x v="0"/>
    <x v="0"/>
    <x v="2"/>
    <x v="2"/>
    <x v="2"/>
    <x v="28"/>
    <x v="28"/>
    <n v="2.39994"/>
    <x v="0"/>
    <x v="0"/>
    <x v="1"/>
    <x v="3"/>
    <x v="3"/>
    <x v="13"/>
    <n v="2.6159346000000001"/>
  </r>
  <r>
    <x v="10"/>
    <x v="0"/>
    <x v="10"/>
    <x v="10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10"/>
    <x v="0"/>
    <x v="10"/>
    <x v="10"/>
    <x v="1"/>
    <x v="6"/>
    <x v="0"/>
    <x v="0"/>
    <x v="0"/>
    <x v="0"/>
    <x v="0"/>
    <x v="0"/>
    <x v="2"/>
    <x v="2"/>
    <x v="2"/>
    <x v="80"/>
    <x v="80"/>
    <n v="7.51478899082118"/>
    <x v="0"/>
    <x v="0"/>
    <x v="1"/>
    <x v="4"/>
    <x v="5"/>
    <x v="10"/>
    <n v="8.1911199999950863"/>
  </r>
  <r>
    <x v="10"/>
    <x v="0"/>
    <x v="10"/>
    <x v="10"/>
    <x v="1"/>
    <x v="6"/>
    <x v="0"/>
    <x v="0"/>
    <x v="0"/>
    <x v="0"/>
    <x v="0"/>
    <x v="0"/>
    <x v="2"/>
    <x v="2"/>
    <x v="2"/>
    <x v="31"/>
    <x v="31"/>
    <n v="2.1559816513748502"/>
    <x v="0"/>
    <x v="0"/>
    <x v="1"/>
    <x v="4"/>
    <x v="5"/>
    <x v="10"/>
    <n v="2.3500199999985867"/>
  </r>
  <r>
    <x v="10"/>
    <x v="0"/>
    <x v="10"/>
    <x v="10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10"/>
    <x v="0"/>
    <x v="10"/>
    <x v="10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10"/>
    <x v="0"/>
    <x v="10"/>
    <x v="10"/>
    <x v="1"/>
    <x v="6"/>
    <x v="0"/>
    <x v="0"/>
    <x v="0"/>
    <x v="0"/>
    <x v="0"/>
    <x v="0"/>
    <x v="2"/>
    <x v="2"/>
    <x v="2"/>
    <x v="12"/>
    <x v="12"/>
    <n v="73.775279069487098"/>
    <x v="0"/>
    <x v="0"/>
    <x v="0"/>
    <x v="0"/>
    <x v="8"/>
    <x v="12"/>
    <n v="80.415054185740942"/>
  </r>
  <r>
    <x v="10"/>
    <x v="0"/>
    <x v="10"/>
    <x v="10"/>
    <x v="1"/>
    <x v="6"/>
    <x v="0"/>
    <x v="0"/>
    <x v="0"/>
    <x v="0"/>
    <x v="0"/>
    <x v="0"/>
    <x v="2"/>
    <x v="2"/>
    <x v="2"/>
    <x v="13"/>
    <x v="13"/>
    <n v="89.596909999999994"/>
    <x v="0"/>
    <x v="0"/>
    <x v="1"/>
    <x v="3"/>
    <x v="3"/>
    <x v="13"/>
    <n v="97.660631899999998"/>
  </r>
  <r>
    <x v="10"/>
    <x v="0"/>
    <x v="10"/>
    <x v="10"/>
    <x v="1"/>
    <x v="6"/>
    <x v="0"/>
    <x v="0"/>
    <x v="0"/>
    <x v="0"/>
    <x v="0"/>
    <x v="0"/>
    <x v="2"/>
    <x v="2"/>
    <x v="2"/>
    <x v="21"/>
    <x v="21"/>
    <n v="21.247009174299201"/>
    <x v="0"/>
    <x v="0"/>
    <x v="1"/>
    <x v="4"/>
    <x v="5"/>
    <x v="10"/>
    <n v="23.159239999986131"/>
  </r>
  <r>
    <x v="10"/>
    <x v="0"/>
    <x v="10"/>
    <x v="10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10"/>
    <x v="0"/>
    <x v="10"/>
    <x v="10"/>
    <x v="1"/>
    <x v="6"/>
    <x v="0"/>
    <x v="0"/>
    <x v="0"/>
    <x v="0"/>
    <x v="0"/>
    <x v="0"/>
    <x v="2"/>
    <x v="2"/>
    <x v="2"/>
    <x v="25"/>
    <x v="25"/>
    <n v="15.0414128440277"/>
    <x v="0"/>
    <x v="0"/>
    <x v="1"/>
    <x v="4"/>
    <x v="5"/>
    <x v="9"/>
    <n v="16.395139999990196"/>
  </r>
  <r>
    <x v="10"/>
    <x v="0"/>
    <x v="10"/>
    <x v="10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10"/>
    <x v="0"/>
    <x v="10"/>
    <x v="10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10"/>
    <x v="0"/>
    <x v="10"/>
    <x v="10"/>
    <x v="1"/>
    <x v="6"/>
    <x v="0"/>
    <x v="0"/>
    <x v="0"/>
    <x v="0"/>
    <x v="0"/>
    <x v="0"/>
    <x v="2"/>
    <x v="2"/>
    <x v="2"/>
    <x v="26"/>
    <x v="26"/>
    <n v="62.510880733907399"/>
    <x v="0"/>
    <x v="0"/>
    <x v="1"/>
    <x v="3"/>
    <x v="3"/>
    <x v="15"/>
    <n v="68.136859999959071"/>
  </r>
  <r>
    <x v="10"/>
    <x v="0"/>
    <x v="10"/>
    <x v="10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10"/>
    <x v="0"/>
    <x v="10"/>
    <x v="10"/>
    <x v="1"/>
    <x v="6"/>
    <x v="0"/>
    <x v="0"/>
    <x v="0"/>
    <x v="0"/>
    <x v="0"/>
    <x v="0"/>
    <x v="2"/>
    <x v="2"/>
    <x v="2"/>
    <x v="1"/>
    <x v="1"/>
    <n v="9.7701172413255701"/>
    <x v="0"/>
    <x v="0"/>
    <x v="1"/>
    <x v="1"/>
    <x v="1"/>
    <x v="1"/>
    <n v="10.649427793044872"/>
  </r>
  <r>
    <x v="10"/>
    <x v="0"/>
    <x v="10"/>
    <x v="10"/>
    <x v="1"/>
    <x v="6"/>
    <x v="0"/>
    <x v="0"/>
    <x v="0"/>
    <x v="0"/>
    <x v="0"/>
    <x v="0"/>
    <x v="2"/>
    <x v="2"/>
    <x v="2"/>
    <x v="2"/>
    <x v="2"/>
    <n v="223.68391743105801"/>
    <x v="0"/>
    <x v="1"/>
    <x v="2"/>
    <x v="2"/>
    <x v="13"/>
    <x v="2"/>
    <n v="243.81546999985324"/>
  </r>
  <r>
    <x v="10"/>
    <x v="0"/>
    <x v="10"/>
    <x v="10"/>
    <x v="1"/>
    <x v="6"/>
    <x v="0"/>
    <x v="0"/>
    <x v="0"/>
    <x v="0"/>
    <x v="0"/>
    <x v="0"/>
    <x v="1"/>
    <x v="6"/>
    <x v="6"/>
    <x v="4"/>
    <x v="4"/>
    <n v="2.5321467889893099"/>
    <x v="0"/>
    <x v="0"/>
    <x v="1"/>
    <x v="3"/>
    <x v="3"/>
    <x v="4"/>
    <n v="2.760039999998348"/>
  </r>
  <r>
    <x v="10"/>
    <x v="0"/>
    <x v="10"/>
    <x v="10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10"/>
    <x v="0"/>
    <x v="10"/>
    <x v="10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10"/>
    <x v="0"/>
    <x v="10"/>
    <x v="10"/>
    <x v="1"/>
    <x v="6"/>
    <x v="0"/>
    <x v="0"/>
    <x v="0"/>
    <x v="0"/>
    <x v="0"/>
    <x v="0"/>
    <x v="1"/>
    <x v="6"/>
    <x v="6"/>
    <x v="21"/>
    <x v="21"/>
    <n v="122.776559632954"/>
    <x v="0"/>
    <x v="0"/>
    <x v="1"/>
    <x v="4"/>
    <x v="5"/>
    <x v="10"/>
    <n v="133.82644999991987"/>
  </r>
  <r>
    <x v="10"/>
    <x v="0"/>
    <x v="10"/>
    <x v="10"/>
    <x v="1"/>
    <x v="6"/>
    <x v="0"/>
    <x v="0"/>
    <x v="0"/>
    <x v="0"/>
    <x v="0"/>
    <x v="0"/>
    <x v="1"/>
    <x v="6"/>
    <x v="6"/>
    <x v="78"/>
    <x v="78"/>
    <n v="2.6432110091727301"/>
    <x v="0"/>
    <x v="0"/>
    <x v="1"/>
    <x v="4"/>
    <x v="5"/>
    <x v="9"/>
    <n v="2.881099999998276"/>
  </r>
  <r>
    <x v="10"/>
    <x v="0"/>
    <x v="10"/>
    <x v="10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10"/>
    <x v="0"/>
    <x v="10"/>
    <x v="10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10"/>
    <x v="0"/>
    <x v="10"/>
    <x v="10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10"/>
    <x v="0"/>
    <x v="10"/>
    <x v="10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10"/>
    <x v="0"/>
    <x v="10"/>
    <x v="10"/>
    <x v="1"/>
    <x v="6"/>
    <x v="0"/>
    <x v="0"/>
    <x v="0"/>
    <x v="0"/>
    <x v="0"/>
    <x v="0"/>
    <x v="3"/>
    <x v="7"/>
    <x v="7"/>
    <x v="9"/>
    <x v="9"/>
    <n v="6.44215268159763"/>
    <x v="0"/>
    <x v="0"/>
    <x v="1"/>
    <x v="4"/>
    <x v="5"/>
    <x v="9"/>
    <n v="7.0219464229414168"/>
  </r>
  <r>
    <x v="10"/>
    <x v="0"/>
    <x v="10"/>
    <x v="10"/>
    <x v="1"/>
    <x v="6"/>
    <x v="0"/>
    <x v="0"/>
    <x v="0"/>
    <x v="0"/>
    <x v="0"/>
    <x v="0"/>
    <x v="3"/>
    <x v="7"/>
    <x v="7"/>
    <x v="10"/>
    <x v="10"/>
    <n v="9.0670291711999996E-4"/>
    <x v="0"/>
    <x v="0"/>
    <x v="1"/>
    <x v="4"/>
    <x v="5"/>
    <x v="10"/>
    <n v="9.8830617966080012E-4"/>
  </r>
  <r>
    <x v="10"/>
    <x v="0"/>
    <x v="10"/>
    <x v="10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10"/>
    <x v="0"/>
    <x v="10"/>
    <x v="10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10"/>
    <x v="0"/>
    <x v="10"/>
    <x v="10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10"/>
    <x v="0"/>
    <x v="10"/>
    <x v="10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10"/>
    <x v="0"/>
    <x v="10"/>
    <x v="10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10"/>
    <x v="0"/>
    <x v="10"/>
    <x v="10"/>
    <x v="1"/>
    <x v="6"/>
    <x v="0"/>
    <x v="0"/>
    <x v="0"/>
    <x v="0"/>
    <x v="0"/>
    <x v="0"/>
    <x v="1"/>
    <x v="8"/>
    <x v="8"/>
    <x v="9"/>
    <x v="9"/>
    <n v="83.427536757624097"/>
    <x v="0"/>
    <x v="0"/>
    <x v="1"/>
    <x v="4"/>
    <x v="5"/>
    <x v="9"/>
    <n v="90.936015065810267"/>
  </r>
  <r>
    <x v="10"/>
    <x v="0"/>
    <x v="10"/>
    <x v="10"/>
    <x v="1"/>
    <x v="6"/>
    <x v="0"/>
    <x v="0"/>
    <x v="0"/>
    <x v="0"/>
    <x v="0"/>
    <x v="0"/>
    <x v="1"/>
    <x v="8"/>
    <x v="8"/>
    <x v="10"/>
    <x v="10"/>
    <n v="7.9190416023993597"/>
    <x v="0"/>
    <x v="0"/>
    <x v="1"/>
    <x v="4"/>
    <x v="5"/>
    <x v="10"/>
    <n v="8.6317553466153019"/>
  </r>
  <r>
    <x v="10"/>
    <x v="0"/>
    <x v="10"/>
    <x v="10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10"/>
    <x v="0"/>
    <x v="10"/>
    <x v="10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10"/>
    <x v="0"/>
    <x v="10"/>
    <x v="10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10"/>
    <x v="0"/>
    <x v="10"/>
    <x v="10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10"/>
    <x v="0"/>
    <x v="10"/>
    <x v="10"/>
    <x v="1"/>
    <x v="6"/>
    <x v="0"/>
    <x v="0"/>
    <x v="0"/>
    <x v="0"/>
    <x v="0"/>
    <x v="0"/>
    <x v="0"/>
    <x v="9"/>
    <x v="9"/>
    <x v="9"/>
    <x v="9"/>
    <n v="212.47914428137099"/>
    <x v="0"/>
    <x v="0"/>
    <x v="1"/>
    <x v="4"/>
    <x v="5"/>
    <x v="9"/>
    <n v="231.60226726669441"/>
  </r>
  <r>
    <x v="10"/>
    <x v="0"/>
    <x v="10"/>
    <x v="10"/>
    <x v="1"/>
    <x v="6"/>
    <x v="0"/>
    <x v="0"/>
    <x v="0"/>
    <x v="0"/>
    <x v="0"/>
    <x v="0"/>
    <x v="0"/>
    <x v="9"/>
    <x v="9"/>
    <x v="10"/>
    <x v="10"/>
    <n v="4.8894640947014398"/>
    <x v="0"/>
    <x v="0"/>
    <x v="1"/>
    <x v="4"/>
    <x v="5"/>
    <x v="10"/>
    <n v="5.3295158632245698"/>
  </r>
  <r>
    <x v="10"/>
    <x v="0"/>
    <x v="10"/>
    <x v="10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70.4292935"/>
  </r>
  <r>
    <x v="10"/>
    <x v="0"/>
    <x v="10"/>
    <x v="10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10"/>
    <x v="0"/>
    <x v="10"/>
    <x v="10"/>
    <x v="1"/>
    <x v="6"/>
    <x v="0"/>
    <x v="0"/>
    <x v="0"/>
    <x v="0"/>
    <x v="0"/>
    <x v="0"/>
    <x v="0"/>
    <x v="9"/>
    <x v="9"/>
    <x v="21"/>
    <x v="21"/>
    <n v="107.004266054982"/>
    <x v="0"/>
    <x v="0"/>
    <x v="1"/>
    <x v="4"/>
    <x v="5"/>
    <x v="10"/>
    <n v="116.63464999993039"/>
  </r>
  <r>
    <x v="10"/>
    <x v="0"/>
    <x v="10"/>
    <x v="10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10"/>
    <x v="0"/>
    <x v="10"/>
    <x v="10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10"/>
    <x v="0"/>
    <x v="10"/>
    <x v="10"/>
    <x v="1"/>
    <x v="6"/>
    <x v="0"/>
    <x v="0"/>
    <x v="0"/>
    <x v="0"/>
    <x v="0"/>
    <x v="0"/>
    <x v="2"/>
    <x v="10"/>
    <x v="10"/>
    <x v="9"/>
    <x v="9"/>
    <n v="67.934889084328404"/>
    <x v="0"/>
    <x v="0"/>
    <x v="1"/>
    <x v="4"/>
    <x v="5"/>
    <x v="9"/>
    <n v="74.049029101917966"/>
  </r>
  <r>
    <x v="10"/>
    <x v="0"/>
    <x v="10"/>
    <x v="10"/>
    <x v="1"/>
    <x v="6"/>
    <x v="0"/>
    <x v="0"/>
    <x v="0"/>
    <x v="0"/>
    <x v="0"/>
    <x v="0"/>
    <x v="2"/>
    <x v="10"/>
    <x v="10"/>
    <x v="10"/>
    <x v="10"/>
    <n v="1.7814764857600001E-3"/>
    <x v="0"/>
    <x v="0"/>
    <x v="1"/>
    <x v="4"/>
    <x v="5"/>
    <x v="10"/>
    <n v="1.9418093694784002E-3"/>
  </r>
  <r>
    <x v="10"/>
    <x v="0"/>
    <x v="10"/>
    <x v="10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96.729891800000004"/>
  </r>
  <r>
    <x v="10"/>
    <x v="0"/>
    <x v="10"/>
    <x v="10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10"/>
    <x v="0"/>
    <x v="10"/>
    <x v="10"/>
    <x v="1"/>
    <x v="6"/>
    <x v="0"/>
    <x v="0"/>
    <x v="0"/>
    <x v="0"/>
    <x v="0"/>
    <x v="0"/>
    <x v="2"/>
    <x v="10"/>
    <x v="10"/>
    <x v="21"/>
    <x v="21"/>
    <n v="30.678495412825601"/>
    <x v="0"/>
    <x v="0"/>
    <x v="1"/>
    <x v="4"/>
    <x v="5"/>
    <x v="10"/>
    <n v="33.439559999979906"/>
  </r>
  <r>
    <x v="10"/>
    <x v="0"/>
    <x v="10"/>
    <x v="10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10"/>
    <x v="0"/>
    <x v="10"/>
    <x v="10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10"/>
    <x v="0"/>
    <x v="10"/>
    <x v="10"/>
    <x v="1"/>
    <x v="6"/>
    <x v="0"/>
    <x v="0"/>
    <x v="0"/>
    <x v="0"/>
    <x v="0"/>
    <x v="0"/>
    <x v="4"/>
    <x v="5"/>
    <x v="5"/>
    <x v="4"/>
    <x v="4"/>
    <n v="0.47196330275200998"/>
    <x v="0"/>
    <x v="0"/>
    <x v="1"/>
    <x v="3"/>
    <x v="3"/>
    <x v="4"/>
    <n v="0.51443999999969092"/>
  </r>
  <r>
    <x v="10"/>
    <x v="0"/>
    <x v="10"/>
    <x v="10"/>
    <x v="1"/>
    <x v="6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10"/>
    <x v="0"/>
    <x v="10"/>
    <x v="10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10"/>
    <x v="0"/>
    <x v="10"/>
    <x v="10"/>
    <x v="1"/>
    <x v="6"/>
    <x v="0"/>
    <x v="0"/>
    <x v="0"/>
    <x v="0"/>
    <x v="0"/>
    <x v="0"/>
    <x v="4"/>
    <x v="5"/>
    <x v="5"/>
    <x v="9"/>
    <x v="9"/>
    <n v="250.64927594079401"/>
    <x v="0"/>
    <x v="0"/>
    <x v="1"/>
    <x v="4"/>
    <x v="5"/>
    <x v="9"/>
    <n v="273.2077107754655"/>
  </r>
  <r>
    <x v="10"/>
    <x v="0"/>
    <x v="10"/>
    <x v="10"/>
    <x v="1"/>
    <x v="6"/>
    <x v="0"/>
    <x v="0"/>
    <x v="0"/>
    <x v="0"/>
    <x v="0"/>
    <x v="0"/>
    <x v="4"/>
    <x v="5"/>
    <x v="5"/>
    <x v="10"/>
    <x v="10"/>
    <n v="54.971123861315803"/>
    <x v="0"/>
    <x v="0"/>
    <x v="1"/>
    <x v="4"/>
    <x v="5"/>
    <x v="10"/>
    <n v="59.91852500883423"/>
  </r>
  <r>
    <x v="10"/>
    <x v="0"/>
    <x v="10"/>
    <x v="10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10"/>
    <x v="0"/>
    <x v="10"/>
    <x v="10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285.27934530000005"/>
  </r>
  <r>
    <x v="10"/>
    <x v="0"/>
    <x v="10"/>
    <x v="10"/>
    <x v="1"/>
    <x v="6"/>
    <x v="0"/>
    <x v="0"/>
    <x v="0"/>
    <x v="0"/>
    <x v="0"/>
    <x v="0"/>
    <x v="4"/>
    <x v="5"/>
    <x v="5"/>
    <x v="12"/>
    <x v="12"/>
    <n v="607.33782557908796"/>
    <x v="0"/>
    <x v="0"/>
    <x v="0"/>
    <x v="0"/>
    <x v="8"/>
    <x v="12"/>
    <n v="661.99822988120593"/>
  </r>
  <r>
    <x v="10"/>
    <x v="0"/>
    <x v="10"/>
    <x v="10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10"/>
    <x v="0"/>
    <x v="10"/>
    <x v="10"/>
    <x v="1"/>
    <x v="6"/>
    <x v="0"/>
    <x v="0"/>
    <x v="0"/>
    <x v="0"/>
    <x v="0"/>
    <x v="0"/>
    <x v="4"/>
    <x v="5"/>
    <x v="5"/>
    <x v="21"/>
    <x v="21"/>
    <n v="99.024825688014005"/>
    <x v="0"/>
    <x v="0"/>
    <x v="1"/>
    <x v="4"/>
    <x v="5"/>
    <x v="10"/>
    <n v="107.93705999993527"/>
  </r>
  <r>
    <x v="10"/>
    <x v="0"/>
    <x v="10"/>
    <x v="10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10"/>
    <x v="0"/>
    <x v="10"/>
    <x v="10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10"/>
    <x v="0"/>
    <x v="10"/>
    <x v="10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10"/>
    <x v="0"/>
    <x v="10"/>
    <x v="10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10"/>
    <x v="0"/>
    <x v="10"/>
    <x v="10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10"/>
    <x v="0"/>
    <x v="10"/>
    <x v="10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10"/>
    <x v="0"/>
    <x v="10"/>
    <x v="10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10"/>
    <x v="0"/>
    <x v="10"/>
    <x v="10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10"/>
    <x v="0"/>
    <x v="10"/>
    <x v="10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10"/>
    <x v="0"/>
    <x v="10"/>
    <x v="10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10"/>
    <x v="0"/>
    <x v="10"/>
    <x v="10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10"/>
    <x v="0"/>
    <x v="10"/>
    <x v="10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10"/>
    <x v="0"/>
    <x v="10"/>
    <x v="10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10"/>
    <x v="0"/>
    <x v="10"/>
    <x v="10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10"/>
    <x v="0"/>
    <x v="10"/>
    <x v="10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10"/>
    <x v="0"/>
    <x v="10"/>
    <x v="10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10"/>
    <x v="0"/>
    <x v="10"/>
    <x v="10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10"/>
    <x v="0"/>
    <x v="10"/>
    <x v="10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10"/>
    <x v="0"/>
    <x v="10"/>
    <x v="10"/>
    <x v="1"/>
    <x v="6"/>
    <x v="0"/>
    <x v="0"/>
    <x v="0"/>
    <x v="0"/>
    <x v="3"/>
    <x v="3"/>
    <x v="2"/>
    <x v="2"/>
    <x v="2"/>
    <x v="5"/>
    <x v="5"/>
    <n v="24.355717791596099"/>
    <x v="0"/>
    <x v="0"/>
    <x v="1"/>
    <x v="1"/>
    <x v="1"/>
    <x v="5"/>
    <n v="26.547732392839752"/>
  </r>
  <r>
    <x v="10"/>
    <x v="0"/>
    <x v="10"/>
    <x v="10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10"/>
    <x v="0"/>
    <x v="10"/>
    <x v="10"/>
    <x v="1"/>
    <x v="6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10"/>
    <x v="0"/>
    <x v="10"/>
    <x v="10"/>
    <x v="1"/>
    <x v="6"/>
    <x v="0"/>
    <x v="0"/>
    <x v="0"/>
    <x v="0"/>
    <x v="3"/>
    <x v="3"/>
    <x v="2"/>
    <x v="2"/>
    <x v="2"/>
    <x v="10"/>
    <x v="10"/>
    <n v="7.1491305811967996"/>
    <x v="0"/>
    <x v="0"/>
    <x v="1"/>
    <x v="4"/>
    <x v="5"/>
    <x v="10"/>
    <n v="7.7925523335045117"/>
  </r>
  <r>
    <x v="10"/>
    <x v="0"/>
    <x v="10"/>
    <x v="10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10"/>
    <x v="0"/>
    <x v="10"/>
    <x v="10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10"/>
    <x v="0"/>
    <x v="10"/>
    <x v="10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10"/>
    <x v="0"/>
    <x v="10"/>
    <x v="10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10"/>
    <x v="0"/>
    <x v="10"/>
    <x v="10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10"/>
    <x v="0"/>
    <x v="10"/>
    <x v="10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10"/>
    <x v="0"/>
    <x v="10"/>
    <x v="10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10"/>
    <x v="0"/>
    <x v="10"/>
    <x v="10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10"/>
    <x v="0"/>
    <x v="10"/>
    <x v="10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10"/>
    <x v="0"/>
    <x v="10"/>
    <x v="10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10"/>
    <x v="0"/>
    <x v="10"/>
    <x v="10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10"/>
    <x v="0"/>
    <x v="10"/>
    <x v="10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10"/>
    <x v="0"/>
    <x v="10"/>
    <x v="10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10"/>
    <x v="0"/>
    <x v="10"/>
    <x v="10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10"/>
    <x v="0"/>
    <x v="10"/>
    <x v="10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10"/>
    <x v="0"/>
    <x v="10"/>
    <x v="10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10"/>
    <x v="0"/>
    <x v="10"/>
    <x v="10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10"/>
    <x v="0"/>
    <x v="10"/>
    <x v="10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10"/>
    <x v="0"/>
    <x v="10"/>
    <x v="10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10"/>
    <x v="0"/>
    <x v="10"/>
    <x v="10"/>
    <x v="1"/>
    <x v="6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10"/>
    <x v="0"/>
    <x v="10"/>
    <x v="10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10"/>
    <x v="0"/>
    <x v="10"/>
    <x v="10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10"/>
    <x v="0"/>
    <x v="10"/>
    <x v="10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10"/>
    <x v="0"/>
    <x v="10"/>
    <x v="10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10"/>
    <x v="0"/>
    <x v="10"/>
    <x v="10"/>
    <x v="1"/>
    <x v="6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10"/>
    <x v="0"/>
    <x v="10"/>
    <x v="10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10"/>
    <x v="0"/>
    <x v="10"/>
    <x v="10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10"/>
    <x v="0"/>
    <x v="10"/>
    <x v="10"/>
    <x v="1"/>
    <x v="6"/>
    <x v="0"/>
    <x v="0"/>
    <x v="0"/>
    <x v="0"/>
    <x v="4"/>
    <x v="4"/>
    <x v="2"/>
    <x v="2"/>
    <x v="2"/>
    <x v="10"/>
    <x v="10"/>
    <n v="0.43766305244159998"/>
    <x v="0"/>
    <x v="0"/>
    <x v="1"/>
    <x v="4"/>
    <x v="5"/>
    <x v="10"/>
    <n v="0.477052727161344"/>
  </r>
  <r>
    <x v="10"/>
    <x v="0"/>
    <x v="10"/>
    <x v="10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10"/>
    <x v="0"/>
    <x v="10"/>
    <x v="10"/>
    <x v="1"/>
    <x v="6"/>
    <x v="0"/>
    <x v="0"/>
    <x v="0"/>
    <x v="0"/>
    <x v="4"/>
    <x v="4"/>
    <x v="2"/>
    <x v="2"/>
    <x v="2"/>
    <x v="21"/>
    <x v="21"/>
    <n v="3.1572110091724199"/>
    <x v="0"/>
    <x v="0"/>
    <x v="1"/>
    <x v="4"/>
    <x v="5"/>
    <x v="10"/>
    <n v="3.4413599999979381"/>
  </r>
  <r>
    <x v="10"/>
    <x v="0"/>
    <x v="10"/>
    <x v="10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10"/>
    <x v="0"/>
    <x v="10"/>
    <x v="10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10"/>
    <x v="0"/>
    <x v="10"/>
    <x v="10"/>
    <x v="1"/>
    <x v="6"/>
    <x v="0"/>
    <x v="0"/>
    <x v="0"/>
    <x v="0"/>
    <x v="4"/>
    <x v="4"/>
    <x v="2"/>
    <x v="2"/>
    <x v="2"/>
    <x v="26"/>
    <x v="26"/>
    <n v="0.52759633027491004"/>
    <x v="0"/>
    <x v="0"/>
    <x v="1"/>
    <x v="3"/>
    <x v="3"/>
    <x v="15"/>
    <n v="0.57507999999965198"/>
  </r>
  <r>
    <x v="10"/>
    <x v="0"/>
    <x v="10"/>
    <x v="10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10"/>
    <x v="0"/>
    <x v="10"/>
    <x v="10"/>
    <x v="1"/>
    <x v="6"/>
    <x v="0"/>
    <x v="0"/>
    <x v="0"/>
    <x v="0"/>
    <x v="4"/>
    <x v="4"/>
    <x v="4"/>
    <x v="5"/>
    <x v="5"/>
    <x v="23"/>
    <x v="23"/>
    <n v="3.43853211008968"/>
    <x v="0"/>
    <x v="0"/>
    <x v="1"/>
    <x v="3"/>
    <x v="3"/>
    <x v="15"/>
    <n v="3.7479999999977514"/>
  </r>
  <r>
    <x v="10"/>
    <x v="0"/>
    <x v="10"/>
    <x v="10"/>
    <x v="1"/>
    <x v="6"/>
    <x v="0"/>
    <x v="0"/>
    <x v="0"/>
    <x v="0"/>
    <x v="4"/>
    <x v="4"/>
    <x v="4"/>
    <x v="5"/>
    <x v="5"/>
    <x v="20"/>
    <x v="20"/>
    <n v="22.529160000000001"/>
    <x v="0"/>
    <x v="0"/>
    <x v="1"/>
    <x v="3"/>
    <x v="3"/>
    <x v="13"/>
    <n v="24.556784400000002"/>
  </r>
  <r>
    <x v="10"/>
    <x v="0"/>
    <x v="10"/>
    <x v="10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10"/>
    <x v="0"/>
    <x v="10"/>
    <x v="10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10"/>
    <x v="0"/>
    <x v="10"/>
    <x v="10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10"/>
    <x v="0"/>
    <x v="10"/>
    <x v="10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10"/>
    <x v="0"/>
    <x v="10"/>
    <x v="10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10"/>
    <x v="0"/>
    <x v="10"/>
    <x v="10"/>
    <x v="1"/>
    <x v="6"/>
    <x v="0"/>
    <x v="0"/>
    <x v="2"/>
    <x v="2"/>
    <x v="5"/>
    <x v="5"/>
    <x v="2"/>
    <x v="2"/>
    <x v="2"/>
    <x v="40"/>
    <x v="40"/>
    <n v="10133.64013"/>
    <x v="1"/>
    <x v="2"/>
    <x v="5"/>
    <x v="7"/>
    <x v="11"/>
    <x v="22"/>
    <n v="11045.667741700001"/>
  </r>
  <r>
    <x v="10"/>
    <x v="0"/>
    <x v="10"/>
    <x v="10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10"/>
    <x v="0"/>
    <x v="10"/>
    <x v="10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10"/>
    <x v="0"/>
    <x v="10"/>
    <x v="10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10"/>
    <x v="0"/>
    <x v="10"/>
    <x v="10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10"/>
    <x v="0"/>
    <x v="10"/>
    <x v="10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10"/>
    <x v="0"/>
    <x v="10"/>
    <x v="10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10"/>
    <x v="0"/>
    <x v="10"/>
    <x v="10"/>
    <x v="1"/>
    <x v="6"/>
    <x v="0"/>
    <x v="0"/>
    <x v="2"/>
    <x v="2"/>
    <x v="5"/>
    <x v="5"/>
    <x v="1"/>
    <x v="6"/>
    <x v="6"/>
    <x v="40"/>
    <x v="40"/>
    <n v="3215.6868599999998"/>
    <x v="1"/>
    <x v="2"/>
    <x v="5"/>
    <x v="7"/>
    <x v="11"/>
    <x v="22"/>
    <n v="3505.0986773999998"/>
  </r>
  <r>
    <x v="10"/>
    <x v="0"/>
    <x v="10"/>
    <x v="10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10"/>
    <x v="0"/>
    <x v="10"/>
    <x v="10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10"/>
    <x v="0"/>
    <x v="10"/>
    <x v="10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686.88847190000001"/>
  </r>
  <r>
    <x v="10"/>
    <x v="0"/>
    <x v="10"/>
    <x v="10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10"/>
    <x v="0"/>
    <x v="10"/>
    <x v="10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195.94236760000001"/>
  </r>
  <r>
    <x v="10"/>
    <x v="0"/>
    <x v="10"/>
    <x v="10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10"/>
    <x v="0"/>
    <x v="10"/>
    <x v="10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79.757948700000014"/>
  </r>
  <r>
    <x v="10"/>
    <x v="0"/>
    <x v="10"/>
    <x v="10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10"/>
    <x v="0"/>
    <x v="10"/>
    <x v="10"/>
    <x v="1"/>
    <x v="6"/>
    <x v="0"/>
    <x v="0"/>
    <x v="2"/>
    <x v="2"/>
    <x v="5"/>
    <x v="5"/>
    <x v="4"/>
    <x v="5"/>
    <x v="5"/>
    <x v="41"/>
    <x v="41"/>
    <n v="95.246159574106102"/>
    <x v="1"/>
    <x v="2"/>
    <x v="5"/>
    <x v="7"/>
    <x v="11"/>
    <x v="22"/>
    <n v="103.81831393577566"/>
  </r>
  <r>
    <x v="10"/>
    <x v="0"/>
    <x v="10"/>
    <x v="10"/>
    <x v="1"/>
    <x v="6"/>
    <x v="0"/>
    <x v="0"/>
    <x v="2"/>
    <x v="2"/>
    <x v="5"/>
    <x v="5"/>
    <x v="4"/>
    <x v="5"/>
    <x v="5"/>
    <x v="40"/>
    <x v="40"/>
    <n v="1154.41365"/>
    <x v="1"/>
    <x v="2"/>
    <x v="5"/>
    <x v="7"/>
    <x v="11"/>
    <x v="22"/>
    <n v="1258.3108784999999"/>
  </r>
  <r>
    <x v="10"/>
    <x v="0"/>
    <x v="10"/>
    <x v="10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10"/>
    <x v="0"/>
    <x v="10"/>
    <x v="10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10"/>
    <x v="0"/>
    <x v="10"/>
    <x v="10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10"/>
    <x v="0"/>
    <x v="10"/>
    <x v="10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10"/>
    <x v="0"/>
    <x v="10"/>
    <x v="10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10"/>
    <x v="0"/>
    <x v="10"/>
    <x v="10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10"/>
    <x v="0"/>
    <x v="10"/>
    <x v="10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10"/>
    <x v="0"/>
    <x v="10"/>
    <x v="10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10"/>
    <x v="0"/>
    <x v="10"/>
    <x v="10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10"/>
    <x v="0"/>
    <x v="10"/>
    <x v="10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10"/>
    <x v="0"/>
    <x v="10"/>
    <x v="10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10"/>
    <x v="0"/>
    <x v="10"/>
    <x v="10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10"/>
    <x v="0"/>
    <x v="10"/>
    <x v="10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10"/>
    <x v="0"/>
    <x v="10"/>
    <x v="10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10"/>
    <x v="0"/>
    <x v="10"/>
    <x v="10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10"/>
    <x v="0"/>
    <x v="10"/>
    <x v="10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10"/>
    <x v="0"/>
    <x v="10"/>
    <x v="10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10"/>
    <x v="0"/>
    <x v="10"/>
    <x v="10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10"/>
    <x v="0"/>
    <x v="10"/>
    <x v="10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10"/>
    <x v="0"/>
    <x v="10"/>
    <x v="10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10"/>
    <x v="0"/>
    <x v="10"/>
    <x v="10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10"/>
    <x v="0"/>
    <x v="10"/>
    <x v="10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10"/>
    <x v="0"/>
    <x v="10"/>
    <x v="10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10"/>
    <x v="0"/>
    <x v="10"/>
    <x v="10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10"/>
    <x v="0"/>
    <x v="10"/>
    <x v="10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10"/>
    <x v="0"/>
    <x v="10"/>
    <x v="10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10"/>
    <x v="0"/>
    <x v="10"/>
    <x v="10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10"/>
    <x v="0"/>
    <x v="10"/>
    <x v="10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10"/>
    <x v="0"/>
    <x v="10"/>
    <x v="10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10"/>
    <x v="0"/>
    <x v="10"/>
    <x v="10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10"/>
    <x v="0"/>
    <x v="10"/>
    <x v="10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10"/>
    <x v="0"/>
    <x v="10"/>
    <x v="10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10"/>
    <x v="0"/>
    <x v="10"/>
    <x v="10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10"/>
    <x v="0"/>
    <x v="10"/>
    <x v="10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10"/>
    <x v="0"/>
    <x v="10"/>
    <x v="10"/>
    <x v="1"/>
    <x v="6"/>
    <x v="0"/>
    <x v="0"/>
    <x v="2"/>
    <x v="2"/>
    <x v="7"/>
    <x v="7"/>
    <x v="2"/>
    <x v="2"/>
    <x v="2"/>
    <x v="40"/>
    <x v="40"/>
    <n v="2511.9098199999999"/>
    <x v="1"/>
    <x v="2"/>
    <x v="5"/>
    <x v="7"/>
    <x v="11"/>
    <x v="22"/>
    <n v="2737.9817038000001"/>
  </r>
  <r>
    <x v="10"/>
    <x v="0"/>
    <x v="10"/>
    <x v="10"/>
    <x v="1"/>
    <x v="6"/>
    <x v="0"/>
    <x v="0"/>
    <x v="2"/>
    <x v="2"/>
    <x v="7"/>
    <x v="7"/>
    <x v="2"/>
    <x v="2"/>
    <x v="2"/>
    <x v="38"/>
    <x v="38"/>
    <n v="4013.81765"/>
    <x v="1"/>
    <x v="0"/>
    <x v="4"/>
    <x v="6"/>
    <x v="10"/>
    <x v="21"/>
    <n v="4375.0612385000004"/>
  </r>
  <r>
    <x v="10"/>
    <x v="0"/>
    <x v="10"/>
    <x v="10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10"/>
    <x v="0"/>
    <x v="10"/>
    <x v="10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10"/>
    <x v="0"/>
    <x v="10"/>
    <x v="10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10"/>
    <x v="0"/>
    <x v="10"/>
    <x v="10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10"/>
    <x v="0"/>
    <x v="10"/>
    <x v="10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10"/>
    <x v="0"/>
    <x v="10"/>
    <x v="10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10"/>
    <x v="0"/>
    <x v="10"/>
    <x v="10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10"/>
    <x v="0"/>
    <x v="10"/>
    <x v="10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10"/>
    <x v="0"/>
    <x v="10"/>
    <x v="10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10"/>
    <x v="0"/>
    <x v="10"/>
    <x v="10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10"/>
    <x v="0"/>
    <x v="10"/>
    <x v="10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10"/>
    <x v="0"/>
    <x v="10"/>
    <x v="10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10"/>
    <x v="0"/>
    <x v="10"/>
    <x v="10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10"/>
    <x v="0"/>
    <x v="10"/>
    <x v="10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10"/>
    <x v="0"/>
    <x v="10"/>
    <x v="10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10"/>
    <x v="0"/>
    <x v="10"/>
    <x v="10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10"/>
    <x v="0"/>
    <x v="10"/>
    <x v="10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10"/>
    <x v="0"/>
    <x v="10"/>
    <x v="10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10"/>
    <x v="0"/>
    <x v="10"/>
    <x v="10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10"/>
    <x v="0"/>
    <x v="10"/>
    <x v="10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194.02818590000001"/>
  </r>
  <r>
    <x v="10"/>
    <x v="0"/>
    <x v="10"/>
    <x v="10"/>
    <x v="1"/>
    <x v="6"/>
    <x v="0"/>
    <x v="0"/>
    <x v="2"/>
    <x v="2"/>
    <x v="7"/>
    <x v="7"/>
    <x v="1"/>
    <x v="8"/>
    <x v="8"/>
    <x v="40"/>
    <x v="40"/>
    <n v="222.66556"/>
    <x v="1"/>
    <x v="2"/>
    <x v="5"/>
    <x v="7"/>
    <x v="11"/>
    <x v="22"/>
    <n v="242.70546040000002"/>
  </r>
  <r>
    <x v="10"/>
    <x v="0"/>
    <x v="10"/>
    <x v="10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10"/>
    <x v="0"/>
    <x v="10"/>
    <x v="10"/>
    <x v="1"/>
    <x v="6"/>
    <x v="0"/>
    <x v="0"/>
    <x v="2"/>
    <x v="2"/>
    <x v="7"/>
    <x v="7"/>
    <x v="4"/>
    <x v="5"/>
    <x v="5"/>
    <x v="40"/>
    <x v="40"/>
    <n v="183.48287999999999"/>
    <x v="1"/>
    <x v="2"/>
    <x v="5"/>
    <x v="7"/>
    <x v="11"/>
    <x v="22"/>
    <n v="199.99633920000002"/>
  </r>
  <r>
    <x v="10"/>
    <x v="0"/>
    <x v="10"/>
    <x v="10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10"/>
    <x v="0"/>
    <x v="10"/>
    <x v="10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10"/>
    <x v="0"/>
    <x v="10"/>
    <x v="10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10"/>
    <x v="0"/>
    <x v="10"/>
    <x v="10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10"/>
    <x v="0"/>
    <x v="10"/>
    <x v="10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10"/>
    <x v="0"/>
    <x v="10"/>
    <x v="10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10"/>
    <x v="0"/>
    <x v="10"/>
    <x v="10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10"/>
    <x v="0"/>
    <x v="10"/>
    <x v="10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10"/>
    <x v="0"/>
    <x v="10"/>
    <x v="10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10"/>
    <x v="0"/>
    <x v="10"/>
    <x v="10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10"/>
    <x v="0"/>
    <x v="10"/>
    <x v="10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10"/>
    <x v="0"/>
    <x v="10"/>
    <x v="10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10"/>
    <x v="0"/>
    <x v="10"/>
    <x v="10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10"/>
    <x v="0"/>
    <x v="10"/>
    <x v="10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10"/>
    <x v="0"/>
    <x v="10"/>
    <x v="10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10"/>
    <x v="0"/>
    <x v="10"/>
    <x v="10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10"/>
    <x v="0"/>
    <x v="10"/>
    <x v="10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10"/>
    <x v="0"/>
    <x v="10"/>
    <x v="10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10"/>
    <x v="0"/>
    <x v="10"/>
    <x v="10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10"/>
    <x v="0"/>
    <x v="10"/>
    <x v="10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10"/>
    <x v="0"/>
    <x v="10"/>
    <x v="10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10"/>
    <x v="0"/>
    <x v="10"/>
    <x v="10"/>
    <x v="1"/>
    <x v="6"/>
    <x v="0"/>
    <x v="0"/>
    <x v="2"/>
    <x v="2"/>
    <x v="9"/>
    <x v="9"/>
    <x v="2"/>
    <x v="2"/>
    <x v="2"/>
    <x v="40"/>
    <x v="40"/>
    <n v="13150.179260000001"/>
    <x v="1"/>
    <x v="2"/>
    <x v="5"/>
    <x v="7"/>
    <x v="11"/>
    <x v="22"/>
    <n v="14333.695393400001"/>
  </r>
  <r>
    <x v="10"/>
    <x v="0"/>
    <x v="10"/>
    <x v="10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10"/>
    <x v="0"/>
    <x v="10"/>
    <x v="10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10"/>
    <x v="0"/>
    <x v="10"/>
    <x v="10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10"/>
    <x v="0"/>
    <x v="10"/>
    <x v="10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10"/>
    <x v="0"/>
    <x v="10"/>
    <x v="10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10"/>
    <x v="0"/>
    <x v="10"/>
    <x v="10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10"/>
    <x v="0"/>
    <x v="10"/>
    <x v="10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10"/>
    <x v="0"/>
    <x v="10"/>
    <x v="10"/>
    <x v="1"/>
    <x v="6"/>
    <x v="0"/>
    <x v="0"/>
    <x v="2"/>
    <x v="2"/>
    <x v="9"/>
    <x v="9"/>
    <x v="1"/>
    <x v="6"/>
    <x v="6"/>
    <x v="40"/>
    <x v="40"/>
    <n v="25729.250899999999"/>
    <x v="1"/>
    <x v="2"/>
    <x v="5"/>
    <x v="7"/>
    <x v="11"/>
    <x v="22"/>
    <n v="28044.883481000001"/>
  </r>
  <r>
    <x v="10"/>
    <x v="0"/>
    <x v="10"/>
    <x v="10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10"/>
    <x v="0"/>
    <x v="10"/>
    <x v="10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10"/>
    <x v="0"/>
    <x v="10"/>
    <x v="10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10"/>
    <x v="0"/>
    <x v="10"/>
    <x v="10"/>
    <x v="1"/>
    <x v="6"/>
    <x v="0"/>
    <x v="0"/>
    <x v="2"/>
    <x v="2"/>
    <x v="9"/>
    <x v="9"/>
    <x v="3"/>
    <x v="7"/>
    <x v="7"/>
    <x v="40"/>
    <x v="40"/>
    <n v="751.09121000000005"/>
    <x v="1"/>
    <x v="2"/>
    <x v="5"/>
    <x v="7"/>
    <x v="11"/>
    <x v="22"/>
    <n v="818.68941890000008"/>
  </r>
  <r>
    <x v="10"/>
    <x v="0"/>
    <x v="10"/>
    <x v="10"/>
    <x v="1"/>
    <x v="6"/>
    <x v="0"/>
    <x v="0"/>
    <x v="2"/>
    <x v="2"/>
    <x v="9"/>
    <x v="9"/>
    <x v="1"/>
    <x v="8"/>
    <x v="8"/>
    <x v="40"/>
    <x v="40"/>
    <n v="12526.8838"/>
    <x v="1"/>
    <x v="2"/>
    <x v="5"/>
    <x v="7"/>
    <x v="11"/>
    <x v="22"/>
    <n v="13654.303342000001"/>
  </r>
  <r>
    <x v="10"/>
    <x v="0"/>
    <x v="10"/>
    <x v="10"/>
    <x v="1"/>
    <x v="6"/>
    <x v="0"/>
    <x v="0"/>
    <x v="2"/>
    <x v="2"/>
    <x v="9"/>
    <x v="9"/>
    <x v="2"/>
    <x v="10"/>
    <x v="10"/>
    <x v="40"/>
    <x v="40"/>
    <n v="196.56697"/>
    <x v="1"/>
    <x v="2"/>
    <x v="5"/>
    <x v="7"/>
    <x v="11"/>
    <x v="22"/>
    <n v="214.2579973"/>
  </r>
  <r>
    <x v="10"/>
    <x v="0"/>
    <x v="10"/>
    <x v="10"/>
    <x v="1"/>
    <x v="6"/>
    <x v="0"/>
    <x v="0"/>
    <x v="2"/>
    <x v="2"/>
    <x v="9"/>
    <x v="9"/>
    <x v="4"/>
    <x v="5"/>
    <x v="5"/>
    <x v="41"/>
    <x v="41"/>
    <n v="330.69256382853098"/>
    <x v="1"/>
    <x v="2"/>
    <x v="5"/>
    <x v="7"/>
    <x v="11"/>
    <x v="22"/>
    <n v="360.45489457309878"/>
  </r>
  <r>
    <x v="10"/>
    <x v="0"/>
    <x v="10"/>
    <x v="10"/>
    <x v="1"/>
    <x v="6"/>
    <x v="0"/>
    <x v="0"/>
    <x v="2"/>
    <x v="2"/>
    <x v="9"/>
    <x v="9"/>
    <x v="4"/>
    <x v="5"/>
    <x v="5"/>
    <x v="40"/>
    <x v="40"/>
    <n v="3004.8050199999998"/>
    <x v="1"/>
    <x v="2"/>
    <x v="5"/>
    <x v="7"/>
    <x v="11"/>
    <x v="22"/>
    <n v="3275.2374718000001"/>
  </r>
  <r>
    <x v="10"/>
    <x v="0"/>
    <x v="10"/>
    <x v="10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10"/>
    <x v="0"/>
    <x v="10"/>
    <x v="10"/>
    <x v="1"/>
    <x v="6"/>
    <x v="0"/>
    <x v="0"/>
    <x v="2"/>
    <x v="2"/>
    <x v="10"/>
    <x v="10"/>
    <x v="2"/>
    <x v="2"/>
    <x v="2"/>
    <x v="41"/>
    <x v="41"/>
    <n v="537.70699999795704"/>
    <x v="1"/>
    <x v="2"/>
    <x v="5"/>
    <x v="7"/>
    <x v="11"/>
    <x v="22"/>
    <n v="586.10062999777324"/>
  </r>
  <r>
    <x v="10"/>
    <x v="0"/>
    <x v="10"/>
    <x v="10"/>
    <x v="1"/>
    <x v="6"/>
    <x v="0"/>
    <x v="0"/>
    <x v="2"/>
    <x v="2"/>
    <x v="10"/>
    <x v="10"/>
    <x v="2"/>
    <x v="2"/>
    <x v="2"/>
    <x v="40"/>
    <x v="40"/>
    <n v="4365.2138500000001"/>
    <x v="1"/>
    <x v="2"/>
    <x v="5"/>
    <x v="7"/>
    <x v="11"/>
    <x v="22"/>
    <n v="4758.0830965000005"/>
  </r>
  <r>
    <x v="10"/>
    <x v="0"/>
    <x v="10"/>
    <x v="10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10"/>
    <x v="0"/>
    <x v="10"/>
    <x v="10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10"/>
    <x v="0"/>
    <x v="10"/>
    <x v="10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10"/>
    <x v="0"/>
    <x v="10"/>
    <x v="10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10"/>
    <x v="0"/>
    <x v="10"/>
    <x v="10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10"/>
    <x v="0"/>
    <x v="10"/>
    <x v="10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10"/>
    <x v="0"/>
    <x v="10"/>
    <x v="10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10"/>
    <x v="0"/>
    <x v="10"/>
    <x v="10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10"/>
    <x v="0"/>
    <x v="10"/>
    <x v="10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10"/>
    <x v="0"/>
    <x v="10"/>
    <x v="10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10"/>
    <x v="0"/>
    <x v="10"/>
    <x v="10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10"/>
    <x v="0"/>
    <x v="10"/>
    <x v="10"/>
    <x v="1"/>
    <x v="6"/>
    <x v="0"/>
    <x v="0"/>
    <x v="0"/>
    <x v="0"/>
    <x v="11"/>
    <x v="11"/>
    <x v="2"/>
    <x v="2"/>
    <x v="2"/>
    <x v="21"/>
    <x v="21"/>
    <n v="20.5692385320977"/>
    <x v="0"/>
    <x v="0"/>
    <x v="1"/>
    <x v="4"/>
    <x v="5"/>
    <x v="10"/>
    <n v="22.420469999986494"/>
  </r>
  <r>
    <x v="10"/>
    <x v="0"/>
    <x v="10"/>
    <x v="10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10"/>
    <x v="0"/>
    <x v="10"/>
    <x v="10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10"/>
    <x v="0"/>
    <x v="10"/>
    <x v="10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10"/>
    <x v="0"/>
    <x v="10"/>
    <x v="10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10"/>
    <x v="0"/>
    <x v="10"/>
    <x v="10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10"/>
    <x v="0"/>
    <x v="10"/>
    <x v="10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10"/>
    <x v="0"/>
    <x v="10"/>
    <x v="10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10"/>
    <x v="0"/>
    <x v="10"/>
    <x v="10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10"/>
    <x v="0"/>
    <x v="10"/>
    <x v="10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10"/>
    <x v="0"/>
    <x v="10"/>
    <x v="10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10"/>
    <x v="0"/>
    <x v="10"/>
    <x v="10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10"/>
    <x v="0"/>
    <x v="10"/>
    <x v="10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10"/>
    <x v="0"/>
    <x v="10"/>
    <x v="10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10"/>
    <x v="0"/>
    <x v="10"/>
    <x v="10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10"/>
    <x v="0"/>
    <x v="10"/>
    <x v="10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10"/>
    <x v="0"/>
    <x v="10"/>
    <x v="10"/>
    <x v="1"/>
    <x v="6"/>
    <x v="0"/>
    <x v="0"/>
    <x v="3"/>
    <x v="3"/>
    <x v="12"/>
    <x v="12"/>
    <x v="3"/>
    <x v="7"/>
    <x v="7"/>
    <x v="40"/>
    <x v="40"/>
    <n v="181.13209000000001"/>
    <x v="1"/>
    <x v="2"/>
    <x v="5"/>
    <x v="7"/>
    <x v="11"/>
    <x v="22"/>
    <n v="197.43397810000002"/>
  </r>
  <r>
    <x v="10"/>
    <x v="0"/>
    <x v="10"/>
    <x v="10"/>
    <x v="1"/>
    <x v="6"/>
    <x v="0"/>
    <x v="0"/>
    <x v="3"/>
    <x v="3"/>
    <x v="12"/>
    <x v="12"/>
    <x v="1"/>
    <x v="8"/>
    <x v="8"/>
    <x v="40"/>
    <x v="40"/>
    <n v="82.918040000000005"/>
    <x v="1"/>
    <x v="2"/>
    <x v="5"/>
    <x v="7"/>
    <x v="11"/>
    <x v="22"/>
    <n v="90.380663600000005"/>
  </r>
  <r>
    <x v="10"/>
    <x v="0"/>
    <x v="10"/>
    <x v="10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10"/>
    <x v="0"/>
    <x v="10"/>
    <x v="10"/>
    <x v="1"/>
    <x v="6"/>
    <x v="0"/>
    <x v="0"/>
    <x v="3"/>
    <x v="3"/>
    <x v="12"/>
    <x v="12"/>
    <x v="2"/>
    <x v="10"/>
    <x v="10"/>
    <x v="40"/>
    <x v="40"/>
    <n v="17.974589999999999"/>
    <x v="1"/>
    <x v="2"/>
    <x v="5"/>
    <x v="7"/>
    <x v="11"/>
    <x v="22"/>
    <n v="19.592303100000002"/>
  </r>
  <r>
    <x v="10"/>
    <x v="0"/>
    <x v="10"/>
    <x v="10"/>
    <x v="1"/>
    <x v="6"/>
    <x v="0"/>
    <x v="0"/>
    <x v="3"/>
    <x v="3"/>
    <x v="12"/>
    <x v="12"/>
    <x v="4"/>
    <x v="5"/>
    <x v="5"/>
    <x v="41"/>
    <x v="41"/>
    <n v="21.873340425448799"/>
    <x v="1"/>
    <x v="2"/>
    <x v="5"/>
    <x v="7"/>
    <x v="11"/>
    <x v="22"/>
    <n v="23.841941063739192"/>
  </r>
  <r>
    <x v="10"/>
    <x v="0"/>
    <x v="10"/>
    <x v="10"/>
    <x v="1"/>
    <x v="6"/>
    <x v="0"/>
    <x v="0"/>
    <x v="3"/>
    <x v="3"/>
    <x v="12"/>
    <x v="12"/>
    <x v="4"/>
    <x v="5"/>
    <x v="5"/>
    <x v="40"/>
    <x v="40"/>
    <n v="237.52191999999999"/>
    <x v="1"/>
    <x v="2"/>
    <x v="5"/>
    <x v="7"/>
    <x v="11"/>
    <x v="22"/>
    <n v="258.8988928"/>
  </r>
  <r>
    <x v="10"/>
    <x v="0"/>
    <x v="10"/>
    <x v="10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10"/>
    <x v="0"/>
    <x v="10"/>
    <x v="10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10"/>
    <x v="0"/>
    <x v="10"/>
    <x v="10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10"/>
    <x v="0"/>
    <x v="10"/>
    <x v="10"/>
    <x v="1"/>
    <x v="6"/>
    <x v="0"/>
    <x v="0"/>
    <x v="3"/>
    <x v="3"/>
    <x v="13"/>
    <x v="13"/>
    <x v="2"/>
    <x v="2"/>
    <x v="2"/>
    <x v="40"/>
    <x v="40"/>
    <n v="2114.7563700000001"/>
    <x v="1"/>
    <x v="2"/>
    <x v="5"/>
    <x v="7"/>
    <x v="11"/>
    <x v="22"/>
    <n v="2305.0844433000002"/>
  </r>
  <r>
    <x v="10"/>
    <x v="0"/>
    <x v="10"/>
    <x v="10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10"/>
    <x v="0"/>
    <x v="10"/>
    <x v="10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10"/>
    <x v="0"/>
    <x v="10"/>
    <x v="10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10"/>
    <x v="0"/>
    <x v="10"/>
    <x v="10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10"/>
    <x v="0"/>
    <x v="10"/>
    <x v="10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10"/>
    <x v="0"/>
    <x v="10"/>
    <x v="10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10"/>
    <x v="0"/>
    <x v="10"/>
    <x v="10"/>
    <x v="1"/>
    <x v="6"/>
    <x v="0"/>
    <x v="0"/>
    <x v="3"/>
    <x v="3"/>
    <x v="19"/>
    <x v="19"/>
    <x v="3"/>
    <x v="7"/>
    <x v="7"/>
    <x v="40"/>
    <x v="40"/>
    <n v="6678.4062899999999"/>
    <x v="1"/>
    <x v="2"/>
    <x v="5"/>
    <x v="7"/>
    <x v="11"/>
    <x v="22"/>
    <n v="7279.4628561000009"/>
  </r>
  <r>
    <x v="10"/>
    <x v="0"/>
    <x v="10"/>
    <x v="10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10"/>
    <x v="0"/>
    <x v="10"/>
    <x v="10"/>
    <x v="1"/>
    <x v="6"/>
    <x v="0"/>
    <x v="0"/>
    <x v="3"/>
    <x v="3"/>
    <x v="19"/>
    <x v="19"/>
    <x v="1"/>
    <x v="8"/>
    <x v="8"/>
    <x v="40"/>
    <x v="40"/>
    <n v="2090.3256799999999"/>
    <x v="1"/>
    <x v="2"/>
    <x v="5"/>
    <x v="7"/>
    <x v="11"/>
    <x v="22"/>
    <n v="2278.4549912000002"/>
  </r>
  <r>
    <x v="10"/>
    <x v="0"/>
    <x v="10"/>
    <x v="10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10"/>
    <x v="0"/>
    <x v="10"/>
    <x v="10"/>
    <x v="1"/>
    <x v="6"/>
    <x v="0"/>
    <x v="0"/>
    <x v="3"/>
    <x v="3"/>
    <x v="19"/>
    <x v="19"/>
    <x v="2"/>
    <x v="10"/>
    <x v="10"/>
    <x v="40"/>
    <x v="40"/>
    <n v="891.26963999999998"/>
    <x v="1"/>
    <x v="2"/>
    <x v="5"/>
    <x v="7"/>
    <x v="11"/>
    <x v="22"/>
    <n v="971.48390760000007"/>
  </r>
  <r>
    <x v="10"/>
    <x v="0"/>
    <x v="10"/>
    <x v="10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10"/>
    <x v="0"/>
    <x v="10"/>
    <x v="10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10"/>
    <x v="0"/>
    <x v="10"/>
    <x v="10"/>
    <x v="1"/>
    <x v="6"/>
    <x v="0"/>
    <x v="0"/>
    <x v="3"/>
    <x v="3"/>
    <x v="19"/>
    <x v="19"/>
    <x v="4"/>
    <x v="5"/>
    <x v="5"/>
    <x v="40"/>
    <x v="40"/>
    <n v="9232.62075"/>
    <x v="1"/>
    <x v="2"/>
    <x v="5"/>
    <x v="7"/>
    <x v="11"/>
    <x v="22"/>
    <n v="10063.5566175"/>
  </r>
  <r>
    <x v="10"/>
    <x v="0"/>
    <x v="10"/>
    <x v="10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10"/>
    <x v="0"/>
    <x v="10"/>
    <x v="10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10"/>
    <x v="0"/>
    <x v="10"/>
    <x v="10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10"/>
    <x v="0"/>
    <x v="10"/>
    <x v="10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10"/>
    <x v="0"/>
    <x v="10"/>
    <x v="10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10"/>
    <x v="0"/>
    <x v="10"/>
    <x v="10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10"/>
    <x v="0"/>
    <x v="10"/>
    <x v="10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10"/>
    <x v="0"/>
    <x v="10"/>
    <x v="10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10"/>
    <x v="0"/>
    <x v="10"/>
    <x v="10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10"/>
    <x v="0"/>
    <x v="10"/>
    <x v="10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10"/>
    <x v="0"/>
    <x v="10"/>
    <x v="10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10"/>
    <x v="0"/>
    <x v="10"/>
    <x v="10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10"/>
    <x v="0"/>
    <x v="10"/>
    <x v="10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10"/>
    <x v="0"/>
    <x v="10"/>
    <x v="10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10"/>
    <x v="0"/>
    <x v="10"/>
    <x v="10"/>
    <x v="1"/>
    <x v="6"/>
    <x v="0"/>
    <x v="0"/>
    <x v="2"/>
    <x v="2"/>
    <x v="14"/>
    <x v="14"/>
    <x v="4"/>
    <x v="5"/>
    <x v="5"/>
    <x v="40"/>
    <x v="40"/>
    <n v="289.10766000000001"/>
    <x v="1"/>
    <x v="2"/>
    <x v="5"/>
    <x v="7"/>
    <x v="11"/>
    <x v="22"/>
    <n v="315.12734940000001"/>
  </r>
  <r>
    <x v="10"/>
    <x v="0"/>
    <x v="10"/>
    <x v="10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10"/>
    <x v="0"/>
    <x v="10"/>
    <x v="10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10"/>
    <x v="0"/>
    <x v="10"/>
    <x v="10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10"/>
    <x v="0"/>
    <x v="10"/>
    <x v="10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10"/>
    <x v="0"/>
    <x v="10"/>
    <x v="10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10"/>
    <x v="0"/>
    <x v="10"/>
    <x v="10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10"/>
    <x v="0"/>
    <x v="10"/>
    <x v="10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10"/>
    <x v="0"/>
    <x v="10"/>
    <x v="10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10"/>
    <x v="0"/>
    <x v="10"/>
    <x v="10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10"/>
    <x v="0"/>
    <x v="10"/>
    <x v="10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10"/>
    <x v="0"/>
    <x v="10"/>
    <x v="10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10"/>
    <x v="0"/>
    <x v="10"/>
    <x v="10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10"/>
    <x v="0"/>
    <x v="10"/>
    <x v="10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10"/>
    <x v="0"/>
    <x v="10"/>
    <x v="10"/>
    <x v="1"/>
    <x v="6"/>
    <x v="0"/>
    <x v="0"/>
    <x v="2"/>
    <x v="2"/>
    <x v="15"/>
    <x v="15"/>
    <x v="3"/>
    <x v="7"/>
    <x v="7"/>
    <x v="40"/>
    <x v="40"/>
    <n v="12.01599"/>
    <x v="1"/>
    <x v="2"/>
    <x v="5"/>
    <x v="7"/>
    <x v="11"/>
    <x v="22"/>
    <n v="13.097429100000001"/>
  </r>
  <r>
    <x v="10"/>
    <x v="0"/>
    <x v="10"/>
    <x v="10"/>
    <x v="1"/>
    <x v="6"/>
    <x v="0"/>
    <x v="0"/>
    <x v="2"/>
    <x v="2"/>
    <x v="15"/>
    <x v="15"/>
    <x v="1"/>
    <x v="8"/>
    <x v="8"/>
    <x v="40"/>
    <x v="40"/>
    <n v="25.54935"/>
    <x v="1"/>
    <x v="2"/>
    <x v="5"/>
    <x v="7"/>
    <x v="11"/>
    <x v="22"/>
    <n v="27.848791500000001"/>
  </r>
  <r>
    <x v="10"/>
    <x v="0"/>
    <x v="10"/>
    <x v="10"/>
    <x v="1"/>
    <x v="6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10"/>
    <x v="0"/>
    <x v="10"/>
    <x v="10"/>
    <x v="1"/>
    <x v="6"/>
    <x v="0"/>
    <x v="0"/>
    <x v="2"/>
    <x v="2"/>
    <x v="15"/>
    <x v="15"/>
    <x v="4"/>
    <x v="5"/>
    <x v="5"/>
    <x v="40"/>
    <x v="40"/>
    <n v="285.21755000000002"/>
    <x v="1"/>
    <x v="2"/>
    <x v="5"/>
    <x v="7"/>
    <x v="11"/>
    <x v="22"/>
    <n v="310.88712950000001"/>
  </r>
  <r>
    <x v="10"/>
    <x v="0"/>
    <x v="10"/>
    <x v="10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10"/>
    <x v="0"/>
    <x v="10"/>
    <x v="10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10"/>
    <x v="0"/>
    <x v="10"/>
    <x v="10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10"/>
    <x v="0"/>
    <x v="10"/>
    <x v="10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10"/>
    <x v="0"/>
    <x v="10"/>
    <x v="10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10"/>
    <x v="0"/>
    <x v="10"/>
    <x v="10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10"/>
    <x v="0"/>
    <x v="10"/>
    <x v="10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10"/>
    <x v="0"/>
    <x v="10"/>
    <x v="10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10"/>
    <x v="0"/>
    <x v="10"/>
    <x v="10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10"/>
    <x v="0"/>
    <x v="10"/>
    <x v="10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10"/>
    <x v="0"/>
    <x v="10"/>
    <x v="10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10"/>
    <x v="0"/>
    <x v="10"/>
    <x v="10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10"/>
    <x v="0"/>
    <x v="10"/>
    <x v="10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10"/>
    <x v="0"/>
    <x v="10"/>
    <x v="10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10"/>
    <x v="0"/>
    <x v="10"/>
    <x v="10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10"/>
    <x v="0"/>
    <x v="10"/>
    <x v="10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10"/>
    <x v="0"/>
    <x v="10"/>
    <x v="10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10"/>
    <x v="0"/>
    <x v="10"/>
    <x v="10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10"/>
    <x v="0"/>
    <x v="10"/>
    <x v="10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10"/>
    <x v="0"/>
    <x v="10"/>
    <x v="10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10"/>
    <x v="0"/>
    <x v="10"/>
    <x v="10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10"/>
    <x v="0"/>
    <x v="10"/>
    <x v="10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10"/>
    <x v="0"/>
    <x v="10"/>
    <x v="10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10"/>
    <x v="0"/>
    <x v="10"/>
    <x v="10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10"/>
    <x v="0"/>
    <x v="10"/>
    <x v="10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10"/>
    <x v="0"/>
    <x v="10"/>
    <x v="10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10"/>
    <x v="0"/>
    <x v="10"/>
    <x v="10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10"/>
    <x v="0"/>
    <x v="10"/>
    <x v="10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10"/>
    <x v="0"/>
    <x v="10"/>
    <x v="10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10"/>
    <x v="0"/>
    <x v="10"/>
    <x v="10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10"/>
    <x v="0"/>
    <x v="10"/>
    <x v="10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10"/>
    <x v="0"/>
    <x v="10"/>
    <x v="10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10"/>
    <x v="0"/>
    <x v="10"/>
    <x v="10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10"/>
    <x v="0"/>
    <x v="10"/>
    <x v="10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10"/>
    <x v="0"/>
    <x v="10"/>
    <x v="10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10"/>
    <x v="0"/>
    <x v="10"/>
    <x v="10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10"/>
    <x v="0"/>
    <x v="10"/>
    <x v="10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10"/>
    <x v="0"/>
    <x v="10"/>
    <x v="10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10"/>
    <x v="0"/>
    <x v="10"/>
    <x v="10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10"/>
    <x v="0"/>
    <x v="10"/>
    <x v="10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10"/>
    <x v="0"/>
    <x v="10"/>
    <x v="10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10"/>
    <x v="0"/>
    <x v="10"/>
    <x v="10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10"/>
    <x v="0"/>
    <x v="10"/>
    <x v="10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10"/>
    <x v="0"/>
    <x v="10"/>
    <x v="10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10"/>
    <x v="0"/>
    <x v="10"/>
    <x v="10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10"/>
    <x v="0"/>
    <x v="10"/>
    <x v="10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10"/>
    <x v="0"/>
    <x v="10"/>
    <x v="10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685.0067584000003"/>
  </r>
  <r>
    <x v="10"/>
    <x v="0"/>
    <x v="10"/>
    <x v="10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10"/>
    <x v="0"/>
    <x v="10"/>
    <x v="10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388.16235250000005"/>
  </r>
  <r>
    <x v="10"/>
    <x v="0"/>
    <x v="10"/>
    <x v="10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10"/>
    <x v="0"/>
    <x v="10"/>
    <x v="10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10"/>
    <x v="0"/>
    <x v="10"/>
    <x v="10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10"/>
    <x v="0"/>
    <x v="10"/>
    <x v="10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10"/>
    <x v="0"/>
    <x v="10"/>
    <x v="10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65.08520960000004"/>
  </r>
  <r>
    <x v="10"/>
    <x v="0"/>
    <x v="10"/>
    <x v="10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10"/>
    <x v="0"/>
    <x v="10"/>
    <x v="10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10"/>
    <x v="0"/>
    <x v="10"/>
    <x v="10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10"/>
    <x v="0"/>
    <x v="10"/>
    <x v="10"/>
    <x v="1"/>
    <x v="6"/>
    <x v="0"/>
    <x v="0"/>
    <x v="2"/>
    <x v="2"/>
    <x v="17"/>
    <x v="17"/>
    <x v="4"/>
    <x v="5"/>
    <x v="5"/>
    <x v="41"/>
    <x v="41"/>
    <n v="222.33386170128301"/>
    <x v="1"/>
    <x v="2"/>
    <x v="5"/>
    <x v="7"/>
    <x v="11"/>
    <x v="22"/>
    <n v="242.34390925439851"/>
  </r>
  <r>
    <x v="10"/>
    <x v="0"/>
    <x v="10"/>
    <x v="10"/>
    <x v="1"/>
    <x v="6"/>
    <x v="0"/>
    <x v="0"/>
    <x v="2"/>
    <x v="2"/>
    <x v="17"/>
    <x v="17"/>
    <x v="4"/>
    <x v="5"/>
    <x v="5"/>
    <x v="40"/>
    <x v="40"/>
    <n v="2931.3943800000002"/>
    <x v="1"/>
    <x v="2"/>
    <x v="5"/>
    <x v="7"/>
    <x v="11"/>
    <x v="22"/>
    <n v="3195.2198742000005"/>
  </r>
  <r>
    <x v="10"/>
    <x v="0"/>
    <x v="10"/>
    <x v="10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10"/>
    <x v="0"/>
    <x v="10"/>
    <x v="10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10"/>
    <x v="0"/>
    <x v="10"/>
    <x v="10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10"/>
    <x v="0"/>
    <x v="10"/>
    <x v="10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10"/>
    <x v="0"/>
    <x v="10"/>
    <x v="10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10"/>
    <x v="0"/>
    <x v="10"/>
    <x v="10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10"/>
    <x v="0"/>
    <x v="10"/>
    <x v="10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10"/>
    <x v="0"/>
    <x v="10"/>
    <x v="10"/>
    <x v="1"/>
    <x v="7"/>
    <x v="0"/>
    <x v="0"/>
    <x v="0"/>
    <x v="0"/>
    <x v="0"/>
    <x v="0"/>
    <x v="3"/>
    <x v="3"/>
    <x v="3"/>
    <x v="11"/>
    <x v="11"/>
    <n v="245.88717"/>
    <x v="0"/>
    <x v="0"/>
    <x v="3"/>
    <x v="5"/>
    <x v="7"/>
    <x v="11"/>
    <n v="268.01701530000003"/>
  </r>
  <r>
    <x v="10"/>
    <x v="0"/>
    <x v="10"/>
    <x v="10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10"/>
    <x v="0"/>
    <x v="10"/>
    <x v="10"/>
    <x v="1"/>
    <x v="7"/>
    <x v="0"/>
    <x v="0"/>
    <x v="0"/>
    <x v="0"/>
    <x v="0"/>
    <x v="0"/>
    <x v="0"/>
    <x v="4"/>
    <x v="4"/>
    <x v="11"/>
    <x v="11"/>
    <n v="181.3638"/>
    <x v="0"/>
    <x v="0"/>
    <x v="3"/>
    <x v="5"/>
    <x v="7"/>
    <x v="11"/>
    <n v="197.686542"/>
  </r>
  <r>
    <x v="10"/>
    <x v="0"/>
    <x v="10"/>
    <x v="10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48.178000000000004"/>
  </r>
  <r>
    <x v="10"/>
    <x v="0"/>
    <x v="10"/>
    <x v="10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10"/>
    <x v="0"/>
    <x v="10"/>
    <x v="10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10"/>
    <x v="0"/>
    <x v="10"/>
    <x v="10"/>
    <x v="1"/>
    <x v="7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10"/>
    <x v="0"/>
    <x v="10"/>
    <x v="10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10"/>
    <x v="0"/>
    <x v="10"/>
    <x v="10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10"/>
    <x v="0"/>
    <x v="10"/>
    <x v="10"/>
    <x v="1"/>
    <x v="7"/>
    <x v="0"/>
    <x v="0"/>
    <x v="0"/>
    <x v="0"/>
    <x v="0"/>
    <x v="0"/>
    <x v="2"/>
    <x v="2"/>
    <x v="2"/>
    <x v="10"/>
    <x v="10"/>
    <n v="2.9550458715578598"/>
    <x v="0"/>
    <x v="0"/>
    <x v="1"/>
    <x v="4"/>
    <x v="5"/>
    <x v="10"/>
    <n v="3.2209999999980674"/>
  </r>
  <r>
    <x v="10"/>
    <x v="0"/>
    <x v="10"/>
    <x v="10"/>
    <x v="1"/>
    <x v="7"/>
    <x v="0"/>
    <x v="0"/>
    <x v="0"/>
    <x v="0"/>
    <x v="0"/>
    <x v="0"/>
    <x v="2"/>
    <x v="2"/>
    <x v="2"/>
    <x v="11"/>
    <x v="11"/>
    <n v="127.14171"/>
    <x v="0"/>
    <x v="0"/>
    <x v="3"/>
    <x v="5"/>
    <x v="7"/>
    <x v="11"/>
    <n v="138.5844639"/>
  </r>
  <r>
    <x v="10"/>
    <x v="0"/>
    <x v="10"/>
    <x v="10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10"/>
    <x v="0"/>
    <x v="10"/>
    <x v="10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0.31324"/>
  </r>
  <r>
    <x v="10"/>
    <x v="0"/>
    <x v="10"/>
    <x v="10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10"/>
    <x v="0"/>
    <x v="10"/>
    <x v="10"/>
    <x v="1"/>
    <x v="7"/>
    <x v="0"/>
    <x v="0"/>
    <x v="0"/>
    <x v="0"/>
    <x v="0"/>
    <x v="0"/>
    <x v="2"/>
    <x v="2"/>
    <x v="2"/>
    <x v="18"/>
    <x v="18"/>
    <n v="24.518999999999998"/>
    <x v="0"/>
    <x v="0"/>
    <x v="0"/>
    <x v="0"/>
    <x v="4"/>
    <x v="18"/>
    <n v="26.725709999999999"/>
  </r>
  <r>
    <x v="10"/>
    <x v="0"/>
    <x v="10"/>
    <x v="10"/>
    <x v="1"/>
    <x v="7"/>
    <x v="0"/>
    <x v="0"/>
    <x v="0"/>
    <x v="0"/>
    <x v="0"/>
    <x v="0"/>
    <x v="2"/>
    <x v="2"/>
    <x v="2"/>
    <x v="26"/>
    <x v="26"/>
    <n v="347.70642201814002"/>
    <x v="0"/>
    <x v="0"/>
    <x v="1"/>
    <x v="3"/>
    <x v="3"/>
    <x v="15"/>
    <n v="378.99999999977263"/>
  </r>
  <r>
    <x v="10"/>
    <x v="0"/>
    <x v="10"/>
    <x v="10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10"/>
    <x v="0"/>
    <x v="10"/>
    <x v="10"/>
    <x v="1"/>
    <x v="7"/>
    <x v="0"/>
    <x v="0"/>
    <x v="0"/>
    <x v="0"/>
    <x v="0"/>
    <x v="0"/>
    <x v="1"/>
    <x v="6"/>
    <x v="6"/>
    <x v="11"/>
    <x v="11"/>
    <n v="22.621849999999998"/>
    <x v="0"/>
    <x v="0"/>
    <x v="3"/>
    <x v="5"/>
    <x v="7"/>
    <x v="11"/>
    <n v="24.657816499999999"/>
  </r>
  <r>
    <x v="10"/>
    <x v="0"/>
    <x v="10"/>
    <x v="10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28.256070000000001"/>
  </r>
  <r>
    <x v="10"/>
    <x v="0"/>
    <x v="10"/>
    <x v="10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10"/>
    <x v="0"/>
    <x v="10"/>
    <x v="10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10"/>
    <x v="0"/>
    <x v="10"/>
    <x v="10"/>
    <x v="1"/>
    <x v="7"/>
    <x v="0"/>
    <x v="0"/>
    <x v="0"/>
    <x v="0"/>
    <x v="0"/>
    <x v="0"/>
    <x v="1"/>
    <x v="1"/>
    <x v="1"/>
    <x v="11"/>
    <x v="11"/>
    <n v="5.3607500000000003"/>
    <x v="0"/>
    <x v="0"/>
    <x v="3"/>
    <x v="5"/>
    <x v="7"/>
    <x v="11"/>
    <n v="5.8432175000000006"/>
  </r>
  <r>
    <x v="10"/>
    <x v="0"/>
    <x v="10"/>
    <x v="10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11"/>
    <x v="0"/>
    <x v="11"/>
    <x v="11"/>
    <x v="0"/>
    <x v="0"/>
    <x v="0"/>
    <x v="0"/>
    <x v="0"/>
    <x v="0"/>
    <x v="2"/>
    <x v="2"/>
    <x v="2"/>
    <x v="2"/>
    <x v="2"/>
    <x v="2"/>
    <x v="2"/>
    <n v="2.6788990825700001E-3"/>
    <x v="0"/>
    <x v="1"/>
    <x v="2"/>
    <x v="2"/>
    <x v="13"/>
    <x v="2"/>
    <n v="2.9200000000013005E-3"/>
  </r>
  <r>
    <x v="11"/>
    <x v="0"/>
    <x v="11"/>
    <x v="11"/>
    <x v="0"/>
    <x v="0"/>
    <x v="0"/>
    <x v="0"/>
    <x v="0"/>
    <x v="0"/>
    <x v="2"/>
    <x v="2"/>
    <x v="4"/>
    <x v="5"/>
    <x v="5"/>
    <x v="18"/>
    <x v="18"/>
    <n v="0.39095999999999997"/>
    <x v="0"/>
    <x v="0"/>
    <x v="0"/>
    <x v="0"/>
    <x v="4"/>
    <x v="18"/>
    <n v="0.42614639999999998"/>
  </r>
  <r>
    <x v="11"/>
    <x v="0"/>
    <x v="11"/>
    <x v="11"/>
    <x v="0"/>
    <x v="0"/>
    <x v="0"/>
    <x v="0"/>
    <x v="0"/>
    <x v="0"/>
    <x v="0"/>
    <x v="0"/>
    <x v="3"/>
    <x v="3"/>
    <x v="3"/>
    <x v="11"/>
    <x v="11"/>
    <n v="0.42688999999999999"/>
    <x v="0"/>
    <x v="0"/>
    <x v="3"/>
    <x v="5"/>
    <x v="7"/>
    <x v="11"/>
    <n v="0.4653101"/>
  </r>
  <r>
    <x v="11"/>
    <x v="0"/>
    <x v="11"/>
    <x v="11"/>
    <x v="0"/>
    <x v="0"/>
    <x v="0"/>
    <x v="0"/>
    <x v="0"/>
    <x v="0"/>
    <x v="0"/>
    <x v="0"/>
    <x v="3"/>
    <x v="3"/>
    <x v="3"/>
    <x v="26"/>
    <x v="26"/>
    <n v="0.52660550458683997"/>
    <x v="0"/>
    <x v="0"/>
    <x v="1"/>
    <x v="3"/>
    <x v="3"/>
    <x v="15"/>
    <n v="0.57399999999965556"/>
  </r>
  <r>
    <x v="11"/>
    <x v="0"/>
    <x v="11"/>
    <x v="11"/>
    <x v="0"/>
    <x v="0"/>
    <x v="0"/>
    <x v="0"/>
    <x v="0"/>
    <x v="0"/>
    <x v="0"/>
    <x v="0"/>
    <x v="3"/>
    <x v="3"/>
    <x v="3"/>
    <x v="2"/>
    <x v="2"/>
    <n v="690.78680733903502"/>
    <x v="0"/>
    <x v="1"/>
    <x v="2"/>
    <x v="2"/>
    <x v="13"/>
    <x v="2"/>
    <n v="752.95761999954823"/>
  </r>
  <r>
    <x v="11"/>
    <x v="0"/>
    <x v="11"/>
    <x v="11"/>
    <x v="0"/>
    <x v="0"/>
    <x v="0"/>
    <x v="0"/>
    <x v="0"/>
    <x v="0"/>
    <x v="0"/>
    <x v="0"/>
    <x v="3"/>
    <x v="12"/>
    <x v="3"/>
    <x v="8"/>
    <x v="8"/>
    <n v="2645.1941621790902"/>
    <x v="0"/>
    <x v="1"/>
    <x v="2"/>
    <x v="2"/>
    <x v="6"/>
    <x v="8"/>
    <n v="2883.2616367752084"/>
  </r>
  <r>
    <x v="11"/>
    <x v="0"/>
    <x v="11"/>
    <x v="11"/>
    <x v="0"/>
    <x v="0"/>
    <x v="0"/>
    <x v="0"/>
    <x v="0"/>
    <x v="0"/>
    <x v="0"/>
    <x v="0"/>
    <x v="3"/>
    <x v="12"/>
    <x v="3"/>
    <x v="12"/>
    <x v="12"/>
    <n v="31.943127906855398"/>
    <x v="0"/>
    <x v="0"/>
    <x v="0"/>
    <x v="0"/>
    <x v="8"/>
    <x v="12"/>
    <n v="34.818009418472386"/>
  </r>
  <r>
    <x v="11"/>
    <x v="0"/>
    <x v="11"/>
    <x v="11"/>
    <x v="0"/>
    <x v="0"/>
    <x v="0"/>
    <x v="0"/>
    <x v="0"/>
    <x v="0"/>
    <x v="0"/>
    <x v="0"/>
    <x v="3"/>
    <x v="12"/>
    <x v="3"/>
    <x v="2"/>
    <x v="2"/>
    <n v="87.928412843983907"/>
    <x v="0"/>
    <x v="1"/>
    <x v="2"/>
    <x v="2"/>
    <x v="13"/>
    <x v="2"/>
    <n v="95.841969999942464"/>
  </r>
  <r>
    <x v="11"/>
    <x v="0"/>
    <x v="11"/>
    <x v="11"/>
    <x v="0"/>
    <x v="0"/>
    <x v="0"/>
    <x v="0"/>
    <x v="0"/>
    <x v="0"/>
    <x v="0"/>
    <x v="0"/>
    <x v="0"/>
    <x v="4"/>
    <x v="4"/>
    <x v="8"/>
    <x v="8"/>
    <n v="36.9175202705065"/>
    <x v="0"/>
    <x v="1"/>
    <x v="2"/>
    <x v="2"/>
    <x v="6"/>
    <x v="8"/>
    <n v="40.240097094852089"/>
  </r>
  <r>
    <x v="11"/>
    <x v="0"/>
    <x v="11"/>
    <x v="11"/>
    <x v="0"/>
    <x v="0"/>
    <x v="0"/>
    <x v="0"/>
    <x v="0"/>
    <x v="0"/>
    <x v="0"/>
    <x v="0"/>
    <x v="0"/>
    <x v="4"/>
    <x v="4"/>
    <x v="12"/>
    <x v="12"/>
    <n v="7.8274418604353704"/>
    <x v="0"/>
    <x v="0"/>
    <x v="0"/>
    <x v="0"/>
    <x v="8"/>
    <x v="12"/>
    <n v="8.531911627874555"/>
  </r>
  <r>
    <x v="11"/>
    <x v="0"/>
    <x v="11"/>
    <x v="11"/>
    <x v="0"/>
    <x v="0"/>
    <x v="0"/>
    <x v="0"/>
    <x v="0"/>
    <x v="0"/>
    <x v="0"/>
    <x v="0"/>
    <x v="0"/>
    <x v="4"/>
    <x v="4"/>
    <x v="32"/>
    <x v="32"/>
    <n v="13.439716311752999"/>
    <x v="0"/>
    <x v="0"/>
    <x v="1"/>
    <x v="1"/>
    <x v="1"/>
    <x v="20"/>
    <n v="14.649290779810769"/>
  </r>
  <r>
    <x v="11"/>
    <x v="0"/>
    <x v="11"/>
    <x v="11"/>
    <x v="0"/>
    <x v="0"/>
    <x v="0"/>
    <x v="0"/>
    <x v="0"/>
    <x v="0"/>
    <x v="0"/>
    <x v="0"/>
    <x v="0"/>
    <x v="4"/>
    <x v="4"/>
    <x v="2"/>
    <x v="2"/>
    <n v="139.89384403661299"/>
    <x v="0"/>
    <x v="1"/>
    <x v="2"/>
    <x v="2"/>
    <x v="13"/>
    <x v="2"/>
    <n v="152.48428999990816"/>
  </r>
  <r>
    <x v="11"/>
    <x v="0"/>
    <x v="11"/>
    <x v="11"/>
    <x v="0"/>
    <x v="0"/>
    <x v="0"/>
    <x v="0"/>
    <x v="0"/>
    <x v="0"/>
    <x v="0"/>
    <x v="0"/>
    <x v="0"/>
    <x v="0"/>
    <x v="0"/>
    <x v="5"/>
    <x v="5"/>
    <n v="1.31237423313881"/>
    <x v="0"/>
    <x v="0"/>
    <x v="1"/>
    <x v="1"/>
    <x v="1"/>
    <x v="5"/>
    <n v="1.4304879141213029"/>
  </r>
  <r>
    <x v="11"/>
    <x v="0"/>
    <x v="11"/>
    <x v="11"/>
    <x v="0"/>
    <x v="0"/>
    <x v="0"/>
    <x v="0"/>
    <x v="0"/>
    <x v="0"/>
    <x v="0"/>
    <x v="0"/>
    <x v="0"/>
    <x v="0"/>
    <x v="0"/>
    <x v="6"/>
    <x v="6"/>
    <n v="6.4387499999999998"/>
    <x v="0"/>
    <x v="0"/>
    <x v="0"/>
    <x v="0"/>
    <x v="4"/>
    <x v="6"/>
    <n v="7.0182375000000006"/>
  </r>
  <r>
    <x v="11"/>
    <x v="0"/>
    <x v="11"/>
    <x v="11"/>
    <x v="0"/>
    <x v="0"/>
    <x v="0"/>
    <x v="0"/>
    <x v="0"/>
    <x v="0"/>
    <x v="0"/>
    <x v="0"/>
    <x v="0"/>
    <x v="0"/>
    <x v="0"/>
    <x v="7"/>
    <x v="7"/>
    <n v="0.84562385321050004"/>
    <x v="0"/>
    <x v="0"/>
    <x v="1"/>
    <x v="4"/>
    <x v="5"/>
    <x v="7"/>
    <n v="0.92172999999944516"/>
  </r>
  <r>
    <x v="11"/>
    <x v="0"/>
    <x v="11"/>
    <x v="11"/>
    <x v="0"/>
    <x v="0"/>
    <x v="0"/>
    <x v="0"/>
    <x v="0"/>
    <x v="0"/>
    <x v="0"/>
    <x v="0"/>
    <x v="0"/>
    <x v="0"/>
    <x v="0"/>
    <x v="8"/>
    <x v="8"/>
    <n v="3777.6334324566101"/>
    <x v="0"/>
    <x v="1"/>
    <x v="2"/>
    <x v="2"/>
    <x v="6"/>
    <x v="8"/>
    <n v="4117.620441377705"/>
  </r>
  <r>
    <x v="11"/>
    <x v="0"/>
    <x v="11"/>
    <x v="11"/>
    <x v="0"/>
    <x v="0"/>
    <x v="0"/>
    <x v="0"/>
    <x v="0"/>
    <x v="0"/>
    <x v="0"/>
    <x v="0"/>
    <x v="0"/>
    <x v="0"/>
    <x v="0"/>
    <x v="9"/>
    <x v="9"/>
    <n v="3.3307529487594301"/>
    <x v="0"/>
    <x v="0"/>
    <x v="1"/>
    <x v="4"/>
    <x v="5"/>
    <x v="9"/>
    <n v="3.6305207141477789"/>
  </r>
  <r>
    <x v="11"/>
    <x v="0"/>
    <x v="11"/>
    <x v="11"/>
    <x v="0"/>
    <x v="0"/>
    <x v="0"/>
    <x v="0"/>
    <x v="0"/>
    <x v="0"/>
    <x v="0"/>
    <x v="0"/>
    <x v="0"/>
    <x v="0"/>
    <x v="0"/>
    <x v="10"/>
    <x v="10"/>
    <n v="7.3203934923129603"/>
    <x v="0"/>
    <x v="0"/>
    <x v="1"/>
    <x v="4"/>
    <x v="5"/>
    <x v="10"/>
    <n v="7.9792289066211275"/>
  </r>
  <r>
    <x v="11"/>
    <x v="0"/>
    <x v="11"/>
    <x v="11"/>
    <x v="0"/>
    <x v="0"/>
    <x v="0"/>
    <x v="0"/>
    <x v="0"/>
    <x v="0"/>
    <x v="0"/>
    <x v="0"/>
    <x v="0"/>
    <x v="0"/>
    <x v="0"/>
    <x v="55"/>
    <x v="55"/>
    <n v="5.6339449541250003E-2"/>
    <x v="0"/>
    <x v="0"/>
    <x v="1"/>
    <x v="3"/>
    <x v="3"/>
    <x v="15"/>
    <n v="6.1409999999962508E-2"/>
  </r>
  <r>
    <x v="11"/>
    <x v="0"/>
    <x v="11"/>
    <x v="11"/>
    <x v="0"/>
    <x v="0"/>
    <x v="0"/>
    <x v="0"/>
    <x v="0"/>
    <x v="0"/>
    <x v="0"/>
    <x v="0"/>
    <x v="0"/>
    <x v="0"/>
    <x v="0"/>
    <x v="11"/>
    <x v="11"/>
    <n v="0.99260000000000004"/>
    <x v="0"/>
    <x v="0"/>
    <x v="3"/>
    <x v="5"/>
    <x v="7"/>
    <x v="11"/>
    <n v="1.0819340000000002"/>
  </r>
  <r>
    <x v="11"/>
    <x v="0"/>
    <x v="11"/>
    <x v="11"/>
    <x v="0"/>
    <x v="0"/>
    <x v="0"/>
    <x v="0"/>
    <x v="0"/>
    <x v="0"/>
    <x v="0"/>
    <x v="0"/>
    <x v="0"/>
    <x v="0"/>
    <x v="0"/>
    <x v="12"/>
    <x v="12"/>
    <n v="25.115290697578999"/>
    <x v="0"/>
    <x v="0"/>
    <x v="0"/>
    <x v="0"/>
    <x v="8"/>
    <x v="12"/>
    <n v="27.375666860361111"/>
  </r>
  <r>
    <x v="11"/>
    <x v="0"/>
    <x v="11"/>
    <x v="11"/>
    <x v="0"/>
    <x v="0"/>
    <x v="0"/>
    <x v="0"/>
    <x v="0"/>
    <x v="0"/>
    <x v="0"/>
    <x v="0"/>
    <x v="0"/>
    <x v="0"/>
    <x v="0"/>
    <x v="13"/>
    <x v="13"/>
    <n v="0.47156999999999999"/>
    <x v="0"/>
    <x v="0"/>
    <x v="1"/>
    <x v="3"/>
    <x v="3"/>
    <x v="13"/>
    <n v="0.51401130000000006"/>
  </r>
  <r>
    <x v="11"/>
    <x v="0"/>
    <x v="11"/>
    <x v="11"/>
    <x v="0"/>
    <x v="0"/>
    <x v="0"/>
    <x v="0"/>
    <x v="0"/>
    <x v="0"/>
    <x v="0"/>
    <x v="0"/>
    <x v="0"/>
    <x v="0"/>
    <x v="0"/>
    <x v="14"/>
    <x v="14"/>
    <n v="7.8717600000000001"/>
    <x v="0"/>
    <x v="0"/>
    <x v="0"/>
    <x v="0"/>
    <x v="8"/>
    <x v="14"/>
    <n v="8.5802184000000015"/>
  </r>
  <r>
    <x v="11"/>
    <x v="0"/>
    <x v="11"/>
    <x v="11"/>
    <x v="0"/>
    <x v="0"/>
    <x v="0"/>
    <x v="0"/>
    <x v="0"/>
    <x v="0"/>
    <x v="0"/>
    <x v="0"/>
    <x v="0"/>
    <x v="0"/>
    <x v="0"/>
    <x v="22"/>
    <x v="22"/>
    <n v="0.41703629032091"/>
    <x v="0"/>
    <x v="0"/>
    <x v="0"/>
    <x v="0"/>
    <x v="0"/>
    <x v="0"/>
    <n v="0.45456955644979191"/>
  </r>
  <r>
    <x v="11"/>
    <x v="0"/>
    <x v="11"/>
    <x v="11"/>
    <x v="0"/>
    <x v="0"/>
    <x v="0"/>
    <x v="0"/>
    <x v="0"/>
    <x v="0"/>
    <x v="0"/>
    <x v="0"/>
    <x v="0"/>
    <x v="0"/>
    <x v="0"/>
    <x v="23"/>
    <x v="23"/>
    <n v="0.183486238532"/>
    <x v="0"/>
    <x v="0"/>
    <x v="1"/>
    <x v="3"/>
    <x v="3"/>
    <x v="15"/>
    <n v="0.19999999999988"/>
  </r>
  <r>
    <x v="11"/>
    <x v="0"/>
    <x v="11"/>
    <x v="11"/>
    <x v="0"/>
    <x v="0"/>
    <x v="0"/>
    <x v="0"/>
    <x v="0"/>
    <x v="0"/>
    <x v="0"/>
    <x v="0"/>
    <x v="0"/>
    <x v="0"/>
    <x v="0"/>
    <x v="24"/>
    <x v="24"/>
    <n v="0.28570642201817997"/>
    <x v="0"/>
    <x v="0"/>
    <x v="1"/>
    <x v="3"/>
    <x v="3"/>
    <x v="4"/>
    <n v="0.31141999999981618"/>
  </r>
  <r>
    <x v="11"/>
    <x v="0"/>
    <x v="11"/>
    <x v="11"/>
    <x v="0"/>
    <x v="0"/>
    <x v="0"/>
    <x v="0"/>
    <x v="0"/>
    <x v="0"/>
    <x v="0"/>
    <x v="0"/>
    <x v="0"/>
    <x v="0"/>
    <x v="0"/>
    <x v="17"/>
    <x v="17"/>
    <n v="0.23128000000000001"/>
    <x v="0"/>
    <x v="0"/>
    <x v="0"/>
    <x v="0"/>
    <x v="4"/>
    <x v="17"/>
    <n v="0.25209520000000002"/>
  </r>
  <r>
    <x v="11"/>
    <x v="0"/>
    <x v="11"/>
    <x v="11"/>
    <x v="0"/>
    <x v="0"/>
    <x v="0"/>
    <x v="0"/>
    <x v="0"/>
    <x v="0"/>
    <x v="0"/>
    <x v="0"/>
    <x v="0"/>
    <x v="0"/>
    <x v="0"/>
    <x v="21"/>
    <x v="21"/>
    <n v="1.34099082568727"/>
    <x v="0"/>
    <x v="0"/>
    <x v="1"/>
    <x v="4"/>
    <x v="5"/>
    <x v="10"/>
    <n v="1.4616799999991243"/>
  </r>
  <r>
    <x v="11"/>
    <x v="0"/>
    <x v="11"/>
    <x v="11"/>
    <x v="0"/>
    <x v="0"/>
    <x v="0"/>
    <x v="0"/>
    <x v="0"/>
    <x v="0"/>
    <x v="0"/>
    <x v="0"/>
    <x v="0"/>
    <x v="0"/>
    <x v="0"/>
    <x v="18"/>
    <x v="18"/>
    <n v="2.1610499999999999"/>
    <x v="0"/>
    <x v="0"/>
    <x v="0"/>
    <x v="0"/>
    <x v="4"/>
    <x v="18"/>
    <n v="2.3555445000000002"/>
  </r>
  <r>
    <x v="11"/>
    <x v="0"/>
    <x v="11"/>
    <x v="11"/>
    <x v="0"/>
    <x v="0"/>
    <x v="0"/>
    <x v="0"/>
    <x v="0"/>
    <x v="0"/>
    <x v="0"/>
    <x v="0"/>
    <x v="0"/>
    <x v="0"/>
    <x v="0"/>
    <x v="79"/>
    <x v="79"/>
    <n v="5.0688073394469998E-2"/>
    <x v="0"/>
    <x v="0"/>
    <x v="1"/>
    <x v="4"/>
    <x v="5"/>
    <x v="10"/>
    <n v="5.52499999999723E-2"/>
  </r>
  <r>
    <x v="11"/>
    <x v="0"/>
    <x v="11"/>
    <x v="11"/>
    <x v="0"/>
    <x v="0"/>
    <x v="0"/>
    <x v="0"/>
    <x v="0"/>
    <x v="0"/>
    <x v="0"/>
    <x v="0"/>
    <x v="0"/>
    <x v="0"/>
    <x v="0"/>
    <x v="25"/>
    <x v="25"/>
    <n v="3.6916330275207199"/>
    <x v="0"/>
    <x v="0"/>
    <x v="1"/>
    <x v="4"/>
    <x v="5"/>
    <x v="9"/>
    <n v="4.0238799999975852"/>
  </r>
  <r>
    <x v="11"/>
    <x v="0"/>
    <x v="11"/>
    <x v="11"/>
    <x v="0"/>
    <x v="0"/>
    <x v="0"/>
    <x v="0"/>
    <x v="0"/>
    <x v="0"/>
    <x v="0"/>
    <x v="0"/>
    <x v="0"/>
    <x v="0"/>
    <x v="0"/>
    <x v="27"/>
    <x v="27"/>
    <n v="0.75172972974566998"/>
    <x v="0"/>
    <x v="0"/>
    <x v="1"/>
    <x v="3"/>
    <x v="3"/>
    <x v="19"/>
    <n v="0.81938540542278038"/>
  </r>
  <r>
    <x v="11"/>
    <x v="0"/>
    <x v="11"/>
    <x v="11"/>
    <x v="0"/>
    <x v="0"/>
    <x v="0"/>
    <x v="0"/>
    <x v="0"/>
    <x v="0"/>
    <x v="0"/>
    <x v="0"/>
    <x v="0"/>
    <x v="0"/>
    <x v="0"/>
    <x v="78"/>
    <x v="78"/>
    <n v="0.73075229357754001"/>
    <x v="0"/>
    <x v="0"/>
    <x v="1"/>
    <x v="4"/>
    <x v="5"/>
    <x v="9"/>
    <n v="0.79651999999951872"/>
  </r>
  <r>
    <x v="11"/>
    <x v="0"/>
    <x v="11"/>
    <x v="11"/>
    <x v="0"/>
    <x v="0"/>
    <x v="0"/>
    <x v="0"/>
    <x v="0"/>
    <x v="0"/>
    <x v="0"/>
    <x v="0"/>
    <x v="0"/>
    <x v="0"/>
    <x v="0"/>
    <x v="26"/>
    <x v="26"/>
    <n v="2.1100366972464402"/>
    <x v="0"/>
    <x v="0"/>
    <x v="1"/>
    <x v="3"/>
    <x v="3"/>
    <x v="15"/>
    <n v="2.2999399999986201"/>
  </r>
  <r>
    <x v="11"/>
    <x v="0"/>
    <x v="11"/>
    <x v="11"/>
    <x v="0"/>
    <x v="0"/>
    <x v="0"/>
    <x v="0"/>
    <x v="0"/>
    <x v="0"/>
    <x v="0"/>
    <x v="0"/>
    <x v="0"/>
    <x v="0"/>
    <x v="0"/>
    <x v="0"/>
    <x v="0"/>
    <n v="0.35235765124457002"/>
    <x v="0"/>
    <x v="0"/>
    <x v="0"/>
    <x v="0"/>
    <x v="0"/>
    <x v="0"/>
    <n v="0.38406983985658133"/>
  </r>
  <r>
    <x v="11"/>
    <x v="0"/>
    <x v="11"/>
    <x v="11"/>
    <x v="0"/>
    <x v="0"/>
    <x v="0"/>
    <x v="0"/>
    <x v="0"/>
    <x v="0"/>
    <x v="0"/>
    <x v="0"/>
    <x v="0"/>
    <x v="0"/>
    <x v="0"/>
    <x v="2"/>
    <x v="2"/>
    <n v="184.38788990814601"/>
    <x v="0"/>
    <x v="1"/>
    <x v="2"/>
    <x v="2"/>
    <x v="13"/>
    <x v="2"/>
    <n v="200.98279999987918"/>
  </r>
  <r>
    <x v="11"/>
    <x v="0"/>
    <x v="11"/>
    <x v="11"/>
    <x v="0"/>
    <x v="0"/>
    <x v="0"/>
    <x v="0"/>
    <x v="0"/>
    <x v="0"/>
    <x v="0"/>
    <x v="0"/>
    <x v="0"/>
    <x v="0"/>
    <x v="0"/>
    <x v="3"/>
    <x v="3"/>
    <n v="4.4948275858559997E-2"/>
    <x v="0"/>
    <x v="0"/>
    <x v="1"/>
    <x v="3"/>
    <x v="3"/>
    <x v="3"/>
    <n v="4.8993620685830401E-2"/>
  </r>
  <r>
    <x v="11"/>
    <x v="0"/>
    <x v="11"/>
    <x v="11"/>
    <x v="0"/>
    <x v="0"/>
    <x v="0"/>
    <x v="0"/>
    <x v="0"/>
    <x v="0"/>
    <x v="0"/>
    <x v="0"/>
    <x v="1"/>
    <x v="1"/>
    <x v="1"/>
    <x v="4"/>
    <x v="4"/>
    <n v="0.90801834862330999"/>
    <x v="0"/>
    <x v="0"/>
    <x v="1"/>
    <x v="3"/>
    <x v="3"/>
    <x v="4"/>
    <n v="0.98973999999940798"/>
  </r>
  <r>
    <x v="11"/>
    <x v="0"/>
    <x v="11"/>
    <x v="11"/>
    <x v="0"/>
    <x v="0"/>
    <x v="0"/>
    <x v="0"/>
    <x v="0"/>
    <x v="0"/>
    <x v="0"/>
    <x v="0"/>
    <x v="1"/>
    <x v="1"/>
    <x v="1"/>
    <x v="5"/>
    <x v="5"/>
    <n v="2.2963312883610101"/>
    <x v="0"/>
    <x v="0"/>
    <x v="1"/>
    <x v="1"/>
    <x v="1"/>
    <x v="5"/>
    <n v="2.5030011043135012"/>
  </r>
  <r>
    <x v="11"/>
    <x v="0"/>
    <x v="11"/>
    <x v="11"/>
    <x v="0"/>
    <x v="0"/>
    <x v="0"/>
    <x v="0"/>
    <x v="0"/>
    <x v="0"/>
    <x v="0"/>
    <x v="0"/>
    <x v="1"/>
    <x v="1"/>
    <x v="1"/>
    <x v="6"/>
    <x v="6"/>
    <n v="15.22758"/>
    <x v="0"/>
    <x v="0"/>
    <x v="0"/>
    <x v="0"/>
    <x v="4"/>
    <x v="6"/>
    <n v="16.598062200000001"/>
  </r>
  <r>
    <x v="11"/>
    <x v="0"/>
    <x v="11"/>
    <x v="11"/>
    <x v="0"/>
    <x v="0"/>
    <x v="0"/>
    <x v="0"/>
    <x v="0"/>
    <x v="0"/>
    <x v="0"/>
    <x v="0"/>
    <x v="1"/>
    <x v="1"/>
    <x v="1"/>
    <x v="7"/>
    <x v="7"/>
    <n v="0.84562385321050004"/>
    <x v="0"/>
    <x v="0"/>
    <x v="1"/>
    <x v="4"/>
    <x v="5"/>
    <x v="7"/>
    <n v="0.92172999999944516"/>
  </r>
  <r>
    <x v="11"/>
    <x v="0"/>
    <x v="11"/>
    <x v="11"/>
    <x v="0"/>
    <x v="0"/>
    <x v="0"/>
    <x v="0"/>
    <x v="0"/>
    <x v="0"/>
    <x v="0"/>
    <x v="0"/>
    <x v="1"/>
    <x v="1"/>
    <x v="1"/>
    <x v="8"/>
    <x v="8"/>
    <n v="44.182716216499003"/>
    <x v="0"/>
    <x v="1"/>
    <x v="2"/>
    <x v="2"/>
    <x v="6"/>
    <x v="8"/>
    <n v="48.159160675983919"/>
  </r>
  <r>
    <x v="11"/>
    <x v="0"/>
    <x v="11"/>
    <x v="11"/>
    <x v="0"/>
    <x v="0"/>
    <x v="0"/>
    <x v="0"/>
    <x v="0"/>
    <x v="0"/>
    <x v="0"/>
    <x v="0"/>
    <x v="1"/>
    <x v="1"/>
    <x v="1"/>
    <x v="9"/>
    <x v="9"/>
    <n v="6.41350194633943"/>
    <x v="0"/>
    <x v="0"/>
    <x v="1"/>
    <x v="4"/>
    <x v="5"/>
    <x v="9"/>
    <n v="6.990717121509979"/>
  </r>
  <r>
    <x v="11"/>
    <x v="0"/>
    <x v="11"/>
    <x v="11"/>
    <x v="0"/>
    <x v="0"/>
    <x v="0"/>
    <x v="0"/>
    <x v="0"/>
    <x v="0"/>
    <x v="0"/>
    <x v="0"/>
    <x v="1"/>
    <x v="1"/>
    <x v="1"/>
    <x v="10"/>
    <x v="10"/>
    <n v="1.1004927761612799"/>
    <x v="0"/>
    <x v="0"/>
    <x v="1"/>
    <x v="4"/>
    <x v="5"/>
    <x v="10"/>
    <n v="1.1995371260157952"/>
  </r>
  <r>
    <x v="11"/>
    <x v="0"/>
    <x v="11"/>
    <x v="11"/>
    <x v="0"/>
    <x v="0"/>
    <x v="0"/>
    <x v="0"/>
    <x v="0"/>
    <x v="0"/>
    <x v="0"/>
    <x v="0"/>
    <x v="1"/>
    <x v="1"/>
    <x v="1"/>
    <x v="55"/>
    <x v="55"/>
    <n v="0.11011926605498"/>
    <x v="0"/>
    <x v="0"/>
    <x v="1"/>
    <x v="3"/>
    <x v="3"/>
    <x v="15"/>
    <n v="0.12002999999992821"/>
  </r>
  <r>
    <x v="11"/>
    <x v="0"/>
    <x v="11"/>
    <x v="11"/>
    <x v="0"/>
    <x v="0"/>
    <x v="0"/>
    <x v="0"/>
    <x v="0"/>
    <x v="0"/>
    <x v="0"/>
    <x v="0"/>
    <x v="1"/>
    <x v="1"/>
    <x v="1"/>
    <x v="11"/>
    <x v="11"/>
    <n v="3.4561099999999998"/>
    <x v="0"/>
    <x v="0"/>
    <x v="3"/>
    <x v="5"/>
    <x v="7"/>
    <x v="11"/>
    <n v="3.7671599000000002"/>
  </r>
  <r>
    <x v="11"/>
    <x v="0"/>
    <x v="11"/>
    <x v="11"/>
    <x v="0"/>
    <x v="0"/>
    <x v="0"/>
    <x v="0"/>
    <x v="0"/>
    <x v="0"/>
    <x v="0"/>
    <x v="0"/>
    <x v="1"/>
    <x v="1"/>
    <x v="1"/>
    <x v="12"/>
    <x v="12"/>
    <n v="73.486790697395193"/>
    <x v="0"/>
    <x v="0"/>
    <x v="0"/>
    <x v="0"/>
    <x v="8"/>
    <x v="12"/>
    <n v="80.100601860160765"/>
  </r>
  <r>
    <x v="11"/>
    <x v="0"/>
    <x v="11"/>
    <x v="11"/>
    <x v="0"/>
    <x v="0"/>
    <x v="0"/>
    <x v="0"/>
    <x v="0"/>
    <x v="0"/>
    <x v="0"/>
    <x v="0"/>
    <x v="1"/>
    <x v="1"/>
    <x v="1"/>
    <x v="13"/>
    <x v="13"/>
    <n v="0.61185"/>
    <x v="0"/>
    <x v="0"/>
    <x v="1"/>
    <x v="3"/>
    <x v="3"/>
    <x v="13"/>
    <n v="0.66691650000000002"/>
  </r>
  <r>
    <x v="11"/>
    <x v="0"/>
    <x v="11"/>
    <x v="11"/>
    <x v="0"/>
    <x v="0"/>
    <x v="0"/>
    <x v="0"/>
    <x v="0"/>
    <x v="0"/>
    <x v="0"/>
    <x v="0"/>
    <x v="1"/>
    <x v="1"/>
    <x v="1"/>
    <x v="32"/>
    <x v="32"/>
    <n v="15.831390070564201"/>
    <x v="0"/>
    <x v="0"/>
    <x v="1"/>
    <x v="1"/>
    <x v="1"/>
    <x v="20"/>
    <n v="17.256215176914981"/>
  </r>
  <r>
    <x v="11"/>
    <x v="0"/>
    <x v="11"/>
    <x v="11"/>
    <x v="0"/>
    <x v="0"/>
    <x v="0"/>
    <x v="0"/>
    <x v="0"/>
    <x v="0"/>
    <x v="0"/>
    <x v="0"/>
    <x v="1"/>
    <x v="1"/>
    <x v="1"/>
    <x v="14"/>
    <x v="14"/>
    <n v="1.27372"/>
    <x v="0"/>
    <x v="0"/>
    <x v="0"/>
    <x v="0"/>
    <x v="8"/>
    <x v="14"/>
    <n v="1.3883548000000001"/>
  </r>
  <r>
    <x v="11"/>
    <x v="0"/>
    <x v="11"/>
    <x v="11"/>
    <x v="0"/>
    <x v="0"/>
    <x v="0"/>
    <x v="0"/>
    <x v="0"/>
    <x v="0"/>
    <x v="0"/>
    <x v="0"/>
    <x v="1"/>
    <x v="1"/>
    <x v="1"/>
    <x v="15"/>
    <x v="15"/>
    <n v="1.7495412844030001E-2"/>
    <x v="0"/>
    <x v="0"/>
    <x v="1"/>
    <x v="3"/>
    <x v="3"/>
    <x v="15"/>
    <n v="1.90699999999927E-2"/>
  </r>
  <r>
    <x v="11"/>
    <x v="0"/>
    <x v="11"/>
    <x v="11"/>
    <x v="0"/>
    <x v="0"/>
    <x v="0"/>
    <x v="0"/>
    <x v="0"/>
    <x v="0"/>
    <x v="0"/>
    <x v="0"/>
    <x v="1"/>
    <x v="1"/>
    <x v="1"/>
    <x v="22"/>
    <x v="22"/>
    <n v="0.13901209677363999"/>
    <x v="0"/>
    <x v="0"/>
    <x v="0"/>
    <x v="0"/>
    <x v="0"/>
    <x v="0"/>
    <n v="0.1515231854832676"/>
  </r>
  <r>
    <x v="11"/>
    <x v="0"/>
    <x v="11"/>
    <x v="11"/>
    <x v="0"/>
    <x v="0"/>
    <x v="0"/>
    <x v="0"/>
    <x v="0"/>
    <x v="0"/>
    <x v="0"/>
    <x v="0"/>
    <x v="1"/>
    <x v="1"/>
    <x v="1"/>
    <x v="16"/>
    <x v="16"/>
    <n v="10.323119999999999"/>
    <x v="0"/>
    <x v="0"/>
    <x v="3"/>
    <x v="5"/>
    <x v="9"/>
    <x v="16"/>
    <n v="11.252200800000001"/>
  </r>
  <r>
    <x v="11"/>
    <x v="0"/>
    <x v="11"/>
    <x v="11"/>
    <x v="0"/>
    <x v="0"/>
    <x v="0"/>
    <x v="0"/>
    <x v="0"/>
    <x v="0"/>
    <x v="0"/>
    <x v="0"/>
    <x v="1"/>
    <x v="1"/>
    <x v="1"/>
    <x v="23"/>
    <x v="23"/>
    <n v="1.30225688073316"/>
    <x v="0"/>
    <x v="0"/>
    <x v="1"/>
    <x v="3"/>
    <x v="3"/>
    <x v="15"/>
    <n v="1.4194599999991446"/>
  </r>
  <r>
    <x v="11"/>
    <x v="0"/>
    <x v="11"/>
    <x v="11"/>
    <x v="0"/>
    <x v="0"/>
    <x v="0"/>
    <x v="0"/>
    <x v="0"/>
    <x v="0"/>
    <x v="0"/>
    <x v="0"/>
    <x v="1"/>
    <x v="1"/>
    <x v="1"/>
    <x v="24"/>
    <x v="24"/>
    <n v="0.88224770642148997"/>
    <x v="0"/>
    <x v="0"/>
    <x v="1"/>
    <x v="3"/>
    <x v="3"/>
    <x v="4"/>
    <n v="0.96164999999942413"/>
  </r>
  <r>
    <x v="11"/>
    <x v="0"/>
    <x v="11"/>
    <x v="11"/>
    <x v="0"/>
    <x v="0"/>
    <x v="0"/>
    <x v="0"/>
    <x v="0"/>
    <x v="0"/>
    <x v="0"/>
    <x v="0"/>
    <x v="1"/>
    <x v="1"/>
    <x v="1"/>
    <x v="17"/>
    <x v="17"/>
    <n v="0.27988000000000002"/>
    <x v="0"/>
    <x v="0"/>
    <x v="0"/>
    <x v="0"/>
    <x v="4"/>
    <x v="17"/>
    <n v="0.30506920000000004"/>
  </r>
  <r>
    <x v="11"/>
    <x v="0"/>
    <x v="11"/>
    <x v="11"/>
    <x v="0"/>
    <x v="0"/>
    <x v="0"/>
    <x v="0"/>
    <x v="0"/>
    <x v="0"/>
    <x v="0"/>
    <x v="0"/>
    <x v="1"/>
    <x v="1"/>
    <x v="1"/>
    <x v="18"/>
    <x v="18"/>
    <n v="2.60067"/>
    <x v="0"/>
    <x v="0"/>
    <x v="0"/>
    <x v="0"/>
    <x v="4"/>
    <x v="18"/>
    <n v="2.8347303000000004"/>
  </r>
  <r>
    <x v="11"/>
    <x v="0"/>
    <x v="11"/>
    <x v="11"/>
    <x v="0"/>
    <x v="0"/>
    <x v="0"/>
    <x v="0"/>
    <x v="0"/>
    <x v="0"/>
    <x v="0"/>
    <x v="0"/>
    <x v="1"/>
    <x v="1"/>
    <x v="1"/>
    <x v="79"/>
    <x v="79"/>
    <n v="6.0931192660513904"/>
    <x v="0"/>
    <x v="0"/>
    <x v="1"/>
    <x v="4"/>
    <x v="5"/>
    <x v="10"/>
    <n v="6.6414999999960163"/>
  </r>
  <r>
    <x v="11"/>
    <x v="0"/>
    <x v="11"/>
    <x v="11"/>
    <x v="0"/>
    <x v="0"/>
    <x v="0"/>
    <x v="0"/>
    <x v="0"/>
    <x v="0"/>
    <x v="0"/>
    <x v="0"/>
    <x v="1"/>
    <x v="1"/>
    <x v="1"/>
    <x v="27"/>
    <x v="27"/>
    <n v="3.0069211712349202"/>
    <x v="0"/>
    <x v="0"/>
    <x v="1"/>
    <x v="3"/>
    <x v="3"/>
    <x v="19"/>
    <n v="3.2775440766460631"/>
  </r>
  <r>
    <x v="11"/>
    <x v="0"/>
    <x v="11"/>
    <x v="11"/>
    <x v="0"/>
    <x v="0"/>
    <x v="0"/>
    <x v="0"/>
    <x v="0"/>
    <x v="0"/>
    <x v="0"/>
    <x v="0"/>
    <x v="1"/>
    <x v="1"/>
    <x v="1"/>
    <x v="78"/>
    <x v="78"/>
    <n v="0.45700917431165"/>
    <x v="0"/>
    <x v="0"/>
    <x v="1"/>
    <x v="4"/>
    <x v="5"/>
    <x v="9"/>
    <n v="0.49813999999969855"/>
  </r>
  <r>
    <x v="11"/>
    <x v="0"/>
    <x v="11"/>
    <x v="11"/>
    <x v="0"/>
    <x v="0"/>
    <x v="0"/>
    <x v="0"/>
    <x v="0"/>
    <x v="0"/>
    <x v="0"/>
    <x v="0"/>
    <x v="1"/>
    <x v="1"/>
    <x v="1"/>
    <x v="26"/>
    <x v="26"/>
    <n v="1.0314770642195601"/>
    <x v="0"/>
    <x v="0"/>
    <x v="1"/>
    <x v="3"/>
    <x v="3"/>
    <x v="15"/>
    <n v="1.1243099999993207"/>
  </r>
  <r>
    <x v="11"/>
    <x v="0"/>
    <x v="11"/>
    <x v="11"/>
    <x v="0"/>
    <x v="0"/>
    <x v="0"/>
    <x v="0"/>
    <x v="0"/>
    <x v="0"/>
    <x v="0"/>
    <x v="0"/>
    <x v="1"/>
    <x v="1"/>
    <x v="1"/>
    <x v="0"/>
    <x v="0"/>
    <n v="0.33045996441189002"/>
    <x v="0"/>
    <x v="0"/>
    <x v="0"/>
    <x v="0"/>
    <x v="0"/>
    <x v="0"/>
    <n v="0.36020136120896012"/>
  </r>
  <r>
    <x v="11"/>
    <x v="0"/>
    <x v="11"/>
    <x v="11"/>
    <x v="0"/>
    <x v="0"/>
    <x v="0"/>
    <x v="0"/>
    <x v="0"/>
    <x v="0"/>
    <x v="0"/>
    <x v="0"/>
    <x v="1"/>
    <x v="1"/>
    <x v="1"/>
    <x v="2"/>
    <x v="2"/>
    <n v="1140.3547889901399"/>
    <x v="0"/>
    <x v="1"/>
    <x v="2"/>
    <x v="2"/>
    <x v="13"/>
    <x v="2"/>
    <n v="1242.9867199992525"/>
  </r>
  <r>
    <x v="11"/>
    <x v="0"/>
    <x v="11"/>
    <x v="11"/>
    <x v="0"/>
    <x v="0"/>
    <x v="0"/>
    <x v="0"/>
    <x v="0"/>
    <x v="0"/>
    <x v="0"/>
    <x v="0"/>
    <x v="1"/>
    <x v="1"/>
    <x v="1"/>
    <x v="3"/>
    <x v="3"/>
    <n v="3.2146517238871901"/>
    <x v="0"/>
    <x v="0"/>
    <x v="1"/>
    <x v="3"/>
    <x v="3"/>
    <x v="3"/>
    <n v="3.5039703790370376"/>
  </r>
  <r>
    <x v="11"/>
    <x v="0"/>
    <x v="11"/>
    <x v="11"/>
    <x v="0"/>
    <x v="0"/>
    <x v="0"/>
    <x v="0"/>
    <x v="0"/>
    <x v="0"/>
    <x v="0"/>
    <x v="0"/>
    <x v="2"/>
    <x v="2"/>
    <x v="2"/>
    <x v="4"/>
    <x v="4"/>
    <n v="38.813871559609701"/>
    <x v="0"/>
    <x v="0"/>
    <x v="1"/>
    <x v="3"/>
    <x v="3"/>
    <x v="4"/>
    <n v="42.307119999974574"/>
  </r>
  <r>
    <x v="11"/>
    <x v="0"/>
    <x v="11"/>
    <x v="11"/>
    <x v="0"/>
    <x v="0"/>
    <x v="0"/>
    <x v="0"/>
    <x v="0"/>
    <x v="0"/>
    <x v="0"/>
    <x v="0"/>
    <x v="2"/>
    <x v="2"/>
    <x v="2"/>
    <x v="5"/>
    <x v="5"/>
    <n v="24.470282208774901"/>
    <x v="0"/>
    <x v="0"/>
    <x v="1"/>
    <x v="1"/>
    <x v="1"/>
    <x v="5"/>
    <n v="26.672607607564643"/>
  </r>
  <r>
    <x v="11"/>
    <x v="0"/>
    <x v="11"/>
    <x v="11"/>
    <x v="0"/>
    <x v="0"/>
    <x v="0"/>
    <x v="0"/>
    <x v="0"/>
    <x v="0"/>
    <x v="0"/>
    <x v="0"/>
    <x v="2"/>
    <x v="2"/>
    <x v="2"/>
    <x v="6"/>
    <x v="6"/>
    <n v="81.749880000000005"/>
    <x v="0"/>
    <x v="0"/>
    <x v="0"/>
    <x v="0"/>
    <x v="4"/>
    <x v="6"/>
    <n v="89.107369200000008"/>
  </r>
  <r>
    <x v="11"/>
    <x v="0"/>
    <x v="11"/>
    <x v="11"/>
    <x v="0"/>
    <x v="0"/>
    <x v="0"/>
    <x v="0"/>
    <x v="0"/>
    <x v="0"/>
    <x v="0"/>
    <x v="0"/>
    <x v="2"/>
    <x v="2"/>
    <x v="2"/>
    <x v="8"/>
    <x v="8"/>
    <n v="35.403062732683601"/>
    <x v="0"/>
    <x v="1"/>
    <x v="2"/>
    <x v="2"/>
    <x v="6"/>
    <x v="8"/>
    <n v="38.589338378625129"/>
  </r>
  <r>
    <x v="11"/>
    <x v="0"/>
    <x v="11"/>
    <x v="11"/>
    <x v="0"/>
    <x v="0"/>
    <x v="0"/>
    <x v="0"/>
    <x v="0"/>
    <x v="0"/>
    <x v="0"/>
    <x v="0"/>
    <x v="2"/>
    <x v="2"/>
    <x v="2"/>
    <x v="9"/>
    <x v="9"/>
    <n v="4.8752586523246899"/>
    <x v="0"/>
    <x v="0"/>
    <x v="1"/>
    <x v="4"/>
    <x v="5"/>
    <x v="9"/>
    <n v="5.3140319310339121"/>
  </r>
  <r>
    <x v="11"/>
    <x v="0"/>
    <x v="11"/>
    <x v="11"/>
    <x v="0"/>
    <x v="0"/>
    <x v="0"/>
    <x v="0"/>
    <x v="0"/>
    <x v="0"/>
    <x v="0"/>
    <x v="0"/>
    <x v="2"/>
    <x v="2"/>
    <x v="2"/>
    <x v="28"/>
    <x v="28"/>
    <n v="1.87748"/>
    <x v="0"/>
    <x v="0"/>
    <x v="1"/>
    <x v="3"/>
    <x v="3"/>
    <x v="13"/>
    <n v="2.0464532000000002"/>
  </r>
  <r>
    <x v="11"/>
    <x v="0"/>
    <x v="11"/>
    <x v="11"/>
    <x v="0"/>
    <x v="0"/>
    <x v="0"/>
    <x v="0"/>
    <x v="0"/>
    <x v="0"/>
    <x v="0"/>
    <x v="0"/>
    <x v="2"/>
    <x v="2"/>
    <x v="2"/>
    <x v="29"/>
    <x v="29"/>
    <n v="3.2035999999999998"/>
    <x v="0"/>
    <x v="0"/>
    <x v="1"/>
    <x v="3"/>
    <x v="3"/>
    <x v="13"/>
    <n v="3.491924"/>
  </r>
  <r>
    <x v="11"/>
    <x v="0"/>
    <x v="11"/>
    <x v="11"/>
    <x v="0"/>
    <x v="0"/>
    <x v="0"/>
    <x v="0"/>
    <x v="0"/>
    <x v="0"/>
    <x v="0"/>
    <x v="0"/>
    <x v="2"/>
    <x v="2"/>
    <x v="2"/>
    <x v="30"/>
    <x v="30"/>
    <n v="25.188392473017501"/>
    <x v="0"/>
    <x v="0"/>
    <x v="0"/>
    <x v="0"/>
    <x v="0"/>
    <x v="0"/>
    <n v="27.455347795589077"/>
  </r>
  <r>
    <x v="11"/>
    <x v="0"/>
    <x v="11"/>
    <x v="11"/>
    <x v="0"/>
    <x v="0"/>
    <x v="0"/>
    <x v="0"/>
    <x v="0"/>
    <x v="0"/>
    <x v="0"/>
    <x v="0"/>
    <x v="2"/>
    <x v="2"/>
    <x v="2"/>
    <x v="11"/>
    <x v="11"/>
    <n v="38.322879999999998"/>
    <x v="0"/>
    <x v="0"/>
    <x v="3"/>
    <x v="5"/>
    <x v="7"/>
    <x v="11"/>
    <n v="41.771939199999998"/>
  </r>
  <r>
    <x v="11"/>
    <x v="0"/>
    <x v="11"/>
    <x v="11"/>
    <x v="0"/>
    <x v="0"/>
    <x v="0"/>
    <x v="0"/>
    <x v="0"/>
    <x v="0"/>
    <x v="0"/>
    <x v="0"/>
    <x v="2"/>
    <x v="2"/>
    <x v="2"/>
    <x v="88"/>
    <x v="88"/>
    <n v="2.9431192660530001E-2"/>
    <x v="0"/>
    <x v="0"/>
    <x v="1"/>
    <x v="4"/>
    <x v="5"/>
    <x v="9"/>
    <n v="3.2079999999977703E-2"/>
  </r>
  <r>
    <x v="11"/>
    <x v="0"/>
    <x v="11"/>
    <x v="11"/>
    <x v="0"/>
    <x v="0"/>
    <x v="0"/>
    <x v="0"/>
    <x v="0"/>
    <x v="0"/>
    <x v="0"/>
    <x v="0"/>
    <x v="2"/>
    <x v="2"/>
    <x v="2"/>
    <x v="12"/>
    <x v="12"/>
    <n v="172.02962790632299"/>
    <x v="0"/>
    <x v="0"/>
    <x v="0"/>
    <x v="0"/>
    <x v="8"/>
    <x v="12"/>
    <n v="187.51229441789206"/>
  </r>
  <r>
    <x v="11"/>
    <x v="0"/>
    <x v="11"/>
    <x v="11"/>
    <x v="0"/>
    <x v="0"/>
    <x v="0"/>
    <x v="0"/>
    <x v="0"/>
    <x v="0"/>
    <x v="0"/>
    <x v="0"/>
    <x v="2"/>
    <x v="2"/>
    <x v="2"/>
    <x v="32"/>
    <x v="32"/>
    <n v="9.8116784867758895"/>
    <x v="0"/>
    <x v="0"/>
    <x v="1"/>
    <x v="1"/>
    <x v="1"/>
    <x v="20"/>
    <n v="10.69472955058572"/>
  </r>
  <r>
    <x v="11"/>
    <x v="0"/>
    <x v="11"/>
    <x v="11"/>
    <x v="0"/>
    <x v="0"/>
    <x v="0"/>
    <x v="0"/>
    <x v="0"/>
    <x v="0"/>
    <x v="0"/>
    <x v="0"/>
    <x v="2"/>
    <x v="2"/>
    <x v="2"/>
    <x v="14"/>
    <x v="14"/>
    <n v="115.00241"/>
    <x v="0"/>
    <x v="0"/>
    <x v="0"/>
    <x v="0"/>
    <x v="8"/>
    <x v="14"/>
    <n v="125.3526269"/>
  </r>
  <r>
    <x v="11"/>
    <x v="0"/>
    <x v="11"/>
    <x v="11"/>
    <x v="0"/>
    <x v="0"/>
    <x v="0"/>
    <x v="0"/>
    <x v="0"/>
    <x v="0"/>
    <x v="0"/>
    <x v="0"/>
    <x v="2"/>
    <x v="2"/>
    <x v="2"/>
    <x v="16"/>
    <x v="16"/>
    <n v="178.06953999999999"/>
    <x v="0"/>
    <x v="0"/>
    <x v="3"/>
    <x v="5"/>
    <x v="9"/>
    <x v="16"/>
    <n v="194.09579859999999"/>
  </r>
  <r>
    <x v="11"/>
    <x v="0"/>
    <x v="11"/>
    <x v="11"/>
    <x v="0"/>
    <x v="0"/>
    <x v="0"/>
    <x v="0"/>
    <x v="0"/>
    <x v="0"/>
    <x v="0"/>
    <x v="0"/>
    <x v="2"/>
    <x v="2"/>
    <x v="2"/>
    <x v="24"/>
    <x v="24"/>
    <n v="9.0685137614624498"/>
    <x v="0"/>
    <x v="0"/>
    <x v="1"/>
    <x v="3"/>
    <x v="3"/>
    <x v="4"/>
    <n v="9.8846799999940718"/>
  </r>
  <r>
    <x v="11"/>
    <x v="0"/>
    <x v="11"/>
    <x v="11"/>
    <x v="0"/>
    <x v="0"/>
    <x v="0"/>
    <x v="0"/>
    <x v="0"/>
    <x v="0"/>
    <x v="0"/>
    <x v="0"/>
    <x v="2"/>
    <x v="2"/>
    <x v="2"/>
    <x v="17"/>
    <x v="17"/>
    <n v="31.743400000000001"/>
    <x v="0"/>
    <x v="0"/>
    <x v="0"/>
    <x v="0"/>
    <x v="4"/>
    <x v="17"/>
    <n v="34.600306000000003"/>
  </r>
  <r>
    <x v="11"/>
    <x v="0"/>
    <x v="11"/>
    <x v="11"/>
    <x v="0"/>
    <x v="0"/>
    <x v="0"/>
    <x v="0"/>
    <x v="0"/>
    <x v="0"/>
    <x v="0"/>
    <x v="0"/>
    <x v="2"/>
    <x v="2"/>
    <x v="2"/>
    <x v="21"/>
    <x v="21"/>
    <n v="2.8587155963289999E-2"/>
    <x v="0"/>
    <x v="0"/>
    <x v="1"/>
    <x v="4"/>
    <x v="5"/>
    <x v="10"/>
    <n v="3.1159999999986102E-2"/>
  </r>
  <r>
    <x v="11"/>
    <x v="0"/>
    <x v="11"/>
    <x v="11"/>
    <x v="0"/>
    <x v="0"/>
    <x v="0"/>
    <x v="0"/>
    <x v="0"/>
    <x v="0"/>
    <x v="0"/>
    <x v="0"/>
    <x v="2"/>
    <x v="2"/>
    <x v="2"/>
    <x v="18"/>
    <x v="18"/>
    <n v="41.9178"/>
    <x v="0"/>
    <x v="0"/>
    <x v="0"/>
    <x v="0"/>
    <x v="4"/>
    <x v="18"/>
    <n v="45.690402000000006"/>
  </r>
  <r>
    <x v="11"/>
    <x v="0"/>
    <x v="11"/>
    <x v="11"/>
    <x v="0"/>
    <x v="0"/>
    <x v="0"/>
    <x v="0"/>
    <x v="0"/>
    <x v="0"/>
    <x v="0"/>
    <x v="0"/>
    <x v="2"/>
    <x v="2"/>
    <x v="2"/>
    <x v="34"/>
    <x v="34"/>
    <n v="5.8833048033934299"/>
    <x v="0"/>
    <x v="0"/>
    <x v="0"/>
    <x v="0"/>
    <x v="0"/>
    <x v="0"/>
    <n v="6.4128022356988392"/>
  </r>
  <r>
    <x v="11"/>
    <x v="0"/>
    <x v="11"/>
    <x v="11"/>
    <x v="0"/>
    <x v="0"/>
    <x v="0"/>
    <x v="0"/>
    <x v="0"/>
    <x v="0"/>
    <x v="0"/>
    <x v="0"/>
    <x v="2"/>
    <x v="2"/>
    <x v="2"/>
    <x v="79"/>
    <x v="79"/>
    <n v="0.45952293577954001"/>
    <x v="0"/>
    <x v="0"/>
    <x v="1"/>
    <x v="4"/>
    <x v="5"/>
    <x v="10"/>
    <n v="0.50087999999969868"/>
  </r>
  <r>
    <x v="11"/>
    <x v="0"/>
    <x v="11"/>
    <x v="11"/>
    <x v="0"/>
    <x v="0"/>
    <x v="0"/>
    <x v="0"/>
    <x v="0"/>
    <x v="0"/>
    <x v="0"/>
    <x v="0"/>
    <x v="2"/>
    <x v="2"/>
    <x v="2"/>
    <x v="25"/>
    <x v="25"/>
    <n v="29.7462385320922"/>
    <x v="0"/>
    <x v="0"/>
    <x v="1"/>
    <x v="4"/>
    <x v="5"/>
    <x v="9"/>
    <n v="32.423399999980496"/>
  </r>
  <r>
    <x v="11"/>
    <x v="0"/>
    <x v="11"/>
    <x v="11"/>
    <x v="0"/>
    <x v="0"/>
    <x v="0"/>
    <x v="0"/>
    <x v="0"/>
    <x v="0"/>
    <x v="0"/>
    <x v="0"/>
    <x v="2"/>
    <x v="2"/>
    <x v="2"/>
    <x v="27"/>
    <x v="27"/>
    <n v="7.2739009010551099"/>
    <x v="0"/>
    <x v="0"/>
    <x v="1"/>
    <x v="3"/>
    <x v="3"/>
    <x v="19"/>
    <n v="7.9285519821500703"/>
  </r>
  <r>
    <x v="11"/>
    <x v="0"/>
    <x v="11"/>
    <x v="11"/>
    <x v="0"/>
    <x v="0"/>
    <x v="0"/>
    <x v="0"/>
    <x v="0"/>
    <x v="0"/>
    <x v="0"/>
    <x v="0"/>
    <x v="2"/>
    <x v="2"/>
    <x v="2"/>
    <x v="26"/>
    <x v="26"/>
    <n v="6.2081467889870998"/>
    <x v="0"/>
    <x v="0"/>
    <x v="1"/>
    <x v="3"/>
    <x v="3"/>
    <x v="15"/>
    <n v="6.7668799999959397"/>
  </r>
  <r>
    <x v="11"/>
    <x v="0"/>
    <x v="11"/>
    <x v="11"/>
    <x v="0"/>
    <x v="0"/>
    <x v="0"/>
    <x v="0"/>
    <x v="0"/>
    <x v="0"/>
    <x v="0"/>
    <x v="0"/>
    <x v="2"/>
    <x v="2"/>
    <x v="2"/>
    <x v="0"/>
    <x v="0"/>
    <n v="5.9758594305882502"/>
    <x v="0"/>
    <x v="0"/>
    <x v="0"/>
    <x v="0"/>
    <x v="0"/>
    <x v="0"/>
    <n v="6.5136867793411932"/>
  </r>
  <r>
    <x v="11"/>
    <x v="0"/>
    <x v="11"/>
    <x v="11"/>
    <x v="0"/>
    <x v="0"/>
    <x v="0"/>
    <x v="0"/>
    <x v="0"/>
    <x v="0"/>
    <x v="0"/>
    <x v="0"/>
    <x v="2"/>
    <x v="2"/>
    <x v="2"/>
    <x v="1"/>
    <x v="1"/>
    <n v="13.072193103376399"/>
    <x v="0"/>
    <x v="0"/>
    <x v="1"/>
    <x v="1"/>
    <x v="1"/>
    <x v="1"/>
    <n v="14.248690482680276"/>
  </r>
  <r>
    <x v="11"/>
    <x v="0"/>
    <x v="11"/>
    <x v="11"/>
    <x v="0"/>
    <x v="0"/>
    <x v="0"/>
    <x v="0"/>
    <x v="0"/>
    <x v="0"/>
    <x v="0"/>
    <x v="0"/>
    <x v="2"/>
    <x v="2"/>
    <x v="2"/>
    <x v="20"/>
    <x v="20"/>
    <n v="160.86528000000001"/>
    <x v="0"/>
    <x v="0"/>
    <x v="1"/>
    <x v="3"/>
    <x v="3"/>
    <x v="13"/>
    <n v="175.34315520000004"/>
  </r>
  <r>
    <x v="11"/>
    <x v="0"/>
    <x v="11"/>
    <x v="11"/>
    <x v="0"/>
    <x v="0"/>
    <x v="0"/>
    <x v="0"/>
    <x v="0"/>
    <x v="0"/>
    <x v="0"/>
    <x v="0"/>
    <x v="2"/>
    <x v="2"/>
    <x v="2"/>
    <x v="2"/>
    <x v="2"/>
    <n v="179.459155963195"/>
    <x v="0"/>
    <x v="1"/>
    <x v="2"/>
    <x v="2"/>
    <x v="13"/>
    <x v="2"/>
    <n v="195.61047999988256"/>
  </r>
  <r>
    <x v="11"/>
    <x v="0"/>
    <x v="11"/>
    <x v="11"/>
    <x v="0"/>
    <x v="0"/>
    <x v="0"/>
    <x v="0"/>
    <x v="0"/>
    <x v="0"/>
    <x v="0"/>
    <x v="0"/>
    <x v="2"/>
    <x v="2"/>
    <x v="2"/>
    <x v="3"/>
    <x v="3"/>
    <n v="17.751909358221301"/>
    <x v="0"/>
    <x v="0"/>
    <x v="1"/>
    <x v="3"/>
    <x v="3"/>
    <x v="3"/>
    <n v="19.34958120046122"/>
  </r>
  <r>
    <x v="11"/>
    <x v="0"/>
    <x v="11"/>
    <x v="11"/>
    <x v="0"/>
    <x v="0"/>
    <x v="0"/>
    <x v="0"/>
    <x v="0"/>
    <x v="0"/>
    <x v="0"/>
    <x v="0"/>
    <x v="1"/>
    <x v="6"/>
    <x v="6"/>
    <x v="8"/>
    <x v="8"/>
    <n v="36.072560811041697"/>
    <x v="0"/>
    <x v="1"/>
    <x v="2"/>
    <x v="2"/>
    <x v="6"/>
    <x v="8"/>
    <n v="39.319091284035451"/>
  </r>
  <r>
    <x v="11"/>
    <x v="0"/>
    <x v="11"/>
    <x v="11"/>
    <x v="0"/>
    <x v="0"/>
    <x v="0"/>
    <x v="0"/>
    <x v="0"/>
    <x v="0"/>
    <x v="0"/>
    <x v="0"/>
    <x v="1"/>
    <x v="6"/>
    <x v="6"/>
    <x v="12"/>
    <x v="12"/>
    <n v="69.767441860199995"/>
    <x v="0"/>
    <x v="0"/>
    <x v="0"/>
    <x v="0"/>
    <x v="8"/>
    <x v="12"/>
    <n v="76.046511627618003"/>
  </r>
  <r>
    <x v="11"/>
    <x v="0"/>
    <x v="11"/>
    <x v="11"/>
    <x v="0"/>
    <x v="0"/>
    <x v="0"/>
    <x v="0"/>
    <x v="0"/>
    <x v="0"/>
    <x v="0"/>
    <x v="0"/>
    <x v="1"/>
    <x v="6"/>
    <x v="6"/>
    <x v="32"/>
    <x v="32"/>
    <n v="35.093639479112298"/>
    <x v="0"/>
    <x v="0"/>
    <x v="1"/>
    <x v="1"/>
    <x v="1"/>
    <x v="20"/>
    <n v="38.252067032232411"/>
  </r>
  <r>
    <x v="11"/>
    <x v="0"/>
    <x v="11"/>
    <x v="11"/>
    <x v="0"/>
    <x v="0"/>
    <x v="0"/>
    <x v="0"/>
    <x v="0"/>
    <x v="0"/>
    <x v="0"/>
    <x v="0"/>
    <x v="1"/>
    <x v="6"/>
    <x v="6"/>
    <x v="0"/>
    <x v="0"/>
    <n v="0.74430604981998005"/>
    <x v="0"/>
    <x v="0"/>
    <x v="0"/>
    <x v="0"/>
    <x v="0"/>
    <x v="0"/>
    <n v="0.81129359430377834"/>
  </r>
  <r>
    <x v="11"/>
    <x v="0"/>
    <x v="11"/>
    <x v="11"/>
    <x v="0"/>
    <x v="0"/>
    <x v="0"/>
    <x v="0"/>
    <x v="0"/>
    <x v="0"/>
    <x v="0"/>
    <x v="0"/>
    <x v="1"/>
    <x v="6"/>
    <x v="6"/>
    <x v="2"/>
    <x v="2"/>
    <n v="7.9969174311878604"/>
    <x v="0"/>
    <x v="1"/>
    <x v="2"/>
    <x v="2"/>
    <x v="13"/>
    <x v="2"/>
    <n v="8.7166399999947686"/>
  </r>
  <r>
    <x v="11"/>
    <x v="0"/>
    <x v="11"/>
    <x v="11"/>
    <x v="0"/>
    <x v="0"/>
    <x v="0"/>
    <x v="0"/>
    <x v="0"/>
    <x v="0"/>
    <x v="0"/>
    <x v="0"/>
    <x v="3"/>
    <x v="7"/>
    <x v="7"/>
    <x v="6"/>
    <x v="6"/>
    <n v="6.0403599999999997"/>
    <x v="0"/>
    <x v="0"/>
    <x v="0"/>
    <x v="0"/>
    <x v="4"/>
    <x v="6"/>
    <n v="6.5839924000000005"/>
  </r>
  <r>
    <x v="11"/>
    <x v="0"/>
    <x v="11"/>
    <x v="11"/>
    <x v="0"/>
    <x v="0"/>
    <x v="0"/>
    <x v="0"/>
    <x v="0"/>
    <x v="0"/>
    <x v="0"/>
    <x v="0"/>
    <x v="3"/>
    <x v="7"/>
    <x v="7"/>
    <x v="9"/>
    <x v="9"/>
    <n v="33.096485774509901"/>
    <x v="0"/>
    <x v="0"/>
    <x v="1"/>
    <x v="4"/>
    <x v="5"/>
    <x v="9"/>
    <n v="36.075169494215793"/>
  </r>
  <r>
    <x v="11"/>
    <x v="0"/>
    <x v="11"/>
    <x v="11"/>
    <x v="0"/>
    <x v="0"/>
    <x v="0"/>
    <x v="0"/>
    <x v="0"/>
    <x v="0"/>
    <x v="0"/>
    <x v="0"/>
    <x v="3"/>
    <x v="7"/>
    <x v="7"/>
    <x v="10"/>
    <x v="10"/>
    <n v="3.0986300453440001"/>
    <x v="0"/>
    <x v="0"/>
    <x v="1"/>
    <x v="4"/>
    <x v="5"/>
    <x v="10"/>
    <n v="3.3775067494249602"/>
  </r>
  <r>
    <x v="11"/>
    <x v="0"/>
    <x v="11"/>
    <x v="11"/>
    <x v="0"/>
    <x v="0"/>
    <x v="0"/>
    <x v="0"/>
    <x v="0"/>
    <x v="0"/>
    <x v="0"/>
    <x v="0"/>
    <x v="3"/>
    <x v="7"/>
    <x v="7"/>
    <x v="11"/>
    <x v="11"/>
    <n v="8.2547999999999995"/>
    <x v="0"/>
    <x v="0"/>
    <x v="3"/>
    <x v="5"/>
    <x v="7"/>
    <x v="11"/>
    <n v="8.997732000000001"/>
  </r>
  <r>
    <x v="11"/>
    <x v="0"/>
    <x v="11"/>
    <x v="11"/>
    <x v="0"/>
    <x v="0"/>
    <x v="0"/>
    <x v="0"/>
    <x v="0"/>
    <x v="0"/>
    <x v="0"/>
    <x v="0"/>
    <x v="3"/>
    <x v="7"/>
    <x v="7"/>
    <x v="36"/>
    <x v="36"/>
    <n v="10.8797614678834"/>
    <x v="0"/>
    <x v="0"/>
    <x v="1"/>
    <x v="3"/>
    <x v="3"/>
    <x v="4"/>
    <n v="11.858939999992907"/>
  </r>
  <r>
    <x v="11"/>
    <x v="0"/>
    <x v="11"/>
    <x v="11"/>
    <x v="0"/>
    <x v="0"/>
    <x v="0"/>
    <x v="0"/>
    <x v="0"/>
    <x v="0"/>
    <x v="0"/>
    <x v="0"/>
    <x v="3"/>
    <x v="7"/>
    <x v="7"/>
    <x v="24"/>
    <x v="24"/>
    <n v="7.4789541284358796"/>
    <x v="0"/>
    <x v="0"/>
    <x v="1"/>
    <x v="3"/>
    <x v="3"/>
    <x v="4"/>
    <n v="8.1520599999951102"/>
  </r>
  <r>
    <x v="11"/>
    <x v="0"/>
    <x v="11"/>
    <x v="11"/>
    <x v="0"/>
    <x v="0"/>
    <x v="0"/>
    <x v="0"/>
    <x v="0"/>
    <x v="0"/>
    <x v="0"/>
    <x v="0"/>
    <x v="3"/>
    <x v="7"/>
    <x v="7"/>
    <x v="17"/>
    <x v="17"/>
    <n v="31.967919999999999"/>
    <x v="0"/>
    <x v="0"/>
    <x v="0"/>
    <x v="0"/>
    <x v="4"/>
    <x v="17"/>
    <n v="34.845032799999998"/>
  </r>
  <r>
    <x v="11"/>
    <x v="0"/>
    <x v="11"/>
    <x v="11"/>
    <x v="0"/>
    <x v="0"/>
    <x v="0"/>
    <x v="0"/>
    <x v="0"/>
    <x v="0"/>
    <x v="0"/>
    <x v="0"/>
    <x v="3"/>
    <x v="7"/>
    <x v="7"/>
    <x v="18"/>
    <x v="18"/>
    <n v="3.6543700000000001"/>
    <x v="0"/>
    <x v="0"/>
    <x v="0"/>
    <x v="0"/>
    <x v="4"/>
    <x v="18"/>
    <n v="3.9832633000000004"/>
  </r>
  <r>
    <x v="11"/>
    <x v="0"/>
    <x v="11"/>
    <x v="11"/>
    <x v="0"/>
    <x v="0"/>
    <x v="0"/>
    <x v="0"/>
    <x v="0"/>
    <x v="0"/>
    <x v="0"/>
    <x v="0"/>
    <x v="3"/>
    <x v="7"/>
    <x v="7"/>
    <x v="34"/>
    <x v="34"/>
    <n v="2.4217685589108"/>
    <x v="0"/>
    <x v="0"/>
    <x v="0"/>
    <x v="0"/>
    <x v="0"/>
    <x v="0"/>
    <n v="2.6397277292127721"/>
  </r>
  <r>
    <x v="11"/>
    <x v="0"/>
    <x v="11"/>
    <x v="11"/>
    <x v="0"/>
    <x v="0"/>
    <x v="0"/>
    <x v="0"/>
    <x v="0"/>
    <x v="0"/>
    <x v="0"/>
    <x v="0"/>
    <x v="3"/>
    <x v="7"/>
    <x v="7"/>
    <x v="26"/>
    <x v="26"/>
    <n v="22.759899082555201"/>
    <x v="0"/>
    <x v="0"/>
    <x v="1"/>
    <x v="3"/>
    <x v="3"/>
    <x v="15"/>
    <n v="24.80828999998517"/>
  </r>
  <r>
    <x v="11"/>
    <x v="0"/>
    <x v="11"/>
    <x v="11"/>
    <x v="0"/>
    <x v="0"/>
    <x v="0"/>
    <x v="0"/>
    <x v="0"/>
    <x v="0"/>
    <x v="0"/>
    <x v="0"/>
    <x v="1"/>
    <x v="8"/>
    <x v="8"/>
    <x v="6"/>
    <x v="6"/>
    <n v="5.7153099999999997"/>
    <x v="0"/>
    <x v="0"/>
    <x v="0"/>
    <x v="0"/>
    <x v="4"/>
    <x v="6"/>
    <n v="6.2296879000000001"/>
  </r>
  <r>
    <x v="11"/>
    <x v="0"/>
    <x v="11"/>
    <x v="11"/>
    <x v="0"/>
    <x v="0"/>
    <x v="0"/>
    <x v="0"/>
    <x v="0"/>
    <x v="0"/>
    <x v="0"/>
    <x v="0"/>
    <x v="1"/>
    <x v="8"/>
    <x v="8"/>
    <x v="8"/>
    <x v="8"/>
    <n v="16.5657094595655"/>
    <x v="0"/>
    <x v="1"/>
    <x v="2"/>
    <x v="2"/>
    <x v="6"/>
    <x v="8"/>
    <n v="18.056623310926398"/>
  </r>
  <r>
    <x v="11"/>
    <x v="0"/>
    <x v="11"/>
    <x v="11"/>
    <x v="0"/>
    <x v="0"/>
    <x v="0"/>
    <x v="0"/>
    <x v="0"/>
    <x v="0"/>
    <x v="0"/>
    <x v="0"/>
    <x v="1"/>
    <x v="8"/>
    <x v="8"/>
    <x v="9"/>
    <x v="9"/>
    <n v="35.436600667847102"/>
    <x v="0"/>
    <x v="0"/>
    <x v="1"/>
    <x v="4"/>
    <x v="5"/>
    <x v="9"/>
    <n v="38.625894727953344"/>
  </r>
  <r>
    <x v="11"/>
    <x v="0"/>
    <x v="11"/>
    <x v="11"/>
    <x v="0"/>
    <x v="0"/>
    <x v="0"/>
    <x v="0"/>
    <x v="0"/>
    <x v="0"/>
    <x v="0"/>
    <x v="0"/>
    <x v="1"/>
    <x v="8"/>
    <x v="8"/>
    <x v="10"/>
    <x v="10"/>
    <n v="4.45193577958144"/>
    <x v="0"/>
    <x v="0"/>
    <x v="1"/>
    <x v="4"/>
    <x v="5"/>
    <x v="10"/>
    <n v="4.8526099997437697"/>
  </r>
  <r>
    <x v="11"/>
    <x v="0"/>
    <x v="11"/>
    <x v="11"/>
    <x v="0"/>
    <x v="0"/>
    <x v="0"/>
    <x v="0"/>
    <x v="0"/>
    <x v="0"/>
    <x v="0"/>
    <x v="0"/>
    <x v="1"/>
    <x v="8"/>
    <x v="8"/>
    <x v="11"/>
    <x v="11"/>
    <n v="0.58618999999999999"/>
    <x v="0"/>
    <x v="0"/>
    <x v="3"/>
    <x v="5"/>
    <x v="7"/>
    <x v="11"/>
    <n v="0.63894709999999999"/>
  </r>
  <r>
    <x v="11"/>
    <x v="0"/>
    <x v="11"/>
    <x v="11"/>
    <x v="0"/>
    <x v="0"/>
    <x v="0"/>
    <x v="0"/>
    <x v="0"/>
    <x v="0"/>
    <x v="0"/>
    <x v="0"/>
    <x v="1"/>
    <x v="8"/>
    <x v="8"/>
    <x v="36"/>
    <x v="36"/>
    <n v="0.49064220183457002"/>
    <x v="0"/>
    <x v="0"/>
    <x v="1"/>
    <x v="3"/>
    <x v="3"/>
    <x v="4"/>
    <n v="0.53479999999968142"/>
  </r>
  <r>
    <x v="11"/>
    <x v="0"/>
    <x v="11"/>
    <x v="11"/>
    <x v="0"/>
    <x v="0"/>
    <x v="0"/>
    <x v="0"/>
    <x v="0"/>
    <x v="0"/>
    <x v="0"/>
    <x v="0"/>
    <x v="1"/>
    <x v="8"/>
    <x v="8"/>
    <x v="24"/>
    <x v="24"/>
    <n v="9.0551743119211707"/>
    <x v="0"/>
    <x v="0"/>
    <x v="1"/>
    <x v="3"/>
    <x v="3"/>
    <x v="4"/>
    <n v="9.8701399999940769"/>
  </r>
  <r>
    <x v="11"/>
    <x v="0"/>
    <x v="11"/>
    <x v="11"/>
    <x v="0"/>
    <x v="0"/>
    <x v="0"/>
    <x v="0"/>
    <x v="0"/>
    <x v="0"/>
    <x v="0"/>
    <x v="0"/>
    <x v="1"/>
    <x v="8"/>
    <x v="8"/>
    <x v="17"/>
    <x v="17"/>
    <n v="2.8985799999999999"/>
    <x v="0"/>
    <x v="0"/>
    <x v="0"/>
    <x v="0"/>
    <x v="4"/>
    <x v="17"/>
    <n v="3.1594522"/>
  </r>
  <r>
    <x v="11"/>
    <x v="0"/>
    <x v="11"/>
    <x v="11"/>
    <x v="0"/>
    <x v="0"/>
    <x v="0"/>
    <x v="0"/>
    <x v="0"/>
    <x v="0"/>
    <x v="0"/>
    <x v="0"/>
    <x v="1"/>
    <x v="8"/>
    <x v="8"/>
    <x v="21"/>
    <x v="21"/>
    <n v="0.69817431192618995"/>
    <x v="0"/>
    <x v="0"/>
    <x v="1"/>
    <x v="4"/>
    <x v="5"/>
    <x v="10"/>
    <n v="0.7610099999995471"/>
  </r>
  <r>
    <x v="11"/>
    <x v="0"/>
    <x v="11"/>
    <x v="11"/>
    <x v="0"/>
    <x v="0"/>
    <x v="0"/>
    <x v="0"/>
    <x v="0"/>
    <x v="0"/>
    <x v="0"/>
    <x v="0"/>
    <x v="1"/>
    <x v="8"/>
    <x v="8"/>
    <x v="18"/>
    <x v="18"/>
    <n v="1.4356500000000001"/>
    <x v="0"/>
    <x v="0"/>
    <x v="0"/>
    <x v="0"/>
    <x v="4"/>
    <x v="18"/>
    <n v="1.5648585000000002"/>
  </r>
  <r>
    <x v="11"/>
    <x v="0"/>
    <x v="11"/>
    <x v="11"/>
    <x v="0"/>
    <x v="0"/>
    <x v="0"/>
    <x v="0"/>
    <x v="0"/>
    <x v="0"/>
    <x v="0"/>
    <x v="0"/>
    <x v="1"/>
    <x v="8"/>
    <x v="8"/>
    <x v="34"/>
    <x v="34"/>
    <n v="0.33996593885885001"/>
    <x v="0"/>
    <x v="0"/>
    <x v="0"/>
    <x v="0"/>
    <x v="0"/>
    <x v="0"/>
    <n v="0.37056287335614652"/>
  </r>
  <r>
    <x v="11"/>
    <x v="0"/>
    <x v="11"/>
    <x v="11"/>
    <x v="0"/>
    <x v="0"/>
    <x v="0"/>
    <x v="0"/>
    <x v="0"/>
    <x v="0"/>
    <x v="0"/>
    <x v="0"/>
    <x v="1"/>
    <x v="8"/>
    <x v="8"/>
    <x v="37"/>
    <x v="37"/>
    <n v="5.1259999999969201"/>
    <x v="0"/>
    <x v="0"/>
    <x v="1"/>
    <x v="3"/>
    <x v="3"/>
    <x v="4"/>
    <n v="5.5873399999966438"/>
  </r>
  <r>
    <x v="11"/>
    <x v="0"/>
    <x v="11"/>
    <x v="11"/>
    <x v="0"/>
    <x v="0"/>
    <x v="0"/>
    <x v="0"/>
    <x v="0"/>
    <x v="0"/>
    <x v="0"/>
    <x v="0"/>
    <x v="1"/>
    <x v="8"/>
    <x v="8"/>
    <x v="26"/>
    <x v="26"/>
    <n v="0.79892660550410999"/>
    <x v="0"/>
    <x v="0"/>
    <x v="1"/>
    <x v="3"/>
    <x v="3"/>
    <x v="15"/>
    <n v="0.87082999999947996"/>
  </r>
  <r>
    <x v="11"/>
    <x v="0"/>
    <x v="11"/>
    <x v="11"/>
    <x v="0"/>
    <x v="0"/>
    <x v="0"/>
    <x v="0"/>
    <x v="0"/>
    <x v="0"/>
    <x v="0"/>
    <x v="0"/>
    <x v="0"/>
    <x v="9"/>
    <x v="9"/>
    <x v="6"/>
    <x v="6"/>
    <n v="13.30424"/>
    <x v="0"/>
    <x v="0"/>
    <x v="0"/>
    <x v="0"/>
    <x v="4"/>
    <x v="6"/>
    <n v="14.501621600000002"/>
  </r>
  <r>
    <x v="11"/>
    <x v="0"/>
    <x v="11"/>
    <x v="11"/>
    <x v="0"/>
    <x v="0"/>
    <x v="0"/>
    <x v="0"/>
    <x v="0"/>
    <x v="0"/>
    <x v="0"/>
    <x v="0"/>
    <x v="0"/>
    <x v="9"/>
    <x v="9"/>
    <x v="7"/>
    <x v="7"/>
    <n v="11.9217798165066"/>
    <x v="0"/>
    <x v="0"/>
    <x v="1"/>
    <x v="4"/>
    <x v="5"/>
    <x v="7"/>
    <n v="12.994739999992195"/>
  </r>
  <r>
    <x v="11"/>
    <x v="0"/>
    <x v="11"/>
    <x v="11"/>
    <x v="0"/>
    <x v="0"/>
    <x v="0"/>
    <x v="0"/>
    <x v="0"/>
    <x v="0"/>
    <x v="0"/>
    <x v="0"/>
    <x v="0"/>
    <x v="9"/>
    <x v="9"/>
    <x v="9"/>
    <x v="9"/>
    <n v="81.030451792395198"/>
    <x v="0"/>
    <x v="0"/>
    <x v="1"/>
    <x v="4"/>
    <x v="5"/>
    <x v="9"/>
    <n v="88.323192453710774"/>
  </r>
  <r>
    <x v="11"/>
    <x v="0"/>
    <x v="11"/>
    <x v="11"/>
    <x v="0"/>
    <x v="0"/>
    <x v="0"/>
    <x v="0"/>
    <x v="0"/>
    <x v="0"/>
    <x v="0"/>
    <x v="0"/>
    <x v="0"/>
    <x v="9"/>
    <x v="9"/>
    <x v="10"/>
    <x v="10"/>
    <n v="5.5975347613766404"/>
    <x v="0"/>
    <x v="0"/>
    <x v="1"/>
    <x v="4"/>
    <x v="5"/>
    <x v="10"/>
    <n v="6.1013128899005382"/>
  </r>
  <r>
    <x v="11"/>
    <x v="0"/>
    <x v="11"/>
    <x v="11"/>
    <x v="0"/>
    <x v="0"/>
    <x v="0"/>
    <x v="0"/>
    <x v="0"/>
    <x v="0"/>
    <x v="0"/>
    <x v="0"/>
    <x v="0"/>
    <x v="9"/>
    <x v="9"/>
    <x v="11"/>
    <x v="11"/>
    <n v="4.8606800000000003"/>
    <x v="0"/>
    <x v="0"/>
    <x v="3"/>
    <x v="5"/>
    <x v="7"/>
    <x v="11"/>
    <n v="5.2981412000000008"/>
  </r>
  <r>
    <x v="11"/>
    <x v="0"/>
    <x v="11"/>
    <x v="11"/>
    <x v="0"/>
    <x v="0"/>
    <x v="0"/>
    <x v="0"/>
    <x v="0"/>
    <x v="0"/>
    <x v="0"/>
    <x v="0"/>
    <x v="0"/>
    <x v="9"/>
    <x v="9"/>
    <x v="12"/>
    <x v="12"/>
    <n v="1.1143372092980901"/>
    <x v="0"/>
    <x v="0"/>
    <x v="0"/>
    <x v="0"/>
    <x v="8"/>
    <x v="12"/>
    <n v="1.2146275581349184"/>
  </r>
  <r>
    <x v="11"/>
    <x v="0"/>
    <x v="11"/>
    <x v="11"/>
    <x v="0"/>
    <x v="0"/>
    <x v="0"/>
    <x v="0"/>
    <x v="0"/>
    <x v="0"/>
    <x v="0"/>
    <x v="0"/>
    <x v="0"/>
    <x v="9"/>
    <x v="9"/>
    <x v="14"/>
    <x v="14"/>
    <n v="3.2000000000000003E-4"/>
    <x v="0"/>
    <x v="0"/>
    <x v="0"/>
    <x v="0"/>
    <x v="8"/>
    <x v="14"/>
    <n v="3.4880000000000008E-4"/>
  </r>
  <r>
    <x v="11"/>
    <x v="0"/>
    <x v="11"/>
    <x v="11"/>
    <x v="0"/>
    <x v="0"/>
    <x v="0"/>
    <x v="0"/>
    <x v="0"/>
    <x v="0"/>
    <x v="0"/>
    <x v="0"/>
    <x v="0"/>
    <x v="9"/>
    <x v="9"/>
    <x v="36"/>
    <x v="36"/>
    <n v="1.7959541284392899"/>
    <x v="0"/>
    <x v="0"/>
    <x v="1"/>
    <x v="3"/>
    <x v="3"/>
    <x v="4"/>
    <n v="1.9575899999988262"/>
  </r>
  <r>
    <x v="11"/>
    <x v="0"/>
    <x v="11"/>
    <x v="11"/>
    <x v="0"/>
    <x v="0"/>
    <x v="0"/>
    <x v="0"/>
    <x v="0"/>
    <x v="0"/>
    <x v="0"/>
    <x v="0"/>
    <x v="0"/>
    <x v="9"/>
    <x v="9"/>
    <x v="24"/>
    <x v="24"/>
    <n v="8.1529724770593308"/>
    <x v="0"/>
    <x v="0"/>
    <x v="1"/>
    <x v="3"/>
    <x v="3"/>
    <x v="4"/>
    <n v="8.8867399999946706"/>
  </r>
  <r>
    <x v="11"/>
    <x v="0"/>
    <x v="11"/>
    <x v="11"/>
    <x v="0"/>
    <x v="0"/>
    <x v="0"/>
    <x v="0"/>
    <x v="0"/>
    <x v="0"/>
    <x v="0"/>
    <x v="0"/>
    <x v="0"/>
    <x v="9"/>
    <x v="9"/>
    <x v="17"/>
    <x v="17"/>
    <n v="7.84"/>
    <x v="0"/>
    <x v="0"/>
    <x v="0"/>
    <x v="0"/>
    <x v="4"/>
    <x v="17"/>
    <n v="8.5456000000000003"/>
  </r>
  <r>
    <x v="11"/>
    <x v="0"/>
    <x v="11"/>
    <x v="11"/>
    <x v="0"/>
    <x v="0"/>
    <x v="0"/>
    <x v="0"/>
    <x v="0"/>
    <x v="0"/>
    <x v="0"/>
    <x v="0"/>
    <x v="0"/>
    <x v="9"/>
    <x v="9"/>
    <x v="21"/>
    <x v="21"/>
    <n v="123.500486238458"/>
    <x v="0"/>
    <x v="0"/>
    <x v="1"/>
    <x v="4"/>
    <x v="5"/>
    <x v="10"/>
    <n v="134.61552999991923"/>
  </r>
  <r>
    <x v="11"/>
    <x v="0"/>
    <x v="11"/>
    <x v="11"/>
    <x v="0"/>
    <x v="0"/>
    <x v="0"/>
    <x v="0"/>
    <x v="0"/>
    <x v="0"/>
    <x v="0"/>
    <x v="0"/>
    <x v="0"/>
    <x v="9"/>
    <x v="9"/>
    <x v="18"/>
    <x v="18"/>
    <n v="8.2976799999999997"/>
    <x v="0"/>
    <x v="0"/>
    <x v="0"/>
    <x v="0"/>
    <x v="4"/>
    <x v="18"/>
    <n v="9.0444712000000003"/>
  </r>
  <r>
    <x v="11"/>
    <x v="0"/>
    <x v="11"/>
    <x v="11"/>
    <x v="0"/>
    <x v="0"/>
    <x v="0"/>
    <x v="0"/>
    <x v="0"/>
    <x v="0"/>
    <x v="0"/>
    <x v="0"/>
    <x v="0"/>
    <x v="9"/>
    <x v="9"/>
    <x v="34"/>
    <x v="34"/>
    <n v="1.37477379910327"/>
    <x v="0"/>
    <x v="0"/>
    <x v="0"/>
    <x v="0"/>
    <x v="0"/>
    <x v="0"/>
    <n v="1.4985034410225644"/>
  </r>
  <r>
    <x v="11"/>
    <x v="0"/>
    <x v="11"/>
    <x v="11"/>
    <x v="0"/>
    <x v="0"/>
    <x v="0"/>
    <x v="0"/>
    <x v="0"/>
    <x v="0"/>
    <x v="0"/>
    <x v="0"/>
    <x v="0"/>
    <x v="9"/>
    <x v="9"/>
    <x v="37"/>
    <x v="37"/>
    <n v="2.3702844036683"/>
    <x v="0"/>
    <x v="0"/>
    <x v="1"/>
    <x v="3"/>
    <x v="3"/>
    <x v="4"/>
    <n v="2.5836099999984472"/>
  </r>
  <r>
    <x v="11"/>
    <x v="0"/>
    <x v="11"/>
    <x v="11"/>
    <x v="0"/>
    <x v="0"/>
    <x v="0"/>
    <x v="0"/>
    <x v="0"/>
    <x v="0"/>
    <x v="0"/>
    <x v="0"/>
    <x v="0"/>
    <x v="9"/>
    <x v="9"/>
    <x v="26"/>
    <x v="26"/>
    <n v="9.9405137614619292"/>
    <x v="0"/>
    <x v="0"/>
    <x v="1"/>
    <x v="3"/>
    <x v="3"/>
    <x v="15"/>
    <n v="10.835159999993504"/>
  </r>
  <r>
    <x v="11"/>
    <x v="0"/>
    <x v="11"/>
    <x v="11"/>
    <x v="0"/>
    <x v="0"/>
    <x v="0"/>
    <x v="0"/>
    <x v="0"/>
    <x v="0"/>
    <x v="0"/>
    <x v="0"/>
    <x v="0"/>
    <x v="9"/>
    <x v="9"/>
    <x v="2"/>
    <x v="2"/>
    <n v="2.2765045871546001"/>
    <x v="0"/>
    <x v="1"/>
    <x v="2"/>
    <x v="2"/>
    <x v="13"/>
    <x v="2"/>
    <n v="2.4813899999985143"/>
  </r>
  <r>
    <x v="11"/>
    <x v="0"/>
    <x v="11"/>
    <x v="11"/>
    <x v="0"/>
    <x v="0"/>
    <x v="0"/>
    <x v="0"/>
    <x v="0"/>
    <x v="0"/>
    <x v="0"/>
    <x v="0"/>
    <x v="2"/>
    <x v="10"/>
    <x v="10"/>
    <x v="6"/>
    <x v="6"/>
    <n v="11.107390000000001"/>
    <x v="0"/>
    <x v="0"/>
    <x v="0"/>
    <x v="0"/>
    <x v="4"/>
    <x v="6"/>
    <n v="12.107055100000002"/>
  </r>
  <r>
    <x v="11"/>
    <x v="0"/>
    <x v="11"/>
    <x v="11"/>
    <x v="0"/>
    <x v="0"/>
    <x v="0"/>
    <x v="0"/>
    <x v="0"/>
    <x v="0"/>
    <x v="0"/>
    <x v="0"/>
    <x v="2"/>
    <x v="10"/>
    <x v="10"/>
    <x v="7"/>
    <x v="7"/>
    <n v="1.5335871559623799"/>
    <x v="0"/>
    <x v="0"/>
    <x v="1"/>
    <x v="4"/>
    <x v="5"/>
    <x v="7"/>
    <n v="1.6716099999989942"/>
  </r>
  <r>
    <x v="11"/>
    <x v="0"/>
    <x v="11"/>
    <x v="11"/>
    <x v="0"/>
    <x v="0"/>
    <x v="0"/>
    <x v="0"/>
    <x v="0"/>
    <x v="0"/>
    <x v="0"/>
    <x v="0"/>
    <x v="2"/>
    <x v="10"/>
    <x v="10"/>
    <x v="9"/>
    <x v="9"/>
    <n v="40.723018999499303"/>
    <x v="0"/>
    <x v="0"/>
    <x v="1"/>
    <x v="4"/>
    <x v="5"/>
    <x v="9"/>
    <n v="44.388090709454247"/>
  </r>
  <r>
    <x v="11"/>
    <x v="0"/>
    <x v="11"/>
    <x v="11"/>
    <x v="0"/>
    <x v="0"/>
    <x v="0"/>
    <x v="0"/>
    <x v="0"/>
    <x v="0"/>
    <x v="0"/>
    <x v="0"/>
    <x v="2"/>
    <x v="10"/>
    <x v="10"/>
    <x v="10"/>
    <x v="10"/>
    <n v="1.62201746981312"/>
    <x v="0"/>
    <x v="0"/>
    <x v="1"/>
    <x v="4"/>
    <x v="5"/>
    <x v="10"/>
    <n v="1.767999042096301"/>
  </r>
  <r>
    <x v="11"/>
    <x v="0"/>
    <x v="11"/>
    <x v="11"/>
    <x v="0"/>
    <x v="0"/>
    <x v="0"/>
    <x v="0"/>
    <x v="0"/>
    <x v="0"/>
    <x v="0"/>
    <x v="0"/>
    <x v="2"/>
    <x v="10"/>
    <x v="10"/>
    <x v="11"/>
    <x v="11"/>
    <n v="3.0839300000000001"/>
    <x v="0"/>
    <x v="0"/>
    <x v="3"/>
    <x v="5"/>
    <x v="7"/>
    <x v="11"/>
    <n v="3.3614837000000004"/>
  </r>
  <r>
    <x v="11"/>
    <x v="0"/>
    <x v="11"/>
    <x v="11"/>
    <x v="0"/>
    <x v="0"/>
    <x v="0"/>
    <x v="0"/>
    <x v="0"/>
    <x v="0"/>
    <x v="0"/>
    <x v="0"/>
    <x v="2"/>
    <x v="10"/>
    <x v="10"/>
    <x v="22"/>
    <x v="22"/>
    <n v="0.30003494623535998"/>
    <x v="0"/>
    <x v="0"/>
    <x v="0"/>
    <x v="0"/>
    <x v="0"/>
    <x v="0"/>
    <n v="0.32703809139654239"/>
  </r>
  <r>
    <x v="11"/>
    <x v="0"/>
    <x v="11"/>
    <x v="11"/>
    <x v="0"/>
    <x v="0"/>
    <x v="0"/>
    <x v="0"/>
    <x v="0"/>
    <x v="0"/>
    <x v="0"/>
    <x v="0"/>
    <x v="2"/>
    <x v="10"/>
    <x v="10"/>
    <x v="36"/>
    <x v="36"/>
    <n v="3.7995412844013901"/>
    <x v="0"/>
    <x v="0"/>
    <x v="1"/>
    <x v="3"/>
    <x v="3"/>
    <x v="4"/>
    <n v="4.1414999999975155"/>
  </r>
  <r>
    <x v="11"/>
    <x v="0"/>
    <x v="11"/>
    <x v="11"/>
    <x v="0"/>
    <x v="0"/>
    <x v="0"/>
    <x v="0"/>
    <x v="0"/>
    <x v="0"/>
    <x v="0"/>
    <x v="0"/>
    <x v="2"/>
    <x v="10"/>
    <x v="10"/>
    <x v="24"/>
    <x v="24"/>
    <n v="4.9671376146759201"/>
    <x v="0"/>
    <x v="0"/>
    <x v="1"/>
    <x v="3"/>
    <x v="3"/>
    <x v="4"/>
    <n v="5.4141799999967537"/>
  </r>
  <r>
    <x v="11"/>
    <x v="0"/>
    <x v="11"/>
    <x v="11"/>
    <x v="0"/>
    <x v="0"/>
    <x v="0"/>
    <x v="0"/>
    <x v="0"/>
    <x v="0"/>
    <x v="0"/>
    <x v="0"/>
    <x v="2"/>
    <x v="10"/>
    <x v="10"/>
    <x v="17"/>
    <x v="17"/>
    <n v="3.1392500000000001"/>
    <x v="0"/>
    <x v="0"/>
    <x v="0"/>
    <x v="0"/>
    <x v="4"/>
    <x v="17"/>
    <n v="3.4217825000000004"/>
  </r>
  <r>
    <x v="11"/>
    <x v="0"/>
    <x v="11"/>
    <x v="11"/>
    <x v="0"/>
    <x v="0"/>
    <x v="0"/>
    <x v="0"/>
    <x v="0"/>
    <x v="0"/>
    <x v="0"/>
    <x v="0"/>
    <x v="2"/>
    <x v="10"/>
    <x v="10"/>
    <x v="21"/>
    <x v="21"/>
    <n v="20.858403669712299"/>
    <x v="0"/>
    <x v="0"/>
    <x v="1"/>
    <x v="4"/>
    <x v="5"/>
    <x v="10"/>
    <n v="22.735659999986407"/>
  </r>
  <r>
    <x v="11"/>
    <x v="0"/>
    <x v="11"/>
    <x v="11"/>
    <x v="0"/>
    <x v="0"/>
    <x v="0"/>
    <x v="0"/>
    <x v="0"/>
    <x v="0"/>
    <x v="0"/>
    <x v="0"/>
    <x v="2"/>
    <x v="10"/>
    <x v="10"/>
    <x v="18"/>
    <x v="18"/>
    <n v="4.7500099999999996"/>
    <x v="0"/>
    <x v="0"/>
    <x v="0"/>
    <x v="0"/>
    <x v="4"/>
    <x v="18"/>
    <n v="5.1775108999999997"/>
  </r>
  <r>
    <x v="11"/>
    <x v="0"/>
    <x v="11"/>
    <x v="11"/>
    <x v="0"/>
    <x v="0"/>
    <x v="0"/>
    <x v="0"/>
    <x v="0"/>
    <x v="0"/>
    <x v="0"/>
    <x v="0"/>
    <x v="2"/>
    <x v="10"/>
    <x v="10"/>
    <x v="34"/>
    <x v="34"/>
    <n v="2.86479126632684"/>
    <x v="0"/>
    <x v="0"/>
    <x v="0"/>
    <x v="0"/>
    <x v="0"/>
    <x v="0"/>
    <n v="3.1226224802962559"/>
  </r>
  <r>
    <x v="11"/>
    <x v="0"/>
    <x v="11"/>
    <x v="11"/>
    <x v="0"/>
    <x v="0"/>
    <x v="0"/>
    <x v="0"/>
    <x v="0"/>
    <x v="0"/>
    <x v="0"/>
    <x v="0"/>
    <x v="2"/>
    <x v="10"/>
    <x v="10"/>
    <x v="79"/>
    <x v="79"/>
    <n v="0.28631192660533"/>
    <x v="0"/>
    <x v="0"/>
    <x v="1"/>
    <x v="4"/>
    <x v="5"/>
    <x v="10"/>
    <n v="0.31207999999980973"/>
  </r>
  <r>
    <x v="11"/>
    <x v="0"/>
    <x v="11"/>
    <x v="11"/>
    <x v="0"/>
    <x v="0"/>
    <x v="0"/>
    <x v="0"/>
    <x v="0"/>
    <x v="0"/>
    <x v="0"/>
    <x v="0"/>
    <x v="2"/>
    <x v="10"/>
    <x v="10"/>
    <x v="37"/>
    <x v="37"/>
    <n v="3.0777064220165"/>
    <x v="0"/>
    <x v="0"/>
    <x v="1"/>
    <x v="3"/>
    <x v="3"/>
    <x v="4"/>
    <n v="3.3546999999979854"/>
  </r>
  <r>
    <x v="11"/>
    <x v="0"/>
    <x v="11"/>
    <x v="11"/>
    <x v="0"/>
    <x v="0"/>
    <x v="0"/>
    <x v="0"/>
    <x v="0"/>
    <x v="0"/>
    <x v="0"/>
    <x v="0"/>
    <x v="2"/>
    <x v="10"/>
    <x v="10"/>
    <x v="26"/>
    <x v="26"/>
    <n v="31.884596330256102"/>
    <x v="0"/>
    <x v="0"/>
    <x v="1"/>
    <x v="3"/>
    <x v="3"/>
    <x v="15"/>
    <n v="34.754209999979153"/>
  </r>
  <r>
    <x v="11"/>
    <x v="0"/>
    <x v="11"/>
    <x v="11"/>
    <x v="0"/>
    <x v="0"/>
    <x v="0"/>
    <x v="0"/>
    <x v="0"/>
    <x v="0"/>
    <x v="0"/>
    <x v="0"/>
    <x v="4"/>
    <x v="5"/>
    <x v="5"/>
    <x v="4"/>
    <x v="4"/>
    <n v="0.57380733944920004"/>
    <x v="0"/>
    <x v="0"/>
    <x v="1"/>
    <x v="3"/>
    <x v="3"/>
    <x v="4"/>
    <n v="0.62544999999962814"/>
  </r>
  <r>
    <x v="11"/>
    <x v="0"/>
    <x v="11"/>
    <x v="11"/>
    <x v="0"/>
    <x v="0"/>
    <x v="0"/>
    <x v="0"/>
    <x v="0"/>
    <x v="0"/>
    <x v="0"/>
    <x v="0"/>
    <x v="4"/>
    <x v="5"/>
    <x v="5"/>
    <x v="6"/>
    <x v="6"/>
    <n v="70.40643"/>
    <x v="0"/>
    <x v="0"/>
    <x v="0"/>
    <x v="0"/>
    <x v="4"/>
    <x v="6"/>
    <n v="76.743008700000004"/>
  </r>
  <r>
    <x v="11"/>
    <x v="0"/>
    <x v="11"/>
    <x v="11"/>
    <x v="0"/>
    <x v="0"/>
    <x v="0"/>
    <x v="0"/>
    <x v="0"/>
    <x v="0"/>
    <x v="0"/>
    <x v="0"/>
    <x v="4"/>
    <x v="5"/>
    <x v="5"/>
    <x v="7"/>
    <x v="7"/>
    <n v="1.02304587155902"/>
    <x v="0"/>
    <x v="0"/>
    <x v="1"/>
    <x v="4"/>
    <x v="5"/>
    <x v="7"/>
    <n v="1.115119999999332"/>
  </r>
  <r>
    <x v="11"/>
    <x v="0"/>
    <x v="11"/>
    <x v="11"/>
    <x v="0"/>
    <x v="0"/>
    <x v="0"/>
    <x v="0"/>
    <x v="0"/>
    <x v="0"/>
    <x v="0"/>
    <x v="0"/>
    <x v="4"/>
    <x v="5"/>
    <x v="5"/>
    <x v="8"/>
    <x v="8"/>
    <n v="175.992432433559"/>
    <x v="0"/>
    <x v="1"/>
    <x v="2"/>
    <x v="2"/>
    <x v="6"/>
    <x v="8"/>
    <n v="191.83175135257932"/>
  </r>
  <r>
    <x v="11"/>
    <x v="0"/>
    <x v="11"/>
    <x v="11"/>
    <x v="0"/>
    <x v="0"/>
    <x v="0"/>
    <x v="0"/>
    <x v="0"/>
    <x v="0"/>
    <x v="0"/>
    <x v="0"/>
    <x v="4"/>
    <x v="5"/>
    <x v="5"/>
    <x v="9"/>
    <x v="9"/>
    <n v="125.766851220948"/>
    <x v="0"/>
    <x v="0"/>
    <x v="1"/>
    <x v="4"/>
    <x v="5"/>
    <x v="9"/>
    <n v="137.08586783083334"/>
  </r>
  <r>
    <x v="11"/>
    <x v="0"/>
    <x v="11"/>
    <x v="11"/>
    <x v="0"/>
    <x v="0"/>
    <x v="0"/>
    <x v="0"/>
    <x v="0"/>
    <x v="0"/>
    <x v="0"/>
    <x v="0"/>
    <x v="4"/>
    <x v="5"/>
    <x v="5"/>
    <x v="10"/>
    <x v="10"/>
    <n v="14.6609479904736"/>
    <x v="0"/>
    <x v="0"/>
    <x v="1"/>
    <x v="4"/>
    <x v="5"/>
    <x v="10"/>
    <n v="15.980433309616226"/>
  </r>
  <r>
    <x v="11"/>
    <x v="0"/>
    <x v="11"/>
    <x v="11"/>
    <x v="0"/>
    <x v="0"/>
    <x v="0"/>
    <x v="0"/>
    <x v="0"/>
    <x v="0"/>
    <x v="0"/>
    <x v="0"/>
    <x v="4"/>
    <x v="5"/>
    <x v="5"/>
    <x v="29"/>
    <x v="29"/>
    <n v="5.1479999999999998E-2"/>
    <x v="0"/>
    <x v="0"/>
    <x v="1"/>
    <x v="3"/>
    <x v="3"/>
    <x v="13"/>
    <n v="5.6113200000000002E-2"/>
  </r>
  <r>
    <x v="11"/>
    <x v="0"/>
    <x v="11"/>
    <x v="11"/>
    <x v="0"/>
    <x v="0"/>
    <x v="0"/>
    <x v="0"/>
    <x v="0"/>
    <x v="0"/>
    <x v="0"/>
    <x v="0"/>
    <x v="4"/>
    <x v="5"/>
    <x v="5"/>
    <x v="35"/>
    <x v="35"/>
    <n v="39.090000000000003"/>
    <x v="0"/>
    <x v="0"/>
    <x v="0"/>
    <x v="0"/>
    <x v="0"/>
    <x v="0"/>
    <n v="42.608100000000007"/>
  </r>
  <r>
    <x v="11"/>
    <x v="0"/>
    <x v="11"/>
    <x v="11"/>
    <x v="0"/>
    <x v="0"/>
    <x v="0"/>
    <x v="0"/>
    <x v="0"/>
    <x v="0"/>
    <x v="0"/>
    <x v="0"/>
    <x v="4"/>
    <x v="5"/>
    <x v="5"/>
    <x v="55"/>
    <x v="55"/>
    <n v="0.28623853210992001"/>
    <x v="0"/>
    <x v="0"/>
    <x v="1"/>
    <x v="3"/>
    <x v="3"/>
    <x v="15"/>
    <n v="0.31199999999981282"/>
  </r>
  <r>
    <x v="11"/>
    <x v="0"/>
    <x v="11"/>
    <x v="11"/>
    <x v="0"/>
    <x v="0"/>
    <x v="0"/>
    <x v="0"/>
    <x v="0"/>
    <x v="0"/>
    <x v="0"/>
    <x v="0"/>
    <x v="4"/>
    <x v="5"/>
    <x v="5"/>
    <x v="88"/>
    <x v="88"/>
    <n v="0.13386238532101999"/>
    <x v="0"/>
    <x v="0"/>
    <x v="1"/>
    <x v="4"/>
    <x v="5"/>
    <x v="9"/>
    <n v="0.1459099999999118"/>
  </r>
  <r>
    <x v="11"/>
    <x v="0"/>
    <x v="11"/>
    <x v="11"/>
    <x v="0"/>
    <x v="0"/>
    <x v="0"/>
    <x v="0"/>
    <x v="0"/>
    <x v="0"/>
    <x v="0"/>
    <x v="0"/>
    <x v="4"/>
    <x v="5"/>
    <x v="5"/>
    <x v="12"/>
    <x v="12"/>
    <n v="14.354383720875701"/>
    <x v="0"/>
    <x v="0"/>
    <x v="0"/>
    <x v="0"/>
    <x v="8"/>
    <x v="12"/>
    <n v="15.646278255754515"/>
  </r>
  <r>
    <x v="11"/>
    <x v="0"/>
    <x v="11"/>
    <x v="11"/>
    <x v="0"/>
    <x v="0"/>
    <x v="0"/>
    <x v="0"/>
    <x v="0"/>
    <x v="0"/>
    <x v="0"/>
    <x v="0"/>
    <x v="4"/>
    <x v="5"/>
    <x v="5"/>
    <x v="14"/>
    <x v="14"/>
    <n v="0.46179999999999999"/>
    <x v="0"/>
    <x v="0"/>
    <x v="0"/>
    <x v="0"/>
    <x v="8"/>
    <x v="14"/>
    <n v="0.50336199999999998"/>
  </r>
  <r>
    <x v="11"/>
    <x v="0"/>
    <x v="11"/>
    <x v="11"/>
    <x v="0"/>
    <x v="0"/>
    <x v="0"/>
    <x v="0"/>
    <x v="0"/>
    <x v="0"/>
    <x v="0"/>
    <x v="0"/>
    <x v="4"/>
    <x v="5"/>
    <x v="5"/>
    <x v="22"/>
    <x v="22"/>
    <n v="4.1124395161125804"/>
    <x v="0"/>
    <x v="0"/>
    <x v="0"/>
    <x v="0"/>
    <x v="0"/>
    <x v="0"/>
    <n v="4.4825590725627134"/>
  </r>
  <r>
    <x v="11"/>
    <x v="0"/>
    <x v="11"/>
    <x v="11"/>
    <x v="0"/>
    <x v="0"/>
    <x v="0"/>
    <x v="0"/>
    <x v="0"/>
    <x v="0"/>
    <x v="0"/>
    <x v="0"/>
    <x v="4"/>
    <x v="5"/>
    <x v="5"/>
    <x v="33"/>
    <x v="33"/>
    <n v="0.51911009174280998"/>
    <x v="0"/>
    <x v="0"/>
    <x v="1"/>
    <x v="3"/>
    <x v="3"/>
    <x v="4"/>
    <n v="0.56582999999966288"/>
  </r>
  <r>
    <x v="11"/>
    <x v="0"/>
    <x v="11"/>
    <x v="11"/>
    <x v="0"/>
    <x v="0"/>
    <x v="0"/>
    <x v="0"/>
    <x v="0"/>
    <x v="0"/>
    <x v="0"/>
    <x v="0"/>
    <x v="4"/>
    <x v="5"/>
    <x v="5"/>
    <x v="36"/>
    <x v="36"/>
    <n v="14.7721192660462"/>
    <x v="0"/>
    <x v="0"/>
    <x v="1"/>
    <x v="3"/>
    <x v="3"/>
    <x v="4"/>
    <n v="16.101609999990359"/>
  </r>
  <r>
    <x v="11"/>
    <x v="0"/>
    <x v="11"/>
    <x v="11"/>
    <x v="0"/>
    <x v="0"/>
    <x v="0"/>
    <x v="0"/>
    <x v="0"/>
    <x v="0"/>
    <x v="0"/>
    <x v="0"/>
    <x v="4"/>
    <x v="5"/>
    <x v="5"/>
    <x v="23"/>
    <x v="23"/>
    <n v="7.1853211009130002E-2"/>
    <x v="0"/>
    <x v="0"/>
    <x v="1"/>
    <x v="3"/>
    <x v="3"/>
    <x v="15"/>
    <n v="7.8319999999951706E-2"/>
  </r>
  <r>
    <x v="11"/>
    <x v="0"/>
    <x v="11"/>
    <x v="11"/>
    <x v="0"/>
    <x v="0"/>
    <x v="0"/>
    <x v="0"/>
    <x v="0"/>
    <x v="0"/>
    <x v="0"/>
    <x v="0"/>
    <x v="4"/>
    <x v="5"/>
    <x v="5"/>
    <x v="24"/>
    <x v="24"/>
    <n v="7.7542385321054397"/>
    <x v="0"/>
    <x v="0"/>
    <x v="1"/>
    <x v="3"/>
    <x v="3"/>
    <x v="4"/>
    <n v="8.4521199999949292"/>
  </r>
  <r>
    <x v="11"/>
    <x v="0"/>
    <x v="11"/>
    <x v="11"/>
    <x v="0"/>
    <x v="0"/>
    <x v="0"/>
    <x v="0"/>
    <x v="0"/>
    <x v="0"/>
    <x v="0"/>
    <x v="0"/>
    <x v="4"/>
    <x v="5"/>
    <x v="5"/>
    <x v="17"/>
    <x v="17"/>
    <n v="14.99592"/>
    <x v="0"/>
    <x v="0"/>
    <x v="0"/>
    <x v="0"/>
    <x v="4"/>
    <x v="17"/>
    <n v="16.3455528"/>
  </r>
  <r>
    <x v="11"/>
    <x v="0"/>
    <x v="11"/>
    <x v="11"/>
    <x v="0"/>
    <x v="0"/>
    <x v="0"/>
    <x v="0"/>
    <x v="0"/>
    <x v="0"/>
    <x v="0"/>
    <x v="0"/>
    <x v="4"/>
    <x v="5"/>
    <x v="5"/>
    <x v="18"/>
    <x v="18"/>
    <n v="56.554699999999997"/>
    <x v="0"/>
    <x v="0"/>
    <x v="0"/>
    <x v="0"/>
    <x v="4"/>
    <x v="18"/>
    <n v="61.644623000000003"/>
  </r>
  <r>
    <x v="11"/>
    <x v="0"/>
    <x v="11"/>
    <x v="11"/>
    <x v="0"/>
    <x v="0"/>
    <x v="0"/>
    <x v="0"/>
    <x v="0"/>
    <x v="0"/>
    <x v="0"/>
    <x v="0"/>
    <x v="4"/>
    <x v="5"/>
    <x v="5"/>
    <x v="34"/>
    <x v="34"/>
    <n v="11.606353711593099"/>
    <x v="0"/>
    <x v="0"/>
    <x v="0"/>
    <x v="0"/>
    <x v="0"/>
    <x v="0"/>
    <n v="12.650925545636479"/>
  </r>
  <r>
    <x v="11"/>
    <x v="0"/>
    <x v="11"/>
    <x v="11"/>
    <x v="0"/>
    <x v="0"/>
    <x v="0"/>
    <x v="0"/>
    <x v="0"/>
    <x v="0"/>
    <x v="0"/>
    <x v="0"/>
    <x v="4"/>
    <x v="5"/>
    <x v="5"/>
    <x v="25"/>
    <x v="25"/>
    <n v="2.6530550458699702"/>
    <x v="0"/>
    <x v="0"/>
    <x v="1"/>
    <x v="4"/>
    <x v="5"/>
    <x v="9"/>
    <n v="2.8918299999982677"/>
  </r>
  <r>
    <x v="11"/>
    <x v="0"/>
    <x v="11"/>
    <x v="11"/>
    <x v="0"/>
    <x v="0"/>
    <x v="0"/>
    <x v="0"/>
    <x v="0"/>
    <x v="0"/>
    <x v="0"/>
    <x v="0"/>
    <x v="4"/>
    <x v="5"/>
    <x v="5"/>
    <x v="37"/>
    <x v="37"/>
    <n v="11.293192660543699"/>
    <x v="0"/>
    <x v="0"/>
    <x v="1"/>
    <x v="3"/>
    <x v="3"/>
    <x v="4"/>
    <n v="12.309579999992634"/>
  </r>
  <r>
    <x v="11"/>
    <x v="0"/>
    <x v="11"/>
    <x v="11"/>
    <x v="0"/>
    <x v="0"/>
    <x v="0"/>
    <x v="0"/>
    <x v="0"/>
    <x v="0"/>
    <x v="0"/>
    <x v="0"/>
    <x v="4"/>
    <x v="5"/>
    <x v="5"/>
    <x v="27"/>
    <x v="27"/>
    <n v="5.3747252253391702"/>
    <x v="0"/>
    <x v="0"/>
    <x v="1"/>
    <x v="3"/>
    <x v="3"/>
    <x v="19"/>
    <n v="5.8584504956196959"/>
  </r>
  <r>
    <x v="11"/>
    <x v="0"/>
    <x v="11"/>
    <x v="11"/>
    <x v="0"/>
    <x v="0"/>
    <x v="0"/>
    <x v="0"/>
    <x v="0"/>
    <x v="0"/>
    <x v="0"/>
    <x v="0"/>
    <x v="4"/>
    <x v="5"/>
    <x v="5"/>
    <x v="26"/>
    <x v="26"/>
    <n v="23.517073394481301"/>
    <x v="0"/>
    <x v="0"/>
    <x v="1"/>
    <x v="3"/>
    <x v="3"/>
    <x v="15"/>
    <n v="25.633609999984621"/>
  </r>
  <r>
    <x v="11"/>
    <x v="0"/>
    <x v="11"/>
    <x v="11"/>
    <x v="0"/>
    <x v="0"/>
    <x v="0"/>
    <x v="0"/>
    <x v="0"/>
    <x v="0"/>
    <x v="0"/>
    <x v="0"/>
    <x v="4"/>
    <x v="5"/>
    <x v="5"/>
    <x v="0"/>
    <x v="0"/>
    <n v="8.3086236654571604"/>
    <x v="0"/>
    <x v="0"/>
    <x v="0"/>
    <x v="0"/>
    <x v="0"/>
    <x v="0"/>
    <n v="9.0563997953483053"/>
  </r>
  <r>
    <x v="11"/>
    <x v="0"/>
    <x v="11"/>
    <x v="11"/>
    <x v="0"/>
    <x v="0"/>
    <x v="0"/>
    <x v="0"/>
    <x v="0"/>
    <x v="0"/>
    <x v="0"/>
    <x v="0"/>
    <x v="4"/>
    <x v="5"/>
    <x v="5"/>
    <x v="2"/>
    <x v="2"/>
    <n v="588.54654128405105"/>
    <x v="0"/>
    <x v="1"/>
    <x v="2"/>
    <x v="2"/>
    <x v="13"/>
    <x v="2"/>
    <n v="641.5157299996157"/>
  </r>
  <r>
    <x v="11"/>
    <x v="0"/>
    <x v="11"/>
    <x v="11"/>
    <x v="0"/>
    <x v="0"/>
    <x v="0"/>
    <x v="0"/>
    <x v="0"/>
    <x v="0"/>
    <x v="0"/>
    <x v="0"/>
    <x v="4"/>
    <x v="5"/>
    <x v="5"/>
    <x v="3"/>
    <x v="3"/>
    <n v="4.2453847287329003"/>
    <x v="0"/>
    <x v="0"/>
    <x v="1"/>
    <x v="3"/>
    <x v="3"/>
    <x v="3"/>
    <n v="4.6274693543188619"/>
  </r>
  <r>
    <x v="11"/>
    <x v="0"/>
    <x v="11"/>
    <x v="11"/>
    <x v="0"/>
    <x v="0"/>
    <x v="0"/>
    <x v="0"/>
    <x v="0"/>
    <x v="0"/>
    <x v="3"/>
    <x v="3"/>
    <x v="2"/>
    <x v="2"/>
    <x v="2"/>
    <x v="5"/>
    <x v="5"/>
    <n v="3.8797546012564799"/>
    <x v="0"/>
    <x v="0"/>
    <x v="1"/>
    <x v="1"/>
    <x v="1"/>
    <x v="5"/>
    <n v="4.2289325153695634"/>
  </r>
  <r>
    <x v="11"/>
    <x v="0"/>
    <x v="11"/>
    <x v="11"/>
    <x v="0"/>
    <x v="0"/>
    <x v="0"/>
    <x v="0"/>
    <x v="0"/>
    <x v="0"/>
    <x v="3"/>
    <x v="3"/>
    <x v="2"/>
    <x v="2"/>
    <x v="2"/>
    <x v="6"/>
    <x v="6"/>
    <n v="4.63828"/>
    <x v="0"/>
    <x v="0"/>
    <x v="0"/>
    <x v="0"/>
    <x v="4"/>
    <x v="6"/>
    <n v="5.0557252000000004"/>
  </r>
  <r>
    <x v="11"/>
    <x v="0"/>
    <x v="11"/>
    <x v="11"/>
    <x v="0"/>
    <x v="0"/>
    <x v="0"/>
    <x v="0"/>
    <x v="0"/>
    <x v="0"/>
    <x v="3"/>
    <x v="3"/>
    <x v="2"/>
    <x v="2"/>
    <x v="2"/>
    <x v="8"/>
    <x v="8"/>
    <n v="13.4256729482616"/>
    <x v="0"/>
    <x v="1"/>
    <x v="2"/>
    <x v="2"/>
    <x v="6"/>
    <x v="8"/>
    <n v="14.633983513605145"/>
  </r>
  <r>
    <x v="11"/>
    <x v="0"/>
    <x v="11"/>
    <x v="11"/>
    <x v="0"/>
    <x v="0"/>
    <x v="0"/>
    <x v="0"/>
    <x v="0"/>
    <x v="0"/>
    <x v="3"/>
    <x v="3"/>
    <x v="2"/>
    <x v="2"/>
    <x v="2"/>
    <x v="9"/>
    <x v="9"/>
    <n v="1.056880733944E-2"/>
    <x v="0"/>
    <x v="0"/>
    <x v="1"/>
    <x v="4"/>
    <x v="5"/>
    <x v="9"/>
    <n v="1.1519999999989601E-2"/>
  </r>
  <r>
    <x v="11"/>
    <x v="0"/>
    <x v="11"/>
    <x v="11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5.5412984000000005"/>
  </r>
  <r>
    <x v="11"/>
    <x v="0"/>
    <x v="11"/>
    <x v="11"/>
    <x v="0"/>
    <x v="0"/>
    <x v="0"/>
    <x v="0"/>
    <x v="0"/>
    <x v="0"/>
    <x v="3"/>
    <x v="3"/>
    <x v="2"/>
    <x v="2"/>
    <x v="2"/>
    <x v="16"/>
    <x v="16"/>
    <n v="13.26436"/>
    <x v="0"/>
    <x v="0"/>
    <x v="3"/>
    <x v="5"/>
    <x v="9"/>
    <x v="16"/>
    <n v="14.458152400000001"/>
  </r>
  <r>
    <x v="11"/>
    <x v="0"/>
    <x v="11"/>
    <x v="11"/>
    <x v="0"/>
    <x v="0"/>
    <x v="0"/>
    <x v="0"/>
    <x v="0"/>
    <x v="0"/>
    <x v="3"/>
    <x v="3"/>
    <x v="2"/>
    <x v="2"/>
    <x v="2"/>
    <x v="17"/>
    <x v="17"/>
    <n v="1.0958000000000001"/>
    <x v="0"/>
    <x v="0"/>
    <x v="0"/>
    <x v="0"/>
    <x v="4"/>
    <x v="17"/>
    <n v="1.1944220000000001"/>
  </r>
  <r>
    <x v="11"/>
    <x v="0"/>
    <x v="11"/>
    <x v="11"/>
    <x v="0"/>
    <x v="0"/>
    <x v="0"/>
    <x v="0"/>
    <x v="0"/>
    <x v="0"/>
    <x v="3"/>
    <x v="3"/>
    <x v="2"/>
    <x v="2"/>
    <x v="2"/>
    <x v="2"/>
    <x v="2"/>
    <n v="2.3596330275220002E-2"/>
    <x v="0"/>
    <x v="1"/>
    <x v="2"/>
    <x v="2"/>
    <x v="13"/>
    <x v="2"/>
    <n v="2.5719999999989803E-2"/>
  </r>
  <r>
    <x v="11"/>
    <x v="0"/>
    <x v="11"/>
    <x v="11"/>
    <x v="0"/>
    <x v="0"/>
    <x v="0"/>
    <x v="0"/>
    <x v="0"/>
    <x v="0"/>
    <x v="3"/>
    <x v="3"/>
    <x v="4"/>
    <x v="5"/>
    <x v="5"/>
    <x v="8"/>
    <x v="8"/>
    <n v="7.6182567568055104"/>
    <x v="0"/>
    <x v="1"/>
    <x v="2"/>
    <x v="2"/>
    <x v="6"/>
    <x v="8"/>
    <n v="8.3038998649180069"/>
  </r>
  <r>
    <x v="11"/>
    <x v="0"/>
    <x v="11"/>
    <x v="11"/>
    <x v="0"/>
    <x v="0"/>
    <x v="0"/>
    <x v="0"/>
    <x v="0"/>
    <x v="0"/>
    <x v="3"/>
    <x v="3"/>
    <x v="4"/>
    <x v="5"/>
    <x v="5"/>
    <x v="12"/>
    <x v="12"/>
    <n v="7.9855116278766296"/>
    <x v="0"/>
    <x v="0"/>
    <x v="0"/>
    <x v="0"/>
    <x v="8"/>
    <x v="12"/>
    <n v="8.7042076743855272"/>
  </r>
  <r>
    <x v="11"/>
    <x v="0"/>
    <x v="11"/>
    <x v="11"/>
    <x v="0"/>
    <x v="0"/>
    <x v="0"/>
    <x v="0"/>
    <x v="0"/>
    <x v="0"/>
    <x v="3"/>
    <x v="3"/>
    <x v="4"/>
    <x v="5"/>
    <x v="5"/>
    <x v="18"/>
    <x v="18"/>
    <n v="2.3333200000000001"/>
    <x v="0"/>
    <x v="0"/>
    <x v="0"/>
    <x v="0"/>
    <x v="4"/>
    <x v="18"/>
    <n v="2.5433188000000002"/>
  </r>
  <r>
    <x v="11"/>
    <x v="0"/>
    <x v="11"/>
    <x v="11"/>
    <x v="0"/>
    <x v="0"/>
    <x v="0"/>
    <x v="0"/>
    <x v="0"/>
    <x v="0"/>
    <x v="3"/>
    <x v="3"/>
    <x v="4"/>
    <x v="5"/>
    <x v="5"/>
    <x v="27"/>
    <x v="27"/>
    <n v="0.67567567568999998"/>
    <x v="0"/>
    <x v="0"/>
    <x v="1"/>
    <x v="3"/>
    <x v="3"/>
    <x v="19"/>
    <n v="0.73648648650210002"/>
  </r>
  <r>
    <x v="11"/>
    <x v="0"/>
    <x v="11"/>
    <x v="11"/>
    <x v="0"/>
    <x v="0"/>
    <x v="0"/>
    <x v="0"/>
    <x v="0"/>
    <x v="0"/>
    <x v="3"/>
    <x v="3"/>
    <x v="4"/>
    <x v="5"/>
    <x v="5"/>
    <x v="0"/>
    <x v="0"/>
    <n v="39.798678825511303"/>
    <x v="0"/>
    <x v="0"/>
    <x v="0"/>
    <x v="0"/>
    <x v="0"/>
    <x v="0"/>
    <n v="43.380559919807325"/>
  </r>
  <r>
    <x v="11"/>
    <x v="0"/>
    <x v="11"/>
    <x v="11"/>
    <x v="0"/>
    <x v="0"/>
    <x v="0"/>
    <x v="0"/>
    <x v="0"/>
    <x v="0"/>
    <x v="3"/>
    <x v="3"/>
    <x v="4"/>
    <x v="5"/>
    <x v="5"/>
    <x v="2"/>
    <x v="2"/>
    <n v="0.33447706421998002"/>
    <x v="0"/>
    <x v="1"/>
    <x v="2"/>
    <x v="2"/>
    <x v="13"/>
    <x v="2"/>
    <n v="0.36457999999977825"/>
  </r>
  <r>
    <x v="11"/>
    <x v="0"/>
    <x v="11"/>
    <x v="11"/>
    <x v="0"/>
    <x v="0"/>
    <x v="0"/>
    <x v="0"/>
    <x v="0"/>
    <x v="0"/>
    <x v="4"/>
    <x v="4"/>
    <x v="2"/>
    <x v="2"/>
    <x v="2"/>
    <x v="7"/>
    <x v="7"/>
    <n v="9.5963302752240007E-2"/>
    <x v="0"/>
    <x v="0"/>
    <x v="1"/>
    <x v="4"/>
    <x v="5"/>
    <x v="7"/>
    <n v="0.10459999999994161"/>
  </r>
  <r>
    <x v="11"/>
    <x v="0"/>
    <x v="11"/>
    <x v="11"/>
    <x v="0"/>
    <x v="0"/>
    <x v="0"/>
    <x v="0"/>
    <x v="0"/>
    <x v="0"/>
    <x v="4"/>
    <x v="4"/>
    <x v="2"/>
    <x v="2"/>
    <x v="2"/>
    <x v="8"/>
    <x v="8"/>
    <n v="2.1864864865E-2"/>
    <x v="0"/>
    <x v="1"/>
    <x v="2"/>
    <x v="2"/>
    <x v="6"/>
    <x v="8"/>
    <n v="2.3832702702850001E-2"/>
  </r>
  <r>
    <x v="11"/>
    <x v="0"/>
    <x v="11"/>
    <x v="11"/>
    <x v="0"/>
    <x v="0"/>
    <x v="0"/>
    <x v="0"/>
    <x v="0"/>
    <x v="0"/>
    <x v="4"/>
    <x v="4"/>
    <x v="2"/>
    <x v="2"/>
    <x v="2"/>
    <x v="9"/>
    <x v="9"/>
    <n v="4.3963302752269999E-2"/>
    <x v="0"/>
    <x v="0"/>
    <x v="1"/>
    <x v="4"/>
    <x v="5"/>
    <x v="9"/>
    <n v="4.7919999999974303E-2"/>
  </r>
  <r>
    <x v="11"/>
    <x v="0"/>
    <x v="11"/>
    <x v="11"/>
    <x v="0"/>
    <x v="0"/>
    <x v="0"/>
    <x v="0"/>
    <x v="0"/>
    <x v="0"/>
    <x v="4"/>
    <x v="4"/>
    <x v="2"/>
    <x v="2"/>
    <x v="2"/>
    <x v="29"/>
    <x v="29"/>
    <n v="0.10392"/>
    <x v="0"/>
    <x v="0"/>
    <x v="1"/>
    <x v="3"/>
    <x v="3"/>
    <x v="13"/>
    <n v="0.11327280000000001"/>
  </r>
  <r>
    <x v="11"/>
    <x v="0"/>
    <x v="11"/>
    <x v="11"/>
    <x v="0"/>
    <x v="0"/>
    <x v="0"/>
    <x v="0"/>
    <x v="0"/>
    <x v="0"/>
    <x v="4"/>
    <x v="4"/>
    <x v="2"/>
    <x v="2"/>
    <x v="2"/>
    <x v="16"/>
    <x v="16"/>
    <n v="1.1302399999999999"/>
    <x v="0"/>
    <x v="0"/>
    <x v="3"/>
    <x v="5"/>
    <x v="9"/>
    <x v="16"/>
    <n v="1.2319616"/>
  </r>
  <r>
    <x v="11"/>
    <x v="0"/>
    <x v="11"/>
    <x v="11"/>
    <x v="0"/>
    <x v="0"/>
    <x v="0"/>
    <x v="0"/>
    <x v="0"/>
    <x v="0"/>
    <x v="4"/>
    <x v="4"/>
    <x v="2"/>
    <x v="2"/>
    <x v="2"/>
    <x v="25"/>
    <x v="25"/>
    <n v="4.7412844036670003E-2"/>
    <x v="0"/>
    <x v="0"/>
    <x v="1"/>
    <x v="4"/>
    <x v="5"/>
    <x v="9"/>
    <n v="5.1679999999970305E-2"/>
  </r>
  <r>
    <x v="11"/>
    <x v="0"/>
    <x v="11"/>
    <x v="11"/>
    <x v="0"/>
    <x v="0"/>
    <x v="0"/>
    <x v="0"/>
    <x v="0"/>
    <x v="0"/>
    <x v="4"/>
    <x v="4"/>
    <x v="2"/>
    <x v="2"/>
    <x v="2"/>
    <x v="27"/>
    <x v="27"/>
    <n v="0.30554054054702001"/>
    <x v="0"/>
    <x v="0"/>
    <x v="1"/>
    <x v="3"/>
    <x v="3"/>
    <x v="19"/>
    <n v="0.33303918919625186"/>
  </r>
  <r>
    <x v="11"/>
    <x v="0"/>
    <x v="11"/>
    <x v="11"/>
    <x v="0"/>
    <x v="0"/>
    <x v="0"/>
    <x v="0"/>
    <x v="2"/>
    <x v="2"/>
    <x v="5"/>
    <x v="5"/>
    <x v="2"/>
    <x v="2"/>
    <x v="2"/>
    <x v="42"/>
    <x v="42"/>
    <n v="0.24116000000000001"/>
    <x v="1"/>
    <x v="2"/>
    <x v="5"/>
    <x v="7"/>
    <x v="11"/>
    <x v="22"/>
    <n v="0.26286440000000005"/>
  </r>
  <r>
    <x v="11"/>
    <x v="0"/>
    <x v="11"/>
    <x v="11"/>
    <x v="0"/>
    <x v="0"/>
    <x v="0"/>
    <x v="0"/>
    <x v="2"/>
    <x v="2"/>
    <x v="5"/>
    <x v="5"/>
    <x v="2"/>
    <x v="2"/>
    <x v="2"/>
    <x v="41"/>
    <x v="41"/>
    <n v="3.2423829787110798"/>
    <x v="1"/>
    <x v="2"/>
    <x v="5"/>
    <x v="7"/>
    <x v="11"/>
    <x v="22"/>
    <n v="3.5341974467950772"/>
  </r>
  <r>
    <x v="11"/>
    <x v="0"/>
    <x v="11"/>
    <x v="11"/>
    <x v="0"/>
    <x v="0"/>
    <x v="0"/>
    <x v="0"/>
    <x v="2"/>
    <x v="2"/>
    <x v="5"/>
    <x v="5"/>
    <x v="2"/>
    <x v="2"/>
    <x v="2"/>
    <x v="40"/>
    <x v="40"/>
    <n v="32.232120000000002"/>
    <x v="1"/>
    <x v="2"/>
    <x v="5"/>
    <x v="7"/>
    <x v="11"/>
    <x v="22"/>
    <n v="35.133010800000008"/>
  </r>
  <r>
    <x v="11"/>
    <x v="0"/>
    <x v="11"/>
    <x v="11"/>
    <x v="0"/>
    <x v="0"/>
    <x v="0"/>
    <x v="0"/>
    <x v="0"/>
    <x v="0"/>
    <x v="5"/>
    <x v="5"/>
    <x v="2"/>
    <x v="2"/>
    <x v="2"/>
    <x v="17"/>
    <x v="17"/>
    <n v="0.21048"/>
    <x v="0"/>
    <x v="0"/>
    <x v="0"/>
    <x v="0"/>
    <x v="4"/>
    <x v="17"/>
    <n v="0.22942320000000002"/>
  </r>
  <r>
    <x v="11"/>
    <x v="0"/>
    <x v="11"/>
    <x v="11"/>
    <x v="0"/>
    <x v="0"/>
    <x v="0"/>
    <x v="0"/>
    <x v="2"/>
    <x v="2"/>
    <x v="5"/>
    <x v="5"/>
    <x v="1"/>
    <x v="6"/>
    <x v="6"/>
    <x v="41"/>
    <x v="41"/>
    <n v="4.7493829787053601"/>
    <x v="1"/>
    <x v="2"/>
    <x v="5"/>
    <x v="7"/>
    <x v="11"/>
    <x v="22"/>
    <n v="5.1768274467888427"/>
  </r>
  <r>
    <x v="11"/>
    <x v="0"/>
    <x v="11"/>
    <x v="11"/>
    <x v="0"/>
    <x v="0"/>
    <x v="0"/>
    <x v="0"/>
    <x v="2"/>
    <x v="2"/>
    <x v="5"/>
    <x v="5"/>
    <x v="1"/>
    <x v="6"/>
    <x v="6"/>
    <x v="40"/>
    <x v="40"/>
    <n v="99.950019999999995"/>
    <x v="1"/>
    <x v="2"/>
    <x v="5"/>
    <x v="7"/>
    <x v="11"/>
    <x v="22"/>
    <n v="108.94552180000001"/>
  </r>
  <r>
    <x v="11"/>
    <x v="0"/>
    <x v="11"/>
    <x v="11"/>
    <x v="0"/>
    <x v="0"/>
    <x v="0"/>
    <x v="0"/>
    <x v="2"/>
    <x v="2"/>
    <x v="5"/>
    <x v="5"/>
    <x v="3"/>
    <x v="7"/>
    <x v="7"/>
    <x v="40"/>
    <x v="40"/>
    <n v="2.0074999999999998"/>
    <x v="1"/>
    <x v="2"/>
    <x v="5"/>
    <x v="7"/>
    <x v="11"/>
    <x v="22"/>
    <n v="2.1881750000000002"/>
  </r>
  <r>
    <x v="11"/>
    <x v="0"/>
    <x v="11"/>
    <x v="11"/>
    <x v="0"/>
    <x v="0"/>
    <x v="0"/>
    <x v="0"/>
    <x v="2"/>
    <x v="2"/>
    <x v="5"/>
    <x v="5"/>
    <x v="1"/>
    <x v="8"/>
    <x v="8"/>
    <x v="40"/>
    <x v="40"/>
    <n v="1.6553599999999999"/>
    <x v="1"/>
    <x v="2"/>
    <x v="5"/>
    <x v="7"/>
    <x v="11"/>
    <x v="22"/>
    <n v="1.8043424000000001"/>
  </r>
  <r>
    <x v="11"/>
    <x v="0"/>
    <x v="11"/>
    <x v="11"/>
    <x v="0"/>
    <x v="0"/>
    <x v="0"/>
    <x v="0"/>
    <x v="2"/>
    <x v="2"/>
    <x v="5"/>
    <x v="5"/>
    <x v="2"/>
    <x v="10"/>
    <x v="10"/>
    <x v="40"/>
    <x v="40"/>
    <n v="0.32514999999999999"/>
    <x v="1"/>
    <x v="2"/>
    <x v="5"/>
    <x v="7"/>
    <x v="11"/>
    <x v="22"/>
    <n v="0.35441349999999999"/>
  </r>
  <r>
    <x v="11"/>
    <x v="0"/>
    <x v="11"/>
    <x v="11"/>
    <x v="0"/>
    <x v="0"/>
    <x v="0"/>
    <x v="0"/>
    <x v="2"/>
    <x v="2"/>
    <x v="5"/>
    <x v="5"/>
    <x v="4"/>
    <x v="5"/>
    <x v="5"/>
    <x v="40"/>
    <x v="40"/>
    <n v="57.125100000000003"/>
    <x v="1"/>
    <x v="2"/>
    <x v="5"/>
    <x v="7"/>
    <x v="11"/>
    <x v="22"/>
    <n v="62.266359000000008"/>
  </r>
  <r>
    <x v="11"/>
    <x v="0"/>
    <x v="11"/>
    <x v="11"/>
    <x v="0"/>
    <x v="0"/>
    <x v="0"/>
    <x v="0"/>
    <x v="2"/>
    <x v="2"/>
    <x v="6"/>
    <x v="6"/>
    <x v="2"/>
    <x v="2"/>
    <x v="2"/>
    <x v="40"/>
    <x v="40"/>
    <n v="9.5079999999999998E-2"/>
    <x v="1"/>
    <x v="2"/>
    <x v="5"/>
    <x v="7"/>
    <x v="11"/>
    <x v="22"/>
    <n v="0.1036372"/>
  </r>
  <r>
    <x v="11"/>
    <x v="0"/>
    <x v="11"/>
    <x v="11"/>
    <x v="0"/>
    <x v="0"/>
    <x v="0"/>
    <x v="0"/>
    <x v="2"/>
    <x v="2"/>
    <x v="7"/>
    <x v="7"/>
    <x v="2"/>
    <x v="2"/>
    <x v="2"/>
    <x v="40"/>
    <x v="40"/>
    <n v="3.29792"/>
    <x v="1"/>
    <x v="2"/>
    <x v="5"/>
    <x v="7"/>
    <x v="11"/>
    <x v="22"/>
    <n v="3.5947328000000001"/>
  </r>
  <r>
    <x v="11"/>
    <x v="0"/>
    <x v="11"/>
    <x v="11"/>
    <x v="0"/>
    <x v="0"/>
    <x v="0"/>
    <x v="0"/>
    <x v="2"/>
    <x v="2"/>
    <x v="7"/>
    <x v="7"/>
    <x v="2"/>
    <x v="2"/>
    <x v="2"/>
    <x v="38"/>
    <x v="38"/>
    <n v="0.24296000000000001"/>
    <x v="1"/>
    <x v="0"/>
    <x v="4"/>
    <x v="6"/>
    <x v="10"/>
    <x v="21"/>
    <n v="0.26482640000000002"/>
  </r>
  <r>
    <x v="11"/>
    <x v="0"/>
    <x v="11"/>
    <x v="11"/>
    <x v="0"/>
    <x v="0"/>
    <x v="0"/>
    <x v="0"/>
    <x v="2"/>
    <x v="2"/>
    <x v="7"/>
    <x v="7"/>
    <x v="2"/>
    <x v="2"/>
    <x v="2"/>
    <x v="46"/>
    <x v="46"/>
    <n v="0.11836000000000001"/>
    <x v="1"/>
    <x v="0"/>
    <x v="4"/>
    <x v="6"/>
    <x v="10"/>
    <x v="21"/>
    <n v="0.12901240000000003"/>
  </r>
  <r>
    <x v="11"/>
    <x v="0"/>
    <x v="11"/>
    <x v="11"/>
    <x v="0"/>
    <x v="0"/>
    <x v="0"/>
    <x v="0"/>
    <x v="2"/>
    <x v="2"/>
    <x v="7"/>
    <x v="7"/>
    <x v="1"/>
    <x v="6"/>
    <x v="6"/>
    <x v="40"/>
    <x v="40"/>
    <n v="2.9249999999999998"/>
    <x v="1"/>
    <x v="2"/>
    <x v="5"/>
    <x v="7"/>
    <x v="11"/>
    <x v="22"/>
    <n v="3.18825"/>
  </r>
  <r>
    <x v="11"/>
    <x v="0"/>
    <x v="11"/>
    <x v="11"/>
    <x v="0"/>
    <x v="0"/>
    <x v="0"/>
    <x v="0"/>
    <x v="2"/>
    <x v="2"/>
    <x v="7"/>
    <x v="7"/>
    <x v="3"/>
    <x v="7"/>
    <x v="7"/>
    <x v="40"/>
    <x v="40"/>
    <n v="63.260539999999999"/>
    <x v="1"/>
    <x v="2"/>
    <x v="5"/>
    <x v="7"/>
    <x v="11"/>
    <x v="22"/>
    <n v="68.953988600000002"/>
  </r>
  <r>
    <x v="11"/>
    <x v="0"/>
    <x v="11"/>
    <x v="11"/>
    <x v="0"/>
    <x v="0"/>
    <x v="0"/>
    <x v="0"/>
    <x v="2"/>
    <x v="2"/>
    <x v="7"/>
    <x v="7"/>
    <x v="1"/>
    <x v="8"/>
    <x v="8"/>
    <x v="40"/>
    <x v="40"/>
    <n v="6.2480599999999997"/>
    <x v="1"/>
    <x v="2"/>
    <x v="5"/>
    <x v="7"/>
    <x v="11"/>
    <x v="22"/>
    <n v="6.8103854000000004"/>
  </r>
  <r>
    <x v="11"/>
    <x v="0"/>
    <x v="11"/>
    <x v="11"/>
    <x v="0"/>
    <x v="0"/>
    <x v="0"/>
    <x v="0"/>
    <x v="2"/>
    <x v="2"/>
    <x v="7"/>
    <x v="7"/>
    <x v="2"/>
    <x v="10"/>
    <x v="10"/>
    <x v="40"/>
    <x v="40"/>
    <n v="1.08389"/>
    <x v="1"/>
    <x v="2"/>
    <x v="5"/>
    <x v="7"/>
    <x v="11"/>
    <x v="22"/>
    <n v="1.1814401000000001"/>
  </r>
  <r>
    <x v="11"/>
    <x v="0"/>
    <x v="11"/>
    <x v="11"/>
    <x v="0"/>
    <x v="0"/>
    <x v="0"/>
    <x v="0"/>
    <x v="2"/>
    <x v="2"/>
    <x v="7"/>
    <x v="7"/>
    <x v="4"/>
    <x v="5"/>
    <x v="5"/>
    <x v="40"/>
    <x v="40"/>
    <n v="51.167259999999999"/>
    <x v="1"/>
    <x v="2"/>
    <x v="5"/>
    <x v="7"/>
    <x v="11"/>
    <x v="22"/>
    <n v="55.772313400000002"/>
  </r>
  <r>
    <x v="11"/>
    <x v="0"/>
    <x v="11"/>
    <x v="11"/>
    <x v="0"/>
    <x v="0"/>
    <x v="0"/>
    <x v="0"/>
    <x v="2"/>
    <x v="2"/>
    <x v="8"/>
    <x v="8"/>
    <x v="2"/>
    <x v="2"/>
    <x v="2"/>
    <x v="40"/>
    <x v="40"/>
    <n v="1.1559200000000001"/>
    <x v="1"/>
    <x v="2"/>
    <x v="5"/>
    <x v="7"/>
    <x v="11"/>
    <x v="22"/>
    <n v="1.2599528000000002"/>
  </r>
  <r>
    <x v="11"/>
    <x v="0"/>
    <x v="11"/>
    <x v="11"/>
    <x v="0"/>
    <x v="0"/>
    <x v="0"/>
    <x v="0"/>
    <x v="2"/>
    <x v="2"/>
    <x v="9"/>
    <x v="9"/>
    <x v="2"/>
    <x v="2"/>
    <x v="2"/>
    <x v="40"/>
    <x v="40"/>
    <n v="38.841720000000002"/>
    <x v="1"/>
    <x v="2"/>
    <x v="5"/>
    <x v="7"/>
    <x v="11"/>
    <x v="22"/>
    <n v="42.337474800000003"/>
  </r>
  <r>
    <x v="11"/>
    <x v="0"/>
    <x v="11"/>
    <x v="11"/>
    <x v="0"/>
    <x v="0"/>
    <x v="0"/>
    <x v="0"/>
    <x v="2"/>
    <x v="2"/>
    <x v="9"/>
    <x v="9"/>
    <x v="2"/>
    <x v="2"/>
    <x v="2"/>
    <x v="38"/>
    <x v="38"/>
    <n v="0.24468000000000001"/>
    <x v="1"/>
    <x v="0"/>
    <x v="4"/>
    <x v="6"/>
    <x v="10"/>
    <x v="21"/>
    <n v="0.26670120000000003"/>
  </r>
  <r>
    <x v="11"/>
    <x v="0"/>
    <x v="11"/>
    <x v="11"/>
    <x v="0"/>
    <x v="0"/>
    <x v="0"/>
    <x v="0"/>
    <x v="2"/>
    <x v="2"/>
    <x v="9"/>
    <x v="9"/>
    <x v="2"/>
    <x v="2"/>
    <x v="2"/>
    <x v="48"/>
    <x v="48"/>
    <n v="0.12336"/>
    <x v="1"/>
    <x v="0"/>
    <x v="4"/>
    <x v="6"/>
    <x v="10"/>
    <x v="21"/>
    <n v="0.13446240000000001"/>
  </r>
  <r>
    <x v="11"/>
    <x v="0"/>
    <x v="11"/>
    <x v="11"/>
    <x v="0"/>
    <x v="0"/>
    <x v="0"/>
    <x v="0"/>
    <x v="2"/>
    <x v="2"/>
    <x v="9"/>
    <x v="9"/>
    <x v="1"/>
    <x v="6"/>
    <x v="6"/>
    <x v="40"/>
    <x v="40"/>
    <n v="71.346900000000005"/>
    <x v="1"/>
    <x v="2"/>
    <x v="5"/>
    <x v="7"/>
    <x v="11"/>
    <x v="22"/>
    <n v="77.768121000000008"/>
  </r>
  <r>
    <x v="11"/>
    <x v="0"/>
    <x v="11"/>
    <x v="11"/>
    <x v="0"/>
    <x v="0"/>
    <x v="0"/>
    <x v="0"/>
    <x v="2"/>
    <x v="2"/>
    <x v="9"/>
    <x v="9"/>
    <x v="3"/>
    <x v="7"/>
    <x v="7"/>
    <x v="40"/>
    <x v="40"/>
    <n v="345.12849"/>
    <x v="1"/>
    <x v="2"/>
    <x v="5"/>
    <x v="7"/>
    <x v="11"/>
    <x v="22"/>
    <n v="376.19005410000005"/>
  </r>
  <r>
    <x v="11"/>
    <x v="0"/>
    <x v="11"/>
    <x v="11"/>
    <x v="0"/>
    <x v="0"/>
    <x v="0"/>
    <x v="0"/>
    <x v="2"/>
    <x v="2"/>
    <x v="9"/>
    <x v="9"/>
    <x v="1"/>
    <x v="8"/>
    <x v="8"/>
    <x v="40"/>
    <x v="40"/>
    <n v="95.038550000000001"/>
    <x v="1"/>
    <x v="2"/>
    <x v="5"/>
    <x v="7"/>
    <x v="11"/>
    <x v="22"/>
    <n v="103.59201950000001"/>
  </r>
  <r>
    <x v="11"/>
    <x v="0"/>
    <x v="11"/>
    <x v="11"/>
    <x v="0"/>
    <x v="0"/>
    <x v="0"/>
    <x v="0"/>
    <x v="2"/>
    <x v="2"/>
    <x v="9"/>
    <x v="9"/>
    <x v="2"/>
    <x v="10"/>
    <x v="10"/>
    <x v="40"/>
    <x v="40"/>
    <n v="80.669659999999993"/>
    <x v="1"/>
    <x v="2"/>
    <x v="5"/>
    <x v="7"/>
    <x v="11"/>
    <x v="22"/>
    <n v="87.929929400000006"/>
  </r>
  <r>
    <x v="11"/>
    <x v="0"/>
    <x v="11"/>
    <x v="11"/>
    <x v="0"/>
    <x v="0"/>
    <x v="0"/>
    <x v="0"/>
    <x v="2"/>
    <x v="2"/>
    <x v="9"/>
    <x v="9"/>
    <x v="4"/>
    <x v="5"/>
    <x v="5"/>
    <x v="40"/>
    <x v="40"/>
    <n v="518.36442"/>
    <x v="1"/>
    <x v="2"/>
    <x v="5"/>
    <x v="7"/>
    <x v="11"/>
    <x v="22"/>
    <n v="565.01721780000003"/>
  </r>
  <r>
    <x v="11"/>
    <x v="0"/>
    <x v="11"/>
    <x v="11"/>
    <x v="0"/>
    <x v="0"/>
    <x v="0"/>
    <x v="0"/>
    <x v="2"/>
    <x v="2"/>
    <x v="10"/>
    <x v="10"/>
    <x v="2"/>
    <x v="2"/>
    <x v="2"/>
    <x v="41"/>
    <x v="41"/>
    <n v="6.6170212765710001E-2"/>
    <x v="1"/>
    <x v="2"/>
    <x v="5"/>
    <x v="7"/>
    <x v="11"/>
    <x v="22"/>
    <n v="7.2125531914623911E-2"/>
  </r>
  <r>
    <x v="11"/>
    <x v="0"/>
    <x v="11"/>
    <x v="11"/>
    <x v="0"/>
    <x v="0"/>
    <x v="0"/>
    <x v="0"/>
    <x v="2"/>
    <x v="2"/>
    <x v="10"/>
    <x v="10"/>
    <x v="2"/>
    <x v="2"/>
    <x v="2"/>
    <x v="40"/>
    <x v="40"/>
    <n v="6.4987199999999996"/>
    <x v="1"/>
    <x v="2"/>
    <x v="5"/>
    <x v="7"/>
    <x v="11"/>
    <x v="22"/>
    <n v="7.0836047999999998"/>
  </r>
  <r>
    <x v="11"/>
    <x v="0"/>
    <x v="11"/>
    <x v="11"/>
    <x v="0"/>
    <x v="0"/>
    <x v="0"/>
    <x v="0"/>
    <x v="0"/>
    <x v="0"/>
    <x v="11"/>
    <x v="11"/>
    <x v="4"/>
    <x v="5"/>
    <x v="5"/>
    <x v="10"/>
    <x v="10"/>
    <n v="2.2644927999999998E-6"/>
    <x v="0"/>
    <x v="0"/>
    <x v="1"/>
    <x v="4"/>
    <x v="5"/>
    <x v="10"/>
    <n v="2.468297152E-6"/>
  </r>
  <r>
    <x v="11"/>
    <x v="0"/>
    <x v="11"/>
    <x v="11"/>
    <x v="0"/>
    <x v="0"/>
    <x v="0"/>
    <x v="0"/>
    <x v="3"/>
    <x v="3"/>
    <x v="12"/>
    <x v="12"/>
    <x v="2"/>
    <x v="2"/>
    <x v="2"/>
    <x v="40"/>
    <x v="40"/>
    <n v="0.18840000000000001"/>
    <x v="1"/>
    <x v="2"/>
    <x v="5"/>
    <x v="7"/>
    <x v="11"/>
    <x v="22"/>
    <n v="0.20535600000000004"/>
  </r>
  <r>
    <x v="11"/>
    <x v="0"/>
    <x v="11"/>
    <x v="11"/>
    <x v="0"/>
    <x v="0"/>
    <x v="0"/>
    <x v="0"/>
    <x v="3"/>
    <x v="3"/>
    <x v="12"/>
    <x v="12"/>
    <x v="3"/>
    <x v="7"/>
    <x v="7"/>
    <x v="40"/>
    <x v="40"/>
    <n v="2.8406899999999999"/>
    <x v="1"/>
    <x v="2"/>
    <x v="5"/>
    <x v="7"/>
    <x v="11"/>
    <x v="22"/>
    <n v="3.0963521000000003"/>
  </r>
  <r>
    <x v="11"/>
    <x v="0"/>
    <x v="11"/>
    <x v="11"/>
    <x v="0"/>
    <x v="0"/>
    <x v="0"/>
    <x v="0"/>
    <x v="3"/>
    <x v="3"/>
    <x v="12"/>
    <x v="12"/>
    <x v="4"/>
    <x v="5"/>
    <x v="5"/>
    <x v="40"/>
    <x v="40"/>
    <n v="7.7155199999999997"/>
    <x v="1"/>
    <x v="2"/>
    <x v="5"/>
    <x v="7"/>
    <x v="11"/>
    <x v="22"/>
    <n v="8.4099167999999995"/>
  </r>
  <r>
    <x v="11"/>
    <x v="0"/>
    <x v="11"/>
    <x v="11"/>
    <x v="0"/>
    <x v="0"/>
    <x v="0"/>
    <x v="0"/>
    <x v="3"/>
    <x v="3"/>
    <x v="13"/>
    <x v="13"/>
    <x v="2"/>
    <x v="2"/>
    <x v="2"/>
    <x v="41"/>
    <x v="41"/>
    <n v="3.2728936170088399"/>
    <x v="1"/>
    <x v="2"/>
    <x v="5"/>
    <x v="7"/>
    <x v="11"/>
    <x v="22"/>
    <n v="3.5674540425396355"/>
  </r>
  <r>
    <x v="11"/>
    <x v="0"/>
    <x v="11"/>
    <x v="11"/>
    <x v="0"/>
    <x v="0"/>
    <x v="0"/>
    <x v="0"/>
    <x v="3"/>
    <x v="3"/>
    <x v="13"/>
    <x v="13"/>
    <x v="2"/>
    <x v="2"/>
    <x v="2"/>
    <x v="40"/>
    <x v="40"/>
    <n v="2.9078400000000002"/>
    <x v="1"/>
    <x v="2"/>
    <x v="5"/>
    <x v="7"/>
    <x v="11"/>
    <x v="22"/>
    <n v="3.1695456000000006"/>
  </r>
  <r>
    <x v="11"/>
    <x v="0"/>
    <x v="11"/>
    <x v="11"/>
    <x v="0"/>
    <x v="0"/>
    <x v="0"/>
    <x v="0"/>
    <x v="3"/>
    <x v="3"/>
    <x v="13"/>
    <x v="13"/>
    <x v="1"/>
    <x v="6"/>
    <x v="6"/>
    <x v="40"/>
    <x v="40"/>
    <n v="3.36"/>
    <x v="1"/>
    <x v="2"/>
    <x v="5"/>
    <x v="7"/>
    <x v="11"/>
    <x v="22"/>
    <n v="3.6624000000000003"/>
  </r>
  <r>
    <x v="11"/>
    <x v="0"/>
    <x v="11"/>
    <x v="11"/>
    <x v="0"/>
    <x v="0"/>
    <x v="0"/>
    <x v="0"/>
    <x v="3"/>
    <x v="3"/>
    <x v="13"/>
    <x v="13"/>
    <x v="1"/>
    <x v="8"/>
    <x v="8"/>
    <x v="40"/>
    <x v="40"/>
    <n v="1.4228000000000001"/>
    <x v="1"/>
    <x v="2"/>
    <x v="5"/>
    <x v="7"/>
    <x v="11"/>
    <x v="22"/>
    <n v="1.5508520000000001"/>
  </r>
  <r>
    <x v="11"/>
    <x v="0"/>
    <x v="11"/>
    <x v="11"/>
    <x v="0"/>
    <x v="0"/>
    <x v="0"/>
    <x v="0"/>
    <x v="3"/>
    <x v="3"/>
    <x v="13"/>
    <x v="13"/>
    <x v="4"/>
    <x v="5"/>
    <x v="5"/>
    <x v="40"/>
    <x v="40"/>
    <n v="0.66520000000000001"/>
    <x v="1"/>
    <x v="2"/>
    <x v="5"/>
    <x v="7"/>
    <x v="11"/>
    <x v="22"/>
    <n v="0.72506800000000005"/>
  </r>
  <r>
    <x v="11"/>
    <x v="0"/>
    <x v="11"/>
    <x v="11"/>
    <x v="0"/>
    <x v="0"/>
    <x v="0"/>
    <x v="0"/>
    <x v="2"/>
    <x v="2"/>
    <x v="14"/>
    <x v="14"/>
    <x v="2"/>
    <x v="2"/>
    <x v="2"/>
    <x v="40"/>
    <x v="40"/>
    <n v="0.21507999999999999"/>
    <x v="1"/>
    <x v="2"/>
    <x v="5"/>
    <x v="7"/>
    <x v="11"/>
    <x v="22"/>
    <n v="0.23443720000000001"/>
  </r>
  <r>
    <x v="11"/>
    <x v="0"/>
    <x v="11"/>
    <x v="11"/>
    <x v="0"/>
    <x v="0"/>
    <x v="0"/>
    <x v="0"/>
    <x v="2"/>
    <x v="2"/>
    <x v="15"/>
    <x v="15"/>
    <x v="0"/>
    <x v="4"/>
    <x v="4"/>
    <x v="40"/>
    <x v="40"/>
    <n v="0.34988000000000002"/>
    <x v="1"/>
    <x v="2"/>
    <x v="5"/>
    <x v="7"/>
    <x v="11"/>
    <x v="22"/>
    <n v="0.38136920000000007"/>
  </r>
  <r>
    <x v="11"/>
    <x v="0"/>
    <x v="11"/>
    <x v="11"/>
    <x v="0"/>
    <x v="0"/>
    <x v="0"/>
    <x v="0"/>
    <x v="2"/>
    <x v="2"/>
    <x v="17"/>
    <x v="17"/>
    <x v="2"/>
    <x v="2"/>
    <x v="2"/>
    <x v="42"/>
    <x v="42"/>
    <n v="2.92E-2"/>
    <x v="1"/>
    <x v="2"/>
    <x v="5"/>
    <x v="7"/>
    <x v="11"/>
    <x v="22"/>
    <n v="3.1828000000000002E-2"/>
  </r>
  <r>
    <x v="11"/>
    <x v="0"/>
    <x v="11"/>
    <x v="11"/>
    <x v="0"/>
    <x v="0"/>
    <x v="0"/>
    <x v="0"/>
    <x v="2"/>
    <x v="2"/>
    <x v="17"/>
    <x v="17"/>
    <x v="2"/>
    <x v="2"/>
    <x v="2"/>
    <x v="40"/>
    <x v="40"/>
    <n v="1.55288"/>
    <x v="1"/>
    <x v="2"/>
    <x v="5"/>
    <x v="7"/>
    <x v="11"/>
    <x v="22"/>
    <n v="1.6926392000000001"/>
  </r>
  <r>
    <x v="11"/>
    <x v="0"/>
    <x v="11"/>
    <x v="11"/>
    <x v="0"/>
    <x v="0"/>
    <x v="0"/>
    <x v="0"/>
    <x v="2"/>
    <x v="2"/>
    <x v="17"/>
    <x v="17"/>
    <x v="3"/>
    <x v="7"/>
    <x v="7"/>
    <x v="40"/>
    <x v="40"/>
    <n v="13.30696"/>
    <x v="1"/>
    <x v="2"/>
    <x v="5"/>
    <x v="7"/>
    <x v="11"/>
    <x v="22"/>
    <n v="14.504586400000001"/>
  </r>
  <r>
    <x v="11"/>
    <x v="0"/>
    <x v="11"/>
    <x v="11"/>
    <x v="0"/>
    <x v="0"/>
    <x v="0"/>
    <x v="0"/>
    <x v="2"/>
    <x v="2"/>
    <x v="17"/>
    <x v="17"/>
    <x v="1"/>
    <x v="8"/>
    <x v="8"/>
    <x v="40"/>
    <x v="40"/>
    <n v="3.7507600000000001"/>
    <x v="1"/>
    <x v="2"/>
    <x v="5"/>
    <x v="7"/>
    <x v="11"/>
    <x v="22"/>
    <n v="4.0883284"/>
  </r>
  <r>
    <x v="11"/>
    <x v="0"/>
    <x v="11"/>
    <x v="11"/>
    <x v="0"/>
    <x v="0"/>
    <x v="0"/>
    <x v="0"/>
    <x v="2"/>
    <x v="2"/>
    <x v="17"/>
    <x v="17"/>
    <x v="2"/>
    <x v="10"/>
    <x v="10"/>
    <x v="40"/>
    <x v="40"/>
    <n v="1.08389"/>
    <x v="1"/>
    <x v="2"/>
    <x v="5"/>
    <x v="7"/>
    <x v="11"/>
    <x v="22"/>
    <n v="1.1814401000000001"/>
  </r>
  <r>
    <x v="11"/>
    <x v="0"/>
    <x v="11"/>
    <x v="11"/>
    <x v="0"/>
    <x v="0"/>
    <x v="0"/>
    <x v="0"/>
    <x v="2"/>
    <x v="2"/>
    <x v="17"/>
    <x v="17"/>
    <x v="4"/>
    <x v="5"/>
    <x v="5"/>
    <x v="40"/>
    <x v="40"/>
    <n v="90.743690000000001"/>
    <x v="1"/>
    <x v="2"/>
    <x v="5"/>
    <x v="7"/>
    <x v="11"/>
    <x v="22"/>
    <n v="98.910622100000012"/>
  </r>
  <r>
    <x v="11"/>
    <x v="0"/>
    <x v="11"/>
    <x v="11"/>
    <x v="0"/>
    <x v="1"/>
    <x v="1"/>
    <x v="1"/>
    <x v="1"/>
    <x v="5"/>
    <x v="21"/>
    <x v="21"/>
    <x v="3"/>
    <x v="3"/>
    <x v="3"/>
    <x v="2"/>
    <x v="2"/>
    <n v="7.2709999999956398"/>
    <x v="0"/>
    <x v="1"/>
    <x v="2"/>
    <x v="2"/>
    <x v="13"/>
    <x v="2"/>
    <n v="7.9253899999952484"/>
  </r>
  <r>
    <x v="11"/>
    <x v="0"/>
    <x v="11"/>
    <x v="11"/>
    <x v="0"/>
    <x v="1"/>
    <x v="1"/>
    <x v="1"/>
    <x v="1"/>
    <x v="5"/>
    <x v="1"/>
    <x v="1"/>
    <x v="3"/>
    <x v="3"/>
    <x v="3"/>
    <x v="2"/>
    <x v="2"/>
    <n v="1563.3869174302499"/>
    <x v="0"/>
    <x v="1"/>
    <x v="2"/>
    <x v="2"/>
    <x v="13"/>
    <x v="2"/>
    <n v="1704.0917399989726"/>
  </r>
  <r>
    <x v="11"/>
    <x v="0"/>
    <x v="11"/>
    <x v="11"/>
    <x v="0"/>
    <x v="1"/>
    <x v="1"/>
    <x v="1"/>
    <x v="1"/>
    <x v="5"/>
    <x v="1"/>
    <x v="1"/>
    <x v="0"/>
    <x v="4"/>
    <x v="4"/>
    <x v="2"/>
    <x v="2"/>
    <n v="106.91909174305501"/>
    <x v="0"/>
    <x v="1"/>
    <x v="2"/>
    <x v="2"/>
    <x v="13"/>
    <x v="2"/>
    <n v="116.54180999992997"/>
  </r>
  <r>
    <x v="11"/>
    <x v="0"/>
    <x v="11"/>
    <x v="11"/>
    <x v="0"/>
    <x v="1"/>
    <x v="1"/>
    <x v="1"/>
    <x v="1"/>
    <x v="5"/>
    <x v="1"/>
    <x v="1"/>
    <x v="2"/>
    <x v="2"/>
    <x v="2"/>
    <x v="2"/>
    <x v="2"/>
    <n v="28.695752293560801"/>
    <x v="0"/>
    <x v="1"/>
    <x v="2"/>
    <x v="2"/>
    <x v="13"/>
    <x v="2"/>
    <n v="31.278369999981276"/>
  </r>
  <r>
    <x v="11"/>
    <x v="0"/>
    <x v="11"/>
    <x v="11"/>
    <x v="0"/>
    <x v="1"/>
    <x v="0"/>
    <x v="0"/>
    <x v="0"/>
    <x v="0"/>
    <x v="2"/>
    <x v="2"/>
    <x v="2"/>
    <x v="2"/>
    <x v="2"/>
    <x v="2"/>
    <x v="2"/>
    <n v="202.949348623731"/>
    <x v="0"/>
    <x v="1"/>
    <x v="2"/>
    <x v="2"/>
    <x v="13"/>
    <x v="2"/>
    <n v="221.21478999986681"/>
  </r>
  <r>
    <x v="11"/>
    <x v="0"/>
    <x v="11"/>
    <x v="11"/>
    <x v="0"/>
    <x v="1"/>
    <x v="0"/>
    <x v="0"/>
    <x v="0"/>
    <x v="0"/>
    <x v="2"/>
    <x v="2"/>
    <x v="4"/>
    <x v="5"/>
    <x v="5"/>
    <x v="18"/>
    <x v="18"/>
    <n v="4.3005300000000002"/>
    <x v="0"/>
    <x v="0"/>
    <x v="0"/>
    <x v="0"/>
    <x v="4"/>
    <x v="18"/>
    <n v="4.6875777000000003"/>
  </r>
  <r>
    <x v="11"/>
    <x v="0"/>
    <x v="11"/>
    <x v="11"/>
    <x v="0"/>
    <x v="1"/>
    <x v="0"/>
    <x v="0"/>
    <x v="0"/>
    <x v="0"/>
    <x v="0"/>
    <x v="0"/>
    <x v="3"/>
    <x v="3"/>
    <x v="3"/>
    <x v="4"/>
    <x v="4"/>
    <n v="20.7807247706297"/>
    <x v="0"/>
    <x v="0"/>
    <x v="1"/>
    <x v="3"/>
    <x v="3"/>
    <x v="4"/>
    <n v="22.650989999986376"/>
  </r>
  <r>
    <x v="11"/>
    <x v="0"/>
    <x v="11"/>
    <x v="11"/>
    <x v="0"/>
    <x v="1"/>
    <x v="0"/>
    <x v="0"/>
    <x v="0"/>
    <x v="0"/>
    <x v="0"/>
    <x v="0"/>
    <x v="3"/>
    <x v="3"/>
    <x v="3"/>
    <x v="8"/>
    <x v="8"/>
    <n v="119.179702703465"/>
    <x v="0"/>
    <x v="1"/>
    <x v="2"/>
    <x v="2"/>
    <x v="6"/>
    <x v="8"/>
    <n v="129.90587594677686"/>
  </r>
  <r>
    <x v="11"/>
    <x v="0"/>
    <x v="11"/>
    <x v="11"/>
    <x v="0"/>
    <x v="1"/>
    <x v="0"/>
    <x v="0"/>
    <x v="0"/>
    <x v="0"/>
    <x v="0"/>
    <x v="0"/>
    <x v="3"/>
    <x v="3"/>
    <x v="3"/>
    <x v="12"/>
    <x v="12"/>
    <n v="85.728430232232398"/>
    <x v="0"/>
    <x v="0"/>
    <x v="0"/>
    <x v="0"/>
    <x v="8"/>
    <x v="12"/>
    <n v="93.443988953133328"/>
  </r>
  <r>
    <x v="11"/>
    <x v="0"/>
    <x v="11"/>
    <x v="11"/>
    <x v="0"/>
    <x v="1"/>
    <x v="0"/>
    <x v="0"/>
    <x v="0"/>
    <x v="0"/>
    <x v="0"/>
    <x v="0"/>
    <x v="3"/>
    <x v="3"/>
    <x v="3"/>
    <x v="14"/>
    <x v="14"/>
    <n v="9.2039999999999997E-2"/>
    <x v="0"/>
    <x v="0"/>
    <x v="0"/>
    <x v="0"/>
    <x v="8"/>
    <x v="14"/>
    <n v="0.1003236"/>
  </r>
  <r>
    <x v="11"/>
    <x v="0"/>
    <x v="11"/>
    <x v="11"/>
    <x v="0"/>
    <x v="1"/>
    <x v="0"/>
    <x v="0"/>
    <x v="0"/>
    <x v="0"/>
    <x v="0"/>
    <x v="0"/>
    <x v="3"/>
    <x v="3"/>
    <x v="3"/>
    <x v="16"/>
    <x v="16"/>
    <n v="478.14100000000002"/>
    <x v="0"/>
    <x v="0"/>
    <x v="3"/>
    <x v="5"/>
    <x v="9"/>
    <x v="16"/>
    <n v="521.17369000000008"/>
  </r>
  <r>
    <x v="11"/>
    <x v="0"/>
    <x v="11"/>
    <x v="11"/>
    <x v="0"/>
    <x v="1"/>
    <x v="0"/>
    <x v="0"/>
    <x v="0"/>
    <x v="0"/>
    <x v="0"/>
    <x v="0"/>
    <x v="3"/>
    <x v="3"/>
    <x v="3"/>
    <x v="24"/>
    <x v="24"/>
    <n v="15.1923394495322"/>
    <x v="0"/>
    <x v="0"/>
    <x v="1"/>
    <x v="3"/>
    <x v="3"/>
    <x v="4"/>
    <n v="16.5596499999901"/>
  </r>
  <r>
    <x v="11"/>
    <x v="0"/>
    <x v="11"/>
    <x v="11"/>
    <x v="0"/>
    <x v="1"/>
    <x v="0"/>
    <x v="0"/>
    <x v="0"/>
    <x v="0"/>
    <x v="0"/>
    <x v="0"/>
    <x v="3"/>
    <x v="3"/>
    <x v="3"/>
    <x v="27"/>
    <x v="27"/>
    <n v="273.81863964544499"/>
    <x v="0"/>
    <x v="0"/>
    <x v="1"/>
    <x v="3"/>
    <x v="3"/>
    <x v="19"/>
    <n v="298.46231721353507"/>
  </r>
  <r>
    <x v="11"/>
    <x v="0"/>
    <x v="11"/>
    <x v="11"/>
    <x v="0"/>
    <x v="1"/>
    <x v="0"/>
    <x v="0"/>
    <x v="0"/>
    <x v="0"/>
    <x v="0"/>
    <x v="0"/>
    <x v="3"/>
    <x v="3"/>
    <x v="3"/>
    <x v="2"/>
    <x v="2"/>
    <n v="1161.2008073387501"/>
    <x v="0"/>
    <x v="1"/>
    <x v="2"/>
    <x v="2"/>
    <x v="13"/>
    <x v="2"/>
    <n v="1265.7088799992378"/>
  </r>
  <r>
    <x v="11"/>
    <x v="0"/>
    <x v="11"/>
    <x v="11"/>
    <x v="0"/>
    <x v="1"/>
    <x v="0"/>
    <x v="0"/>
    <x v="0"/>
    <x v="0"/>
    <x v="0"/>
    <x v="0"/>
    <x v="3"/>
    <x v="12"/>
    <x v="3"/>
    <x v="8"/>
    <x v="8"/>
    <n v="7386.68800680403"/>
    <x v="0"/>
    <x v="1"/>
    <x v="2"/>
    <x v="2"/>
    <x v="6"/>
    <x v="8"/>
    <n v="8051.4899274163936"/>
  </r>
  <r>
    <x v="11"/>
    <x v="0"/>
    <x v="11"/>
    <x v="11"/>
    <x v="0"/>
    <x v="1"/>
    <x v="0"/>
    <x v="0"/>
    <x v="0"/>
    <x v="0"/>
    <x v="0"/>
    <x v="0"/>
    <x v="3"/>
    <x v="12"/>
    <x v="3"/>
    <x v="12"/>
    <x v="12"/>
    <n v="2491.5553837114599"/>
    <x v="0"/>
    <x v="0"/>
    <x v="0"/>
    <x v="0"/>
    <x v="8"/>
    <x v="12"/>
    <n v="2715.7953682454913"/>
  </r>
  <r>
    <x v="11"/>
    <x v="0"/>
    <x v="11"/>
    <x v="11"/>
    <x v="0"/>
    <x v="1"/>
    <x v="0"/>
    <x v="0"/>
    <x v="0"/>
    <x v="0"/>
    <x v="0"/>
    <x v="0"/>
    <x v="3"/>
    <x v="12"/>
    <x v="3"/>
    <x v="2"/>
    <x v="2"/>
    <n v="14546.3067614592"/>
    <x v="0"/>
    <x v="1"/>
    <x v="2"/>
    <x v="2"/>
    <x v="13"/>
    <x v="2"/>
    <n v="15855.474369990528"/>
  </r>
  <r>
    <x v="11"/>
    <x v="0"/>
    <x v="11"/>
    <x v="11"/>
    <x v="0"/>
    <x v="1"/>
    <x v="0"/>
    <x v="0"/>
    <x v="0"/>
    <x v="0"/>
    <x v="0"/>
    <x v="0"/>
    <x v="0"/>
    <x v="4"/>
    <x v="4"/>
    <x v="6"/>
    <x v="6"/>
    <n v="25.842359999999999"/>
    <x v="0"/>
    <x v="0"/>
    <x v="0"/>
    <x v="0"/>
    <x v="4"/>
    <x v="6"/>
    <n v="28.168172400000003"/>
  </r>
  <r>
    <x v="11"/>
    <x v="0"/>
    <x v="11"/>
    <x v="11"/>
    <x v="0"/>
    <x v="1"/>
    <x v="0"/>
    <x v="0"/>
    <x v="0"/>
    <x v="0"/>
    <x v="0"/>
    <x v="0"/>
    <x v="0"/>
    <x v="4"/>
    <x v="4"/>
    <x v="8"/>
    <x v="8"/>
    <n v="150.752060811776"/>
    <x v="0"/>
    <x v="1"/>
    <x v="2"/>
    <x v="2"/>
    <x v="6"/>
    <x v="8"/>
    <n v="164.31974628483584"/>
  </r>
  <r>
    <x v="11"/>
    <x v="0"/>
    <x v="11"/>
    <x v="11"/>
    <x v="0"/>
    <x v="1"/>
    <x v="0"/>
    <x v="0"/>
    <x v="0"/>
    <x v="0"/>
    <x v="0"/>
    <x v="0"/>
    <x v="0"/>
    <x v="4"/>
    <x v="4"/>
    <x v="9"/>
    <x v="9"/>
    <n v="18.411477064209102"/>
    <x v="0"/>
    <x v="0"/>
    <x v="1"/>
    <x v="4"/>
    <x v="5"/>
    <x v="9"/>
    <n v="20.068509999987921"/>
  </r>
  <r>
    <x v="11"/>
    <x v="0"/>
    <x v="11"/>
    <x v="11"/>
    <x v="0"/>
    <x v="1"/>
    <x v="0"/>
    <x v="0"/>
    <x v="0"/>
    <x v="0"/>
    <x v="0"/>
    <x v="0"/>
    <x v="0"/>
    <x v="4"/>
    <x v="4"/>
    <x v="11"/>
    <x v="11"/>
    <n v="744.22751000000005"/>
    <x v="0"/>
    <x v="0"/>
    <x v="3"/>
    <x v="5"/>
    <x v="7"/>
    <x v="11"/>
    <n v="811.20798590000015"/>
  </r>
  <r>
    <x v="11"/>
    <x v="0"/>
    <x v="11"/>
    <x v="11"/>
    <x v="0"/>
    <x v="1"/>
    <x v="0"/>
    <x v="0"/>
    <x v="0"/>
    <x v="0"/>
    <x v="0"/>
    <x v="0"/>
    <x v="0"/>
    <x v="4"/>
    <x v="4"/>
    <x v="12"/>
    <x v="12"/>
    <n v="1406.66349999465"/>
    <x v="0"/>
    <x v="0"/>
    <x v="0"/>
    <x v="0"/>
    <x v="8"/>
    <x v="12"/>
    <n v="1533.2632149941687"/>
  </r>
  <r>
    <x v="11"/>
    <x v="0"/>
    <x v="11"/>
    <x v="11"/>
    <x v="0"/>
    <x v="1"/>
    <x v="0"/>
    <x v="0"/>
    <x v="0"/>
    <x v="0"/>
    <x v="0"/>
    <x v="0"/>
    <x v="0"/>
    <x v="4"/>
    <x v="4"/>
    <x v="14"/>
    <x v="14"/>
    <n v="272.96086000000003"/>
    <x v="0"/>
    <x v="0"/>
    <x v="0"/>
    <x v="0"/>
    <x v="8"/>
    <x v="14"/>
    <n v="297.52733740000002"/>
  </r>
  <r>
    <x v="11"/>
    <x v="0"/>
    <x v="11"/>
    <x v="11"/>
    <x v="0"/>
    <x v="1"/>
    <x v="0"/>
    <x v="0"/>
    <x v="0"/>
    <x v="0"/>
    <x v="0"/>
    <x v="0"/>
    <x v="0"/>
    <x v="4"/>
    <x v="4"/>
    <x v="16"/>
    <x v="16"/>
    <n v="1172.2706900000001"/>
    <x v="0"/>
    <x v="0"/>
    <x v="3"/>
    <x v="5"/>
    <x v="9"/>
    <x v="16"/>
    <n v="1277.7750521000003"/>
  </r>
  <r>
    <x v="11"/>
    <x v="0"/>
    <x v="11"/>
    <x v="11"/>
    <x v="0"/>
    <x v="1"/>
    <x v="0"/>
    <x v="0"/>
    <x v="0"/>
    <x v="0"/>
    <x v="0"/>
    <x v="0"/>
    <x v="0"/>
    <x v="4"/>
    <x v="4"/>
    <x v="24"/>
    <x v="24"/>
    <n v="1.16119266054976"/>
    <x v="0"/>
    <x v="0"/>
    <x v="1"/>
    <x v="3"/>
    <x v="3"/>
    <x v="4"/>
    <n v="1.2656999999992384"/>
  </r>
  <r>
    <x v="11"/>
    <x v="0"/>
    <x v="11"/>
    <x v="11"/>
    <x v="0"/>
    <x v="1"/>
    <x v="0"/>
    <x v="0"/>
    <x v="0"/>
    <x v="0"/>
    <x v="0"/>
    <x v="0"/>
    <x v="0"/>
    <x v="4"/>
    <x v="4"/>
    <x v="17"/>
    <x v="17"/>
    <n v="4.95"/>
    <x v="0"/>
    <x v="0"/>
    <x v="0"/>
    <x v="0"/>
    <x v="4"/>
    <x v="17"/>
    <n v="5.3955000000000002"/>
  </r>
  <r>
    <x v="11"/>
    <x v="0"/>
    <x v="11"/>
    <x v="11"/>
    <x v="0"/>
    <x v="1"/>
    <x v="0"/>
    <x v="0"/>
    <x v="0"/>
    <x v="0"/>
    <x v="0"/>
    <x v="0"/>
    <x v="0"/>
    <x v="4"/>
    <x v="4"/>
    <x v="18"/>
    <x v="18"/>
    <n v="0.90991999999999995"/>
    <x v="0"/>
    <x v="0"/>
    <x v="0"/>
    <x v="0"/>
    <x v="4"/>
    <x v="18"/>
    <n v="0.99181280000000005"/>
  </r>
  <r>
    <x v="11"/>
    <x v="0"/>
    <x v="11"/>
    <x v="11"/>
    <x v="0"/>
    <x v="1"/>
    <x v="0"/>
    <x v="0"/>
    <x v="0"/>
    <x v="0"/>
    <x v="0"/>
    <x v="0"/>
    <x v="0"/>
    <x v="4"/>
    <x v="4"/>
    <x v="27"/>
    <x v="27"/>
    <n v="126.47964865133"/>
    <x v="0"/>
    <x v="0"/>
    <x v="1"/>
    <x v="3"/>
    <x v="3"/>
    <x v="19"/>
    <n v="137.8628170299497"/>
  </r>
  <r>
    <x v="11"/>
    <x v="0"/>
    <x v="11"/>
    <x v="11"/>
    <x v="0"/>
    <x v="1"/>
    <x v="0"/>
    <x v="0"/>
    <x v="0"/>
    <x v="0"/>
    <x v="0"/>
    <x v="0"/>
    <x v="0"/>
    <x v="4"/>
    <x v="4"/>
    <x v="26"/>
    <x v="26"/>
    <n v="37.950678899059803"/>
    <x v="0"/>
    <x v="0"/>
    <x v="1"/>
    <x v="3"/>
    <x v="3"/>
    <x v="15"/>
    <n v="41.366239999975186"/>
  </r>
  <r>
    <x v="11"/>
    <x v="0"/>
    <x v="11"/>
    <x v="11"/>
    <x v="0"/>
    <x v="1"/>
    <x v="0"/>
    <x v="0"/>
    <x v="0"/>
    <x v="0"/>
    <x v="0"/>
    <x v="0"/>
    <x v="0"/>
    <x v="4"/>
    <x v="4"/>
    <x v="1"/>
    <x v="1"/>
    <n v="510.33931034202101"/>
    <x v="0"/>
    <x v="0"/>
    <x v="1"/>
    <x v="1"/>
    <x v="1"/>
    <x v="1"/>
    <n v="556.26984827280296"/>
  </r>
  <r>
    <x v="11"/>
    <x v="0"/>
    <x v="11"/>
    <x v="11"/>
    <x v="0"/>
    <x v="1"/>
    <x v="0"/>
    <x v="0"/>
    <x v="0"/>
    <x v="0"/>
    <x v="0"/>
    <x v="0"/>
    <x v="0"/>
    <x v="4"/>
    <x v="4"/>
    <x v="20"/>
    <x v="20"/>
    <n v="8.6472700000000007"/>
    <x v="0"/>
    <x v="0"/>
    <x v="1"/>
    <x v="3"/>
    <x v="3"/>
    <x v="13"/>
    <n v="9.4255243000000011"/>
  </r>
  <r>
    <x v="11"/>
    <x v="0"/>
    <x v="11"/>
    <x v="11"/>
    <x v="0"/>
    <x v="1"/>
    <x v="0"/>
    <x v="0"/>
    <x v="0"/>
    <x v="0"/>
    <x v="0"/>
    <x v="0"/>
    <x v="0"/>
    <x v="4"/>
    <x v="4"/>
    <x v="2"/>
    <x v="2"/>
    <n v="2315.1124495398999"/>
    <x v="0"/>
    <x v="1"/>
    <x v="2"/>
    <x v="2"/>
    <x v="13"/>
    <x v="2"/>
    <n v="2523.4725699984911"/>
  </r>
  <r>
    <x v="11"/>
    <x v="0"/>
    <x v="11"/>
    <x v="11"/>
    <x v="0"/>
    <x v="1"/>
    <x v="0"/>
    <x v="0"/>
    <x v="0"/>
    <x v="0"/>
    <x v="0"/>
    <x v="0"/>
    <x v="0"/>
    <x v="0"/>
    <x v="0"/>
    <x v="5"/>
    <x v="5"/>
    <n v="52.819527607763398"/>
    <x v="0"/>
    <x v="0"/>
    <x v="1"/>
    <x v="1"/>
    <x v="1"/>
    <x v="5"/>
    <n v="57.573285092462108"/>
  </r>
  <r>
    <x v="11"/>
    <x v="0"/>
    <x v="11"/>
    <x v="11"/>
    <x v="0"/>
    <x v="1"/>
    <x v="0"/>
    <x v="0"/>
    <x v="0"/>
    <x v="0"/>
    <x v="0"/>
    <x v="0"/>
    <x v="0"/>
    <x v="0"/>
    <x v="0"/>
    <x v="6"/>
    <x v="6"/>
    <n v="128.16087999999999"/>
    <x v="0"/>
    <x v="0"/>
    <x v="0"/>
    <x v="0"/>
    <x v="4"/>
    <x v="6"/>
    <n v="139.69535920000001"/>
  </r>
  <r>
    <x v="11"/>
    <x v="0"/>
    <x v="11"/>
    <x v="11"/>
    <x v="0"/>
    <x v="1"/>
    <x v="0"/>
    <x v="0"/>
    <x v="0"/>
    <x v="0"/>
    <x v="0"/>
    <x v="0"/>
    <x v="0"/>
    <x v="0"/>
    <x v="0"/>
    <x v="7"/>
    <x v="7"/>
    <n v="31.6800642201645"/>
    <x v="0"/>
    <x v="0"/>
    <x v="1"/>
    <x v="4"/>
    <x v="5"/>
    <x v="7"/>
    <n v="34.531269999979308"/>
  </r>
  <r>
    <x v="11"/>
    <x v="0"/>
    <x v="11"/>
    <x v="11"/>
    <x v="0"/>
    <x v="1"/>
    <x v="0"/>
    <x v="0"/>
    <x v="0"/>
    <x v="0"/>
    <x v="0"/>
    <x v="0"/>
    <x v="0"/>
    <x v="0"/>
    <x v="0"/>
    <x v="8"/>
    <x v="8"/>
    <n v="3886.41739867352"/>
    <x v="0"/>
    <x v="1"/>
    <x v="2"/>
    <x v="2"/>
    <x v="6"/>
    <x v="8"/>
    <n v="4236.1949645541372"/>
  </r>
  <r>
    <x v="11"/>
    <x v="0"/>
    <x v="11"/>
    <x v="11"/>
    <x v="0"/>
    <x v="1"/>
    <x v="0"/>
    <x v="0"/>
    <x v="0"/>
    <x v="0"/>
    <x v="0"/>
    <x v="0"/>
    <x v="0"/>
    <x v="0"/>
    <x v="0"/>
    <x v="9"/>
    <x v="9"/>
    <n v="904.59670753368005"/>
    <x v="0"/>
    <x v="0"/>
    <x v="1"/>
    <x v="4"/>
    <x v="5"/>
    <x v="9"/>
    <n v="986.01041121171136"/>
  </r>
  <r>
    <x v="11"/>
    <x v="0"/>
    <x v="11"/>
    <x v="11"/>
    <x v="0"/>
    <x v="1"/>
    <x v="0"/>
    <x v="0"/>
    <x v="0"/>
    <x v="0"/>
    <x v="0"/>
    <x v="0"/>
    <x v="0"/>
    <x v="0"/>
    <x v="0"/>
    <x v="10"/>
    <x v="10"/>
    <n v="126.285642758431"/>
    <x v="0"/>
    <x v="0"/>
    <x v="1"/>
    <x v="4"/>
    <x v="5"/>
    <x v="10"/>
    <n v="137.65135060668979"/>
  </r>
  <r>
    <x v="11"/>
    <x v="0"/>
    <x v="11"/>
    <x v="11"/>
    <x v="0"/>
    <x v="1"/>
    <x v="0"/>
    <x v="0"/>
    <x v="0"/>
    <x v="0"/>
    <x v="0"/>
    <x v="0"/>
    <x v="0"/>
    <x v="0"/>
    <x v="0"/>
    <x v="55"/>
    <x v="55"/>
    <n v="1.5474587155954"/>
    <x v="0"/>
    <x v="0"/>
    <x v="1"/>
    <x v="3"/>
    <x v="3"/>
    <x v="15"/>
    <n v="1.6867299999989862"/>
  </r>
  <r>
    <x v="11"/>
    <x v="0"/>
    <x v="11"/>
    <x v="11"/>
    <x v="0"/>
    <x v="1"/>
    <x v="0"/>
    <x v="0"/>
    <x v="0"/>
    <x v="0"/>
    <x v="0"/>
    <x v="0"/>
    <x v="0"/>
    <x v="0"/>
    <x v="0"/>
    <x v="11"/>
    <x v="11"/>
    <n v="55.058790000000002"/>
    <x v="0"/>
    <x v="0"/>
    <x v="3"/>
    <x v="5"/>
    <x v="7"/>
    <x v="11"/>
    <n v="60.014081100000006"/>
  </r>
  <r>
    <x v="11"/>
    <x v="0"/>
    <x v="11"/>
    <x v="11"/>
    <x v="0"/>
    <x v="1"/>
    <x v="0"/>
    <x v="0"/>
    <x v="0"/>
    <x v="0"/>
    <x v="0"/>
    <x v="0"/>
    <x v="0"/>
    <x v="0"/>
    <x v="0"/>
    <x v="12"/>
    <x v="12"/>
    <n v="1212.6744651116701"/>
    <x v="0"/>
    <x v="0"/>
    <x v="0"/>
    <x v="0"/>
    <x v="8"/>
    <x v="12"/>
    <n v="1321.8151669717206"/>
  </r>
  <r>
    <x v="11"/>
    <x v="0"/>
    <x v="11"/>
    <x v="11"/>
    <x v="0"/>
    <x v="1"/>
    <x v="0"/>
    <x v="0"/>
    <x v="0"/>
    <x v="0"/>
    <x v="0"/>
    <x v="0"/>
    <x v="0"/>
    <x v="0"/>
    <x v="0"/>
    <x v="13"/>
    <x v="13"/>
    <n v="3.7725599999999999"/>
    <x v="0"/>
    <x v="0"/>
    <x v="1"/>
    <x v="3"/>
    <x v="3"/>
    <x v="13"/>
    <n v="4.1120904000000005"/>
  </r>
  <r>
    <x v="11"/>
    <x v="0"/>
    <x v="11"/>
    <x v="11"/>
    <x v="0"/>
    <x v="1"/>
    <x v="0"/>
    <x v="0"/>
    <x v="0"/>
    <x v="0"/>
    <x v="0"/>
    <x v="0"/>
    <x v="0"/>
    <x v="0"/>
    <x v="0"/>
    <x v="14"/>
    <x v="14"/>
    <n v="243.60023000000001"/>
    <x v="0"/>
    <x v="0"/>
    <x v="0"/>
    <x v="0"/>
    <x v="8"/>
    <x v="14"/>
    <n v="265.52425070000004"/>
  </r>
  <r>
    <x v="11"/>
    <x v="0"/>
    <x v="11"/>
    <x v="11"/>
    <x v="0"/>
    <x v="1"/>
    <x v="0"/>
    <x v="0"/>
    <x v="0"/>
    <x v="0"/>
    <x v="0"/>
    <x v="0"/>
    <x v="0"/>
    <x v="0"/>
    <x v="0"/>
    <x v="22"/>
    <x v="22"/>
    <n v="18.947298387021"/>
    <x v="0"/>
    <x v="0"/>
    <x v="0"/>
    <x v="0"/>
    <x v="0"/>
    <x v="0"/>
    <n v="20.652555241852891"/>
  </r>
  <r>
    <x v="11"/>
    <x v="0"/>
    <x v="11"/>
    <x v="11"/>
    <x v="0"/>
    <x v="1"/>
    <x v="0"/>
    <x v="0"/>
    <x v="0"/>
    <x v="0"/>
    <x v="0"/>
    <x v="0"/>
    <x v="0"/>
    <x v="0"/>
    <x v="0"/>
    <x v="23"/>
    <x v="23"/>
    <n v="8.07341284403185"/>
    <x v="0"/>
    <x v="0"/>
    <x v="1"/>
    <x v="3"/>
    <x v="3"/>
    <x v="15"/>
    <n v="8.8000199999947171"/>
  </r>
  <r>
    <x v="11"/>
    <x v="0"/>
    <x v="11"/>
    <x v="11"/>
    <x v="0"/>
    <x v="1"/>
    <x v="0"/>
    <x v="0"/>
    <x v="0"/>
    <x v="0"/>
    <x v="0"/>
    <x v="0"/>
    <x v="0"/>
    <x v="0"/>
    <x v="0"/>
    <x v="24"/>
    <x v="24"/>
    <n v="12.4184678899008"/>
    <x v="0"/>
    <x v="0"/>
    <x v="1"/>
    <x v="3"/>
    <x v="3"/>
    <x v="4"/>
    <n v="13.536129999991873"/>
  </r>
  <r>
    <x v="11"/>
    <x v="0"/>
    <x v="11"/>
    <x v="11"/>
    <x v="0"/>
    <x v="1"/>
    <x v="0"/>
    <x v="0"/>
    <x v="0"/>
    <x v="0"/>
    <x v="0"/>
    <x v="0"/>
    <x v="0"/>
    <x v="0"/>
    <x v="0"/>
    <x v="17"/>
    <x v="17"/>
    <n v="2.5440800000000001"/>
    <x v="0"/>
    <x v="0"/>
    <x v="0"/>
    <x v="0"/>
    <x v="4"/>
    <x v="17"/>
    <n v="2.7730472000000002"/>
  </r>
  <r>
    <x v="11"/>
    <x v="0"/>
    <x v="11"/>
    <x v="11"/>
    <x v="0"/>
    <x v="1"/>
    <x v="0"/>
    <x v="0"/>
    <x v="0"/>
    <x v="0"/>
    <x v="0"/>
    <x v="0"/>
    <x v="0"/>
    <x v="0"/>
    <x v="0"/>
    <x v="21"/>
    <x v="21"/>
    <n v="17.4328807339345"/>
    <x v="0"/>
    <x v="0"/>
    <x v="1"/>
    <x v="4"/>
    <x v="5"/>
    <x v="10"/>
    <n v="19.001839999988608"/>
  </r>
  <r>
    <x v="11"/>
    <x v="0"/>
    <x v="11"/>
    <x v="11"/>
    <x v="0"/>
    <x v="1"/>
    <x v="0"/>
    <x v="0"/>
    <x v="0"/>
    <x v="0"/>
    <x v="0"/>
    <x v="0"/>
    <x v="0"/>
    <x v="0"/>
    <x v="0"/>
    <x v="18"/>
    <x v="18"/>
    <n v="47.829410000000003"/>
    <x v="0"/>
    <x v="0"/>
    <x v="0"/>
    <x v="0"/>
    <x v="4"/>
    <x v="18"/>
    <n v="52.134056900000004"/>
  </r>
  <r>
    <x v="11"/>
    <x v="0"/>
    <x v="11"/>
    <x v="11"/>
    <x v="0"/>
    <x v="1"/>
    <x v="0"/>
    <x v="0"/>
    <x v="0"/>
    <x v="0"/>
    <x v="0"/>
    <x v="0"/>
    <x v="0"/>
    <x v="0"/>
    <x v="0"/>
    <x v="79"/>
    <x v="79"/>
    <n v="0.55756880733911995"/>
    <x v="0"/>
    <x v="0"/>
    <x v="1"/>
    <x v="4"/>
    <x v="5"/>
    <x v="10"/>
    <n v="0.60774999999964074"/>
  </r>
  <r>
    <x v="11"/>
    <x v="0"/>
    <x v="11"/>
    <x v="11"/>
    <x v="0"/>
    <x v="1"/>
    <x v="0"/>
    <x v="0"/>
    <x v="0"/>
    <x v="0"/>
    <x v="0"/>
    <x v="0"/>
    <x v="0"/>
    <x v="0"/>
    <x v="0"/>
    <x v="25"/>
    <x v="25"/>
    <n v="111.76571559626299"/>
    <x v="0"/>
    <x v="0"/>
    <x v="1"/>
    <x v="4"/>
    <x v="5"/>
    <x v="9"/>
    <n v="121.82462999992667"/>
  </r>
  <r>
    <x v="11"/>
    <x v="0"/>
    <x v="11"/>
    <x v="11"/>
    <x v="0"/>
    <x v="1"/>
    <x v="0"/>
    <x v="0"/>
    <x v="0"/>
    <x v="0"/>
    <x v="0"/>
    <x v="0"/>
    <x v="0"/>
    <x v="0"/>
    <x v="0"/>
    <x v="27"/>
    <x v="27"/>
    <n v="11.4311959461883"/>
    <x v="0"/>
    <x v="0"/>
    <x v="1"/>
    <x v="3"/>
    <x v="3"/>
    <x v="19"/>
    <n v="12.460003581345248"/>
  </r>
  <r>
    <x v="11"/>
    <x v="0"/>
    <x v="11"/>
    <x v="11"/>
    <x v="0"/>
    <x v="1"/>
    <x v="0"/>
    <x v="0"/>
    <x v="0"/>
    <x v="0"/>
    <x v="0"/>
    <x v="0"/>
    <x v="0"/>
    <x v="0"/>
    <x v="0"/>
    <x v="78"/>
    <x v="78"/>
    <n v="5.8460366972441999"/>
    <x v="0"/>
    <x v="0"/>
    <x v="1"/>
    <x v="4"/>
    <x v="5"/>
    <x v="9"/>
    <n v="6.3721799999961783"/>
  </r>
  <r>
    <x v="11"/>
    <x v="0"/>
    <x v="11"/>
    <x v="11"/>
    <x v="0"/>
    <x v="1"/>
    <x v="0"/>
    <x v="0"/>
    <x v="0"/>
    <x v="0"/>
    <x v="0"/>
    <x v="0"/>
    <x v="0"/>
    <x v="0"/>
    <x v="0"/>
    <x v="26"/>
    <x v="26"/>
    <n v="180.86039449530401"/>
    <x v="0"/>
    <x v="0"/>
    <x v="1"/>
    <x v="3"/>
    <x v="3"/>
    <x v="15"/>
    <n v="197.13782999988138"/>
  </r>
  <r>
    <x v="11"/>
    <x v="0"/>
    <x v="11"/>
    <x v="11"/>
    <x v="0"/>
    <x v="1"/>
    <x v="0"/>
    <x v="0"/>
    <x v="0"/>
    <x v="0"/>
    <x v="0"/>
    <x v="0"/>
    <x v="0"/>
    <x v="0"/>
    <x v="0"/>
    <x v="0"/>
    <x v="0"/>
    <n v="16.566141459028401"/>
    <x v="0"/>
    <x v="0"/>
    <x v="0"/>
    <x v="0"/>
    <x v="0"/>
    <x v="0"/>
    <n v="18.057094190340958"/>
  </r>
  <r>
    <x v="11"/>
    <x v="0"/>
    <x v="11"/>
    <x v="11"/>
    <x v="0"/>
    <x v="1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3.435514400000001"/>
  </r>
  <r>
    <x v="11"/>
    <x v="0"/>
    <x v="11"/>
    <x v="11"/>
    <x v="0"/>
    <x v="1"/>
    <x v="0"/>
    <x v="0"/>
    <x v="0"/>
    <x v="0"/>
    <x v="0"/>
    <x v="0"/>
    <x v="0"/>
    <x v="0"/>
    <x v="0"/>
    <x v="2"/>
    <x v="2"/>
    <n v="27774.275752276899"/>
    <x v="0"/>
    <x v="1"/>
    <x v="2"/>
    <x v="2"/>
    <x v="13"/>
    <x v="2"/>
    <n v="30273.96056998182"/>
  </r>
  <r>
    <x v="11"/>
    <x v="0"/>
    <x v="11"/>
    <x v="11"/>
    <x v="0"/>
    <x v="1"/>
    <x v="0"/>
    <x v="0"/>
    <x v="0"/>
    <x v="0"/>
    <x v="0"/>
    <x v="0"/>
    <x v="0"/>
    <x v="0"/>
    <x v="0"/>
    <x v="3"/>
    <x v="3"/>
    <n v="0.17979310343425001"/>
    <x v="0"/>
    <x v="0"/>
    <x v="1"/>
    <x v="3"/>
    <x v="3"/>
    <x v="3"/>
    <n v="0.19597448274333251"/>
  </r>
  <r>
    <x v="11"/>
    <x v="0"/>
    <x v="11"/>
    <x v="11"/>
    <x v="0"/>
    <x v="1"/>
    <x v="0"/>
    <x v="0"/>
    <x v="0"/>
    <x v="0"/>
    <x v="0"/>
    <x v="0"/>
    <x v="1"/>
    <x v="1"/>
    <x v="1"/>
    <x v="4"/>
    <x v="4"/>
    <n v="32.5415137614484"/>
    <x v="0"/>
    <x v="0"/>
    <x v="1"/>
    <x v="3"/>
    <x v="3"/>
    <x v="4"/>
    <n v="35.470249999978755"/>
  </r>
  <r>
    <x v="11"/>
    <x v="0"/>
    <x v="11"/>
    <x v="11"/>
    <x v="0"/>
    <x v="1"/>
    <x v="0"/>
    <x v="0"/>
    <x v="0"/>
    <x v="0"/>
    <x v="0"/>
    <x v="0"/>
    <x v="1"/>
    <x v="1"/>
    <x v="1"/>
    <x v="5"/>
    <x v="5"/>
    <n v="88.695938650980807"/>
    <x v="0"/>
    <x v="0"/>
    <x v="1"/>
    <x v="1"/>
    <x v="1"/>
    <x v="5"/>
    <n v="96.678573129569088"/>
  </r>
  <r>
    <x v="11"/>
    <x v="0"/>
    <x v="11"/>
    <x v="11"/>
    <x v="0"/>
    <x v="1"/>
    <x v="0"/>
    <x v="0"/>
    <x v="0"/>
    <x v="0"/>
    <x v="0"/>
    <x v="0"/>
    <x v="1"/>
    <x v="1"/>
    <x v="1"/>
    <x v="6"/>
    <x v="6"/>
    <n v="729.20648000000006"/>
    <x v="0"/>
    <x v="0"/>
    <x v="0"/>
    <x v="0"/>
    <x v="4"/>
    <x v="6"/>
    <n v="794.83506320000015"/>
  </r>
  <r>
    <x v="11"/>
    <x v="0"/>
    <x v="11"/>
    <x v="11"/>
    <x v="0"/>
    <x v="1"/>
    <x v="0"/>
    <x v="0"/>
    <x v="0"/>
    <x v="0"/>
    <x v="0"/>
    <x v="0"/>
    <x v="1"/>
    <x v="1"/>
    <x v="1"/>
    <x v="7"/>
    <x v="7"/>
    <n v="31.6800642201645"/>
    <x v="0"/>
    <x v="0"/>
    <x v="1"/>
    <x v="4"/>
    <x v="5"/>
    <x v="7"/>
    <n v="34.531269999979308"/>
  </r>
  <r>
    <x v="11"/>
    <x v="0"/>
    <x v="11"/>
    <x v="11"/>
    <x v="0"/>
    <x v="1"/>
    <x v="0"/>
    <x v="0"/>
    <x v="0"/>
    <x v="0"/>
    <x v="0"/>
    <x v="0"/>
    <x v="1"/>
    <x v="1"/>
    <x v="1"/>
    <x v="8"/>
    <x v="8"/>
    <n v="729.30654054520801"/>
    <x v="0"/>
    <x v="1"/>
    <x v="2"/>
    <x v="2"/>
    <x v="6"/>
    <x v="8"/>
    <n v="794.9441291942768"/>
  </r>
  <r>
    <x v="11"/>
    <x v="0"/>
    <x v="11"/>
    <x v="11"/>
    <x v="0"/>
    <x v="1"/>
    <x v="0"/>
    <x v="0"/>
    <x v="0"/>
    <x v="0"/>
    <x v="0"/>
    <x v="0"/>
    <x v="1"/>
    <x v="1"/>
    <x v="1"/>
    <x v="9"/>
    <x v="9"/>
    <n v="3439.2474905159502"/>
    <x v="0"/>
    <x v="0"/>
    <x v="1"/>
    <x v="4"/>
    <x v="5"/>
    <x v="9"/>
    <n v="3748.7797646623858"/>
  </r>
  <r>
    <x v="11"/>
    <x v="0"/>
    <x v="11"/>
    <x v="11"/>
    <x v="0"/>
    <x v="1"/>
    <x v="0"/>
    <x v="0"/>
    <x v="0"/>
    <x v="0"/>
    <x v="0"/>
    <x v="0"/>
    <x v="1"/>
    <x v="1"/>
    <x v="1"/>
    <x v="10"/>
    <x v="10"/>
    <n v="58.734131375048698"/>
    <x v="0"/>
    <x v="0"/>
    <x v="1"/>
    <x v="4"/>
    <x v="5"/>
    <x v="10"/>
    <n v="64.020203198803088"/>
  </r>
  <r>
    <x v="11"/>
    <x v="0"/>
    <x v="11"/>
    <x v="11"/>
    <x v="0"/>
    <x v="1"/>
    <x v="0"/>
    <x v="0"/>
    <x v="0"/>
    <x v="0"/>
    <x v="0"/>
    <x v="0"/>
    <x v="1"/>
    <x v="1"/>
    <x v="1"/>
    <x v="55"/>
    <x v="55"/>
    <n v="3.0246055045853399"/>
    <x v="0"/>
    <x v="0"/>
    <x v="1"/>
    <x v="3"/>
    <x v="3"/>
    <x v="15"/>
    <n v="3.296819999998021"/>
  </r>
  <r>
    <x v="11"/>
    <x v="0"/>
    <x v="11"/>
    <x v="11"/>
    <x v="0"/>
    <x v="1"/>
    <x v="0"/>
    <x v="0"/>
    <x v="0"/>
    <x v="0"/>
    <x v="0"/>
    <x v="0"/>
    <x v="1"/>
    <x v="1"/>
    <x v="1"/>
    <x v="11"/>
    <x v="11"/>
    <n v="451.00968"/>
    <x v="0"/>
    <x v="0"/>
    <x v="3"/>
    <x v="5"/>
    <x v="7"/>
    <x v="11"/>
    <n v="491.60055120000004"/>
  </r>
  <r>
    <x v="11"/>
    <x v="0"/>
    <x v="11"/>
    <x v="11"/>
    <x v="0"/>
    <x v="1"/>
    <x v="0"/>
    <x v="0"/>
    <x v="0"/>
    <x v="0"/>
    <x v="0"/>
    <x v="0"/>
    <x v="1"/>
    <x v="1"/>
    <x v="1"/>
    <x v="12"/>
    <x v="12"/>
    <n v="2160.5338139452801"/>
    <x v="0"/>
    <x v="0"/>
    <x v="0"/>
    <x v="0"/>
    <x v="8"/>
    <x v="12"/>
    <n v="2354.9818572003555"/>
  </r>
  <r>
    <x v="11"/>
    <x v="0"/>
    <x v="11"/>
    <x v="11"/>
    <x v="0"/>
    <x v="1"/>
    <x v="0"/>
    <x v="0"/>
    <x v="0"/>
    <x v="0"/>
    <x v="0"/>
    <x v="0"/>
    <x v="1"/>
    <x v="1"/>
    <x v="1"/>
    <x v="13"/>
    <x v="13"/>
    <n v="4.8948"/>
    <x v="0"/>
    <x v="0"/>
    <x v="1"/>
    <x v="3"/>
    <x v="3"/>
    <x v="13"/>
    <n v="5.3353320000000002"/>
  </r>
  <r>
    <x v="11"/>
    <x v="0"/>
    <x v="11"/>
    <x v="11"/>
    <x v="0"/>
    <x v="1"/>
    <x v="0"/>
    <x v="0"/>
    <x v="0"/>
    <x v="0"/>
    <x v="0"/>
    <x v="0"/>
    <x v="1"/>
    <x v="1"/>
    <x v="1"/>
    <x v="14"/>
    <x v="14"/>
    <n v="478.03213"/>
    <x v="0"/>
    <x v="0"/>
    <x v="0"/>
    <x v="0"/>
    <x v="8"/>
    <x v="14"/>
    <n v="521.0550217"/>
  </r>
  <r>
    <x v="11"/>
    <x v="0"/>
    <x v="11"/>
    <x v="11"/>
    <x v="0"/>
    <x v="1"/>
    <x v="0"/>
    <x v="0"/>
    <x v="0"/>
    <x v="0"/>
    <x v="0"/>
    <x v="0"/>
    <x v="1"/>
    <x v="1"/>
    <x v="1"/>
    <x v="15"/>
    <x v="15"/>
    <n v="0.52477981651344996"/>
    <x v="0"/>
    <x v="0"/>
    <x v="1"/>
    <x v="3"/>
    <x v="3"/>
    <x v="15"/>
    <n v="0.57200999999966051"/>
  </r>
  <r>
    <x v="11"/>
    <x v="0"/>
    <x v="11"/>
    <x v="11"/>
    <x v="0"/>
    <x v="1"/>
    <x v="0"/>
    <x v="0"/>
    <x v="0"/>
    <x v="0"/>
    <x v="0"/>
    <x v="0"/>
    <x v="1"/>
    <x v="1"/>
    <x v="1"/>
    <x v="22"/>
    <x v="22"/>
    <n v="6.3157661290069997"/>
    <x v="0"/>
    <x v="0"/>
    <x v="0"/>
    <x v="0"/>
    <x v="0"/>
    <x v="0"/>
    <n v="6.8841850806176303"/>
  </r>
  <r>
    <x v="11"/>
    <x v="0"/>
    <x v="11"/>
    <x v="11"/>
    <x v="0"/>
    <x v="1"/>
    <x v="0"/>
    <x v="0"/>
    <x v="0"/>
    <x v="0"/>
    <x v="0"/>
    <x v="0"/>
    <x v="1"/>
    <x v="1"/>
    <x v="1"/>
    <x v="16"/>
    <x v="16"/>
    <n v="366.17376000000002"/>
    <x v="0"/>
    <x v="0"/>
    <x v="3"/>
    <x v="5"/>
    <x v="9"/>
    <x v="16"/>
    <n v="399.12939840000007"/>
  </r>
  <r>
    <x v="11"/>
    <x v="0"/>
    <x v="11"/>
    <x v="11"/>
    <x v="0"/>
    <x v="1"/>
    <x v="0"/>
    <x v="0"/>
    <x v="0"/>
    <x v="0"/>
    <x v="0"/>
    <x v="0"/>
    <x v="1"/>
    <x v="1"/>
    <x v="1"/>
    <x v="23"/>
    <x v="23"/>
    <n v="57.299403669690399"/>
    <x v="0"/>
    <x v="0"/>
    <x v="1"/>
    <x v="3"/>
    <x v="3"/>
    <x v="15"/>
    <n v="62.456349999962541"/>
  </r>
  <r>
    <x v="11"/>
    <x v="0"/>
    <x v="11"/>
    <x v="11"/>
    <x v="0"/>
    <x v="1"/>
    <x v="0"/>
    <x v="0"/>
    <x v="0"/>
    <x v="0"/>
    <x v="0"/>
    <x v="0"/>
    <x v="1"/>
    <x v="1"/>
    <x v="1"/>
    <x v="24"/>
    <x v="24"/>
    <n v="35.590146788969498"/>
    <x v="0"/>
    <x v="0"/>
    <x v="1"/>
    <x v="3"/>
    <x v="3"/>
    <x v="4"/>
    <n v="38.793259999976755"/>
  </r>
  <r>
    <x v="11"/>
    <x v="0"/>
    <x v="11"/>
    <x v="11"/>
    <x v="0"/>
    <x v="1"/>
    <x v="0"/>
    <x v="0"/>
    <x v="0"/>
    <x v="0"/>
    <x v="0"/>
    <x v="0"/>
    <x v="1"/>
    <x v="1"/>
    <x v="1"/>
    <x v="17"/>
    <x v="17"/>
    <n v="3.0786699999999998"/>
    <x v="0"/>
    <x v="0"/>
    <x v="0"/>
    <x v="0"/>
    <x v="4"/>
    <x v="17"/>
    <n v="3.3557503"/>
  </r>
  <r>
    <x v="11"/>
    <x v="0"/>
    <x v="11"/>
    <x v="11"/>
    <x v="0"/>
    <x v="1"/>
    <x v="0"/>
    <x v="0"/>
    <x v="0"/>
    <x v="0"/>
    <x v="0"/>
    <x v="0"/>
    <x v="1"/>
    <x v="1"/>
    <x v="1"/>
    <x v="18"/>
    <x v="18"/>
    <n v="56.895400000000002"/>
    <x v="0"/>
    <x v="0"/>
    <x v="0"/>
    <x v="0"/>
    <x v="4"/>
    <x v="18"/>
    <n v="62.015986000000005"/>
  </r>
  <r>
    <x v="11"/>
    <x v="0"/>
    <x v="11"/>
    <x v="11"/>
    <x v="0"/>
    <x v="1"/>
    <x v="0"/>
    <x v="0"/>
    <x v="0"/>
    <x v="0"/>
    <x v="0"/>
    <x v="0"/>
    <x v="1"/>
    <x v="1"/>
    <x v="1"/>
    <x v="79"/>
    <x v="79"/>
    <n v="67.024311926565304"/>
    <x v="0"/>
    <x v="0"/>
    <x v="1"/>
    <x v="4"/>
    <x v="5"/>
    <x v="10"/>
    <n v="73.056499999956188"/>
  </r>
  <r>
    <x v="11"/>
    <x v="0"/>
    <x v="11"/>
    <x v="11"/>
    <x v="0"/>
    <x v="1"/>
    <x v="0"/>
    <x v="0"/>
    <x v="0"/>
    <x v="0"/>
    <x v="0"/>
    <x v="0"/>
    <x v="1"/>
    <x v="1"/>
    <x v="1"/>
    <x v="25"/>
    <x v="25"/>
    <n v="20.165064220171399"/>
    <x v="0"/>
    <x v="0"/>
    <x v="1"/>
    <x v="4"/>
    <x v="5"/>
    <x v="9"/>
    <n v="21.979919999986826"/>
  </r>
  <r>
    <x v="11"/>
    <x v="0"/>
    <x v="11"/>
    <x v="11"/>
    <x v="0"/>
    <x v="1"/>
    <x v="0"/>
    <x v="0"/>
    <x v="0"/>
    <x v="0"/>
    <x v="0"/>
    <x v="0"/>
    <x v="1"/>
    <x v="1"/>
    <x v="1"/>
    <x v="27"/>
    <x v="27"/>
    <n v="47.386434685689302"/>
    <x v="0"/>
    <x v="0"/>
    <x v="1"/>
    <x v="3"/>
    <x v="3"/>
    <x v="19"/>
    <n v="51.651213807401341"/>
  </r>
  <r>
    <x v="11"/>
    <x v="0"/>
    <x v="11"/>
    <x v="11"/>
    <x v="0"/>
    <x v="1"/>
    <x v="0"/>
    <x v="0"/>
    <x v="0"/>
    <x v="0"/>
    <x v="0"/>
    <x v="0"/>
    <x v="1"/>
    <x v="1"/>
    <x v="1"/>
    <x v="78"/>
    <x v="78"/>
    <n v="3.6561100917409299"/>
    <x v="0"/>
    <x v="0"/>
    <x v="1"/>
    <x v="4"/>
    <x v="5"/>
    <x v="9"/>
    <n v="3.9851599999976139"/>
  </r>
  <r>
    <x v="11"/>
    <x v="0"/>
    <x v="11"/>
    <x v="11"/>
    <x v="0"/>
    <x v="1"/>
    <x v="0"/>
    <x v="0"/>
    <x v="0"/>
    <x v="0"/>
    <x v="0"/>
    <x v="0"/>
    <x v="1"/>
    <x v="1"/>
    <x v="1"/>
    <x v="26"/>
    <x v="26"/>
    <n v="234.67992660536399"/>
    <x v="0"/>
    <x v="0"/>
    <x v="1"/>
    <x v="3"/>
    <x v="3"/>
    <x v="15"/>
    <n v="255.80111999984678"/>
  </r>
  <r>
    <x v="11"/>
    <x v="0"/>
    <x v="11"/>
    <x v="11"/>
    <x v="0"/>
    <x v="1"/>
    <x v="0"/>
    <x v="0"/>
    <x v="0"/>
    <x v="0"/>
    <x v="0"/>
    <x v="0"/>
    <x v="1"/>
    <x v="1"/>
    <x v="1"/>
    <x v="0"/>
    <x v="0"/>
    <n v="18.100488434113"/>
    <x v="0"/>
    <x v="0"/>
    <x v="0"/>
    <x v="0"/>
    <x v="0"/>
    <x v="0"/>
    <n v="19.72953239318317"/>
  </r>
  <r>
    <x v="11"/>
    <x v="0"/>
    <x v="11"/>
    <x v="11"/>
    <x v="0"/>
    <x v="1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0.6273692"/>
  </r>
  <r>
    <x v="11"/>
    <x v="0"/>
    <x v="11"/>
    <x v="11"/>
    <x v="0"/>
    <x v="1"/>
    <x v="0"/>
    <x v="0"/>
    <x v="0"/>
    <x v="0"/>
    <x v="0"/>
    <x v="0"/>
    <x v="1"/>
    <x v="1"/>
    <x v="1"/>
    <x v="2"/>
    <x v="2"/>
    <n v="1070.2311284397199"/>
    <x v="0"/>
    <x v="1"/>
    <x v="2"/>
    <x v="2"/>
    <x v="13"/>
    <x v="2"/>
    <n v="1166.5519299992948"/>
  </r>
  <r>
    <x v="11"/>
    <x v="0"/>
    <x v="11"/>
    <x v="11"/>
    <x v="0"/>
    <x v="1"/>
    <x v="0"/>
    <x v="0"/>
    <x v="0"/>
    <x v="0"/>
    <x v="0"/>
    <x v="0"/>
    <x v="1"/>
    <x v="1"/>
    <x v="1"/>
    <x v="3"/>
    <x v="3"/>
    <n v="12.8586216738739"/>
    <x v="0"/>
    <x v="0"/>
    <x v="1"/>
    <x v="3"/>
    <x v="3"/>
    <x v="3"/>
    <n v="14.015897624522552"/>
  </r>
  <r>
    <x v="11"/>
    <x v="0"/>
    <x v="11"/>
    <x v="11"/>
    <x v="0"/>
    <x v="1"/>
    <x v="0"/>
    <x v="0"/>
    <x v="0"/>
    <x v="0"/>
    <x v="0"/>
    <x v="0"/>
    <x v="2"/>
    <x v="2"/>
    <x v="2"/>
    <x v="4"/>
    <x v="4"/>
    <n v="71.044330275186695"/>
    <x v="0"/>
    <x v="0"/>
    <x v="1"/>
    <x v="3"/>
    <x v="3"/>
    <x v="4"/>
    <n v="77.438319999953507"/>
  </r>
  <r>
    <x v="11"/>
    <x v="0"/>
    <x v="11"/>
    <x v="11"/>
    <x v="0"/>
    <x v="1"/>
    <x v="0"/>
    <x v="0"/>
    <x v="0"/>
    <x v="0"/>
    <x v="0"/>
    <x v="0"/>
    <x v="2"/>
    <x v="2"/>
    <x v="2"/>
    <x v="39"/>
    <x v="39"/>
    <n v="2.1196330275216599"/>
    <x v="0"/>
    <x v="0"/>
    <x v="1"/>
    <x v="4"/>
    <x v="5"/>
    <x v="9"/>
    <n v="2.3103999999986096"/>
  </r>
  <r>
    <x v="11"/>
    <x v="0"/>
    <x v="11"/>
    <x v="11"/>
    <x v="0"/>
    <x v="1"/>
    <x v="0"/>
    <x v="0"/>
    <x v="0"/>
    <x v="0"/>
    <x v="0"/>
    <x v="0"/>
    <x v="2"/>
    <x v="2"/>
    <x v="2"/>
    <x v="5"/>
    <x v="5"/>
    <n v="79.124245399374303"/>
    <x v="0"/>
    <x v="0"/>
    <x v="1"/>
    <x v="1"/>
    <x v="1"/>
    <x v="5"/>
    <n v="86.24542748531799"/>
  </r>
  <r>
    <x v="11"/>
    <x v="0"/>
    <x v="11"/>
    <x v="11"/>
    <x v="0"/>
    <x v="1"/>
    <x v="0"/>
    <x v="0"/>
    <x v="0"/>
    <x v="0"/>
    <x v="0"/>
    <x v="0"/>
    <x v="2"/>
    <x v="2"/>
    <x v="2"/>
    <x v="6"/>
    <x v="6"/>
    <n v="786.10496000000001"/>
    <x v="0"/>
    <x v="0"/>
    <x v="0"/>
    <x v="0"/>
    <x v="4"/>
    <x v="6"/>
    <n v="856.85440640000002"/>
  </r>
  <r>
    <x v="11"/>
    <x v="0"/>
    <x v="11"/>
    <x v="11"/>
    <x v="0"/>
    <x v="1"/>
    <x v="0"/>
    <x v="0"/>
    <x v="0"/>
    <x v="0"/>
    <x v="0"/>
    <x v="0"/>
    <x v="2"/>
    <x v="2"/>
    <x v="2"/>
    <x v="7"/>
    <x v="7"/>
    <n v="6.56403669724377"/>
    <x v="0"/>
    <x v="0"/>
    <x v="1"/>
    <x v="4"/>
    <x v="5"/>
    <x v="7"/>
    <n v="7.1547999999957099"/>
  </r>
  <r>
    <x v="11"/>
    <x v="0"/>
    <x v="11"/>
    <x v="11"/>
    <x v="0"/>
    <x v="1"/>
    <x v="0"/>
    <x v="0"/>
    <x v="0"/>
    <x v="0"/>
    <x v="0"/>
    <x v="0"/>
    <x v="2"/>
    <x v="2"/>
    <x v="2"/>
    <x v="8"/>
    <x v="8"/>
    <n v="3606.6392094825401"/>
    <x v="0"/>
    <x v="1"/>
    <x v="2"/>
    <x v="2"/>
    <x v="6"/>
    <x v="8"/>
    <n v="3931.2367383359688"/>
  </r>
  <r>
    <x v="11"/>
    <x v="0"/>
    <x v="11"/>
    <x v="11"/>
    <x v="0"/>
    <x v="1"/>
    <x v="0"/>
    <x v="0"/>
    <x v="0"/>
    <x v="0"/>
    <x v="0"/>
    <x v="0"/>
    <x v="2"/>
    <x v="2"/>
    <x v="2"/>
    <x v="9"/>
    <x v="9"/>
    <n v="182.03520898090201"/>
    <x v="0"/>
    <x v="0"/>
    <x v="1"/>
    <x v="4"/>
    <x v="5"/>
    <x v="9"/>
    <n v="198.41837778918321"/>
  </r>
  <r>
    <x v="11"/>
    <x v="0"/>
    <x v="11"/>
    <x v="11"/>
    <x v="0"/>
    <x v="1"/>
    <x v="0"/>
    <x v="0"/>
    <x v="0"/>
    <x v="0"/>
    <x v="0"/>
    <x v="0"/>
    <x v="2"/>
    <x v="2"/>
    <x v="2"/>
    <x v="10"/>
    <x v="10"/>
    <n v="1.6141304678399999"/>
    <x v="0"/>
    <x v="0"/>
    <x v="1"/>
    <x v="4"/>
    <x v="5"/>
    <x v="10"/>
    <n v="1.7594022099456001"/>
  </r>
  <r>
    <x v="11"/>
    <x v="0"/>
    <x v="11"/>
    <x v="11"/>
    <x v="0"/>
    <x v="1"/>
    <x v="0"/>
    <x v="0"/>
    <x v="0"/>
    <x v="0"/>
    <x v="0"/>
    <x v="0"/>
    <x v="2"/>
    <x v="2"/>
    <x v="2"/>
    <x v="28"/>
    <x v="28"/>
    <n v="10.326140000000001"/>
    <x v="0"/>
    <x v="0"/>
    <x v="1"/>
    <x v="3"/>
    <x v="3"/>
    <x v="13"/>
    <n v="11.255492600000002"/>
  </r>
  <r>
    <x v="11"/>
    <x v="0"/>
    <x v="11"/>
    <x v="11"/>
    <x v="0"/>
    <x v="1"/>
    <x v="0"/>
    <x v="0"/>
    <x v="0"/>
    <x v="0"/>
    <x v="0"/>
    <x v="0"/>
    <x v="2"/>
    <x v="2"/>
    <x v="2"/>
    <x v="29"/>
    <x v="29"/>
    <n v="28.031500000000001"/>
    <x v="0"/>
    <x v="0"/>
    <x v="1"/>
    <x v="3"/>
    <x v="3"/>
    <x v="13"/>
    <n v="30.554335000000002"/>
  </r>
  <r>
    <x v="11"/>
    <x v="0"/>
    <x v="11"/>
    <x v="11"/>
    <x v="0"/>
    <x v="1"/>
    <x v="0"/>
    <x v="0"/>
    <x v="0"/>
    <x v="0"/>
    <x v="0"/>
    <x v="0"/>
    <x v="2"/>
    <x v="2"/>
    <x v="2"/>
    <x v="30"/>
    <x v="30"/>
    <n v="55.7979435481639"/>
    <x v="0"/>
    <x v="0"/>
    <x v="0"/>
    <x v="0"/>
    <x v="0"/>
    <x v="0"/>
    <n v="60.819758467498659"/>
  </r>
  <r>
    <x v="11"/>
    <x v="0"/>
    <x v="11"/>
    <x v="11"/>
    <x v="0"/>
    <x v="1"/>
    <x v="0"/>
    <x v="0"/>
    <x v="0"/>
    <x v="0"/>
    <x v="0"/>
    <x v="0"/>
    <x v="2"/>
    <x v="2"/>
    <x v="2"/>
    <x v="11"/>
    <x v="11"/>
    <n v="1742.5049100000001"/>
    <x v="0"/>
    <x v="0"/>
    <x v="3"/>
    <x v="5"/>
    <x v="7"/>
    <x v="11"/>
    <n v="1899.3303519000003"/>
  </r>
  <r>
    <x v="11"/>
    <x v="0"/>
    <x v="11"/>
    <x v="11"/>
    <x v="0"/>
    <x v="1"/>
    <x v="0"/>
    <x v="0"/>
    <x v="0"/>
    <x v="0"/>
    <x v="0"/>
    <x v="0"/>
    <x v="2"/>
    <x v="2"/>
    <x v="2"/>
    <x v="88"/>
    <x v="88"/>
    <n v="0.22809174311913"/>
    <x v="0"/>
    <x v="0"/>
    <x v="1"/>
    <x v="4"/>
    <x v="5"/>
    <x v="9"/>
    <n v="0.24861999999985171"/>
  </r>
  <r>
    <x v="11"/>
    <x v="0"/>
    <x v="11"/>
    <x v="11"/>
    <x v="0"/>
    <x v="1"/>
    <x v="0"/>
    <x v="0"/>
    <x v="0"/>
    <x v="0"/>
    <x v="0"/>
    <x v="0"/>
    <x v="2"/>
    <x v="2"/>
    <x v="2"/>
    <x v="12"/>
    <x v="12"/>
    <n v="1675.93341859828"/>
    <x v="0"/>
    <x v="0"/>
    <x v="0"/>
    <x v="0"/>
    <x v="8"/>
    <x v="12"/>
    <n v="1826.7674262721252"/>
  </r>
  <r>
    <x v="11"/>
    <x v="0"/>
    <x v="11"/>
    <x v="11"/>
    <x v="0"/>
    <x v="1"/>
    <x v="0"/>
    <x v="0"/>
    <x v="0"/>
    <x v="0"/>
    <x v="0"/>
    <x v="0"/>
    <x v="2"/>
    <x v="2"/>
    <x v="2"/>
    <x v="32"/>
    <x v="32"/>
    <n v="22.076276595245801"/>
    <x v="0"/>
    <x v="0"/>
    <x v="1"/>
    <x v="1"/>
    <x v="1"/>
    <x v="20"/>
    <n v="24.063141488817926"/>
  </r>
  <r>
    <x v="11"/>
    <x v="0"/>
    <x v="11"/>
    <x v="11"/>
    <x v="0"/>
    <x v="1"/>
    <x v="0"/>
    <x v="0"/>
    <x v="0"/>
    <x v="0"/>
    <x v="0"/>
    <x v="0"/>
    <x v="2"/>
    <x v="2"/>
    <x v="2"/>
    <x v="14"/>
    <x v="14"/>
    <n v="615.02502000000004"/>
    <x v="0"/>
    <x v="0"/>
    <x v="0"/>
    <x v="0"/>
    <x v="8"/>
    <x v="14"/>
    <n v="670.37727180000013"/>
  </r>
  <r>
    <x v="11"/>
    <x v="0"/>
    <x v="11"/>
    <x v="11"/>
    <x v="0"/>
    <x v="1"/>
    <x v="0"/>
    <x v="0"/>
    <x v="0"/>
    <x v="0"/>
    <x v="0"/>
    <x v="0"/>
    <x v="2"/>
    <x v="2"/>
    <x v="2"/>
    <x v="16"/>
    <x v="16"/>
    <n v="460.25270999999998"/>
    <x v="0"/>
    <x v="0"/>
    <x v="3"/>
    <x v="5"/>
    <x v="9"/>
    <x v="16"/>
    <n v="501.67545390000004"/>
  </r>
  <r>
    <x v="11"/>
    <x v="0"/>
    <x v="11"/>
    <x v="11"/>
    <x v="0"/>
    <x v="1"/>
    <x v="0"/>
    <x v="0"/>
    <x v="0"/>
    <x v="0"/>
    <x v="0"/>
    <x v="0"/>
    <x v="2"/>
    <x v="2"/>
    <x v="2"/>
    <x v="24"/>
    <x v="24"/>
    <n v="72.9272201834425"/>
    <x v="0"/>
    <x v="0"/>
    <x v="1"/>
    <x v="3"/>
    <x v="3"/>
    <x v="4"/>
    <n v="79.490669999952331"/>
  </r>
  <r>
    <x v="11"/>
    <x v="0"/>
    <x v="11"/>
    <x v="11"/>
    <x v="0"/>
    <x v="1"/>
    <x v="0"/>
    <x v="0"/>
    <x v="0"/>
    <x v="0"/>
    <x v="0"/>
    <x v="0"/>
    <x v="2"/>
    <x v="2"/>
    <x v="2"/>
    <x v="17"/>
    <x v="17"/>
    <n v="65.270899999999997"/>
    <x v="0"/>
    <x v="0"/>
    <x v="0"/>
    <x v="0"/>
    <x v="4"/>
    <x v="17"/>
    <n v="71.145280999999997"/>
  </r>
  <r>
    <x v="11"/>
    <x v="0"/>
    <x v="11"/>
    <x v="11"/>
    <x v="0"/>
    <x v="1"/>
    <x v="0"/>
    <x v="0"/>
    <x v="0"/>
    <x v="0"/>
    <x v="0"/>
    <x v="0"/>
    <x v="2"/>
    <x v="2"/>
    <x v="2"/>
    <x v="21"/>
    <x v="21"/>
    <n v="0.25013761467875001"/>
    <x v="0"/>
    <x v="0"/>
    <x v="1"/>
    <x v="4"/>
    <x v="5"/>
    <x v="10"/>
    <n v="0.27264999999983752"/>
  </r>
  <r>
    <x v="11"/>
    <x v="0"/>
    <x v="11"/>
    <x v="11"/>
    <x v="0"/>
    <x v="1"/>
    <x v="0"/>
    <x v="0"/>
    <x v="0"/>
    <x v="0"/>
    <x v="0"/>
    <x v="0"/>
    <x v="2"/>
    <x v="2"/>
    <x v="2"/>
    <x v="18"/>
    <x v="18"/>
    <n v="174.18335999999999"/>
    <x v="0"/>
    <x v="0"/>
    <x v="0"/>
    <x v="0"/>
    <x v="4"/>
    <x v="18"/>
    <n v="189.8598624"/>
  </r>
  <r>
    <x v="11"/>
    <x v="0"/>
    <x v="11"/>
    <x v="11"/>
    <x v="0"/>
    <x v="1"/>
    <x v="0"/>
    <x v="0"/>
    <x v="0"/>
    <x v="0"/>
    <x v="0"/>
    <x v="0"/>
    <x v="2"/>
    <x v="2"/>
    <x v="2"/>
    <x v="34"/>
    <x v="34"/>
    <n v="66.661177291443195"/>
    <x v="0"/>
    <x v="0"/>
    <x v="0"/>
    <x v="0"/>
    <x v="0"/>
    <x v="0"/>
    <n v="72.660683247673092"/>
  </r>
  <r>
    <x v="11"/>
    <x v="0"/>
    <x v="11"/>
    <x v="11"/>
    <x v="0"/>
    <x v="1"/>
    <x v="0"/>
    <x v="0"/>
    <x v="0"/>
    <x v="0"/>
    <x v="0"/>
    <x v="0"/>
    <x v="2"/>
    <x v="2"/>
    <x v="2"/>
    <x v="79"/>
    <x v="79"/>
    <n v="11.286880733938199"/>
    <x v="0"/>
    <x v="0"/>
    <x v="1"/>
    <x v="4"/>
    <x v="5"/>
    <x v="10"/>
    <n v="12.302699999992639"/>
  </r>
  <r>
    <x v="11"/>
    <x v="0"/>
    <x v="11"/>
    <x v="11"/>
    <x v="0"/>
    <x v="1"/>
    <x v="0"/>
    <x v="0"/>
    <x v="0"/>
    <x v="0"/>
    <x v="0"/>
    <x v="0"/>
    <x v="2"/>
    <x v="2"/>
    <x v="2"/>
    <x v="25"/>
    <x v="25"/>
    <n v="16.525146788980901"/>
    <x v="0"/>
    <x v="0"/>
    <x v="1"/>
    <x v="4"/>
    <x v="5"/>
    <x v="9"/>
    <n v="18.012409999989185"/>
  </r>
  <r>
    <x v="11"/>
    <x v="0"/>
    <x v="11"/>
    <x v="11"/>
    <x v="0"/>
    <x v="1"/>
    <x v="0"/>
    <x v="0"/>
    <x v="0"/>
    <x v="0"/>
    <x v="0"/>
    <x v="0"/>
    <x v="2"/>
    <x v="2"/>
    <x v="2"/>
    <x v="27"/>
    <x v="27"/>
    <n v="405.86621172031602"/>
    <x v="0"/>
    <x v="0"/>
    <x v="1"/>
    <x v="3"/>
    <x v="3"/>
    <x v="19"/>
    <n v="442.39417077514452"/>
  </r>
  <r>
    <x v="11"/>
    <x v="0"/>
    <x v="11"/>
    <x v="11"/>
    <x v="0"/>
    <x v="1"/>
    <x v="0"/>
    <x v="0"/>
    <x v="0"/>
    <x v="0"/>
    <x v="0"/>
    <x v="0"/>
    <x v="2"/>
    <x v="2"/>
    <x v="2"/>
    <x v="26"/>
    <x v="26"/>
    <n v="49.5823853210712"/>
    <x v="0"/>
    <x v="0"/>
    <x v="1"/>
    <x v="3"/>
    <x v="3"/>
    <x v="15"/>
    <n v="54.044799999967616"/>
  </r>
  <r>
    <x v="11"/>
    <x v="0"/>
    <x v="11"/>
    <x v="11"/>
    <x v="0"/>
    <x v="1"/>
    <x v="0"/>
    <x v="0"/>
    <x v="0"/>
    <x v="0"/>
    <x v="0"/>
    <x v="0"/>
    <x v="2"/>
    <x v="2"/>
    <x v="2"/>
    <x v="0"/>
    <x v="0"/>
    <n v="28.5057846974291"/>
    <x v="0"/>
    <x v="0"/>
    <x v="0"/>
    <x v="0"/>
    <x v="0"/>
    <x v="0"/>
    <n v="31.07130532019772"/>
  </r>
  <r>
    <x v="11"/>
    <x v="0"/>
    <x v="11"/>
    <x v="11"/>
    <x v="0"/>
    <x v="1"/>
    <x v="0"/>
    <x v="0"/>
    <x v="0"/>
    <x v="0"/>
    <x v="0"/>
    <x v="0"/>
    <x v="2"/>
    <x v="2"/>
    <x v="2"/>
    <x v="1"/>
    <x v="1"/>
    <n v="326.804827584409"/>
    <x v="0"/>
    <x v="0"/>
    <x v="1"/>
    <x v="1"/>
    <x v="1"/>
    <x v="1"/>
    <n v="356.21726206700583"/>
  </r>
  <r>
    <x v="11"/>
    <x v="0"/>
    <x v="11"/>
    <x v="11"/>
    <x v="0"/>
    <x v="1"/>
    <x v="0"/>
    <x v="0"/>
    <x v="0"/>
    <x v="0"/>
    <x v="0"/>
    <x v="0"/>
    <x v="2"/>
    <x v="2"/>
    <x v="2"/>
    <x v="20"/>
    <x v="20"/>
    <n v="171.53442000000001"/>
    <x v="0"/>
    <x v="0"/>
    <x v="1"/>
    <x v="3"/>
    <x v="3"/>
    <x v="13"/>
    <n v="186.97251780000002"/>
  </r>
  <r>
    <x v="11"/>
    <x v="0"/>
    <x v="11"/>
    <x v="11"/>
    <x v="0"/>
    <x v="1"/>
    <x v="0"/>
    <x v="0"/>
    <x v="0"/>
    <x v="0"/>
    <x v="0"/>
    <x v="0"/>
    <x v="2"/>
    <x v="2"/>
    <x v="2"/>
    <x v="2"/>
    <x v="2"/>
    <n v="16805.730009164199"/>
    <x v="0"/>
    <x v="1"/>
    <x v="2"/>
    <x v="2"/>
    <x v="13"/>
    <x v="2"/>
    <n v="18318.24570998898"/>
  </r>
  <r>
    <x v="11"/>
    <x v="0"/>
    <x v="11"/>
    <x v="11"/>
    <x v="0"/>
    <x v="1"/>
    <x v="0"/>
    <x v="0"/>
    <x v="0"/>
    <x v="0"/>
    <x v="0"/>
    <x v="0"/>
    <x v="2"/>
    <x v="2"/>
    <x v="2"/>
    <x v="3"/>
    <x v="3"/>
    <n v="91.3446068894268"/>
    <x v="0"/>
    <x v="0"/>
    <x v="1"/>
    <x v="3"/>
    <x v="3"/>
    <x v="3"/>
    <n v="99.565621509475221"/>
  </r>
  <r>
    <x v="11"/>
    <x v="0"/>
    <x v="11"/>
    <x v="11"/>
    <x v="0"/>
    <x v="1"/>
    <x v="0"/>
    <x v="0"/>
    <x v="0"/>
    <x v="0"/>
    <x v="0"/>
    <x v="0"/>
    <x v="1"/>
    <x v="6"/>
    <x v="6"/>
    <x v="6"/>
    <x v="6"/>
    <n v="40.506"/>
    <x v="0"/>
    <x v="0"/>
    <x v="0"/>
    <x v="0"/>
    <x v="4"/>
    <x v="6"/>
    <n v="44.151540000000004"/>
  </r>
  <r>
    <x v="11"/>
    <x v="0"/>
    <x v="11"/>
    <x v="11"/>
    <x v="0"/>
    <x v="1"/>
    <x v="0"/>
    <x v="0"/>
    <x v="0"/>
    <x v="0"/>
    <x v="0"/>
    <x v="0"/>
    <x v="1"/>
    <x v="6"/>
    <x v="6"/>
    <x v="8"/>
    <x v="8"/>
    <n v="129.65553378461399"/>
    <x v="0"/>
    <x v="1"/>
    <x v="2"/>
    <x v="2"/>
    <x v="6"/>
    <x v="8"/>
    <n v="141.32453182522926"/>
  </r>
  <r>
    <x v="11"/>
    <x v="0"/>
    <x v="11"/>
    <x v="11"/>
    <x v="0"/>
    <x v="1"/>
    <x v="0"/>
    <x v="0"/>
    <x v="0"/>
    <x v="0"/>
    <x v="0"/>
    <x v="0"/>
    <x v="1"/>
    <x v="6"/>
    <x v="6"/>
    <x v="9"/>
    <x v="9"/>
    <n v="13.9321284403586"/>
    <x v="0"/>
    <x v="0"/>
    <x v="1"/>
    <x v="4"/>
    <x v="5"/>
    <x v="9"/>
    <n v="15.186019999990876"/>
  </r>
  <r>
    <x v="11"/>
    <x v="0"/>
    <x v="11"/>
    <x v="11"/>
    <x v="0"/>
    <x v="1"/>
    <x v="0"/>
    <x v="0"/>
    <x v="0"/>
    <x v="0"/>
    <x v="0"/>
    <x v="0"/>
    <x v="1"/>
    <x v="6"/>
    <x v="6"/>
    <x v="11"/>
    <x v="11"/>
    <n v="684.48141999999996"/>
    <x v="0"/>
    <x v="0"/>
    <x v="3"/>
    <x v="5"/>
    <x v="7"/>
    <x v="11"/>
    <n v="746.08474780000006"/>
  </r>
  <r>
    <x v="11"/>
    <x v="0"/>
    <x v="11"/>
    <x v="11"/>
    <x v="0"/>
    <x v="1"/>
    <x v="0"/>
    <x v="0"/>
    <x v="0"/>
    <x v="0"/>
    <x v="0"/>
    <x v="0"/>
    <x v="1"/>
    <x v="6"/>
    <x v="6"/>
    <x v="12"/>
    <x v="12"/>
    <n v="358.54190697538201"/>
    <x v="0"/>
    <x v="0"/>
    <x v="0"/>
    <x v="0"/>
    <x v="8"/>
    <x v="12"/>
    <n v="390.81067860316642"/>
  </r>
  <r>
    <x v="11"/>
    <x v="0"/>
    <x v="11"/>
    <x v="11"/>
    <x v="0"/>
    <x v="1"/>
    <x v="0"/>
    <x v="0"/>
    <x v="0"/>
    <x v="0"/>
    <x v="0"/>
    <x v="0"/>
    <x v="1"/>
    <x v="6"/>
    <x v="6"/>
    <x v="14"/>
    <x v="14"/>
    <n v="108.91848"/>
    <x v="0"/>
    <x v="0"/>
    <x v="0"/>
    <x v="0"/>
    <x v="8"/>
    <x v="14"/>
    <n v="118.72114320000001"/>
  </r>
  <r>
    <x v="11"/>
    <x v="0"/>
    <x v="11"/>
    <x v="11"/>
    <x v="0"/>
    <x v="1"/>
    <x v="0"/>
    <x v="0"/>
    <x v="0"/>
    <x v="0"/>
    <x v="0"/>
    <x v="0"/>
    <x v="1"/>
    <x v="6"/>
    <x v="6"/>
    <x v="16"/>
    <x v="16"/>
    <n v="569.67651999999998"/>
    <x v="0"/>
    <x v="0"/>
    <x v="3"/>
    <x v="5"/>
    <x v="9"/>
    <x v="16"/>
    <n v="620.94740680000007"/>
  </r>
  <r>
    <x v="11"/>
    <x v="0"/>
    <x v="11"/>
    <x v="11"/>
    <x v="0"/>
    <x v="1"/>
    <x v="0"/>
    <x v="0"/>
    <x v="0"/>
    <x v="0"/>
    <x v="0"/>
    <x v="0"/>
    <x v="1"/>
    <x v="6"/>
    <x v="6"/>
    <x v="27"/>
    <x v="27"/>
    <n v="46.445304055038697"/>
    <x v="0"/>
    <x v="0"/>
    <x v="1"/>
    <x v="3"/>
    <x v="3"/>
    <x v="19"/>
    <n v="50.625381419992181"/>
  </r>
  <r>
    <x v="11"/>
    <x v="0"/>
    <x v="11"/>
    <x v="11"/>
    <x v="0"/>
    <x v="1"/>
    <x v="0"/>
    <x v="0"/>
    <x v="0"/>
    <x v="0"/>
    <x v="0"/>
    <x v="0"/>
    <x v="1"/>
    <x v="6"/>
    <x v="6"/>
    <x v="26"/>
    <x v="26"/>
    <n v="6.6551376146749099"/>
    <x v="0"/>
    <x v="0"/>
    <x v="1"/>
    <x v="3"/>
    <x v="3"/>
    <x v="15"/>
    <n v="7.2540999999956526"/>
  </r>
  <r>
    <x v="11"/>
    <x v="0"/>
    <x v="11"/>
    <x v="11"/>
    <x v="0"/>
    <x v="1"/>
    <x v="0"/>
    <x v="0"/>
    <x v="0"/>
    <x v="0"/>
    <x v="0"/>
    <x v="0"/>
    <x v="1"/>
    <x v="6"/>
    <x v="6"/>
    <x v="0"/>
    <x v="0"/>
    <n v="1.4886120996399601"/>
    <x v="0"/>
    <x v="0"/>
    <x v="0"/>
    <x v="0"/>
    <x v="0"/>
    <x v="0"/>
    <n v="1.6225871886075567"/>
  </r>
  <r>
    <x v="11"/>
    <x v="0"/>
    <x v="11"/>
    <x v="11"/>
    <x v="0"/>
    <x v="1"/>
    <x v="0"/>
    <x v="0"/>
    <x v="0"/>
    <x v="0"/>
    <x v="0"/>
    <x v="0"/>
    <x v="1"/>
    <x v="6"/>
    <x v="6"/>
    <x v="1"/>
    <x v="1"/>
    <n v="51.724137930749997"/>
    <x v="0"/>
    <x v="0"/>
    <x v="1"/>
    <x v="1"/>
    <x v="1"/>
    <x v="1"/>
    <n v="56.379310344517499"/>
  </r>
  <r>
    <x v="11"/>
    <x v="0"/>
    <x v="11"/>
    <x v="11"/>
    <x v="0"/>
    <x v="1"/>
    <x v="0"/>
    <x v="0"/>
    <x v="0"/>
    <x v="0"/>
    <x v="0"/>
    <x v="0"/>
    <x v="1"/>
    <x v="6"/>
    <x v="6"/>
    <x v="2"/>
    <x v="2"/>
    <n v="2768.5646972460499"/>
    <x v="0"/>
    <x v="1"/>
    <x v="2"/>
    <x v="2"/>
    <x v="13"/>
    <x v="2"/>
    <n v="3017.7355199981948"/>
  </r>
  <r>
    <x v="11"/>
    <x v="0"/>
    <x v="11"/>
    <x v="11"/>
    <x v="0"/>
    <x v="1"/>
    <x v="0"/>
    <x v="0"/>
    <x v="0"/>
    <x v="0"/>
    <x v="0"/>
    <x v="0"/>
    <x v="1"/>
    <x v="6"/>
    <x v="6"/>
    <x v="3"/>
    <x v="3"/>
    <n v="11.8235935951369"/>
    <x v="0"/>
    <x v="0"/>
    <x v="1"/>
    <x v="3"/>
    <x v="3"/>
    <x v="3"/>
    <n v="12.887717018699222"/>
  </r>
  <r>
    <x v="11"/>
    <x v="0"/>
    <x v="11"/>
    <x v="11"/>
    <x v="0"/>
    <x v="1"/>
    <x v="0"/>
    <x v="0"/>
    <x v="0"/>
    <x v="0"/>
    <x v="0"/>
    <x v="0"/>
    <x v="3"/>
    <x v="7"/>
    <x v="7"/>
    <x v="6"/>
    <x v="6"/>
    <n v="138.9282"/>
    <x v="0"/>
    <x v="0"/>
    <x v="0"/>
    <x v="0"/>
    <x v="4"/>
    <x v="6"/>
    <n v="151.43173800000002"/>
  </r>
  <r>
    <x v="11"/>
    <x v="0"/>
    <x v="11"/>
    <x v="11"/>
    <x v="0"/>
    <x v="1"/>
    <x v="0"/>
    <x v="0"/>
    <x v="0"/>
    <x v="0"/>
    <x v="0"/>
    <x v="0"/>
    <x v="3"/>
    <x v="7"/>
    <x v="7"/>
    <x v="9"/>
    <x v="9"/>
    <n v="509.661038370489"/>
    <x v="0"/>
    <x v="0"/>
    <x v="1"/>
    <x v="4"/>
    <x v="5"/>
    <x v="9"/>
    <n v="555.53053182383303"/>
  </r>
  <r>
    <x v="11"/>
    <x v="0"/>
    <x v="11"/>
    <x v="11"/>
    <x v="0"/>
    <x v="1"/>
    <x v="0"/>
    <x v="0"/>
    <x v="0"/>
    <x v="0"/>
    <x v="0"/>
    <x v="0"/>
    <x v="3"/>
    <x v="7"/>
    <x v="7"/>
    <x v="10"/>
    <x v="10"/>
    <n v="86.761638552240598"/>
    <x v="0"/>
    <x v="0"/>
    <x v="1"/>
    <x v="4"/>
    <x v="5"/>
    <x v="10"/>
    <n v="94.570186021942263"/>
  </r>
  <r>
    <x v="11"/>
    <x v="0"/>
    <x v="11"/>
    <x v="11"/>
    <x v="0"/>
    <x v="1"/>
    <x v="0"/>
    <x v="0"/>
    <x v="0"/>
    <x v="0"/>
    <x v="0"/>
    <x v="0"/>
    <x v="3"/>
    <x v="7"/>
    <x v="7"/>
    <x v="11"/>
    <x v="11"/>
    <n v="313.68232"/>
    <x v="0"/>
    <x v="0"/>
    <x v="3"/>
    <x v="5"/>
    <x v="7"/>
    <x v="11"/>
    <n v="341.91372880000006"/>
  </r>
  <r>
    <x v="11"/>
    <x v="0"/>
    <x v="11"/>
    <x v="11"/>
    <x v="0"/>
    <x v="1"/>
    <x v="0"/>
    <x v="0"/>
    <x v="0"/>
    <x v="0"/>
    <x v="0"/>
    <x v="0"/>
    <x v="3"/>
    <x v="7"/>
    <x v="7"/>
    <x v="36"/>
    <x v="36"/>
    <n v="152.31658715587201"/>
    <x v="0"/>
    <x v="0"/>
    <x v="1"/>
    <x v="3"/>
    <x v="3"/>
    <x v="4"/>
    <n v="166.0250799999005"/>
  </r>
  <r>
    <x v="11"/>
    <x v="0"/>
    <x v="11"/>
    <x v="11"/>
    <x v="0"/>
    <x v="1"/>
    <x v="0"/>
    <x v="0"/>
    <x v="0"/>
    <x v="0"/>
    <x v="0"/>
    <x v="0"/>
    <x v="3"/>
    <x v="7"/>
    <x v="7"/>
    <x v="24"/>
    <x v="24"/>
    <n v="265.92112844020699"/>
    <x v="0"/>
    <x v="0"/>
    <x v="1"/>
    <x v="3"/>
    <x v="3"/>
    <x v="4"/>
    <n v="289.85402999982563"/>
  </r>
  <r>
    <x v="11"/>
    <x v="0"/>
    <x v="11"/>
    <x v="11"/>
    <x v="0"/>
    <x v="1"/>
    <x v="0"/>
    <x v="0"/>
    <x v="0"/>
    <x v="0"/>
    <x v="0"/>
    <x v="0"/>
    <x v="3"/>
    <x v="7"/>
    <x v="7"/>
    <x v="17"/>
    <x v="17"/>
    <n v="831.16583000000003"/>
    <x v="0"/>
    <x v="0"/>
    <x v="0"/>
    <x v="0"/>
    <x v="4"/>
    <x v="17"/>
    <n v="905.97075470000004"/>
  </r>
  <r>
    <x v="11"/>
    <x v="0"/>
    <x v="11"/>
    <x v="11"/>
    <x v="0"/>
    <x v="1"/>
    <x v="0"/>
    <x v="0"/>
    <x v="0"/>
    <x v="0"/>
    <x v="0"/>
    <x v="0"/>
    <x v="3"/>
    <x v="7"/>
    <x v="7"/>
    <x v="18"/>
    <x v="18"/>
    <n v="40.198070000000001"/>
    <x v="0"/>
    <x v="0"/>
    <x v="0"/>
    <x v="0"/>
    <x v="4"/>
    <x v="18"/>
    <n v="43.815896300000006"/>
  </r>
  <r>
    <x v="11"/>
    <x v="0"/>
    <x v="11"/>
    <x v="11"/>
    <x v="0"/>
    <x v="1"/>
    <x v="0"/>
    <x v="0"/>
    <x v="0"/>
    <x v="0"/>
    <x v="0"/>
    <x v="0"/>
    <x v="3"/>
    <x v="7"/>
    <x v="7"/>
    <x v="34"/>
    <x v="34"/>
    <n v="113.823122268807"/>
    <x v="0"/>
    <x v="0"/>
    <x v="0"/>
    <x v="0"/>
    <x v="0"/>
    <x v="0"/>
    <n v="124.06720327299963"/>
  </r>
  <r>
    <x v="11"/>
    <x v="0"/>
    <x v="11"/>
    <x v="11"/>
    <x v="0"/>
    <x v="1"/>
    <x v="0"/>
    <x v="0"/>
    <x v="0"/>
    <x v="0"/>
    <x v="0"/>
    <x v="0"/>
    <x v="1"/>
    <x v="8"/>
    <x v="8"/>
    <x v="6"/>
    <x v="6"/>
    <n v="141.94842"/>
    <x v="0"/>
    <x v="0"/>
    <x v="0"/>
    <x v="0"/>
    <x v="4"/>
    <x v="6"/>
    <n v="154.72377780000002"/>
  </r>
  <r>
    <x v="11"/>
    <x v="0"/>
    <x v="11"/>
    <x v="11"/>
    <x v="0"/>
    <x v="1"/>
    <x v="0"/>
    <x v="0"/>
    <x v="0"/>
    <x v="0"/>
    <x v="0"/>
    <x v="0"/>
    <x v="1"/>
    <x v="8"/>
    <x v="8"/>
    <x v="8"/>
    <x v="8"/>
    <n v="430.70795946221602"/>
    <x v="0"/>
    <x v="1"/>
    <x v="2"/>
    <x v="2"/>
    <x v="6"/>
    <x v="8"/>
    <n v="469.47167581381552"/>
  </r>
  <r>
    <x v="11"/>
    <x v="0"/>
    <x v="11"/>
    <x v="11"/>
    <x v="0"/>
    <x v="1"/>
    <x v="0"/>
    <x v="0"/>
    <x v="0"/>
    <x v="0"/>
    <x v="0"/>
    <x v="0"/>
    <x v="1"/>
    <x v="8"/>
    <x v="8"/>
    <x v="9"/>
    <x v="9"/>
    <n v="1187.6085027548199"/>
    <x v="0"/>
    <x v="0"/>
    <x v="1"/>
    <x v="4"/>
    <x v="5"/>
    <x v="9"/>
    <n v="1294.4932680027539"/>
  </r>
  <r>
    <x v="11"/>
    <x v="0"/>
    <x v="11"/>
    <x v="11"/>
    <x v="0"/>
    <x v="1"/>
    <x v="0"/>
    <x v="0"/>
    <x v="0"/>
    <x v="0"/>
    <x v="0"/>
    <x v="0"/>
    <x v="1"/>
    <x v="8"/>
    <x v="8"/>
    <x v="10"/>
    <x v="10"/>
    <n v="108.24980814992701"/>
    <x v="0"/>
    <x v="0"/>
    <x v="1"/>
    <x v="4"/>
    <x v="5"/>
    <x v="10"/>
    <n v="117.99229088342044"/>
  </r>
  <r>
    <x v="11"/>
    <x v="0"/>
    <x v="11"/>
    <x v="11"/>
    <x v="0"/>
    <x v="1"/>
    <x v="0"/>
    <x v="0"/>
    <x v="0"/>
    <x v="0"/>
    <x v="0"/>
    <x v="0"/>
    <x v="1"/>
    <x v="8"/>
    <x v="8"/>
    <x v="11"/>
    <x v="11"/>
    <n v="22.275369999999999"/>
    <x v="0"/>
    <x v="0"/>
    <x v="3"/>
    <x v="5"/>
    <x v="7"/>
    <x v="11"/>
    <n v="24.280153300000002"/>
  </r>
  <r>
    <x v="11"/>
    <x v="0"/>
    <x v="11"/>
    <x v="11"/>
    <x v="0"/>
    <x v="1"/>
    <x v="0"/>
    <x v="0"/>
    <x v="0"/>
    <x v="0"/>
    <x v="0"/>
    <x v="0"/>
    <x v="1"/>
    <x v="8"/>
    <x v="8"/>
    <x v="36"/>
    <x v="36"/>
    <n v="6.8690275229316597"/>
    <x v="0"/>
    <x v="0"/>
    <x v="1"/>
    <x v="3"/>
    <x v="3"/>
    <x v="4"/>
    <n v="7.4872399999955093"/>
  </r>
  <r>
    <x v="11"/>
    <x v="0"/>
    <x v="11"/>
    <x v="11"/>
    <x v="0"/>
    <x v="1"/>
    <x v="0"/>
    <x v="0"/>
    <x v="0"/>
    <x v="0"/>
    <x v="0"/>
    <x v="0"/>
    <x v="1"/>
    <x v="8"/>
    <x v="8"/>
    <x v="24"/>
    <x v="24"/>
    <n v="313.20118348605098"/>
    <x v="0"/>
    <x v="0"/>
    <x v="1"/>
    <x v="3"/>
    <x v="3"/>
    <x v="4"/>
    <n v="341.38928999979561"/>
  </r>
  <r>
    <x v="11"/>
    <x v="0"/>
    <x v="11"/>
    <x v="11"/>
    <x v="0"/>
    <x v="1"/>
    <x v="0"/>
    <x v="0"/>
    <x v="0"/>
    <x v="0"/>
    <x v="0"/>
    <x v="0"/>
    <x v="1"/>
    <x v="8"/>
    <x v="8"/>
    <x v="17"/>
    <x v="17"/>
    <n v="75.363169999999997"/>
    <x v="0"/>
    <x v="0"/>
    <x v="0"/>
    <x v="0"/>
    <x v="4"/>
    <x v="17"/>
    <n v="82.145855300000008"/>
  </r>
  <r>
    <x v="11"/>
    <x v="0"/>
    <x v="11"/>
    <x v="11"/>
    <x v="0"/>
    <x v="1"/>
    <x v="0"/>
    <x v="0"/>
    <x v="0"/>
    <x v="0"/>
    <x v="0"/>
    <x v="0"/>
    <x v="1"/>
    <x v="8"/>
    <x v="8"/>
    <x v="21"/>
    <x v="21"/>
    <n v="21.6433944953999"/>
    <x v="0"/>
    <x v="0"/>
    <x v="1"/>
    <x v="4"/>
    <x v="5"/>
    <x v="10"/>
    <n v="23.591299999985893"/>
  </r>
  <r>
    <x v="11"/>
    <x v="0"/>
    <x v="11"/>
    <x v="11"/>
    <x v="0"/>
    <x v="1"/>
    <x v="0"/>
    <x v="0"/>
    <x v="0"/>
    <x v="0"/>
    <x v="0"/>
    <x v="0"/>
    <x v="1"/>
    <x v="8"/>
    <x v="8"/>
    <x v="18"/>
    <x v="18"/>
    <n v="15.79209"/>
    <x v="0"/>
    <x v="0"/>
    <x v="0"/>
    <x v="0"/>
    <x v="4"/>
    <x v="18"/>
    <n v="17.2133781"/>
  </r>
  <r>
    <x v="11"/>
    <x v="0"/>
    <x v="11"/>
    <x v="11"/>
    <x v="0"/>
    <x v="1"/>
    <x v="0"/>
    <x v="0"/>
    <x v="0"/>
    <x v="0"/>
    <x v="0"/>
    <x v="0"/>
    <x v="1"/>
    <x v="8"/>
    <x v="8"/>
    <x v="34"/>
    <x v="34"/>
    <n v="15.978385152566799"/>
    <x v="0"/>
    <x v="0"/>
    <x v="0"/>
    <x v="0"/>
    <x v="0"/>
    <x v="0"/>
    <n v="17.416439816297814"/>
  </r>
  <r>
    <x v="11"/>
    <x v="0"/>
    <x v="11"/>
    <x v="11"/>
    <x v="0"/>
    <x v="1"/>
    <x v="0"/>
    <x v="0"/>
    <x v="0"/>
    <x v="0"/>
    <x v="0"/>
    <x v="0"/>
    <x v="1"/>
    <x v="8"/>
    <x v="8"/>
    <x v="37"/>
    <x v="37"/>
    <n v="220.41806422005101"/>
    <x v="0"/>
    <x v="0"/>
    <x v="1"/>
    <x v="3"/>
    <x v="3"/>
    <x v="4"/>
    <n v="240.2556899998556"/>
  </r>
  <r>
    <x v="11"/>
    <x v="0"/>
    <x v="11"/>
    <x v="11"/>
    <x v="0"/>
    <x v="1"/>
    <x v="0"/>
    <x v="0"/>
    <x v="0"/>
    <x v="0"/>
    <x v="0"/>
    <x v="0"/>
    <x v="1"/>
    <x v="8"/>
    <x v="8"/>
    <x v="26"/>
    <x v="26"/>
    <n v="27.962541284386901"/>
    <x v="0"/>
    <x v="0"/>
    <x v="1"/>
    <x v="3"/>
    <x v="3"/>
    <x v="15"/>
    <n v="30.479169999981725"/>
  </r>
  <r>
    <x v="11"/>
    <x v="0"/>
    <x v="11"/>
    <x v="11"/>
    <x v="0"/>
    <x v="1"/>
    <x v="0"/>
    <x v="0"/>
    <x v="0"/>
    <x v="0"/>
    <x v="0"/>
    <x v="0"/>
    <x v="1"/>
    <x v="8"/>
    <x v="8"/>
    <x v="0"/>
    <x v="0"/>
    <n v="41.616572063940403"/>
    <x v="0"/>
    <x v="0"/>
    <x v="0"/>
    <x v="0"/>
    <x v="0"/>
    <x v="0"/>
    <n v="45.362063549695044"/>
  </r>
  <r>
    <x v="11"/>
    <x v="0"/>
    <x v="11"/>
    <x v="11"/>
    <x v="0"/>
    <x v="1"/>
    <x v="0"/>
    <x v="0"/>
    <x v="0"/>
    <x v="0"/>
    <x v="0"/>
    <x v="0"/>
    <x v="0"/>
    <x v="9"/>
    <x v="9"/>
    <x v="6"/>
    <x v="6"/>
    <n v="368.17597000000001"/>
    <x v="0"/>
    <x v="0"/>
    <x v="0"/>
    <x v="0"/>
    <x v="4"/>
    <x v="6"/>
    <n v="401.31180730000005"/>
  </r>
  <r>
    <x v="11"/>
    <x v="0"/>
    <x v="11"/>
    <x v="11"/>
    <x v="0"/>
    <x v="1"/>
    <x v="0"/>
    <x v="0"/>
    <x v="0"/>
    <x v="0"/>
    <x v="0"/>
    <x v="0"/>
    <x v="0"/>
    <x v="9"/>
    <x v="9"/>
    <x v="7"/>
    <x v="7"/>
    <n v="451.87044954101299"/>
    <x v="0"/>
    <x v="0"/>
    <x v="1"/>
    <x v="4"/>
    <x v="5"/>
    <x v="7"/>
    <n v="492.53878999970419"/>
  </r>
  <r>
    <x v="11"/>
    <x v="0"/>
    <x v="11"/>
    <x v="11"/>
    <x v="0"/>
    <x v="1"/>
    <x v="0"/>
    <x v="0"/>
    <x v="0"/>
    <x v="0"/>
    <x v="0"/>
    <x v="0"/>
    <x v="0"/>
    <x v="9"/>
    <x v="9"/>
    <x v="9"/>
    <x v="9"/>
    <n v="6178.6629049448702"/>
    <x v="0"/>
    <x v="0"/>
    <x v="1"/>
    <x v="4"/>
    <x v="5"/>
    <x v="9"/>
    <n v="6734.7425663899094"/>
  </r>
  <r>
    <x v="11"/>
    <x v="0"/>
    <x v="11"/>
    <x v="11"/>
    <x v="0"/>
    <x v="1"/>
    <x v="0"/>
    <x v="0"/>
    <x v="0"/>
    <x v="0"/>
    <x v="0"/>
    <x v="0"/>
    <x v="0"/>
    <x v="9"/>
    <x v="9"/>
    <x v="10"/>
    <x v="10"/>
    <n v="147.75009519077699"/>
    <x v="0"/>
    <x v="0"/>
    <x v="1"/>
    <x v="4"/>
    <x v="5"/>
    <x v="10"/>
    <n v="161.04760375794692"/>
  </r>
  <r>
    <x v="11"/>
    <x v="0"/>
    <x v="11"/>
    <x v="11"/>
    <x v="0"/>
    <x v="1"/>
    <x v="0"/>
    <x v="0"/>
    <x v="0"/>
    <x v="0"/>
    <x v="0"/>
    <x v="0"/>
    <x v="0"/>
    <x v="9"/>
    <x v="9"/>
    <x v="11"/>
    <x v="11"/>
    <n v="184.70572999999999"/>
    <x v="0"/>
    <x v="0"/>
    <x v="3"/>
    <x v="5"/>
    <x v="7"/>
    <x v="11"/>
    <n v="201.3292457"/>
  </r>
  <r>
    <x v="11"/>
    <x v="0"/>
    <x v="11"/>
    <x v="11"/>
    <x v="0"/>
    <x v="1"/>
    <x v="0"/>
    <x v="0"/>
    <x v="0"/>
    <x v="0"/>
    <x v="0"/>
    <x v="0"/>
    <x v="0"/>
    <x v="9"/>
    <x v="9"/>
    <x v="12"/>
    <x v="12"/>
    <n v="28.972639534773599"/>
    <x v="0"/>
    <x v="0"/>
    <x v="0"/>
    <x v="0"/>
    <x v="8"/>
    <x v="12"/>
    <n v="31.580177092903224"/>
  </r>
  <r>
    <x v="11"/>
    <x v="0"/>
    <x v="11"/>
    <x v="11"/>
    <x v="0"/>
    <x v="1"/>
    <x v="0"/>
    <x v="0"/>
    <x v="0"/>
    <x v="0"/>
    <x v="0"/>
    <x v="0"/>
    <x v="0"/>
    <x v="9"/>
    <x v="9"/>
    <x v="14"/>
    <x v="14"/>
    <n v="6.4999999999999997E-4"/>
    <x v="0"/>
    <x v="0"/>
    <x v="0"/>
    <x v="0"/>
    <x v="8"/>
    <x v="14"/>
    <n v="7.0850000000000004E-4"/>
  </r>
  <r>
    <x v="11"/>
    <x v="0"/>
    <x v="11"/>
    <x v="11"/>
    <x v="0"/>
    <x v="1"/>
    <x v="0"/>
    <x v="0"/>
    <x v="0"/>
    <x v="0"/>
    <x v="0"/>
    <x v="0"/>
    <x v="0"/>
    <x v="9"/>
    <x v="9"/>
    <x v="36"/>
    <x v="36"/>
    <n v="25.143339449526199"/>
    <x v="0"/>
    <x v="0"/>
    <x v="1"/>
    <x v="3"/>
    <x v="3"/>
    <x v="4"/>
    <n v="27.406239999983558"/>
  </r>
  <r>
    <x v="11"/>
    <x v="0"/>
    <x v="11"/>
    <x v="11"/>
    <x v="0"/>
    <x v="1"/>
    <x v="0"/>
    <x v="0"/>
    <x v="0"/>
    <x v="0"/>
    <x v="0"/>
    <x v="0"/>
    <x v="0"/>
    <x v="9"/>
    <x v="9"/>
    <x v="24"/>
    <x v="24"/>
    <n v="301.05668807321399"/>
    <x v="0"/>
    <x v="0"/>
    <x v="1"/>
    <x v="3"/>
    <x v="3"/>
    <x v="4"/>
    <n v="328.15178999980327"/>
  </r>
  <r>
    <x v="11"/>
    <x v="0"/>
    <x v="11"/>
    <x v="11"/>
    <x v="0"/>
    <x v="1"/>
    <x v="0"/>
    <x v="0"/>
    <x v="0"/>
    <x v="0"/>
    <x v="0"/>
    <x v="0"/>
    <x v="0"/>
    <x v="9"/>
    <x v="9"/>
    <x v="17"/>
    <x v="17"/>
    <n v="203.84"/>
    <x v="0"/>
    <x v="0"/>
    <x v="0"/>
    <x v="0"/>
    <x v="4"/>
    <x v="17"/>
    <n v="222.18560000000002"/>
  </r>
  <r>
    <x v="11"/>
    <x v="0"/>
    <x v="11"/>
    <x v="11"/>
    <x v="0"/>
    <x v="1"/>
    <x v="0"/>
    <x v="0"/>
    <x v="0"/>
    <x v="0"/>
    <x v="0"/>
    <x v="0"/>
    <x v="0"/>
    <x v="9"/>
    <x v="9"/>
    <x v="21"/>
    <x v="21"/>
    <n v="1471.8179633018699"/>
    <x v="0"/>
    <x v="0"/>
    <x v="1"/>
    <x v="4"/>
    <x v="5"/>
    <x v="10"/>
    <n v="1604.2815799990383"/>
  </r>
  <r>
    <x v="11"/>
    <x v="0"/>
    <x v="11"/>
    <x v="11"/>
    <x v="0"/>
    <x v="1"/>
    <x v="0"/>
    <x v="0"/>
    <x v="0"/>
    <x v="0"/>
    <x v="0"/>
    <x v="0"/>
    <x v="0"/>
    <x v="9"/>
    <x v="9"/>
    <x v="18"/>
    <x v="18"/>
    <n v="101.77448"/>
    <x v="0"/>
    <x v="0"/>
    <x v="0"/>
    <x v="0"/>
    <x v="4"/>
    <x v="18"/>
    <n v="110.93418320000001"/>
  </r>
  <r>
    <x v="11"/>
    <x v="0"/>
    <x v="11"/>
    <x v="11"/>
    <x v="0"/>
    <x v="1"/>
    <x v="0"/>
    <x v="0"/>
    <x v="0"/>
    <x v="0"/>
    <x v="0"/>
    <x v="0"/>
    <x v="0"/>
    <x v="9"/>
    <x v="9"/>
    <x v="34"/>
    <x v="34"/>
    <n v="64.614382531652694"/>
    <x v="0"/>
    <x v="0"/>
    <x v="0"/>
    <x v="0"/>
    <x v="0"/>
    <x v="0"/>
    <n v="70.429676959501435"/>
  </r>
  <r>
    <x v="11"/>
    <x v="0"/>
    <x v="11"/>
    <x v="11"/>
    <x v="0"/>
    <x v="1"/>
    <x v="0"/>
    <x v="0"/>
    <x v="0"/>
    <x v="0"/>
    <x v="0"/>
    <x v="0"/>
    <x v="0"/>
    <x v="9"/>
    <x v="9"/>
    <x v="37"/>
    <x v="37"/>
    <n v="101.92215596324201"/>
    <x v="0"/>
    <x v="0"/>
    <x v="1"/>
    <x v="3"/>
    <x v="3"/>
    <x v="4"/>
    <n v="111.0951499999338"/>
  </r>
  <r>
    <x v="11"/>
    <x v="0"/>
    <x v="11"/>
    <x v="11"/>
    <x v="0"/>
    <x v="1"/>
    <x v="0"/>
    <x v="0"/>
    <x v="0"/>
    <x v="0"/>
    <x v="0"/>
    <x v="0"/>
    <x v="0"/>
    <x v="9"/>
    <x v="9"/>
    <x v="26"/>
    <x v="26"/>
    <n v="41.399009174287102"/>
    <x v="0"/>
    <x v="0"/>
    <x v="1"/>
    <x v="3"/>
    <x v="3"/>
    <x v="15"/>
    <n v="45.124919999972946"/>
  </r>
  <r>
    <x v="11"/>
    <x v="0"/>
    <x v="11"/>
    <x v="11"/>
    <x v="0"/>
    <x v="1"/>
    <x v="0"/>
    <x v="0"/>
    <x v="0"/>
    <x v="0"/>
    <x v="0"/>
    <x v="0"/>
    <x v="0"/>
    <x v="9"/>
    <x v="9"/>
    <x v="0"/>
    <x v="0"/>
    <n v="5.2633434163553696"/>
    <x v="0"/>
    <x v="0"/>
    <x v="0"/>
    <x v="0"/>
    <x v="0"/>
    <x v="0"/>
    <n v="5.7370443238273534"/>
  </r>
  <r>
    <x v="11"/>
    <x v="0"/>
    <x v="11"/>
    <x v="11"/>
    <x v="0"/>
    <x v="1"/>
    <x v="0"/>
    <x v="0"/>
    <x v="0"/>
    <x v="0"/>
    <x v="0"/>
    <x v="0"/>
    <x v="0"/>
    <x v="9"/>
    <x v="9"/>
    <x v="2"/>
    <x v="2"/>
    <n v="69.983541284361706"/>
    <x v="0"/>
    <x v="1"/>
    <x v="2"/>
    <x v="2"/>
    <x v="13"/>
    <x v="2"/>
    <n v="76.282059999954271"/>
  </r>
  <r>
    <x v="11"/>
    <x v="0"/>
    <x v="11"/>
    <x v="11"/>
    <x v="0"/>
    <x v="1"/>
    <x v="0"/>
    <x v="0"/>
    <x v="0"/>
    <x v="0"/>
    <x v="0"/>
    <x v="0"/>
    <x v="2"/>
    <x v="10"/>
    <x v="10"/>
    <x v="6"/>
    <x v="6"/>
    <n v="439.37401"/>
    <x v="0"/>
    <x v="0"/>
    <x v="0"/>
    <x v="0"/>
    <x v="4"/>
    <x v="6"/>
    <n v="478.91767090000002"/>
  </r>
  <r>
    <x v="11"/>
    <x v="0"/>
    <x v="11"/>
    <x v="11"/>
    <x v="0"/>
    <x v="1"/>
    <x v="0"/>
    <x v="0"/>
    <x v="0"/>
    <x v="0"/>
    <x v="0"/>
    <x v="0"/>
    <x v="2"/>
    <x v="10"/>
    <x v="10"/>
    <x v="7"/>
    <x v="7"/>
    <n v="55.087513761434799"/>
    <x v="0"/>
    <x v="0"/>
    <x v="1"/>
    <x v="4"/>
    <x v="5"/>
    <x v="7"/>
    <n v="60.045389999963938"/>
  </r>
  <r>
    <x v="11"/>
    <x v="0"/>
    <x v="11"/>
    <x v="11"/>
    <x v="0"/>
    <x v="1"/>
    <x v="0"/>
    <x v="0"/>
    <x v="0"/>
    <x v="0"/>
    <x v="0"/>
    <x v="0"/>
    <x v="2"/>
    <x v="10"/>
    <x v="10"/>
    <x v="9"/>
    <x v="9"/>
    <n v="1394.2337257489501"/>
    <x v="0"/>
    <x v="0"/>
    <x v="1"/>
    <x v="4"/>
    <x v="5"/>
    <x v="9"/>
    <n v="1519.7147610663558"/>
  </r>
  <r>
    <x v="11"/>
    <x v="0"/>
    <x v="11"/>
    <x v="11"/>
    <x v="0"/>
    <x v="1"/>
    <x v="0"/>
    <x v="0"/>
    <x v="0"/>
    <x v="0"/>
    <x v="0"/>
    <x v="0"/>
    <x v="2"/>
    <x v="10"/>
    <x v="10"/>
    <x v="10"/>
    <x v="10"/>
    <n v="45.416491872158701"/>
    <x v="0"/>
    <x v="0"/>
    <x v="1"/>
    <x v="4"/>
    <x v="5"/>
    <x v="10"/>
    <n v="49.503976140652988"/>
  </r>
  <r>
    <x v="11"/>
    <x v="0"/>
    <x v="11"/>
    <x v="11"/>
    <x v="0"/>
    <x v="1"/>
    <x v="0"/>
    <x v="0"/>
    <x v="0"/>
    <x v="0"/>
    <x v="0"/>
    <x v="0"/>
    <x v="2"/>
    <x v="10"/>
    <x v="10"/>
    <x v="11"/>
    <x v="11"/>
    <n v="117.18948"/>
    <x v="0"/>
    <x v="0"/>
    <x v="3"/>
    <x v="5"/>
    <x v="7"/>
    <x v="11"/>
    <n v="127.73653320000001"/>
  </r>
  <r>
    <x v="11"/>
    <x v="0"/>
    <x v="11"/>
    <x v="11"/>
    <x v="0"/>
    <x v="1"/>
    <x v="0"/>
    <x v="0"/>
    <x v="0"/>
    <x v="0"/>
    <x v="0"/>
    <x v="0"/>
    <x v="2"/>
    <x v="10"/>
    <x v="10"/>
    <x v="22"/>
    <x v="22"/>
    <n v="0.30003360214934"/>
    <x v="0"/>
    <x v="0"/>
    <x v="0"/>
    <x v="0"/>
    <x v="0"/>
    <x v="0"/>
    <n v="0.32703662634278063"/>
  </r>
  <r>
    <x v="11"/>
    <x v="0"/>
    <x v="11"/>
    <x v="11"/>
    <x v="0"/>
    <x v="1"/>
    <x v="0"/>
    <x v="0"/>
    <x v="0"/>
    <x v="0"/>
    <x v="0"/>
    <x v="0"/>
    <x v="2"/>
    <x v="10"/>
    <x v="10"/>
    <x v="36"/>
    <x v="36"/>
    <n v="53.1935688073075"/>
    <x v="0"/>
    <x v="0"/>
    <x v="1"/>
    <x v="3"/>
    <x v="3"/>
    <x v="4"/>
    <n v="57.980989999965182"/>
  </r>
  <r>
    <x v="11"/>
    <x v="0"/>
    <x v="11"/>
    <x v="11"/>
    <x v="0"/>
    <x v="1"/>
    <x v="0"/>
    <x v="0"/>
    <x v="0"/>
    <x v="0"/>
    <x v="0"/>
    <x v="0"/>
    <x v="2"/>
    <x v="10"/>
    <x v="10"/>
    <x v="24"/>
    <x v="24"/>
    <n v="185.360321100806"/>
    <x v="0"/>
    <x v="0"/>
    <x v="1"/>
    <x v="3"/>
    <x v="3"/>
    <x v="4"/>
    <n v="202.04274999987857"/>
  </r>
  <r>
    <x v="11"/>
    <x v="0"/>
    <x v="11"/>
    <x v="11"/>
    <x v="0"/>
    <x v="1"/>
    <x v="0"/>
    <x v="0"/>
    <x v="0"/>
    <x v="0"/>
    <x v="0"/>
    <x v="0"/>
    <x v="2"/>
    <x v="10"/>
    <x v="10"/>
    <x v="17"/>
    <x v="17"/>
    <n v="81.620500000000007"/>
    <x v="0"/>
    <x v="0"/>
    <x v="0"/>
    <x v="0"/>
    <x v="4"/>
    <x v="17"/>
    <n v="88.966345000000018"/>
  </r>
  <r>
    <x v="11"/>
    <x v="0"/>
    <x v="11"/>
    <x v="11"/>
    <x v="0"/>
    <x v="1"/>
    <x v="0"/>
    <x v="0"/>
    <x v="0"/>
    <x v="0"/>
    <x v="0"/>
    <x v="0"/>
    <x v="2"/>
    <x v="10"/>
    <x v="10"/>
    <x v="21"/>
    <x v="21"/>
    <n v="274.50043119249602"/>
    <x v="0"/>
    <x v="0"/>
    <x v="1"/>
    <x v="4"/>
    <x v="5"/>
    <x v="10"/>
    <n v="299.20546999982071"/>
  </r>
  <r>
    <x v="11"/>
    <x v="0"/>
    <x v="11"/>
    <x v="11"/>
    <x v="0"/>
    <x v="1"/>
    <x v="0"/>
    <x v="0"/>
    <x v="0"/>
    <x v="0"/>
    <x v="0"/>
    <x v="0"/>
    <x v="2"/>
    <x v="10"/>
    <x v="10"/>
    <x v="18"/>
    <x v="18"/>
    <n v="152.00017"/>
    <x v="0"/>
    <x v="0"/>
    <x v="0"/>
    <x v="0"/>
    <x v="4"/>
    <x v="18"/>
    <n v="165.68018530000001"/>
  </r>
  <r>
    <x v="11"/>
    <x v="0"/>
    <x v="11"/>
    <x v="11"/>
    <x v="0"/>
    <x v="1"/>
    <x v="0"/>
    <x v="0"/>
    <x v="0"/>
    <x v="0"/>
    <x v="0"/>
    <x v="0"/>
    <x v="2"/>
    <x v="10"/>
    <x v="10"/>
    <x v="34"/>
    <x v="34"/>
    <n v="138.209993884113"/>
    <x v="0"/>
    <x v="0"/>
    <x v="0"/>
    <x v="0"/>
    <x v="0"/>
    <x v="0"/>
    <n v="150.64889333368319"/>
  </r>
  <r>
    <x v="11"/>
    <x v="0"/>
    <x v="11"/>
    <x v="11"/>
    <x v="0"/>
    <x v="1"/>
    <x v="0"/>
    <x v="0"/>
    <x v="0"/>
    <x v="0"/>
    <x v="0"/>
    <x v="0"/>
    <x v="2"/>
    <x v="10"/>
    <x v="10"/>
    <x v="79"/>
    <x v="79"/>
    <n v="3.14943119265866"/>
    <x v="0"/>
    <x v="0"/>
    <x v="1"/>
    <x v="4"/>
    <x v="5"/>
    <x v="10"/>
    <n v="3.4328799999979398"/>
  </r>
  <r>
    <x v="11"/>
    <x v="0"/>
    <x v="11"/>
    <x v="11"/>
    <x v="0"/>
    <x v="1"/>
    <x v="0"/>
    <x v="0"/>
    <x v="0"/>
    <x v="0"/>
    <x v="0"/>
    <x v="0"/>
    <x v="2"/>
    <x v="10"/>
    <x v="10"/>
    <x v="37"/>
    <x v="37"/>
    <n v="132.341532110012"/>
    <x v="0"/>
    <x v="0"/>
    <x v="1"/>
    <x v="3"/>
    <x v="3"/>
    <x v="4"/>
    <n v="144.2522699999131"/>
  </r>
  <r>
    <x v="11"/>
    <x v="0"/>
    <x v="11"/>
    <x v="11"/>
    <x v="0"/>
    <x v="1"/>
    <x v="0"/>
    <x v="0"/>
    <x v="0"/>
    <x v="0"/>
    <x v="0"/>
    <x v="0"/>
    <x v="2"/>
    <x v="10"/>
    <x v="10"/>
    <x v="26"/>
    <x v="26"/>
    <n v="74.031633027478506"/>
    <x v="0"/>
    <x v="0"/>
    <x v="1"/>
    <x v="3"/>
    <x v="3"/>
    <x v="15"/>
    <n v="80.694479999951582"/>
  </r>
  <r>
    <x v="11"/>
    <x v="0"/>
    <x v="11"/>
    <x v="11"/>
    <x v="0"/>
    <x v="1"/>
    <x v="0"/>
    <x v="0"/>
    <x v="0"/>
    <x v="0"/>
    <x v="0"/>
    <x v="0"/>
    <x v="2"/>
    <x v="10"/>
    <x v="10"/>
    <x v="0"/>
    <x v="0"/>
    <n v="331.77770373572599"/>
    <x v="0"/>
    <x v="0"/>
    <x v="0"/>
    <x v="0"/>
    <x v="0"/>
    <x v="0"/>
    <n v="361.63769707194137"/>
  </r>
  <r>
    <x v="11"/>
    <x v="0"/>
    <x v="11"/>
    <x v="11"/>
    <x v="0"/>
    <x v="1"/>
    <x v="0"/>
    <x v="0"/>
    <x v="0"/>
    <x v="0"/>
    <x v="0"/>
    <x v="0"/>
    <x v="4"/>
    <x v="5"/>
    <x v="5"/>
    <x v="4"/>
    <x v="4"/>
    <n v="23.684357798150899"/>
    <x v="0"/>
    <x v="0"/>
    <x v="1"/>
    <x v="3"/>
    <x v="3"/>
    <x v="4"/>
    <n v="25.815949999984483"/>
  </r>
  <r>
    <x v="11"/>
    <x v="0"/>
    <x v="11"/>
    <x v="11"/>
    <x v="0"/>
    <x v="1"/>
    <x v="0"/>
    <x v="0"/>
    <x v="0"/>
    <x v="0"/>
    <x v="0"/>
    <x v="0"/>
    <x v="4"/>
    <x v="5"/>
    <x v="5"/>
    <x v="6"/>
    <x v="6"/>
    <n v="1698.0715600000001"/>
    <x v="0"/>
    <x v="0"/>
    <x v="0"/>
    <x v="0"/>
    <x v="4"/>
    <x v="6"/>
    <n v="1850.8980004000002"/>
  </r>
  <r>
    <x v="11"/>
    <x v="0"/>
    <x v="11"/>
    <x v="11"/>
    <x v="0"/>
    <x v="1"/>
    <x v="0"/>
    <x v="0"/>
    <x v="0"/>
    <x v="0"/>
    <x v="0"/>
    <x v="0"/>
    <x v="4"/>
    <x v="5"/>
    <x v="5"/>
    <x v="7"/>
    <x v="7"/>
    <n v="42.967908256854898"/>
    <x v="0"/>
    <x v="0"/>
    <x v="1"/>
    <x v="4"/>
    <x v="5"/>
    <x v="7"/>
    <n v="46.835019999971841"/>
  </r>
  <r>
    <x v="11"/>
    <x v="0"/>
    <x v="11"/>
    <x v="11"/>
    <x v="0"/>
    <x v="1"/>
    <x v="0"/>
    <x v="0"/>
    <x v="0"/>
    <x v="0"/>
    <x v="0"/>
    <x v="0"/>
    <x v="4"/>
    <x v="5"/>
    <x v="5"/>
    <x v="8"/>
    <x v="8"/>
    <n v="6053.3472365252301"/>
    <x v="0"/>
    <x v="1"/>
    <x v="2"/>
    <x v="2"/>
    <x v="6"/>
    <x v="8"/>
    <n v="6598.1484878125011"/>
  </r>
  <r>
    <x v="11"/>
    <x v="0"/>
    <x v="11"/>
    <x v="11"/>
    <x v="0"/>
    <x v="1"/>
    <x v="0"/>
    <x v="0"/>
    <x v="0"/>
    <x v="0"/>
    <x v="0"/>
    <x v="0"/>
    <x v="4"/>
    <x v="5"/>
    <x v="5"/>
    <x v="9"/>
    <x v="9"/>
    <n v="4988.0057558550197"/>
    <x v="0"/>
    <x v="0"/>
    <x v="1"/>
    <x v="4"/>
    <x v="5"/>
    <x v="9"/>
    <n v="5436.9262738819716"/>
  </r>
  <r>
    <x v="11"/>
    <x v="0"/>
    <x v="11"/>
    <x v="11"/>
    <x v="0"/>
    <x v="1"/>
    <x v="0"/>
    <x v="0"/>
    <x v="0"/>
    <x v="0"/>
    <x v="0"/>
    <x v="0"/>
    <x v="4"/>
    <x v="5"/>
    <x v="5"/>
    <x v="10"/>
    <x v="10"/>
    <n v="418.96133851692201"/>
    <x v="0"/>
    <x v="0"/>
    <x v="1"/>
    <x v="4"/>
    <x v="5"/>
    <x v="10"/>
    <n v="456.667858983445"/>
  </r>
  <r>
    <x v="11"/>
    <x v="0"/>
    <x v="11"/>
    <x v="11"/>
    <x v="0"/>
    <x v="1"/>
    <x v="0"/>
    <x v="0"/>
    <x v="0"/>
    <x v="0"/>
    <x v="0"/>
    <x v="0"/>
    <x v="4"/>
    <x v="5"/>
    <x v="5"/>
    <x v="29"/>
    <x v="29"/>
    <n v="0.15442"/>
    <x v="0"/>
    <x v="0"/>
    <x v="1"/>
    <x v="3"/>
    <x v="3"/>
    <x v="13"/>
    <n v="0.16831780000000002"/>
  </r>
  <r>
    <x v="11"/>
    <x v="0"/>
    <x v="11"/>
    <x v="11"/>
    <x v="0"/>
    <x v="1"/>
    <x v="0"/>
    <x v="0"/>
    <x v="0"/>
    <x v="0"/>
    <x v="0"/>
    <x v="0"/>
    <x v="4"/>
    <x v="5"/>
    <x v="5"/>
    <x v="35"/>
    <x v="35"/>
    <n v="2250.7060000000001"/>
    <x v="0"/>
    <x v="0"/>
    <x v="0"/>
    <x v="0"/>
    <x v="0"/>
    <x v="0"/>
    <n v="2453.2695400000002"/>
  </r>
  <r>
    <x v="11"/>
    <x v="0"/>
    <x v="11"/>
    <x v="11"/>
    <x v="0"/>
    <x v="1"/>
    <x v="0"/>
    <x v="0"/>
    <x v="0"/>
    <x v="0"/>
    <x v="0"/>
    <x v="0"/>
    <x v="4"/>
    <x v="5"/>
    <x v="5"/>
    <x v="55"/>
    <x v="55"/>
    <n v="7.8620183486191397"/>
    <x v="0"/>
    <x v="0"/>
    <x v="1"/>
    <x v="3"/>
    <x v="3"/>
    <x v="15"/>
    <n v="8.5695999999948622"/>
  </r>
  <r>
    <x v="11"/>
    <x v="0"/>
    <x v="11"/>
    <x v="11"/>
    <x v="0"/>
    <x v="1"/>
    <x v="0"/>
    <x v="0"/>
    <x v="0"/>
    <x v="0"/>
    <x v="0"/>
    <x v="0"/>
    <x v="4"/>
    <x v="5"/>
    <x v="5"/>
    <x v="11"/>
    <x v="11"/>
    <n v="18.393940000000001"/>
    <x v="0"/>
    <x v="0"/>
    <x v="3"/>
    <x v="5"/>
    <x v="7"/>
    <x v="11"/>
    <n v="20.049394600000003"/>
  </r>
  <r>
    <x v="11"/>
    <x v="0"/>
    <x v="11"/>
    <x v="11"/>
    <x v="0"/>
    <x v="1"/>
    <x v="0"/>
    <x v="0"/>
    <x v="0"/>
    <x v="0"/>
    <x v="0"/>
    <x v="0"/>
    <x v="4"/>
    <x v="5"/>
    <x v="5"/>
    <x v="88"/>
    <x v="88"/>
    <n v="15.5040458715503"/>
    <x v="0"/>
    <x v="0"/>
    <x v="1"/>
    <x v="4"/>
    <x v="5"/>
    <x v="9"/>
    <n v="16.899409999989828"/>
  </r>
  <r>
    <x v="11"/>
    <x v="0"/>
    <x v="11"/>
    <x v="11"/>
    <x v="0"/>
    <x v="1"/>
    <x v="0"/>
    <x v="0"/>
    <x v="0"/>
    <x v="0"/>
    <x v="0"/>
    <x v="0"/>
    <x v="4"/>
    <x v="5"/>
    <x v="5"/>
    <x v="12"/>
    <x v="12"/>
    <n v="1802.8833139466401"/>
    <x v="0"/>
    <x v="0"/>
    <x v="0"/>
    <x v="0"/>
    <x v="8"/>
    <x v="12"/>
    <n v="1965.1428122018378"/>
  </r>
  <r>
    <x v="11"/>
    <x v="0"/>
    <x v="11"/>
    <x v="11"/>
    <x v="0"/>
    <x v="1"/>
    <x v="0"/>
    <x v="0"/>
    <x v="0"/>
    <x v="0"/>
    <x v="0"/>
    <x v="0"/>
    <x v="4"/>
    <x v="5"/>
    <x v="5"/>
    <x v="14"/>
    <x v="14"/>
    <n v="667.45363999999995"/>
    <x v="0"/>
    <x v="0"/>
    <x v="0"/>
    <x v="0"/>
    <x v="8"/>
    <x v="14"/>
    <n v="727.52446759999998"/>
  </r>
  <r>
    <x v="11"/>
    <x v="0"/>
    <x v="11"/>
    <x v="11"/>
    <x v="0"/>
    <x v="1"/>
    <x v="0"/>
    <x v="0"/>
    <x v="0"/>
    <x v="0"/>
    <x v="0"/>
    <x v="0"/>
    <x v="4"/>
    <x v="5"/>
    <x v="5"/>
    <x v="22"/>
    <x v="22"/>
    <n v="72.570587365301094"/>
    <x v="0"/>
    <x v="0"/>
    <x v="0"/>
    <x v="0"/>
    <x v="0"/>
    <x v="0"/>
    <n v="79.101940228178194"/>
  </r>
  <r>
    <x v="11"/>
    <x v="0"/>
    <x v="11"/>
    <x v="11"/>
    <x v="0"/>
    <x v="1"/>
    <x v="0"/>
    <x v="0"/>
    <x v="0"/>
    <x v="0"/>
    <x v="0"/>
    <x v="0"/>
    <x v="4"/>
    <x v="5"/>
    <x v="5"/>
    <x v="33"/>
    <x v="33"/>
    <n v="22.8804495412707"/>
    <x v="0"/>
    <x v="0"/>
    <x v="1"/>
    <x v="3"/>
    <x v="3"/>
    <x v="4"/>
    <n v="24.939689999985063"/>
  </r>
  <r>
    <x v="11"/>
    <x v="0"/>
    <x v="11"/>
    <x v="11"/>
    <x v="0"/>
    <x v="1"/>
    <x v="0"/>
    <x v="0"/>
    <x v="0"/>
    <x v="0"/>
    <x v="0"/>
    <x v="0"/>
    <x v="4"/>
    <x v="5"/>
    <x v="5"/>
    <x v="36"/>
    <x v="36"/>
    <n v="206.80961467877501"/>
    <x v="0"/>
    <x v="0"/>
    <x v="1"/>
    <x v="3"/>
    <x v="3"/>
    <x v="4"/>
    <n v="225.42247999986478"/>
  </r>
  <r>
    <x v="11"/>
    <x v="0"/>
    <x v="11"/>
    <x v="11"/>
    <x v="0"/>
    <x v="1"/>
    <x v="0"/>
    <x v="0"/>
    <x v="0"/>
    <x v="0"/>
    <x v="0"/>
    <x v="0"/>
    <x v="4"/>
    <x v="5"/>
    <x v="5"/>
    <x v="23"/>
    <x v="23"/>
    <n v="3.1615504587137"/>
    <x v="0"/>
    <x v="0"/>
    <x v="1"/>
    <x v="3"/>
    <x v="3"/>
    <x v="15"/>
    <n v="3.4460899999979331"/>
  </r>
  <r>
    <x v="11"/>
    <x v="0"/>
    <x v="11"/>
    <x v="11"/>
    <x v="0"/>
    <x v="1"/>
    <x v="0"/>
    <x v="0"/>
    <x v="0"/>
    <x v="0"/>
    <x v="0"/>
    <x v="0"/>
    <x v="4"/>
    <x v="5"/>
    <x v="5"/>
    <x v="24"/>
    <x v="24"/>
    <n v="264.81579816497901"/>
    <x v="0"/>
    <x v="0"/>
    <x v="1"/>
    <x v="3"/>
    <x v="3"/>
    <x v="4"/>
    <n v="288.64921999982715"/>
  </r>
  <r>
    <x v="11"/>
    <x v="0"/>
    <x v="11"/>
    <x v="11"/>
    <x v="0"/>
    <x v="1"/>
    <x v="0"/>
    <x v="0"/>
    <x v="0"/>
    <x v="0"/>
    <x v="0"/>
    <x v="0"/>
    <x v="4"/>
    <x v="5"/>
    <x v="5"/>
    <x v="17"/>
    <x v="17"/>
    <n v="434.39330999999999"/>
    <x v="0"/>
    <x v="0"/>
    <x v="0"/>
    <x v="0"/>
    <x v="4"/>
    <x v="17"/>
    <n v="473.48870790000001"/>
  </r>
  <r>
    <x v="11"/>
    <x v="0"/>
    <x v="11"/>
    <x v="11"/>
    <x v="0"/>
    <x v="1"/>
    <x v="0"/>
    <x v="0"/>
    <x v="0"/>
    <x v="0"/>
    <x v="0"/>
    <x v="0"/>
    <x v="4"/>
    <x v="5"/>
    <x v="5"/>
    <x v="18"/>
    <x v="18"/>
    <n v="1240.59421"/>
    <x v="0"/>
    <x v="0"/>
    <x v="0"/>
    <x v="0"/>
    <x v="4"/>
    <x v="18"/>
    <n v="1352.2476889000002"/>
  </r>
  <r>
    <x v="11"/>
    <x v="0"/>
    <x v="11"/>
    <x v="11"/>
    <x v="0"/>
    <x v="1"/>
    <x v="0"/>
    <x v="0"/>
    <x v="0"/>
    <x v="0"/>
    <x v="0"/>
    <x v="0"/>
    <x v="4"/>
    <x v="5"/>
    <x v="5"/>
    <x v="34"/>
    <x v="34"/>
    <n v="510.62930042800099"/>
    <x v="0"/>
    <x v="0"/>
    <x v="0"/>
    <x v="0"/>
    <x v="0"/>
    <x v="0"/>
    <n v="556.58593746652116"/>
  </r>
  <r>
    <x v="11"/>
    <x v="0"/>
    <x v="11"/>
    <x v="11"/>
    <x v="0"/>
    <x v="1"/>
    <x v="0"/>
    <x v="0"/>
    <x v="0"/>
    <x v="0"/>
    <x v="0"/>
    <x v="0"/>
    <x v="4"/>
    <x v="5"/>
    <x v="5"/>
    <x v="25"/>
    <x v="25"/>
    <n v="167.836376146688"/>
    <x v="0"/>
    <x v="0"/>
    <x v="1"/>
    <x v="4"/>
    <x v="5"/>
    <x v="9"/>
    <n v="182.94164999988993"/>
  </r>
  <r>
    <x v="11"/>
    <x v="0"/>
    <x v="11"/>
    <x v="11"/>
    <x v="0"/>
    <x v="1"/>
    <x v="0"/>
    <x v="0"/>
    <x v="0"/>
    <x v="0"/>
    <x v="0"/>
    <x v="0"/>
    <x v="4"/>
    <x v="5"/>
    <x v="5"/>
    <x v="37"/>
    <x v="37"/>
    <n v="485.60733027493802"/>
    <x v="0"/>
    <x v="0"/>
    <x v="1"/>
    <x v="3"/>
    <x v="3"/>
    <x v="4"/>
    <n v="529.31198999968251"/>
  </r>
  <r>
    <x v="11"/>
    <x v="0"/>
    <x v="11"/>
    <x v="11"/>
    <x v="0"/>
    <x v="1"/>
    <x v="0"/>
    <x v="0"/>
    <x v="0"/>
    <x v="0"/>
    <x v="0"/>
    <x v="0"/>
    <x v="4"/>
    <x v="5"/>
    <x v="5"/>
    <x v="27"/>
    <x v="27"/>
    <n v="121.430527029601"/>
    <x v="0"/>
    <x v="0"/>
    <x v="1"/>
    <x v="3"/>
    <x v="3"/>
    <x v="19"/>
    <n v="132.35927446226509"/>
  </r>
  <r>
    <x v="11"/>
    <x v="0"/>
    <x v="11"/>
    <x v="11"/>
    <x v="0"/>
    <x v="1"/>
    <x v="0"/>
    <x v="0"/>
    <x v="0"/>
    <x v="0"/>
    <x v="0"/>
    <x v="0"/>
    <x v="4"/>
    <x v="5"/>
    <x v="5"/>
    <x v="26"/>
    <x v="26"/>
    <n v="33.436412844016601"/>
    <x v="0"/>
    <x v="0"/>
    <x v="1"/>
    <x v="3"/>
    <x v="3"/>
    <x v="15"/>
    <n v="36.4456899999781"/>
  </r>
  <r>
    <x v="11"/>
    <x v="0"/>
    <x v="11"/>
    <x v="11"/>
    <x v="0"/>
    <x v="1"/>
    <x v="0"/>
    <x v="0"/>
    <x v="0"/>
    <x v="0"/>
    <x v="0"/>
    <x v="0"/>
    <x v="4"/>
    <x v="5"/>
    <x v="5"/>
    <x v="0"/>
    <x v="0"/>
    <n v="288.58408718780402"/>
    <x v="0"/>
    <x v="0"/>
    <x v="0"/>
    <x v="0"/>
    <x v="0"/>
    <x v="0"/>
    <n v="314.55665503470641"/>
  </r>
  <r>
    <x v="11"/>
    <x v="0"/>
    <x v="11"/>
    <x v="11"/>
    <x v="0"/>
    <x v="1"/>
    <x v="0"/>
    <x v="0"/>
    <x v="0"/>
    <x v="0"/>
    <x v="0"/>
    <x v="0"/>
    <x v="4"/>
    <x v="5"/>
    <x v="5"/>
    <x v="2"/>
    <x v="2"/>
    <n v="18801.7932752181"/>
    <x v="0"/>
    <x v="1"/>
    <x v="2"/>
    <x v="2"/>
    <x v="13"/>
    <x v="2"/>
    <n v="20493.954669987732"/>
  </r>
  <r>
    <x v="11"/>
    <x v="0"/>
    <x v="11"/>
    <x v="11"/>
    <x v="0"/>
    <x v="1"/>
    <x v="0"/>
    <x v="0"/>
    <x v="0"/>
    <x v="0"/>
    <x v="0"/>
    <x v="0"/>
    <x v="4"/>
    <x v="5"/>
    <x v="5"/>
    <x v="3"/>
    <x v="3"/>
    <n v="16.981559111975901"/>
    <x v="0"/>
    <x v="0"/>
    <x v="1"/>
    <x v="3"/>
    <x v="3"/>
    <x v="3"/>
    <n v="18.509899432053732"/>
  </r>
  <r>
    <x v="11"/>
    <x v="0"/>
    <x v="11"/>
    <x v="11"/>
    <x v="0"/>
    <x v="1"/>
    <x v="0"/>
    <x v="0"/>
    <x v="0"/>
    <x v="0"/>
    <x v="3"/>
    <x v="3"/>
    <x v="3"/>
    <x v="3"/>
    <x v="3"/>
    <x v="2"/>
    <x v="2"/>
    <n v="44.9820366972207"/>
    <x v="0"/>
    <x v="1"/>
    <x v="2"/>
    <x v="2"/>
    <x v="13"/>
    <x v="2"/>
    <n v="49.030419999970569"/>
  </r>
  <r>
    <x v="11"/>
    <x v="0"/>
    <x v="11"/>
    <x v="11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1445000000000001"/>
  </r>
  <r>
    <x v="11"/>
    <x v="0"/>
    <x v="11"/>
    <x v="11"/>
    <x v="0"/>
    <x v="1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0782171"/>
  </r>
  <r>
    <x v="11"/>
    <x v="0"/>
    <x v="11"/>
    <x v="11"/>
    <x v="0"/>
    <x v="1"/>
    <x v="0"/>
    <x v="0"/>
    <x v="0"/>
    <x v="0"/>
    <x v="3"/>
    <x v="3"/>
    <x v="0"/>
    <x v="4"/>
    <x v="4"/>
    <x v="2"/>
    <x v="2"/>
    <n v="115.221477064151"/>
    <x v="0"/>
    <x v="1"/>
    <x v="2"/>
    <x v="2"/>
    <x v="13"/>
    <x v="2"/>
    <n v="125.59140999992461"/>
  </r>
  <r>
    <x v="11"/>
    <x v="0"/>
    <x v="11"/>
    <x v="11"/>
    <x v="0"/>
    <x v="1"/>
    <x v="0"/>
    <x v="0"/>
    <x v="0"/>
    <x v="0"/>
    <x v="3"/>
    <x v="3"/>
    <x v="2"/>
    <x v="2"/>
    <x v="2"/>
    <x v="5"/>
    <x v="5"/>
    <n v="6.1999877301084698"/>
    <x v="0"/>
    <x v="0"/>
    <x v="1"/>
    <x v="1"/>
    <x v="1"/>
    <x v="5"/>
    <n v="6.7579866258182326"/>
  </r>
  <r>
    <x v="11"/>
    <x v="0"/>
    <x v="11"/>
    <x v="11"/>
    <x v="0"/>
    <x v="1"/>
    <x v="0"/>
    <x v="0"/>
    <x v="0"/>
    <x v="0"/>
    <x v="3"/>
    <x v="3"/>
    <x v="2"/>
    <x v="2"/>
    <x v="2"/>
    <x v="6"/>
    <x v="6"/>
    <n v="105.85399"/>
    <x v="0"/>
    <x v="0"/>
    <x v="0"/>
    <x v="0"/>
    <x v="4"/>
    <x v="6"/>
    <n v="115.38084910000001"/>
  </r>
  <r>
    <x v="11"/>
    <x v="0"/>
    <x v="11"/>
    <x v="11"/>
    <x v="0"/>
    <x v="1"/>
    <x v="0"/>
    <x v="0"/>
    <x v="0"/>
    <x v="0"/>
    <x v="3"/>
    <x v="3"/>
    <x v="2"/>
    <x v="2"/>
    <x v="2"/>
    <x v="8"/>
    <x v="8"/>
    <n v="531.41260811150903"/>
    <x v="0"/>
    <x v="1"/>
    <x v="2"/>
    <x v="2"/>
    <x v="6"/>
    <x v="8"/>
    <n v="579.23974284154485"/>
  </r>
  <r>
    <x v="11"/>
    <x v="0"/>
    <x v="11"/>
    <x v="11"/>
    <x v="0"/>
    <x v="1"/>
    <x v="0"/>
    <x v="0"/>
    <x v="0"/>
    <x v="0"/>
    <x v="3"/>
    <x v="3"/>
    <x v="2"/>
    <x v="2"/>
    <x v="2"/>
    <x v="9"/>
    <x v="9"/>
    <n v="2.377981651375E-2"/>
    <x v="0"/>
    <x v="0"/>
    <x v="1"/>
    <x v="4"/>
    <x v="5"/>
    <x v="9"/>
    <n v="2.5919999999987502E-2"/>
  </r>
  <r>
    <x v="11"/>
    <x v="0"/>
    <x v="11"/>
    <x v="11"/>
    <x v="0"/>
    <x v="1"/>
    <x v="0"/>
    <x v="0"/>
    <x v="0"/>
    <x v="0"/>
    <x v="3"/>
    <x v="3"/>
    <x v="2"/>
    <x v="2"/>
    <x v="2"/>
    <x v="16"/>
    <x v="16"/>
    <n v="16.545760000000001"/>
    <x v="0"/>
    <x v="0"/>
    <x v="3"/>
    <x v="5"/>
    <x v="9"/>
    <x v="16"/>
    <n v="18.034878400000004"/>
  </r>
  <r>
    <x v="11"/>
    <x v="0"/>
    <x v="11"/>
    <x v="11"/>
    <x v="0"/>
    <x v="1"/>
    <x v="0"/>
    <x v="0"/>
    <x v="0"/>
    <x v="0"/>
    <x v="3"/>
    <x v="3"/>
    <x v="2"/>
    <x v="2"/>
    <x v="2"/>
    <x v="17"/>
    <x v="17"/>
    <n v="2.4655499999999999"/>
    <x v="0"/>
    <x v="0"/>
    <x v="0"/>
    <x v="0"/>
    <x v="4"/>
    <x v="17"/>
    <n v="2.6874495"/>
  </r>
  <r>
    <x v="11"/>
    <x v="0"/>
    <x v="11"/>
    <x v="11"/>
    <x v="0"/>
    <x v="1"/>
    <x v="0"/>
    <x v="0"/>
    <x v="0"/>
    <x v="0"/>
    <x v="3"/>
    <x v="3"/>
    <x v="2"/>
    <x v="2"/>
    <x v="2"/>
    <x v="2"/>
    <x v="2"/>
    <n v="453.67566055018699"/>
    <x v="0"/>
    <x v="1"/>
    <x v="2"/>
    <x v="2"/>
    <x v="13"/>
    <x v="2"/>
    <n v="494.50646999970388"/>
  </r>
  <r>
    <x v="11"/>
    <x v="0"/>
    <x v="11"/>
    <x v="11"/>
    <x v="0"/>
    <x v="1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97.387663200000006"/>
  </r>
  <r>
    <x v="11"/>
    <x v="0"/>
    <x v="11"/>
    <x v="11"/>
    <x v="0"/>
    <x v="1"/>
    <x v="0"/>
    <x v="0"/>
    <x v="0"/>
    <x v="0"/>
    <x v="3"/>
    <x v="3"/>
    <x v="1"/>
    <x v="6"/>
    <x v="6"/>
    <x v="2"/>
    <x v="2"/>
    <n v="8.3621009174261793"/>
    <x v="0"/>
    <x v="1"/>
    <x v="2"/>
    <x v="2"/>
    <x v="13"/>
    <x v="2"/>
    <n v="9.1146899999945354"/>
  </r>
  <r>
    <x v="11"/>
    <x v="0"/>
    <x v="11"/>
    <x v="11"/>
    <x v="0"/>
    <x v="1"/>
    <x v="0"/>
    <x v="0"/>
    <x v="0"/>
    <x v="0"/>
    <x v="3"/>
    <x v="3"/>
    <x v="4"/>
    <x v="5"/>
    <x v="5"/>
    <x v="8"/>
    <x v="8"/>
    <n v="38.090371621865401"/>
    <x v="0"/>
    <x v="1"/>
    <x v="2"/>
    <x v="2"/>
    <x v="6"/>
    <x v="8"/>
    <n v="41.518505067833289"/>
  </r>
  <r>
    <x v="11"/>
    <x v="0"/>
    <x v="11"/>
    <x v="11"/>
    <x v="0"/>
    <x v="1"/>
    <x v="0"/>
    <x v="0"/>
    <x v="0"/>
    <x v="0"/>
    <x v="3"/>
    <x v="3"/>
    <x v="4"/>
    <x v="5"/>
    <x v="5"/>
    <x v="12"/>
    <x v="12"/>
    <n v="57.413686046293499"/>
    <x v="0"/>
    <x v="0"/>
    <x v="0"/>
    <x v="0"/>
    <x v="8"/>
    <x v="12"/>
    <n v="62.580917790459921"/>
  </r>
  <r>
    <x v="11"/>
    <x v="0"/>
    <x v="11"/>
    <x v="11"/>
    <x v="0"/>
    <x v="1"/>
    <x v="0"/>
    <x v="0"/>
    <x v="0"/>
    <x v="0"/>
    <x v="3"/>
    <x v="3"/>
    <x v="4"/>
    <x v="5"/>
    <x v="5"/>
    <x v="18"/>
    <x v="18"/>
    <n v="10.634840000000001"/>
    <x v="0"/>
    <x v="0"/>
    <x v="0"/>
    <x v="0"/>
    <x v="4"/>
    <x v="18"/>
    <n v="11.591975600000001"/>
  </r>
  <r>
    <x v="11"/>
    <x v="0"/>
    <x v="11"/>
    <x v="11"/>
    <x v="0"/>
    <x v="1"/>
    <x v="0"/>
    <x v="0"/>
    <x v="0"/>
    <x v="0"/>
    <x v="3"/>
    <x v="3"/>
    <x v="4"/>
    <x v="5"/>
    <x v="5"/>
    <x v="27"/>
    <x v="27"/>
    <n v="2.5675472973517302"/>
    <x v="0"/>
    <x v="0"/>
    <x v="1"/>
    <x v="3"/>
    <x v="3"/>
    <x v="19"/>
    <n v="2.7986265541133859"/>
  </r>
  <r>
    <x v="11"/>
    <x v="0"/>
    <x v="11"/>
    <x v="11"/>
    <x v="0"/>
    <x v="1"/>
    <x v="0"/>
    <x v="0"/>
    <x v="0"/>
    <x v="0"/>
    <x v="3"/>
    <x v="3"/>
    <x v="4"/>
    <x v="5"/>
    <x v="5"/>
    <x v="0"/>
    <x v="0"/>
    <n v="119.397559608207"/>
    <x v="0"/>
    <x v="0"/>
    <x v="0"/>
    <x v="0"/>
    <x v="0"/>
    <x v="0"/>
    <n v="130.14333997294565"/>
  </r>
  <r>
    <x v="11"/>
    <x v="0"/>
    <x v="11"/>
    <x v="11"/>
    <x v="0"/>
    <x v="1"/>
    <x v="0"/>
    <x v="0"/>
    <x v="0"/>
    <x v="0"/>
    <x v="3"/>
    <x v="3"/>
    <x v="4"/>
    <x v="5"/>
    <x v="5"/>
    <x v="2"/>
    <x v="2"/>
    <n v="9.6997431192602406"/>
    <x v="0"/>
    <x v="1"/>
    <x v="2"/>
    <x v="2"/>
    <x v="13"/>
    <x v="2"/>
    <n v="10.572719999993662"/>
  </r>
  <r>
    <x v="11"/>
    <x v="0"/>
    <x v="11"/>
    <x v="11"/>
    <x v="0"/>
    <x v="1"/>
    <x v="0"/>
    <x v="0"/>
    <x v="0"/>
    <x v="0"/>
    <x v="18"/>
    <x v="18"/>
    <x v="1"/>
    <x v="6"/>
    <x v="6"/>
    <x v="2"/>
    <x v="2"/>
    <n v="35.9449541284188"/>
    <x v="0"/>
    <x v="1"/>
    <x v="2"/>
    <x v="2"/>
    <x v="13"/>
    <x v="2"/>
    <n v="39.179999999976495"/>
  </r>
  <r>
    <x v="11"/>
    <x v="0"/>
    <x v="11"/>
    <x v="11"/>
    <x v="0"/>
    <x v="1"/>
    <x v="0"/>
    <x v="0"/>
    <x v="0"/>
    <x v="0"/>
    <x v="4"/>
    <x v="4"/>
    <x v="2"/>
    <x v="2"/>
    <x v="2"/>
    <x v="6"/>
    <x v="6"/>
    <n v="1.94876"/>
    <x v="0"/>
    <x v="0"/>
    <x v="0"/>
    <x v="0"/>
    <x v="4"/>
    <x v="6"/>
    <n v="2.1241484000000002"/>
  </r>
  <r>
    <x v="11"/>
    <x v="0"/>
    <x v="11"/>
    <x v="11"/>
    <x v="0"/>
    <x v="1"/>
    <x v="0"/>
    <x v="0"/>
    <x v="0"/>
    <x v="0"/>
    <x v="4"/>
    <x v="4"/>
    <x v="2"/>
    <x v="2"/>
    <x v="2"/>
    <x v="7"/>
    <x v="7"/>
    <n v="0.42252293577956002"/>
    <x v="0"/>
    <x v="0"/>
    <x v="1"/>
    <x v="4"/>
    <x v="5"/>
    <x v="7"/>
    <n v="0.46054999999972046"/>
  </r>
  <r>
    <x v="11"/>
    <x v="0"/>
    <x v="11"/>
    <x v="11"/>
    <x v="0"/>
    <x v="1"/>
    <x v="0"/>
    <x v="0"/>
    <x v="0"/>
    <x v="0"/>
    <x v="4"/>
    <x v="4"/>
    <x v="2"/>
    <x v="2"/>
    <x v="2"/>
    <x v="8"/>
    <x v="8"/>
    <n v="1.12040540541258"/>
    <x v="0"/>
    <x v="1"/>
    <x v="2"/>
    <x v="2"/>
    <x v="6"/>
    <x v="8"/>
    <n v="1.2212418918997123"/>
  </r>
  <r>
    <x v="11"/>
    <x v="0"/>
    <x v="11"/>
    <x v="11"/>
    <x v="0"/>
    <x v="1"/>
    <x v="0"/>
    <x v="0"/>
    <x v="0"/>
    <x v="0"/>
    <x v="4"/>
    <x v="4"/>
    <x v="2"/>
    <x v="2"/>
    <x v="2"/>
    <x v="9"/>
    <x v="9"/>
    <n v="0.67401834862345"/>
    <x v="0"/>
    <x v="0"/>
    <x v="1"/>
    <x v="4"/>
    <x v="5"/>
    <x v="9"/>
    <n v="0.73467999999956057"/>
  </r>
  <r>
    <x v="11"/>
    <x v="0"/>
    <x v="11"/>
    <x v="11"/>
    <x v="0"/>
    <x v="1"/>
    <x v="0"/>
    <x v="0"/>
    <x v="0"/>
    <x v="0"/>
    <x v="4"/>
    <x v="4"/>
    <x v="2"/>
    <x v="2"/>
    <x v="2"/>
    <x v="29"/>
    <x v="29"/>
    <n v="0.9093"/>
    <x v="0"/>
    <x v="0"/>
    <x v="1"/>
    <x v="3"/>
    <x v="3"/>
    <x v="13"/>
    <n v="0.99113700000000005"/>
  </r>
  <r>
    <x v="11"/>
    <x v="0"/>
    <x v="11"/>
    <x v="11"/>
    <x v="0"/>
    <x v="1"/>
    <x v="0"/>
    <x v="0"/>
    <x v="0"/>
    <x v="0"/>
    <x v="4"/>
    <x v="4"/>
    <x v="2"/>
    <x v="2"/>
    <x v="2"/>
    <x v="11"/>
    <x v="11"/>
    <n v="1.3448"/>
    <x v="0"/>
    <x v="0"/>
    <x v="3"/>
    <x v="5"/>
    <x v="7"/>
    <x v="11"/>
    <n v="1.465832"/>
  </r>
  <r>
    <x v="11"/>
    <x v="0"/>
    <x v="11"/>
    <x v="11"/>
    <x v="0"/>
    <x v="1"/>
    <x v="0"/>
    <x v="0"/>
    <x v="0"/>
    <x v="0"/>
    <x v="4"/>
    <x v="4"/>
    <x v="2"/>
    <x v="2"/>
    <x v="2"/>
    <x v="12"/>
    <x v="12"/>
    <n v="0.76744186046219998"/>
    <x v="0"/>
    <x v="0"/>
    <x v="0"/>
    <x v="0"/>
    <x v="8"/>
    <x v="12"/>
    <n v="0.83651162790379807"/>
  </r>
  <r>
    <x v="11"/>
    <x v="0"/>
    <x v="11"/>
    <x v="11"/>
    <x v="0"/>
    <x v="1"/>
    <x v="0"/>
    <x v="0"/>
    <x v="0"/>
    <x v="0"/>
    <x v="4"/>
    <x v="4"/>
    <x v="2"/>
    <x v="2"/>
    <x v="2"/>
    <x v="14"/>
    <x v="14"/>
    <n v="0.50083999999999995"/>
    <x v="0"/>
    <x v="0"/>
    <x v="0"/>
    <x v="0"/>
    <x v="8"/>
    <x v="14"/>
    <n v="0.54591559999999995"/>
  </r>
  <r>
    <x v="11"/>
    <x v="0"/>
    <x v="11"/>
    <x v="11"/>
    <x v="0"/>
    <x v="1"/>
    <x v="0"/>
    <x v="0"/>
    <x v="0"/>
    <x v="0"/>
    <x v="4"/>
    <x v="4"/>
    <x v="2"/>
    <x v="2"/>
    <x v="2"/>
    <x v="16"/>
    <x v="16"/>
    <n v="9.5185499999999994"/>
    <x v="0"/>
    <x v="0"/>
    <x v="3"/>
    <x v="5"/>
    <x v="9"/>
    <x v="16"/>
    <n v="10.3752195"/>
  </r>
  <r>
    <x v="11"/>
    <x v="0"/>
    <x v="11"/>
    <x v="11"/>
    <x v="0"/>
    <x v="1"/>
    <x v="0"/>
    <x v="0"/>
    <x v="0"/>
    <x v="0"/>
    <x v="4"/>
    <x v="4"/>
    <x v="2"/>
    <x v="2"/>
    <x v="2"/>
    <x v="25"/>
    <x v="25"/>
    <n v="0.15409174311917001"/>
    <x v="0"/>
    <x v="0"/>
    <x v="1"/>
    <x v="4"/>
    <x v="5"/>
    <x v="9"/>
    <n v="0.16795999999989533"/>
  </r>
  <r>
    <x v="11"/>
    <x v="0"/>
    <x v="11"/>
    <x v="11"/>
    <x v="0"/>
    <x v="1"/>
    <x v="0"/>
    <x v="0"/>
    <x v="0"/>
    <x v="0"/>
    <x v="4"/>
    <x v="4"/>
    <x v="2"/>
    <x v="2"/>
    <x v="2"/>
    <x v="27"/>
    <x v="27"/>
    <n v="10.197725225441401"/>
    <x v="0"/>
    <x v="0"/>
    <x v="1"/>
    <x v="3"/>
    <x v="3"/>
    <x v="19"/>
    <n v="11.115520495731127"/>
  </r>
  <r>
    <x v="11"/>
    <x v="0"/>
    <x v="11"/>
    <x v="11"/>
    <x v="0"/>
    <x v="1"/>
    <x v="0"/>
    <x v="0"/>
    <x v="0"/>
    <x v="0"/>
    <x v="4"/>
    <x v="4"/>
    <x v="2"/>
    <x v="2"/>
    <x v="2"/>
    <x v="2"/>
    <x v="2"/>
    <n v="32.238513761448601"/>
    <x v="0"/>
    <x v="1"/>
    <x v="2"/>
    <x v="2"/>
    <x v="13"/>
    <x v="2"/>
    <n v="35.139979999978976"/>
  </r>
  <r>
    <x v="11"/>
    <x v="0"/>
    <x v="11"/>
    <x v="11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2838500000000002"/>
  </r>
  <r>
    <x v="11"/>
    <x v="0"/>
    <x v="11"/>
    <x v="11"/>
    <x v="0"/>
    <x v="1"/>
    <x v="0"/>
    <x v="0"/>
    <x v="2"/>
    <x v="2"/>
    <x v="5"/>
    <x v="5"/>
    <x v="2"/>
    <x v="2"/>
    <x v="2"/>
    <x v="42"/>
    <x v="42"/>
    <n v="12.35928"/>
    <x v="1"/>
    <x v="2"/>
    <x v="5"/>
    <x v="7"/>
    <x v="11"/>
    <x v="22"/>
    <n v="13.4716152"/>
  </r>
  <r>
    <x v="11"/>
    <x v="0"/>
    <x v="11"/>
    <x v="11"/>
    <x v="0"/>
    <x v="1"/>
    <x v="0"/>
    <x v="0"/>
    <x v="2"/>
    <x v="2"/>
    <x v="5"/>
    <x v="5"/>
    <x v="2"/>
    <x v="2"/>
    <x v="2"/>
    <x v="41"/>
    <x v="41"/>
    <n v="4.7360638297692397"/>
    <x v="1"/>
    <x v="2"/>
    <x v="5"/>
    <x v="7"/>
    <x v="11"/>
    <x v="22"/>
    <n v="5.1623095744484715"/>
  </r>
  <r>
    <x v="11"/>
    <x v="0"/>
    <x v="11"/>
    <x v="11"/>
    <x v="0"/>
    <x v="1"/>
    <x v="0"/>
    <x v="0"/>
    <x v="2"/>
    <x v="2"/>
    <x v="5"/>
    <x v="5"/>
    <x v="2"/>
    <x v="2"/>
    <x v="2"/>
    <x v="40"/>
    <x v="40"/>
    <n v="383.77591000000001"/>
    <x v="1"/>
    <x v="2"/>
    <x v="5"/>
    <x v="7"/>
    <x v="11"/>
    <x v="22"/>
    <n v="418.31574190000003"/>
  </r>
  <r>
    <x v="11"/>
    <x v="0"/>
    <x v="11"/>
    <x v="11"/>
    <x v="0"/>
    <x v="1"/>
    <x v="0"/>
    <x v="0"/>
    <x v="2"/>
    <x v="2"/>
    <x v="5"/>
    <x v="5"/>
    <x v="2"/>
    <x v="2"/>
    <x v="2"/>
    <x v="38"/>
    <x v="38"/>
    <n v="7.11"/>
    <x v="1"/>
    <x v="0"/>
    <x v="4"/>
    <x v="6"/>
    <x v="10"/>
    <x v="21"/>
    <n v="7.7499000000000011"/>
  </r>
  <r>
    <x v="11"/>
    <x v="0"/>
    <x v="11"/>
    <x v="11"/>
    <x v="0"/>
    <x v="1"/>
    <x v="0"/>
    <x v="0"/>
    <x v="0"/>
    <x v="0"/>
    <x v="5"/>
    <x v="5"/>
    <x v="2"/>
    <x v="2"/>
    <x v="2"/>
    <x v="17"/>
    <x v="17"/>
    <n v="10.78689"/>
    <x v="0"/>
    <x v="0"/>
    <x v="0"/>
    <x v="0"/>
    <x v="4"/>
    <x v="17"/>
    <n v="11.757710100000001"/>
  </r>
  <r>
    <x v="11"/>
    <x v="0"/>
    <x v="11"/>
    <x v="11"/>
    <x v="0"/>
    <x v="1"/>
    <x v="0"/>
    <x v="0"/>
    <x v="2"/>
    <x v="2"/>
    <x v="5"/>
    <x v="5"/>
    <x v="1"/>
    <x v="6"/>
    <x v="6"/>
    <x v="41"/>
    <x v="41"/>
    <n v="20.578723404177101"/>
    <x v="1"/>
    <x v="2"/>
    <x v="5"/>
    <x v="7"/>
    <x v="11"/>
    <x v="22"/>
    <n v="22.430808510553042"/>
  </r>
  <r>
    <x v="11"/>
    <x v="0"/>
    <x v="11"/>
    <x v="11"/>
    <x v="0"/>
    <x v="1"/>
    <x v="0"/>
    <x v="0"/>
    <x v="2"/>
    <x v="2"/>
    <x v="5"/>
    <x v="5"/>
    <x v="1"/>
    <x v="6"/>
    <x v="6"/>
    <x v="40"/>
    <x v="40"/>
    <n v="548.08417999999995"/>
    <x v="1"/>
    <x v="2"/>
    <x v="5"/>
    <x v="7"/>
    <x v="11"/>
    <x v="22"/>
    <n v="597.41175620000001"/>
  </r>
  <r>
    <x v="11"/>
    <x v="0"/>
    <x v="11"/>
    <x v="11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0.689290000000003"/>
  </r>
  <r>
    <x v="11"/>
    <x v="0"/>
    <x v="11"/>
    <x v="11"/>
    <x v="0"/>
    <x v="1"/>
    <x v="0"/>
    <x v="0"/>
    <x v="2"/>
    <x v="2"/>
    <x v="5"/>
    <x v="5"/>
    <x v="3"/>
    <x v="7"/>
    <x v="7"/>
    <x v="40"/>
    <x v="40"/>
    <n v="8.0300200000000004"/>
    <x v="1"/>
    <x v="2"/>
    <x v="5"/>
    <x v="7"/>
    <x v="11"/>
    <x v="22"/>
    <n v="8.7527218000000016"/>
  </r>
  <r>
    <x v="11"/>
    <x v="0"/>
    <x v="11"/>
    <x v="11"/>
    <x v="0"/>
    <x v="1"/>
    <x v="0"/>
    <x v="0"/>
    <x v="2"/>
    <x v="2"/>
    <x v="5"/>
    <x v="5"/>
    <x v="1"/>
    <x v="8"/>
    <x v="8"/>
    <x v="40"/>
    <x v="40"/>
    <n v="5.5614400000000002"/>
    <x v="1"/>
    <x v="2"/>
    <x v="5"/>
    <x v="7"/>
    <x v="11"/>
    <x v="22"/>
    <n v="6.0619696000000003"/>
  </r>
  <r>
    <x v="11"/>
    <x v="0"/>
    <x v="11"/>
    <x v="11"/>
    <x v="0"/>
    <x v="1"/>
    <x v="0"/>
    <x v="0"/>
    <x v="2"/>
    <x v="2"/>
    <x v="5"/>
    <x v="5"/>
    <x v="2"/>
    <x v="10"/>
    <x v="10"/>
    <x v="40"/>
    <x v="40"/>
    <n v="1.30061"/>
    <x v="1"/>
    <x v="2"/>
    <x v="5"/>
    <x v="7"/>
    <x v="11"/>
    <x v="22"/>
    <n v="1.4176649000000001"/>
  </r>
  <r>
    <x v="11"/>
    <x v="0"/>
    <x v="11"/>
    <x v="11"/>
    <x v="0"/>
    <x v="1"/>
    <x v="0"/>
    <x v="0"/>
    <x v="2"/>
    <x v="2"/>
    <x v="5"/>
    <x v="5"/>
    <x v="4"/>
    <x v="5"/>
    <x v="5"/>
    <x v="40"/>
    <x v="40"/>
    <n v="187.36134000000001"/>
    <x v="1"/>
    <x v="2"/>
    <x v="5"/>
    <x v="7"/>
    <x v="11"/>
    <x v="22"/>
    <n v="204.22386060000002"/>
  </r>
  <r>
    <x v="11"/>
    <x v="0"/>
    <x v="11"/>
    <x v="11"/>
    <x v="0"/>
    <x v="1"/>
    <x v="0"/>
    <x v="0"/>
    <x v="2"/>
    <x v="2"/>
    <x v="6"/>
    <x v="6"/>
    <x v="2"/>
    <x v="2"/>
    <x v="2"/>
    <x v="40"/>
    <x v="40"/>
    <n v="9.7294199999999993"/>
    <x v="1"/>
    <x v="2"/>
    <x v="5"/>
    <x v="7"/>
    <x v="11"/>
    <x v="22"/>
    <n v="10.6050678"/>
  </r>
  <r>
    <x v="11"/>
    <x v="0"/>
    <x v="11"/>
    <x v="11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0.434025"/>
  </r>
  <r>
    <x v="11"/>
    <x v="0"/>
    <x v="11"/>
    <x v="11"/>
    <x v="0"/>
    <x v="1"/>
    <x v="0"/>
    <x v="0"/>
    <x v="2"/>
    <x v="2"/>
    <x v="7"/>
    <x v="7"/>
    <x v="2"/>
    <x v="2"/>
    <x v="2"/>
    <x v="40"/>
    <x v="40"/>
    <n v="119.90253"/>
    <x v="1"/>
    <x v="2"/>
    <x v="5"/>
    <x v="7"/>
    <x v="11"/>
    <x v="22"/>
    <n v="130.69375770000002"/>
  </r>
  <r>
    <x v="11"/>
    <x v="0"/>
    <x v="11"/>
    <x v="11"/>
    <x v="0"/>
    <x v="1"/>
    <x v="0"/>
    <x v="0"/>
    <x v="2"/>
    <x v="2"/>
    <x v="7"/>
    <x v="7"/>
    <x v="2"/>
    <x v="2"/>
    <x v="2"/>
    <x v="38"/>
    <x v="38"/>
    <n v="151.43557000000001"/>
    <x v="1"/>
    <x v="0"/>
    <x v="4"/>
    <x v="6"/>
    <x v="10"/>
    <x v="21"/>
    <n v="165.06477130000002"/>
  </r>
  <r>
    <x v="11"/>
    <x v="0"/>
    <x v="11"/>
    <x v="11"/>
    <x v="0"/>
    <x v="1"/>
    <x v="0"/>
    <x v="0"/>
    <x v="2"/>
    <x v="2"/>
    <x v="7"/>
    <x v="7"/>
    <x v="2"/>
    <x v="2"/>
    <x v="2"/>
    <x v="44"/>
    <x v="44"/>
    <n v="3.165"/>
    <x v="1"/>
    <x v="0"/>
    <x v="4"/>
    <x v="6"/>
    <x v="10"/>
    <x v="21"/>
    <n v="3.4498500000000001"/>
  </r>
  <r>
    <x v="11"/>
    <x v="0"/>
    <x v="11"/>
    <x v="11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4498500000000001"/>
  </r>
  <r>
    <x v="11"/>
    <x v="0"/>
    <x v="11"/>
    <x v="11"/>
    <x v="0"/>
    <x v="1"/>
    <x v="0"/>
    <x v="0"/>
    <x v="2"/>
    <x v="2"/>
    <x v="7"/>
    <x v="7"/>
    <x v="2"/>
    <x v="2"/>
    <x v="2"/>
    <x v="46"/>
    <x v="46"/>
    <n v="4.8822700000000001"/>
    <x v="1"/>
    <x v="0"/>
    <x v="4"/>
    <x v="6"/>
    <x v="10"/>
    <x v="21"/>
    <n v="5.3216743000000006"/>
  </r>
  <r>
    <x v="11"/>
    <x v="0"/>
    <x v="11"/>
    <x v="11"/>
    <x v="0"/>
    <x v="1"/>
    <x v="0"/>
    <x v="0"/>
    <x v="2"/>
    <x v="2"/>
    <x v="7"/>
    <x v="7"/>
    <x v="1"/>
    <x v="6"/>
    <x v="6"/>
    <x v="40"/>
    <x v="40"/>
    <n v="236.62658999999999"/>
    <x v="1"/>
    <x v="2"/>
    <x v="5"/>
    <x v="7"/>
    <x v="11"/>
    <x v="22"/>
    <n v="257.92298310000001"/>
  </r>
  <r>
    <x v="11"/>
    <x v="0"/>
    <x v="11"/>
    <x v="11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28.905873500000002"/>
  </r>
  <r>
    <x v="11"/>
    <x v="0"/>
    <x v="11"/>
    <x v="11"/>
    <x v="0"/>
    <x v="1"/>
    <x v="0"/>
    <x v="0"/>
    <x v="2"/>
    <x v="2"/>
    <x v="7"/>
    <x v="7"/>
    <x v="3"/>
    <x v="7"/>
    <x v="7"/>
    <x v="40"/>
    <x v="40"/>
    <n v="201.43234000000001"/>
    <x v="1"/>
    <x v="2"/>
    <x v="5"/>
    <x v="7"/>
    <x v="11"/>
    <x v="22"/>
    <n v="219.56125060000002"/>
  </r>
  <r>
    <x v="11"/>
    <x v="0"/>
    <x v="11"/>
    <x v="11"/>
    <x v="0"/>
    <x v="1"/>
    <x v="0"/>
    <x v="0"/>
    <x v="2"/>
    <x v="2"/>
    <x v="7"/>
    <x v="7"/>
    <x v="1"/>
    <x v="8"/>
    <x v="8"/>
    <x v="40"/>
    <x v="40"/>
    <n v="19.99822"/>
    <x v="1"/>
    <x v="2"/>
    <x v="5"/>
    <x v="7"/>
    <x v="11"/>
    <x v="22"/>
    <n v="21.798059800000001"/>
  </r>
  <r>
    <x v="11"/>
    <x v="0"/>
    <x v="11"/>
    <x v="11"/>
    <x v="0"/>
    <x v="1"/>
    <x v="0"/>
    <x v="0"/>
    <x v="2"/>
    <x v="2"/>
    <x v="7"/>
    <x v="7"/>
    <x v="2"/>
    <x v="10"/>
    <x v="10"/>
    <x v="40"/>
    <x v="40"/>
    <n v="4.3355499999999996"/>
    <x v="1"/>
    <x v="2"/>
    <x v="5"/>
    <x v="7"/>
    <x v="11"/>
    <x v="22"/>
    <n v="4.7257495"/>
  </r>
  <r>
    <x v="11"/>
    <x v="0"/>
    <x v="11"/>
    <x v="11"/>
    <x v="0"/>
    <x v="1"/>
    <x v="0"/>
    <x v="0"/>
    <x v="2"/>
    <x v="2"/>
    <x v="7"/>
    <x v="7"/>
    <x v="4"/>
    <x v="5"/>
    <x v="5"/>
    <x v="40"/>
    <x v="40"/>
    <n v="152.33438000000001"/>
    <x v="1"/>
    <x v="2"/>
    <x v="5"/>
    <x v="7"/>
    <x v="11"/>
    <x v="22"/>
    <n v="166.04447420000002"/>
  </r>
  <r>
    <x v="11"/>
    <x v="0"/>
    <x v="11"/>
    <x v="11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07.51628110000001"/>
  </r>
  <r>
    <x v="11"/>
    <x v="0"/>
    <x v="11"/>
    <x v="11"/>
    <x v="0"/>
    <x v="1"/>
    <x v="0"/>
    <x v="0"/>
    <x v="2"/>
    <x v="2"/>
    <x v="8"/>
    <x v="8"/>
    <x v="2"/>
    <x v="2"/>
    <x v="2"/>
    <x v="40"/>
    <x v="40"/>
    <n v="87.078630000000004"/>
    <x v="1"/>
    <x v="2"/>
    <x v="5"/>
    <x v="7"/>
    <x v="11"/>
    <x v="22"/>
    <n v="94.915706700000015"/>
  </r>
  <r>
    <x v="11"/>
    <x v="0"/>
    <x v="11"/>
    <x v="11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3.476666500000007"/>
  </r>
  <r>
    <x v="11"/>
    <x v="0"/>
    <x v="11"/>
    <x v="11"/>
    <x v="0"/>
    <x v="1"/>
    <x v="0"/>
    <x v="0"/>
    <x v="2"/>
    <x v="2"/>
    <x v="9"/>
    <x v="9"/>
    <x v="2"/>
    <x v="2"/>
    <x v="2"/>
    <x v="40"/>
    <x v="40"/>
    <n v="790.11546999999996"/>
    <x v="1"/>
    <x v="2"/>
    <x v="5"/>
    <x v="7"/>
    <x v="11"/>
    <x v="22"/>
    <n v="861.22586230000002"/>
  </r>
  <r>
    <x v="11"/>
    <x v="0"/>
    <x v="11"/>
    <x v="11"/>
    <x v="0"/>
    <x v="1"/>
    <x v="0"/>
    <x v="0"/>
    <x v="2"/>
    <x v="2"/>
    <x v="9"/>
    <x v="9"/>
    <x v="2"/>
    <x v="2"/>
    <x v="2"/>
    <x v="38"/>
    <x v="38"/>
    <n v="215.68294"/>
    <x v="1"/>
    <x v="0"/>
    <x v="4"/>
    <x v="6"/>
    <x v="10"/>
    <x v="21"/>
    <n v="235.09440460000002"/>
  </r>
  <r>
    <x v="11"/>
    <x v="0"/>
    <x v="11"/>
    <x v="11"/>
    <x v="0"/>
    <x v="1"/>
    <x v="0"/>
    <x v="0"/>
    <x v="2"/>
    <x v="2"/>
    <x v="9"/>
    <x v="9"/>
    <x v="2"/>
    <x v="2"/>
    <x v="2"/>
    <x v="48"/>
    <x v="48"/>
    <n v="34.110599999999998"/>
    <x v="1"/>
    <x v="0"/>
    <x v="4"/>
    <x v="6"/>
    <x v="10"/>
    <x v="21"/>
    <n v="37.180554000000001"/>
  </r>
  <r>
    <x v="11"/>
    <x v="0"/>
    <x v="11"/>
    <x v="11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4.342991800000004"/>
  </r>
  <r>
    <x v="11"/>
    <x v="0"/>
    <x v="11"/>
    <x v="11"/>
    <x v="0"/>
    <x v="1"/>
    <x v="0"/>
    <x v="0"/>
    <x v="2"/>
    <x v="2"/>
    <x v="9"/>
    <x v="9"/>
    <x v="1"/>
    <x v="6"/>
    <x v="6"/>
    <x v="40"/>
    <x v="40"/>
    <n v="1524.2524000000001"/>
    <x v="1"/>
    <x v="2"/>
    <x v="5"/>
    <x v="7"/>
    <x v="11"/>
    <x v="22"/>
    <n v="1661.4351160000001"/>
  </r>
  <r>
    <x v="11"/>
    <x v="0"/>
    <x v="11"/>
    <x v="11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07.5808854"/>
  </r>
  <r>
    <x v="11"/>
    <x v="0"/>
    <x v="11"/>
    <x v="11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0380550000000008"/>
  </r>
  <r>
    <x v="11"/>
    <x v="0"/>
    <x v="11"/>
    <x v="11"/>
    <x v="0"/>
    <x v="1"/>
    <x v="0"/>
    <x v="0"/>
    <x v="2"/>
    <x v="2"/>
    <x v="9"/>
    <x v="9"/>
    <x v="3"/>
    <x v="7"/>
    <x v="7"/>
    <x v="40"/>
    <x v="40"/>
    <n v="983.90364999999997"/>
    <x v="1"/>
    <x v="2"/>
    <x v="5"/>
    <x v="7"/>
    <x v="11"/>
    <x v="22"/>
    <n v="1072.4549785000002"/>
  </r>
  <r>
    <x v="11"/>
    <x v="0"/>
    <x v="11"/>
    <x v="11"/>
    <x v="0"/>
    <x v="1"/>
    <x v="0"/>
    <x v="0"/>
    <x v="2"/>
    <x v="2"/>
    <x v="9"/>
    <x v="9"/>
    <x v="1"/>
    <x v="8"/>
    <x v="8"/>
    <x v="40"/>
    <x v="40"/>
    <n v="270.18212999999997"/>
    <x v="1"/>
    <x v="2"/>
    <x v="5"/>
    <x v="7"/>
    <x v="11"/>
    <x v="22"/>
    <n v="294.49852169999997"/>
  </r>
  <r>
    <x v="11"/>
    <x v="0"/>
    <x v="11"/>
    <x v="11"/>
    <x v="0"/>
    <x v="1"/>
    <x v="0"/>
    <x v="0"/>
    <x v="2"/>
    <x v="2"/>
    <x v="9"/>
    <x v="9"/>
    <x v="2"/>
    <x v="10"/>
    <x v="10"/>
    <x v="40"/>
    <x v="40"/>
    <n v="210.74162000000001"/>
    <x v="1"/>
    <x v="2"/>
    <x v="5"/>
    <x v="7"/>
    <x v="11"/>
    <x v="22"/>
    <n v="229.70836580000002"/>
  </r>
  <r>
    <x v="11"/>
    <x v="0"/>
    <x v="11"/>
    <x v="11"/>
    <x v="0"/>
    <x v="1"/>
    <x v="0"/>
    <x v="0"/>
    <x v="2"/>
    <x v="2"/>
    <x v="9"/>
    <x v="9"/>
    <x v="4"/>
    <x v="5"/>
    <x v="5"/>
    <x v="40"/>
    <x v="40"/>
    <n v="1503.3061399999999"/>
    <x v="1"/>
    <x v="2"/>
    <x v="5"/>
    <x v="7"/>
    <x v="11"/>
    <x v="22"/>
    <n v="1638.6036925999999"/>
  </r>
  <r>
    <x v="11"/>
    <x v="0"/>
    <x v="11"/>
    <x v="11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3.8708516000000004"/>
  </r>
  <r>
    <x v="11"/>
    <x v="0"/>
    <x v="11"/>
    <x v="11"/>
    <x v="0"/>
    <x v="1"/>
    <x v="0"/>
    <x v="0"/>
    <x v="2"/>
    <x v="2"/>
    <x v="10"/>
    <x v="10"/>
    <x v="2"/>
    <x v="2"/>
    <x v="2"/>
    <x v="41"/>
    <x v="41"/>
    <n v="3.3912340425403"/>
    <x v="1"/>
    <x v="2"/>
    <x v="5"/>
    <x v="7"/>
    <x v="11"/>
    <x v="22"/>
    <n v="3.6964451063689272"/>
  </r>
  <r>
    <x v="11"/>
    <x v="0"/>
    <x v="11"/>
    <x v="11"/>
    <x v="0"/>
    <x v="1"/>
    <x v="0"/>
    <x v="0"/>
    <x v="2"/>
    <x v="2"/>
    <x v="10"/>
    <x v="10"/>
    <x v="2"/>
    <x v="2"/>
    <x v="2"/>
    <x v="40"/>
    <x v="40"/>
    <n v="327.66309000000001"/>
    <x v="1"/>
    <x v="2"/>
    <x v="5"/>
    <x v="7"/>
    <x v="11"/>
    <x v="22"/>
    <n v="357.15276810000006"/>
  </r>
  <r>
    <x v="11"/>
    <x v="0"/>
    <x v="11"/>
    <x v="11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48723000000000005"/>
  </r>
  <r>
    <x v="11"/>
    <x v="0"/>
    <x v="11"/>
    <x v="11"/>
    <x v="0"/>
    <x v="1"/>
    <x v="0"/>
    <x v="0"/>
    <x v="0"/>
    <x v="0"/>
    <x v="11"/>
    <x v="11"/>
    <x v="4"/>
    <x v="5"/>
    <x v="5"/>
    <x v="10"/>
    <x v="10"/>
    <n v="2.2644928000000001E-5"/>
    <x v="0"/>
    <x v="0"/>
    <x v="1"/>
    <x v="4"/>
    <x v="5"/>
    <x v="10"/>
    <n v="2.4682971520000002E-5"/>
  </r>
  <r>
    <x v="11"/>
    <x v="0"/>
    <x v="11"/>
    <x v="11"/>
    <x v="0"/>
    <x v="1"/>
    <x v="0"/>
    <x v="0"/>
    <x v="3"/>
    <x v="3"/>
    <x v="12"/>
    <x v="12"/>
    <x v="2"/>
    <x v="2"/>
    <x v="2"/>
    <x v="40"/>
    <x v="40"/>
    <n v="9.6549700000000005"/>
    <x v="1"/>
    <x v="2"/>
    <x v="5"/>
    <x v="7"/>
    <x v="11"/>
    <x v="22"/>
    <n v="10.523917300000001"/>
  </r>
  <r>
    <x v="11"/>
    <x v="0"/>
    <x v="11"/>
    <x v="11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4.442500000000001"/>
  </r>
  <r>
    <x v="11"/>
    <x v="0"/>
    <x v="11"/>
    <x v="11"/>
    <x v="0"/>
    <x v="1"/>
    <x v="0"/>
    <x v="0"/>
    <x v="3"/>
    <x v="3"/>
    <x v="12"/>
    <x v="12"/>
    <x v="1"/>
    <x v="6"/>
    <x v="6"/>
    <x v="41"/>
    <x v="41"/>
    <n v="43.593829787068401"/>
    <x v="1"/>
    <x v="2"/>
    <x v="5"/>
    <x v="7"/>
    <x v="11"/>
    <x v="22"/>
    <n v="47.517274467904564"/>
  </r>
  <r>
    <x v="11"/>
    <x v="0"/>
    <x v="11"/>
    <x v="11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1.774829799999999"/>
  </r>
  <r>
    <x v="11"/>
    <x v="0"/>
    <x v="11"/>
    <x v="11"/>
    <x v="0"/>
    <x v="1"/>
    <x v="0"/>
    <x v="0"/>
    <x v="3"/>
    <x v="3"/>
    <x v="12"/>
    <x v="12"/>
    <x v="3"/>
    <x v="7"/>
    <x v="7"/>
    <x v="40"/>
    <x v="40"/>
    <n v="11.36275"/>
    <x v="1"/>
    <x v="2"/>
    <x v="5"/>
    <x v="7"/>
    <x v="11"/>
    <x v="22"/>
    <n v="12.385397500000002"/>
  </r>
  <r>
    <x v="11"/>
    <x v="0"/>
    <x v="11"/>
    <x v="11"/>
    <x v="0"/>
    <x v="1"/>
    <x v="0"/>
    <x v="0"/>
    <x v="3"/>
    <x v="3"/>
    <x v="12"/>
    <x v="12"/>
    <x v="4"/>
    <x v="5"/>
    <x v="5"/>
    <x v="40"/>
    <x v="40"/>
    <n v="23.146560000000001"/>
    <x v="1"/>
    <x v="2"/>
    <x v="5"/>
    <x v="7"/>
    <x v="11"/>
    <x v="22"/>
    <n v="25.229750400000004"/>
  </r>
  <r>
    <x v="11"/>
    <x v="0"/>
    <x v="11"/>
    <x v="11"/>
    <x v="0"/>
    <x v="1"/>
    <x v="0"/>
    <x v="0"/>
    <x v="3"/>
    <x v="3"/>
    <x v="13"/>
    <x v="13"/>
    <x v="2"/>
    <x v="2"/>
    <x v="2"/>
    <x v="41"/>
    <x v="41"/>
    <n v="18.667202127588599"/>
    <x v="1"/>
    <x v="2"/>
    <x v="5"/>
    <x v="7"/>
    <x v="11"/>
    <x v="22"/>
    <n v="20.347250319071573"/>
  </r>
  <r>
    <x v="11"/>
    <x v="0"/>
    <x v="11"/>
    <x v="11"/>
    <x v="0"/>
    <x v="1"/>
    <x v="0"/>
    <x v="0"/>
    <x v="3"/>
    <x v="3"/>
    <x v="13"/>
    <x v="13"/>
    <x v="2"/>
    <x v="2"/>
    <x v="2"/>
    <x v="40"/>
    <x v="40"/>
    <n v="226.49404999999999"/>
    <x v="1"/>
    <x v="2"/>
    <x v="5"/>
    <x v="7"/>
    <x v="11"/>
    <x v="22"/>
    <n v="246.87851449999999"/>
  </r>
  <r>
    <x v="11"/>
    <x v="0"/>
    <x v="11"/>
    <x v="11"/>
    <x v="0"/>
    <x v="1"/>
    <x v="0"/>
    <x v="0"/>
    <x v="3"/>
    <x v="3"/>
    <x v="13"/>
    <x v="13"/>
    <x v="1"/>
    <x v="6"/>
    <x v="6"/>
    <x v="41"/>
    <x v="41"/>
    <n v="4.2952127659411303"/>
    <x v="1"/>
    <x v="2"/>
    <x v="5"/>
    <x v="7"/>
    <x v="11"/>
    <x v="22"/>
    <n v="4.6817819148758328"/>
  </r>
  <r>
    <x v="11"/>
    <x v="0"/>
    <x v="11"/>
    <x v="11"/>
    <x v="0"/>
    <x v="1"/>
    <x v="0"/>
    <x v="0"/>
    <x v="3"/>
    <x v="3"/>
    <x v="13"/>
    <x v="13"/>
    <x v="1"/>
    <x v="6"/>
    <x v="6"/>
    <x v="40"/>
    <x v="40"/>
    <n v="164.64869999999999"/>
    <x v="1"/>
    <x v="2"/>
    <x v="5"/>
    <x v="7"/>
    <x v="11"/>
    <x v="22"/>
    <n v="179.467083"/>
  </r>
  <r>
    <x v="11"/>
    <x v="0"/>
    <x v="11"/>
    <x v="11"/>
    <x v="0"/>
    <x v="1"/>
    <x v="0"/>
    <x v="0"/>
    <x v="3"/>
    <x v="3"/>
    <x v="13"/>
    <x v="13"/>
    <x v="1"/>
    <x v="8"/>
    <x v="8"/>
    <x v="40"/>
    <x v="40"/>
    <n v="2.8456000000000001"/>
    <x v="1"/>
    <x v="2"/>
    <x v="5"/>
    <x v="7"/>
    <x v="11"/>
    <x v="22"/>
    <n v="3.1017040000000002"/>
  </r>
  <r>
    <x v="11"/>
    <x v="0"/>
    <x v="11"/>
    <x v="11"/>
    <x v="0"/>
    <x v="1"/>
    <x v="0"/>
    <x v="0"/>
    <x v="3"/>
    <x v="3"/>
    <x v="13"/>
    <x v="13"/>
    <x v="4"/>
    <x v="5"/>
    <x v="5"/>
    <x v="40"/>
    <x v="40"/>
    <n v="1.3304"/>
    <x v="1"/>
    <x v="2"/>
    <x v="5"/>
    <x v="7"/>
    <x v="11"/>
    <x v="22"/>
    <n v="1.4501360000000001"/>
  </r>
  <r>
    <x v="11"/>
    <x v="0"/>
    <x v="11"/>
    <x v="11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6.160000000000004"/>
  </r>
  <r>
    <x v="11"/>
    <x v="0"/>
    <x v="11"/>
    <x v="11"/>
    <x v="0"/>
    <x v="1"/>
    <x v="0"/>
    <x v="0"/>
    <x v="2"/>
    <x v="2"/>
    <x v="14"/>
    <x v="14"/>
    <x v="2"/>
    <x v="2"/>
    <x v="2"/>
    <x v="40"/>
    <x v="40"/>
    <n v="24.772939999999998"/>
    <x v="1"/>
    <x v="2"/>
    <x v="5"/>
    <x v="7"/>
    <x v="11"/>
    <x v="22"/>
    <n v="27.002504600000002"/>
  </r>
  <r>
    <x v="11"/>
    <x v="0"/>
    <x v="11"/>
    <x v="11"/>
    <x v="0"/>
    <x v="1"/>
    <x v="0"/>
    <x v="0"/>
    <x v="2"/>
    <x v="2"/>
    <x v="15"/>
    <x v="15"/>
    <x v="0"/>
    <x v="4"/>
    <x v="4"/>
    <x v="40"/>
    <x v="40"/>
    <n v="48.567279999999997"/>
    <x v="1"/>
    <x v="2"/>
    <x v="5"/>
    <x v="7"/>
    <x v="11"/>
    <x v="22"/>
    <n v="52.938335199999997"/>
  </r>
  <r>
    <x v="11"/>
    <x v="0"/>
    <x v="11"/>
    <x v="11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6.174564500000002"/>
  </r>
  <r>
    <x v="11"/>
    <x v="0"/>
    <x v="11"/>
    <x v="11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1.065000000000001"/>
  </r>
  <r>
    <x v="11"/>
    <x v="0"/>
    <x v="11"/>
    <x v="11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5.609678700000003"/>
  </r>
  <r>
    <x v="11"/>
    <x v="0"/>
    <x v="11"/>
    <x v="11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1.8"/>
  </r>
  <r>
    <x v="11"/>
    <x v="0"/>
    <x v="11"/>
    <x v="11"/>
    <x v="0"/>
    <x v="1"/>
    <x v="0"/>
    <x v="0"/>
    <x v="2"/>
    <x v="2"/>
    <x v="17"/>
    <x v="17"/>
    <x v="2"/>
    <x v="2"/>
    <x v="2"/>
    <x v="42"/>
    <x v="42"/>
    <n v="1.8395699999999999"/>
    <x v="1"/>
    <x v="2"/>
    <x v="5"/>
    <x v="7"/>
    <x v="11"/>
    <x v="22"/>
    <n v="2.0051312999999999"/>
  </r>
  <r>
    <x v="11"/>
    <x v="0"/>
    <x v="11"/>
    <x v="11"/>
    <x v="0"/>
    <x v="1"/>
    <x v="0"/>
    <x v="0"/>
    <x v="2"/>
    <x v="2"/>
    <x v="17"/>
    <x v="17"/>
    <x v="2"/>
    <x v="2"/>
    <x v="2"/>
    <x v="40"/>
    <x v="40"/>
    <n v="153.90584000000001"/>
    <x v="1"/>
    <x v="2"/>
    <x v="5"/>
    <x v="7"/>
    <x v="11"/>
    <x v="22"/>
    <n v="167.75736560000001"/>
  </r>
  <r>
    <x v="11"/>
    <x v="0"/>
    <x v="11"/>
    <x v="11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1.311078400000003"/>
  </r>
  <r>
    <x v="11"/>
    <x v="0"/>
    <x v="11"/>
    <x v="11"/>
    <x v="0"/>
    <x v="1"/>
    <x v="0"/>
    <x v="0"/>
    <x v="2"/>
    <x v="2"/>
    <x v="17"/>
    <x v="17"/>
    <x v="3"/>
    <x v="7"/>
    <x v="7"/>
    <x v="40"/>
    <x v="40"/>
    <n v="26.767880000000002"/>
    <x v="1"/>
    <x v="2"/>
    <x v="5"/>
    <x v="7"/>
    <x v="11"/>
    <x v="22"/>
    <n v="29.176989200000005"/>
  </r>
  <r>
    <x v="11"/>
    <x v="0"/>
    <x v="11"/>
    <x v="11"/>
    <x v="0"/>
    <x v="1"/>
    <x v="0"/>
    <x v="0"/>
    <x v="2"/>
    <x v="2"/>
    <x v="17"/>
    <x v="17"/>
    <x v="1"/>
    <x v="8"/>
    <x v="8"/>
    <x v="40"/>
    <x v="40"/>
    <n v="15.003080000000001"/>
    <x v="1"/>
    <x v="2"/>
    <x v="5"/>
    <x v="7"/>
    <x v="11"/>
    <x v="22"/>
    <n v="16.353357200000001"/>
  </r>
  <r>
    <x v="11"/>
    <x v="0"/>
    <x v="11"/>
    <x v="11"/>
    <x v="0"/>
    <x v="1"/>
    <x v="0"/>
    <x v="0"/>
    <x v="2"/>
    <x v="2"/>
    <x v="17"/>
    <x v="17"/>
    <x v="2"/>
    <x v="10"/>
    <x v="10"/>
    <x v="40"/>
    <x v="40"/>
    <n v="4.3355499999999996"/>
    <x v="1"/>
    <x v="2"/>
    <x v="5"/>
    <x v="7"/>
    <x v="11"/>
    <x v="22"/>
    <n v="4.7257495"/>
  </r>
  <r>
    <x v="11"/>
    <x v="0"/>
    <x v="11"/>
    <x v="11"/>
    <x v="0"/>
    <x v="1"/>
    <x v="0"/>
    <x v="0"/>
    <x v="2"/>
    <x v="2"/>
    <x v="17"/>
    <x v="17"/>
    <x v="4"/>
    <x v="5"/>
    <x v="5"/>
    <x v="40"/>
    <x v="40"/>
    <n v="255.22675000000001"/>
    <x v="1"/>
    <x v="2"/>
    <x v="5"/>
    <x v="7"/>
    <x v="11"/>
    <x v="22"/>
    <n v="278.1971575"/>
  </r>
  <r>
    <x v="11"/>
    <x v="0"/>
    <x v="11"/>
    <x v="11"/>
    <x v="0"/>
    <x v="2"/>
    <x v="0"/>
    <x v="0"/>
    <x v="0"/>
    <x v="0"/>
    <x v="0"/>
    <x v="0"/>
    <x v="3"/>
    <x v="3"/>
    <x v="3"/>
    <x v="9"/>
    <x v="9"/>
    <n v="30.042894721509001"/>
    <x v="0"/>
    <x v="0"/>
    <x v="1"/>
    <x v="4"/>
    <x v="5"/>
    <x v="9"/>
    <n v="32.746755246444813"/>
  </r>
  <r>
    <x v="11"/>
    <x v="0"/>
    <x v="11"/>
    <x v="11"/>
    <x v="0"/>
    <x v="2"/>
    <x v="0"/>
    <x v="0"/>
    <x v="0"/>
    <x v="0"/>
    <x v="0"/>
    <x v="0"/>
    <x v="3"/>
    <x v="3"/>
    <x v="3"/>
    <x v="11"/>
    <x v="11"/>
    <n v="16.827000000000002"/>
    <x v="0"/>
    <x v="0"/>
    <x v="3"/>
    <x v="5"/>
    <x v="7"/>
    <x v="11"/>
    <n v="18.341430000000003"/>
  </r>
  <r>
    <x v="11"/>
    <x v="0"/>
    <x v="11"/>
    <x v="11"/>
    <x v="0"/>
    <x v="2"/>
    <x v="0"/>
    <x v="0"/>
    <x v="0"/>
    <x v="0"/>
    <x v="0"/>
    <x v="0"/>
    <x v="3"/>
    <x v="3"/>
    <x v="3"/>
    <x v="12"/>
    <x v="12"/>
    <n v="2.3255813953400001E-3"/>
    <x v="0"/>
    <x v="0"/>
    <x v="0"/>
    <x v="0"/>
    <x v="8"/>
    <x v="12"/>
    <n v="2.5348837209206001E-3"/>
  </r>
  <r>
    <x v="11"/>
    <x v="0"/>
    <x v="11"/>
    <x v="11"/>
    <x v="0"/>
    <x v="2"/>
    <x v="0"/>
    <x v="0"/>
    <x v="0"/>
    <x v="0"/>
    <x v="0"/>
    <x v="0"/>
    <x v="3"/>
    <x v="3"/>
    <x v="3"/>
    <x v="16"/>
    <x v="16"/>
    <n v="18.372959999999999"/>
    <x v="0"/>
    <x v="0"/>
    <x v="3"/>
    <x v="5"/>
    <x v="9"/>
    <x v="16"/>
    <n v="20.026526400000002"/>
  </r>
  <r>
    <x v="11"/>
    <x v="0"/>
    <x v="11"/>
    <x v="11"/>
    <x v="0"/>
    <x v="2"/>
    <x v="0"/>
    <x v="0"/>
    <x v="0"/>
    <x v="0"/>
    <x v="0"/>
    <x v="0"/>
    <x v="3"/>
    <x v="12"/>
    <x v="3"/>
    <x v="8"/>
    <x v="8"/>
    <n v="2132.7347837974298"/>
    <x v="0"/>
    <x v="1"/>
    <x v="2"/>
    <x v="2"/>
    <x v="6"/>
    <x v="8"/>
    <n v="2324.6809143391988"/>
  </r>
  <r>
    <x v="11"/>
    <x v="0"/>
    <x v="11"/>
    <x v="11"/>
    <x v="0"/>
    <x v="2"/>
    <x v="0"/>
    <x v="0"/>
    <x v="0"/>
    <x v="0"/>
    <x v="0"/>
    <x v="0"/>
    <x v="3"/>
    <x v="12"/>
    <x v="3"/>
    <x v="2"/>
    <x v="2"/>
    <n v="1778.3295412833399"/>
    <x v="0"/>
    <x v="1"/>
    <x v="2"/>
    <x v="2"/>
    <x v="13"/>
    <x v="2"/>
    <n v="1938.3791999988407"/>
  </r>
  <r>
    <x v="11"/>
    <x v="0"/>
    <x v="11"/>
    <x v="11"/>
    <x v="0"/>
    <x v="2"/>
    <x v="0"/>
    <x v="0"/>
    <x v="0"/>
    <x v="0"/>
    <x v="0"/>
    <x v="0"/>
    <x v="0"/>
    <x v="4"/>
    <x v="4"/>
    <x v="9"/>
    <x v="9"/>
    <n v="25.432335277968001"/>
    <x v="0"/>
    <x v="0"/>
    <x v="1"/>
    <x v="4"/>
    <x v="5"/>
    <x v="9"/>
    <n v="27.721245452985123"/>
  </r>
  <r>
    <x v="11"/>
    <x v="0"/>
    <x v="11"/>
    <x v="11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9.675930000000001"/>
  </r>
  <r>
    <x v="11"/>
    <x v="0"/>
    <x v="11"/>
    <x v="11"/>
    <x v="0"/>
    <x v="4"/>
    <x v="0"/>
    <x v="0"/>
    <x v="0"/>
    <x v="0"/>
    <x v="3"/>
    <x v="3"/>
    <x v="2"/>
    <x v="2"/>
    <x v="2"/>
    <x v="7"/>
    <x v="7"/>
    <n v="-4.4587155963300004E-3"/>
    <x v="0"/>
    <x v="0"/>
    <x v="1"/>
    <x v="4"/>
    <x v="5"/>
    <x v="7"/>
    <n v="-4.8599999999997005E-3"/>
  </r>
  <r>
    <x v="11"/>
    <x v="0"/>
    <x v="11"/>
    <x v="11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0791000000000002"/>
  </r>
  <r>
    <x v="11"/>
    <x v="0"/>
    <x v="11"/>
    <x v="11"/>
    <x v="0"/>
    <x v="4"/>
    <x v="0"/>
    <x v="0"/>
    <x v="0"/>
    <x v="0"/>
    <x v="3"/>
    <x v="3"/>
    <x v="1"/>
    <x v="6"/>
    <x v="6"/>
    <x v="7"/>
    <x v="7"/>
    <n v="-2.4912891984999998E-4"/>
    <x v="0"/>
    <x v="0"/>
    <x v="1"/>
    <x v="4"/>
    <x v="5"/>
    <x v="7"/>
    <n v="-2.7155052263650001E-4"/>
  </r>
  <r>
    <x v="11"/>
    <x v="0"/>
    <x v="11"/>
    <x v="11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34.28778199999999"/>
  </r>
  <r>
    <x v="11"/>
    <x v="0"/>
    <x v="11"/>
    <x v="11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6.7362000000000003E-3"/>
  </r>
  <r>
    <x v="11"/>
    <x v="0"/>
    <x v="11"/>
    <x v="11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3126421000000001"/>
  </r>
  <r>
    <x v="11"/>
    <x v="0"/>
    <x v="11"/>
    <x v="11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3.7964700000000002"/>
  </r>
  <r>
    <x v="11"/>
    <x v="0"/>
    <x v="11"/>
    <x v="11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0850000000000013"/>
  </r>
  <r>
    <x v="11"/>
    <x v="0"/>
    <x v="11"/>
    <x v="11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0102844000000006"/>
  </r>
  <r>
    <x v="11"/>
    <x v="0"/>
    <x v="11"/>
    <x v="11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49.857472000000001"/>
  </r>
  <r>
    <x v="11"/>
    <x v="0"/>
    <x v="11"/>
    <x v="11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1.919836700000001"/>
  </r>
  <r>
    <x v="11"/>
    <x v="0"/>
    <x v="11"/>
    <x v="11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19.407515400000001"/>
  </r>
  <r>
    <x v="11"/>
    <x v="0"/>
    <x v="11"/>
    <x v="11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4238124999999999"/>
  </r>
  <r>
    <x v="11"/>
    <x v="0"/>
    <x v="11"/>
    <x v="11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2786899000000003"/>
  </r>
  <r>
    <x v="11"/>
    <x v="0"/>
    <x v="11"/>
    <x v="11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49050000000000005"/>
  </r>
  <r>
    <x v="11"/>
    <x v="0"/>
    <x v="11"/>
    <x v="11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4437050000000001"/>
  </r>
  <r>
    <x v="11"/>
    <x v="0"/>
    <x v="11"/>
    <x v="11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42.15231730000002"/>
  </r>
  <r>
    <x v="11"/>
    <x v="0"/>
    <x v="11"/>
    <x v="11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2.601296300000001"/>
  </r>
  <r>
    <x v="11"/>
    <x v="0"/>
    <x v="11"/>
    <x v="11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87200000000000011"/>
  </r>
  <r>
    <x v="11"/>
    <x v="0"/>
    <x v="11"/>
    <x v="11"/>
    <x v="0"/>
    <x v="4"/>
    <x v="0"/>
    <x v="0"/>
    <x v="2"/>
    <x v="2"/>
    <x v="10"/>
    <x v="10"/>
    <x v="2"/>
    <x v="2"/>
    <x v="2"/>
    <x v="41"/>
    <x v="41"/>
    <n v="9.0837553191144202"/>
    <x v="1"/>
    <x v="2"/>
    <x v="5"/>
    <x v="7"/>
    <x v="11"/>
    <x v="22"/>
    <n v="9.9012932978347195"/>
  </r>
  <r>
    <x v="11"/>
    <x v="0"/>
    <x v="11"/>
    <x v="11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82.47382540000001"/>
  </r>
  <r>
    <x v="11"/>
    <x v="0"/>
    <x v="11"/>
    <x v="11"/>
    <x v="0"/>
    <x v="4"/>
    <x v="0"/>
    <x v="0"/>
    <x v="0"/>
    <x v="0"/>
    <x v="10"/>
    <x v="10"/>
    <x v="1"/>
    <x v="6"/>
    <x v="6"/>
    <x v="7"/>
    <x v="7"/>
    <n v="1.6730522647645301"/>
    <x v="0"/>
    <x v="0"/>
    <x v="1"/>
    <x v="4"/>
    <x v="5"/>
    <x v="7"/>
    <n v="1.8236269685933379"/>
  </r>
  <r>
    <x v="11"/>
    <x v="0"/>
    <x v="11"/>
    <x v="11"/>
    <x v="0"/>
    <x v="4"/>
    <x v="0"/>
    <x v="0"/>
    <x v="0"/>
    <x v="0"/>
    <x v="11"/>
    <x v="11"/>
    <x v="2"/>
    <x v="2"/>
    <x v="2"/>
    <x v="7"/>
    <x v="7"/>
    <n v="-3.4512195121000002E-3"/>
    <x v="0"/>
    <x v="0"/>
    <x v="1"/>
    <x v="4"/>
    <x v="5"/>
    <x v="7"/>
    <n v="-3.7618292681890005E-3"/>
  </r>
  <r>
    <x v="11"/>
    <x v="0"/>
    <x v="11"/>
    <x v="11"/>
    <x v="0"/>
    <x v="4"/>
    <x v="0"/>
    <x v="0"/>
    <x v="0"/>
    <x v="0"/>
    <x v="11"/>
    <x v="11"/>
    <x v="1"/>
    <x v="6"/>
    <x v="6"/>
    <x v="7"/>
    <x v="7"/>
    <n v="-2.10975609751E-3"/>
    <x v="0"/>
    <x v="0"/>
    <x v="1"/>
    <x v="4"/>
    <x v="5"/>
    <x v="7"/>
    <n v="-2.2996341462859001E-3"/>
  </r>
  <r>
    <x v="11"/>
    <x v="0"/>
    <x v="11"/>
    <x v="11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4911200000000002"/>
  </r>
  <r>
    <x v="11"/>
    <x v="0"/>
    <x v="11"/>
    <x v="11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3.671172400000001"/>
  </r>
  <r>
    <x v="11"/>
    <x v="0"/>
    <x v="11"/>
    <x v="11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64.333990900000003"/>
  </r>
  <r>
    <x v="11"/>
    <x v="0"/>
    <x v="11"/>
    <x v="11"/>
    <x v="0"/>
    <x v="4"/>
    <x v="0"/>
    <x v="0"/>
    <x v="2"/>
    <x v="2"/>
    <x v="16"/>
    <x v="16"/>
    <x v="1"/>
    <x v="6"/>
    <x v="6"/>
    <x v="7"/>
    <x v="7"/>
    <n v="-1.5343956781499999E-3"/>
    <x v="0"/>
    <x v="0"/>
    <x v="1"/>
    <x v="4"/>
    <x v="5"/>
    <x v="7"/>
    <n v="-1.6724912891835E-3"/>
  </r>
  <r>
    <x v="11"/>
    <x v="0"/>
    <x v="11"/>
    <x v="11"/>
    <x v="0"/>
    <x v="4"/>
    <x v="0"/>
    <x v="0"/>
    <x v="2"/>
    <x v="2"/>
    <x v="17"/>
    <x v="17"/>
    <x v="3"/>
    <x v="3"/>
    <x v="3"/>
    <x v="7"/>
    <x v="7"/>
    <n v="-3.0009174311910001E-2"/>
    <x v="0"/>
    <x v="0"/>
    <x v="1"/>
    <x v="4"/>
    <x v="5"/>
    <x v="7"/>
    <n v="-3.2709999999981906E-2"/>
  </r>
  <r>
    <x v="11"/>
    <x v="0"/>
    <x v="11"/>
    <x v="11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4.051190000000002"/>
  </r>
  <r>
    <x v="11"/>
    <x v="0"/>
    <x v="11"/>
    <x v="11"/>
    <x v="0"/>
    <x v="4"/>
    <x v="0"/>
    <x v="0"/>
    <x v="2"/>
    <x v="2"/>
    <x v="17"/>
    <x v="17"/>
    <x v="0"/>
    <x v="4"/>
    <x v="4"/>
    <x v="7"/>
    <x v="7"/>
    <n v="-2.3821564427890001E-2"/>
    <x v="0"/>
    <x v="0"/>
    <x v="1"/>
    <x v="4"/>
    <x v="5"/>
    <x v="7"/>
    <n v="-2.5965505226400103E-2"/>
  </r>
  <r>
    <x v="11"/>
    <x v="0"/>
    <x v="11"/>
    <x v="11"/>
    <x v="0"/>
    <x v="4"/>
    <x v="0"/>
    <x v="0"/>
    <x v="2"/>
    <x v="2"/>
    <x v="17"/>
    <x v="17"/>
    <x v="2"/>
    <x v="2"/>
    <x v="2"/>
    <x v="7"/>
    <x v="7"/>
    <n v="-6.8132452130499996E-2"/>
    <x v="0"/>
    <x v="0"/>
    <x v="1"/>
    <x v="4"/>
    <x v="5"/>
    <x v="7"/>
    <n v="-7.4264372822245003E-2"/>
  </r>
  <r>
    <x v="11"/>
    <x v="0"/>
    <x v="11"/>
    <x v="11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66.599000000000004"/>
  </r>
  <r>
    <x v="11"/>
    <x v="0"/>
    <x v="11"/>
    <x v="11"/>
    <x v="0"/>
    <x v="4"/>
    <x v="0"/>
    <x v="0"/>
    <x v="2"/>
    <x v="2"/>
    <x v="17"/>
    <x v="17"/>
    <x v="1"/>
    <x v="6"/>
    <x v="6"/>
    <x v="7"/>
    <x v="7"/>
    <n v="-3.2647891826189997E-2"/>
    <x v="0"/>
    <x v="0"/>
    <x v="1"/>
    <x v="4"/>
    <x v="5"/>
    <x v="7"/>
    <n v="-3.5586202090547102E-2"/>
  </r>
  <r>
    <x v="11"/>
    <x v="0"/>
    <x v="11"/>
    <x v="11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2422704000000002"/>
  </r>
  <r>
    <x v="11"/>
    <x v="0"/>
    <x v="11"/>
    <x v="11"/>
    <x v="0"/>
    <x v="4"/>
    <x v="0"/>
    <x v="0"/>
    <x v="2"/>
    <x v="2"/>
    <x v="17"/>
    <x v="17"/>
    <x v="4"/>
    <x v="5"/>
    <x v="5"/>
    <x v="7"/>
    <x v="7"/>
    <n v="-3.3559920723599999E-3"/>
    <x v="0"/>
    <x v="0"/>
    <x v="1"/>
    <x v="4"/>
    <x v="5"/>
    <x v="7"/>
    <n v="-3.6580313588724001E-3"/>
  </r>
  <r>
    <x v="11"/>
    <x v="0"/>
    <x v="11"/>
    <x v="11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7.608200000000001"/>
  </r>
  <r>
    <x v="11"/>
    <x v="0"/>
    <x v="11"/>
    <x v="11"/>
    <x v="1"/>
    <x v="6"/>
    <x v="1"/>
    <x v="1"/>
    <x v="7"/>
    <x v="5"/>
    <x v="25"/>
    <x v="25"/>
    <x v="3"/>
    <x v="3"/>
    <x v="3"/>
    <x v="55"/>
    <x v="55"/>
    <n v="1.32089908256801"/>
    <x v="0"/>
    <x v="0"/>
    <x v="1"/>
    <x v="3"/>
    <x v="3"/>
    <x v="15"/>
    <n v="1.439779999999131"/>
  </r>
  <r>
    <x v="11"/>
    <x v="0"/>
    <x v="11"/>
    <x v="11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4371855"/>
  </r>
  <r>
    <x v="11"/>
    <x v="0"/>
    <x v="11"/>
    <x v="11"/>
    <x v="1"/>
    <x v="6"/>
    <x v="1"/>
    <x v="1"/>
    <x v="6"/>
    <x v="5"/>
    <x v="24"/>
    <x v="24"/>
    <x v="3"/>
    <x v="3"/>
    <x v="3"/>
    <x v="5"/>
    <x v="5"/>
    <n v="64.11042944834"/>
    <x v="0"/>
    <x v="0"/>
    <x v="1"/>
    <x v="1"/>
    <x v="1"/>
    <x v="5"/>
    <n v="69.88036809869061"/>
  </r>
  <r>
    <x v="11"/>
    <x v="0"/>
    <x v="11"/>
    <x v="11"/>
    <x v="1"/>
    <x v="6"/>
    <x v="1"/>
    <x v="1"/>
    <x v="6"/>
    <x v="5"/>
    <x v="24"/>
    <x v="24"/>
    <x v="3"/>
    <x v="3"/>
    <x v="3"/>
    <x v="57"/>
    <x v="57"/>
    <n v="13.803680981699999"/>
    <x v="0"/>
    <x v="0"/>
    <x v="1"/>
    <x v="1"/>
    <x v="1"/>
    <x v="5"/>
    <n v="15.046012270053"/>
  </r>
  <r>
    <x v="11"/>
    <x v="0"/>
    <x v="11"/>
    <x v="11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2.320000000000007"/>
  </r>
  <r>
    <x v="11"/>
    <x v="0"/>
    <x v="11"/>
    <x v="11"/>
    <x v="1"/>
    <x v="6"/>
    <x v="1"/>
    <x v="1"/>
    <x v="1"/>
    <x v="5"/>
    <x v="21"/>
    <x v="21"/>
    <x v="3"/>
    <x v="3"/>
    <x v="3"/>
    <x v="49"/>
    <x v="49"/>
    <n v="2.3818061676104798"/>
    <x v="0"/>
    <x v="0"/>
    <x v="1"/>
    <x v="1"/>
    <x v="1"/>
    <x v="23"/>
    <n v="2.5961687226954231"/>
  </r>
  <r>
    <x v="11"/>
    <x v="0"/>
    <x v="11"/>
    <x v="11"/>
    <x v="1"/>
    <x v="6"/>
    <x v="1"/>
    <x v="1"/>
    <x v="1"/>
    <x v="5"/>
    <x v="21"/>
    <x v="21"/>
    <x v="3"/>
    <x v="3"/>
    <x v="3"/>
    <x v="2"/>
    <x v="2"/>
    <n v="7.7721834862338701"/>
    <x v="0"/>
    <x v="1"/>
    <x v="2"/>
    <x v="2"/>
    <x v="13"/>
    <x v="2"/>
    <n v="8.4716799999949188"/>
  </r>
  <r>
    <x v="11"/>
    <x v="0"/>
    <x v="11"/>
    <x v="11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66064900000000004"/>
  </r>
  <r>
    <x v="11"/>
    <x v="0"/>
    <x v="11"/>
    <x v="11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2.128430000000002"/>
  </r>
  <r>
    <x v="11"/>
    <x v="0"/>
    <x v="11"/>
    <x v="11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824.7016489"/>
  </r>
  <r>
    <x v="11"/>
    <x v="0"/>
    <x v="11"/>
    <x v="11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3955000000000009"/>
  </r>
  <r>
    <x v="11"/>
    <x v="0"/>
    <x v="11"/>
    <x v="11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45.861750000000008"/>
  </r>
  <r>
    <x v="11"/>
    <x v="0"/>
    <x v="11"/>
    <x v="11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4263400000000001E-2"/>
  </r>
  <r>
    <x v="11"/>
    <x v="0"/>
    <x v="11"/>
    <x v="11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0822000000000003E-3"/>
  </r>
  <r>
    <x v="11"/>
    <x v="0"/>
    <x v="11"/>
    <x v="11"/>
    <x v="1"/>
    <x v="6"/>
    <x v="0"/>
    <x v="0"/>
    <x v="2"/>
    <x v="2"/>
    <x v="14"/>
    <x v="14"/>
    <x v="4"/>
    <x v="5"/>
    <x v="5"/>
    <x v="40"/>
    <x v="40"/>
    <n v="289.10766000000001"/>
    <x v="1"/>
    <x v="2"/>
    <x v="5"/>
    <x v="7"/>
    <x v="11"/>
    <x v="22"/>
    <n v="315.12734940000001"/>
  </r>
  <r>
    <x v="11"/>
    <x v="0"/>
    <x v="11"/>
    <x v="11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66.09747000000002"/>
  </r>
  <r>
    <x v="11"/>
    <x v="0"/>
    <x v="11"/>
    <x v="11"/>
    <x v="1"/>
    <x v="6"/>
    <x v="0"/>
    <x v="0"/>
    <x v="2"/>
    <x v="2"/>
    <x v="15"/>
    <x v="15"/>
    <x v="3"/>
    <x v="3"/>
    <x v="3"/>
    <x v="41"/>
    <x v="41"/>
    <n v="10.312904255279999"/>
    <x v="1"/>
    <x v="2"/>
    <x v="5"/>
    <x v="7"/>
    <x v="11"/>
    <x v="22"/>
    <n v="11.241065638255201"/>
  </r>
  <r>
    <x v="11"/>
    <x v="0"/>
    <x v="11"/>
    <x v="11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234.6656066"/>
  </r>
  <r>
    <x v="11"/>
    <x v="0"/>
    <x v="11"/>
    <x v="11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15.35358289999999"/>
  </r>
  <r>
    <x v="11"/>
    <x v="0"/>
    <x v="11"/>
    <x v="11"/>
    <x v="1"/>
    <x v="6"/>
    <x v="0"/>
    <x v="0"/>
    <x v="2"/>
    <x v="2"/>
    <x v="15"/>
    <x v="15"/>
    <x v="0"/>
    <x v="4"/>
    <x v="4"/>
    <x v="41"/>
    <x v="41"/>
    <n v="119.642595744226"/>
    <x v="1"/>
    <x v="2"/>
    <x v="5"/>
    <x v="7"/>
    <x v="11"/>
    <x v="22"/>
    <n v="130.41042936120635"/>
  </r>
  <r>
    <x v="11"/>
    <x v="0"/>
    <x v="11"/>
    <x v="11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351.6665306999998"/>
  </r>
  <r>
    <x v="11"/>
    <x v="0"/>
    <x v="11"/>
    <x v="11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15.10065450000002"/>
  </r>
  <r>
    <x v="11"/>
    <x v="0"/>
    <x v="11"/>
    <x v="11"/>
    <x v="1"/>
    <x v="6"/>
    <x v="0"/>
    <x v="0"/>
    <x v="2"/>
    <x v="2"/>
    <x v="15"/>
    <x v="15"/>
    <x v="2"/>
    <x v="2"/>
    <x v="2"/>
    <x v="41"/>
    <x v="41"/>
    <n v="41.7961063828199"/>
    <x v="1"/>
    <x v="2"/>
    <x v="5"/>
    <x v="7"/>
    <x v="11"/>
    <x v="22"/>
    <n v="45.557755957273692"/>
  </r>
  <r>
    <x v="11"/>
    <x v="0"/>
    <x v="11"/>
    <x v="11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188.7948968000001"/>
  </r>
  <r>
    <x v="11"/>
    <x v="0"/>
    <x v="11"/>
    <x v="11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38.114193499999999"/>
  </r>
  <r>
    <x v="11"/>
    <x v="0"/>
    <x v="11"/>
    <x v="11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5147800000000009"/>
  </r>
  <r>
    <x v="11"/>
    <x v="0"/>
    <x v="11"/>
    <x v="11"/>
    <x v="1"/>
    <x v="6"/>
    <x v="0"/>
    <x v="0"/>
    <x v="2"/>
    <x v="2"/>
    <x v="15"/>
    <x v="15"/>
    <x v="1"/>
    <x v="6"/>
    <x v="6"/>
    <x v="41"/>
    <x v="41"/>
    <n v="25.876808510539998"/>
    <x v="1"/>
    <x v="2"/>
    <x v="5"/>
    <x v="7"/>
    <x v="11"/>
    <x v="22"/>
    <n v="28.2057212764886"/>
  </r>
  <r>
    <x v="11"/>
    <x v="0"/>
    <x v="11"/>
    <x v="11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274.79802520000004"/>
  </r>
  <r>
    <x v="11"/>
    <x v="0"/>
    <x v="11"/>
    <x v="11"/>
    <x v="1"/>
    <x v="6"/>
    <x v="0"/>
    <x v="0"/>
    <x v="2"/>
    <x v="2"/>
    <x v="15"/>
    <x v="15"/>
    <x v="3"/>
    <x v="7"/>
    <x v="7"/>
    <x v="40"/>
    <x v="40"/>
    <n v="12.01599"/>
    <x v="1"/>
    <x v="2"/>
    <x v="5"/>
    <x v="7"/>
    <x v="11"/>
    <x v="22"/>
    <n v="13.097429100000001"/>
  </r>
  <r>
    <x v="11"/>
    <x v="0"/>
    <x v="11"/>
    <x v="11"/>
    <x v="1"/>
    <x v="6"/>
    <x v="0"/>
    <x v="0"/>
    <x v="2"/>
    <x v="2"/>
    <x v="15"/>
    <x v="15"/>
    <x v="1"/>
    <x v="8"/>
    <x v="8"/>
    <x v="40"/>
    <x v="40"/>
    <n v="25.54935"/>
    <x v="1"/>
    <x v="2"/>
    <x v="5"/>
    <x v="7"/>
    <x v="11"/>
    <x v="22"/>
    <n v="27.848791500000001"/>
  </r>
  <r>
    <x v="11"/>
    <x v="0"/>
    <x v="11"/>
    <x v="11"/>
    <x v="1"/>
    <x v="6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1817100000000003"/>
  </r>
  <r>
    <x v="11"/>
    <x v="0"/>
    <x v="11"/>
    <x v="11"/>
    <x v="1"/>
    <x v="6"/>
    <x v="0"/>
    <x v="0"/>
    <x v="2"/>
    <x v="2"/>
    <x v="15"/>
    <x v="15"/>
    <x v="4"/>
    <x v="5"/>
    <x v="5"/>
    <x v="40"/>
    <x v="40"/>
    <n v="285.21755000000002"/>
    <x v="1"/>
    <x v="2"/>
    <x v="5"/>
    <x v="7"/>
    <x v="11"/>
    <x v="22"/>
    <n v="310.88712950000001"/>
  </r>
  <r>
    <x v="11"/>
    <x v="0"/>
    <x v="11"/>
    <x v="11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58642000000000005"/>
  </r>
  <r>
    <x v="11"/>
    <x v="0"/>
    <x v="11"/>
    <x v="11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76.92832040000002"/>
  </r>
  <r>
    <x v="11"/>
    <x v="0"/>
    <x v="11"/>
    <x v="11"/>
    <x v="1"/>
    <x v="6"/>
    <x v="0"/>
    <x v="0"/>
    <x v="2"/>
    <x v="2"/>
    <x v="16"/>
    <x v="16"/>
    <x v="0"/>
    <x v="4"/>
    <x v="4"/>
    <x v="41"/>
    <x v="41"/>
    <n v="3.4042553191359999"/>
    <x v="1"/>
    <x v="2"/>
    <x v="5"/>
    <x v="7"/>
    <x v="11"/>
    <x v="22"/>
    <n v="3.7106382978582402"/>
  </r>
  <r>
    <x v="11"/>
    <x v="0"/>
    <x v="11"/>
    <x v="11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552.51490690000003"/>
  </r>
  <r>
    <x v="11"/>
    <x v="0"/>
    <x v="11"/>
    <x v="11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4.104240300000001"/>
  </r>
  <r>
    <x v="11"/>
    <x v="0"/>
    <x v="11"/>
    <x v="11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08.99455000000002"/>
  </r>
  <r>
    <x v="11"/>
    <x v="0"/>
    <x v="11"/>
    <x v="11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675.35650080000005"/>
  </r>
  <r>
    <x v="11"/>
    <x v="0"/>
    <x v="11"/>
    <x v="11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18.671700000000001"/>
  </r>
  <r>
    <x v="11"/>
    <x v="0"/>
    <x v="11"/>
    <x v="11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7250000000000001"/>
  </r>
  <r>
    <x v="11"/>
    <x v="0"/>
    <x v="11"/>
    <x v="11"/>
    <x v="1"/>
    <x v="6"/>
    <x v="0"/>
    <x v="0"/>
    <x v="2"/>
    <x v="2"/>
    <x v="16"/>
    <x v="16"/>
    <x v="1"/>
    <x v="6"/>
    <x v="6"/>
    <x v="7"/>
    <x v="7"/>
    <n v="1.5968989546619901"/>
    <x v="0"/>
    <x v="0"/>
    <x v="1"/>
    <x v="4"/>
    <x v="5"/>
    <x v="7"/>
    <n v="1.7406198605815693"/>
  </r>
  <r>
    <x v="11"/>
    <x v="0"/>
    <x v="11"/>
    <x v="11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12.0584669000001"/>
  </r>
  <r>
    <x v="11"/>
    <x v="0"/>
    <x v="11"/>
    <x v="11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3.080327"/>
  </r>
  <r>
    <x v="11"/>
    <x v="0"/>
    <x v="11"/>
    <x v="11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6.832619300000001"/>
  </r>
  <r>
    <x v="11"/>
    <x v="0"/>
    <x v="11"/>
    <x v="11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4.993898300000001"/>
  </r>
  <r>
    <x v="11"/>
    <x v="0"/>
    <x v="11"/>
    <x v="11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2732713000000002"/>
  </r>
  <r>
    <x v="11"/>
    <x v="0"/>
    <x v="11"/>
    <x v="11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39.922394500000003"/>
  </r>
  <r>
    <x v="11"/>
    <x v="0"/>
    <x v="11"/>
    <x v="11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30.97372500000003"/>
  </r>
  <r>
    <x v="11"/>
    <x v="0"/>
    <x v="11"/>
    <x v="11"/>
    <x v="1"/>
    <x v="6"/>
    <x v="0"/>
    <x v="0"/>
    <x v="2"/>
    <x v="2"/>
    <x v="17"/>
    <x v="17"/>
    <x v="3"/>
    <x v="3"/>
    <x v="3"/>
    <x v="41"/>
    <x v="41"/>
    <n v="1.4486914893562"/>
    <x v="1"/>
    <x v="2"/>
    <x v="5"/>
    <x v="7"/>
    <x v="11"/>
    <x v="22"/>
    <n v="1.5790737233982581"/>
  </r>
  <r>
    <x v="11"/>
    <x v="0"/>
    <x v="11"/>
    <x v="11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62.0840589"/>
  </r>
  <r>
    <x v="11"/>
    <x v="0"/>
    <x v="11"/>
    <x v="11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3.6301884"/>
  </r>
  <r>
    <x v="11"/>
    <x v="0"/>
    <x v="11"/>
    <x v="11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1093000000000002"/>
  </r>
  <r>
    <x v="11"/>
    <x v="0"/>
    <x v="11"/>
    <x v="11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99.310990000000018"/>
  </r>
  <r>
    <x v="11"/>
    <x v="0"/>
    <x v="11"/>
    <x v="11"/>
    <x v="1"/>
    <x v="6"/>
    <x v="0"/>
    <x v="0"/>
    <x v="2"/>
    <x v="2"/>
    <x v="17"/>
    <x v="17"/>
    <x v="0"/>
    <x v="4"/>
    <x v="4"/>
    <x v="7"/>
    <x v="7"/>
    <n v="91.364158534191603"/>
    <x v="0"/>
    <x v="0"/>
    <x v="1"/>
    <x v="4"/>
    <x v="5"/>
    <x v="7"/>
    <n v="99.586932802268848"/>
  </r>
  <r>
    <x v="11"/>
    <x v="0"/>
    <x v="11"/>
    <x v="11"/>
    <x v="1"/>
    <x v="6"/>
    <x v="0"/>
    <x v="0"/>
    <x v="2"/>
    <x v="2"/>
    <x v="17"/>
    <x v="17"/>
    <x v="0"/>
    <x v="4"/>
    <x v="4"/>
    <x v="41"/>
    <x v="41"/>
    <n v="83.555148935852699"/>
    <x v="1"/>
    <x v="2"/>
    <x v="5"/>
    <x v="7"/>
    <x v="11"/>
    <x v="22"/>
    <n v="91.075112340079443"/>
  </r>
  <r>
    <x v="11"/>
    <x v="0"/>
    <x v="11"/>
    <x v="11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52.61564230000002"/>
  </r>
  <r>
    <x v="11"/>
    <x v="0"/>
    <x v="11"/>
    <x v="11"/>
    <x v="0"/>
    <x v="2"/>
    <x v="0"/>
    <x v="0"/>
    <x v="0"/>
    <x v="0"/>
    <x v="0"/>
    <x v="0"/>
    <x v="0"/>
    <x v="4"/>
    <x v="4"/>
    <x v="16"/>
    <x v="16"/>
    <n v="97.733350000000002"/>
    <x v="0"/>
    <x v="0"/>
    <x v="3"/>
    <x v="5"/>
    <x v="9"/>
    <x v="16"/>
    <n v="106.5293515"/>
  </r>
  <r>
    <x v="11"/>
    <x v="0"/>
    <x v="11"/>
    <x v="11"/>
    <x v="0"/>
    <x v="2"/>
    <x v="0"/>
    <x v="0"/>
    <x v="0"/>
    <x v="0"/>
    <x v="0"/>
    <x v="0"/>
    <x v="0"/>
    <x v="4"/>
    <x v="4"/>
    <x v="25"/>
    <x v="25"/>
    <n v="15.637614678889699"/>
    <x v="0"/>
    <x v="0"/>
    <x v="1"/>
    <x v="4"/>
    <x v="5"/>
    <x v="9"/>
    <n v="17.044999999989773"/>
  </r>
  <r>
    <x v="11"/>
    <x v="0"/>
    <x v="11"/>
    <x v="11"/>
    <x v="0"/>
    <x v="2"/>
    <x v="0"/>
    <x v="0"/>
    <x v="0"/>
    <x v="0"/>
    <x v="0"/>
    <x v="0"/>
    <x v="0"/>
    <x v="4"/>
    <x v="4"/>
    <x v="2"/>
    <x v="2"/>
    <n v="7.77590825687607"/>
    <x v="0"/>
    <x v="1"/>
    <x v="2"/>
    <x v="2"/>
    <x v="13"/>
    <x v="2"/>
    <n v="8.4757399999949161"/>
  </r>
  <r>
    <x v="11"/>
    <x v="0"/>
    <x v="11"/>
    <x v="11"/>
    <x v="0"/>
    <x v="2"/>
    <x v="0"/>
    <x v="0"/>
    <x v="0"/>
    <x v="0"/>
    <x v="0"/>
    <x v="0"/>
    <x v="0"/>
    <x v="0"/>
    <x v="0"/>
    <x v="5"/>
    <x v="5"/>
    <n v="19.728957055364699"/>
    <x v="0"/>
    <x v="0"/>
    <x v="1"/>
    <x v="1"/>
    <x v="1"/>
    <x v="5"/>
    <n v="21.504563190347522"/>
  </r>
  <r>
    <x v="11"/>
    <x v="0"/>
    <x v="11"/>
    <x v="11"/>
    <x v="0"/>
    <x v="2"/>
    <x v="0"/>
    <x v="0"/>
    <x v="0"/>
    <x v="0"/>
    <x v="0"/>
    <x v="0"/>
    <x v="0"/>
    <x v="0"/>
    <x v="0"/>
    <x v="6"/>
    <x v="6"/>
    <n v="54.920400000000001"/>
    <x v="0"/>
    <x v="0"/>
    <x v="0"/>
    <x v="0"/>
    <x v="4"/>
    <x v="6"/>
    <n v="59.863236000000008"/>
  </r>
  <r>
    <x v="11"/>
    <x v="0"/>
    <x v="11"/>
    <x v="11"/>
    <x v="0"/>
    <x v="2"/>
    <x v="0"/>
    <x v="0"/>
    <x v="0"/>
    <x v="0"/>
    <x v="0"/>
    <x v="0"/>
    <x v="0"/>
    <x v="0"/>
    <x v="0"/>
    <x v="7"/>
    <x v="7"/>
    <n v="16.513761467879998"/>
    <x v="0"/>
    <x v="0"/>
    <x v="1"/>
    <x v="4"/>
    <x v="5"/>
    <x v="7"/>
    <n v="17.9999999999892"/>
  </r>
  <r>
    <x v="11"/>
    <x v="0"/>
    <x v="11"/>
    <x v="11"/>
    <x v="0"/>
    <x v="2"/>
    <x v="0"/>
    <x v="0"/>
    <x v="0"/>
    <x v="0"/>
    <x v="0"/>
    <x v="0"/>
    <x v="0"/>
    <x v="0"/>
    <x v="0"/>
    <x v="8"/>
    <x v="8"/>
    <n v="2426.1712702857999"/>
    <x v="0"/>
    <x v="1"/>
    <x v="2"/>
    <x v="2"/>
    <x v="6"/>
    <x v="8"/>
    <n v="2644.5266846115219"/>
  </r>
  <r>
    <x v="11"/>
    <x v="0"/>
    <x v="11"/>
    <x v="11"/>
    <x v="0"/>
    <x v="2"/>
    <x v="0"/>
    <x v="0"/>
    <x v="0"/>
    <x v="0"/>
    <x v="0"/>
    <x v="0"/>
    <x v="0"/>
    <x v="0"/>
    <x v="0"/>
    <x v="9"/>
    <x v="9"/>
    <n v="711.14239449498598"/>
    <x v="0"/>
    <x v="0"/>
    <x v="1"/>
    <x v="4"/>
    <x v="5"/>
    <x v="9"/>
    <n v="775.14520999953481"/>
  </r>
  <r>
    <x v="11"/>
    <x v="0"/>
    <x v="11"/>
    <x v="11"/>
    <x v="0"/>
    <x v="2"/>
    <x v="0"/>
    <x v="0"/>
    <x v="0"/>
    <x v="0"/>
    <x v="0"/>
    <x v="0"/>
    <x v="0"/>
    <x v="0"/>
    <x v="0"/>
    <x v="23"/>
    <x v="23"/>
    <n v="1.0769908256874301"/>
    <x v="0"/>
    <x v="0"/>
    <x v="1"/>
    <x v="3"/>
    <x v="3"/>
    <x v="15"/>
    <n v="1.1739199999992989"/>
  </r>
  <r>
    <x v="11"/>
    <x v="0"/>
    <x v="11"/>
    <x v="11"/>
    <x v="0"/>
    <x v="2"/>
    <x v="0"/>
    <x v="0"/>
    <x v="0"/>
    <x v="0"/>
    <x v="0"/>
    <x v="0"/>
    <x v="0"/>
    <x v="0"/>
    <x v="0"/>
    <x v="79"/>
    <x v="79"/>
    <n v="0.60825688073357997"/>
    <x v="0"/>
    <x v="0"/>
    <x v="1"/>
    <x v="4"/>
    <x v="5"/>
    <x v="10"/>
    <n v="0.66299999999960224"/>
  </r>
  <r>
    <x v="11"/>
    <x v="0"/>
    <x v="11"/>
    <x v="11"/>
    <x v="0"/>
    <x v="2"/>
    <x v="0"/>
    <x v="0"/>
    <x v="0"/>
    <x v="0"/>
    <x v="0"/>
    <x v="0"/>
    <x v="0"/>
    <x v="0"/>
    <x v="0"/>
    <x v="0"/>
    <x v="0"/>
    <n v="8.8967972000000005E-7"/>
    <x v="0"/>
    <x v="0"/>
    <x v="0"/>
    <x v="0"/>
    <x v="0"/>
    <x v="0"/>
    <n v="9.6975089480000014E-7"/>
  </r>
  <r>
    <x v="11"/>
    <x v="0"/>
    <x v="11"/>
    <x v="11"/>
    <x v="0"/>
    <x v="2"/>
    <x v="0"/>
    <x v="0"/>
    <x v="0"/>
    <x v="0"/>
    <x v="0"/>
    <x v="0"/>
    <x v="0"/>
    <x v="0"/>
    <x v="0"/>
    <x v="2"/>
    <x v="2"/>
    <n v="3816.1908990802799"/>
    <x v="0"/>
    <x v="1"/>
    <x v="2"/>
    <x v="2"/>
    <x v="13"/>
    <x v="2"/>
    <n v="4159.6480799975052"/>
  </r>
  <r>
    <x v="11"/>
    <x v="0"/>
    <x v="11"/>
    <x v="11"/>
    <x v="0"/>
    <x v="2"/>
    <x v="0"/>
    <x v="0"/>
    <x v="0"/>
    <x v="0"/>
    <x v="0"/>
    <x v="0"/>
    <x v="1"/>
    <x v="1"/>
    <x v="1"/>
    <x v="5"/>
    <x v="5"/>
    <n v="54.550527607776601"/>
    <x v="0"/>
    <x v="0"/>
    <x v="1"/>
    <x v="1"/>
    <x v="1"/>
    <x v="5"/>
    <n v="59.460075092476501"/>
  </r>
  <r>
    <x v="11"/>
    <x v="0"/>
    <x v="11"/>
    <x v="11"/>
    <x v="0"/>
    <x v="2"/>
    <x v="0"/>
    <x v="0"/>
    <x v="0"/>
    <x v="0"/>
    <x v="0"/>
    <x v="0"/>
    <x v="1"/>
    <x v="1"/>
    <x v="1"/>
    <x v="6"/>
    <x v="6"/>
    <n v="15.829800000000001"/>
    <x v="0"/>
    <x v="0"/>
    <x v="0"/>
    <x v="0"/>
    <x v="4"/>
    <x v="6"/>
    <n v="17.254482000000003"/>
  </r>
  <r>
    <x v="11"/>
    <x v="0"/>
    <x v="11"/>
    <x v="11"/>
    <x v="0"/>
    <x v="2"/>
    <x v="0"/>
    <x v="0"/>
    <x v="0"/>
    <x v="0"/>
    <x v="0"/>
    <x v="0"/>
    <x v="1"/>
    <x v="1"/>
    <x v="1"/>
    <x v="7"/>
    <x v="7"/>
    <n v="19.364256880722301"/>
    <x v="0"/>
    <x v="0"/>
    <x v="1"/>
    <x v="4"/>
    <x v="5"/>
    <x v="7"/>
    <n v="21.107039999987311"/>
  </r>
  <r>
    <x v="11"/>
    <x v="0"/>
    <x v="11"/>
    <x v="11"/>
    <x v="0"/>
    <x v="2"/>
    <x v="0"/>
    <x v="0"/>
    <x v="0"/>
    <x v="0"/>
    <x v="0"/>
    <x v="0"/>
    <x v="1"/>
    <x v="1"/>
    <x v="1"/>
    <x v="8"/>
    <x v="8"/>
    <n v="38.910810811059797"/>
    <x v="0"/>
    <x v="1"/>
    <x v="2"/>
    <x v="2"/>
    <x v="6"/>
    <x v="8"/>
    <n v="42.412783784055179"/>
  </r>
  <r>
    <x v="11"/>
    <x v="0"/>
    <x v="11"/>
    <x v="11"/>
    <x v="0"/>
    <x v="2"/>
    <x v="0"/>
    <x v="0"/>
    <x v="0"/>
    <x v="0"/>
    <x v="0"/>
    <x v="0"/>
    <x v="1"/>
    <x v="1"/>
    <x v="1"/>
    <x v="9"/>
    <x v="9"/>
    <n v="3211.0091743100002"/>
    <x v="0"/>
    <x v="0"/>
    <x v="1"/>
    <x v="4"/>
    <x v="5"/>
    <x v="9"/>
    <n v="3499.9999999979004"/>
  </r>
  <r>
    <x v="11"/>
    <x v="0"/>
    <x v="11"/>
    <x v="11"/>
    <x v="0"/>
    <x v="2"/>
    <x v="0"/>
    <x v="0"/>
    <x v="0"/>
    <x v="0"/>
    <x v="0"/>
    <x v="0"/>
    <x v="1"/>
    <x v="1"/>
    <x v="1"/>
    <x v="16"/>
    <x v="16"/>
    <n v="18.3"/>
    <x v="0"/>
    <x v="0"/>
    <x v="3"/>
    <x v="5"/>
    <x v="9"/>
    <x v="16"/>
    <n v="19.947000000000003"/>
  </r>
  <r>
    <x v="11"/>
    <x v="0"/>
    <x v="11"/>
    <x v="11"/>
    <x v="0"/>
    <x v="2"/>
    <x v="0"/>
    <x v="0"/>
    <x v="0"/>
    <x v="0"/>
    <x v="0"/>
    <x v="0"/>
    <x v="1"/>
    <x v="1"/>
    <x v="1"/>
    <x v="23"/>
    <x v="23"/>
    <n v="12.9992477064142"/>
    <x v="0"/>
    <x v="0"/>
    <x v="1"/>
    <x v="3"/>
    <x v="3"/>
    <x v="15"/>
    <n v="14.16917999999148"/>
  </r>
  <r>
    <x v="11"/>
    <x v="0"/>
    <x v="11"/>
    <x v="11"/>
    <x v="0"/>
    <x v="2"/>
    <x v="0"/>
    <x v="0"/>
    <x v="0"/>
    <x v="0"/>
    <x v="0"/>
    <x v="0"/>
    <x v="1"/>
    <x v="1"/>
    <x v="1"/>
    <x v="18"/>
    <x v="18"/>
    <n v="50.7498"/>
    <x v="0"/>
    <x v="0"/>
    <x v="0"/>
    <x v="0"/>
    <x v="4"/>
    <x v="18"/>
    <n v="55.317282000000006"/>
  </r>
  <r>
    <x v="11"/>
    <x v="0"/>
    <x v="11"/>
    <x v="11"/>
    <x v="0"/>
    <x v="2"/>
    <x v="0"/>
    <x v="0"/>
    <x v="0"/>
    <x v="0"/>
    <x v="0"/>
    <x v="0"/>
    <x v="1"/>
    <x v="1"/>
    <x v="1"/>
    <x v="79"/>
    <x v="79"/>
    <n v="73.117431192616706"/>
    <x v="0"/>
    <x v="0"/>
    <x v="1"/>
    <x v="4"/>
    <x v="5"/>
    <x v="10"/>
    <n v="79.697999999952216"/>
  </r>
  <r>
    <x v="11"/>
    <x v="0"/>
    <x v="11"/>
    <x v="11"/>
    <x v="0"/>
    <x v="2"/>
    <x v="0"/>
    <x v="0"/>
    <x v="0"/>
    <x v="0"/>
    <x v="0"/>
    <x v="0"/>
    <x v="1"/>
    <x v="1"/>
    <x v="1"/>
    <x v="27"/>
    <x v="27"/>
    <n v="39.982254505352103"/>
    <x v="0"/>
    <x v="0"/>
    <x v="1"/>
    <x v="3"/>
    <x v="3"/>
    <x v="19"/>
    <n v="43.580657410833794"/>
  </r>
  <r>
    <x v="11"/>
    <x v="0"/>
    <x v="11"/>
    <x v="11"/>
    <x v="0"/>
    <x v="2"/>
    <x v="0"/>
    <x v="0"/>
    <x v="0"/>
    <x v="0"/>
    <x v="0"/>
    <x v="0"/>
    <x v="1"/>
    <x v="1"/>
    <x v="1"/>
    <x v="0"/>
    <x v="0"/>
    <n v="8.8967972000000005E-7"/>
    <x v="0"/>
    <x v="0"/>
    <x v="0"/>
    <x v="0"/>
    <x v="0"/>
    <x v="0"/>
    <n v="9.6975089480000014E-7"/>
  </r>
  <r>
    <x v="11"/>
    <x v="0"/>
    <x v="11"/>
    <x v="11"/>
    <x v="0"/>
    <x v="2"/>
    <x v="0"/>
    <x v="0"/>
    <x v="0"/>
    <x v="0"/>
    <x v="0"/>
    <x v="0"/>
    <x v="1"/>
    <x v="1"/>
    <x v="1"/>
    <x v="2"/>
    <x v="2"/>
    <n v="140.618577981567"/>
    <x v="0"/>
    <x v="1"/>
    <x v="2"/>
    <x v="2"/>
    <x v="13"/>
    <x v="2"/>
    <n v="153.27424999990805"/>
  </r>
  <r>
    <x v="11"/>
    <x v="0"/>
    <x v="11"/>
    <x v="11"/>
    <x v="0"/>
    <x v="2"/>
    <x v="0"/>
    <x v="0"/>
    <x v="0"/>
    <x v="0"/>
    <x v="0"/>
    <x v="0"/>
    <x v="2"/>
    <x v="2"/>
    <x v="2"/>
    <x v="4"/>
    <x v="4"/>
    <n v="25.539999999984701"/>
    <x v="0"/>
    <x v="0"/>
    <x v="1"/>
    <x v="3"/>
    <x v="3"/>
    <x v="4"/>
    <n v="27.838599999983327"/>
  </r>
  <r>
    <x v="11"/>
    <x v="0"/>
    <x v="11"/>
    <x v="11"/>
    <x v="0"/>
    <x v="2"/>
    <x v="0"/>
    <x v="0"/>
    <x v="0"/>
    <x v="0"/>
    <x v="0"/>
    <x v="0"/>
    <x v="2"/>
    <x v="2"/>
    <x v="2"/>
    <x v="5"/>
    <x v="5"/>
    <n v="105.93841104374999"/>
    <x v="0"/>
    <x v="0"/>
    <x v="1"/>
    <x v="1"/>
    <x v="1"/>
    <x v="5"/>
    <n v="115.4728680376875"/>
  </r>
  <r>
    <x v="11"/>
    <x v="0"/>
    <x v="11"/>
    <x v="11"/>
    <x v="0"/>
    <x v="2"/>
    <x v="0"/>
    <x v="0"/>
    <x v="0"/>
    <x v="0"/>
    <x v="0"/>
    <x v="0"/>
    <x v="2"/>
    <x v="2"/>
    <x v="2"/>
    <x v="6"/>
    <x v="6"/>
    <n v="3.0375000000000001"/>
    <x v="0"/>
    <x v="0"/>
    <x v="0"/>
    <x v="0"/>
    <x v="4"/>
    <x v="6"/>
    <n v="3.3108750000000002"/>
  </r>
  <r>
    <x v="11"/>
    <x v="0"/>
    <x v="11"/>
    <x v="11"/>
    <x v="0"/>
    <x v="2"/>
    <x v="0"/>
    <x v="0"/>
    <x v="0"/>
    <x v="0"/>
    <x v="0"/>
    <x v="0"/>
    <x v="2"/>
    <x v="2"/>
    <x v="2"/>
    <x v="7"/>
    <x v="7"/>
    <n v="3.4862385321080001"/>
    <x v="0"/>
    <x v="0"/>
    <x v="1"/>
    <x v="4"/>
    <x v="5"/>
    <x v="7"/>
    <n v="3.7999999999977203"/>
  </r>
  <r>
    <x v="11"/>
    <x v="0"/>
    <x v="11"/>
    <x v="11"/>
    <x v="0"/>
    <x v="2"/>
    <x v="0"/>
    <x v="0"/>
    <x v="0"/>
    <x v="0"/>
    <x v="0"/>
    <x v="0"/>
    <x v="2"/>
    <x v="2"/>
    <x v="2"/>
    <x v="8"/>
    <x v="8"/>
    <n v="24.152837837992401"/>
    <x v="0"/>
    <x v="1"/>
    <x v="2"/>
    <x v="2"/>
    <x v="6"/>
    <x v="8"/>
    <n v="26.326593243411718"/>
  </r>
  <r>
    <x v="11"/>
    <x v="0"/>
    <x v="11"/>
    <x v="11"/>
    <x v="0"/>
    <x v="2"/>
    <x v="0"/>
    <x v="0"/>
    <x v="0"/>
    <x v="0"/>
    <x v="0"/>
    <x v="0"/>
    <x v="2"/>
    <x v="2"/>
    <x v="2"/>
    <x v="9"/>
    <x v="9"/>
    <n v="86.618489717862602"/>
    <x v="0"/>
    <x v="0"/>
    <x v="1"/>
    <x v="4"/>
    <x v="5"/>
    <x v="9"/>
    <n v="94.414153792470245"/>
  </r>
  <r>
    <x v="11"/>
    <x v="0"/>
    <x v="11"/>
    <x v="11"/>
    <x v="0"/>
    <x v="2"/>
    <x v="0"/>
    <x v="0"/>
    <x v="0"/>
    <x v="0"/>
    <x v="0"/>
    <x v="0"/>
    <x v="2"/>
    <x v="2"/>
    <x v="2"/>
    <x v="10"/>
    <x v="10"/>
    <n v="14.077980500240701"/>
    <x v="0"/>
    <x v="0"/>
    <x v="1"/>
    <x v="4"/>
    <x v="5"/>
    <x v="10"/>
    <n v="15.344998745262364"/>
  </r>
  <r>
    <x v="11"/>
    <x v="0"/>
    <x v="11"/>
    <x v="11"/>
    <x v="0"/>
    <x v="2"/>
    <x v="0"/>
    <x v="0"/>
    <x v="0"/>
    <x v="0"/>
    <x v="0"/>
    <x v="0"/>
    <x v="2"/>
    <x v="2"/>
    <x v="2"/>
    <x v="28"/>
    <x v="28"/>
    <n v="4.8"/>
    <x v="0"/>
    <x v="0"/>
    <x v="1"/>
    <x v="3"/>
    <x v="3"/>
    <x v="13"/>
    <n v="5.2320000000000002"/>
  </r>
  <r>
    <x v="11"/>
    <x v="0"/>
    <x v="11"/>
    <x v="11"/>
    <x v="0"/>
    <x v="2"/>
    <x v="0"/>
    <x v="0"/>
    <x v="0"/>
    <x v="0"/>
    <x v="0"/>
    <x v="0"/>
    <x v="2"/>
    <x v="2"/>
    <x v="2"/>
    <x v="30"/>
    <x v="30"/>
    <n v="10.1431451612498"/>
    <x v="0"/>
    <x v="0"/>
    <x v="0"/>
    <x v="0"/>
    <x v="0"/>
    <x v="0"/>
    <n v="11.056028225762283"/>
  </r>
  <r>
    <x v="11"/>
    <x v="0"/>
    <x v="11"/>
    <x v="11"/>
    <x v="0"/>
    <x v="2"/>
    <x v="0"/>
    <x v="0"/>
    <x v="0"/>
    <x v="0"/>
    <x v="0"/>
    <x v="0"/>
    <x v="2"/>
    <x v="2"/>
    <x v="2"/>
    <x v="11"/>
    <x v="11"/>
    <n v="4.1937199999999999"/>
    <x v="0"/>
    <x v="0"/>
    <x v="3"/>
    <x v="5"/>
    <x v="7"/>
    <x v="11"/>
    <n v="4.5711548000000004"/>
  </r>
  <r>
    <x v="11"/>
    <x v="0"/>
    <x v="11"/>
    <x v="11"/>
    <x v="0"/>
    <x v="2"/>
    <x v="0"/>
    <x v="0"/>
    <x v="0"/>
    <x v="0"/>
    <x v="0"/>
    <x v="0"/>
    <x v="2"/>
    <x v="2"/>
    <x v="2"/>
    <x v="12"/>
    <x v="12"/>
    <n v="2.6405930232457799"/>
    <x v="0"/>
    <x v="0"/>
    <x v="0"/>
    <x v="0"/>
    <x v="8"/>
    <x v="12"/>
    <n v="2.8782463953379005"/>
  </r>
  <r>
    <x v="11"/>
    <x v="0"/>
    <x v="11"/>
    <x v="11"/>
    <x v="0"/>
    <x v="2"/>
    <x v="0"/>
    <x v="0"/>
    <x v="0"/>
    <x v="0"/>
    <x v="0"/>
    <x v="0"/>
    <x v="2"/>
    <x v="2"/>
    <x v="2"/>
    <x v="14"/>
    <x v="14"/>
    <n v="69.443740000000005"/>
    <x v="0"/>
    <x v="0"/>
    <x v="0"/>
    <x v="0"/>
    <x v="8"/>
    <x v="14"/>
    <n v="75.693676600000018"/>
  </r>
  <r>
    <x v="11"/>
    <x v="0"/>
    <x v="11"/>
    <x v="11"/>
    <x v="0"/>
    <x v="2"/>
    <x v="0"/>
    <x v="0"/>
    <x v="0"/>
    <x v="0"/>
    <x v="0"/>
    <x v="0"/>
    <x v="2"/>
    <x v="2"/>
    <x v="2"/>
    <x v="22"/>
    <x v="22"/>
    <n v="1.57266935483242"/>
    <x v="0"/>
    <x v="0"/>
    <x v="0"/>
    <x v="0"/>
    <x v="0"/>
    <x v="0"/>
    <n v="1.7142095967673379"/>
  </r>
  <r>
    <x v="11"/>
    <x v="0"/>
    <x v="11"/>
    <x v="11"/>
    <x v="0"/>
    <x v="2"/>
    <x v="0"/>
    <x v="0"/>
    <x v="0"/>
    <x v="0"/>
    <x v="0"/>
    <x v="0"/>
    <x v="2"/>
    <x v="2"/>
    <x v="2"/>
    <x v="16"/>
    <x v="16"/>
    <n v="71.300730000000001"/>
    <x v="0"/>
    <x v="0"/>
    <x v="3"/>
    <x v="5"/>
    <x v="9"/>
    <x v="16"/>
    <n v="77.717795700000011"/>
  </r>
  <r>
    <x v="11"/>
    <x v="0"/>
    <x v="11"/>
    <x v="11"/>
    <x v="0"/>
    <x v="2"/>
    <x v="0"/>
    <x v="0"/>
    <x v="0"/>
    <x v="0"/>
    <x v="0"/>
    <x v="0"/>
    <x v="2"/>
    <x v="2"/>
    <x v="2"/>
    <x v="17"/>
    <x v="17"/>
    <n v="11.19542"/>
    <x v="0"/>
    <x v="0"/>
    <x v="0"/>
    <x v="0"/>
    <x v="4"/>
    <x v="17"/>
    <n v="12.203007800000002"/>
  </r>
  <r>
    <x v="11"/>
    <x v="0"/>
    <x v="11"/>
    <x v="11"/>
    <x v="0"/>
    <x v="2"/>
    <x v="0"/>
    <x v="0"/>
    <x v="0"/>
    <x v="0"/>
    <x v="0"/>
    <x v="0"/>
    <x v="2"/>
    <x v="2"/>
    <x v="2"/>
    <x v="21"/>
    <x v="21"/>
    <n v="3.0511651376128501"/>
    <x v="0"/>
    <x v="0"/>
    <x v="1"/>
    <x v="4"/>
    <x v="5"/>
    <x v="10"/>
    <n v="3.3257699999980068"/>
  </r>
  <r>
    <x v="11"/>
    <x v="0"/>
    <x v="11"/>
    <x v="11"/>
    <x v="0"/>
    <x v="2"/>
    <x v="0"/>
    <x v="0"/>
    <x v="0"/>
    <x v="0"/>
    <x v="0"/>
    <x v="0"/>
    <x v="2"/>
    <x v="2"/>
    <x v="2"/>
    <x v="18"/>
    <x v="18"/>
    <n v="4.9050000000000002"/>
    <x v="0"/>
    <x v="0"/>
    <x v="0"/>
    <x v="0"/>
    <x v="4"/>
    <x v="18"/>
    <n v="5.3464500000000008"/>
  </r>
  <r>
    <x v="11"/>
    <x v="0"/>
    <x v="11"/>
    <x v="11"/>
    <x v="0"/>
    <x v="2"/>
    <x v="0"/>
    <x v="0"/>
    <x v="0"/>
    <x v="0"/>
    <x v="0"/>
    <x v="0"/>
    <x v="2"/>
    <x v="2"/>
    <x v="2"/>
    <x v="27"/>
    <x v="27"/>
    <n v="47.860360361375001"/>
    <x v="0"/>
    <x v="0"/>
    <x v="1"/>
    <x v="3"/>
    <x v="3"/>
    <x v="19"/>
    <n v="52.167792793898755"/>
  </r>
  <r>
    <x v="11"/>
    <x v="0"/>
    <x v="11"/>
    <x v="11"/>
    <x v="0"/>
    <x v="2"/>
    <x v="0"/>
    <x v="0"/>
    <x v="0"/>
    <x v="0"/>
    <x v="0"/>
    <x v="0"/>
    <x v="2"/>
    <x v="2"/>
    <x v="2"/>
    <x v="0"/>
    <x v="0"/>
    <n v="4.93417882560896"/>
    <x v="0"/>
    <x v="0"/>
    <x v="0"/>
    <x v="0"/>
    <x v="0"/>
    <x v="0"/>
    <n v="5.3782549199137666"/>
  </r>
  <r>
    <x v="11"/>
    <x v="0"/>
    <x v="11"/>
    <x v="11"/>
    <x v="0"/>
    <x v="2"/>
    <x v="0"/>
    <x v="0"/>
    <x v="0"/>
    <x v="0"/>
    <x v="0"/>
    <x v="0"/>
    <x v="2"/>
    <x v="2"/>
    <x v="2"/>
    <x v="1"/>
    <x v="1"/>
    <n v="87.717517240896896"/>
    <x v="0"/>
    <x v="0"/>
    <x v="1"/>
    <x v="1"/>
    <x v="1"/>
    <x v="1"/>
    <n v="95.612093792577625"/>
  </r>
  <r>
    <x v="11"/>
    <x v="0"/>
    <x v="11"/>
    <x v="11"/>
    <x v="0"/>
    <x v="2"/>
    <x v="0"/>
    <x v="0"/>
    <x v="0"/>
    <x v="0"/>
    <x v="0"/>
    <x v="0"/>
    <x v="2"/>
    <x v="2"/>
    <x v="2"/>
    <x v="2"/>
    <x v="2"/>
    <n v="221.15293577968399"/>
    <x v="0"/>
    <x v="1"/>
    <x v="2"/>
    <x v="2"/>
    <x v="13"/>
    <x v="2"/>
    <n v="241.05669999985557"/>
  </r>
  <r>
    <x v="11"/>
    <x v="0"/>
    <x v="11"/>
    <x v="11"/>
    <x v="0"/>
    <x v="2"/>
    <x v="0"/>
    <x v="0"/>
    <x v="0"/>
    <x v="0"/>
    <x v="0"/>
    <x v="0"/>
    <x v="2"/>
    <x v="2"/>
    <x v="2"/>
    <x v="3"/>
    <x v="3"/>
    <n v="5.7871412116638403"/>
    <x v="0"/>
    <x v="0"/>
    <x v="1"/>
    <x v="3"/>
    <x v="3"/>
    <x v="3"/>
    <n v="6.3079839207135864"/>
  </r>
  <r>
    <x v="11"/>
    <x v="0"/>
    <x v="11"/>
    <x v="11"/>
    <x v="0"/>
    <x v="2"/>
    <x v="0"/>
    <x v="0"/>
    <x v="0"/>
    <x v="0"/>
    <x v="0"/>
    <x v="0"/>
    <x v="1"/>
    <x v="6"/>
    <x v="6"/>
    <x v="9"/>
    <x v="9"/>
    <n v="44.109211498614997"/>
    <x v="0"/>
    <x v="0"/>
    <x v="1"/>
    <x v="4"/>
    <x v="5"/>
    <x v="9"/>
    <n v="48.07904053349035"/>
  </r>
  <r>
    <x v="11"/>
    <x v="0"/>
    <x v="11"/>
    <x v="11"/>
    <x v="0"/>
    <x v="2"/>
    <x v="0"/>
    <x v="0"/>
    <x v="0"/>
    <x v="0"/>
    <x v="0"/>
    <x v="0"/>
    <x v="1"/>
    <x v="6"/>
    <x v="6"/>
    <x v="16"/>
    <x v="16"/>
    <n v="1E-3"/>
    <x v="0"/>
    <x v="0"/>
    <x v="3"/>
    <x v="5"/>
    <x v="9"/>
    <x v="16"/>
    <n v="1.09E-3"/>
  </r>
  <r>
    <x v="11"/>
    <x v="0"/>
    <x v="11"/>
    <x v="11"/>
    <x v="0"/>
    <x v="2"/>
    <x v="0"/>
    <x v="0"/>
    <x v="0"/>
    <x v="0"/>
    <x v="0"/>
    <x v="0"/>
    <x v="1"/>
    <x v="6"/>
    <x v="6"/>
    <x v="25"/>
    <x v="25"/>
    <n v="3.8577339449518102"/>
    <x v="0"/>
    <x v="0"/>
    <x v="1"/>
    <x v="4"/>
    <x v="5"/>
    <x v="9"/>
    <n v="4.2049299999974732"/>
  </r>
  <r>
    <x v="11"/>
    <x v="0"/>
    <x v="11"/>
    <x v="11"/>
    <x v="0"/>
    <x v="2"/>
    <x v="0"/>
    <x v="0"/>
    <x v="0"/>
    <x v="0"/>
    <x v="0"/>
    <x v="0"/>
    <x v="1"/>
    <x v="6"/>
    <x v="6"/>
    <x v="27"/>
    <x v="27"/>
    <n v="10.139324324539301"/>
    <x v="0"/>
    <x v="0"/>
    <x v="1"/>
    <x v="3"/>
    <x v="3"/>
    <x v="19"/>
    <n v="11.051863513747838"/>
  </r>
  <r>
    <x v="11"/>
    <x v="0"/>
    <x v="11"/>
    <x v="11"/>
    <x v="0"/>
    <x v="2"/>
    <x v="0"/>
    <x v="0"/>
    <x v="0"/>
    <x v="0"/>
    <x v="0"/>
    <x v="0"/>
    <x v="1"/>
    <x v="6"/>
    <x v="6"/>
    <x v="26"/>
    <x v="26"/>
    <n v="13.320045871551599"/>
    <x v="0"/>
    <x v="0"/>
    <x v="1"/>
    <x v="3"/>
    <x v="3"/>
    <x v="15"/>
    <n v="14.518849999991245"/>
  </r>
  <r>
    <x v="11"/>
    <x v="0"/>
    <x v="11"/>
    <x v="11"/>
    <x v="0"/>
    <x v="2"/>
    <x v="0"/>
    <x v="0"/>
    <x v="0"/>
    <x v="0"/>
    <x v="0"/>
    <x v="0"/>
    <x v="3"/>
    <x v="7"/>
    <x v="7"/>
    <x v="9"/>
    <x v="9"/>
    <n v="18.293504953067099"/>
    <x v="0"/>
    <x v="0"/>
    <x v="1"/>
    <x v="4"/>
    <x v="5"/>
    <x v="9"/>
    <n v="19.939920398843139"/>
  </r>
  <r>
    <x v="11"/>
    <x v="0"/>
    <x v="11"/>
    <x v="11"/>
    <x v="0"/>
    <x v="2"/>
    <x v="0"/>
    <x v="0"/>
    <x v="0"/>
    <x v="0"/>
    <x v="0"/>
    <x v="0"/>
    <x v="3"/>
    <x v="7"/>
    <x v="7"/>
    <x v="10"/>
    <x v="10"/>
    <n v="0.31012364765568001"/>
    <x v="0"/>
    <x v="0"/>
    <x v="1"/>
    <x v="4"/>
    <x v="5"/>
    <x v="10"/>
    <n v="0.33803477594469122"/>
  </r>
  <r>
    <x v="11"/>
    <x v="0"/>
    <x v="11"/>
    <x v="11"/>
    <x v="0"/>
    <x v="2"/>
    <x v="0"/>
    <x v="0"/>
    <x v="0"/>
    <x v="0"/>
    <x v="0"/>
    <x v="0"/>
    <x v="3"/>
    <x v="7"/>
    <x v="7"/>
    <x v="34"/>
    <x v="34"/>
    <n v="0.10685502183223999"/>
    <x v="0"/>
    <x v="0"/>
    <x v="0"/>
    <x v="0"/>
    <x v="0"/>
    <x v="0"/>
    <n v="0.1164719737971416"/>
  </r>
  <r>
    <x v="11"/>
    <x v="0"/>
    <x v="11"/>
    <x v="11"/>
    <x v="0"/>
    <x v="2"/>
    <x v="0"/>
    <x v="0"/>
    <x v="0"/>
    <x v="0"/>
    <x v="0"/>
    <x v="0"/>
    <x v="1"/>
    <x v="8"/>
    <x v="8"/>
    <x v="9"/>
    <x v="9"/>
    <n v="243.45352392432301"/>
    <x v="0"/>
    <x v="0"/>
    <x v="1"/>
    <x v="4"/>
    <x v="5"/>
    <x v="9"/>
    <n v="265.36434107751211"/>
  </r>
  <r>
    <x v="11"/>
    <x v="0"/>
    <x v="11"/>
    <x v="11"/>
    <x v="0"/>
    <x v="2"/>
    <x v="0"/>
    <x v="0"/>
    <x v="0"/>
    <x v="0"/>
    <x v="0"/>
    <x v="0"/>
    <x v="1"/>
    <x v="8"/>
    <x v="8"/>
    <x v="10"/>
    <x v="10"/>
    <n v="0.19893659827712001"/>
    <x v="0"/>
    <x v="0"/>
    <x v="1"/>
    <x v="4"/>
    <x v="5"/>
    <x v="10"/>
    <n v="0.21684089212206084"/>
  </r>
  <r>
    <x v="11"/>
    <x v="0"/>
    <x v="11"/>
    <x v="11"/>
    <x v="0"/>
    <x v="2"/>
    <x v="0"/>
    <x v="0"/>
    <x v="0"/>
    <x v="0"/>
    <x v="0"/>
    <x v="0"/>
    <x v="1"/>
    <x v="8"/>
    <x v="8"/>
    <x v="34"/>
    <x v="34"/>
    <n v="1.499999999975E-2"/>
    <x v="0"/>
    <x v="0"/>
    <x v="0"/>
    <x v="0"/>
    <x v="0"/>
    <x v="0"/>
    <n v="1.6349999999727503E-2"/>
  </r>
  <r>
    <x v="11"/>
    <x v="0"/>
    <x v="11"/>
    <x v="11"/>
    <x v="0"/>
    <x v="2"/>
    <x v="0"/>
    <x v="0"/>
    <x v="0"/>
    <x v="0"/>
    <x v="0"/>
    <x v="0"/>
    <x v="1"/>
    <x v="8"/>
    <x v="8"/>
    <x v="0"/>
    <x v="0"/>
    <n v="2.6690391500000001E-6"/>
    <x v="0"/>
    <x v="0"/>
    <x v="0"/>
    <x v="0"/>
    <x v="0"/>
    <x v="0"/>
    <n v="2.9092526735000002E-6"/>
  </r>
  <r>
    <x v="11"/>
    <x v="0"/>
    <x v="11"/>
    <x v="11"/>
    <x v="0"/>
    <x v="2"/>
    <x v="0"/>
    <x v="0"/>
    <x v="0"/>
    <x v="0"/>
    <x v="0"/>
    <x v="0"/>
    <x v="0"/>
    <x v="9"/>
    <x v="9"/>
    <x v="7"/>
    <x v="7"/>
    <n v="1.0997706422011799"/>
    <x v="0"/>
    <x v="0"/>
    <x v="1"/>
    <x v="4"/>
    <x v="5"/>
    <x v="7"/>
    <n v="1.1987499999992861"/>
  </r>
  <r>
    <x v="11"/>
    <x v="0"/>
    <x v="11"/>
    <x v="11"/>
    <x v="0"/>
    <x v="2"/>
    <x v="0"/>
    <x v="0"/>
    <x v="0"/>
    <x v="0"/>
    <x v="0"/>
    <x v="0"/>
    <x v="0"/>
    <x v="9"/>
    <x v="9"/>
    <x v="9"/>
    <x v="9"/>
    <n v="2994.91030168824"/>
    <x v="0"/>
    <x v="0"/>
    <x v="1"/>
    <x v="4"/>
    <x v="5"/>
    <x v="9"/>
    <n v="3264.4522288401818"/>
  </r>
  <r>
    <x v="11"/>
    <x v="0"/>
    <x v="11"/>
    <x v="11"/>
    <x v="0"/>
    <x v="2"/>
    <x v="0"/>
    <x v="0"/>
    <x v="0"/>
    <x v="0"/>
    <x v="0"/>
    <x v="0"/>
    <x v="0"/>
    <x v="9"/>
    <x v="9"/>
    <x v="10"/>
    <x v="10"/>
    <n v="0.12385281050752001"/>
    <x v="0"/>
    <x v="0"/>
    <x v="1"/>
    <x v="4"/>
    <x v="5"/>
    <x v="10"/>
    <n v="0.1349995634531968"/>
  </r>
  <r>
    <x v="11"/>
    <x v="0"/>
    <x v="11"/>
    <x v="11"/>
    <x v="0"/>
    <x v="2"/>
    <x v="0"/>
    <x v="0"/>
    <x v="0"/>
    <x v="0"/>
    <x v="0"/>
    <x v="0"/>
    <x v="0"/>
    <x v="9"/>
    <x v="9"/>
    <x v="21"/>
    <x v="21"/>
    <n v="1.32110091743E-3"/>
    <x v="0"/>
    <x v="0"/>
    <x v="1"/>
    <x v="4"/>
    <x v="5"/>
    <x v="10"/>
    <n v="1.4399999999987001E-3"/>
  </r>
  <r>
    <x v="11"/>
    <x v="0"/>
    <x v="11"/>
    <x v="11"/>
    <x v="0"/>
    <x v="2"/>
    <x v="0"/>
    <x v="0"/>
    <x v="0"/>
    <x v="0"/>
    <x v="0"/>
    <x v="0"/>
    <x v="0"/>
    <x v="9"/>
    <x v="9"/>
    <x v="34"/>
    <x v="34"/>
    <n v="6.0658515282810001E-2"/>
    <x v="0"/>
    <x v="0"/>
    <x v="0"/>
    <x v="0"/>
    <x v="0"/>
    <x v="0"/>
    <n v="6.6117781658262903E-2"/>
  </r>
  <r>
    <x v="11"/>
    <x v="0"/>
    <x v="11"/>
    <x v="11"/>
    <x v="0"/>
    <x v="2"/>
    <x v="0"/>
    <x v="0"/>
    <x v="0"/>
    <x v="0"/>
    <x v="0"/>
    <x v="0"/>
    <x v="2"/>
    <x v="10"/>
    <x v="10"/>
    <x v="7"/>
    <x v="7"/>
    <n v="0.27183486238516003"/>
    <x v="0"/>
    <x v="0"/>
    <x v="1"/>
    <x v="4"/>
    <x v="5"/>
    <x v="7"/>
    <n v="0.29629999999982443"/>
  </r>
  <r>
    <x v="11"/>
    <x v="0"/>
    <x v="11"/>
    <x v="11"/>
    <x v="0"/>
    <x v="2"/>
    <x v="0"/>
    <x v="0"/>
    <x v="0"/>
    <x v="0"/>
    <x v="0"/>
    <x v="0"/>
    <x v="2"/>
    <x v="10"/>
    <x v="10"/>
    <x v="9"/>
    <x v="9"/>
    <n v="330.24771381970902"/>
    <x v="0"/>
    <x v="0"/>
    <x v="1"/>
    <x v="4"/>
    <x v="5"/>
    <x v="9"/>
    <n v="359.97000806348285"/>
  </r>
  <r>
    <x v="11"/>
    <x v="0"/>
    <x v="11"/>
    <x v="11"/>
    <x v="0"/>
    <x v="2"/>
    <x v="0"/>
    <x v="0"/>
    <x v="0"/>
    <x v="0"/>
    <x v="0"/>
    <x v="0"/>
    <x v="2"/>
    <x v="10"/>
    <x v="10"/>
    <x v="10"/>
    <x v="10"/>
    <n v="1.2121555954771199"/>
    <x v="0"/>
    <x v="0"/>
    <x v="1"/>
    <x v="4"/>
    <x v="5"/>
    <x v="10"/>
    <n v="1.3212495990700608"/>
  </r>
  <r>
    <x v="11"/>
    <x v="0"/>
    <x v="11"/>
    <x v="11"/>
    <x v="0"/>
    <x v="2"/>
    <x v="0"/>
    <x v="0"/>
    <x v="0"/>
    <x v="0"/>
    <x v="0"/>
    <x v="0"/>
    <x v="2"/>
    <x v="10"/>
    <x v="10"/>
    <x v="21"/>
    <x v="21"/>
    <n v="2.2018348623999999E-4"/>
    <x v="0"/>
    <x v="0"/>
    <x v="1"/>
    <x v="4"/>
    <x v="5"/>
    <x v="10"/>
    <n v="2.4000000000160002E-4"/>
  </r>
  <r>
    <x v="11"/>
    <x v="0"/>
    <x v="11"/>
    <x v="11"/>
    <x v="0"/>
    <x v="2"/>
    <x v="0"/>
    <x v="0"/>
    <x v="0"/>
    <x v="0"/>
    <x v="0"/>
    <x v="0"/>
    <x v="2"/>
    <x v="10"/>
    <x v="10"/>
    <x v="34"/>
    <x v="34"/>
    <n v="3.5988479832679898"/>
    <x v="0"/>
    <x v="0"/>
    <x v="0"/>
    <x v="0"/>
    <x v="0"/>
    <x v="0"/>
    <n v="3.9227443017621093"/>
  </r>
  <r>
    <x v="11"/>
    <x v="0"/>
    <x v="11"/>
    <x v="11"/>
    <x v="0"/>
    <x v="2"/>
    <x v="0"/>
    <x v="0"/>
    <x v="0"/>
    <x v="0"/>
    <x v="0"/>
    <x v="0"/>
    <x v="2"/>
    <x v="10"/>
    <x v="10"/>
    <x v="79"/>
    <x v="79"/>
    <n v="3.4357798165117002"/>
    <x v="0"/>
    <x v="0"/>
    <x v="1"/>
    <x v="4"/>
    <x v="5"/>
    <x v="10"/>
    <n v="3.7449999999977535"/>
  </r>
  <r>
    <x v="11"/>
    <x v="0"/>
    <x v="11"/>
    <x v="11"/>
    <x v="0"/>
    <x v="2"/>
    <x v="0"/>
    <x v="0"/>
    <x v="0"/>
    <x v="0"/>
    <x v="0"/>
    <x v="0"/>
    <x v="2"/>
    <x v="10"/>
    <x v="10"/>
    <x v="0"/>
    <x v="0"/>
    <n v="2.402135231E-5"/>
    <x v="0"/>
    <x v="0"/>
    <x v="0"/>
    <x v="0"/>
    <x v="0"/>
    <x v="0"/>
    <n v="2.6183274017900001E-5"/>
  </r>
  <r>
    <x v="11"/>
    <x v="0"/>
    <x v="11"/>
    <x v="11"/>
    <x v="0"/>
    <x v="2"/>
    <x v="0"/>
    <x v="0"/>
    <x v="0"/>
    <x v="0"/>
    <x v="0"/>
    <x v="0"/>
    <x v="2"/>
    <x v="10"/>
    <x v="10"/>
    <x v="2"/>
    <x v="2"/>
    <n v="376.14759633005002"/>
    <x v="0"/>
    <x v="1"/>
    <x v="2"/>
    <x v="2"/>
    <x v="13"/>
    <x v="2"/>
    <n v="410.00087999975455"/>
  </r>
  <r>
    <x v="11"/>
    <x v="0"/>
    <x v="11"/>
    <x v="11"/>
    <x v="0"/>
    <x v="2"/>
    <x v="0"/>
    <x v="0"/>
    <x v="0"/>
    <x v="0"/>
    <x v="0"/>
    <x v="0"/>
    <x v="4"/>
    <x v="5"/>
    <x v="5"/>
    <x v="5"/>
    <x v="5"/>
    <n v="140.585300614565"/>
    <x v="0"/>
    <x v="0"/>
    <x v="1"/>
    <x v="1"/>
    <x v="1"/>
    <x v="5"/>
    <n v="153.23797766987587"/>
  </r>
  <r>
    <x v="11"/>
    <x v="0"/>
    <x v="11"/>
    <x v="11"/>
    <x v="0"/>
    <x v="2"/>
    <x v="0"/>
    <x v="0"/>
    <x v="0"/>
    <x v="0"/>
    <x v="0"/>
    <x v="0"/>
    <x v="4"/>
    <x v="5"/>
    <x v="5"/>
    <x v="6"/>
    <x v="6"/>
    <n v="105.23304"/>
    <x v="0"/>
    <x v="0"/>
    <x v="0"/>
    <x v="0"/>
    <x v="4"/>
    <x v="6"/>
    <n v="114.70401360000001"/>
  </r>
  <r>
    <x v="11"/>
    <x v="0"/>
    <x v="11"/>
    <x v="11"/>
    <x v="0"/>
    <x v="2"/>
    <x v="0"/>
    <x v="0"/>
    <x v="0"/>
    <x v="0"/>
    <x v="0"/>
    <x v="0"/>
    <x v="4"/>
    <x v="5"/>
    <x v="5"/>
    <x v="8"/>
    <x v="8"/>
    <n v="5.4867567567918698"/>
    <x v="0"/>
    <x v="1"/>
    <x v="2"/>
    <x v="2"/>
    <x v="6"/>
    <x v="8"/>
    <n v="5.9805648649031387"/>
  </r>
  <r>
    <x v="11"/>
    <x v="0"/>
    <x v="11"/>
    <x v="11"/>
    <x v="0"/>
    <x v="2"/>
    <x v="0"/>
    <x v="0"/>
    <x v="0"/>
    <x v="0"/>
    <x v="0"/>
    <x v="0"/>
    <x v="4"/>
    <x v="5"/>
    <x v="5"/>
    <x v="9"/>
    <x v="9"/>
    <n v="284.37949886432898"/>
    <x v="0"/>
    <x v="0"/>
    <x v="1"/>
    <x v="4"/>
    <x v="5"/>
    <x v="9"/>
    <n v="309.9736537621186"/>
  </r>
  <r>
    <x v="11"/>
    <x v="0"/>
    <x v="11"/>
    <x v="11"/>
    <x v="0"/>
    <x v="2"/>
    <x v="0"/>
    <x v="0"/>
    <x v="0"/>
    <x v="0"/>
    <x v="0"/>
    <x v="0"/>
    <x v="4"/>
    <x v="5"/>
    <x v="5"/>
    <x v="10"/>
    <x v="10"/>
    <n v="9.2572465664000003E-4"/>
    <x v="0"/>
    <x v="0"/>
    <x v="1"/>
    <x v="4"/>
    <x v="5"/>
    <x v="10"/>
    <n v="1.0090398757376E-3"/>
  </r>
  <r>
    <x v="11"/>
    <x v="0"/>
    <x v="11"/>
    <x v="11"/>
    <x v="0"/>
    <x v="2"/>
    <x v="0"/>
    <x v="0"/>
    <x v="0"/>
    <x v="0"/>
    <x v="0"/>
    <x v="0"/>
    <x v="4"/>
    <x v="5"/>
    <x v="5"/>
    <x v="23"/>
    <x v="23"/>
    <n v="2.2948990825674298"/>
    <x v="0"/>
    <x v="0"/>
    <x v="1"/>
    <x v="3"/>
    <x v="3"/>
    <x v="15"/>
    <n v="2.5014399999984986"/>
  </r>
  <r>
    <x v="11"/>
    <x v="0"/>
    <x v="11"/>
    <x v="11"/>
    <x v="0"/>
    <x v="2"/>
    <x v="0"/>
    <x v="0"/>
    <x v="0"/>
    <x v="0"/>
    <x v="0"/>
    <x v="0"/>
    <x v="4"/>
    <x v="5"/>
    <x v="5"/>
    <x v="17"/>
    <x v="17"/>
    <n v="175.005"/>
    <x v="0"/>
    <x v="0"/>
    <x v="0"/>
    <x v="0"/>
    <x v="4"/>
    <x v="17"/>
    <n v="190.75545"/>
  </r>
  <r>
    <x v="11"/>
    <x v="0"/>
    <x v="11"/>
    <x v="11"/>
    <x v="0"/>
    <x v="2"/>
    <x v="0"/>
    <x v="0"/>
    <x v="0"/>
    <x v="0"/>
    <x v="0"/>
    <x v="0"/>
    <x v="4"/>
    <x v="5"/>
    <x v="5"/>
    <x v="21"/>
    <x v="21"/>
    <n v="2.2018348623999999E-4"/>
    <x v="0"/>
    <x v="0"/>
    <x v="1"/>
    <x v="4"/>
    <x v="5"/>
    <x v="10"/>
    <n v="2.4000000000160002E-4"/>
  </r>
  <r>
    <x v="11"/>
    <x v="0"/>
    <x v="11"/>
    <x v="11"/>
    <x v="0"/>
    <x v="2"/>
    <x v="0"/>
    <x v="0"/>
    <x v="0"/>
    <x v="0"/>
    <x v="0"/>
    <x v="0"/>
    <x v="4"/>
    <x v="5"/>
    <x v="5"/>
    <x v="34"/>
    <x v="34"/>
    <n v="4.6636322122587304"/>
    <x v="0"/>
    <x v="0"/>
    <x v="0"/>
    <x v="0"/>
    <x v="0"/>
    <x v="0"/>
    <n v="5.0833591113620162"/>
  </r>
  <r>
    <x v="11"/>
    <x v="0"/>
    <x v="11"/>
    <x v="11"/>
    <x v="0"/>
    <x v="2"/>
    <x v="0"/>
    <x v="0"/>
    <x v="0"/>
    <x v="0"/>
    <x v="0"/>
    <x v="0"/>
    <x v="4"/>
    <x v="5"/>
    <x v="5"/>
    <x v="27"/>
    <x v="27"/>
    <n v="41.408783784661701"/>
    <x v="0"/>
    <x v="0"/>
    <x v="1"/>
    <x v="3"/>
    <x v="3"/>
    <x v="19"/>
    <n v="45.135574325281254"/>
  </r>
  <r>
    <x v="11"/>
    <x v="0"/>
    <x v="11"/>
    <x v="11"/>
    <x v="0"/>
    <x v="2"/>
    <x v="0"/>
    <x v="0"/>
    <x v="0"/>
    <x v="0"/>
    <x v="0"/>
    <x v="0"/>
    <x v="4"/>
    <x v="5"/>
    <x v="5"/>
    <x v="0"/>
    <x v="0"/>
    <n v="1.779359431E-5"/>
    <x v="0"/>
    <x v="0"/>
    <x v="0"/>
    <x v="0"/>
    <x v="0"/>
    <x v="0"/>
    <n v="1.9395017797900001E-5"/>
  </r>
  <r>
    <x v="11"/>
    <x v="0"/>
    <x v="11"/>
    <x v="11"/>
    <x v="0"/>
    <x v="2"/>
    <x v="0"/>
    <x v="0"/>
    <x v="0"/>
    <x v="0"/>
    <x v="0"/>
    <x v="0"/>
    <x v="4"/>
    <x v="5"/>
    <x v="5"/>
    <x v="2"/>
    <x v="2"/>
    <n v="354.91647706400698"/>
    <x v="0"/>
    <x v="1"/>
    <x v="2"/>
    <x v="2"/>
    <x v="13"/>
    <x v="2"/>
    <n v="386.85895999976765"/>
  </r>
  <r>
    <x v="11"/>
    <x v="0"/>
    <x v="11"/>
    <x v="11"/>
    <x v="0"/>
    <x v="2"/>
    <x v="0"/>
    <x v="0"/>
    <x v="0"/>
    <x v="0"/>
    <x v="3"/>
    <x v="3"/>
    <x v="3"/>
    <x v="3"/>
    <x v="3"/>
    <x v="3"/>
    <x v="3"/>
    <n v="2.54152610817615"/>
    <x v="0"/>
    <x v="0"/>
    <x v="1"/>
    <x v="3"/>
    <x v="3"/>
    <x v="3"/>
    <n v="2.7702634579120038"/>
  </r>
  <r>
    <x v="11"/>
    <x v="0"/>
    <x v="11"/>
    <x v="11"/>
    <x v="0"/>
    <x v="2"/>
    <x v="0"/>
    <x v="0"/>
    <x v="0"/>
    <x v="0"/>
    <x v="3"/>
    <x v="3"/>
    <x v="0"/>
    <x v="4"/>
    <x v="4"/>
    <x v="16"/>
    <x v="16"/>
    <n v="4.1348000000000003"/>
    <x v="0"/>
    <x v="0"/>
    <x v="3"/>
    <x v="5"/>
    <x v="9"/>
    <x v="16"/>
    <n v="4.5069320000000008"/>
  </r>
  <r>
    <x v="11"/>
    <x v="0"/>
    <x v="11"/>
    <x v="11"/>
    <x v="0"/>
    <x v="2"/>
    <x v="0"/>
    <x v="0"/>
    <x v="0"/>
    <x v="0"/>
    <x v="3"/>
    <x v="3"/>
    <x v="2"/>
    <x v="2"/>
    <x v="2"/>
    <x v="5"/>
    <x v="5"/>
    <n v="2.4880981595281102"/>
    <x v="0"/>
    <x v="0"/>
    <x v="1"/>
    <x v="1"/>
    <x v="1"/>
    <x v="5"/>
    <n v="2.7120269938856403"/>
  </r>
  <r>
    <x v="11"/>
    <x v="0"/>
    <x v="11"/>
    <x v="11"/>
    <x v="0"/>
    <x v="2"/>
    <x v="0"/>
    <x v="0"/>
    <x v="0"/>
    <x v="0"/>
    <x v="3"/>
    <x v="3"/>
    <x v="2"/>
    <x v="2"/>
    <x v="2"/>
    <x v="8"/>
    <x v="8"/>
    <n v="2.0391621621752098"/>
    <x v="0"/>
    <x v="1"/>
    <x v="2"/>
    <x v="2"/>
    <x v="6"/>
    <x v="8"/>
    <n v="2.2226867567709787"/>
  </r>
  <r>
    <x v="11"/>
    <x v="0"/>
    <x v="11"/>
    <x v="11"/>
    <x v="0"/>
    <x v="2"/>
    <x v="0"/>
    <x v="0"/>
    <x v="0"/>
    <x v="0"/>
    <x v="3"/>
    <x v="3"/>
    <x v="2"/>
    <x v="2"/>
    <x v="2"/>
    <x v="16"/>
    <x v="16"/>
    <n v="1.38944"/>
    <x v="0"/>
    <x v="0"/>
    <x v="3"/>
    <x v="5"/>
    <x v="9"/>
    <x v="16"/>
    <n v="1.5144896000000001"/>
  </r>
  <r>
    <x v="11"/>
    <x v="0"/>
    <x v="11"/>
    <x v="11"/>
    <x v="0"/>
    <x v="2"/>
    <x v="0"/>
    <x v="0"/>
    <x v="0"/>
    <x v="0"/>
    <x v="4"/>
    <x v="4"/>
    <x v="2"/>
    <x v="2"/>
    <x v="2"/>
    <x v="5"/>
    <x v="5"/>
    <n v="0.46532515337776997"/>
    <x v="0"/>
    <x v="0"/>
    <x v="1"/>
    <x v="1"/>
    <x v="1"/>
    <x v="5"/>
    <n v="0.50720441718176934"/>
  </r>
  <r>
    <x v="11"/>
    <x v="0"/>
    <x v="11"/>
    <x v="11"/>
    <x v="0"/>
    <x v="2"/>
    <x v="0"/>
    <x v="0"/>
    <x v="0"/>
    <x v="0"/>
    <x v="4"/>
    <x v="4"/>
    <x v="2"/>
    <x v="2"/>
    <x v="2"/>
    <x v="7"/>
    <x v="7"/>
    <n v="0.62385321100879998"/>
    <x v="0"/>
    <x v="0"/>
    <x v="1"/>
    <x v="4"/>
    <x v="5"/>
    <x v="7"/>
    <n v="0.67999999999959204"/>
  </r>
  <r>
    <x v="11"/>
    <x v="0"/>
    <x v="11"/>
    <x v="11"/>
    <x v="0"/>
    <x v="2"/>
    <x v="0"/>
    <x v="0"/>
    <x v="0"/>
    <x v="0"/>
    <x v="4"/>
    <x v="4"/>
    <x v="2"/>
    <x v="2"/>
    <x v="2"/>
    <x v="8"/>
    <x v="8"/>
    <n v="1.1418513513586599"/>
    <x v="0"/>
    <x v="1"/>
    <x v="2"/>
    <x v="2"/>
    <x v="6"/>
    <x v="8"/>
    <n v="1.2446179729809395"/>
  </r>
  <r>
    <x v="11"/>
    <x v="0"/>
    <x v="11"/>
    <x v="11"/>
    <x v="0"/>
    <x v="2"/>
    <x v="0"/>
    <x v="0"/>
    <x v="2"/>
    <x v="2"/>
    <x v="5"/>
    <x v="5"/>
    <x v="2"/>
    <x v="2"/>
    <x v="2"/>
    <x v="40"/>
    <x v="40"/>
    <n v="1.3815299999999999"/>
    <x v="1"/>
    <x v="2"/>
    <x v="5"/>
    <x v="7"/>
    <x v="11"/>
    <x v="22"/>
    <n v="1.5058677"/>
  </r>
  <r>
    <x v="11"/>
    <x v="0"/>
    <x v="11"/>
    <x v="11"/>
    <x v="0"/>
    <x v="2"/>
    <x v="0"/>
    <x v="0"/>
    <x v="2"/>
    <x v="2"/>
    <x v="5"/>
    <x v="5"/>
    <x v="2"/>
    <x v="2"/>
    <x v="2"/>
    <x v="38"/>
    <x v="38"/>
    <n v="110.16500000000001"/>
    <x v="1"/>
    <x v="0"/>
    <x v="4"/>
    <x v="6"/>
    <x v="10"/>
    <x v="21"/>
    <n v="120.07985000000002"/>
  </r>
  <r>
    <x v="11"/>
    <x v="0"/>
    <x v="11"/>
    <x v="11"/>
    <x v="0"/>
    <x v="2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24.2491"/>
  </r>
  <r>
    <x v="11"/>
    <x v="0"/>
    <x v="11"/>
    <x v="11"/>
    <x v="0"/>
    <x v="2"/>
    <x v="0"/>
    <x v="0"/>
    <x v="2"/>
    <x v="2"/>
    <x v="7"/>
    <x v="7"/>
    <x v="2"/>
    <x v="2"/>
    <x v="2"/>
    <x v="40"/>
    <x v="40"/>
    <n v="6.5997700000000004"/>
    <x v="1"/>
    <x v="2"/>
    <x v="5"/>
    <x v="7"/>
    <x v="11"/>
    <x v="22"/>
    <n v="7.1937493000000012"/>
  </r>
  <r>
    <x v="11"/>
    <x v="0"/>
    <x v="11"/>
    <x v="11"/>
    <x v="0"/>
    <x v="2"/>
    <x v="0"/>
    <x v="0"/>
    <x v="2"/>
    <x v="2"/>
    <x v="7"/>
    <x v="7"/>
    <x v="2"/>
    <x v="2"/>
    <x v="2"/>
    <x v="38"/>
    <x v="38"/>
    <n v="163.38149999999999"/>
    <x v="1"/>
    <x v="0"/>
    <x v="4"/>
    <x v="6"/>
    <x v="10"/>
    <x v="21"/>
    <n v="178.085835"/>
  </r>
  <r>
    <x v="11"/>
    <x v="0"/>
    <x v="11"/>
    <x v="11"/>
    <x v="0"/>
    <x v="2"/>
    <x v="0"/>
    <x v="0"/>
    <x v="2"/>
    <x v="2"/>
    <x v="7"/>
    <x v="7"/>
    <x v="2"/>
    <x v="2"/>
    <x v="2"/>
    <x v="43"/>
    <x v="43"/>
    <n v="11.574999999999999"/>
    <x v="1"/>
    <x v="0"/>
    <x v="4"/>
    <x v="6"/>
    <x v="10"/>
    <x v="21"/>
    <n v="12.61675"/>
  </r>
  <r>
    <x v="11"/>
    <x v="0"/>
    <x v="11"/>
    <x v="11"/>
    <x v="0"/>
    <x v="2"/>
    <x v="0"/>
    <x v="0"/>
    <x v="2"/>
    <x v="2"/>
    <x v="7"/>
    <x v="7"/>
    <x v="2"/>
    <x v="2"/>
    <x v="2"/>
    <x v="44"/>
    <x v="44"/>
    <n v="8.3000000000000007"/>
    <x v="1"/>
    <x v="0"/>
    <x v="4"/>
    <x v="6"/>
    <x v="10"/>
    <x v="21"/>
    <n v="9.0470000000000006"/>
  </r>
  <r>
    <x v="11"/>
    <x v="0"/>
    <x v="11"/>
    <x v="11"/>
    <x v="0"/>
    <x v="2"/>
    <x v="0"/>
    <x v="0"/>
    <x v="0"/>
    <x v="0"/>
    <x v="7"/>
    <x v="7"/>
    <x v="2"/>
    <x v="2"/>
    <x v="2"/>
    <x v="17"/>
    <x v="17"/>
    <n v="13.36"/>
    <x v="0"/>
    <x v="0"/>
    <x v="0"/>
    <x v="0"/>
    <x v="4"/>
    <x v="17"/>
    <n v="14.5624"/>
  </r>
  <r>
    <x v="11"/>
    <x v="0"/>
    <x v="11"/>
    <x v="11"/>
    <x v="0"/>
    <x v="2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27.686"/>
  </r>
  <r>
    <x v="11"/>
    <x v="0"/>
    <x v="11"/>
    <x v="11"/>
    <x v="0"/>
    <x v="2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0023300000000002"/>
  </r>
  <r>
    <x v="11"/>
    <x v="0"/>
    <x v="11"/>
    <x v="11"/>
    <x v="0"/>
    <x v="2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8.305024000000003"/>
  </r>
  <r>
    <x v="11"/>
    <x v="0"/>
    <x v="11"/>
    <x v="11"/>
    <x v="0"/>
    <x v="2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6350000000000002"/>
  </r>
  <r>
    <x v="11"/>
    <x v="0"/>
    <x v="11"/>
    <x v="11"/>
    <x v="0"/>
    <x v="2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7.5428000000000006"/>
  </r>
  <r>
    <x v="11"/>
    <x v="0"/>
    <x v="11"/>
    <x v="11"/>
    <x v="0"/>
    <x v="2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5.288"/>
  </r>
  <r>
    <x v="11"/>
    <x v="0"/>
    <x v="11"/>
    <x v="11"/>
    <x v="0"/>
    <x v="2"/>
    <x v="0"/>
    <x v="0"/>
    <x v="2"/>
    <x v="2"/>
    <x v="9"/>
    <x v="9"/>
    <x v="2"/>
    <x v="2"/>
    <x v="2"/>
    <x v="40"/>
    <x v="40"/>
    <n v="130.22811999999999"/>
    <x v="1"/>
    <x v="2"/>
    <x v="5"/>
    <x v="7"/>
    <x v="11"/>
    <x v="22"/>
    <n v="141.9486508"/>
  </r>
  <r>
    <x v="11"/>
    <x v="0"/>
    <x v="11"/>
    <x v="11"/>
    <x v="0"/>
    <x v="2"/>
    <x v="0"/>
    <x v="0"/>
    <x v="2"/>
    <x v="2"/>
    <x v="9"/>
    <x v="9"/>
    <x v="2"/>
    <x v="2"/>
    <x v="2"/>
    <x v="38"/>
    <x v="38"/>
    <n v="745.67849999999999"/>
    <x v="1"/>
    <x v="0"/>
    <x v="4"/>
    <x v="6"/>
    <x v="10"/>
    <x v="21"/>
    <n v="812.78956500000004"/>
  </r>
  <r>
    <x v="11"/>
    <x v="0"/>
    <x v="11"/>
    <x v="11"/>
    <x v="0"/>
    <x v="2"/>
    <x v="0"/>
    <x v="0"/>
    <x v="2"/>
    <x v="2"/>
    <x v="9"/>
    <x v="9"/>
    <x v="1"/>
    <x v="6"/>
    <x v="6"/>
    <x v="40"/>
    <x v="40"/>
    <n v="97.775000000000006"/>
    <x v="1"/>
    <x v="2"/>
    <x v="5"/>
    <x v="7"/>
    <x v="11"/>
    <x v="22"/>
    <n v="106.57475000000001"/>
  </r>
  <r>
    <x v="11"/>
    <x v="0"/>
    <x v="11"/>
    <x v="11"/>
    <x v="0"/>
    <x v="2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40.40696810000003"/>
  </r>
  <r>
    <x v="11"/>
    <x v="0"/>
    <x v="11"/>
    <x v="11"/>
    <x v="0"/>
    <x v="2"/>
    <x v="0"/>
    <x v="0"/>
    <x v="2"/>
    <x v="2"/>
    <x v="9"/>
    <x v="9"/>
    <x v="4"/>
    <x v="5"/>
    <x v="5"/>
    <x v="40"/>
    <x v="40"/>
    <n v="38.28"/>
    <x v="1"/>
    <x v="2"/>
    <x v="5"/>
    <x v="7"/>
    <x v="11"/>
    <x v="22"/>
    <n v="41.725200000000001"/>
  </r>
  <r>
    <x v="11"/>
    <x v="0"/>
    <x v="11"/>
    <x v="11"/>
    <x v="0"/>
    <x v="2"/>
    <x v="0"/>
    <x v="0"/>
    <x v="2"/>
    <x v="2"/>
    <x v="10"/>
    <x v="10"/>
    <x v="2"/>
    <x v="2"/>
    <x v="2"/>
    <x v="40"/>
    <x v="40"/>
    <n v="32.825000000000003"/>
    <x v="1"/>
    <x v="2"/>
    <x v="5"/>
    <x v="7"/>
    <x v="11"/>
    <x v="22"/>
    <n v="35.779250000000005"/>
  </r>
  <r>
    <x v="11"/>
    <x v="0"/>
    <x v="11"/>
    <x v="11"/>
    <x v="0"/>
    <x v="2"/>
    <x v="0"/>
    <x v="0"/>
    <x v="0"/>
    <x v="0"/>
    <x v="11"/>
    <x v="11"/>
    <x v="4"/>
    <x v="5"/>
    <x v="5"/>
    <x v="7"/>
    <x v="7"/>
    <n v="12.0251463411484"/>
    <x v="0"/>
    <x v="0"/>
    <x v="1"/>
    <x v="4"/>
    <x v="5"/>
    <x v="7"/>
    <n v="13.107409511851756"/>
  </r>
  <r>
    <x v="11"/>
    <x v="0"/>
    <x v="11"/>
    <x v="11"/>
    <x v="0"/>
    <x v="2"/>
    <x v="0"/>
    <x v="0"/>
    <x v="3"/>
    <x v="3"/>
    <x v="13"/>
    <x v="13"/>
    <x v="2"/>
    <x v="2"/>
    <x v="2"/>
    <x v="40"/>
    <x v="40"/>
    <n v="11.65"/>
    <x v="1"/>
    <x v="2"/>
    <x v="5"/>
    <x v="7"/>
    <x v="11"/>
    <x v="22"/>
    <n v="12.698500000000001"/>
  </r>
  <r>
    <x v="11"/>
    <x v="0"/>
    <x v="11"/>
    <x v="11"/>
    <x v="0"/>
    <x v="2"/>
    <x v="0"/>
    <x v="0"/>
    <x v="3"/>
    <x v="3"/>
    <x v="13"/>
    <x v="13"/>
    <x v="1"/>
    <x v="6"/>
    <x v="6"/>
    <x v="40"/>
    <x v="40"/>
    <n v="2.2400000000000002"/>
    <x v="1"/>
    <x v="2"/>
    <x v="5"/>
    <x v="7"/>
    <x v="11"/>
    <x v="22"/>
    <n v="2.4416000000000002"/>
  </r>
  <r>
    <x v="11"/>
    <x v="0"/>
    <x v="11"/>
    <x v="11"/>
    <x v="0"/>
    <x v="2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2140843000000001"/>
  </r>
  <r>
    <x v="11"/>
    <x v="0"/>
    <x v="11"/>
    <x v="11"/>
    <x v="0"/>
    <x v="2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45"/>
  </r>
  <r>
    <x v="11"/>
    <x v="0"/>
    <x v="11"/>
    <x v="11"/>
    <x v="0"/>
    <x v="2"/>
    <x v="0"/>
    <x v="0"/>
    <x v="2"/>
    <x v="2"/>
    <x v="14"/>
    <x v="14"/>
    <x v="2"/>
    <x v="2"/>
    <x v="2"/>
    <x v="40"/>
    <x v="40"/>
    <n v="3.9"/>
    <x v="1"/>
    <x v="2"/>
    <x v="5"/>
    <x v="7"/>
    <x v="11"/>
    <x v="22"/>
    <n v="4.2510000000000003"/>
  </r>
  <r>
    <x v="11"/>
    <x v="0"/>
    <x v="11"/>
    <x v="11"/>
    <x v="0"/>
    <x v="2"/>
    <x v="0"/>
    <x v="0"/>
    <x v="2"/>
    <x v="2"/>
    <x v="15"/>
    <x v="15"/>
    <x v="0"/>
    <x v="4"/>
    <x v="4"/>
    <x v="40"/>
    <x v="40"/>
    <n v="10"/>
    <x v="1"/>
    <x v="2"/>
    <x v="5"/>
    <x v="7"/>
    <x v="11"/>
    <x v="22"/>
    <n v="10.9"/>
  </r>
  <r>
    <x v="11"/>
    <x v="0"/>
    <x v="11"/>
    <x v="11"/>
    <x v="0"/>
    <x v="2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15.825232"/>
  </r>
  <r>
    <x v="11"/>
    <x v="0"/>
    <x v="11"/>
    <x v="11"/>
    <x v="0"/>
    <x v="2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3877200000000003"/>
  </r>
  <r>
    <x v="11"/>
    <x v="0"/>
    <x v="11"/>
    <x v="11"/>
    <x v="0"/>
    <x v="2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59.196809999999999"/>
  </r>
  <r>
    <x v="11"/>
    <x v="0"/>
    <x v="11"/>
    <x v="11"/>
    <x v="0"/>
    <x v="2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28.282230000000002"/>
  </r>
  <r>
    <x v="11"/>
    <x v="0"/>
    <x v="11"/>
    <x v="11"/>
    <x v="0"/>
    <x v="2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3.979564000000003"/>
  </r>
  <r>
    <x v="11"/>
    <x v="0"/>
    <x v="11"/>
    <x v="11"/>
    <x v="0"/>
    <x v="2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37605"/>
  </r>
  <r>
    <x v="11"/>
    <x v="0"/>
    <x v="11"/>
    <x v="11"/>
    <x v="0"/>
    <x v="2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6.5766240000000007"/>
  </r>
  <r>
    <x v="11"/>
    <x v="0"/>
    <x v="11"/>
    <x v="11"/>
    <x v="0"/>
    <x v="2"/>
    <x v="0"/>
    <x v="0"/>
    <x v="2"/>
    <x v="2"/>
    <x v="17"/>
    <x v="17"/>
    <x v="2"/>
    <x v="2"/>
    <x v="2"/>
    <x v="42"/>
    <x v="42"/>
    <n v="8.4175000000000004"/>
    <x v="1"/>
    <x v="2"/>
    <x v="5"/>
    <x v="7"/>
    <x v="11"/>
    <x v="22"/>
    <n v="9.1750750000000014"/>
  </r>
  <r>
    <x v="11"/>
    <x v="0"/>
    <x v="11"/>
    <x v="11"/>
    <x v="0"/>
    <x v="2"/>
    <x v="0"/>
    <x v="0"/>
    <x v="2"/>
    <x v="2"/>
    <x v="17"/>
    <x v="17"/>
    <x v="2"/>
    <x v="2"/>
    <x v="2"/>
    <x v="40"/>
    <x v="40"/>
    <n v="5.6"/>
    <x v="1"/>
    <x v="2"/>
    <x v="5"/>
    <x v="7"/>
    <x v="11"/>
    <x v="22"/>
    <n v="6.1040000000000001"/>
  </r>
  <r>
    <x v="11"/>
    <x v="0"/>
    <x v="11"/>
    <x v="11"/>
    <x v="0"/>
    <x v="2"/>
    <x v="0"/>
    <x v="0"/>
    <x v="2"/>
    <x v="2"/>
    <x v="17"/>
    <x v="17"/>
    <x v="2"/>
    <x v="2"/>
    <x v="2"/>
    <x v="38"/>
    <x v="38"/>
    <n v="34.4375"/>
    <x v="1"/>
    <x v="0"/>
    <x v="4"/>
    <x v="6"/>
    <x v="10"/>
    <x v="21"/>
    <n v="37.536875000000002"/>
  </r>
  <r>
    <x v="11"/>
    <x v="0"/>
    <x v="11"/>
    <x v="11"/>
    <x v="0"/>
    <x v="2"/>
    <x v="0"/>
    <x v="0"/>
    <x v="2"/>
    <x v="2"/>
    <x v="17"/>
    <x v="17"/>
    <x v="3"/>
    <x v="7"/>
    <x v="7"/>
    <x v="7"/>
    <x v="7"/>
    <n v="208.291945987574"/>
    <x v="0"/>
    <x v="0"/>
    <x v="1"/>
    <x v="4"/>
    <x v="5"/>
    <x v="7"/>
    <n v="227.03822112645568"/>
  </r>
  <r>
    <x v="11"/>
    <x v="0"/>
    <x v="11"/>
    <x v="11"/>
    <x v="0"/>
    <x v="2"/>
    <x v="0"/>
    <x v="0"/>
    <x v="2"/>
    <x v="2"/>
    <x v="17"/>
    <x v="17"/>
    <x v="1"/>
    <x v="8"/>
    <x v="8"/>
    <x v="7"/>
    <x v="7"/>
    <n v="78.454378046724997"/>
    <x v="0"/>
    <x v="0"/>
    <x v="1"/>
    <x v="4"/>
    <x v="5"/>
    <x v="7"/>
    <n v="85.515272070930251"/>
  </r>
  <r>
    <x v="11"/>
    <x v="0"/>
    <x v="11"/>
    <x v="11"/>
    <x v="0"/>
    <x v="2"/>
    <x v="0"/>
    <x v="0"/>
    <x v="2"/>
    <x v="2"/>
    <x v="17"/>
    <x v="17"/>
    <x v="0"/>
    <x v="9"/>
    <x v="9"/>
    <x v="7"/>
    <x v="7"/>
    <n v="141.20882926459299"/>
    <x v="0"/>
    <x v="0"/>
    <x v="1"/>
    <x v="4"/>
    <x v="5"/>
    <x v="7"/>
    <n v="153.91762389840636"/>
  </r>
  <r>
    <x v="11"/>
    <x v="0"/>
    <x v="11"/>
    <x v="11"/>
    <x v="0"/>
    <x v="2"/>
    <x v="0"/>
    <x v="0"/>
    <x v="2"/>
    <x v="2"/>
    <x v="17"/>
    <x v="17"/>
    <x v="2"/>
    <x v="10"/>
    <x v="10"/>
    <x v="7"/>
    <x v="7"/>
    <n v="51.307616723394403"/>
    <x v="0"/>
    <x v="0"/>
    <x v="1"/>
    <x v="4"/>
    <x v="5"/>
    <x v="7"/>
    <n v="55.925302228499902"/>
  </r>
  <r>
    <x v="11"/>
    <x v="0"/>
    <x v="11"/>
    <x v="11"/>
    <x v="0"/>
    <x v="2"/>
    <x v="0"/>
    <x v="0"/>
    <x v="2"/>
    <x v="2"/>
    <x v="17"/>
    <x v="17"/>
    <x v="4"/>
    <x v="5"/>
    <x v="5"/>
    <x v="40"/>
    <x v="40"/>
    <n v="209.85614000000001"/>
    <x v="1"/>
    <x v="2"/>
    <x v="5"/>
    <x v="7"/>
    <x v="11"/>
    <x v="22"/>
    <n v="228.74319260000001"/>
  </r>
  <r>
    <x v="11"/>
    <x v="0"/>
    <x v="11"/>
    <x v="11"/>
    <x v="0"/>
    <x v="3"/>
    <x v="0"/>
    <x v="0"/>
    <x v="0"/>
    <x v="0"/>
    <x v="0"/>
    <x v="0"/>
    <x v="3"/>
    <x v="3"/>
    <x v="3"/>
    <x v="12"/>
    <x v="12"/>
    <n v="16.8139186045873"/>
    <x v="0"/>
    <x v="0"/>
    <x v="0"/>
    <x v="0"/>
    <x v="8"/>
    <x v="12"/>
    <n v="18.327171279000158"/>
  </r>
  <r>
    <x v="11"/>
    <x v="0"/>
    <x v="11"/>
    <x v="11"/>
    <x v="0"/>
    <x v="3"/>
    <x v="0"/>
    <x v="0"/>
    <x v="0"/>
    <x v="0"/>
    <x v="0"/>
    <x v="0"/>
    <x v="3"/>
    <x v="3"/>
    <x v="3"/>
    <x v="36"/>
    <x v="36"/>
    <n v="12.382568807331999"/>
    <x v="0"/>
    <x v="0"/>
    <x v="1"/>
    <x v="3"/>
    <x v="3"/>
    <x v="4"/>
    <n v="13.49699999999188"/>
  </r>
  <r>
    <x v="11"/>
    <x v="0"/>
    <x v="11"/>
    <x v="11"/>
    <x v="0"/>
    <x v="3"/>
    <x v="0"/>
    <x v="0"/>
    <x v="0"/>
    <x v="0"/>
    <x v="0"/>
    <x v="0"/>
    <x v="3"/>
    <x v="3"/>
    <x v="3"/>
    <x v="26"/>
    <x v="26"/>
    <n v="19.686385321089102"/>
    <x v="0"/>
    <x v="0"/>
    <x v="1"/>
    <x v="3"/>
    <x v="3"/>
    <x v="15"/>
    <n v="21.458159999987121"/>
  </r>
  <r>
    <x v="11"/>
    <x v="0"/>
    <x v="11"/>
    <x v="11"/>
    <x v="0"/>
    <x v="3"/>
    <x v="0"/>
    <x v="0"/>
    <x v="0"/>
    <x v="0"/>
    <x v="0"/>
    <x v="0"/>
    <x v="0"/>
    <x v="0"/>
    <x v="0"/>
    <x v="26"/>
    <x v="26"/>
    <n v="11.814431192653499"/>
    <x v="0"/>
    <x v="0"/>
    <x v="1"/>
    <x v="3"/>
    <x v="3"/>
    <x v="15"/>
    <n v="12.877729999992315"/>
  </r>
  <r>
    <x v="11"/>
    <x v="0"/>
    <x v="11"/>
    <x v="11"/>
    <x v="0"/>
    <x v="3"/>
    <x v="0"/>
    <x v="0"/>
    <x v="0"/>
    <x v="0"/>
    <x v="0"/>
    <x v="0"/>
    <x v="1"/>
    <x v="1"/>
    <x v="1"/>
    <x v="26"/>
    <x v="26"/>
    <n v="56.910229357764003"/>
    <x v="0"/>
    <x v="0"/>
    <x v="1"/>
    <x v="3"/>
    <x v="3"/>
    <x v="15"/>
    <n v="62.032149999962769"/>
  </r>
  <r>
    <x v="11"/>
    <x v="0"/>
    <x v="11"/>
    <x v="11"/>
    <x v="0"/>
    <x v="3"/>
    <x v="0"/>
    <x v="0"/>
    <x v="0"/>
    <x v="0"/>
    <x v="0"/>
    <x v="0"/>
    <x v="2"/>
    <x v="2"/>
    <x v="2"/>
    <x v="11"/>
    <x v="11"/>
    <n v="4.1379200000000003"/>
    <x v="0"/>
    <x v="0"/>
    <x v="3"/>
    <x v="5"/>
    <x v="7"/>
    <x v="11"/>
    <n v="4.5103328000000005"/>
  </r>
  <r>
    <x v="11"/>
    <x v="0"/>
    <x v="11"/>
    <x v="11"/>
    <x v="0"/>
    <x v="3"/>
    <x v="0"/>
    <x v="0"/>
    <x v="0"/>
    <x v="0"/>
    <x v="0"/>
    <x v="0"/>
    <x v="2"/>
    <x v="2"/>
    <x v="2"/>
    <x v="12"/>
    <x v="12"/>
    <n v="6.5232558139287002"/>
    <x v="0"/>
    <x v="0"/>
    <x v="0"/>
    <x v="0"/>
    <x v="8"/>
    <x v="12"/>
    <n v="7.1103488371822836"/>
  </r>
  <r>
    <x v="11"/>
    <x v="0"/>
    <x v="11"/>
    <x v="11"/>
    <x v="0"/>
    <x v="3"/>
    <x v="0"/>
    <x v="0"/>
    <x v="0"/>
    <x v="0"/>
    <x v="0"/>
    <x v="0"/>
    <x v="2"/>
    <x v="2"/>
    <x v="2"/>
    <x v="23"/>
    <x v="23"/>
    <n v="8.1697247706373002"/>
    <x v="0"/>
    <x v="0"/>
    <x v="1"/>
    <x v="3"/>
    <x v="3"/>
    <x v="15"/>
    <n v="8.9049999999946579"/>
  </r>
  <r>
    <x v="11"/>
    <x v="0"/>
    <x v="11"/>
    <x v="11"/>
    <x v="0"/>
    <x v="3"/>
    <x v="0"/>
    <x v="0"/>
    <x v="0"/>
    <x v="0"/>
    <x v="0"/>
    <x v="0"/>
    <x v="2"/>
    <x v="2"/>
    <x v="2"/>
    <x v="26"/>
    <x v="26"/>
    <n v="3.2493944954108902"/>
    <x v="0"/>
    <x v="0"/>
    <x v="1"/>
    <x v="3"/>
    <x v="3"/>
    <x v="15"/>
    <n v="3.5418399999978707"/>
  </r>
  <r>
    <x v="11"/>
    <x v="0"/>
    <x v="11"/>
    <x v="11"/>
    <x v="0"/>
    <x v="3"/>
    <x v="0"/>
    <x v="0"/>
    <x v="0"/>
    <x v="0"/>
    <x v="0"/>
    <x v="0"/>
    <x v="1"/>
    <x v="6"/>
    <x v="6"/>
    <x v="31"/>
    <x v="31"/>
    <n v="11.2504678899015"/>
    <x v="0"/>
    <x v="0"/>
    <x v="1"/>
    <x v="4"/>
    <x v="5"/>
    <x v="10"/>
    <n v="12.263009999992637"/>
  </r>
  <r>
    <x v="11"/>
    <x v="0"/>
    <x v="11"/>
    <x v="11"/>
    <x v="0"/>
    <x v="3"/>
    <x v="0"/>
    <x v="0"/>
    <x v="0"/>
    <x v="0"/>
    <x v="0"/>
    <x v="0"/>
    <x v="3"/>
    <x v="7"/>
    <x v="7"/>
    <x v="9"/>
    <x v="9"/>
    <n v="33.944954128420001"/>
    <x v="0"/>
    <x v="0"/>
    <x v="1"/>
    <x v="4"/>
    <x v="5"/>
    <x v="9"/>
    <n v="36.999999999977803"/>
  </r>
  <r>
    <x v="11"/>
    <x v="0"/>
    <x v="11"/>
    <x v="11"/>
    <x v="0"/>
    <x v="3"/>
    <x v="0"/>
    <x v="0"/>
    <x v="0"/>
    <x v="0"/>
    <x v="0"/>
    <x v="0"/>
    <x v="3"/>
    <x v="7"/>
    <x v="7"/>
    <x v="26"/>
    <x v="26"/>
    <n v="41.577541284378697"/>
    <x v="0"/>
    <x v="0"/>
    <x v="1"/>
    <x v="3"/>
    <x v="3"/>
    <x v="15"/>
    <n v="45.319519999972783"/>
  </r>
  <r>
    <x v="11"/>
    <x v="0"/>
    <x v="11"/>
    <x v="11"/>
    <x v="0"/>
    <x v="3"/>
    <x v="0"/>
    <x v="0"/>
    <x v="0"/>
    <x v="0"/>
    <x v="0"/>
    <x v="0"/>
    <x v="1"/>
    <x v="8"/>
    <x v="8"/>
    <x v="9"/>
    <x v="9"/>
    <n v="133.02752293570001"/>
    <x v="0"/>
    <x v="0"/>
    <x v="1"/>
    <x v="4"/>
    <x v="5"/>
    <x v="9"/>
    <n v="144.99999999991303"/>
  </r>
  <r>
    <x v="11"/>
    <x v="0"/>
    <x v="11"/>
    <x v="11"/>
    <x v="0"/>
    <x v="3"/>
    <x v="0"/>
    <x v="0"/>
    <x v="0"/>
    <x v="0"/>
    <x v="0"/>
    <x v="0"/>
    <x v="1"/>
    <x v="8"/>
    <x v="8"/>
    <x v="26"/>
    <x v="26"/>
    <n v="97.077761467831706"/>
    <x v="0"/>
    <x v="0"/>
    <x v="1"/>
    <x v="3"/>
    <x v="3"/>
    <x v="15"/>
    <n v="105.81475999993657"/>
  </r>
  <r>
    <x v="11"/>
    <x v="0"/>
    <x v="11"/>
    <x v="11"/>
    <x v="0"/>
    <x v="3"/>
    <x v="0"/>
    <x v="0"/>
    <x v="0"/>
    <x v="0"/>
    <x v="0"/>
    <x v="0"/>
    <x v="0"/>
    <x v="9"/>
    <x v="9"/>
    <x v="9"/>
    <x v="9"/>
    <n v="3.83761467889678"/>
    <x v="0"/>
    <x v="0"/>
    <x v="1"/>
    <x v="4"/>
    <x v="5"/>
    <x v="9"/>
    <n v="4.1829999999974907"/>
  </r>
  <r>
    <x v="11"/>
    <x v="0"/>
    <x v="11"/>
    <x v="11"/>
    <x v="0"/>
    <x v="3"/>
    <x v="0"/>
    <x v="0"/>
    <x v="0"/>
    <x v="0"/>
    <x v="0"/>
    <x v="0"/>
    <x v="0"/>
    <x v="9"/>
    <x v="9"/>
    <x v="26"/>
    <x v="26"/>
    <n v="77.474266054999404"/>
    <x v="0"/>
    <x v="0"/>
    <x v="1"/>
    <x v="3"/>
    <x v="3"/>
    <x v="15"/>
    <n v="84.446949999949354"/>
  </r>
  <r>
    <x v="11"/>
    <x v="0"/>
    <x v="11"/>
    <x v="11"/>
    <x v="0"/>
    <x v="3"/>
    <x v="0"/>
    <x v="0"/>
    <x v="0"/>
    <x v="0"/>
    <x v="0"/>
    <x v="0"/>
    <x v="2"/>
    <x v="10"/>
    <x v="10"/>
    <x v="9"/>
    <x v="9"/>
    <n v="12.38532110091"/>
    <x v="0"/>
    <x v="0"/>
    <x v="1"/>
    <x v="4"/>
    <x v="5"/>
    <x v="9"/>
    <n v="13.4999999999919"/>
  </r>
  <r>
    <x v="11"/>
    <x v="0"/>
    <x v="11"/>
    <x v="11"/>
    <x v="0"/>
    <x v="3"/>
    <x v="0"/>
    <x v="0"/>
    <x v="0"/>
    <x v="0"/>
    <x v="0"/>
    <x v="0"/>
    <x v="2"/>
    <x v="10"/>
    <x v="10"/>
    <x v="26"/>
    <x v="26"/>
    <n v="118.028981651305"/>
    <x v="0"/>
    <x v="0"/>
    <x v="1"/>
    <x v="3"/>
    <x v="3"/>
    <x v="15"/>
    <n v="128.65158999992246"/>
  </r>
  <r>
    <x v="11"/>
    <x v="0"/>
    <x v="11"/>
    <x v="11"/>
    <x v="0"/>
    <x v="3"/>
    <x v="0"/>
    <x v="0"/>
    <x v="0"/>
    <x v="0"/>
    <x v="0"/>
    <x v="0"/>
    <x v="4"/>
    <x v="5"/>
    <x v="5"/>
    <x v="9"/>
    <x v="9"/>
    <n v="57.79816513758"/>
    <x v="0"/>
    <x v="0"/>
    <x v="1"/>
    <x v="4"/>
    <x v="5"/>
    <x v="9"/>
    <n v="62.999999999962206"/>
  </r>
  <r>
    <x v="11"/>
    <x v="0"/>
    <x v="11"/>
    <x v="11"/>
    <x v="0"/>
    <x v="3"/>
    <x v="0"/>
    <x v="0"/>
    <x v="0"/>
    <x v="0"/>
    <x v="0"/>
    <x v="0"/>
    <x v="4"/>
    <x v="5"/>
    <x v="5"/>
    <x v="26"/>
    <x v="26"/>
    <n v="21.091376146776302"/>
    <x v="0"/>
    <x v="0"/>
    <x v="1"/>
    <x v="3"/>
    <x v="3"/>
    <x v="15"/>
    <n v="22.989599999986172"/>
  </r>
  <r>
    <x v="11"/>
    <x v="0"/>
    <x v="11"/>
    <x v="11"/>
    <x v="0"/>
    <x v="5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4500000000000004"/>
  </r>
  <r>
    <x v="11"/>
    <x v="0"/>
    <x v="11"/>
    <x v="11"/>
    <x v="0"/>
    <x v="5"/>
    <x v="0"/>
    <x v="0"/>
    <x v="0"/>
    <x v="0"/>
    <x v="0"/>
    <x v="0"/>
    <x v="0"/>
    <x v="4"/>
    <x v="4"/>
    <x v="10"/>
    <x v="10"/>
    <n v="97.066972477006004"/>
    <x v="0"/>
    <x v="0"/>
    <x v="1"/>
    <x v="4"/>
    <x v="5"/>
    <x v="10"/>
    <n v="105.80299999993655"/>
  </r>
  <r>
    <x v="11"/>
    <x v="0"/>
    <x v="11"/>
    <x v="11"/>
    <x v="0"/>
    <x v="5"/>
    <x v="0"/>
    <x v="0"/>
    <x v="0"/>
    <x v="0"/>
    <x v="0"/>
    <x v="0"/>
    <x v="0"/>
    <x v="4"/>
    <x v="4"/>
    <x v="11"/>
    <x v="11"/>
    <n v="144.91591"/>
    <x v="0"/>
    <x v="0"/>
    <x v="3"/>
    <x v="5"/>
    <x v="7"/>
    <x v="11"/>
    <n v="157.95834190000002"/>
  </r>
  <r>
    <x v="11"/>
    <x v="0"/>
    <x v="11"/>
    <x v="11"/>
    <x v="0"/>
    <x v="5"/>
    <x v="0"/>
    <x v="0"/>
    <x v="0"/>
    <x v="0"/>
    <x v="0"/>
    <x v="0"/>
    <x v="0"/>
    <x v="0"/>
    <x v="0"/>
    <x v="11"/>
    <x v="11"/>
    <n v="23.290749999999999"/>
    <x v="0"/>
    <x v="0"/>
    <x v="3"/>
    <x v="5"/>
    <x v="7"/>
    <x v="11"/>
    <n v="25.386917500000003"/>
  </r>
  <r>
    <x v="11"/>
    <x v="0"/>
    <x v="11"/>
    <x v="11"/>
    <x v="0"/>
    <x v="5"/>
    <x v="0"/>
    <x v="0"/>
    <x v="0"/>
    <x v="0"/>
    <x v="0"/>
    <x v="0"/>
    <x v="1"/>
    <x v="1"/>
    <x v="1"/>
    <x v="11"/>
    <x v="11"/>
    <n v="20.412980000000001"/>
    <x v="0"/>
    <x v="0"/>
    <x v="3"/>
    <x v="5"/>
    <x v="7"/>
    <x v="11"/>
    <n v="22.250148200000002"/>
  </r>
  <r>
    <x v="11"/>
    <x v="0"/>
    <x v="11"/>
    <x v="11"/>
    <x v="0"/>
    <x v="5"/>
    <x v="0"/>
    <x v="0"/>
    <x v="0"/>
    <x v="0"/>
    <x v="0"/>
    <x v="0"/>
    <x v="2"/>
    <x v="2"/>
    <x v="2"/>
    <x v="10"/>
    <x v="10"/>
    <n v="18.5816513761356"/>
    <x v="0"/>
    <x v="0"/>
    <x v="1"/>
    <x v="4"/>
    <x v="5"/>
    <x v="10"/>
    <n v="20.253999999987805"/>
  </r>
  <r>
    <x v="11"/>
    <x v="0"/>
    <x v="11"/>
    <x v="11"/>
    <x v="0"/>
    <x v="5"/>
    <x v="0"/>
    <x v="0"/>
    <x v="0"/>
    <x v="0"/>
    <x v="0"/>
    <x v="0"/>
    <x v="2"/>
    <x v="2"/>
    <x v="2"/>
    <x v="11"/>
    <x v="11"/>
    <n v="149.94475"/>
    <x v="0"/>
    <x v="0"/>
    <x v="3"/>
    <x v="5"/>
    <x v="7"/>
    <x v="11"/>
    <n v="163.43977750000002"/>
  </r>
  <r>
    <x v="11"/>
    <x v="0"/>
    <x v="11"/>
    <x v="11"/>
    <x v="0"/>
    <x v="5"/>
    <x v="0"/>
    <x v="0"/>
    <x v="0"/>
    <x v="0"/>
    <x v="0"/>
    <x v="0"/>
    <x v="1"/>
    <x v="6"/>
    <x v="6"/>
    <x v="11"/>
    <x v="11"/>
    <n v="19.45025"/>
    <x v="0"/>
    <x v="0"/>
    <x v="3"/>
    <x v="5"/>
    <x v="7"/>
    <x v="11"/>
    <n v="21.200772500000003"/>
  </r>
  <r>
    <x v="11"/>
    <x v="0"/>
    <x v="11"/>
    <x v="11"/>
    <x v="0"/>
    <x v="4"/>
    <x v="1"/>
    <x v="1"/>
    <x v="5"/>
    <x v="5"/>
    <x v="22"/>
    <x v="22"/>
    <x v="3"/>
    <x v="3"/>
    <x v="3"/>
    <x v="2"/>
    <x v="2"/>
    <n v="0.87115596330223"/>
    <x v="0"/>
    <x v="1"/>
    <x v="2"/>
    <x v="2"/>
    <x v="13"/>
    <x v="2"/>
    <n v="0.94955999999943075"/>
  </r>
  <r>
    <x v="11"/>
    <x v="0"/>
    <x v="11"/>
    <x v="11"/>
    <x v="0"/>
    <x v="4"/>
    <x v="1"/>
    <x v="1"/>
    <x v="5"/>
    <x v="5"/>
    <x v="23"/>
    <x v="23"/>
    <x v="5"/>
    <x v="11"/>
    <x v="11"/>
    <x v="2"/>
    <x v="2"/>
    <n v="4.0153211009150196"/>
    <x v="0"/>
    <x v="1"/>
    <x v="2"/>
    <x v="2"/>
    <x v="13"/>
    <x v="2"/>
    <n v="4.3766999999973715"/>
  </r>
  <r>
    <x v="11"/>
    <x v="0"/>
    <x v="11"/>
    <x v="11"/>
    <x v="0"/>
    <x v="4"/>
    <x v="1"/>
    <x v="1"/>
    <x v="5"/>
    <x v="5"/>
    <x v="23"/>
    <x v="23"/>
    <x v="3"/>
    <x v="3"/>
    <x v="3"/>
    <x v="49"/>
    <x v="49"/>
    <n v="1.6519823789999999"/>
    <x v="0"/>
    <x v="0"/>
    <x v="1"/>
    <x v="1"/>
    <x v="1"/>
    <x v="23"/>
    <n v="1.80066079311"/>
  </r>
  <r>
    <x v="11"/>
    <x v="0"/>
    <x v="11"/>
    <x v="11"/>
    <x v="0"/>
    <x v="4"/>
    <x v="1"/>
    <x v="1"/>
    <x v="5"/>
    <x v="5"/>
    <x v="23"/>
    <x v="23"/>
    <x v="3"/>
    <x v="3"/>
    <x v="3"/>
    <x v="2"/>
    <x v="2"/>
    <n v="109.00167889901699"/>
    <x v="0"/>
    <x v="1"/>
    <x v="2"/>
    <x v="2"/>
    <x v="13"/>
    <x v="2"/>
    <n v="118.81182999992853"/>
  </r>
  <r>
    <x v="11"/>
    <x v="0"/>
    <x v="11"/>
    <x v="11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1.8966000000000001"/>
  </r>
  <r>
    <x v="11"/>
    <x v="0"/>
    <x v="11"/>
    <x v="11"/>
    <x v="0"/>
    <x v="4"/>
    <x v="1"/>
    <x v="1"/>
    <x v="6"/>
    <x v="5"/>
    <x v="24"/>
    <x v="24"/>
    <x v="5"/>
    <x v="11"/>
    <x v="11"/>
    <x v="21"/>
    <x v="21"/>
    <n v="1.4136513761459399"/>
    <x v="0"/>
    <x v="0"/>
    <x v="1"/>
    <x v="4"/>
    <x v="5"/>
    <x v="10"/>
    <n v="1.5408799999990745"/>
  </r>
  <r>
    <x v="11"/>
    <x v="0"/>
    <x v="11"/>
    <x v="11"/>
    <x v="0"/>
    <x v="4"/>
    <x v="1"/>
    <x v="1"/>
    <x v="6"/>
    <x v="5"/>
    <x v="24"/>
    <x v="24"/>
    <x v="5"/>
    <x v="11"/>
    <x v="11"/>
    <x v="27"/>
    <x v="27"/>
    <n v="48.105925676695499"/>
    <x v="0"/>
    <x v="0"/>
    <x v="1"/>
    <x v="3"/>
    <x v="3"/>
    <x v="19"/>
    <n v="52.435458987598096"/>
  </r>
  <r>
    <x v="11"/>
    <x v="0"/>
    <x v="11"/>
    <x v="11"/>
    <x v="0"/>
    <x v="4"/>
    <x v="1"/>
    <x v="1"/>
    <x v="6"/>
    <x v="5"/>
    <x v="24"/>
    <x v="24"/>
    <x v="5"/>
    <x v="11"/>
    <x v="11"/>
    <x v="2"/>
    <x v="2"/>
    <n v="3.5615045871538298"/>
    <x v="0"/>
    <x v="1"/>
    <x v="2"/>
    <x v="2"/>
    <x v="13"/>
    <x v="2"/>
    <n v="3.8820399999976747"/>
  </r>
  <r>
    <x v="11"/>
    <x v="0"/>
    <x v="11"/>
    <x v="11"/>
    <x v="0"/>
    <x v="4"/>
    <x v="1"/>
    <x v="1"/>
    <x v="6"/>
    <x v="5"/>
    <x v="24"/>
    <x v="24"/>
    <x v="3"/>
    <x v="3"/>
    <x v="3"/>
    <x v="7"/>
    <x v="7"/>
    <n v="0.95475958185651999"/>
    <x v="0"/>
    <x v="0"/>
    <x v="1"/>
    <x v="4"/>
    <x v="5"/>
    <x v="7"/>
    <n v="1.0406879442236068"/>
  </r>
  <r>
    <x v="11"/>
    <x v="0"/>
    <x v="11"/>
    <x v="11"/>
    <x v="0"/>
    <x v="4"/>
    <x v="1"/>
    <x v="1"/>
    <x v="6"/>
    <x v="5"/>
    <x v="24"/>
    <x v="24"/>
    <x v="3"/>
    <x v="3"/>
    <x v="3"/>
    <x v="8"/>
    <x v="8"/>
    <n v="1.5801959459560599"/>
    <x v="0"/>
    <x v="1"/>
    <x v="2"/>
    <x v="2"/>
    <x v="6"/>
    <x v="8"/>
    <n v="1.7224135810921055"/>
  </r>
  <r>
    <x v="11"/>
    <x v="0"/>
    <x v="11"/>
    <x v="11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3717009"/>
  </r>
  <r>
    <x v="11"/>
    <x v="0"/>
    <x v="11"/>
    <x v="11"/>
    <x v="0"/>
    <x v="4"/>
    <x v="1"/>
    <x v="1"/>
    <x v="6"/>
    <x v="5"/>
    <x v="24"/>
    <x v="24"/>
    <x v="3"/>
    <x v="3"/>
    <x v="3"/>
    <x v="40"/>
    <x v="40"/>
    <n v="6.6959641284389901"/>
    <x v="1"/>
    <x v="2"/>
    <x v="5"/>
    <x v="7"/>
    <x v="11"/>
    <x v="22"/>
    <n v="7.2986008999985001"/>
  </r>
  <r>
    <x v="11"/>
    <x v="0"/>
    <x v="11"/>
    <x v="11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2617596000000004"/>
  </r>
  <r>
    <x v="11"/>
    <x v="0"/>
    <x v="11"/>
    <x v="11"/>
    <x v="0"/>
    <x v="4"/>
    <x v="1"/>
    <x v="1"/>
    <x v="6"/>
    <x v="5"/>
    <x v="24"/>
    <x v="24"/>
    <x v="3"/>
    <x v="3"/>
    <x v="3"/>
    <x v="21"/>
    <x v="21"/>
    <n v="9.4745963302695397"/>
    <x v="0"/>
    <x v="0"/>
    <x v="1"/>
    <x v="4"/>
    <x v="5"/>
    <x v="10"/>
    <n v="10.327309999993799"/>
  </r>
  <r>
    <x v="11"/>
    <x v="0"/>
    <x v="11"/>
    <x v="11"/>
    <x v="0"/>
    <x v="4"/>
    <x v="1"/>
    <x v="1"/>
    <x v="6"/>
    <x v="5"/>
    <x v="24"/>
    <x v="24"/>
    <x v="3"/>
    <x v="3"/>
    <x v="3"/>
    <x v="27"/>
    <x v="27"/>
    <n v="50.540804055125498"/>
    <x v="0"/>
    <x v="0"/>
    <x v="1"/>
    <x v="3"/>
    <x v="3"/>
    <x v="19"/>
    <n v="55.089476420086797"/>
  </r>
  <r>
    <x v="11"/>
    <x v="0"/>
    <x v="11"/>
    <x v="11"/>
    <x v="0"/>
    <x v="4"/>
    <x v="1"/>
    <x v="1"/>
    <x v="6"/>
    <x v="5"/>
    <x v="24"/>
    <x v="24"/>
    <x v="3"/>
    <x v="3"/>
    <x v="3"/>
    <x v="26"/>
    <x v="26"/>
    <n v="3.8260550458692602"/>
    <x v="0"/>
    <x v="0"/>
    <x v="1"/>
    <x v="3"/>
    <x v="3"/>
    <x v="15"/>
    <n v="4.1703999999974934"/>
  </r>
  <r>
    <x v="11"/>
    <x v="0"/>
    <x v="11"/>
    <x v="11"/>
    <x v="0"/>
    <x v="4"/>
    <x v="1"/>
    <x v="1"/>
    <x v="6"/>
    <x v="5"/>
    <x v="24"/>
    <x v="24"/>
    <x v="3"/>
    <x v="3"/>
    <x v="3"/>
    <x v="2"/>
    <x v="2"/>
    <n v="27.8711743119099"/>
    <x v="0"/>
    <x v="1"/>
    <x v="2"/>
    <x v="2"/>
    <x v="13"/>
    <x v="2"/>
    <n v="30.379579999981793"/>
  </r>
  <r>
    <x v="11"/>
    <x v="0"/>
    <x v="11"/>
    <x v="11"/>
    <x v="0"/>
    <x v="4"/>
    <x v="1"/>
    <x v="1"/>
    <x v="6"/>
    <x v="5"/>
    <x v="24"/>
    <x v="24"/>
    <x v="0"/>
    <x v="4"/>
    <x v="4"/>
    <x v="39"/>
    <x v="39"/>
    <n v="1.6976530641109999E-2"/>
    <x v="0"/>
    <x v="0"/>
    <x v="1"/>
    <x v="4"/>
    <x v="5"/>
    <x v="9"/>
    <n v="1.85044183988099E-2"/>
  </r>
  <r>
    <x v="11"/>
    <x v="0"/>
    <x v="11"/>
    <x v="11"/>
    <x v="0"/>
    <x v="4"/>
    <x v="1"/>
    <x v="1"/>
    <x v="6"/>
    <x v="5"/>
    <x v="24"/>
    <x v="24"/>
    <x v="0"/>
    <x v="4"/>
    <x v="4"/>
    <x v="7"/>
    <x v="7"/>
    <n v="2.3816324041187902"/>
    <x v="0"/>
    <x v="0"/>
    <x v="1"/>
    <x v="4"/>
    <x v="5"/>
    <x v="7"/>
    <n v="2.5959793204894814"/>
  </r>
  <r>
    <x v="11"/>
    <x v="0"/>
    <x v="11"/>
    <x v="11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0814435"/>
  </r>
  <r>
    <x v="11"/>
    <x v="0"/>
    <x v="11"/>
    <x v="11"/>
    <x v="0"/>
    <x v="4"/>
    <x v="1"/>
    <x v="1"/>
    <x v="6"/>
    <x v="5"/>
    <x v="24"/>
    <x v="24"/>
    <x v="0"/>
    <x v="4"/>
    <x v="4"/>
    <x v="21"/>
    <x v="21"/>
    <n v="3.5960550458694001"/>
    <x v="0"/>
    <x v="0"/>
    <x v="1"/>
    <x v="4"/>
    <x v="5"/>
    <x v="10"/>
    <n v="3.9196999999976465"/>
  </r>
  <r>
    <x v="11"/>
    <x v="0"/>
    <x v="11"/>
    <x v="11"/>
    <x v="0"/>
    <x v="4"/>
    <x v="1"/>
    <x v="1"/>
    <x v="6"/>
    <x v="5"/>
    <x v="24"/>
    <x v="24"/>
    <x v="0"/>
    <x v="4"/>
    <x v="4"/>
    <x v="27"/>
    <x v="27"/>
    <n v="40.140072072922997"/>
    <x v="0"/>
    <x v="0"/>
    <x v="1"/>
    <x v="3"/>
    <x v="3"/>
    <x v="19"/>
    <n v="43.752678559486071"/>
  </r>
  <r>
    <x v="11"/>
    <x v="0"/>
    <x v="11"/>
    <x v="11"/>
    <x v="0"/>
    <x v="4"/>
    <x v="1"/>
    <x v="1"/>
    <x v="6"/>
    <x v="5"/>
    <x v="24"/>
    <x v="24"/>
    <x v="0"/>
    <x v="4"/>
    <x v="4"/>
    <x v="26"/>
    <x v="26"/>
    <n v="7.4709357798120299"/>
    <x v="0"/>
    <x v="0"/>
    <x v="1"/>
    <x v="3"/>
    <x v="3"/>
    <x v="15"/>
    <n v="8.1433199999951125"/>
  </r>
  <r>
    <x v="11"/>
    <x v="0"/>
    <x v="11"/>
    <x v="11"/>
    <x v="0"/>
    <x v="4"/>
    <x v="1"/>
    <x v="1"/>
    <x v="6"/>
    <x v="5"/>
    <x v="24"/>
    <x v="24"/>
    <x v="0"/>
    <x v="4"/>
    <x v="4"/>
    <x v="2"/>
    <x v="2"/>
    <n v="113.89692660543599"/>
    <x v="0"/>
    <x v="1"/>
    <x v="2"/>
    <x v="2"/>
    <x v="13"/>
    <x v="2"/>
    <n v="124.14764999992524"/>
  </r>
  <r>
    <x v="11"/>
    <x v="0"/>
    <x v="11"/>
    <x v="11"/>
    <x v="0"/>
    <x v="4"/>
    <x v="1"/>
    <x v="1"/>
    <x v="6"/>
    <x v="5"/>
    <x v="24"/>
    <x v="24"/>
    <x v="2"/>
    <x v="2"/>
    <x v="2"/>
    <x v="8"/>
    <x v="8"/>
    <n v="2.7027027027199999"/>
    <x v="0"/>
    <x v="1"/>
    <x v="2"/>
    <x v="2"/>
    <x v="6"/>
    <x v="8"/>
    <n v="2.9459459459648003"/>
  </r>
  <r>
    <x v="11"/>
    <x v="0"/>
    <x v="11"/>
    <x v="11"/>
    <x v="0"/>
    <x v="4"/>
    <x v="1"/>
    <x v="1"/>
    <x v="6"/>
    <x v="5"/>
    <x v="24"/>
    <x v="24"/>
    <x v="2"/>
    <x v="2"/>
    <x v="2"/>
    <x v="12"/>
    <x v="12"/>
    <n v="1.7441860465050001"/>
    <x v="0"/>
    <x v="0"/>
    <x v="0"/>
    <x v="0"/>
    <x v="8"/>
    <x v="12"/>
    <n v="1.9011627906904502"/>
  </r>
  <r>
    <x v="11"/>
    <x v="0"/>
    <x v="11"/>
    <x v="11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0583028000000001"/>
  </r>
  <r>
    <x v="11"/>
    <x v="0"/>
    <x v="11"/>
    <x v="11"/>
    <x v="0"/>
    <x v="4"/>
    <x v="1"/>
    <x v="1"/>
    <x v="6"/>
    <x v="5"/>
    <x v="24"/>
    <x v="24"/>
    <x v="2"/>
    <x v="2"/>
    <x v="2"/>
    <x v="27"/>
    <x v="27"/>
    <n v="3.3412162162870498"/>
    <x v="0"/>
    <x v="0"/>
    <x v="1"/>
    <x v="3"/>
    <x v="3"/>
    <x v="19"/>
    <n v="3.6419256757528844"/>
  </r>
  <r>
    <x v="11"/>
    <x v="0"/>
    <x v="11"/>
    <x v="11"/>
    <x v="0"/>
    <x v="4"/>
    <x v="1"/>
    <x v="1"/>
    <x v="6"/>
    <x v="5"/>
    <x v="24"/>
    <x v="24"/>
    <x v="2"/>
    <x v="2"/>
    <x v="2"/>
    <x v="26"/>
    <x v="26"/>
    <n v="0.60272477064184005"/>
    <x v="0"/>
    <x v="0"/>
    <x v="1"/>
    <x v="3"/>
    <x v="3"/>
    <x v="15"/>
    <n v="0.6569699999996057"/>
  </r>
  <r>
    <x v="11"/>
    <x v="0"/>
    <x v="11"/>
    <x v="11"/>
    <x v="0"/>
    <x v="4"/>
    <x v="1"/>
    <x v="1"/>
    <x v="6"/>
    <x v="5"/>
    <x v="24"/>
    <x v="24"/>
    <x v="2"/>
    <x v="2"/>
    <x v="2"/>
    <x v="2"/>
    <x v="2"/>
    <n v="255.74257798149799"/>
    <x v="0"/>
    <x v="1"/>
    <x v="2"/>
    <x v="2"/>
    <x v="13"/>
    <x v="2"/>
    <n v="278.75940999983283"/>
  </r>
  <r>
    <x v="11"/>
    <x v="0"/>
    <x v="11"/>
    <x v="11"/>
    <x v="0"/>
    <x v="4"/>
    <x v="1"/>
    <x v="1"/>
    <x v="1"/>
    <x v="5"/>
    <x v="21"/>
    <x v="21"/>
    <x v="3"/>
    <x v="3"/>
    <x v="3"/>
    <x v="5"/>
    <x v="5"/>
    <n v="3.23315950922703"/>
    <x v="0"/>
    <x v="0"/>
    <x v="1"/>
    <x v="1"/>
    <x v="1"/>
    <x v="5"/>
    <n v="3.524143865057463"/>
  </r>
  <r>
    <x v="11"/>
    <x v="0"/>
    <x v="11"/>
    <x v="11"/>
    <x v="0"/>
    <x v="4"/>
    <x v="1"/>
    <x v="1"/>
    <x v="1"/>
    <x v="5"/>
    <x v="21"/>
    <x v="21"/>
    <x v="3"/>
    <x v="3"/>
    <x v="3"/>
    <x v="7"/>
    <x v="7"/>
    <n v="13.697632403822301"/>
    <x v="0"/>
    <x v="0"/>
    <x v="1"/>
    <x v="4"/>
    <x v="5"/>
    <x v="7"/>
    <n v="14.930419320166308"/>
  </r>
  <r>
    <x v="11"/>
    <x v="0"/>
    <x v="11"/>
    <x v="11"/>
    <x v="0"/>
    <x v="4"/>
    <x v="1"/>
    <x v="1"/>
    <x v="1"/>
    <x v="5"/>
    <x v="21"/>
    <x v="21"/>
    <x v="3"/>
    <x v="3"/>
    <x v="3"/>
    <x v="8"/>
    <x v="8"/>
    <n v="11.1462094595308"/>
    <x v="0"/>
    <x v="1"/>
    <x v="2"/>
    <x v="2"/>
    <x v="6"/>
    <x v="8"/>
    <n v="12.149368310888573"/>
  </r>
  <r>
    <x v="11"/>
    <x v="0"/>
    <x v="11"/>
    <x v="11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2239326999999998"/>
  </r>
  <r>
    <x v="11"/>
    <x v="0"/>
    <x v="11"/>
    <x v="11"/>
    <x v="0"/>
    <x v="4"/>
    <x v="1"/>
    <x v="1"/>
    <x v="1"/>
    <x v="5"/>
    <x v="21"/>
    <x v="21"/>
    <x v="3"/>
    <x v="3"/>
    <x v="3"/>
    <x v="2"/>
    <x v="2"/>
    <n v="54.884110091710198"/>
    <x v="0"/>
    <x v="1"/>
    <x v="2"/>
    <x v="2"/>
    <x v="13"/>
    <x v="2"/>
    <n v="59.823679999964121"/>
  </r>
  <r>
    <x v="11"/>
    <x v="0"/>
    <x v="11"/>
    <x v="11"/>
    <x v="0"/>
    <x v="4"/>
    <x v="1"/>
    <x v="1"/>
    <x v="1"/>
    <x v="5"/>
    <x v="1"/>
    <x v="1"/>
    <x v="3"/>
    <x v="3"/>
    <x v="3"/>
    <x v="39"/>
    <x v="39"/>
    <n v="3.9456932720137998"/>
    <x v="0"/>
    <x v="0"/>
    <x v="1"/>
    <x v="4"/>
    <x v="5"/>
    <x v="9"/>
    <n v="4.3008056664950418"/>
  </r>
  <r>
    <x v="11"/>
    <x v="0"/>
    <x v="11"/>
    <x v="11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48.361697700000001"/>
  </r>
  <r>
    <x v="11"/>
    <x v="0"/>
    <x v="11"/>
    <x v="11"/>
    <x v="0"/>
    <x v="4"/>
    <x v="1"/>
    <x v="1"/>
    <x v="1"/>
    <x v="5"/>
    <x v="1"/>
    <x v="1"/>
    <x v="3"/>
    <x v="3"/>
    <x v="3"/>
    <x v="5"/>
    <x v="5"/>
    <n v="317.09030675087598"/>
    <x v="0"/>
    <x v="0"/>
    <x v="1"/>
    <x v="1"/>
    <x v="1"/>
    <x v="5"/>
    <n v="345.62843435845485"/>
  </r>
  <r>
    <x v="11"/>
    <x v="0"/>
    <x v="11"/>
    <x v="11"/>
    <x v="0"/>
    <x v="4"/>
    <x v="1"/>
    <x v="1"/>
    <x v="1"/>
    <x v="5"/>
    <x v="1"/>
    <x v="1"/>
    <x v="3"/>
    <x v="3"/>
    <x v="3"/>
    <x v="6"/>
    <x v="6"/>
    <n v="155.274211009081"/>
    <x v="0"/>
    <x v="0"/>
    <x v="0"/>
    <x v="0"/>
    <x v="4"/>
    <x v="6"/>
    <n v="169.2488899998983"/>
  </r>
  <r>
    <x v="11"/>
    <x v="0"/>
    <x v="11"/>
    <x v="11"/>
    <x v="0"/>
    <x v="4"/>
    <x v="1"/>
    <x v="1"/>
    <x v="1"/>
    <x v="5"/>
    <x v="1"/>
    <x v="1"/>
    <x v="3"/>
    <x v="3"/>
    <x v="3"/>
    <x v="7"/>
    <x v="7"/>
    <n v="53.597930312184602"/>
    <x v="0"/>
    <x v="0"/>
    <x v="1"/>
    <x v="4"/>
    <x v="5"/>
    <x v="7"/>
    <n v="58.421744040281219"/>
  </r>
  <r>
    <x v="11"/>
    <x v="0"/>
    <x v="11"/>
    <x v="11"/>
    <x v="0"/>
    <x v="4"/>
    <x v="1"/>
    <x v="1"/>
    <x v="1"/>
    <x v="5"/>
    <x v="1"/>
    <x v="1"/>
    <x v="3"/>
    <x v="3"/>
    <x v="3"/>
    <x v="8"/>
    <x v="8"/>
    <n v="1060.1647364932701"/>
    <x v="0"/>
    <x v="1"/>
    <x v="2"/>
    <x v="2"/>
    <x v="6"/>
    <x v="8"/>
    <n v="1155.5795627776645"/>
  </r>
  <r>
    <x v="11"/>
    <x v="0"/>
    <x v="11"/>
    <x v="11"/>
    <x v="0"/>
    <x v="4"/>
    <x v="1"/>
    <x v="1"/>
    <x v="1"/>
    <x v="5"/>
    <x v="1"/>
    <x v="1"/>
    <x v="3"/>
    <x v="3"/>
    <x v="3"/>
    <x v="41"/>
    <x v="41"/>
    <n v="142.453734042012"/>
    <x v="1"/>
    <x v="2"/>
    <x v="5"/>
    <x v="7"/>
    <x v="11"/>
    <x v="22"/>
    <n v="155.27457010579309"/>
  </r>
  <r>
    <x v="11"/>
    <x v="0"/>
    <x v="11"/>
    <x v="11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3.0761003"/>
  </r>
  <r>
    <x v="11"/>
    <x v="0"/>
    <x v="11"/>
    <x v="11"/>
    <x v="0"/>
    <x v="4"/>
    <x v="1"/>
    <x v="1"/>
    <x v="1"/>
    <x v="5"/>
    <x v="1"/>
    <x v="1"/>
    <x v="3"/>
    <x v="3"/>
    <x v="3"/>
    <x v="40"/>
    <x v="40"/>
    <n v="1796.5035991741599"/>
    <x v="1"/>
    <x v="2"/>
    <x v="5"/>
    <x v="7"/>
    <x v="11"/>
    <x v="22"/>
    <n v="1958.1889230998345"/>
  </r>
  <r>
    <x v="11"/>
    <x v="0"/>
    <x v="11"/>
    <x v="11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42.71438670000001"/>
  </r>
  <r>
    <x v="11"/>
    <x v="0"/>
    <x v="11"/>
    <x v="11"/>
    <x v="0"/>
    <x v="4"/>
    <x v="1"/>
    <x v="1"/>
    <x v="1"/>
    <x v="5"/>
    <x v="1"/>
    <x v="1"/>
    <x v="3"/>
    <x v="3"/>
    <x v="3"/>
    <x v="12"/>
    <x v="12"/>
    <n v="298.68440697560902"/>
    <x v="0"/>
    <x v="0"/>
    <x v="0"/>
    <x v="0"/>
    <x v="8"/>
    <x v="12"/>
    <n v="325.56600360341383"/>
  </r>
  <r>
    <x v="11"/>
    <x v="0"/>
    <x v="11"/>
    <x v="11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12.21256019999998"/>
  </r>
  <r>
    <x v="11"/>
    <x v="0"/>
    <x v="11"/>
    <x v="11"/>
    <x v="0"/>
    <x v="4"/>
    <x v="1"/>
    <x v="1"/>
    <x v="1"/>
    <x v="5"/>
    <x v="1"/>
    <x v="1"/>
    <x v="3"/>
    <x v="3"/>
    <x v="3"/>
    <x v="49"/>
    <x v="49"/>
    <n v="1250.25313997786"/>
    <x v="0"/>
    <x v="0"/>
    <x v="1"/>
    <x v="1"/>
    <x v="1"/>
    <x v="23"/>
    <n v="1362.7759225758675"/>
  </r>
  <r>
    <x v="11"/>
    <x v="0"/>
    <x v="11"/>
    <x v="11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78.479956400000006"/>
  </r>
  <r>
    <x v="11"/>
    <x v="0"/>
    <x v="11"/>
    <x v="11"/>
    <x v="0"/>
    <x v="4"/>
    <x v="1"/>
    <x v="1"/>
    <x v="1"/>
    <x v="5"/>
    <x v="1"/>
    <x v="1"/>
    <x v="3"/>
    <x v="3"/>
    <x v="3"/>
    <x v="21"/>
    <x v="21"/>
    <n v="202.44011009162199"/>
    <x v="0"/>
    <x v="0"/>
    <x v="1"/>
    <x v="4"/>
    <x v="5"/>
    <x v="10"/>
    <n v="220.65971999986797"/>
  </r>
  <r>
    <x v="11"/>
    <x v="0"/>
    <x v="11"/>
    <x v="11"/>
    <x v="0"/>
    <x v="4"/>
    <x v="1"/>
    <x v="1"/>
    <x v="1"/>
    <x v="5"/>
    <x v="1"/>
    <x v="1"/>
    <x v="3"/>
    <x v="3"/>
    <x v="3"/>
    <x v="27"/>
    <x v="27"/>
    <n v="2237.8309955429399"/>
    <x v="0"/>
    <x v="0"/>
    <x v="1"/>
    <x v="3"/>
    <x v="3"/>
    <x v="19"/>
    <n v="2439.2357851418046"/>
  </r>
  <r>
    <x v="11"/>
    <x v="0"/>
    <x v="11"/>
    <x v="11"/>
    <x v="0"/>
    <x v="4"/>
    <x v="1"/>
    <x v="1"/>
    <x v="1"/>
    <x v="5"/>
    <x v="1"/>
    <x v="1"/>
    <x v="3"/>
    <x v="3"/>
    <x v="3"/>
    <x v="50"/>
    <x v="50"/>
    <n v="157.70049541274901"/>
    <x v="0"/>
    <x v="0"/>
    <x v="1"/>
    <x v="1"/>
    <x v="1"/>
    <x v="23"/>
    <n v="171.89353999989643"/>
  </r>
  <r>
    <x v="11"/>
    <x v="0"/>
    <x v="11"/>
    <x v="11"/>
    <x v="0"/>
    <x v="4"/>
    <x v="1"/>
    <x v="1"/>
    <x v="1"/>
    <x v="5"/>
    <x v="1"/>
    <x v="1"/>
    <x v="3"/>
    <x v="3"/>
    <x v="3"/>
    <x v="2"/>
    <x v="2"/>
    <n v="11635.8500642132"/>
    <x v="0"/>
    <x v="1"/>
    <x v="2"/>
    <x v="2"/>
    <x v="13"/>
    <x v="2"/>
    <n v="12683.076569992389"/>
  </r>
  <r>
    <x v="11"/>
    <x v="0"/>
    <x v="11"/>
    <x v="11"/>
    <x v="0"/>
    <x v="4"/>
    <x v="1"/>
    <x v="1"/>
    <x v="1"/>
    <x v="5"/>
    <x v="1"/>
    <x v="1"/>
    <x v="0"/>
    <x v="4"/>
    <x v="4"/>
    <x v="39"/>
    <x v="39"/>
    <n v="0.13811142880621999"/>
    <x v="0"/>
    <x v="0"/>
    <x v="1"/>
    <x v="4"/>
    <x v="5"/>
    <x v="9"/>
    <n v="0.1505414573987798"/>
  </r>
  <r>
    <x v="11"/>
    <x v="0"/>
    <x v="11"/>
    <x v="11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5107823000000002"/>
  </r>
  <r>
    <x v="11"/>
    <x v="0"/>
    <x v="11"/>
    <x v="11"/>
    <x v="0"/>
    <x v="4"/>
    <x v="1"/>
    <x v="1"/>
    <x v="1"/>
    <x v="5"/>
    <x v="1"/>
    <x v="1"/>
    <x v="0"/>
    <x v="4"/>
    <x v="4"/>
    <x v="5"/>
    <x v="5"/>
    <n v="17.809147239399099"/>
    <x v="0"/>
    <x v="0"/>
    <x v="1"/>
    <x v="1"/>
    <x v="1"/>
    <x v="5"/>
    <n v="19.41197049094502"/>
  </r>
  <r>
    <x v="11"/>
    <x v="0"/>
    <x v="11"/>
    <x v="11"/>
    <x v="0"/>
    <x v="4"/>
    <x v="1"/>
    <x v="1"/>
    <x v="1"/>
    <x v="5"/>
    <x v="1"/>
    <x v="1"/>
    <x v="0"/>
    <x v="4"/>
    <x v="4"/>
    <x v="6"/>
    <x v="6"/>
    <n v="5.5192660550425598"/>
    <x v="0"/>
    <x v="0"/>
    <x v="0"/>
    <x v="0"/>
    <x v="4"/>
    <x v="6"/>
    <n v="6.0159999999963905"/>
  </r>
  <r>
    <x v="11"/>
    <x v="0"/>
    <x v="11"/>
    <x v="11"/>
    <x v="0"/>
    <x v="4"/>
    <x v="1"/>
    <x v="1"/>
    <x v="1"/>
    <x v="5"/>
    <x v="1"/>
    <x v="1"/>
    <x v="0"/>
    <x v="4"/>
    <x v="4"/>
    <x v="7"/>
    <x v="7"/>
    <n v="6.2185452960043204"/>
    <x v="0"/>
    <x v="0"/>
    <x v="1"/>
    <x v="4"/>
    <x v="5"/>
    <x v="7"/>
    <n v="6.7782143726447099"/>
  </r>
  <r>
    <x v="11"/>
    <x v="0"/>
    <x v="11"/>
    <x v="11"/>
    <x v="0"/>
    <x v="4"/>
    <x v="1"/>
    <x v="1"/>
    <x v="1"/>
    <x v="5"/>
    <x v="1"/>
    <x v="1"/>
    <x v="0"/>
    <x v="4"/>
    <x v="4"/>
    <x v="8"/>
    <x v="8"/>
    <n v="62.1826283787764"/>
    <x v="0"/>
    <x v="1"/>
    <x v="2"/>
    <x v="2"/>
    <x v="6"/>
    <x v="8"/>
    <n v="67.779064932866277"/>
  </r>
  <r>
    <x v="11"/>
    <x v="0"/>
    <x v="11"/>
    <x v="11"/>
    <x v="0"/>
    <x v="4"/>
    <x v="1"/>
    <x v="1"/>
    <x v="1"/>
    <x v="5"/>
    <x v="1"/>
    <x v="1"/>
    <x v="0"/>
    <x v="4"/>
    <x v="4"/>
    <x v="41"/>
    <x v="41"/>
    <n v="24.282010638205598"/>
    <x v="1"/>
    <x v="2"/>
    <x v="5"/>
    <x v="7"/>
    <x v="11"/>
    <x v="22"/>
    <n v="26.467391595644106"/>
  </r>
  <r>
    <x v="11"/>
    <x v="0"/>
    <x v="11"/>
    <x v="11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4.8181488000000003"/>
  </r>
  <r>
    <x v="11"/>
    <x v="0"/>
    <x v="11"/>
    <x v="11"/>
    <x v="0"/>
    <x v="4"/>
    <x v="1"/>
    <x v="1"/>
    <x v="1"/>
    <x v="5"/>
    <x v="1"/>
    <x v="1"/>
    <x v="0"/>
    <x v="4"/>
    <x v="4"/>
    <x v="40"/>
    <x v="40"/>
    <n v="125.300206788979"/>
    <x v="1"/>
    <x v="2"/>
    <x v="5"/>
    <x v="7"/>
    <x v="11"/>
    <x v="22"/>
    <n v="136.57722539998713"/>
  </r>
  <r>
    <x v="11"/>
    <x v="0"/>
    <x v="11"/>
    <x v="11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6.830295500000002"/>
  </r>
  <r>
    <x v="11"/>
    <x v="0"/>
    <x v="11"/>
    <x v="11"/>
    <x v="0"/>
    <x v="4"/>
    <x v="1"/>
    <x v="1"/>
    <x v="1"/>
    <x v="5"/>
    <x v="1"/>
    <x v="1"/>
    <x v="0"/>
    <x v="4"/>
    <x v="4"/>
    <x v="12"/>
    <x v="12"/>
    <n v="12.2638255813487"/>
    <x v="0"/>
    <x v="0"/>
    <x v="0"/>
    <x v="0"/>
    <x v="8"/>
    <x v="12"/>
    <n v="13.367569883670084"/>
  </r>
  <r>
    <x v="11"/>
    <x v="0"/>
    <x v="11"/>
    <x v="11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3.686186300000003"/>
  </r>
  <r>
    <x v="11"/>
    <x v="0"/>
    <x v="11"/>
    <x v="11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0.98100000000000009"/>
  </r>
  <r>
    <x v="11"/>
    <x v="0"/>
    <x v="11"/>
    <x v="11"/>
    <x v="0"/>
    <x v="4"/>
    <x v="1"/>
    <x v="1"/>
    <x v="1"/>
    <x v="5"/>
    <x v="1"/>
    <x v="1"/>
    <x v="0"/>
    <x v="4"/>
    <x v="4"/>
    <x v="21"/>
    <x v="21"/>
    <n v="13.859385321092599"/>
    <x v="0"/>
    <x v="0"/>
    <x v="1"/>
    <x v="4"/>
    <x v="5"/>
    <x v="10"/>
    <n v="15.106729999990934"/>
  </r>
  <r>
    <x v="11"/>
    <x v="0"/>
    <x v="11"/>
    <x v="11"/>
    <x v="0"/>
    <x v="4"/>
    <x v="1"/>
    <x v="1"/>
    <x v="1"/>
    <x v="5"/>
    <x v="1"/>
    <x v="1"/>
    <x v="0"/>
    <x v="4"/>
    <x v="4"/>
    <x v="27"/>
    <x v="27"/>
    <n v="185.99991892286201"/>
    <x v="0"/>
    <x v="0"/>
    <x v="1"/>
    <x v="3"/>
    <x v="3"/>
    <x v="19"/>
    <n v="202.7399116259196"/>
  </r>
  <r>
    <x v="11"/>
    <x v="0"/>
    <x v="11"/>
    <x v="11"/>
    <x v="0"/>
    <x v="4"/>
    <x v="1"/>
    <x v="1"/>
    <x v="1"/>
    <x v="5"/>
    <x v="1"/>
    <x v="1"/>
    <x v="0"/>
    <x v="4"/>
    <x v="4"/>
    <x v="50"/>
    <x v="50"/>
    <n v="6.1038807339412902"/>
    <x v="0"/>
    <x v="0"/>
    <x v="1"/>
    <x v="1"/>
    <x v="1"/>
    <x v="23"/>
    <n v="6.6532299999960065"/>
  </r>
  <r>
    <x v="11"/>
    <x v="0"/>
    <x v="11"/>
    <x v="11"/>
    <x v="0"/>
    <x v="4"/>
    <x v="1"/>
    <x v="1"/>
    <x v="1"/>
    <x v="5"/>
    <x v="1"/>
    <x v="1"/>
    <x v="0"/>
    <x v="4"/>
    <x v="4"/>
    <x v="2"/>
    <x v="2"/>
    <n v="658.27762385281596"/>
    <x v="0"/>
    <x v="1"/>
    <x v="2"/>
    <x v="2"/>
    <x v="13"/>
    <x v="2"/>
    <n v="717.52260999956945"/>
  </r>
  <r>
    <x v="11"/>
    <x v="0"/>
    <x v="11"/>
    <x v="11"/>
    <x v="0"/>
    <x v="4"/>
    <x v="1"/>
    <x v="1"/>
    <x v="1"/>
    <x v="5"/>
    <x v="1"/>
    <x v="1"/>
    <x v="2"/>
    <x v="2"/>
    <x v="2"/>
    <x v="39"/>
    <x v="39"/>
    <n v="0.91258891311602996"/>
    <x v="0"/>
    <x v="0"/>
    <x v="1"/>
    <x v="4"/>
    <x v="5"/>
    <x v="9"/>
    <n v="0.99472191529647269"/>
  </r>
  <r>
    <x v="11"/>
    <x v="0"/>
    <x v="11"/>
    <x v="11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68.456730600000014"/>
  </r>
  <r>
    <x v="11"/>
    <x v="0"/>
    <x v="11"/>
    <x v="11"/>
    <x v="0"/>
    <x v="4"/>
    <x v="1"/>
    <x v="1"/>
    <x v="1"/>
    <x v="5"/>
    <x v="1"/>
    <x v="1"/>
    <x v="2"/>
    <x v="2"/>
    <x v="2"/>
    <x v="5"/>
    <x v="5"/>
    <n v="70.059595092557004"/>
    <x v="0"/>
    <x v="0"/>
    <x v="1"/>
    <x v="1"/>
    <x v="1"/>
    <x v="5"/>
    <n v="76.364958650887147"/>
  </r>
  <r>
    <x v="11"/>
    <x v="0"/>
    <x v="11"/>
    <x v="11"/>
    <x v="0"/>
    <x v="4"/>
    <x v="1"/>
    <x v="1"/>
    <x v="1"/>
    <x v="5"/>
    <x v="1"/>
    <x v="1"/>
    <x v="2"/>
    <x v="2"/>
    <x v="2"/>
    <x v="6"/>
    <x v="6"/>
    <n v="25.024293577966599"/>
    <x v="0"/>
    <x v="0"/>
    <x v="0"/>
    <x v="0"/>
    <x v="4"/>
    <x v="6"/>
    <n v="27.276479999983597"/>
  </r>
  <r>
    <x v="11"/>
    <x v="0"/>
    <x v="11"/>
    <x v="11"/>
    <x v="0"/>
    <x v="4"/>
    <x v="1"/>
    <x v="1"/>
    <x v="1"/>
    <x v="5"/>
    <x v="1"/>
    <x v="1"/>
    <x v="2"/>
    <x v="2"/>
    <x v="2"/>
    <x v="7"/>
    <x v="7"/>
    <n v="10.2893048777792"/>
    <x v="0"/>
    <x v="0"/>
    <x v="1"/>
    <x v="4"/>
    <x v="5"/>
    <x v="7"/>
    <n v="11.21534231677933"/>
  </r>
  <r>
    <x v="11"/>
    <x v="0"/>
    <x v="11"/>
    <x v="11"/>
    <x v="0"/>
    <x v="4"/>
    <x v="1"/>
    <x v="1"/>
    <x v="1"/>
    <x v="5"/>
    <x v="1"/>
    <x v="1"/>
    <x v="2"/>
    <x v="2"/>
    <x v="2"/>
    <x v="8"/>
    <x v="8"/>
    <n v="708.56156081534596"/>
    <x v="0"/>
    <x v="1"/>
    <x v="2"/>
    <x v="2"/>
    <x v="6"/>
    <x v="8"/>
    <n v="772.33210128872713"/>
  </r>
  <r>
    <x v="11"/>
    <x v="0"/>
    <x v="11"/>
    <x v="11"/>
    <x v="0"/>
    <x v="4"/>
    <x v="1"/>
    <x v="1"/>
    <x v="1"/>
    <x v="5"/>
    <x v="1"/>
    <x v="1"/>
    <x v="2"/>
    <x v="2"/>
    <x v="2"/>
    <x v="41"/>
    <x v="41"/>
    <n v="43.561702127494002"/>
    <x v="1"/>
    <x v="2"/>
    <x v="5"/>
    <x v="7"/>
    <x v="11"/>
    <x v="22"/>
    <n v="47.482255318968463"/>
  </r>
  <r>
    <x v="11"/>
    <x v="0"/>
    <x v="11"/>
    <x v="11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68405"/>
  </r>
  <r>
    <x v="11"/>
    <x v="0"/>
    <x v="11"/>
    <x v="11"/>
    <x v="0"/>
    <x v="4"/>
    <x v="1"/>
    <x v="1"/>
    <x v="1"/>
    <x v="5"/>
    <x v="1"/>
    <x v="1"/>
    <x v="2"/>
    <x v="2"/>
    <x v="2"/>
    <x v="40"/>
    <x v="40"/>
    <n v="457.20676146782898"/>
    <x v="1"/>
    <x v="2"/>
    <x v="5"/>
    <x v="7"/>
    <x v="11"/>
    <x v="22"/>
    <n v="498.3553699999336"/>
  </r>
  <r>
    <x v="11"/>
    <x v="0"/>
    <x v="11"/>
    <x v="11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4.726331800000004"/>
  </r>
  <r>
    <x v="11"/>
    <x v="0"/>
    <x v="11"/>
    <x v="11"/>
    <x v="0"/>
    <x v="4"/>
    <x v="1"/>
    <x v="1"/>
    <x v="1"/>
    <x v="5"/>
    <x v="1"/>
    <x v="1"/>
    <x v="2"/>
    <x v="2"/>
    <x v="2"/>
    <x v="12"/>
    <x v="12"/>
    <n v="50.646651162598197"/>
    <x v="0"/>
    <x v="0"/>
    <x v="0"/>
    <x v="0"/>
    <x v="8"/>
    <x v="12"/>
    <n v="55.204849767232041"/>
  </r>
  <r>
    <x v="11"/>
    <x v="0"/>
    <x v="11"/>
    <x v="11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68.938140000000004"/>
  </r>
  <r>
    <x v="11"/>
    <x v="0"/>
    <x v="11"/>
    <x v="11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8.5156686000000015"/>
  </r>
  <r>
    <x v="11"/>
    <x v="0"/>
    <x v="11"/>
    <x v="11"/>
    <x v="0"/>
    <x v="4"/>
    <x v="1"/>
    <x v="1"/>
    <x v="1"/>
    <x v="5"/>
    <x v="1"/>
    <x v="1"/>
    <x v="2"/>
    <x v="2"/>
    <x v="2"/>
    <x v="21"/>
    <x v="21"/>
    <n v="21.717522935766802"/>
    <x v="0"/>
    <x v="0"/>
    <x v="1"/>
    <x v="4"/>
    <x v="5"/>
    <x v="10"/>
    <n v="23.672099999985814"/>
  </r>
  <r>
    <x v="11"/>
    <x v="0"/>
    <x v="11"/>
    <x v="11"/>
    <x v="0"/>
    <x v="4"/>
    <x v="1"/>
    <x v="1"/>
    <x v="1"/>
    <x v="5"/>
    <x v="1"/>
    <x v="1"/>
    <x v="2"/>
    <x v="2"/>
    <x v="2"/>
    <x v="27"/>
    <x v="27"/>
    <n v="133.87122297581101"/>
    <x v="0"/>
    <x v="0"/>
    <x v="1"/>
    <x v="3"/>
    <x v="3"/>
    <x v="19"/>
    <n v="145.91963304363401"/>
  </r>
  <r>
    <x v="11"/>
    <x v="0"/>
    <x v="11"/>
    <x v="11"/>
    <x v="0"/>
    <x v="4"/>
    <x v="1"/>
    <x v="1"/>
    <x v="1"/>
    <x v="5"/>
    <x v="1"/>
    <x v="1"/>
    <x v="2"/>
    <x v="2"/>
    <x v="2"/>
    <x v="50"/>
    <x v="50"/>
    <n v="1.8348623853199999"/>
    <x v="0"/>
    <x v="0"/>
    <x v="1"/>
    <x v="1"/>
    <x v="1"/>
    <x v="23"/>
    <n v="1.9999999999988001"/>
  </r>
  <r>
    <x v="11"/>
    <x v="0"/>
    <x v="11"/>
    <x v="11"/>
    <x v="0"/>
    <x v="4"/>
    <x v="1"/>
    <x v="1"/>
    <x v="1"/>
    <x v="5"/>
    <x v="1"/>
    <x v="1"/>
    <x v="2"/>
    <x v="2"/>
    <x v="2"/>
    <x v="2"/>
    <x v="2"/>
    <n v="2177.5834954115398"/>
    <x v="0"/>
    <x v="1"/>
    <x v="2"/>
    <x v="2"/>
    <x v="13"/>
    <x v="2"/>
    <n v="2373.5660099985785"/>
  </r>
  <r>
    <x v="11"/>
    <x v="0"/>
    <x v="11"/>
    <x v="11"/>
    <x v="0"/>
    <x v="4"/>
    <x v="0"/>
    <x v="0"/>
    <x v="0"/>
    <x v="0"/>
    <x v="0"/>
    <x v="0"/>
    <x v="0"/>
    <x v="4"/>
    <x v="4"/>
    <x v="7"/>
    <x v="7"/>
    <n v="-4.48432055737E-3"/>
    <x v="0"/>
    <x v="0"/>
    <x v="1"/>
    <x v="4"/>
    <x v="5"/>
    <x v="7"/>
    <n v="-4.8879094075333007E-3"/>
  </r>
  <r>
    <x v="11"/>
    <x v="0"/>
    <x v="11"/>
    <x v="11"/>
    <x v="0"/>
    <x v="4"/>
    <x v="0"/>
    <x v="0"/>
    <x v="0"/>
    <x v="0"/>
    <x v="0"/>
    <x v="0"/>
    <x v="0"/>
    <x v="4"/>
    <x v="4"/>
    <x v="10"/>
    <x v="10"/>
    <n v="1.086956544E-4"/>
    <x v="0"/>
    <x v="0"/>
    <x v="1"/>
    <x v="4"/>
    <x v="5"/>
    <x v="10"/>
    <n v="1.1847826329600001E-4"/>
  </r>
  <r>
    <x v="11"/>
    <x v="0"/>
    <x v="11"/>
    <x v="11"/>
    <x v="0"/>
    <x v="4"/>
    <x v="0"/>
    <x v="0"/>
    <x v="0"/>
    <x v="0"/>
    <x v="0"/>
    <x v="0"/>
    <x v="0"/>
    <x v="0"/>
    <x v="0"/>
    <x v="9"/>
    <x v="9"/>
    <n v="9.8083482835803508"/>
    <x v="0"/>
    <x v="0"/>
    <x v="1"/>
    <x v="4"/>
    <x v="5"/>
    <x v="9"/>
    <n v="10.691099629102583"/>
  </r>
  <r>
    <x v="11"/>
    <x v="0"/>
    <x v="11"/>
    <x v="11"/>
    <x v="0"/>
    <x v="4"/>
    <x v="0"/>
    <x v="0"/>
    <x v="0"/>
    <x v="0"/>
    <x v="0"/>
    <x v="0"/>
    <x v="0"/>
    <x v="0"/>
    <x v="0"/>
    <x v="10"/>
    <x v="10"/>
    <n v="48.846154532977899"/>
    <x v="0"/>
    <x v="0"/>
    <x v="1"/>
    <x v="4"/>
    <x v="5"/>
    <x v="10"/>
    <n v="53.242308440945912"/>
  </r>
  <r>
    <x v="11"/>
    <x v="0"/>
    <x v="11"/>
    <x v="11"/>
    <x v="0"/>
    <x v="4"/>
    <x v="0"/>
    <x v="0"/>
    <x v="0"/>
    <x v="0"/>
    <x v="0"/>
    <x v="0"/>
    <x v="0"/>
    <x v="0"/>
    <x v="0"/>
    <x v="11"/>
    <x v="11"/>
    <n v="14.9316"/>
    <x v="0"/>
    <x v="0"/>
    <x v="3"/>
    <x v="5"/>
    <x v="7"/>
    <x v="11"/>
    <n v="16.275444"/>
  </r>
  <r>
    <x v="11"/>
    <x v="0"/>
    <x v="11"/>
    <x v="11"/>
    <x v="0"/>
    <x v="4"/>
    <x v="0"/>
    <x v="0"/>
    <x v="0"/>
    <x v="0"/>
    <x v="0"/>
    <x v="0"/>
    <x v="0"/>
    <x v="0"/>
    <x v="0"/>
    <x v="33"/>
    <x v="33"/>
    <n v="58.180403669689902"/>
    <x v="0"/>
    <x v="0"/>
    <x v="1"/>
    <x v="3"/>
    <x v="3"/>
    <x v="4"/>
    <n v="63.416639999962001"/>
  </r>
  <r>
    <x v="11"/>
    <x v="0"/>
    <x v="11"/>
    <x v="11"/>
    <x v="0"/>
    <x v="4"/>
    <x v="0"/>
    <x v="0"/>
    <x v="0"/>
    <x v="0"/>
    <x v="0"/>
    <x v="0"/>
    <x v="0"/>
    <x v="0"/>
    <x v="0"/>
    <x v="23"/>
    <x v="23"/>
    <n v="35.4080366972265"/>
    <x v="0"/>
    <x v="0"/>
    <x v="1"/>
    <x v="3"/>
    <x v="3"/>
    <x v="15"/>
    <n v="38.594759999976887"/>
  </r>
  <r>
    <x v="11"/>
    <x v="0"/>
    <x v="11"/>
    <x v="11"/>
    <x v="0"/>
    <x v="4"/>
    <x v="0"/>
    <x v="0"/>
    <x v="0"/>
    <x v="0"/>
    <x v="0"/>
    <x v="0"/>
    <x v="0"/>
    <x v="0"/>
    <x v="0"/>
    <x v="26"/>
    <x v="26"/>
    <n v="18.100513761457002"/>
    <x v="0"/>
    <x v="0"/>
    <x v="1"/>
    <x v="3"/>
    <x v="3"/>
    <x v="15"/>
    <n v="19.729559999988133"/>
  </r>
  <r>
    <x v="11"/>
    <x v="0"/>
    <x v="11"/>
    <x v="11"/>
    <x v="0"/>
    <x v="4"/>
    <x v="0"/>
    <x v="0"/>
    <x v="0"/>
    <x v="0"/>
    <x v="0"/>
    <x v="0"/>
    <x v="0"/>
    <x v="0"/>
    <x v="0"/>
    <x v="85"/>
    <x v="85"/>
    <n v="18.719999999988801"/>
    <x v="0"/>
    <x v="0"/>
    <x v="1"/>
    <x v="3"/>
    <x v="3"/>
    <x v="4"/>
    <n v="20.404799999987794"/>
  </r>
  <r>
    <x v="11"/>
    <x v="0"/>
    <x v="11"/>
    <x v="11"/>
    <x v="0"/>
    <x v="4"/>
    <x v="0"/>
    <x v="0"/>
    <x v="0"/>
    <x v="0"/>
    <x v="0"/>
    <x v="0"/>
    <x v="0"/>
    <x v="0"/>
    <x v="0"/>
    <x v="3"/>
    <x v="3"/>
    <n v="5.3630660094338998"/>
    <x v="0"/>
    <x v="0"/>
    <x v="1"/>
    <x v="3"/>
    <x v="3"/>
    <x v="3"/>
    <n v="5.8457419502829513"/>
  </r>
  <r>
    <x v="11"/>
    <x v="0"/>
    <x v="11"/>
    <x v="11"/>
    <x v="0"/>
    <x v="4"/>
    <x v="0"/>
    <x v="0"/>
    <x v="0"/>
    <x v="0"/>
    <x v="0"/>
    <x v="0"/>
    <x v="1"/>
    <x v="1"/>
    <x v="1"/>
    <x v="11"/>
    <x v="11"/>
    <n v="15.98208"/>
    <x v="0"/>
    <x v="0"/>
    <x v="3"/>
    <x v="5"/>
    <x v="7"/>
    <x v="11"/>
    <n v="17.420467200000001"/>
  </r>
  <r>
    <x v="11"/>
    <x v="0"/>
    <x v="11"/>
    <x v="11"/>
    <x v="0"/>
    <x v="4"/>
    <x v="0"/>
    <x v="0"/>
    <x v="0"/>
    <x v="0"/>
    <x v="0"/>
    <x v="0"/>
    <x v="1"/>
    <x v="1"/>
    <x v="1"/>
    <x v="33"/>
    <x v="33"/>
    <n v="56.813284403635599"/>
    <x v="0"/>
    <x v="0"/>
    <x v="1"/>
    <x v="3"/>
    <x v="3"/>
    <x v="4"/>
    <n v="61.926479999962808"/>
  </r>
  <r>
    <x v="11"/>
    <x v="0"/>
    <x v="11"/>
    <x v="11"/>
    <x v="0"/>
    <x v="4"/>
    <x v="0"/>
    <x v="0"/>
    <x v="0"/>
    <x v="0"/>
    <x v="0"/>
    <x v="0"/>
    <x v="1"/>
    <x v="1"/>
    <x v="1"/>
    <x v="23"/>
    <x v="23"/>
    <n v="133.33904587148001"/>
    <x v="0"/>
    <x v="0"/>
    <x v="1"/>
    <x v="3"/>
    <x v="3"/>
    <x v="15"/>
    <n v="145.33955999991323"/>
  </r>
  <r>
    <x v="11"/>
    <x v="0"/>
    <x v="11"/>
    <x v="11"/>
    <x v="0"/>
    <x v="4"/>
    <x v="0"/>
    <x v="0"/>
    <x v="0"/>
    <x v="0"/>
    <x v="0"/>
    <x v="0"/>
    <x v="1"/>
    <x v="1"/>
    <x v="1"/>
    <x v="26"/>
    <x v="26"/>
    <n v="118.780733944883"/>
    <x v="0"/>
    <x v="0"/>
    <x v="1"/>
    <x v="3"/>
    <x v="3"/>
    <x v="15"/>
    <n v="129.47099999992247"/>
  </r>
  <r>
    <x v="11"/>
    <x v="0"/>
    <x v="11"/>
    <x v="11"/>
    <x v="0"/>
    <x v="4"/>
    <x v="0"/>
    <x v="0"/>
    <x v="0"/>
    <x v="0"/>
    <x v="0"/>
    <x v="0"/>
    <x v="1"/>
    <x v="1"/>
    <x v="1"/>
    <x v="85"/>
    <x v="85"/>
    <n v="77.898715596283495"/>
    <x v="0"/>
    <x v="0"/>
    <x v="1"/>
    <x v="3"/>
    <x v="3"/>
    <x v="4"/>
    <n v="84.909599999949009"/>
  </r>
  <r>
    <x v="11"/>
    <x v="0"/>
    <x v="11"/>
    <x v="11"/>
    <x v="0"/>
    <x v="4"/>
    <x v="0"/>
    <x v="0"/>
    <x v="0"/>
    <x v="0"/>
    <x v="0"/>
    <x v="0"/>
    <x v="1"/>
    <x v="1"/>
    <x v="1"/>
    <x v="3"/>
    <x v="3"/>
    <n v="14.735444333826001"/>
    <x v="0"/>
    <x v="0"/>
    <x v="1"/>
    <x v="3"/>
    <x v="3"/>
    <x v="3"/>
    <n v="16.061634323870344"/>
  </r>
  <r>
    <x v="11"/>
    <x v="0"/>
    <x v="11"/>
    <x v="11"/>
    <x v="0"/>
    <x v="4"/>
    <x v="0"/>
    <x v="0"/>
    <x v="0"/>
    <x v="0"/>
    <x v="0"/>
    <x v="0"/>
    <x v="2"/>
    <x v="2"/>
    <x v="2"/>
    <x v="7"/>
    <x v="7"/>
    <n v="-1.5380622062869999E-2"/>
    <x v="0"/>
    <x v="0"/>
    <x v="1"/>
    <x v="4"/>
    <x v="5"/>
    <x v="7"/>
    <n v="-1.67648780485283E-2"/>
  </r>
  <r>
    <x v="11"/>
    <x v="0"/>
    <x v="11"/>
    <x v="11"/>
    <x v="0"/>
    <x v="4"/>
    <x v="0"/>
    <x v="0"/>
    <x v="0"/>
    <x v="0"/>
    <x v="0"/>
    <x v="0"/>
    <x v="2"/>
    <x v="2"/>
    <x v="2"/>
    <x v="9"/>
    <x v="9"/>
    <n v="38.538350221553699"/>
    <x v="0"/>
    <x v="0"/>
    <x v="1"/>
    <x v="4"/>
    <x v="5"/>
    <x v="9"/>
    <n v="42.006801741493533"/>
  </r>
  <r>
    <x v="11"/>
    <x v="0"/>
    <x v="11"/>
    <x v="11"/>
    <x v="0"/>
    <x v="4"/>
    <x v="0"/>
    <x v="0"/>
    <x v="0"/>
    <x v="0"/>
    <x v="0"/>
    <x v="0"/>
    <x v="1"/>
    <x v="6"/>
    <x v="6"/>
    <x v="7"/>
    <x v="7"/>
    <n v="-1.6777003483900001E-3"/>
    <x v="0"/>
    <x v="0"/>
    <x v="1"/>
    <x v="4"/>
    <x v="5"/>
    <x v="7"/>
    <n v="-1.8286933797451003E-3"/>
  </r>
  <r>
    <x v="11"/>
    <x v="0"/>
    <x v="11"/>
    <x v="11"/>
    <x v="0"/>
    <x v="4"/>
    <x v="0"/>
    <x v="0"/>
    <x v="0"/>
    <x v="0"/>
    <x v="0"/>
    <x v="0"/>
    <x v="1"/>
    <x v="6"/>
    <x v="6"/>
    <x v="10"/>
    <x v="10"/>
    <n v="2.7173913599999999E-5"/>
    <x v="0"/>
    <x v="0"/>
    <x v="1"/>
    <x v="4"/>
    <x v="5"/>
    <x v="10"/>
    <n v="2.9619565824000002E-5"/>
  </r>
  <r>
    <x v="11"/>
    <x v="0"/>
    <x v="11"/>
    <x v="11"/>
    <x v="0"/>
    <x v="4"/>
    <x v="0"/>
    <x v="0"/>
    <x v="0"/>
    <x v="0"/>
    <x v="0"/>
    <x v="0"/>
    <x v="4"/>
    <x v="5"/>
    <x v="5"/>
    <x v="7"/>
    <x v="7"/>
    <n v="-9.9303135889999998E-5"/>
    <x v="0"/>
    <x v="0"/>
    <x v="1"/>
    <x v="4"/>
    <x v="5"/>
    <x v="7"/>
    <n v="-1.0824041812010001E-4"/>
  </r>
  <r>
    <x v="11"/>
    <x v="0"/>
    <x v="11"/>
    <x v="11"/>
    <x v="0"/>
    <x v="4"/>
    <x v="0"/>
    <x v="0"/>
    <x v="0"/>
    <x v="0"/>
    <x v="0"/>
    <x v="0"/>
    <x v="4"/>
    <x v="5"/>
    <x v="5"/>
    <x v="9"/>
    <x v="9"/>
    <n v="376.71"/>
    <x v="0"/>
    <x v="0"/>
    <x v="1"/>
    <x v="4"/>
    <x v="5"/>
    <x v="9"/>
    <n v="410.6139"/>
  </r>
  <r>
    <x v="11"/>
    <x v="0"/>
    <x v="11"/>
    <x v="11"/>
    <x v="0"/>
    <x v="4"/>
    <x v="0"/>
    <x v="0"/>
    <x v="0"/>
    <x v="0"/>
    <x v="0"/>
    <x v="0"/>
    <x v="4"/>
    <x v="5"/>
    <x v="5"/>
    <x v="33"/>
    <x v="33"/>
    <n v="29.429394495395201"/>
    <x v="0"/>
    <x v="0"/>
    <x v="1"/>
    <x v="3"/>
    <x v="3"/>
    <x v="4"/>
    <n v="32.078039999980774"/>
  </r>
  <r>
    <x v="11"/>
    <x v="0"/>
    <x v="11"/>
    <x v="11"/>
    <x v="0"/>
    <x v="4"/>
    <x v="0"/>
    <x v="0"/>
    <x v="0"/>
    <x v="0"/>
    <x v="0"/>
    <x v="0"/>
    <x v="4"/>
    <x v="5"/>
    <x v="5"/>
    <x v="23"/>
    <x v="23"/>
    <n v="54.007376146756599"/>
    <x v="0"/>
    <x v="0"/>
    <x v="1"/>
    <x v="3"/>
    <x v="3"/>
    <x v="15"/>
    <n v="58.868039999964694"/>
  </r>
  <r>
    <x v="11"/>
    <x v="0"/>
    <x v="11"/>
    <x v="11"/>
    <x v="0"/>
    <x v="4"/>
    <x v="0"/>
    <x v="0"/>
    <x v="0"/>
    <x v="0"/>
    <x v="0"/>
    <x v="0"/>
    <x v="4"/>
    <x v="5"/>
    <x v="5"/>
    <x v="26"/>
    <x v="26"/>
    <n v="12.704807339441899"/>
    <x v="0"/>
    <x v="0"/>
    <x v="1"/>
    <x v="3"/>
    <x v="3"/>
    <x v="15"/>
    <n v="13.848239999991671"/>
  </r>
  <r>
    <x v="11"/>
    <x v="0"/>
    <x v="11"/>
    <x v="11"/>
    <x v="0"/>
    <x v="4"/>
    <x v="0"/>
    <x v="0"/>
    <x v="0"/>
    <x v="0"/>
    <x v="0"/>
    <x v="0"/>
    <x v="4"/>
    <x v="5"/>
    <x v="5"/>
    <x v="85"/>
    <x v="85"/>
    <n v="17.046605504576899"/>
    <x v="0"/>
    <x v="0"/>
    <x v="1"/>
    <x v="3"/>
    <x v="3"/>
    <x v="4"/>
    <n v="18.58079999998882"/>
  </r>
  <r>
    <x v="11"/>
    <x v="0"/>
    <x v="11"/>
    <x v="11"/>
    <x v="0"/>
    <x v="4"/>
    <x v="0"/>
    <x v="0"/>
    <x v="0"/>
    <x v="0"/>
    <x v="0"/>
    <x v="0"/>
    <x v="4"/>
    <x v="5"/>
    <x v="5"/>
    <x v="3"/>
    <x v="3"/>
    <n v="8.8275546791144102"/>
    <x v="0"/>
    <x v="0"/>
    <x v="1"/>
    <x v="3"/>
    <x v="3"/>
    <x v="3"/>
    <n v="9.6220346002347075"/>
  </r>
  <r>
    <x v="11"/>
    <x v="0"/>
    <x v="11"/>
    <x v="11"/>
    <x v="0"/>
    <x v="4"/>
    <x v="0"/>
    <x v="0"/>
    <x v="0"/>
    <x v="0"/>
    <x v="3"/>
    <x v="3"/>
    <x v="3"/>
    <x v="3"/>
    <x v="3"/>
    <x v="7"/>
    <x v="7"/>
    <n v="-4.1898954702699999E-3"/>
    <x v="0"/>
    <x v="0"/>
    <x v="1"/>
    <x v="4"/>
    <x v="5"/>
    <x v="7"/>
    <n v="-4.5669860625942998E-3"/>
  </r>
  <r>
    <x v="11"/>
    <x v="0"/>
    <x v="11"/>
    <x v="11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0397201000000003"/>
  </r>
  <r>
    <x v="11"/>
    <x v="0"/>
    <x v="11"/>
    <x v="11"/>
    <x v="1"/>
    <x v="6"/>
    <x v="1"/>
    <x v="1"/>
    <x v="1"/>
    <x v="5"/>
    <x v="1"/>
    <x v="1"/>
    <x v="3"/>
    <x v="3"/>
    <x v="3"/>
    <x v="39"/>
    <x v="39"/>
    <n v="3.3862645975933798"/>
    <x v="0"/>
    <x v="0"/>
    <x v="1"/>
    <x v="4"/>
    <x v="5"/>
    <x v="9"/>
    <n v="3.6910284113767844"/>
  </r>
  <r>
    <x v="11"/>
    <x v="0"/>
    <x v="11"/>
    <x v="11"/>
    <x v="1"/>
    <x v="6"/>
    <x v="1"/>
    <x v="1"/>
    <x v="1"/>
    <x v="5"/>
    <x v="1"/>
    <x v="1"/>
    <x v="3"/>
    <x v="3"/>
    <x v="3"/>
    <x v="5"/>
    <x v="5"/>
    <n v="147.66164417290099"/>
    <x v="0"/>
    <x v="0"/>
    <x v="1"/>
    <x v="1"/>
    <x v="1"/>
    <x v="5"/>
    <n v="160.9511921484621"/>
  </r>
  <r>
    <x v="11"/>
    <x v="0"/>
    <x v="11"/>
    <x v="11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86.331259100000011"/>
  </r>
  <r>
    <x v="11"/>
    <x v="0"/>
    <x v="11"/>
    <x v="11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5.291679999999999"/>
  </r>
  <r>
    <x v="11"/>
    <x v="0"/>
    <x v="11"/>
    <x v="11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64.133420000000001"/>
  </r>
  <r>
    <x v="11"/>
    <x v="0"/>
    <x v="11"/>
    <x v="11"/>
    <x v="1"/>
    <x v="6"/>
    <x v="1"/>
    <x v="1"/>
    <x v="1"/>
    <x v="5"/>
    <x v="1"/>
    <x v="1"/>
    <x v="3"/>
    <x v="3"/>
    <x v="3"/>
    <x v="7"/>
    <x v="7"/>
    <n v="-3.20792857134452"/>
    <x v="0"/>
    <x v="0"/>
    <x v="1"/>
    <x v="4"/>
    <x v="5"/>
    <x v="7"/>
    <n v="-3.496642142765527"/>
  </r>
  <r>
    <x v="11"/>
    <x v="0"/>
    <x v="11"/>
    <x v="11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459.48324340000005"/>
  </r>
  <r>
    <x v="11"/>
    <x v="0"/>
    <x v="11"/>
    <x v="11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1582000000000003"/>
  </r>
  <r>
    <x v="11"/>
    <x v="0"/>
    <x v="11"/>
    <x v="11"/>
    <x v="1"/>
    <x v="6"/>
    <x v="1"/>
    <x v="1"/>
    <x v="1"/>
    <x v="5"/>
    <x v="1"/>
    <x v="1"/>
    <x v="3"/>
    <x v="3"/>
    <x v="3"/>
    <x v="8"/>
    <x v="8"/>
    <n v="1.2344594594673599"/>
    <x v="0"/>
    <x v="1"/>
    <x v="2"/>
    <x v="2"/>
    <x v="6"/>
    <x v="8"/>
    <n v="1.3455608108194224"/>
  </r>
  <r>
    <x v="11"/>
    <x v="0"/>
    <x v="11"/>
    <x v="11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29274"/>
  </r>
  <r>
    <x v="11"/>
    <x v="0"/>
    <x v="11"/>
    <x v="11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1.833109999999998"/>
  </r>
  <r>
    <x v="11"/>
    <x v="0"/>
    <x v="11"/>
    <x v="11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12.0523068"/>
  </r>
  <r>
    <x v="11"/>
    <x v="0"/>
    <x v="11"/>
    <x v="11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7277613440791064"/>
  </r>
  <r>
    <x v="11"/>
    <x v="0"/>
    <x v="11"/>
    <x v="11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64.69567549999999"/>
  </r>
  <r>
    <x v="11"/>
    <x v="0"/>
    <x v="11"/>
    <x v="11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29.204370000000001"/>
  </r>
  <r>
    <x v="11"/>
    <x v="0"/>
    <x v="11"/>
    <x v="11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50.0625579"/>
  </r>
  <r>
    <x v="11"/>
    <x v="0"/>
    <x v="11"/>
    <x v="11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4724034000000001"/>
  </r>
  <r>
    <x v="11"/>
    <x v="0"/>
    <x v="11"/>
    <x v="11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1.096359300000003"/>
  </r>
  <r>
    <x v="11"/>
    <x v="0"/>
    <x v="11"/>
    <x v="11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46.054680000000005"/>
  </r>
  <r>
    <x v="11"/>
    <x v="0"/>
    <x v="11"/>
    <x v="11"/>
    <x v="1"/>
    <x v="6"/>
    <x v="1"/>
    <x v="1"/>
    <x v="1"/>
    <x v="5"/>
    <x v="1"/>
    <x v="1"/>
    <x v="3"/>
    <x v="3"/>
    <x v="3"/>
    <x v="12"/>
    <x v="12"/>
    <n v="364.568395347452"/>
    <x v="0"/>
    <x v="0"/>
    <x v="0"/>
    <x v="0"/>
    <x v="8"/>
    <x v="12"/>
    <n v="397.37955092872272"/>
  </r>
  <r>
    <x v="11"/>
    <x v="0"/>
    <x v="11"/>
    <x v="11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18.802500000000002"/>
  </r>
  <r>
    <x v="11"/>
    <x v="0"/>
    <x v="11"/>
    <x v="11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5.985940000000001"/>
  </r>
  <r>
    <x v="11"/>
    <x v="0"/>
    <x v="11"/>
    <x v="11"/>
    <x v="1"/>
    <x v="6"/>
    <x v="1"/>
    <x v="1"/>
    <x v="1"/>
    <x v="5"/>
    <x v="1"/>
    <x v="1"/>
    <x v="3"/>
    <x v="3"/>
    <x v="3"/>
    <x v="49"/>
    <x v="49"/>
    <n v="60.57268723"/>
    <x v="0"/>
    <x v="0"/>
    <x v="1"/>
    <x v="1"/>
    <x v="1"/>
    <x v="23"/>
    <n v="66.02422908070001"/>
  </r>
  <r>
    <x v="11"/>
    <x v="0"/>
    <x v="11"/>
    <x v="11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0.180330000000005"/>
  </r>
  <r>
    <x v="11"/>
    <x v="0"/>
    <x v="11"/>
    <x v="11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297.08357660000001"/>
  </r>
  <r>
    <x v="11"/>
    <x v="0"/>
    <x v="11"/>
    <x v="11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32606"/>
  </r>
  <r>
    <x v="11"/>
    <x v="0"/>
    <x v="11"/>
    <x v="11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0.94171640000000001"/>
  </r>
  <r>
    <x v="11"/>
    <x v="0"/>
    <x v="11"/>
    <x v="11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1.021740000000005"/>
  </r>
  <r>
    <x v="11"/>
    <x v="0"/>
    <x v="11"/>
    <x v="11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193.50359070000002"/>
  </r>
  <r>
    <x v="11"/>
    <x v="0"/>
    <x v="11"/>
    <x v="11"/>
    <x v="1"/>
    <x v="6"/>
    <x v="1"/>
    <x v="1"/>
    <x v="1"/>
    <x v="5"/>
    <x v="1"/>
    <x v="1"/>
    <x v="3"/>
    <x v="3"/>
    <x v="3"/>
    <x v="24"/>
    <x v="24"/>
    <n v="4.6541284403641798"/>
    <x v="0"/>
    <x v="0"/>
    <x v="1"/>
    <x v="3"/>
    <x v="3"/>
    <x v="4"/>
    <n v="5.0729999999969566"/>
  </r>
  <r>
    <x v="11"/>
    <x v="0"/>
    <x v="11"/>
    <x v="11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4.6485230000000008"/>
  </r>
  <r>
    <x v="11"/>
    <x v="0"/>
    <x v="11"/>
    <x v="11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4.7095957000000004"/>
  </r>
  <r>
    <x v="11"/>
    <x v="0"/>
    <x v="11"/>
    <x v="11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16303"/>
  </r>
  <r>
    <x v="11"/>
    <x v="0"/>
    <x v="11"/>
    <x v="11"/>
    <x v="1"/>
    <x v="6"/>
    <x v="1"/>
    <x v="1"/>
    <x v="1"/>
    <x v="5"/>
    <x v="1"/>
    <x v="1"/>
    <x v="3"/>
    <x v="3"/>
    <x v="3"/>
    <x v="21"/>
    <x v="21"/>
    <n v="63.717165462151698"/>
    <x v="0"/>
    <x v="0"/>
    <x v="1"/>
    <x v="4"/>
    <x v="5"/>
    <x v="10"/>
    <n v="69.451710353745355"/>
  </r>
  <r>
    <x v="11"/>
    <x v="0"/>
    <x v="11"/>
    <x v="11"/>
    <x v="1"/>
    <x v="6"/>
    <x v="1"/>
    <x v="1"/>
    <x v="1"/>
    <x v="5"/>
    <x v="1"/>
    <x v="1"/>
    <x v="3"/>
    <x v="3"/>
    <x v="3"/>
    <x v="71"/>
    <x v="71"/>
    <n v="0.47995073897787999"/>
    <x v="0"/>
    <x v="0"/>
    <x v="1"/>
    <x v="3"/>
    <x v="3"/>
    <x v="4"/>
    <n v="0.52314630548588925"/>
  </r>
  <r>
    <x v="11"/>
    <x v="0"/>
    <x v="11"/>
    <x v="11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2157603000000003"/>
  </r>
  <r>
    <x v="11"/>
    <x v="0"/>
    <x v="11"/>
    <x v="11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5328971000000005"/>
  </r>
  <r>
    <x v="11"/>
    <x v="0"/>
    <x v="11"/>
    <x v="11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7.783350000000002"/>
  </r>
  <r>
    <x v="11"/>
    <x v="0"/>
    <x v="11"/>
    <x v="11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1.9283408000000002"/>
  </r>
  <r>
    <x v="11"/>
    <x v="0"/>
    <x v="11"/>
    <x v="11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0.626604100000002"/>
  </r>
  <r>
    <x v="11"/>
    <x v="0"/>
    <x v="11"/>
    <x v="11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2199933999999999"/>
  </r>
  <r>
    <x v="11"/>
    <x v="0"/>
    <x v="11"/>
    <x v="11"/>
    <x v="1"/>
    <x v="6"/>
    <x v="1"/>
    <x v="1"/>
    <x v="1"/>
    <x v="5"/>
    <x v="1"/>
    <x v="1"/>
    <x v="3"/>
    <x v="3"/>
    <x v="3"/>
    <x v="2"/>
    <x v="2"/>
    <n v="1480.79550458627"/>
    <x v="0"/>
    <x v="1"/>
    <x v="2"/>
    <x v="2"/>
    <x v="13"/>
    <x v="2"/>
    <n v="1614.0670999990343"/>
  </r>
  <r>
    <x v="11"/>
    <x v="0"/>
    <x v="11"/>
    <x v="11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1.149000000000008"/>
  </r>
  <r>
    <x v="11"/>
    <x v="0"/>
    <x v="11"/>
    <x v="11"/>
    <x v="1"/>
    <x v="6"/>
    <x v="1"/>
    <x v="1"/>
    <x v="1"/>
    <x v="5"/>
    <x v="1"/>
    <x v="1"/>
    <x v="3"/>
    <x v="3"/>
    <x v="3"/>
    <x v="3"/>
    <x v="3"/>
    <n v="127.053857132947"/>
    <x v="0"/>
    <x v="0"/>
    <x v="1"/>
    <x v="3"/>
    <x v="3"/>
    <x v="3"/>
    <n v="138.48870427491224"/>
  </r>
  <r>
    <x v="11"/>
    <x v="0"/>
    <x v="11"/>
    <x v="11"/>
    <x v="1"/>
    <x v="6"/>
    <x v="1"/>
    <x v="1"/>
    <x v="1"/>
    <x v="5"/>
    <x v="1"/>
    <x v="1"/>
    <x v="0"/>
    <x v="4"/>
    <x v="4"/>
    <x v="39"/>
    <x v="39"/>
    <n v="0.20229613639833"/>
    <x v="0"/>
    <x v="0"/>
    <x v="1"/>
    <x v="4"/>
    <x v="5"/>
    <x v="9"/>
    <n v="0.22050278867417972"/>
  </r>
  <r>
    <x v="11"/>
    <x v="0"/>
    <x v="11"/>
    <x v="11"/>
    <x v="1"/>
    <x v="6"/>
    <x v="1"/>
    <x v="1"/>
    <x v="1"/>
    <x v="5"/>
    <x v="1"/>
    <x v="1"/>
    <x v="0"/>
    <x v="4"/>
    <x v="4"/>
    <x v="5"/>
    <x v="5"/>
    <n v="0.77300613497519999"/>
    <x v="0"/>
    <x v="0"/>
    <x v="1"/>
    <x v="1"/>
    <x v="1"/>
    <x v="5"/>
    <n v="0.84257668712296807"/>
  </r>
  <r>
    <x v="11"/>
    <x v="0"/>
    <x v="11"/>
    <x v="11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4718558000000002"/>
  </r>
  <r>
    <x v="11"/>
    <x v="0"/>
    <x v="11"/>
    <x v="11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6350000000000002"/>
  </r>
  <r>
    <x v="11"/>
    <x v="0"/>
    <x v="11"/>
    <x v="11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4493800000000006"/>
  </r>
  <r>
    <x v="11"/>
    <x v="0"/>
    <x v="11"/>
    <x v="11"/>
    <x v="1"/>
    <x v="6"/>
    <x v="1"/>
    <x v="1"/>
    <x v="1"/>
    <x v="5"/>
    <x v="1"/>
    <x v="1"/>
    <x v="0"/>
    <x v="4"/>
    <x v="4"/>
    <x v="7"/>
    <x v="7"/>
    <n v="-0.97519512192567004"/>
    <x v="0"/>
    <x v="0"/>
    <x v="1"/>
    <x v="4"/>
    <x v="5"/>
    <x v="7"/>
    <n v="-1.0629626828989804"/>
  </r>
  <r>
    <x v="11"/>
    <x v="0"/>
    <x v="11"/>
    <x v="11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19.676680000000001"/>
  </r>
  <r>
    <x v="11"/>
    <x v="0"/>
    <x v="11"/>
    <x v="11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3980000000000006"/>
  </r>
  <r>
    <x v="11"/>
    <x v="0"/>
    <x v="11"/>
    <x v="11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1800000000000002"/>
  </r>
  <r>
    <x v="11"/>
    <x v="0"/>
    <x v="11"/>
    <x v="11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48.004995200000003"/>
  </r>
  <r>
    <x v="11"/>
    <x v="0"/>
    <x v="11"/>
    <x v="11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3734000000000002"/>
  </r>
  <r>
    <x v="11"/>
    <x v="0"/>
    <x v="11"/>
    <x v="11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6.9424913"/>
  </r>
  <r>
    <x v="11"/>
    <x v="0"/>
    <x v="11"/>
    <x v="11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5533999999999999"/>
  </r>
  <r>
    <x v="11"/>
    <x v="0"/>
    <x v="11"/>
    <x v="11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4.8069000000000006"/>
  </r>
  <r>
    <x v="11"/>
    <x v="0"/>
    <x v="11"/>
    <x v="11"/>
    <x v="1"/>
    <x v="6"/>
    <x v="1"/>
    <x v="1"/>
    <x v="1"/>
    <x v="5"/>
    <x v="1"/>
    <x v="1"/>
    <x v="0"/>
    <x v="4"/>
    <x v="4"/>
    <x v="12"/>
    <x v="12"/>
    <n v="11.9831511627452"/>
    <x v="0"/>
    <x v="0"/>
    <x v="0"/>
    <x v="0"/>
    <x v="8"/>
    <x v="12"/>
    <n v="13.061634767392269"/>
  </r>
  <r>
    <x v="11"/>
    <x v="0"/>
    <x v="11"/>
    <x v="11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0905999999999998"/>
  </r>
  <r>
    <x v="11"/>
    <x v="0"/>
    <x v="11"/>
    <x v="11"/>
    <x v="1"/>
    <x v="6"/>
    <x v="1"/>
    <x v="1"/>
    <x v="1"/>
    <x v="5"/>
    <x v="1"/>
    <x v="1"/>
    <x v="0"/>
    <x v="4"/>
    <x v="4"/>
    <x v="49"/>
    <x v="49"/>
    <n v="22.026431720000001"/>
    <x v="0"/>
    <x v="0"/>
    <x v="1"/>
    <x v="1"/>
    <x v="1"/>
    <x v="23"/>
    <n v="24.008810574800002"/>
  </r>
  <r>
    <x v="11"/>
    <x v="0"/>
    <x v="11"/>
    <x v="11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4.8069000000000006"/>
  </r>
  <r>
    <x v="11"/>
    <x v="0"/>
    <x v="11"/>
    <x v="11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19.884412200000003"/>
  </r>
  <r>
    <x v="11"/>
    <x v="0"/>
    <x v="11"/>
    <x v="11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2.8023900000000004"/>
  </r>
  <r>
    <x v="11"/>
    <x v="0"/>
    <x v="11"/>
    <x v="11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3906072000000007"/>
  </r>
  <r>
    <x v="11"/>
    <x v="0"/>
    <x v="11"/>
    <x v="11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5.7449213000000006"/>
  </r>
  <r>
    <x v="11"/>
    <x v="0"/>
    <x v="11"/>
    <x v="11"/>
    <x v="1"/>
    <x v="6"/>
    <x v="1"/>
    <x v="1"/>
    <x v="1"/>
    <x v="5"/>
    <x v="1"/>
    <x v="1"/>
    <x v="0"/>
    <x v="4"/>
    <x v="4"/>
    <x v="21"/>
    <x v="21"/>
    <n v="1.5694966666980601"/>
    <x v="0"/>
    <x v="0"/>
    <x v="1"/>
    <x v="4"/>
    <x v="5"/>
    <x v="10"/>
    <n v="1.7107513667008856"/>
  </r>
  <r>
    <x v="11"/>
    <x v="0"/>
    <x v="11"/>
    <x v="11"/>
    <x v="1"/>
    <x v="6"/>
    <x v="1"/>
    <x v="1"/>
    <x v="1"/>
    <x v="5"/>
    <x v="1"/>
    <x v="1"/>
    <x v="0"/>
    <x v="4"/>
    <x v="4"/>
    <x v="27"/>
    <x v="27"/>
    <n v="1.5358130630956199"/>
    <x v="0"/>
    <x v="0"/>
    <x v="1"/>
    <x v="3"/>
    <x v="3"/>
    <x v="19"/>
    <n v="1.6740362387742258"/>
  </r>
  <r>
    <x v="11"/>
    <x v="0"/>
    <x v="11"/>
    <x v="11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1990000000000003"/>
  </r>
  <r>
    <x v="11"/>
    <x v="0"/>
    <x v="11"/>
    <x v="11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3832209"/>
  </r>
  <r>
    <x v="11"/>
    <x v="0"/>
    <x v="11"/>
    <x v="11"/>
    <x v="1"/>
    <x v="6"/>
    <x v="1"/>
    <x v="1"/>
    <x v="1"/>
    <x v="5"/>
    <x v="1"/>
    <x v="1"/>
    <x v="0"/>
    <x v="4"/>
    <x v="4"/>
    <x v="2"/>
    <x v="2"/>
    <n v="270.05018348607598"/>
    <x v="0"/>
    <x v="1"/>
    <x v="2"/>
    <x v="2"/>
    <x v="13"/>
    <x v="2"/>
    <n v="294.35469999982286"/>
  </r>
  <r>
    <x v="11"/>
    <x v="0"/>
    <x v="11"/>
    <x v="11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6160000000000001"/>
  </r>
  <r>
    <x v="11"/>
    <x v="0"/>
    <x v="11"/>
    <x v="11"/>
    <x v="1"/>
    <x v="6"/>
    <x v="1"/>
    <x v="1"/>
    <x v="1"/>
    <x v="5"/>
    <x v="1"/>
    <x v="1"/>
    <x v="0"/>
    <x v="4"/>
    <x v="4"/>
    <x v="3"/>
    <x v="3"/>
    <n v="3.0566009849832598"/>
    <x v="0"/>
    <x v="0"/>
    <x v="1"/>
    <x v="3"/>
    <x v="3"/>
    <x v="3"/>
    <n v="3.3316950736317534"/>
  </r>
  <r>
    <x v="11"/>
    <x v="0"/>
    <x v="11"/>
    <x v="11"/>
    <x v="1"/>
    <x v="6"/>
    <x v="1"/>
    <x v="1"/>
    <x v="1"/>
    <x v="5"/>
    <x v="1"/>
    <x v="1"/>
    <x v="2"/>
    <x v="2"/>
    <x v="2"/>
    <x v="39"/>
    <x v="39"/>
    <n v="0.21172863301299999"/>
    <x v="0"/>
    <x v="0"/>
    <x v="1"/>
    <x v="4"/>
    <x v="5"/>
    <x v="9"/>
    <n v="0.23078420998417001"/>
  </r>
  <r>
    <x v="11"/>
    <x v="0"/>
    <x v="11"/>
    <x v="11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2969339"/>
  </r>
  <r>
    <x v="11"/>
    <x v="0"/>
    <x v="11"/>
    <x v="11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3.4397"/>
  </r>
  <r>
    <x v="11"/>
    <x v="0"/>
    <x v="11"/>
    <x v="11"/>
    <x v="1"/>
    <x v="6"/>
    <x v="1"/>
    <x v="1"/>
    <x v="1"/>
    <x v="5"/>
    <x v="1"/>
    <x v="1"/>
    <x v="2"/>
    <x v="2"/>
    <x v="2"/>
    <x v="7"/>
    <x v="7"/>
    <n v="1.78275229357691"/>
    <x v="0"/>
    <x v="0"/>
    <x v="1"/>
    <x v="4"/>
    <x v="5"/>
    <x v="7"/>
    <n v="1.9431999999988321"/>
  </r>
  <r>
    <x v="11"/>
    <x v="0"/>
    <x v="11"/>
    <x v="11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19.576400000000003"/>
  </r>
  <r>
    <x v="11"/>
    <x v="0"/>
    <x v="11"/>
    <x v="11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96.90856460000002"/>
  </r>
  <r>
    <x v="11"/>
    <x v="0"/>
    <x v="11"/>
    <x v="11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2.507820000000002"/>
  </r>
  <r>
    <x v="11"/>
    <x v="0"/>
    <x v="11"/>
    <x v="11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1.3687"/>
  </r>
  <r>
    <x v="11"/>
    <x v="0"/>
    <x v="11"/>
    <x v="11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3.706"/>
  </r>
  <r>
    <x v="11"/>
    <x v="0"/>
    <x v="11"/>
    <x v="11"/>
    <x v="1"/>
    <x v="6"/>
    <x v="1"/>
    <x v="1"/>
    <x v="1"/>
    <x v="5"/>
    <x v="1"/>
    <x v="1"/>
    <x v="2"/>
    <x v="2"/>
    <x v="2"/>
    <x v="12"/>
    <x v="12"/>
    <n v="9.8790697674043209"/>
    <x v="0"/>
    <x v="0"/>
    <x v="0"/>
    <x v="0"/>
    <x v="8"/>
    <x v="12"/>
    <n v="10.76818604647071"/>
  </r>
  <r>
    <x v="11"/>
    <x v="0"/>
    <x v="11"/>
    <x v="11"/>
    <x v="1"/>
    <x v="6"/>
    <x v="1"/>
    <x v="1"/>
    <x v="1"/>
    <x v="5"/>
    <x v="1"/>
    <x v="1"/>
    <x v="2"/>
    <x v="2"/>
    <x v="2"/>
    <x v="49"/>
    <x v="49"/>
    <n v="149.163551995505"/>
    <x v="0"/>
    <x v="0"/>
    <x v="1"/>
    <x v="1"/>
    <x v="1"/>
    <x v="23"/>
    <n v="162.58827167510046"/>
  </r>
  <r>
    <x v="11"/>
    <x v="0"/>
    <x v="11"/>
    <x v="11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1.459144000000002"/>
  </r>
  <r>
    <x v="11"/>
    <x v="0"/>
    <x v="11"/>
    <x v="11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2.589500000000001"/>
  </r>
  <r>
    <x v="11"/>
    <x v="0"/>
    <x v="11"/>
    <x v="11"/>
    <x v="1"/>
    <x v="6"/>
    <x v="1"/>
    <x v="1"/>
    <x v="1"/>
    <x v="5"/>
    <x v="1"/>
    <x v="1"/>
    <x v="2"/>
    <x v="2"/>
    <x v="2"/>
    <x v="27"/>
    <x v="27"/>
    <n v="2.5315135135671798"/>
    <x v="0"/>
    <x v="0"/>
    <x v="1"/>
    <x v="3"/>
    <x v="3"/>
    <x v="19"/>
    <n v="2.7593497297882261"/>
  </r>
  <r>
    <x v="11"/>
    <x v="0"/>
    <x v="11"/>
    <x v="11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7250000000000001"/>
  </r>
  <r>
    <x v="11"/>
    <x v="0"/>
    <x v="11"/>
    <x v="11"/>
    <x v="1"/>
    <x v="6"/>
    <x v="1"/>
    <x v="1"/>
    <x v="1"/>
    <x v="5"/>
    <x v="1"/>
    <x v="1"/>
    <x v="2"/>
    <x v="2"/>
    <x v="2"/>
    <x v="2"/>
    <x v="2"/>
    <n v="107.487385321036"/>
    <x v="0"/>
    <x v="1"/>
    <x v="2"/>
    <x v="2"/>
    <x v="13"/>
    <x v="2"/>
    <n v="117.16124999992925"/>
  </r>
  <r>
    <x v="11"/>
    <x v="0"/>
    <x v="11"/>
    <x v="11"/>
    <x v="1"/>
    <x v="6"/>
    <x v="0"/>
    <x v="0"/>
    <x v="0"/>
    <x v="0"/>
    <x v="2"/>
    <x v="2"/>
    <x v="3"/>
    <x v="3"/>
    <x v="3"/>
    <x v="77"/>
    <x v="77"/>
    <n v="68.422990825647005"/>
    <x v="0"/>
    <x v="2"/>
    <x v="5"/>
    <x v="7"/>
    <x v="12"/>
    <x v="24"/>
    <n v="74.581059999955244"/>
  </r>
  <r>
    <x v="11"/>
    <x v="0"/>
    <x v="11"/>
    <x v="11"/>
    <x v="1"/>
    <x v="6"/>
    <x v="0"/>
    <x v="0"/>
    <x v="0"/>
    <x v="0"/>
    <x v="2"/>
    <x v="2"/>
    <x v="2"/>
    <x v="2"/>
    <x v="2"/>
    <x v="8"/>
    <x v="8"/>
    <n v="16.590486486592699"/>
    <x v="0"/>
    <x v="1"/>
    <x v="2"/>
    <x v="2"/>
    <x v="6"/>
    <x v="8"/>
    <n v="18.083630270386042"/>
  </r>
  <r>
    <x v="11"/>
    <x v="0"/>
    <x v="11"/>
    <x v="11"/>
    <x v="1"/>
    <x v="6"/>
    <x v="0"/>
    <x v="0"/>
    <x v="0"/>
    <x v="0"/>
    <x v="2"/>
    <x v="2"/>
    <x v="2"/>
    <x v="2"/>
    <x v="2"/>
    <x v="10"/>
    <x v="10"/>
    <n v="2.5731617374809601"/>
    <x v="0"/>
    <x v="0"/>
    <x v="1"/>
    <x v="4"/>
    <x v="5"/>
    <x v="10"/>
    <n v="2.8047462938542469"/>
  </r>
  <r>
    <x v="11"/>
    <x v="0"/>
    <x v="11"/>
    <x v="11"/>
    <x v="1"/>
    <x v="6"/>
    <x v="0"/>
    <x v="0"/>
    <x v="0"/>
    <x v="0"/>
    <x v="2"/>
    <x v="2"/>
    <x v="1"/>
    <x v="6"/>
    <x v="6"/>
    <x v="77"/>
    <x v="77"/>
    <n v="0.52103669724738999"/>
    <x v="0"/>
    <x v="2"/>
    <x v="5"/>
    <x v="7"/>
    <x v="12"/>
    <x v="24"/>
    <n v="0.5679299999996551"/>
  </r>
  <r>
    <x v="11"/>
    <x v="0"/>
    <x v="11"/>
    <x v="11"/>
    <x v="1"/>
    <x v="6"/>
    <x v="0"/>
    <x v="0"/>
    <x v="0"/>
    <x v="0"/>
    <x v="0"/>
    <x v="0"/>
    <x v="3"/>
    <x v="3"/>
    <x v="3"/>
    <x v="5"/>
    <x v="5"/>
    <n v="34.223312883695698"/>
    <x v="0"/>
    <x v="0"/>
    <x v="1"/>
    <x v="1"/>
    <x v="1"/>
    <x v="5"/>
    <n v="37.303411043228316"/>
  </r>
  <r>
    <x v="11"/>
    <x v="0"/>
    <x v="11"/>
    <x v="11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0642760000000001"/>
  </r>
  <r>
    <x v="11"/>
    <x v="0"/>
    <x v="11"/>
    <x v="11"/>
    <x v="1"/>
    <x v="6"/>
    <x v="0"/>
    <x v="0"/>
    <x v="0"/>
    <x v="0"/>
    <x v="0"/>
    <x v="0"/>
    <x v="3"/>
    <x v="3"/>
    <x v="3"/>
    <x v="11"/>
    <x v="11"/>
    <n v="-0.64961999999999998"/>
    <x v="0"/>
    <x v="0"/>
    <x v="3"/>
    <x v="5"/>
    <x v="7"/>
    <x v="11"/>
    <n v="-0.70808579999999999"/>
  </r>
  <r>
    <x v="11"/>
    <x v="0"/>
    <x v="11"/>
    <x v="11"/>
    <x v="1"/>
    <x v="6"/>
    <x v="0"/>
    <x v="0"/>
    <x v="0"/>
    <x v="0"/>
    <x v="0"/>
    <x v="0"/>
    <x v="3"/>
    <x v="3"/>
    <x v="3"/>
    <x v="26"/>
    <x v="26"/>
    <n v="78.956220183438901"/>
    <x v="0"/>
    <x v="0"/>
    <x v="1"/>
    <x v="3"/>
    <x v="3"/>
    <x v="15"/>
    <n v="86.062279999948416"/>
  </r>
  <r>
    <x v="11"/>
    <x v="0"/>
    <x v="11"/>
    <x v="11"/>
    <x v="1"/>
    <x v="6"/>
    <x v="0"/>
    <x v="0"/>
    <x v="0"/>
    <x v="0"/>
    <x v="0"/>
    <x v="0"/>
    <x v="0"/>
    <x v="4"/>
    <x v="4"/>
    <x v="7"/>
    <x v="7"/>
    <n v="-1.6550522647699999E-3"/>
    <x v="0"/>
    <x v="0"/>
    <x v="1"/>
    <x v="4"/>
    <x v="5"/>
    <x v="7"/>
    <n v="-1.8040069685993001E-3"/>
  </r>
  <r>
    <x v="11"/>
    <x v="0"/>
    <x v="11"/>
    <x v="11"/>
    <x v="1"/>
    <x v="6"/>
    <x v="0"/>
    <x v="0"/>
    <x v="0"/>
    <x v="0"/>
    <x v="0"/>
    <x v="0"/>
    <x v="0"/>
    <x v="4"/>
    <x v="4"/>
    <x v="9"/>
    <x v="9"/>
    <n v="5.1567794307010697"/>
    <x v="0"/>
    <x v="0"/>
    <x v="1"/>
    <x v="4"/>
    <x v="5"/>
    <x v="9"/>
    <n v="5.6208895794641665"/>
  </r>
  <r>
    <x v="11"/>
    <x v="0"/>
    <x v="11"/>
    <x v="11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68.575802200000012"/>
  </r>
  <r>
    <x v="11"/>
    <x v="0"/>
    <x v="11"/>
    <x v="11"/>
    <x v="1"/>
    <x v="6"/>
    <x v="0"/>
    <x v="0"/>
    <x v="0"/>
    <x v="0"/>
    <x v="0"/>
    <x v="0"/>
    <x v="0"/>
    <x v="4"/>
    <x v="4"/>
    <x v="31"/>
    <x v="31"/>
    <n v="3.0642935779798099"/>
    <x v="0"/>
    <x v="0"/>
    <x v="1"/>
    <x v="4"/>
    <x v="5"/>
    <x v="10"/>
    <n v="3.3400799999979931"/>
  </r>
  <r>
    <x v="11"/>
    <x v="0"/>
    <x v="11"/>
    <x v="11"/>
    <x v="1"/>
    <x v="6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2242200000000003"/>
  </r>
  <r>
    <x v="11"/>
    <x v="0"/>
    <x v="11"/>
    <x v="11"/>
    <x v="1"/>
    <x v="6"/>
    <x v="0"/>
    <x v="0"/>
    <x v="0"/>
    <x v="0"/>
    <x v="0"/>
    <x v="0"/>
    <x v="0"/>
    <x v="4"/>
    <x v="4"/>
    <x v="25"/>
    <x v="25"/>
    <n v="7.4636055045826799"/>
    <x v="0"/>
    <x v="0"/>
    <x v="1"/>
    <x v="4"/>
    <x v="5"/>
    <x v="9"/>
    <n v="8.1353299999951219"/>
  </r>
  <r>
    <x v="11"/>
    <x v="0"/>
    <x v="11"/>
    <x v="11"/>
    <x v="1"/>
    <x v="6"/>
    <x v="0"/>
    <x v="0"/>
    <x v="0"/>
    <x v="0"/>
    <x v="0"/>
    <x v="0"/>
    <x v="0"/>
    <x v="4"/>
    <x v="4"/>
    <x v="37"/>
    <x v="37"/>
    <n v="127.811009174235"/>
    <x v="0"/>
    <x v="0"/>
    <x v="1"/>
    <x v="3"/>
    <x v="3"/>
    <x v="4"/>
    <n v="139.31399999991615"/>
  </r>
  <r>
    <x v="11"/>
    <x v="0"/>
    <x v="11"/>
    <x v="11"/>
    <x v="1"/>
    <x v="6"/>
    <x v="0"/>
    <x v="0"/>
    <x v="0"/>
    <x v="0"/>
    <x v="0"/>
    <x v="0"/>
    <x v="0"/>
    <x v="4"/>
    <x v="4"/>
    <x v="26"/>
    <x v="26"/>
    <n v="31.281614678880299"/>
    <x v="0"/>
    <x v="0"/>
    <x v="1"/>
    <x v="3"/>
    <x v="3"/>
    <x v="15"/>
    <n v="34.096959999979525"/>
  </r>
  <r>
    <x v="11"/>
    <x v="0"/>
    <x v="11"/>
    <x v="11"/>
    <x v="1"/>
    <x v="6"/>
    <x v="0"/>
    <x v="0"/>
    <x v="0"/>
    <x v="0"/>
    <x v="0"/>
    <x v="0"/>
    <x v="0"/>
    <x v="4"/>
    <x v="4"/>
    <x v="2"/>
    <x v="2"/>
    <n v="417.41317431167602"/>
    <x v="0"/>
    <x v="1"/>
    <x v="2"/>
    <x v="2"/>
    <x v="13"/>
    <x v="2"/>
    <n v="454.98035999972689"/>
  </r>
  <r>
    <x v="11"/>
    <x v="0"/>
    <x v="11"/>
    <x v="11"/>
    <x v="1"/>
    <x v="6"/>
    <x v="0"/>
    <x v="0"/>
    <x v="0"/>
    <x v="0"/>
    <x v="0"/>
    <x v="0"/>
    <x v="0"/>
    <x v="4"/>
    <x v="4"/>
    <x v="3"/>
    <x v="3"/>
    <n v="24.80295566309"/>
    <x v="0"/>
    <x v="0"/>
    <x v="1"/>
    <x v="3"/>
    <x v="3"/>
    <x v="3"/>
    <n v="27.035221672768103"/>
  </r>
  <r>
    <x v="11"/>
    <x v="0"/>
    <x v="11"/>
    <x v="11"/>
    <x v="1"/>
    <x v="6"/>
    <x v="0"/>
    <x v="0"/>
    <x v="0"/>
    <x v="0"/>
    <x v="0"/>
    <x v="0"/>
    <x v="0"/>
    <x v="0"/>
    <x v="0"/>
    <x v="5"/>
    <x v="5"/>
    <n v="24.263190184233501"/>
    <x v="0"/>
    <x v="0"/>
    <x v="1"/>
    <x v="1"/>
    <x v="1"/>
    <x v="5"/>
    <n v="26.446877300814517"/>
  </r>
  <r>
    <x v="11"/>
    <x v="0"/>
    <x v="11"/>
    <x v="11"/>
    <x v="1"/>
    <x v="6"/>
    <x v="0"/>
    <x v="0"/>
    <x v="0"/>
    <x v="0"/>
    <x v="0"/>
    <x v="0"/>
    <x v="0"/>
    <x v="0"/>
    <x v="0"/>
    <x v="7"/>
    <x v="7"/>
    <n v="17.938532110080999"/>
    <x v="0"/>
    <x v="0"/>
    <x v="1"/>
    <x v="4"/>
    <x v="5"/>
    <x v="7"/>
    <n v="19.552999999988291"/>
  </r>
  <r>
    <x v="11"/>
    <x v="0"/>
    <x v="11"/>
    <x v="11"/>
    <x v="1"/>
    <x v="6"/>
    <x v="0"/>
    <x v="0"/>
    <x v="0"/>
    <x v="0"/>
    <x v="0"/>
    <x v="0"/>
    <x v="0"/>
    <x v="0"/>
    <x v="0"/>
    <x v="9"/>
    <x v="9"/>
    <n v="37.184131661415002"/>
    <x v="0"/>
    <x v="0"/>
    <x v="1"/>
    <x v="4"/>
    <x v="5"/>
    <x v="9"/>
    <n v="40.530703510942352"/>
  </r>
  <r>
    <x v="11"/>
    <x v="0"/>
    <x v="11"/>
    <x v="11"/>
    <x v="1"/>
    <x v="6"/>
    <x v="0"/>
    <x v="0"/>
    <x v="0"/>
    <x v="0"/>
    <x v="0"/>
    <x v="0"/>
    <x v="0"/>
    <x v="0"/>
    <x v="0"/>
    <x v="10"/>
    <x v="10"/>
    <n v="5.2822102531072002"/>
    <x v="0"/>
    <x v="0"/>
    <x v="1"/>
    <x v="4"/>
    <x v="5"/>
    <x v="10"/>
    <n v="5.7576091758868486"/>
  </r>
  <r>
    <x v="11"/>
    <x v="0"/>
    <x v="11"/>
    <x v="11"/>
    <x v="1"/>
    <x v="6"/>
    <x v="0"/>
    <x v="0"/>
    <x v="0"/>
    <x v="0"/>
    <x v="0"/>
    <x v="0"/>
    <x v="0"/>
    <x v="0"/>
    <x v="0"/>
    <x v="26"/>
    <x v="26"/>
    <n v="9.1688990825633105"/>
    <x v="0"/>
    <x v="0"/>
    <x v="1"/>
    <x v="3"/>
    <x v="3"/>
    <x v="15"/>
    <n v="9.9940999999940097"/>
  </r>
  <r>
    <x v="11"/>
    <x v="0"/>
    <x v="11"/>
    <x v="11"/>
    <x v="1"/>
    <x v="6"/>
    <x v="0"/>
    <x v="0"/>
    <x v="0"/>
    <x v="0"/>
    <x v="0"/>
    <x v="0"/>
    <x v="0"/>
    <x v="0"/>
    <x v="0"/>
    <x v="1"/>
    <x v="1"/>
    <n v="87.791172413310306"/>
    <x v="0"/>
    <x v="0"/>
    <x v="1"/>
    <x v="1"/>
    <x v="1"/>
    <x v="1"/>
    <n v="95.692377930508243"/>
  </r>
  <r>
    <x v="11"/>
    <x v="0"/>
    <x v="11"/>
    <x v="11"/>
    <x v="1"/>
    <x v="6"/>
    <x v="0"/>
    <x v="0"/>
    <x v="0"/>
    <x v="0"/>
    <x v="0"/>
    <x v="0"/>
    <x v="0"/>
    <x v="0"/>
    <x v="0"/>
    <x v="2"/>
    <x v="2"/>
    <n v="635.93108256842595"/>
    <x v="0"/>
    <x v="1"/>
    <x v="2"/>
    <x v="2"/>
    <x v="13"/>
    <x v="2"/>
    <n v="693.16487999958429"/>
  </r>
  <r>
    <x v="11"/>
    <x v="0"/>
    <x v="11"/>
    <x v="11"/>
    <x v="1"/>
    <x v="6"/>
    <x v="0"/>
    <x v="0"/>
    <x v="0"/>
    <x v="0"/>
    <x v="0"/>
    <x v="0"/>
    <x v="1"/>
    <x v="1"/>
    <x v="1"/>
    <x v="5"/>
    <x v="5"/>
    <n v="286.84866257886699"/>
    <x v="0"/>
    <x v="0"/>
    <x v="1"/>
    <x v="1"/>
    <x v="1"/>
    <x v="5"/>
    <n v="312.66504221096505"/>
  </r>
  <r>
    <x v="11"/>
    <x v="0"/>
    <x v="11"/>
    <x v="11"/>
    <x v="1"/>
    <x v="6"/>
    <x v="0"/>
    <x v="0"/>
    <x v="0"/>
    <x v="0"/>
    <x v="0"/>
    <x v="0"/>
    <x v="1"/>
    <x v="1"/>
    <x v="1"/>
    <x v="7"/>
    <x v="7"/>
    <n v="17.938532110080999"/>
    <x v="0"/>
    <x v="0"/>
    <x v="1"/>
    <x v="4"/>
    <x v="5"/>
    <x v="7"/>
    <n v="19.552999999988291"/>
  </r>
  <r>
    <x v="11"/>
    <x v="0"/>
    <x v="11"/>
    <x v="11"/>
    <x v="1"/>
    <x v="6"/>
    <x v="0"/>
    <x v="0"/>
    <x v="0"/>
    <x v="0"/>
    <x v="0"/>
    <x v="0"/>
    <x v="1"/>
    <x v="1"/>
    <x v="1"/>
    <x v="27"/>
    <x v="27"/>
    <n v="6.25499774788035"/>
    <x v="0"/>
    <x v="0"/>
    <x v="1"/>
    <x v="3"/>
    <x v="3"/>
    <x v="19"/>
    <n v="6.8179475451895817"/>
  </r>
  <r>
    <x v="11"/>
    <x v="0"/>
    <x v="11"/>
    <x v="11"/>
    <x v="1"/>
    <x v="6"/>
    <x v="0"/>
    <x v="0"/>
    <x v="0"/>
    <x v="0"/>
    <x v="0"/>
    <x v="0"/>
    <x v="1"/>
    <x v="1"/>
    <x v="1"/>
    <x v="26"/>
    <x v="26"/>
    <n v="22.804559633013799"/>
    <x v="0"/>
    <x v="0"/>
    <x v="1"/>
    <x v="3"/>
    <x v="3"/>
    <x v="15"/>
    <n v="24.856969999985044"/>
  </r>
  <r>
    <x v="11"/>
    <x v="0"/>
    <x v="11"/>
    <x v="11"/>
    <x v="1"/>
    <x v="6"/>
    <x v="0"/>
    <x v="0"/>
    <x v="0"/>
    <x v="0"/>
    <x v="0"/>
    <x v="0"/>
    <x v="1"/>
    <x v="1"/>
    <x v="1"/>
    <x v="1"/>
    <x v="1"/>
    <n v="79.287724137494905"/>
    <x v="0"/>
    <x v="0"/>
    <x v="1"/>
    <x v="1"/>
    <x v="1"/>
    <x v="1"/>
    <n v="86.423619309869451"/>
  </r>
  <r>
    <x v="11"/>
    <x v="0"/>
    <x v="11"/>
    <x v="11"/>
    <x v="1"/>
    <x v="6"/>
    <x v="0"/>
    <x v="0"/>
    <x v="0"/>
    <x v="0"/>
    <x v="0"/>
    <x v="0"/>
    <x v="1"/>
    <x v="1"/>
    <x v="1"/>
    <x v="2"/>
    <x v="2"/>
    <n v="16.382972477054398"/>
    <x v="0"/>
    <x v="1"/>
    <x v="2"/>
    <x v="2"/>
    <x v="13"/>
    <x v="2"/>
    <n v="17.857439999989296"/>
  </r>
  <r>
    <x v="11"/>
    <x v="0"/>
    <x v="11"/>
    <x v="11"/>
    <x v="1"/>
    <x v="6"/>
    <x v="0"/>
    <x v="0"/>
    <x v="0"/>
    <x v="0"/>
    <x v="0"/>
    <x v="0"/>
    <x v="2"/>
    <x v="2"/>
    <x v="2"/>
    <x v="4"/>
    <x v="4"/>
    <n v="119.546871559561"/>
    <x v="0"/>
    <x v="0"/>
    <x v="1"/>
    <x v="3"/>
    <x v="3"/>
    <x v="4"/>
    <n v="130.30608999992151"/>
  </r>
  <r>
    <x v="11"/>
    <x v="0"/>
    <x v="11"/>
    <x v="11"/>
    <x v="1"/>
    <x v="6"/>
    <x v="0"/>
    <x v="0"/>
    <x v="0"/>
    <x v="0"/>
    <x v="0"/>
    <x v="0"/>
    <x v="2"/>
    <x v="2"/>
    <x v="2"/>
    <x v="39"/>
    <x v="39"/>
    <n v="4.1284403669699996"/>
    <x v="0"/>
    <x v="0"/>
    <x v="1"/>
    <x v="4"/>
    <x v="5"/>
    <x v="9"/>
    <n v="4.4999999999972999"/>
  </r>
  <r>
    <x v="11"/>
    <x v="0"/>
    <x v="11"/>
    <x v="11"/>
    <x v="1"/>
    <x v="6"/>
    <x v="0"/>
    <x v="0"/>
    <x v="0"/>
    <x v="0"/>
    <x v="0"/>
    <x v="0"/>
    <x v="2"/>
    <x v="2"/>
    <x v="2"/>
    <x v="5"/>
    <x v="5"/>
    <n v="32.480815951167102"/>
    <x v="0"/>
    <x v="0"/>
    <x v="1"/>
    <x v="1"/>
    <x v="1"/>
    <x v="5"/>
    <n v="35.404089386772142"/>
  </r>
  <r>
    <x v="11"/>
    <x v="0"/>
    <x v="11"/>
    <x v="11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5.5590000000000002"/>
  </r>
  <r>
    <x v="11"/>
    <x v="0"/>
    <x v="11"/>
    <x v="11"/>
    <x v="1"/>
    <x v="6"/>
    <x v="0"/>
    <x v="0"/>
    <x v="0"/>
    <x v="0"/>
    <x v="0"/>
    <x v="0"/>
    <x v="2"/>
    <x v="2"/>
    <x v="2"/>
    <x v="8"/>
    <x v="8"/>
    <n v="9.79617567573837"/>
    <x v="0"/>
    <x v="1"/>
    <x v="2"/>
    <x v="2"/>
    <x v="6"/>
    <x v="8"/>
    <n v="10.677831486554824"/>
  </r>
  <r>
    <x v="11"/>
    <x v="0"/>
    <x v="11"/>
    <x v="11"/>
    <x v="1"/>
    <x v="6"/>
    <x v="0"/>
    <x v="0"/>
    <x v="0"/>
    <x v="0"/>
    <x v="0"/>
    <x v="0"/>
    <x v="2"/>
    <x v="2"/>
    <x v="2"/>
    <x v="9"/>
    <x v="9"/>
    <n v="16.334290624267201"/>
    <x v="0"/>
    <x v="0"/>
    <x v="1"/>
    <x v="4"/>
    <x v="5"/>
    <x v="9"/>
    <n v="17.80437678045125"/>
  </r>
  <r>
    <x v="11"/>
    <x v="0"/>
    <x v="11"/>
    <x v="11"/>
    <x v="1"/>
    <x v="6"/>
    <x v="0"/>
    <x v="0"/>
    <x v="0"/>
    <x v="0"/>
    <x v="0"/>
    <x v="0"/>
    <x v="2"/>
    <x v="2"/>
    <x v="2"/>
    <x v="10"/>
    <x v="10"/>
    <n v="20.532874967614699"/>
    <x v="0"/>
    <x v="0"/>
    <x v="1"/>
    <x v="4"/>
    <x v="5"/>
    <x v="10"/>
    <n v="22.380833714700024"/>
  </r>
  <r>
    <x v="11"/>
    <x v="0"/>
    <x v="11"/>
    <x v="11"/>
    <x v="1"/>
    <x v="6"/>
    <x v="0"/>
    <x v="0"/>
    <x v="0"/>
    <x v="0"/>
    <x v="0"/>
    <x v="0"/>
    <x v="2"/>
    <x v="2"/>
    <x v="2"/>
    <x v="28"/>
    <x v="28"/>
    <n v="2.39994"/>
    <x v="0"/>
    <x v="0"/>
    <x v="1"/>
    <x v="3"/>
    <x v="3"/>
    <x v="13"/>
    <n v="2.6159346000000001"/>
  </r>
  <r>
    <x v="11"/>
    <x v="0"/>
    <x v="11"/>
    <x v="11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6.14583"/>
  </r>
  <r>
    <x v="11"/>
    <x v="0"/>
    <x v="11"/>
    <x v="11"/>
    <x v="1"/>
    <x v="6"/>
    <x v="0"/>
    <x v="0"/>
    <x v="0"/>
    <x v="0"/>
    <x v="0"/>
    <x v="0"/>
    <x v="2"/>
    <x v="2"/>
    <x v="2"/>
    <x v="80"/>
    <x v="80"/>
    <n v="7.51478899082118"/>
    <x v="0"/>
    <x v="0"/>
    <x v="1"/>
    <x v="4"/>
    <x v="5"/>
    <x v="10"/>
    <n v="8.1911199999950863"/>
  </r>
  <r>
    <x v="11"/>
    <x v="0"/>
    <x v="11"/>
    <x v="11"/>
    <x v="1"/>
    <x v="6"/>
    <x v="0"/>
    <x v="0"/>
    <x v="0"/>
    <x v="0"/>
    <x v="0"/>
    <x v="0"/>
    <x v="2"/>
    <x v="2"/>
    <x v="2"/>
    <x v="31"/>
    <x v="31"/>
    <n v="2.1559816513748502"/>
    <x v="0"/>
    <x v="0"/>
    <x v="1"/>
    <x v="4"/>
    <x v="5"/>
    <x v="10"/>
    <n v="2.3500199999985867"/>
  </r>
  <r>
    <x v="11"/>
    <x v="0"/>
    <x v="11"/>
    <x v="11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3.8150000000000004"/>
  </r>
  <r>
    <x v="11"/>
    <x v="0"/>
    <x v="11"/>
    <x v="11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59.274036500000001"/>
  </r>
  <r>
    <x v="11"/>
    <x v="0"/>
    <x v="11"/>
    <x v="11"/>
    <x v="1"/>
    <x v="6"/>
    <x v="0"/>
    <x v="0"/>
    <x v="0"/>
    <x v="0"/>
    <x v="0"/>
    <x v="0"/>
    <x v="2"/>
    <x v="2"/>
    <x v="2"/>
    <x v="21"/>
    <x v="21"/>
    <n v="25.448899082553499"/>
    <x v="0"/>
    <x v="0"/>
    <x v="1"/>
    <x v="4"/>
    <x v="5"/>
    <x v="10"/>
    <n v="27.739299999983317"/>
  </r>
  <r>
    <x v="11"/>
    <x v="0"/>
    <x v="11"/>
    <x v="11"/>
    <x v="1"/>
    <x v="6"/>
    <x v="0"/>
    <x v="0"/>
    <x v="0"/>
    <x v="0"/>
    <x v="0"/>
    <x v="0"/>
    <x v="2"/>
    <x v="2"/>
    <x v="2"/>
    <x v="79"/>
    <x v="79"/>
    <n v="10.5482660550395"/>
    <x v="0"/>
    <x v="0"/>
    <x v="1"/>
    <x v="4"/>
    <x v="5"/>
    <x v="10"/>
    <n v="11.497609999993056"/>
  </r>
  <r>
    <x v="11"/>
    <x v="0"/>
    <x v="11"/>
    <x v="11"/>
    <x v="1"/>
    <x v="6"/>
    <x v="0"/>
    <x v="0"/>
    <x v="0"/>
    <x v="0"/>
    <x v="0"/>
    <x v="0"/>
    <x v="2"/>
    <x v="2"/>
    <x v="2"/>
    <x v="25"/>
    <x v="25"/>
    <n v="4.8116238532081201"/>
    <x v="0"/>
    <x v="0"/>
    <x v="1"/>
    <x v="4"/>
    <x v="5"/>
    <x v="9"/>
    <n v="5.2446699999968516"/>
  </r>
  <r>
    <x v="11"/>
    <x v="0"/>
    <x v="11"/>
    <x v="11"/>
    <x v="1"/>
    <x v="6"/>
    <x v="0"/>
    <x v="0"/>
    <x v="0"/>
    <x v="0"/>
    <x v="0"/>
    <x v="0"/>
    <x v="2"/>
    <x v="2"/>
    <x v="2"/>
    <x v="78"/>
    <x v="78"/>
    <n v="3.2512660550439199"/>
    <x v="0"/>
    <x v="0"/>
    <x v="1"/>
    <x v="4"/>
    <x v="5"/>
    <x v="9"/>
    <n v="3.543879999997873"/>
  </r>
  <r>
    <x v="11"/>
    <x v="0"/>
    <x v="11"/>
    <x v="11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4.772390999999999"/>
  </r>
  <r>
    <x v="11"/>
    <x v="0"/>
    <x v="11"/>
    <x v="11"/>
    <x v="1"/>
    <x v="6"/>
    <x v="0"/>
    <x v="0"/>
    <x v="0"/>
    <x v="0"/>
    <x v="0"/>
    <x v="0"/>
    <x v="2"/>
    <x v="2"/>
    <x v="2"/>
    <x v="26"/>
    <x v="26"/>
    <n v="62.510880733907399"/>
    <x v="0"/>
    <x v="0"/>
    <x v="1"/>
    <x v="3"/>
    <x v="3"/>
    <x v="15"/>
    <n v="68.136859999959071"/>
  </r>
  <r>
    <x v="11"/>
    <x v="0"/>
    <x v="11"/>
    <x v="11"/>
    <x v="1"/>
    <x v="6"/>
    <x v="0"/>
    <x v="0"/>
    <x v="0"/>
    <x v="0"/>
    <x v="0"/>
    <x v="0"/>
    <x v="2"/>
    <x v="2"/>
    <x v="2"/>
    <x v="0"/>
    <x v="0"/>
    <n v="0.37993594305943001"/>
    <x v="0"/>
    <x v="0"/>
    <x v="0"/>
    <x v="0"/>
    <x v="0"/>
    <x v="0"/>
    <n v="0.41413017793477874"/>
  </r>
  <r>
    <x v="11"/>
    <x v="0"/>
    <x v="11"/>
    <x v="11"/>
    <x v="1"/>
    <x v="6"/>
    <x v="0"/>
    <x v="0"/>
    <x v="0"/>
    <x v="0"/>
    <x v="0"/>
    <x v="0"/>
    <x v="2"/>
    <x v="2"/>
    <x v="2"/>
    <x v="1"/>
    <x v="1"/>
    <n v="9.7701172413255701"/>
    <x v="0"/>
    <x v="0"/>
    <x v="1"/>
    <x v="1"/>
    <x v="1"/>
    <x v="1"/>
    <n v="10.649427793044872"/>
  </r>
  <r>
    <x v="11"/>
    <x v="0"/>
    <x v="11"/>
    <x v="11"/>
    <x v="1"/>
    <x v="6"/>
    <x v="0"/>
    <x v="0"/>
    <x v="0"/>
    <x v="0"/>
    <x v="0"/>
    <x v="0"/>
    <x v="2"/>
    <x v="2"/>
    <x v="2"/>
    <x v="2"/>
    <x v="2"/>
    <n v="221.52961467876599"/>
    <x v="0"/>
    <x v="1"/>
    <x v="2"/>
    <x v="2"/>
    <x v="13"/>
    <x v="2"/>
    <n v="241.46727999985495"/>
  </r>
  <r>
    <x v="11"/>
    <x v="0"/>
    <x v="11"/>
    <x v="11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4.358504600000002"/>
  </r>
  <r>
    <x v="11"/>
    <x v="0"/>
    <x v="11"/>
    <x v="11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78.1584936"/>
  </r>
  <r>
    <x v="11"/>
    <x v="0"/>
    <x v="11"/>
    <x v="11"/>
    <x v="1"/>
    <x v="6"/>
    <x v="0"/>
    <x v="0"/>
    <x v="0"/>
    <x v="0"/>
    <x v="0"/>
    <x v="0"/>
    <x v="1"/>
    <x v="6"/>
    <x v="6"/>
    <x v="21"/>
    <x v="21"/>
    <n v="3.8068348623830399"/>
    <x v="0"/>
    <x v="0"/>
    <x v="1"/>
    <x v="4"/>
    <x v="5"/>
    <x v="10"/>
    <n v="4.1494499999975138"/>
  </r>
  <r>
    <x v="11"/>
    <x v="0"/>
    <x v="11"/>
    <x v="11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5.6218057999999997"/>
  </r>
  <r>
    <x v="11"/>
    <x v="0"/>
    <x v="11"/>
    <x v="11"/>
    <x v="1"/>
    <x v="6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2509058000000002"/>
  </r>
  <r>
    <x v="11"/>
    <x v="0"/>
    <x v="11"/>
    <x v="11"/>
    <x v="1"/>
    <x v="6"/>
    <x v="0"/>
    <x v="0"/>
    <x v="0"/>
    <x v="0"/>
    <x v="0"/>
    <x v="0"/>
    <x v="1"/>
    <x v="6"/>
    <x v="6"/>
    <x v="26"/>
    <x v="26"/>
    <n v="9.1458990825633197"/>
    <x v="0"/>
    <x v="0"/>
    <x v="1"/>
    <x v="3"/>
    <x v="3"/>
    <x v="15"/>
    <n v="9.9690299999940191"/>
  </r>
  <r>
    <x v="11"/>
    <x v="0"/>
    <x v="11"/>
    <x v="11"/>
    <x v="1"/>
    <x v="6"/>
    <x v="0"/>
    <x v="0"/>
    <x v="0"/>
    <x v="0"/>
    <x v="0"/>
    <x v="0"/>
    <x v="1"/>
    <x v="6"/>
    <x v="6"/>
    <x v="2"/>
    <x v="2"/>
    <n v="399.860302752054"/>
    <x v="0"/>
    <x v="1"/>
    <x v="2"/>
    <x v="2"/>
    <x v="13"/>
    <x v="2"/>
    <n v="435.84772999973887"/>
  </r>
  <r>
    <x v="11"/>
    <x v="0"/>
    <x v="11"/>
    <x v="11"/>
    <x v="1"/>
    <x v="6"/>
    <x v="0"/>
    <x v="0"/>
    <x v="0"/>
    <x v="0"/>
    <x v="0"/>
    <x v="0"/>
    <x v="3"/>
    <x v="7"/>
    <x v="7"/>
    <x v="7"/>
    <x v="7"/>
    <n v="425.87339449515702"/>
    <x v="0"/>
    <x v="0"/>
    <x v="1"/>
    <x v="4"/>
    <x v="5"/>
    <x v="7"/>
    <n v="464.20199999972118"/>
  </r>
  <r>
    <x v="11"/>
    <x v="0"/>
    <x v="11"/>
    <x v="11"/>
    <x v="1"/>
    <x v="6"/>
    <x v="0"/>
    <x v="0"/>
    <x v="0"/>
    <x v="0"/>
    <x v="0"/>
    <x v="0"/>
    <x v="3"/>
    <x v="7"/>
    <x v="7"/>
    <x v="9"/>
    <x v="9"/>
    <n v="6.44215268159763"/>
    <x v="0"/>
    <x v="0"/>
    <x v="1"/>
    <x v="4"/>
    <x v="5"/>
    <x v="9"/>
    <n v="7.0219464229414168"/>
  </r>
  <r>
    <x v="11"/>
    <x v="0"/>
    <x v="11"/>
    <x v="11"/>
    <x v="1"/>
    <x v="6"/>
    <x v="0"/>
    <x v="0"/>
    <x v="0"/>
    <x v="0"/>
    <x v="0"/>
    <x v="0"/>
    <x v="3"/>
    <x v="7"/>
    <x v="7"/>
    <x v="10"/>
    <x v="10"/>
    <n v="9.0670291711999996E-4"/>
    <x v="0"/>
    <x v="0"/>
    <x v="1"/>
    <x v="4"/>
    <x v="5"/>
    <x v="10"/>
    <n v="9.8830617966080012E-4"/>
  </r>
  <r>
    <x v="11"/>
    <x v="0"/>
    <x v="11"/>
    <x v="11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07.37993300000001"/>
  </r>
  <r>
    <x v="11"/>
    <x v="0"/>
    <x v="11"/>
    <x v="11"/>
    <x v="1"/>
    <x v="6"/>
    <x v="0"/>
    <x v="0"/>
    <x v="0"/>
    <x v="0"/>
    <x v="0"/>
    <x v="0"/>
    <x v="3"/>
    <x v="7"/>
    <x v="7"/>
    <x v="24"/>
    <x v="24"/>
    <n v="109.05981651369601"/>
    <x v="0"/>
    <x v="0"/>
    <x v="1"/>
    <x v="3"/>
    <x v="3"/>
    <x v="4"/>
    <n v="118.87519999992865"/>
  </r>
  <r>
    <x v="11"/>
    <x v="0"/>
    <x v="11"/>
    <x v="11"/>
    <x v="1"/>
    <x v="6"/>
    <x v="0"/>
    <x v="0"/>
    <x v="0"/>
    <x v="0"/>
    <x v="0"/>
    <x v="0"/>
    <x v="3"/>
    <x v="7"/>
    <x v="7"/>
    <x v="34"/>
    <x v="34"/>
    <n v="2.4777292576000001E-3"/>
    <x v="0"/>
    <x v="0"/>
    <x v="0"/>
    <x v="0"/>
    <x v="0"/>
    <x v="0"/>
    <n v="2.7007248907840002E-3"/>
  </r>
  <r>
    <x v="11"/>
    <x v="0"/>
    <x v="11"/>
    <x v="11"/>
    <x v="1"/>
    <x v="6"/>
    <x v="0"/>
    <x v="0"/>
    <x v="0"/>
    <x v="0"/>
    <x v="0"/>
    <x v="0"/>
    <x v="3"/>
    <x v="7"/>
    <x v="7"/>
    <x v="26"/>
    <x v="26"/>
    <n v="9.1743119300000003E-6"/>
    <x v="0"/>
    <x v="0"/>
    <x v="1"/>
    <x v="3"/>
    <x v="3"/>
    <x v="15"/>
    <n v="1.0000000003700002E-5"/>
  </r>
  <r>
    <x v="11"/>
    <x v="0"/>
    <x v="11"/>
    <x v="11"/>
    <x v="1"/>
    <x v="6"/>
    <x v="0"/>
    <x v="0"/>
    <x v="0"/>
    <x v="0"/>
    <x v="0"/>
    <x v="0"/>
    <x v="1"/>
    <x v="8"/>
    <x v="8"/>
    <x v="7"/>
    <x v="7"/>
    <n v="39.734952913597901"/>
    <x v="0"/>
    <x v="0"/>
    <x v="1"/>
    <x v="4"/>
    <x v="5"/>
    <x v="7"/>
    <n v="43.311098675821718"/>
  </r>
  <r>
    <x v="11"/>
    <x v="0"/>
    <x v="11"/>
    <x v="11"/>
    <x v="1"/>
    <x v="6"/>
    <x v="0"/>
    <x v="0"/>
    <x v="0"/>
    <x v="0"/>
    <x v="0"/>
    <x v="0"/>
    <x v="1"/>
    <x v="8"/>
    <x v="8"/>
    <x v="9"/>
    <x v="9"/>
    <n v="83.030699433076407"/>
    <x v="0"/>
    <x v="0"/>
    <x v="1"/>
    <x v="4"/>
    <x v="5"/>
    <x v="9"/>
    <n v="90.503462382053286"/>
  </r>
  <r>
    <x v="11"/>
    <x v="0"/>
    <x v="11"/>
    <x v="11"/>
    <x v="1"/>
    <x v="6"/>
    <x v="0"/>
    <x v="0"/>
    <x v="0"/>
    <x v="0"/>
    <x v="0"/>
    <x v="0"/>
    <x v="1"/>
    <x v="8"/>
    <x v="8"/>
    <x v="10"/>
    <x v="10"/>
    <n v="7.9190416023993597"/>
    <x v="0"/>
    <x v="0"/>
    <x v="1"/>
    <x v="4"/>
    <x v="5"/>
    <x v="10"/>
    <n v="8.6317553466153019"/>
  </r>
  <r>
    <x v="11"/>
    <x v="0"/>
    <x v="11"/>
    <x v="11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28.397279500000003"/>
  </r>
  <r>
    <x v="11"/>
    <x v="0"/>
    <x v="11"/>
    <x v="11"/>
    <x v="1"/>
    <x v="6"/>
    <x v="0"/>
    <x v="0"/>
    <x v="0"/>
    <x v="0"/>
    <x v="0"/>
    <x v="0"/>
    <x v="1"/>
    <x v="8"/>
    <x v="8"/>
    <x v="24"/>
    <x v="24"/>
    <n v="59.1401834862031"/>
    <x v="0"/>
    <x v="0"/>
    <x v="1"/>
    <x v="3"/>
    <x v="3"/>
    <x v="4"/>
    <n v="64.462799999961376"/>
  </r>
  <r>
    <x v="11"/>
    <x v="0"/>
    <x v="11"/>
    <x v="11"/>
    <x v="1"/>
    <x v="6"/>
    <x v="0"/>
    <x v="0"/>
    <x v="0"/>
    <x v="0"/>
    <x v="0"/>
    <x v="0"/>
    <x v="1"/>
    <x v="8"/>
    <x v="8"/>
    <x v="34"/>
    <x v="34"/>
    <n v="3.4759825326999999E-4"/>
    <x v="0"/>
    <x v="0"/>
    <x v="0"/>
    <x v="0"/>
    <x v="0"/>
    <x v="0"/>
    <n v="3.788820960643E-4"/>
  </r>
  <r>
    <x v="11"/>
    <x v="0"/>
    <x v="11"/>
    <x v="11"/>
    <x v="1"/>
    <x v="6"/>
    <x v="0"/>
    <x v="0"/>
    <x v="0"/>
    <x v="0"/>
    <x v="0"/>
    <x v="0"/>
    <x v="0"/>
    <x v="9"/>
    <x v="9"/>
    <x v="7"/>
    <x v="7"/>
    <n v="1061.3183539608101"/>
    <x v="0"/>
    <x v="0"/>
    <x v="1"/>
    <x v="4"/>
    <x v="5"/>
    <x v="7"/>
    <n v="1156.8370058172832"/>
  </r>
  <r>
    <x v="11"/>
    <x v="0"/>
    <x v="11"/>
    <x v="11"/>
    <x v="1"/>
    <x v="6"/>
    <x v="0"/>
    <x v="0"/>
    <x v="0"/>
    <x v="0"/>
    <x v="0"/>
    <x v="0"/>
    <x v="0"/>
    <x v="9"/>
    <x v="9"/>
    <x v="9"/>
    <x v="9"/>
    <n v="199.291088419787"/>
    <x v="0"/>
    <x v="0"/>
    <x v="1"/>
    <x v="4"/>
    <x v="5"/>
    <x v="9"/>
    <n v="217.22728637756785"/>
  </r>
  <r>
    <x v="11"/>
    <x v="0"/>
    <x v="11"/>
    <x v="11"/>
    <x v="1"/>
    <x v="6"/>
    <x v="0"/>
    <x v="0"/>
    <x v="0"/>
    <x v="0"/>
    <x v="0"/>
    <x v="0"/>
    <x v="0"/>
    <x v="9"/>
    <x v="9"/>
    <x v="10"/>
    <x v="10"/>
    <n v="4.8894640947014398"/>
    <x v="0"/>
    <x v="0"/>
    <x v="1"/>
    <x v="4"/>
    <x v="5"/>
    <x v="10"/>
    <n v="5.3295158632245698"/>
  </r>
  <r>
    <x v="11"/>
    <x v="0"/>
    <x v="11"/>
    <x v="11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70.4292935"/>
  </r>
  <r>
    <x v="11"/>
    <x v="0"/>
    <x v="11"/>
    <x v="11"/>
    <x v="1"/>
    <x v="6"/>
    <x v="0"/>
    <x v="0"/>
    <x v="0"/>
    <x v="0"/>
    <x v="0"/>
    <x v="0"/>
    <x v="0"/>
    <x v="9"/>
    <x v="9"/>
    <x v="24"/>
    <x v="24"/>
    <n v="40.402568807315198"/>
    <x v="0"/>
    <x v="0"/>
    <x v="1"/>
    <x v="3"/>
    <x v="3"/>
    <x v="4"/>
    <n v="44.03879999997357"/>
  </r>
  <r>
    <x v="11"/>
    <x v="0"/>
    <x v="11"/>
    <x v="11"/>
    <x v="1"/>
    <x v="6"/>
    <x v="0"/>
    <x v="0"/>
    <x v="0"/>
    <x v="0"/>
    <x v="0"/>
    <x v="0"/>
    <x v="0"/>
    <x v="9"/>
    <x v="9"/>
    <x v="34"/>
    <x v="34"/>
    <n v="1.40698689954E-3"/>
    <x v="0"/>
    <x v="0"/>
    <x v="0"/>
    <x v="0"/>
    <x v="0"/>
    <x v="0"/>
    <n v="1.5336157204986001E-3"/>
  </r>
  <r>
    <x v="11"/>
    <x v="0"/>
    <x v="11"/>
    <x v="11"/>
    <x v="1"/>
    <x v="6"/>
    <x v="0"/>
    <x v="0"/>
    <x v="0"/>
    <x v="0"/>
    <x v="0"/>
    <x v="0"/>
    <x v="2"/>
    <x v="10"/>
    <x v="10"/>
    <x v="7"/>
    <x v="7"/>
    <n v="198.31951825253199"/>
    <x v="0"/>
    <x v="0"/>
    <x v="1"/>
    <x v="4"/>
    <x v="5"/>
    <x v="7"/>
    <n v="216.16827489525988"/>
  </r>
  <r>
    <x v="11"/>
    <x v="0"/>
    <x v="11"/>
    <x v="11"/>
    <x v="1"/>
    <x v="6"/>
    <x v="0"/>
    <x v="0"/>
    <x v="0"/>
    <x v="0"/>
    <x v="0"/>
    <x v="0"/>
    <x v="2"/>
    <x v="10"/>
    <x v="10"/>
    <x v="9"/>
    <x v="9"/>
    <n v="67.326656550626893"/>
    <x v="0"/>
    <x v="0"/>
    <x v="1"/>
    <x v="4"/>
    <x v="5"/>
    <x v="9"/>
    <n v="73.386055640183315"/>
  </r>
  <r>
    <x v="11"/>
    <x v="0"/>
    <x v="11"/>
    <x v="11"/>
    <x v="1"/>
    <x v="6"/>
    <x v="0"/>
    <x v="0"/>
    <x v="0"/>
    <x v="0"/>
    <x v="0"/>
    <x v="0"/>
    <x v="2"/>
    <x v="10"/>
    <x v="10"/>
    <x v="10"/>
    <x v="10"/>
    <n v="1.7814764857600001E-3"/>
    <x v="0"/>
    <x v="0"/>
    <x v="1"/>
    <x v="4"/>
    <x v="5"/>
    <x v="10"/>
    <n v="1.9418093694784002E-3"/>
  </r>
  <r>
    <x v="11"/>
    <x v="0"/>
    <x v="11"/>
    <x v="11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96.729891800000004"/>
  </r>
  <r>
    <x v="11"/>
    <x v="0"/>
    <x v="11"/>
    <x v="11"/>
    <x v="1"/>
    <x v="6"/>
    <x v="0"/>
    <x v="0"/>
    <x v="0"/>
    <x v="0"/>
    <x v="0"/>
    <x v="0"/>
    <x v="2"/>
    <x v="10"/>
    <x v="10"/>
    <x v="24"/>
    <x v="24"/>
    <n v="60.517981651339802"/>
    <x v="0"/>
    <x v="0"/>
    <x v="1"/>
    <x v="3"/>
    <x v="3"/>
    <x v="4"/>
    <n v="65.964599999960384"/>
  </r>
  <r>
    <x v="11"/>
    <x v="0"/>
    <x v="11"/>
    <x v="11"/>
    <x v="1"/>
    <x v="6"/>
    <x v="0"/>
    <x v="0"/>
    <x v="0"/>
    <x v="0"/>
    <x v="0"/>
    <x v="0"/>
    <x v="2"/>
    <x v="10"/>
    <x v="10"/>
    <x v="34"/>
    <x v="34"/>
    <n v="2.93100436676E-3"/>
    <x v="0"/>
    <x v="0"/>
    <x v="0"/>
    <x v="0"/>
    <x v="0"/>
    <x v="0"/>
    <n v="3.1947947597684005E-3"/>
  </r>
  <r>
    <x v="11"/>
    <x v="0"/>
    <x v="11"/>
    <x v="11"/>
    <x v="1"/>
    <x v="6"/>
    <x v="0"/>
    <x v="0"/>
    <x v="0"/>
    <x v="0"/>
    <x v="0"/>
    <x v="0"/>
    <x v="2"/>
    <x v="10"/>
    <x v="10"/>
    <x v="26"/>
    <x v="26"/>
    <n v="9.1743119300000003E-6"/>
    <x v="0"/>
    <x v="0"/>
    <x v="1"/>
    <x v="3"/>
    <x v="3"/>
    <x v="15"/>
    <n v="1.0000000003700002E-5"/>
  </r>
  <r>
    <x v="11"/>
    <x v="0"/>
    <x v="11"/>
    <x v="11"/>
    <x v="1"/>
    <x v="6"/>
    <x v="0"/>
    <x v="0"/>
    <x v="0"/>
    <x v="0"/>
    <x v="0"/>
    <x v="0"/>
    <x v="4"/>
    <x v="5"/>
    <x v="5"/>
    <x v="5"/>
    <x v="5"/>
    <n v="142.345766872247"/>
    <x v="0"/>
    <x v="0"/>
    <x v="1"/>
    <x v="1"/>
    <x v="1"/>
    <x v="5"/>
    <n v="155.15688589074924"/>
  </r>
  <r>
    <x v="11"/>
    <x v="0"/>
    <x v="11"/>
    <x v="11"/>
    <x v="1"/>
    <x v="6"/>
    <x v="0"/>
    <x v="0"/>
    <x v="0"/>
    <x v="0"/>
    <x v="0"/>
    <x v="0"/>
    <x v="4"/>
    <x v="5"/>
    <x v="5"/>
    <x v="7"/>
    <x v="7"/>
    <n v="601.94529846747002"/>
    <x v="0"/>
    <x v="0"/>
    <x v="1"/>
    <x v="4"/>
    <x v="5"/>
    <x v="7"/>
    <n v="656.12037532954241"/>
  </r>
  <r>
    <x v="11"/>
    <x v="0"/>
    <x v="11"/>
    <x v="11"/>
    <x v="1"/>
    <x v="6"/>
    <x v="0"/>
    <x v="0"/>
    <x v="0"/>
    <x v="0"/>
    <x v="0"/>
    <x v="0"/>
    <x v="4"/>
    <x v="5"/>
    <x v="5"/>
    <x v="9"/>
    <x v="9"/>
    <n v="242.11095160674401"/>
    <x v="0"/>
    <x v="0"/>
    <x v="1"/>
    <x v="4"/>
    <x v="5"/>
    <x v="9"/>
    <n v="263.90093725135097"/>
  </r>
  <r>
    <x v="11"/>
    <x v="0"/>
    <x v="11"/>
    <x v="11"/>
    <x v="1"/>
    <x v="6"/>
    <x v="0"/>
    <x v="0"/>
    <x v="0"/>
    <x v="0"/>
    <x v="0"/>
    <x v="0"/>
    <x v="4"/>
    <x v="5"/>
    <x v="5"/>
    <x v="10"/>
    <x v="10"/>
    <n v="54.971123861315803"/>
    <x v="0"/>
    <x v="0"/>
    <x v="1"/>
    <x v="4"/>
    <x v="5"/>
    <x v="10"/>
    <n v="59.91852500883423"/>
  </r>
  <r>
    <x v="11"/>
    <x v="0"/>
    <x v="11"/>
    <x v="11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6931720000000001"/>
  </r>
  <r>
    <x v="11"/>
    <x v="0"/>
    <x v="11"/>
    <x v="11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285.27934530000005"/>
  </r>
  <r>
    <x v="11"/>
    <x v="0"/>
    <x v="11"/>
    <x v="11"/>
    <x v="1"/>
    <x v="6"/>
    <x v="0"/>
    <x v="0"/>
    <x v="0"/>
    <x v="0"/>
    <x v="0"/>
    <x v="0"/>
    <x v="4"/>
    <x v="5"/>
    <x v="5"/>
    <x v="12"/>
    <x v="12"/>
    <n v="21.597313953406299"/>
    <x v="0"/>
    <x v="0"/>
    <x v="0"/>
    <x v="0"/>
    <x v="8"/>
    <x v="12"/>
    <n v="23.541072209212867"/>
  </r>
  <r>
    <x v="11"/>
    <x v="0"/>
    <x v="11"/>
    <x v="11"/>
    <x v="1"/>
    <x v="6"/>
    <x v="0"/>
    <x v="0"/>
    <x v="0"/>
    <x v="0"/>
    <x v="0"/>
    <x v="0"/>
    <x v="4"/>
    <x v="5"/>
    <x v="5"/>
    <x v="24"/>
    <x v="24"/>
    <n v="4.3137614678873204"/>
    <x v="0"/>
    <x v="0"/>
    <x v="1"/>
    <x v="3"/>
    <x v="3"/>
    <x v="4"/>
    <n v="4.70199999999718"/>
  </r>
  <r>
    <x v="11"/>
    <x v="0"/>
    <x v="11"/>
    <x v="11"/>
    <x v="1"/>
    <x v="6"/>
    <x v="0"/>
    <x v="0"/>
    <x v="0"/>
    <x v="0"/>
    <x v="0"/>
    <x v="0"/>
    <x v="4"/>
    <x v="5"/>
    <x v="5"/>
    <x v="34"/>
    <x v="34"/>
    <n v="1.076331877711E-2"/>
    <x v="0"/>
    <x v="0"/>
    <x v="0"/>
    <x v="0"/>
    <x v="0"/>
    <x v="0"/>
    <n v="1.1732017467049901E-2"/>
  </r>
  <r>
    <x v="11"/>
    <x v="0"/>
    <x v="11"/>
    <x v="11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48.694278500000003"/>
  </r>
  <r>
    <x v="11"/>
    <x v="0"/>
    <x v="11"/>
    <x v="11"/>
    <x v="1"/>
    <x v="6"/>
    <x v="0"/>
    <x v="0"/>
    <x v="0"/>
    <x v="0"/>
    <x v="0"/>
    <x v="0"/>
    <x v="4"/>
    <x v="5"/>
    <x v="5"/>
    <x v="26"/>
    <x v="26"/>
    <n v="3.57248623852997"/>
    <x v="0"/>
    <x v="0"/>
    <x v="1"/>
    <x v="3"/>
    <x v="3"/>
    <x v="15"/>
    <n v="3.8940099999976678"/>
  </r>
  <r>
    <x v="11"/>
    <x v="0"/>
    <x v="11"/>
    <x v="11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09.49456730000003"/>
  </r>
  <r>
    <x v="11"/>
    <x v="0"/>
    <x v="11"/>
    <x v="11"/>
    <x v="1"/>
    <x v="6"/>
    <x v="0"/>
    <x v="0"/>
    <x v="0"/>
    <x v="0"/>
    <x v="3"/>
    <x v="3"/>
    <x v="3"/>
    <x v="3"/>
    <x v="3"/>
    <x v="5"/>
    <x v="5"/>
    <n v="79.447852761340002"/>
    <x v="0"/>
    <x v="0"/>
    <x v="1"/>
    <x v="1"/>
    <x v="1"/>
    <x v="5"/>
    <n v="86.598159509860608"/>
  </r>
  <r>
    <x v="11"/>
    <x v="0"/>
    <x v="11"/>
    <x v="11"/>
    <x v="1"/>
    <x v="6"/>
    <x v="0"/>
    <x v="0"/>
    <x v="0"/>
    <x v="0"/>
    <x v="3"/>
    <x v="3"/>
    <x v="3"/>
    <x v="3"/>
    <x v="3"/>
    <x v="7"/>
    <x v="7"/>
    <n v="-2.4083623692748799"/>
    <x v="0"/>
    <x v="0"/>
    <x v="1"/>
    <x v="4"/>
    <x v="5"/>
    <x v="7"/>
    <n v="-2.6251149825096194"/>
  </r>
  <r>
    <x v="11"/>
    <x v="0"/>
    <x v="11"/>
    <x v="11"/>
    <x v="1"/>
    <x v="6"/>
    <x v="0"/>
    <x v="0"/>
    <x v="2"/>
    <x v="2"/>
    <x v="3"/>
    <x v="3"/>
    <x v="3"/>
    <x v="3"/>
    <x v="3"/>
    <x v="41"/>
    <x v="41"/>
    <n v="20.319085106305799"/>
    <x v="1"/>
    <x v="2"/>
    <x v="5"/>
    <x v="7"/>
    <x v="11"/>
    <x v="22"/>
    <n v="22.147802765873323"/>
  </r>
  <r>
    <x v="11"/>
    <x v="0"/>
    <x v="11"/>
    <x v="11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20.8006343"/>
  </r>
  <r>
    <x v="11"/>
    <x v="0"/>
    <x v="11"/>
    <x v="11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19.27751190000001"/>
  </r>
  <r>
    <x v="11"/>
    <x v="0"/>
    <x v="11"/>
    <x v="11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1909000000000001"/>
  </r>
  <r>
    <x v="11"/>
    <x v="0"/>
    <x v="11"/>
    <x v="11"/>
    <x v="1"/>
    <x v="6"/>
    <x v="0"/>
    <x v="0"/>
    <x v="0"/>
    <x v="0"/>
    <x v="3"/>
    <x v="3"/>
    <x v="3"/>
    <x v="3"/>
    <x v="3"/>
    <x v="2"/>
    <x v="2"/>
    <n v="25.713972477048799"/>
    <x v="0"/>
    <x v="1"/>
    <x v="2"/>
    <x v="2"/>
    <x v="13"/>
    <x v="2"/>
    <n v="28.028229999983193"/>
  </r>
  <r>
    <x v="11"/>
    <x v="0"/>
    <x v="11"/>
    <x v="11"/>
    <x v="1"/>
    <x v="6"/>
    <x v="0"/>
    <x v="0"/>
    <x v="0"/>
    <x v="0"/>
    <x v="3"/>
    <x v="3"/>
    <x v="3"/>
    <x v="3"/>
    <x v="3"/>
    <x v="77"/>
    <x v="77"/>
    <n v="13.624779816505599"/>
    <x v="0"/>
    <x v="2"/>
    <x v="5"/>
    <x v="7"/>
    <x v="12"/>
    <x v="24"/>
    <n v="14.851009999991104"/>
  </r>
  <r>
    <x v="11"/>
    <x v="0"/>
    <x v="11"/>
    <x v="11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27.90229270000009"/>
  </r>
  <r>
    <x v="11"/>
    <x v="0"/>
    <x v="11"/>
    <x v="11"/>
    <x v="1"/>
    <x v="6"/>
    <x v="0"/>
    <x v="0"/>
    <x v="0"/>
    <x v="0"/>
    <x v="3"/>
    <x v="3"/>
    <x v="0"/>
    <x v="4"/>
    <x v="4"/>
    <x v="5"/>
    <x v="5"/>
    <n v="2.7607361963399999"/>
    <x v="0"/>
    <x v="0"/>
    <x v="1"/>
    <x v="1"/>
    <x v="1"/>
    <x v="5"/>
    <n v="3.0092024540105999"/>
  </r>
  <r>
    <x v="11"/>
    <x v="0"/>
    <x v="11"/>
    <x v="11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9.4786400000000004"/>
  </r>
  <r>
    <x v="11"/>
    <x v="0"/>
    <x v="11"/>
    <x v="11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1800000000000003"/>
  </r>
  <r>
    <x v="11"/>
    <x v="0"/>
    <x v="11"/>
    <x v="11"/>
    <x v="1"/>
    <x v="6"/>
    <x v="0"/>
    <x v="0"/>
    <x v="0"/>
    <x v="0"/>
    <x v="3"/>
    <x v="3"/>
    <x v="0"/>
    <x v="4"/>
    <x v="4"/>
    <x v="1"/>
    <x v="1"/>
    <n v="6.0137862068634798"/>
    <x v="0"/>
    <x v="0"/>
    <x v="1"/>
    <x v="1"/>
    <x v="1"/>
    <x v="1"/>
    <n v="6.5550269654811935"/>
  </r>
  <r>
    <x v="11"/>
    <x v="0"/>
    <x v="11"/>
    <x v="11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188.8201114"/>
  </r>
  <r>
    <x v="11"/>
    <x v="0"/>
    <x v="11"/>
    <x v="11"/>
    <x v="1"/>
    <x v="6"/>
    <x v="0"/>
    <x v="0"/>
    <x v="0"/>
    <x v="0"/>
    <x v="3"/>
    <x v="3"/>
    <x v="2"/>
    <x v="2"/>
    <x v="2"/>
    <x v="5"/>
    <x v="5"/>
    <n v="24.355717791596099"/>
    <x v="0"/>
    <x v="0"/>
    <x v="1"/>
    <x v="1"/>
    <x v="1"/>
    <x v="5"/>
    <n v="26.547732392839752"/>
  </r>
  <r>
    <x v="11"/>
    <x v="0"/>
    <x v="11"/>
    <x v="11"/>
    <x v="1"/>
    <x v="6"/>
    <x v="0"/>
    <x v="0"/>
    <x v="2"/>
    <x v="2"/>
    <x v="3"/>
    <x v="3"/>
    <x v="2"/>
    <x v="2"/>
    <x v="2"/>
    <x v="41"/>
    <x v="41"/>
    <n v="0.69148936169950004"/>
    <x v="1"/>
    <x v="2"/>
    <x v="5"/>
    <x v="7"/>
    <x v="11"/>
    <x v="22"/>
    <n v="0.7537234042524551"/>
  </r>
  <r>
    <x v="11"/>
    <x v="0"/>
    <x v="11"/>
    <x v="11"/>
    <x v="1"/>
    <x v="6"/>
    <x v="0"/>
    <x v="0"/>
    <x v="0"/>
    <x v="0"/>
    <x v="3"/>
    <x v="3"/>
    <x v="2"/>
    <x v="2"/>
    <x v="2"/>
    <x v="9"/>
    <x v="9"/>
    <n v="3.1087425086903999"/>
    <x v="0"/>
    <x v="0"/>
    <x v="1"/>
    <x v="4"/>
    <x v="5"/>
    <x v="9"/>
    <n v="3.388529334472536"/>
  </r>
  <r>
    <x v="11"/>
    <x v="0"/>
    <x v="11"/>
    <x v="11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2.5322599"/>
  </r>
  <r>
    <x v="11"/>
    <x v="0"/>
    <x v="11"/>
    <x v="11"/>
    <x v="1"/>
    <x v="6"/>
    <x v="0"/>
    <x v="0"/>
    <x v="0"/>
    <x v="0"/>
    <x v="3"/>
    <x v="3"/>
    <x v="2"/>
    <x v="2"/>
    <x v="2"/>
    <x v="31"/>
    <x v="31"/>
    <n v="9.1743119300000003E-6"/>
    <x v="0"/>
    <x v="0"/>
    <x v="1"/>
    <x v="4"/>
    <x v="5"/>
    <x v="10"/>
    <n v="1.0000000003700002E-5"/>
  </r>
  <r>
    <x v="11"/>
    <x v="0"/>
    <x v="11"/>
    <x v="11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6.7144000000000004"/>
  </r>
  <r>
    <x v="11"/>
    <x v="0"/>
    <x v="11"/>
    <x v="11"/>
    <x v="1"/>
    <x v="6"/>
    <x v="0"/>
    <x v="0"/>
    <x v="0"/>
    <x v="0"/>
    <x v="3"/>
    <x v="3"/>
    <x v="2"/>
    <x v="2"/>
    <x v="2"/>
    <x v="32"/>
    <x v="32"/>
    <n v="11.207328604947699"/>
    <x v="0"/>
    <x v="0"/>
    <x v="1"/>
    <x v="1"/>
    <x v="1"/>
    <x v="20"/>
    <n v="12.215988179392994"/>
  </r>
  <r>
    <x v="11"/>
    <x v="0"/>
    <x v="11"/>
    <x v="11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3.8150000000000004"/>
  </r>
  <r>
    <x v="11"/>
    <x v="0"/>
    <x v="11"/>
    <x v="11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6705000000000005"/>
  </r>
  <r>
    <x v="11"/>
    <x v="0"/>
    <x v="11"/>
    <x v="11"/>
    <x v="1"/>
    <x v="6"/>
    <x v="0"/>
    <x v="0"/>
    <x v="0"/>
    <x v="0"/>
    <x v="3"/>
    <x v="3"/>
    <x v="2"/>
    <x v="2"/>
    <x v="2"/>
    <x v="79"/>
    <x v="79"/>
    <n v="1.02626605504526"/>
    <x v="0"/>
    <x v="0"/>
    <x v="1"/>
    <x v="4"/>
    <x v="5"/>
    <x v="10"/>
    <n v="1.1186299999993334"/>
  </r>
  <r>
    <x v="11"/>
    <x v="0"/>
    <x v="11"/>
    <x v="11"/>
    <x v="1"/>
    <x v="6"/>
    <x v="0"/>
    <x v="0"/>
    <x v="0"/>
    <x v="0"/>
    <x v="3"/>
    <x v="3"/>
    <x v="2"/>
    <x v="2"/>
    <x v="2"/>
    <x v="27"/>
    <x v="27"/>
    <n v="0.27027027027599998"/>
    <x v="0"/>
    <x v="0"/>
    <x v="1"/>
    <x v="3"/>
    <x v="3"/>
    <x v="19"/>
    <n v="0.29459459460083998"/>
  </r>
  <r>
    <x v="11"/>
    <x v="0"/>
    <x v="11"/>
    <x v="11"/>
    <x v="1"/>
    <x v="6"/>
    <x v="0"/>
    <x v="0"/>
    <x v="0"/>
    <x v="0"/>
    <x v="3"/>
    <x v="3"/>
    <x v="2"/>
    <x v="2"/>
    <x v="2"/>
    <x v="78"/>
    <x v="78"/>
    <n v="5.5045871559600004"/>
    <x v="0"/>
    <x v="0"/>
    <x v="1"/>
    <x v="4"/>
    <x v="5"/>
    <x v="9"/>
    <n v="5.9999999999964011"/>
  </r>
  <r>
    <x v="11"/>
    <x v="0"/>
    <x v="11"/>
    <x v="11"/>
    <x v="1"/>
    <x v="6"/>
    <x v="0"/>
    <x v="0"/>
    <x v="0"/>
    <x v="0"/>
    <x v="3"/>
    <x v="3"/>
    <x v="2"/>
    <x v="2"/>
    <x v="2"/>
    <x v="0"/>
    <x v="0"/>
    <n v="90.763568505083896"/>
    <x v="0"/>
    <x v="0"/>
    <x v="0"/>
    <x v="0"/>
    <x v="0"/>
    <x v="0"/>
    <n v="98.932289670541451"/>
  </r>
  <r>
    <x v="11"/>
    <x v="0"/>
    <x v="11"/>
    <x v="11"/>
    <x v="1"/>
    <x v="6"/>
    <x v="0"/>
    <x v="0"/>
    <x v="0"/>
    <x v="0"/>
    <x v="3"/>
    <x v="3"/>
    <x v="2"/>
    <x v="2"/>
    <x v="2"/>
    <x v="2"/>
    <x v="2"/>
    <n v="14.2364220183401"/>
    <x v="0"/>
    <x v="1"/>
    <x v="2"/>
    <x v="2"/>
    <x v="13"/>
    <x v="2"/>
    <n v="15.517699999990711"/>
  </r>
  <r>
    <x v="11"/>
    <x v="0"/>
    <x v="11"/>
    <x v="11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9.9507299000000007"/>
  </r>
  <r>
    <x v="11"/>
    <x v="0"/>
    <x v="11"/>
    <x v="11"/>
    <x v="1"/>
    <x v="6"/>
    <x v="0"/>
    <x v="0"/>
    <x v="0"/>
    <x v="0"/>
    <x v="3"/>
    <x v="3"/>
    <x v="1"/>
    <x v="6"/>
    <x v="6"/>
    <x v="8"/>
    <x v="8"/>
    <n v="4.3824324324599997E-2"/>
    <x v="0"/>
    <x v="1"/>
    <x v="2"/>
    <x v="2"/>
    <x v="6"/>
    <x v="8"/>
    <n v="4.7768513513814004E-2"/>
  </r>
  <r>
    <x v="11"/>
    <x v="0"/>
    <x v="11"/>
    <x v="11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4.704817300000002"/>
  </r>
  <r>
    <x v="11"/>
    <x v="0"/>
    <x v="11"/>
    <x v="11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5.3837087"/>
  </r>
  <r>
    <x v="11"/>
    <x v="0"/>
    <x v="11"/>
    <x v="11"/>
    <x v="1"/>
    <x v="6"/>
    <x v="0"/>
    <x v="0"/>
    <x v="0"/>
    <x v="0"/>
    <x v="3"/>
    <x v="3"/>
    <x v="1"/>
    <x v="6"/>
    <x v="6"/>
    <x v="57"/>
    <x v="57"/>
    <n v="13.496932515439999"/>
    <x v="0"/>
    <x v="0"/>
    <x v="1"/>
    <x v="1"/>
    <x v="1"/>
    <x v="5"/>
    <n v="14.7116564418296"/>
  </r>
  <r>
    <x v="11"/>
    <x v="0"/>
    <x v="11"/>
    <x v="11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4497000000000002"/>
  </r>
  <r>
    <x v="11"/>
    <x v="0"/>
    <x v="11"/>
    <x v="11"/>
    <x v="1"/>
    <x v="6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5032586999999999"/>
  </r>
  <r>
    <x v="11"/>
    <x v="0"/>
    <x v="11"/>
    <x v="11"/>
    <x v="1"/>
    <x v="6"/>
    <x v="0"/>
    <x v="0"/>
    <x v="0"/>
    <x v="0"/>
    <x v="3"/>
    <x v="3"/>
    <x v="1"/>
    <x v="6"/>
    <x v="6"/>
    <x v="2"/>
    <x v="2"/>
    <n v="10.209174311920499"/>
    <x v="0"/>
    <x v="1"/>
    <x v="2"/>
    <x v="2"/>
    <x v="13"/>
    <x v="2"/>
    <n v="11.127999999993344"/>
  </r>
  <r>
    <x v="11"/>
    <x v="0"/>
    <x v="11"/>
    <x v="11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18.53"/>
  </r>
  <r>
    <x v="11"/>
    <x v="0"/>
    <x v="11"/>
    <x v="11"/>
    <x v="1"/>
    <x v="6"/>
    <x v="0"/>
    <x v="0"/>
    <x v="0"/>
    <x v="0"/>
    <x v="18"/>
    <x v="18"/>
    <x v="0"/>
    <x v="4"/>
    <x v="4"/>
    <x v="26"/>
    <x v="26"/>
    <n v="0.97174311926546997"/>
    <x v="0"/>
    <x v="0"/>
    <x v="1"/>
    <x v="3"/>
    <x v="3"/>
    <x v="15"/>
    <n v="1.0591999999993624"/>
  </r>
  <r>
    <x v="11"/>
    <x v="0"/>
    <x v="11"/>
    <x v="11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01.0589358"/>
  </r>
  <r>
    <x v="11"/>
    <x v="0"/>
    <x v="11"/>
    <x v="11"/>
    <x v="1"/>
    <x v="6"/>
    <x v="0"/>
    <x v="0"/>
    <x v="0"/>
    <x v="0"/>
    <x v="26"/>
    <x v="26"/>
    <x v="2"/>
    <x v="2"/>
    <x v="2"/>
    <x v="1"/>
    <x v="1"/>
    <n v="5.2535448275573096"/>
    <x v="0"/>
    <x v="0"/>
    <x v="1"/>
    <x v="1"/>
    <x v="1"/>
    <x v="1"/>
    <n v="5.7263638620374682"/>
  </r>
  <r>
    <x v="11"/>
    <x v="0"/>
    <x v="11"/>
    <x v="11"/>
    <x v="1"/>
    <x v="6"/>
    <x v="0"/>
    <x v="0"/>
    <x v="2"/>
    <x v="2"/>
    <x v="26"/>
    <x v="26"/>
    <x v="1"/>
    <x v="6"/>
    <x v="6"/>
    <x v="41"/>
    <x v="41"/>
    <n v="1.4122553191435701"/>
    <x v="1"/>
    <x v="2"/>
    <x v="5"/>
    <x v="7"/>
    <x v="11"/>
    <x v="22"/>
    <n v="1.5393582978664915"/>
  </r>
  <r>
    <x v="11"/>
    <x v="0"/>
    <x v="11"/>
    <x v="11"/>
    <x v="1"/>
    <x v="6"/>
    <x v="0"/>
    <x v="0"/>
    <x v="0"/>
    <x v="0"/>
    <x v="4"/>
    <x v="4"/>
    <x v="3"/>
    <x v="3"/>
    <x v="3"/>
    <x v="2"/>
    <x v="2"/>
    <n v="0.22592660550445001"/>
    <x v="0"/>
    <x v="1"/>
    <x v="2"/>
    <x v="2"/>
    <x v="13"/>
    <x v="2"/>
    <n v="0.24625999999985054"/>
  </r>
  <r>
    <x v="11"/>
    <x v="0"/>
    <x v="11"/>
    <x v="11"/>
    <x v="1"/>
    <x v="6"/>
    <x v="0"/>
    <x v="0"/>
    <x v="0"/>
    <x v="0"/>
    <x v="4"/>
    <x v="4"/>
    <x v="2"/>
    <x v="2"/>
    <x v="2"/>
    <x v="5"/>
    <x v="5"/>
    <n v="1.246625766881E-2"/>
    <x v="0"/>
    <x v="0"/>
    <x v="1"/>
    <x v="1"/>
    <x v="1"/>
    <x v="5"/>
    <n v="1.3588220859002902E-2"/>
  </r>
  <r>
    <x v="11"/>
    <x v="0"/>
    <x v="11"/>
    <x v="11"/>
    <x v="1"/>
    <x v="6"/>
    <x v="0"/>
    <x v="0"/>
    <x v="2"/>
    <x v="2"/>
    <x v="4"/>
    <x v="4"/>
    <x v="2"/>
    <x v="2"/>
    <x v="2"/>
    <x v="41"/>
    <x v="41"/>
    <n v="0.6170212765934"/>
    <x v="1"/>
    <x v="2"/>
    <x v="5"/>
    <x v="7"/>
    <x v="11"/>
    <x v="22"/>
    <n v="0.67255319148680603"/>
  </r>
  <r>
    <x v="11"/>
    <x v="0"/>
    <x v="11"/>
    <x v="11"/>
    <x v="1"/>
    <x v="6"/>
    <x v="0"/>
    <x v="0"/>
    <x v="0"/>
    <x v="0"/>
    <x v="4"/>
    <x v="4"/>
    <x v="2"/>
    <x v="2"/>
    <x v="2"/>
    <x v="9"/>
    <x v="9"/>
    <n v="0.42443113686720002"/>
    <x v="0"/>
    <x v="0"/>
    <x v="1"/>
    <x v="4"/>
    <x v="5"/>
    <x v="9"/>
    <n v="0.46262993918524803"/>
  </r>
  <r>
    <x v="11"/>
    <x v="0"/>
    <x v="11"/>
    <x v="11"/>
    <x v="1"/>
    <x v="6"/>
    <x v="0"/>
    <x v="0"/>
    <x v="0"/>
    <x v="0"/>
    <x v="4"/>
    <x v="4"/>
    <x v="2"/>
    <x v="2"/>
    <x v="2"/>
    <x v="10"/>
    <x v="10"/>
    <n v="0.97260871557119999"/>
    <x v="0"/>
    <x v="0"/>
    <x v="1"/>
    <x v="4"/>
    <x v="5"/>
    <x v="10"/>
    <n v="1.060143499972608"/>
  </r>
  <r>
    <x v="11"/>
    <x v="0"/>
    <x v="11"/>
    <x v="11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55590000000000006"/>
  </r>
  <r>
    <x v="11"/>
    <x v="0"/>
    <x v="11"/>
    <x v="11"/>
    <x v="1"/>
    <x v="6"/>
    <x v="0"/>
    <x v="0"/>
    <x v="0"/>
    <x v="0"/>
    <x v="4"/>
    <x v="4"/>
    <x v="2"/>
    <x v="2"/>
    <x v="2"/>
    <x v="21"/>
    <x v="21"/>
    <n v="0.97739449541225998"/>
    <x v="0"/>
    <x v="0"/>
    <x v="1"/>
    <x v="4"/>
    <x v="5"/>
    <x v="10"/>
    <n v="1.0653599999993635"/>
  </r>
  <r>
    <x v="11"/>
    <x v="0"/>
    <x v="11"/>
    <x v="11"/>
    <x v="1"/>
    <x v="6"/>
    <x v="0"/>
    <x v="0"/>
    <x v="0"/>
    <x v="0"/>
    <x v="4"/>
    <x v="4"/>
    <x v="2"/>
    <x v="2"/>
    <x v="2"/>
    <x v="79"/>
    <x v="79"/>
    <n v="0.29357798165120003"/>
    <x v="0"/>
    <x v="0"/>
    <x v="1"/>
    <x v="4"/>
    <x v="5"/>
    <x v="10"/>
    <n v="0.31999999999980805"/>
  </r>
  <r>
    <x v="11"/>
    <x v="0"/>
    <x v="11"/>
    <x v="11"/>
    <x v="1"/>
    <x v="6"/>
    <x v="0"/>
    <x v="0"/>
    <x v="0"/>
    <x v="0"/>
    <x v="4"/>
    <x v="4"/>
    <x v="2"/>
    <x v="2"/>
    <x v="2"/>
    <x v="78"/>
    <x v="78"/>
    <n v="1.9878715596318299"/>
    <x v="0"/>
    <x v="0"/>
    <x v="1"/>
    <x v="4"/>
    <x v="5"/>
    <x v="9"/>
    <n v="2.166779999998695"/>
  </r>
  <r>
    <x v="11"/>
    <x v="0"/>
    <x v="11"/>
    <x v="11"/>
    <x v="1"/>
    <x v="6"/>
    <x v="0"/>
    <x v="0"/>
    <x v="0"/>
    <x v="0"/>
    <x v="4"/>
    <x v="4"/>
    <x v="2"/>
    <x v="2"/>
    <x v="2"/>
    <x v="26"/>
    <x v="26"/>
    <n v="0.52759633027491004"/>
    <x v="0"/>
    <x v="0"/>
    <x v="1"/>
    <x v="3"/>
    <x v="3"/>
    <x v="15"/>
    <n v="0.57507999999965198"/>
  </r>
  <r>
    <x v="11"/>
    <x v="0"/>
    <x v="11"/>
    <x v="11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6.5400000000000009"/>
  </r>
  <r>
    <x v="11"/>
    <x v="0"/>
    <x v="11"/>
    <x v="11"/>
    <x v="1"/>
    <x v="6"/>
    <x v="0"/>
    <x v="0"/>
    <x v="0"/>
    <x v="0"/>
    <x v="4"/>
    <x v="4"/>
    <x v="4"/>
    <x v="5"/>
    <x v="5"/>
    <x v="20"/>
    <x v="20"/>
    <n v="21.64076"/>
    <x v="0"/>
    <x v="0"/>
    <x v="1"/>
    <x v="3"/>
    <x v="3"/>
    <x v="13"/>
    <n v="23.588428400000002"/>
  </r>
  <r>
    <x v="11"/>
    <x v="0"/>
    <x v="11"/>
    <x v="11"/>
    <x v="1"/>
    <x v="6"/>
    <x v="0"/>
    <x v="0"/>
    <x v="2"/>
    <x v="2"/>
    <x v="5"/>
    <x v="5"/>
    <x v="3"/>
    <x v="3"/>
    <x v="3"/>
    <x v="41"/>
    <x v="41"/>
    <n v="3.6162021276458298"/>
    <x v="1"/>
    <x v="2"/>
    <x v="5"/>
    <x v="7"/>
    <x v="11"/>
    <x v="22"/>
    <n v="3.941660319133955"/>
  </r>
  <r>
    <x v="11"/>
    <x v="0"/>
    <x v="11"/>
    <x v="11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1.734465"/>
  </r>
  <r>
    <x v="11"/>
    <x v="0"/>
    <x v="11"/>
    <x v="11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2837000000000005"/>
  </r>
  <r>
    <x v="11"/>
    <x v="0"/>
    <x v="11"/>
    <x v="11"/>
    <x v="1"/>
    <x v="6"/>
    <x v="0"/>
    <x v="0"/>
    <x v="0"/>
    <x v="0"/>
    <x v="5"/>
    <x v="5"/>
    <x v="2"/>
    <x v="2"/>
    <x v="2"/>
    <x v="7"/>
    <x v="7"/>
    <n v="8.64071602764818"/>
    <x v="0"/>
    <x v="0"/>
    <x v="1"/>
    <x v="4"/>
    <x v="5"/>
    <x v="7"/>
    <n v="9.4183804701365172"/>
  </r>
  <r>
    <x v="11"/>
    <x v="0"/>
    <x v="11"/>
    <x v="11"/>
    <x v="1"/>
    <x v="6"/>
    <x v="0"/>
    <x v="0"/>
    <x v="2"/>
    <x v="2"/>
    <x v="5"/>
    <x v="5"/>
    <x v="2"/>
    <x v="2"/>
    <x v="2"/>
    <x v="41"/>
    <x v="41"/>
    <n v="100.437872340044"/>
    <x v="1"/>
    <x v="2"/>
    <x v="5"/>
    <x v="7"/>
    <x v="11"/>
    <x v="22"/>
    <n v="109.47728085064796"/>
  </r>
  <r>
    <x v="11"/>
    <x v="0"/>
    <x v="11"/>
    <x v="11"/>
    <x v="1"/>
    <x v="6"/>
    <x v="0"/>
    <x v="0"/>
    <x v="2"/>
    <x v="2"/>
    <x v="5"/>
    <x v="5"/>
    <x v="2"/>
    <x v="2"/>
    <x v="2"/>
    <x v="40"/>
    <x v="40"/>
    <n v="10133.64013"/>
    <x v="1"/>
    <x v="2"/>
    <x v="5"/>
    <x v="7"/>
    <x v="11"/>
    <x v="22"/>
    <n v="11045.667741700001"/>
  </r>
  <r>
    <x v="11"/>
    <x v="0"/>
    <x v="11"/>
    <x v="11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189.74149930000002"/>
  </r>
  <r>
    <x v="11"/>
    <x v="0"/>
    <x v="11"/>
    <x v="11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8279300000000003"/>
  </r>
  <r>
    <x v="11"/>
    <x v="0"/>
    <x v="11"/>
    <x v="11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2.757360000000002"/>
  </r>
  <r>
    <x v="11"/>
    <x v="0"/>
    <x v="11"/>
    <x v="11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44.795164"/>
  </r>
  <r>
    <x v="11"/>
    <x v="0"/>
    <x v="11"/>
    <x v="11"/>
    <x v="1"/>
    <x v="6"/>
    <x v="0"/>
    <x v="0"/>
    <x v="0"/>
    <x v="0"/>
    <x v="5"/>
    <x v="5"/>
    <x v="1"/>
    <x v="6"/>
    <x v="6"/>
    <x v="7"/>
    <x v="7"/>
    <n v="1.77439024385595"/>
    <x v="0"/>
    <x v="0"/>
    <x v="1"/>
    <x v="4"/>
    <x v="5"/>
    <x v="7"/>
    <n v="1.9340853658029857"/>
  </r>
  <r>
    <x v="11"/>
    <x v="0"/>
    <x v="11"/>
    <x v="11"/>
    <x v="1"/>
    <x v="6"/>
    <x v="0"/>
    <x v="0"/>
    <x v="2"/>
    <x v="2"/>
    <x v="5"/>
    <x v="5"/>
    <x v="1"/>
    <x v="6"/>
    <x v="6"/>
    <x v="41"/>
    <x v="41"/>
    <n v="105.575138297471"/>
    <x v="1"/>
    <x v="2"/>
    <x v="5"/>
    <x v="7"/>
    <x v="11"/>
    <x v="22"/>
    <n v="115.0769007442434"/>
  </r>
  <r>
    <x v="11"/>
    <x v="0"/>
    <x v="11"/>
    <x v="11"/>
    <x v="1"/>
    <x v="6"/>
    <x v="0"/>
    <x v="0"/>
    <x v="2"/>
    <x v="2"/>
    <x v="5"/>
    <x v="5"/>
    <x v="1"/>
    <x v="6"/>
    <x v="6"/>
    <x v="40"/>
    <x v="40"/>
    <n v="3219.1868599999998"/>
    <x v="1"/>
    <x v="2"/>
    <x v="5"/>
    <x v="7"/>
    <x v="11"/>
    <x v="22"/>
    <n v="3508.9136773999999"/>
  </r>
  <r>
    <x v="11"/>
    <x v="0"/>
    <x v="11"/>
    <x v="11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281.79922600000003"/>
  </r>
  <r>
    <x v="11"/>
    <x v="0"/>
    <x v="11"/>
    <x v="11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0.682000000000002"/>
  </r>
  <r>
    <x v="11"/>
    <x v="0"/>
    <x v="11"/>
    <x v="11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686.88847190000001"/>
  </r>
  <r>
    <x v="11"/>
    <x v="0"/>
    <x v="11"/>
    <x v="11"/>
    <x v="1"/>
    <x v="6"/>
    <x v="0"/>
    <x v="0"/>
    <x v="0"/>
    <x v="0"/>
    <x v="5"/>
    <x v="5"/>
    <x v="1"/>
    <x v="8"/>
    <x v="8"/>
    <x v="7"/>
    <x v="7"/>
    <n v="9.9517595816208004"/>
    <x v="0"/>
    <x v="0"/>
    <x v="1"/>
    <x v="4"/>
    <x v="5"/>
    <x v="7"/>
    <n v="10.847417943966674"/>
  </r>
  <r>
    <x v="11"/>
    <x v="0"/>
    <x v="11"/>
    <x v="11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195.94236760000001"/>
  </r>
  <r>
    <x v="11"/>
    <x v="0"/>
    <x v="11"/>
    <x v="11"/>
    <x v="1"/>
    <x v="6"/>
    <x v="0"/>
    <x v="0"/>
    <x v="0"/>
    <x v="0"/>
    <x v="5"/>
    <x v="5"/>
    <x v="2"/>
    <x v="10"/>
    <x v="10"/>
    <x v="7"/>
    <x v="7"/>
    <n v="4.3217386758449603"/>
    <x v="0"/>
    <x v="0"/>
    <x v="1"/>
    <x v="4"/>
    <x v="5"/>
    <x v="7"/>
    <n v="4.7106951566710071"/>
  </r>
  <r>
    <x v="11"/>
    <x v="0"/>
    <x v="11"/>
    <x v="11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79.757948700000014"/>
  </r>
  <r>
    <x v="11"/>
    <x v="0"/>
    <x v="11"/>
    <x v="11"/>
    <x v="1"/>
    <x v="6"/>
    <x v="0"/>
    <x v="0"/>
    <x v="0"/>
    <x v="0"/>
    <x v="5"/>
    <x v="5"/>
    <x v="4"/>
    <x v="5"/>
    <x v="5"/>
    <x v="7"/>
    <x v="7"/>
    <n v="7.4290261322095397"/>
    <x v="0"/>
    <x v="0"/>
    <x v="1"/>
    <x v="4"/>
    <x v="5"/>
    <x v="7"/>
    <n v="8.0976384841083995"/>
  </r>
  <r>
    <x v="11"/>
    <x v="0"/>
    <x v="11"/>
    <x v="11"/>
    <x v="1"/>
    <x v="6"/>
    <x v="0"/>
    <x v="0"/>
    <x v="2"/>
    <x v="2"/>
    <x v="5"/>
    <x v="5"/>
    <x v="4"/>
    <x v="5"/>
    <x v="5"/>
    <x v="41"/>
    <x v="41"/>
    <n v="95.246159574106102"/>
    <x v="1"/>
    <x v="2"/>
    <x v="5"/>
    <x v="7"/>
    <x v="11"/>
    <x v="22"/>
    <n v="103.81831393577566"/>
  </r>
  <r>
    <x v="11"/>
    <x v="0"/>
    <x v="11"/>
    <x v="11"/>
    <x v="1"/>
    <x v="6"/>
    <x v="0"/>
    <x v="0"/>
    <x v="2"/>
    <x v="2"/>
    <x v="5"/>
    <x v="5"/>
    <x v="4"/>
    <x v="5"/>
    <x v="5"/>
    <x v="40"/>
    <x v="40"/>
    <n v="1173.0724499999999"/>
    <x v="1"/>
    <x v="2"/>
    <x v="5"/>
    <x v="7"/>
    <x v="11"/>
    <x v="22"/>
    <n v="1278.6489704999999"/>
  </r>
  <r>
    <x v="11"/>
    <x v="0"/>
    <x v="11"/>
    <x v="11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0.884740000000001"/>
  </r>
  <r>
    <x v="11"/>
    <x v="0"/>
    <x v="11"/>
    <x v="11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06.67450920000005"/>
  </r>
  <r>
    <x v="11"/>
    <x v="0"/>
    <x v="11"/>
    <x v="11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47.115904"/>
  </r>
  <r>
    <x v="11"/>
    <x v="0"/>
    <x v="11"/>
    <x v="11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87636000000000014"/>
  </r>
  <r>
    <x v="11"/>
    <x v="0"/>
    <x v="11"/>
    <x v="11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47872799999999999"/>
  </r>
  <r>
    <x v="11"/>
    <x v="0"/>
    <x v="11"/>
    <x v="11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2.834750000000001"/>
  </r>
  <r>
    <x v="11"/>
    <x v="0"/>
    <x v="11"/>
    <x v="11"/>
    <x v="1"/>
    <x v="6"/>
    <x v="0"/>
    <x v="0"/>
    <x v="2"/>
    <x v="2"/>
    <x v="6"/>
    <x v="6"/>
    <x v="2"/>
    <x v="2"/>
    <x v="2"/>
    <x v="41"/>
    <x v="41"/>
    <n v="4.3275531914729202"/>
    <x v="1"/>
    <x v="2"/>
    <x v="5"/>
    <x v="7"/>
    <x v="11"/>
    <x v="22"/>
    <n v="4.7170329787054834"/>
  </r>
  <r>
    <x v="11"/>
    <x v="0"/>
    <x v="11"/>
    <x v="11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23.86887769999998"/>
  </r>
  <r>
    <x v="11"/>
    <x v="0"/>
    <x v="11"/>
    <x v="11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4.777976000000002"/>
  </r>
  <r>
    <x v="11"/>
    <x v="0"/>
    <x v="11"/>
    <x v="11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3752.7411947000001"/>
  </r>
  <r>
    <x v="11"/>
    <x v="0"/>
    <x v="11"/>
    <x v="11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0.435050000000004"/>
  </r>
  <r>
    <x v="11"/>
    <x v="0"/>
    <x v="11"/>
    <x v="11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67.36636"/>
  </r>
  <r>
    <x v="11"/>
    <x v="0"/>
    <x v="11"/>
    <x v="11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161"/>
  </r>
  <r>
    <x v="11"/>
    <x v="0"/>
    <x v="11"/>
    <x v="11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1.176180000000002"/>
  </r>
  <r>
    <x v="11"/>
    <x v="0"/>
    <x v="11"/>
    <x v="11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6.4964000000000008E-2"/>
  </r>
  <r>
    <x v="11"/>
    <x v="0"/>
    <x v="11"/>
    <x v="11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01.36594520000001"/>
  </r>
  <r>
    <x v="11"/>
    <x v="0"/>
    <x v="11"/>
    <x v="11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0.592280000000002"/>
  </r>
  <r>
    <x v="11"/>
    <x v="0"/>
    <x v="11"/>
    <x v="11"/>
    <x v="1"/>
    <x v="6"/>
    <x v="0"/>
    <x v="0"/>
    <x v="2"/>
    <x v="2"/>
    <x v="6"/>
    <x v="6"/>
    <x v="1"/>
    <x v="6"/>
    <x v="6"/>
    <x v="41"/>
    <x v="41"/>
    <n v="6.9481914893352998"/>
    <x v="1"/>
    <x v="2"/>
    <x v="5"/>
    <x v="7"/>
    <x v="11"/>
    <x v="22"/>
    <n v="7.5735287233754773"/>
  </r>
  <r>
    <x v="11"/>
    <x v="0"/>
    <x v="11"/>
    <x v="11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480.44345290000007"/>
  </r>
  <r>
    <x v="11"/>
    <x v="0"/>
    <x v="11"/>
    <x v="11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4.1597431"/>
  </r>
  <r>
    <x v="11"/>
    <x v="0"/>
    <x v="11"/>
    <x v="11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648.9632706000002"/>
  </r>
  <r>
    <x v="11"/>
    <x v="0"/>
    <x v="11"/>
    <x v="11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4.846371400000002"/>
  </r>
  <r>
    <x v="11"/>
    <x v="0"/>
    <x v="11"/>
    <x v="11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84.185060000000007"/>
  </r>
  <r>
    <x v="11"/>
    <x v="0"/>
    <x v="11"/>
    <x v="11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9.4565130000000011"/>
  </r>
  <r>
    <x v="11"/>
    <x v="0"/>
    <x v="11"/>
    <x v="11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49.183525000000003"/>
  </r>
  <r>
    <x v="11"/>
    <x v="0"/>
    <x v="11"/>
    <x v="11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45.879473400000002"/>
  </r>
  <r>
    <x v="11"/>
    <x v="0"/>
    <x v="11"/>
    <x v="11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5.957981500000001"/>
  </r>
  <r>
    <x v="11"/>
    <x v="0"/>
    <x v="11"/>
    <x v="11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1015000000000001"/>
  </r>
  <r>
    <x v="11"/>
    <x v="0"/>
    <x v="11"/>
    <x v="11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0518391"/>
  </r>
  <r>
    <x v="11"/>
    <x v="0"/>
    <x v="11"/>
    <x v="11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4.6870000000000003"/>
  </r>
  <r>
    <x v="11"/>
    <x v="0"/>
    <x v="11"/>
    <x v="11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2.640799999999999"/>
  </r>
  <r>
    <x v="11"/>
    <x v="0"/>
    <x v="11"/>
    <x v="11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3.897936000000001"/>
  </r>
  <r>
    <x v="11"/>
    <x v="0"/>
    <x v="11"/>
    <x v="11"/>
    <x v="1"/>
    <x v="6"/>
    <x v="0"/>
    <x v="0"/>
    <x v="0"/>
    <x v="0"/>
    <x v="7"/>
    <x v="7"/>
    <x v="2"/>
    <x v="2"/>
    <x v="2"/>
    <x v="7"/>
    <x v="7"/>
    <n v="241.47516375673999"/>
    <x v="0"/>
    <x v="0"/>
    <x v="1"/>
    <x v="4"/>
    <x v="5"/>
    <x v="7"/>
    <n v="263.20792849484661"/>
  </r>
  <r>
    <x v="11"/>
    <x v="0"/>
    <x v="11"/>
    <x v="11"/>
    <x v="1"/>
    <x v="6"/>
    <x v="0"/>
    <x v="0"/>
    <x v="2"/>
    <x v="2"/>
    <x v="7"/>
    <x v="7"/>
    <x v="2"/>
    <x v="2"/>
    <x v="2"/>
    <x v="41"/>
    <x v="41"/>
    <n v="77.449478723109905"/>
    <x v="1"/>
    <x v="2"/>
    <x v="5"/>
    <x v="7"/>
    <x v="11"/>
    <x v="22"/>
    <n v="84.419931808189801"/>
  </r>
  <r>
    <x v="11"/>
    <x v="0"/>
    <x v="11"/>
    <x v="11"/>
    <x v="1"/>
    <x v="6"/>
    <x v="0"/>
    <x v="0"/>
    <x v="2"/>
    <x v="2"/>
    <x v="7"/>
    <x v="7"/>
    <x v="2"/>
    <x v="2"/>
    <x v="2"/>
    <x v="40"/>
    <x v="40"/>
    <n v="2520.83482"/>
    <x v="1"/>
    <x v="2"/>
    <x v="5"/>
    <x v="7"/>
    <x v="11"/>
    <x v="22"/>
    <n v="2747.7099538000002"/>
  </r>
  <r>
    <x v="11"/>
    <x v="0"/>
    <x v="11"/>
    <x v="11"/>
    <x v="1"/>
    <x v="6"/>
    <x v="0"/>
    <x v="0"/>
    <x v="2"/>
    <x v="2"/>
    <x v="7"/>
    <x v="7"/>
    <x v="2"/>
    <x v="2"/>
    <x v="2"/>
    <x v="38"/>
    <x v="38"/>
    <n v="4080.2636499999999"/>
    <x v="1"/>
    <x v="0"/>
    <x v="4"/>
    <x v="6"/>
    <x v="10"/>
    <x v="21"/>
    <n v="4447.4873785"/>
  </r>
  <r>
    <x v="11"/>
    <x v="0"/>
    <x v="11"/>
    <x v="11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53.14017290000004"/>
  </r>
  <r>
    <x v="11"/>
    <x v="0"/>
    <x v="11"/>
    <x v="11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29.13249700000003"/>
  </r>
  <r>
    <x v="11"/>
    <x v="0"/>
    <x v="11"/>
    <x v="11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7.862375"/>
  </r>
  <r>
    <x v="11"/>
    <x v="0"/>
    <x v="11"/>
    <x v="11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1.341945500000008"/>
  </r>
  <r>
    <x v="11"/>
    <x v="0"/>
    <x v="11"/>
    <x v="11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86.21418220000001"/>
  </r>
  <r>
    <x v="11"/>
    <x v="0"/>
    <x v="11"/>
    <x v="11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286.6918"/>
  </r>
  <r>
    <x v="11"/>
    <x v="0"/>
    <x v="11"/>
    <x v="11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184.67870000000002"/>
  </r>
  <r>
    <x v="11"/>
    <x v="0"/>
    <x v="11"/>
    <x v="11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4.061000000000002"/>
  </r>
  <r>
    <x v="11"/>
    <x v="0"/>
    <x v="11"/>
    <x v="11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0.87275"/>
  </r>
  <r>
    <x v="11"/>
    <x v="0"/>
    <x v="11"/>
    <x v="11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6350000000000002"/>
  </r>
  <r>
    <x v="11"/>
    <x v="0"/>
    <x v="11"/>
    <x v="11"/>
    <x v="1"/>
    <x v="6"/>
    <x v="0"/>
    <x v="0"/>
    <x v="2"/>
    <x v="2"/>
    <x v="7"/>
    <x v="7"/>
    <x v="1"/>
    <x v="6"/>
    <x v="6"/>
    <x v="41"/>
    <x v="41"/>
    <n v="37.017276595604002"/>
    <x v="1"/>
    <x v="2"/>
    <x v="5"/>
    <x v="7"/>
    <x v="11"/>
    <x v="22"/>
    <n v="40.348831489208365"/>
  </r>
  <r>
    <x v="11"/>
    <x v="0"/>
    <x v="11"/>
    <x v="11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1891.1687807000001"/>
  </r>
  <r>
    <x v="11"/>
    <x v="0"/>
    <x v="11"/>
    <x v="11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673.16854380000007"/>
  </r>
  <r>
    <x v="11"/>
    <x v="0"/>
    <x v="11"/>
    <x v="11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6.7035000000000009"/>
  </r>
  <r>
    <x v="11"/>
    <x v="0"/>
    <x v="11"/>
    <x v="11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7.440000000000001"/>
  </r>
  <r>
    <x v="11"/>
    <x v="0"/>
    <x v="11"/>
    <x v="11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0.101126000000004"/>
  </r>
  <r>
    <x v="11"/>
    <x v="0"/>
    <x v="11"/>
    <x v="11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4363000000000002"/>
  </r>
  <r>
    <x v="11"/>
    <x v="0"/>
    <x v="11"/>
    <x v="11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5.6505600000000005"/>
  </r>
  <r>
    <x v="11"/>
    <x v="0"/>
    <x v="11"/>
    <x v="11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7.930500000000002"/>
  </r>
  <r>
    <x v="11"/>
    <x v="0"/>
    <x v="11"/>
    <x v="11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194.02818590000001"/>
  </r>
  <r>
    <x v="11"/>
    <x v="0"/>
    <x v="11"/>
    <x v="11"/>
    <x v="1"/>
    <x v="6"/>
    <x v="0"/>
    <x v="0"/>
    <x v="2"/>
    <x v="2"/>
    <x v="7"/>
    <x v="7"/>
    <x v="1"/>
    <x v="8"/>
    <x v="8"/>
    <x v="40"/>
    <x v="40"/>
    <n v="222.66556"/>
    <x v="1"/>
    <x v="2"/>
    <x v="5"/>
    <x v="7"/>
    <x v="11"/>
    <x v="22"/>
    <n v="242.70546040000002"/>
  </r>
  <r>
    <x v="11"/>
    <x v="0"/>
    <x v="11"/>
    <x v="11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5807289000000002"/>
  </r>
  <r>
    <x v="11"/>
    <x v="0"/>
    <x v="11"/>
    <x v="11"/>
    <x v="1"/>
    <x v="6"/>
    <x v="0"/>
    <x v="0"/>
    <x v="2"/>
    <x v="2"/>
    <x v="7"/>
    <x v="7"/>
    <x v="4"/>
    <x v="5"/>
    <x v="5"/>
    <x v="40"/>
    <x v="40"/>
    <n v="183.48287999999999"/>
    <x v="1"/>
    <x v="2"/>
    <x v="5"/>
    <x v="7"/>
    <x v="11"/>
    <x v="22"/>
    <n v="199.99633920000002"/>
  </r>
  <r>
    <x v="11"/>
    <x v="0"/>
    <x v="11"/>
    <x v="11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35.85646800000001"/>
  </r>
  <r>
    <x v="11"/>
    <x v="0"/>
    <x v="11"/>
    <x v="11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0.990330800000002"/>
  </r>
  <r>
    <x v="11"/>
    <x v="0"/>
    <x v="11"/>
    <x v="11"/>
    <x v="1"/>
    <x v="6"/>
    <x v="0"/>
    <x v="0"/>
    <x v="2"/>
    <x v="2"/>
    <x v="8"/>
    <x v="8"/>
    <x v="3"/>
    <x v="3"/>
    <x v="3"/>
    <x v="41"/>
    <x v="41"/>
    <n v="1.52263829786655"/>
    <x v="1"/>
    <x v="2"/>
    <x v="5"/>
    <x v="7"/>
    <x v="11"/>
    <x v="22"/>
    <n v="1.6596757446745396"/>
  </r>
  <r>
    <x v="11"/>
    <x v="0"/>
    <x v="11"/>
    <x v="11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350.2029659000004"/>
  </r>
  <r>
    <x v="11"/>
    <x v="0"/>
    <x v="11"/>
    <x v="11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5.8293200000000001"/>
  </r>
  <r>
    <x v="11"/>
    <x v="0"/>
    <x v="11"/>
    <x v="11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3.075204000000001"/>
  </r>
  <r>
    <x v="11"/>
    <x v="0"/>
    <x v="11"/>
    <x v="11"/>
    <x v="1"/>
    <x v="6"/>
    <x v="0"/>
    <x v="0"/>
    <x v="2"/>
    <x v="2"/>
    <x v="8"/>
    <x v="8"/>
    <x v="2"/>
    <x v="2"/>
    <x v="2"/>
    <x v="41"/>
    <x v="41"/>
    <n v="60.170478723175599"/>
    <x v="1"/>
    <x v="2"/>
    <x v="5"/>
    <x v="7"/>
    <x v="11"/>
    <x v="22"/>
    <n v="65.585821808261414"/>
  </r>
  <r>
    <x v="11"/>
    <x v="0"/>
    <x v="11"/>
    <x v="11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155.4568624000003"/>
  </r>
  <r>
    <x v="11"/>
    <x v="0"/>
    <x v="11"/>
    <x v="11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7.8611127000000014"/>
  </r>
  <r>
    <x v="11"/>
    <x v="0"/>
    <x v="11"/>
    <x v="11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4.671400000000002"/>
  </r>
  <r>
    <x v="11"/>
    <x v="0"/>
    <x v="11"/>
    <x v="11"/>
    <x v="1"/>
    <x v="6"/>
    <x v="0"/>
    <x v="0"/>
    <x v="2"/>
    <x v="2"/>
    <x v="8"/>
    <x v="8"/>
    <x v="1"/>
    <x v="6"/>
    <x v="6"/>
    <x v="41"/>
    <x v="41"/>
    <n v="23.001085106295601"/>
    <x v="1"/>
    <x v="2"/>
    <x v="5"/>
    <x v="7"/>
    <x v="11"/>
    <x v="22"/>
    <n v="25.071182765862208"/>
  </r>
  <r>
    <x v="11"/>
    <x v="0"/>
    <x v="11"/>
    <x v="11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220.5892209000003"/>
  </r>
  <r>
    <x v="11"/>
    <x v="0"/>
    <x v="11"/>
    <x v="11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34.08142320000002"/>
  </r>
  <r>
    <x v="11"/>
    <x v="0"/>
    <x v="11"/>
    <x v="11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2888.9837420000003"/>
  </r>
  <r>
    <x v="11"/>
    <x v="0"/>
    <x v="11"/>
    <x v="11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1.976222400000001"/>
  </r>
  <r>
    <x v="11"/>
    <x v="0"/>
    <x v="11"/>
    <x v="11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52.72566609999998"/>
  </r>
  <r>
    <x v="11"/>
    <x v="0"/>
    <x v="11"/>
    <x v="11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19.335946"/>
  </r>
  <r>
    <x v="11"/>
    <x v="0"/>
    <x v="11"/>
    <x v="11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5.525216700000001"/>
  </r>
  <r>
    <x v="11"/>
    <x v="0"/>
    <x v="11"/>
    <x v="11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225.0822721"/>
  </r>
  <r>
    <x v="11"/>
    <x v="0"/>
    <x v="11"/>
    <x v="11"/>
    <x v="1"/>
    <x v="6"/>
    <x v="0"/>
    <x v="0"/>
    <x v="0"/>
    <x v="0"/>
    <x v="9"/>
    <x v="9"/>
    <x v="2"/>
    <x v="2"/>
    <x v="2"/>
    <x v="7"/>
    <x v="7"/>
    <n v="106.246891983279"/>
    <x v="0"/>
    <x v="0"/>
    <x v="1"/>
    <x v="4"/>
    <x v="5"/>
    <x v="7"/>
    <n v="115.80911226177412"/>
  </r>
  <r>
    <x v="11"/>
    <x v="0"/>
    <x v="11"/>
    <x v="11"/>
    <x v="1"/>
    <x v="6"/>
    <x v="0"/>
    <x v="0"/>
    <x v="2"/>
    <x v="2"/>
    <x v="9"/>
    <x v="9"/>
    <x v="2"/>
    <x v="2"/>
    <x v="2"/>
    <x v="41"/>
    <x v="41"/>
    <n v="510.50504255125202"/>
    <x v="1"/>
    <x v="2"/>
    <x v="5"/>
    <x v="7"/>
    <x v="11"/>
    <x v="22"/>
    <n v="556.45049638086471"/>
  </r>
  <r>
    <x v="11"/>
    <x v="0"/>
    <x v="11"/>
    <x v="11"/>
    <x v="1"/>
    <x v="6"/>
    <x v="0"/>
    <x v="0"/>
    <x v="2"/>
    <x v="2"/>
    <x v="9"/>
    <x v="9"/>
    <x v="2"/>
    <x v="2"/>
    <x v="2"/>
    <x v="40"/>
    <x v="40"/>
    <n v="13154.07926"/>
    <x v="1"/>
    <x v="2"/>
    <x v="5"/>
    <x v="7"/>
    <x v="11"/>
    <x v="22"/>
    <n v="14337.946393400001"/>
  </r>
  <r>
    <x v="11"/>
    <x v="0"/>
    <x v="11"/>
    <x v="11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215.0868624000004"/>
  </r>
  <r>
    <x v="11"/>
    <x v="0"/>
    <x v="11"/>
    <x v="11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194.1510834"/>
  </r>
  <r>
    <x v="11"/>
    <x v="0"/>
    <x v="11"/>
    <x v="11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4.989000000000004"/>
  </r>
  <r>
    <x v="11"/>
    <x v="0"/>
    <x v="11"/>
    <x v="11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526"/>
  </r>
  <r>
    <x v="11"/>
    <x v="0"/>
    <x v="11"/>
    <x v="11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3980000000000006"/>
  </r>
  <r>
    <x v="11"/>
    <x v="0"/>
    <x v="11"/>
    <x v="11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715.0700346000003"/>
  </r>
  <r>
    <x v="11"/>
    <x v="0"/>
    <x v="11"/>
    <x v="11"/>
    <x v="1"/>
    <x v="6"/>
    <x v="0"/>
    <x v="0"/>
    <x v="2"/>
    <x v="2"/>
    <x v="9"/>
    <x v="9"/>
    <x v="1"/>
    <x v="6"/>
    <x v="6"/>
    <x v="41"/>
    <x v="41"/>
    <n v="144.161063829239"/>
    <x v="1"/>
    <x v="2"/>
    <x v="5"/>
    <x v="7"/>
    <x v="11"/>
    <x v="22"/>
    <n v="157.13555957387052"/>
  </r>
  <r>
    <x v="11"/>
    <x v="0"/>
    <x v="11"/>
    <x v="11"/>
    <x v="1"/>
    <x v="6"/>
    <x v="0"/>
    <x v="0"/>
    <x v="2"/>
    <x v="2"/>
    <x v="9"/>
    <x v="9"/>
    <x v="1"/>
    <x v="6"/>
    <x v="6"/>
    <x v="40"/>
    <x v="40"/>
    <n v="25735.1309"/>
    <x v="1"/>
    <x v="2"/>
    <x v="5"/>
    <x v="7"/>
    <x v="11"/>
    <x v="22"/>
    <n v="28051.292681000003"/>
  </r>
  <r>
    <x v="11"/>
    <x v="0"/>
    <x v="11"/>
    <x v="11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591.5207393000001"/>
  </r>
  <r>
    <x v="11"/>
    <x v="0"/>
    <x v="11"/>
    <x v="11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673.54233750000014"/>
  </r>
  <r>
    <x v="11"/>
    <x v="0"/>
    <x v="11"/>
    <x v="11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3.99594"/>
  </r>
  <r>
    <x v="11"/>
    <x v="0"/>
    <x v="11"/>
    <x v="11"/>
    <x v="1"/>
    <x v="6"/>
    <x v="0"/>
    <x v="0"/>
    <x v="2"/>
    <x v="2"/>
    <x v="9"/>
    <x v="9"/>
    <x v="3"/>
    <x v="7"/>
    <x v="7"/>
    <x v="40"/>
    <x v="40"/>
    <n v="751.09121000000005"/>
    <x v="1"/>
    <x v="2"/>
    <x v="5"/>
    <x v="7"/>
    <x v="11"/>
    <x v="22"/>
    <n v="818.68941890000008"/>
  </r>
  <r>
    <x v="11"/>
    <x v="0"/>
    <x v="11"/>
    <x v="11"/>
    <x v="1"/>
    <x v="6"/>
    <x v="0"/>
    <x v="0"/>
    <x v="2"/>
    <x v="2"/>
    <x v="9"/>
    <x v="9"/>
    <x v="1"/>
    <x v="8"/>
    <x v="8"/>
    <x v="40"/>
    <x v="40"/>
    <n v="12526.8838"/>
    <x v="1"/>
    <x v="2"/>
    <x v="5"/>
    <x v="7"/>
    <x v="11"/>
    <x v="22"/>
    <n v="13654.303342000001"/>
  </r>
  <r>
    <x v="11"/>
    <x v="0"/>
    <x v="11"/>
    <x v="11"/>
    <x v="1"/>
    <x v="6"/>
    <x v="0"/>
    <x v="0"/>
    <x v="2"/>
    <x v="2"/>
    <x v="9"/>
    <x v="9"/>
    <x v="2"/>
    <x v="10"/>
    <x v="10"/>
    <x v="40"/>
    <x v="40"/>
    <n v="196.56697"/>
    <x v="1"/>
    <x v="2"/>
    <x v="5"/>
    <x v="7"/>
    <x v="11"/>
    <x v="22"/>
    <n v="214.2579973"/>
  </r>
  <r>
    <x v="11"/>
    <x v="0"/>
    <x v="11"/>
    <x v="11"/>
    <x v="1"/>
    <x v="6"/>
    <x v="0"/>
    <x v="0"/>
    <x v="2"/>
    <x v="2"/>
    <x v="9"/>
    <x v="9"/>
    <x v="4"/>
    <x v="5"/>
    <x v="5"/>
    <x v="41"/>
    <x v="41"/>
    <n v="330.69256382853098"/>
    <x v="1"/>
    <x v="2"/>
    <x v="5"/>
    <x v="7"/>
    <x v="11"/>
    <x v="22"/>
    <n v="360.45489457309878"/>
  </r>
  <r>
    <x v="11"/>
    <x v="0"/>
    <x v="11"/>
    <x v="11"/>
    <x v="1"/>
    <x v="6"/>
    <x v="0"/>
    <x v="0"/>
    <x v="2"/>
    <x v="2"/>
    <x v="9"/>
    <x v="9"/>
    <x v="4"/>
    <x v="5"/>
    <x v="5"/>
    <x v="40"/>
    <x v="40"/>
    <n v="3316.4558200000001"/>
    <x v="1"/>
    <x v="2"/>
    <x v="5"/>
    <x v="7"/>
    <x v="11"/>
    <x v="22"/>
    <n v="3614.9368438000006"/>
  </r>
  <r>
    <x v="11"/>
    <x v="0"/>
    <x v="11"/>
    <x v="11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14.95556860000011"/>
  </r>
  <r>
    <x v="11"/>
    <x v="0"/>
    <x v="11"/>
    <x v="11"/>
    <x v="1"/>
    <x v="6"/>
    <x v="0"/>
    <x v="0"/>
    <x v="2"/>
    <x v="2"/>
    <x v="10"/>
    <x v="10"/>
    <x v="2"/>
    <x v="2"/>
    <x v="2"/>
    <x v="41"/>
    <x v="41"/>
    <n v="537.70699999795704"/>
    <x v="1"/>
    <x v="2"/>
    <x v="5"/>
    <x v="7"/>
    <x v="11"/>
    <x v="22"/>
    <n v="586.10062999777324"/>
  </r>
  <r>
    <x v="11"/>
    <x v="0"/>
    <x v="11"/>
    <x v="11"/>
    <x v="1"/>
    <x v="6"/>
    <x v="0"/>
    <x v="0"/>
    <x v="2"/>
    <x v="2"/>
    <x v="10"/>
    <x v="10"/>
    <x v="2"/>
    <x v="2"/>
    <x v="2"/>
    <x v="40"/>
    <x v="40"/>
    <n v="4537.14048"/>
    <x v="1"/>
    <x v="2"/>
    <x v="5"/>
    <x v="7"/>
    <x v="11"/>
    <x v="22"/>
    <n v="4945.4831232000006"/>
  </r>
  <r>
    <x v="11"/>
    <x v="0"/>
    <x v="11"/>
    <x v="11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69.807142500000012"/>
  </r>
  <r>
    <x v="11"/>
    <x v="0"/>
    <x v="11"/>
    <x v="11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38150000000000001"/>
  </r>
  <r>
    <x v="11"/>
    <x v="0"/>
    <x v="11"/>
    <x v="11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78044000000000002"/>
  </r>
  <r>
    <x v="11"/>
    <x v="0"/>
    <x v="11"/>
    <x v="11"/>
    <x v="1"/>
    <x v="6"/>
    <x v="0"/>
    <x v="0"/>
    <x v="0"/>
    <x v="0"/>
    <x v="10"/>
    <x v="10"/>
    <x v="1"/>
    <x v="6"/>
    <x v="6"/>
    <x v="7"/>
    <x v="7"/>
    <n v="11.3609825780996"/>
    <x v="0"/>
    <x v="0"/>
    <x v="1"/>
    <x v="4"/>
    <x v="5"/>
    <x v="7"/>
    <n v="12.383471010128565"/>
  </r>
  <r>
    <x v="11"/>
    <x v="0"/>
    <x v="11"/>
    <x v="11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40.59773910000001"/>
  </r>
  <r>
    <x v="11"/>
    <x v="0"/>
    <x v="11"/>
    <x v="11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51.44194039999999"/>
  </r>
  <r>
    <x v="11"/>
    <x v="0"/>
    <x v="11"/>
    <x v="11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0.40841"/>
  </r>
  <r>
    <x v="11"/>
    <x v="0"/>
    <x v="11"/>
    <x v="11"/>
    <x v="1"/>
    <x v="6"/>
    <x v="0"/>
    <x v="0"/>
    <x v="0"/>
    <x v="0"/>
    <x v="11"/>
    <x v="11"/>
    <x v="2"/>
    <x v="2"/>
    <x v="2"/>
    <x v="7"/>
    <x v="7"/>
    <n v="10.080606271512901"/>
    <x v="0"/>
    <x v="0"/>
    <x v="1"/>
    <x v="4"/>
    <x v="5"/>
    <x v="7"/>
    <n v="10.987860835949062"/>
  </r>
  <r>
    <x v="11"/>
    <x v="0"/>
    <x v="11"/>
    <x v="11"/>
    <x v="1"/>
    <x v="6"/>
    <x v="0"/>
    <x v="0"/>
    <x v="0"/>
    <x v="0"/>
    <x v="11"/>
    <x v="11"/>
    <x v="2"/>
    <x v="2"/>
    <x v="2"/>
    <x v="10"/>
    <x v="10"/>
    <n v="0.46945856939712"/>
    <x v="0"/>
    <x v="0"/>
    <x v="1"/>
    <x v="4"/>
    <x v="5"/>
    <x v="10"/>
    <n v="0.51170984064286085"/>
  </r>
  <r>
    <x v="11"/>
    <x v="0"/>
    <x v="11"/>
    <x v="11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188.9893448"/>
  </r>
  <r>
    <x v="11"/>
    <x v="0"/>
    <x v="11"/>
    <x v="11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4.033948700000003"/>
  </r>
  <r>
    <x v="11"/>
    <x v="0"/>
    <x v="11"/>
    <x v="11"/>
    <x v="1"/>
    <x v="6"/>
    <x v="0"/>
    <x v="0"/>
    <x v="0"/>
    <x v="0"/>
    <x v="11"/>
    <x v="11"/>
    <x v="2"/>
    <x v="2"/>
    <x v="2"/>
    <x v="2"/>
    <x v="2"/>
    <n v="31.713467889889198"/>
    <x v="0"/>
    <x v="1"/>
    <x v="2"/>
    <x v="2"/>
    <x v="13"/>
    <x v="2"/>
    <n v="34.567679999979227"/>
  </r>
  <r>
    <x v="11"/>
    <x v="0"/>
    <x v="11"/>
    <x v="11"/>
    <x v="1"/>
    <x v="6"/>
    <x v="0"/>
    <x v="0"/>
    <x v="0"/>
    <x v="0"/>
    <x v="11"/>
    <x v="11"/>
    <x v="1"/>
    <x v="6"/>
    <x v="6"/>
    <x v="7"/>
    <x v="7"/>
    <n v="11.520836236632"/>
    <x v="0"/>
    <x v="0"/>
    <x v="1"/>
    <x v="4"/>
    <x v="5"/>
    <x v="7"/>
    <n v="12.557711497928882"/>
  </r>
  <r>
    <x v="11"/>
    <x v="0"/>
    <x v="11"/>
    <x v="11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291.62061650000004"/>
  </r>
  <r>
    <x v="11"/>
    <x v="0"/>
    <x v="11"/>
    <x v="11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3.905392000000006"/>
  </r>
  <r>
    <x v="11"/>
    <x v="0"/>
    <x v="11"/>
    <x v="11"/>
    <x v="1"/>
    <x v="6"/>
    <x v="0"/>
    <x v="0"/>
    <x v="0"/>
    <x v="0"/>
    <x v="11"/>
    <x v="11"/>
    <x v="4"/>
    <x v="5"/>
    <x v="5"/>
    <x v="7"/>
    <x v="7"/>
    <n v="124.341311843432"/>
    <x v="0"/>
    <x v="0"/>
    <x v="1"/>
    <x v="4"/>
    <x v="5"/>
    <x v="7"/>
    <n v="135.53202990934088"/>
  </r>
  <r>
    <x v="11"/>
    <x v="0"/>
    <x v="11"/>
    <x v="11"/>
    <x v="1"/>
    <x v="6"/>
    <x v="0"/>
    <x v="0"/>
    <x v="0"/>
    <x v="0"/>
    <x v="11"/>
    <x v="11"/>
    <x v="4"/>
    <x v="5"/>
    <x v="5"/>
    <x v="10"/>
    <x v="10"/>
    <n v="7.0026231053702404"/>
    <x v="0"/>
    <x v="0"/>
    <x v="1"/>
    <x v="4"/>
    <x v="5"/>
    <x v="10"/>
    <n v="7.6328591848535625"/>
  </r>
  <r>
    <x v="11"/>
    <x v="0"/>
    <x v="11"/>
    <x v="11"/>
    <x v="1"/>
    <x v="6"/>
    <x v="0"/>
    <x v="0"/>
    <x v="3"/>
    <x v="3"/>
    <x v="12"/>
    <x v="12"/>
    <x v="3"/>
    <x v="3"/>
    <x v="3"/>
    <x v="41"/>
    <x v="41"/>
    <n v="26.8808723403234"/>
    <x v="1"/>
    <x v="2"/>
    <x v="5"/>
    <x v="7"/>
    <x v="11"/>
    <x v="22"/>
    <n v="29.300150850952509"/>
  </r>
  <r>
    <x v="11"/>
    <x v="0"/>
    <x v="11"/>
    <x v="11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3.630696500000006"/>
  </r>
  <r>
    <x v="11"/>
    <x v="0"/>
    <x v="11"/>
    <x v="11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184.31900000000002"/>
  </r>
  <r>
    <x v="11"/>
    <x v="0"/>
    <x v="11"/>
    <x v="11"/>
    <x v="1"/>
    <x v="6"/>
    <x v="0"/>
    <x v="0"/>
    <x v="3"/>
    <x v="3"/>
    <x v="12"/>
    <x v="12"/>
    <x v="2"/>
    <x v="2"/>
    <x v="2"/>
    <x v="41"/>
    <x v="41"/>
    <n v="1566.2885744621301"/>
    <x v="1"/>
    <x v="2"/>
    <x v="5"/>
    <x v="7"/>
    <x v="11"/>
    <x v="22"/>
    <n v="1707.2545461637219"/>
  </r>
  <r>
    <x v="11"/>
    <x v="0"/>
    <x v="11"/>
    <x v="11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307.5941356000003"/>
  </r>
  <r>
    <x v="11"/>
    <x v="0"/>
    <x v="11"/>
    <x v="11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291.20875999999998"/>
  </r>
  <r>
    <x v="11"/>
    <x v="0"/>
    <x v="11"/>
    <x v="11"/>
    <x v="1"/>
    <x v="6"/>
    <x v="0"/>
    <x v="0"/>
    <x v="3"/>
    <x v="3"/>
    <x v="12"/>
    <x v="12"/>
    <x v="1"/>
    <x v="6"/>
    <x v="6"/>
    <x v="41"/>
    <x v="41"/>
    <n v="693.34148935906705"/>
    <x v="1"/>
    <x v="2"/>
    <x v="5"/>
    <x v="7"/>
    <x v="11"/>
    <x v="22"/>
    <n v="755.74222340138317"/>
  </r>
  <r>
    <x v="11"/>
    <x v="0"/>
    <x v="11"/>
    <x v="11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671.1344672000005"/>
  </r>
  <r>
    <x v="11"/>
    <x v="0"/>
    <x v="11"/>
    <x v="11"/>
    <x v="1"/>
    <x v="6"/>
    <x v="0"/>
    <x v="0"/>
    <x v="3"/>
    <x v="3"/>
    <x v="12"/>
    <x v="12"/>
    <x v="3"/>
    <x v="7"/>
    <x v="7"/>
    <x v="41"/>
    <x v="41"/>
    <n v="16.300563829725299"/>
    <x v="1"/>
    <x v="2"/>
    <x v="5"/>
    <x v="7"/>
    <x v="11"/>
    <x v="22"/>
    <n v="17.767614574400575"/>
  </r>
  <r>
    <x v="11"/>
    <x v="0"/>
    <x v="11"/>
    <x v="11"/>
    <x v="1"/>
    <x v="6"/>
    <x v="0"/>
    <x v="0"/>
    <x v="3"/>
    <x v="3"/>
    <x v="12"/>
    <x v="12"/>
    <x v="3"/>
    <x v="7"/>
    <x v="7"/>
    <x v="40"/>
    <x v="40"/>
    <n v="181.13209000000001"/>
    <x v="1"/>
    <x v="2"/>
    <x v="5"/>
    <x v="7"/>
    <x v="11"/>
    <x v="22"/>
    <n v="197.43397810000002"/>
  </r>
  <r>
    <x v="11"/>
    <x v="0"/>
    <x v="11"/>
    <x v="11"/>
    <x v="1"/>
    <x v="6"/>
    <x v="0"/>
    <x v="0"/>
    <x v="3"/>
    <x v="3"/>
    <x v="12"/>
    <x v="12"/>
    <x v="1"/>
    <x v="8"/>
    <x v="8"/>
    <x v="40"/>
    <x v="40"/>
    <n v="82.918040000000005"/>
    <x v="1"/>
    <x v="2"/>
    <x v="5"/>
    <x v="7"/>
    <x v="11"/>
    <x v="22"/>
    <n v="90.380663600000005"/>
  </r>
  <r>
    <x v="11"/>
    <x v="0"/>
    <x v="11"/>
    <x v="11"/>
    <x v="1"/>
    <x v="6"/>
    <x v="0"/>
    <x v="0"/>
    <x v="3"/>
    <x v="3"/>
    <x v="12"/>
    <x v="12"/>
    <x v="2"/>
    <x v="10"/>
    <x v="10"/>
    <x v="41"/>
    <x v="41"/>
    <n v="5.7760425531695399"/>
    <x v="1"/>
    <x v="2"/>
    <x v="5"/>
    <x v="7"/>
    <x v="11"/>
    <x v="22"/>
    <n v="6.2958863829547989"/>
  </r>
  <r>
    <x v="11"/>
    <x v="0"/>
    <x v="11"/>
    <x v="11"/>
    <x v="1"/>
    <x v="6"/>
    <x v="0"/>
    <x v="0"/>
    <x v="3"/>
    <x v="3"/>
    <x v="12"/>
    <x v="12"/>
    <x v="2"/>
    <x v="10"/>
    <x v="10"/>
    <x v="40"/>
    <x v="40"/>
    <n v="17.974589999999999"/>
    <x v="1"/>
    <x v="2"/>
    <x v="5"/>
    <x v="7"/>
    <x v="11"/>
    <x v="22"/>
    <n v="19.592303100000002"/>
  </r>
  <r>
    <x v="11"/>
    <x v="0"/>
    <x v="11"/>
    <x v="11"/>
    <x v="1"/>
    <x v="6"/>
    <x v="0"/>
    <x v="0"/>
    <x v="3"/>
    <x v="3"/>
    <x v="12"/>
    <x v="12"/>
    <x v="4"/>
    <x v="5"/>
    <x v="5"/>
    <x v="41"/>
    <x v="41"/>
    <n v="21.873340425448799"/>
    <x v="1"/>
    <x v="2"/>
    <x v="5"/>
    <x v="7"/>
    <x v="11"/>
    <x v="22"/>
    <n v="23.841941063739192"/>
  </r>
  <r>
    <x v="11"/>
    <x v="0"/>
    <x v="11"/>
    <x v="11"/>
    <x v="1"/>
    <x v="6"/>
    <x v="0"/>
    <x v="0"/>
    <x v="3"/>
    <x v="3"/>
    <x v="12"/>
    <x v="12"/>
    <x v="4"/>
    <x v="5"/>
    <x v="5"/>
    <x v="40"/>
    <x v="40"/>
    <n v="237.52191999999999"/>
    <x v="1"/>
    <x v="2"/>
    <x v="5"/>
    <x v="7"/>
    <x v="11"/>
    <x v="22"/>
    <n v="258.8988928"/>
  </r>
  <r>
    <x v="11"/>
    <x v="0"/>
    <x v="11"/>
    <x v="11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1.104373299999992"/>
  </r>
  <r>
    <x v="11"/>
    <x v="0"/>
    <x v="11"/>
    <x v="11"/>
    <x v="1"/>
    <x v="6"/>
    <x v="0"/>
    <x v="0"/>
    <x v="3"/>
    <x v="3"/>
    <x v="13"/>
    <x v="13"/>
    <x v="2"/>
    <x v="2"/>
    <x v="2"/>
    <x v="7"/>
    <x v="7"/>
    <n v="5.4632404179750002E-2"/>
    <x v="0"/>
    <x v="0"/>
    <x v="1"/>
    <x v="4"/>
    <x v="5"/>
    <x v="7"/>
    <n v="5.9549320555927508E-2"/>
  </r>
  <r>
    <x v="11"/>
    <x v="0"/>
    <x v="11"/>
    <x v="11"/>
    <x v="1"/>
    <x v="6"/>
    <x v="0"/>
    <x v="0"/>
    <x v="3"/>
    <x v="3"/>
    <x v="13"/>
    <x v="13"/>
    <x v="2"/>
    <x v="2"/>
    <x v="2"/>
    <x v="41"/>
    <x v="41"/>
    <n v="301.18897872226"/>
    <x v="1"/>
    <x v="2"/>
    <x v="5"/>
    <x v="7"/>
    <x v="11"/>
    <x v="22"/>
    <n v="328.29598680726343"/>
  </r>
  <r>
    <x v="11"/>
    <x v="0"/>
    <x v="11"/>
    <x v="11"/>
    <x v="1"/>
    <x v="6"/>
    <x v="0"/>
    <x v="0"/>
    <x v="3"/>
    <x v="3"/>
    <x v="13"/>
    <x v="13"/>
    <x v="2"/>
    <x v="2"/>
    <x v="2"/>
    <x v="40"/>
    <x v="40"/>
    <n v="2149.8438700000002"/>
    <x v="1"/>
    <x v="2"/>
    <x v="5"/>
    <x v="7"/>
    <x v="11"/>
    <x v="22"/>
    <n v="2343.3298183000002"/>
  </r>
  <r>
    <x v="11"/>
    <x v="0"/>
    <x v="11"/>
    <x v="11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46.97765000000004"/>
  </r>
  <r>
    <x v="11"/>
    <x v="0"/>
    <x v="11"/>
    <x v="11"/>
    <x v="1"/>
    <x v="6"/>
    <x v="0"/>
    <x v="0"/>
    <x v="3"/>
    <x v="3"/>
    <x v="13"/>
    <x v="13"/>
    <x v="1"/>
    <x v="6"/>
    <x v="6"/>
    <x v="41"/>
    <x v="41"/>
    <n v="186.964159573758"/>
    <x v="1"/>
    <x v="2"/>
    <x v="5"/>
    <x v="7"/>
    <x v="11"/>
    <x v="22"/>
    <n v="203.79093393539623"/>
  </r>
  <r>
    <x v="11"/>
    <x v="0"/>
    <x v="11"/>
    <x v="11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353.5842985000004"/>
  </r>
  <r>
    <x v="11"/>
    <x v="0"/>
    <x v="11"/>
    <x v="11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30.31877590000002"/>
  </r>
  <r>
    <x v="11"/>
    <x v="0"/>
    <x v="11"/>
    <x v="11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57.682909000000002"/>
  </r>
  <r>
    <x v="11"/>
    <x v="0"/>
    <x v="11"/>
    <x v="11"/>
    <x v="1"/>
    <x v="6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75.55714400000002"/>
  </r>
  <r>
    <x v="11"/>
    <x v="0"/>
    <x v="11"/>
    <x v="11"/>
    <x v="1"/>
    <x v="6"/>
    <x v="0"/>
    <x v="0"/>
    <x v="3"/>
    <x v="3"/>
    <x v="19"/>
    <x v="19"/>
    <x v="3"/>
    <x v="7"/>
    <x v="7"/>
    <x v="41"/>
    <x v="41"/>
    <n v="154.59981914834901"/>
    <x v="1"/>
    <x v="2"/>
    <x v="5"/>
    <x v="7"/>
    <x v="11"/>
    <x v="22"/>
    <n v="168.51380287170045"/>
  </r>
  <r>
    <x v="11"/>
    <x v="0"/>
    <x v="11"/>
    <x v="11"/>
    <x v="1"/>
    <x v="6"/>
    <x v="0"/>
    <x v="0"/>
    <x v="3"/>
    <x v="3"/>
    <x v="19"/>
    <x v="19"/>
    <x v="3"/>
    <x v="7"/>
    <x v="7"/>
    <x v="40"/>
    <x v="40"/>
    <n v="6678.4062899999999"/>
    <x v="1"/>
    <x v="2"/>
    <x v="5"/>
    <x v="7"/>
    <x v="11"/>
    <x v="22"/>
    <n v="7279.4628561000009"/>
  </r>
  <r>
    <x v="11"/>
    <x v="0"/>
    <x v="11"/>
    <x v="11"/>
    <x v="1"/>
    <x v="6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2.839956000000001"/>
  </r>
  <r>
    <x v="11"/>
    <x v="0"/>
    <x v="11"/>
    <x v="11"/>
    <x v="1"/>
    <x v="6"/>
    <x v="0"/>
    <x v="0"/>
    <x v="3"/>
    <x v="3"/>
    <x v="19"/>
    <x v="19"/>
    <x v="1"/>
    <x v="8"/>
    <x v="8"/>
    <x v="41"/>
    <x v="41"/>
    <n v="20.7245531914106"/>
    <x v="1"/>
    <x v="2"/>
    <x v="5"/>
    <x v="7"/>
    <x v="11"/>
    <x v="22"/>
    <n v="22.589762978637555"/>
  </r>
  <r>
    <x v="11"/>
    <x v="0"/>
    <x v="11"/>
    <x v="11"/>
    <x v="1"/>
    <x v="6"/>
    <x v="0"/>
    <x v="0"/>
    <x v="3"/>
    <x v="3"/>
    <x v="19"/>
    <x v="19"/>
    <x v="1"/>
    <x v="8"/>
    <x v="8"/>
    <x v="40"/>
    <x v="40"/>
    <n v="2090.3256799999999"/>
    <x v="1"/>
    <x v="2"/>
    <x v="5"/>
    <x v="7"/>
    <x v="11"/>
    <x v="22"/>
    <n v="2278.4549912000002"/>
  </r>
  <r>
    <x v="11"/>
    <x v="0"/>
    <x v="11"/>
    <x v="11"/>
    <x v="1"/>
    <x v="6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6.569403999999999"/>
  </r>
  <r>
    <x v="11"/>
    <x v="0"/>
    <x v="11"/>
    <x v="11"/>
    <x v="1"/>
    <x v="6"/>
    <x v="0"/>
    <x v="0"/>
    <x v="3"/>
    <x v="3"/>
    <x v="19"/>
    <x v="19"/>
    <x v="2"/>
    <x v="10"/>
    <x v="10"/>
    <x v="41"/>
    <x v="41"/>
    <n v="25.838297872242201"/>
    <x v="1"/>
    <x v="2"/>
    <x v="5"/>
    <x v="7"/>
    <x v="11"/>
    <x v="22"/>
    <n v="28.163744680744003"/>
  </r>
  <r>
    <x v="11"/>
    <x v="0"/>
    <x v="11"/>
    <x v="11"/>
    <x v="1"/>
    <x v="6"/>
    <x v="0"/>
    <x v="0"/>
    <x v="3"/>
    <x v="3"/>
    <x v="19"/>
    <x v="19"/>
    <x v="2"/>
    <x v="10"/>
    <x v="10"/>
    <x v="40"/>
    <x v="40"/>
    <n v="891.26963999999998"/>
    <x v="1"/>
    <x v="2"/>
    <x v="5"/>
    <x v="7"/>
    <x v="11"/>
    <x v="22"/>
    <n v="971.48390760000007"/>
  </r>
  <r>
    <x v="11"/>
    <x v="0"/>
    <x v="11"/>
    <x v="11"/>
    <x v="1"/>
    <x v="6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03.442396"/>
  </r>
  <r>
    <x v="11"/>
    <x v="0"/>
    <x v="11"/>
    <x v="11"/>
    <x v="1"/>
    <x v="6"/>
    <x v="0"/>
    <x v="0"/>
    <x v="3"/>
    <x v="3"/>
    <x v="19"/>
    <x v="19"/>
    <x v="4"/>
    <x v="5"/>
    <x v="5"/>
    <x v="7"/>
    <x v="7"/>
    <n v="362.05106445044498"/>
    <x v="0"/>
    <x v="0"/>
    <x v="1"/>
    <x v="4"/>
    <x v="5"/>
    <x v="7"/>
    <n v="394.63566025098504"/>
  </r>
  <r>
    <x v="11"/>
    <x v="0"/>
    <x v="11"/>
    <x v="11"/>
    <x v="1"/>
    <x v="6"/>
    <x v="0"/>
    <x v="0"/>
    <x v="3"/>
    <x v="3"/>
    <x v="19"/>
    <x v="19"/>
    <x v="4"/>
    <x v="5"/>
    <x v="5"/>
    <x v="41"/>
    <x v="41"/>
    <n v="656.77860638048298"/>
    <x v="1"/>
    <x v="2"/>
    <x v="5"/>
    <x v="7"/>
    <x v="11"/>
    <x v="22"/>
    <n v="715.88868095472651"/>
  </r>
  <r>
    <x v="11"/>
    <x v="0"/>
    <x v="11"/>
    <x v="11"/>
    <x v="1"/>
    <x v="6"/>
    <x v="0"/>
    <x v="0"/>
    <x v="3"/>
    <x v="3"/>
    <x v="19"/>
    <x v="19"/>
    <x v="4"/>
    <x v="5"/>
    <x v="5"/>
    <x v="40"/>
    <x v="40"/>
    <n v="9232.62075"/>
    <x v="1"/>
    <x v="2"/>
    <x v="5"/>
    <x v="7"/>
    <x v="11"/>
    <x v="22"/>
    <n v="10063.5566175"/>
  </r>
  <r>
    <x v="11"/>
    <x v="0"/>
    <x v="11"/>
    <x v="11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835.2324797"/>
  </r>
  <r>
    <x v="11"/>
    <x v="0"/>
    <x v="11"/>
    <x v="11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48.068967300000004"/>
  </r>
  <r>
    <x v="11"/>
    <x v="0"/>
    <x v="11"/>
    <x v="11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00.3965"/>
  </r>
  <r>
    <x v="11"/>
    <x v="0"/>
    <x v="11"/>
    <x v="11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5.425000000000004"/>
  </r>
  <r>
    <x v="11"/>
    <x v="0"/>
    <x v="11"/>
    <x v="11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08.09611990000002"/>
  </r>
  <r>
    <x v="11"/>
    <x v="0"/>
    <x v="11"/>
    <x v="11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65.368760600000002"/>
  </r>
  <r>
    <x v="11"/>
    <x v="0"/>
    <x v="11"/>
    <x v="11"/>
    <x v="1"/>
    <x v="6"/>
    <x v="0"/>
    <x v="0"/>
    <x v="2"/>
    <x v="2"/>
    <x v="14"/>
    <x v="14"/>
    <x v="0"/>
    <x v="4"/>
    <x v="4"/>
    <x v="41"/>
    <x v="41"/>
    <n v="21.1835212765153"/>
    <x v="1"/>
    <x v="2"/>
    <x v="5"/>
    <x v="7"/>
    <x v="11"/>
    <x v="22"/>
    <n v="23.090038191401678"/>
  </r>
  <r>
    <x v="11"/>
    <x v="0"/>
    <x v="11"/>
    <x v="11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172.7697495"/>
  </r>
  <r>
    <x v="11"/>
    <x v="0"/>
    <x v="11"/>
    <x v="11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04.30990920000011"/>
  </r>
  <r>
    <x v="11"/>
    <x v="0"/>
    <x v="11"/>
    <x v="11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58.3956608"/>
  </r>
  <r>
    <x v="11"/>
    <x v="0"/>
    <x v="11"/>
    <x v="11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797.54966460000014"/>
  </r>
  <r>
    <x v="11"/>
    <x v="0"/>
    <x v="11"/>
    <x v="11"/>
    <x v="1"/>
    <x v="6"/>
    <x v="0"/>
    <x v="0"/>
    <x v="2"/>
    <x v="2"/>
    <x v="17"/>
    <x v="17"/>
    <x v="2"/>
    <x v="2"/>
    <x v="2"/>
    <x v="7"/>
    <x v="7"/>
    <n v="1.2351916376E-3"/>
    <x v="0"/>
    <x v="0"/>
    <x v="1"/>
    <x v="4"/>
    <x v="5"/>
    <x v="7"/>
    <n v="1.3463588849840001E-3"/>
  </r>
  <r>
    <x v="11"/>
    <x v="0"/>
    <x v="11"/>
    <x v="11"/>
    <x v="1"/>
    <x v="6"/>
    <x v="0"/>
    <x v="0"/>
    <x v="2"/>
    <x v="2"/>
    <x v="17"/>
    <x v="17"/>
    <x v="2"/>
    <x v="2"/>
    <x v="2"/>
    <x v="41"/>
    <x v="41"/>
    <n v="510.05697872146601"/>
    <x v="1"/>
    <x v="2"/>
    <x v="5"/>
    <x v="7"/>
    <x v="11"/>
    <x v="22"/>
    <n v="555.96210680639797"/>
  </r>
  <r>
    <x v="11"/>
    <x v="0"/>
    <x v="11"/>
    <x v="11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3973.8331759000002"/>
  </r>
  <r>
    <x v="11"/>
    <x v="0"/>
    <x v="11"/>
    <x v="11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725.8698883000002"/>
  </r>
  <r>
    <x v="11"/>
    <x v="0"/>
    <x v="11"/>
    <x v="11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76300000000000001"/>
  </r>
  <r>
    <x v="11"/>
    <x v="0"/>
    <x v="11"/>
    <x v="11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192.36767990000001"/>
  </r>
  <r>
    <x v="11"/>
    <x v="0"/>
    <x v="11"/>
    <x v="11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297.56444099999999"/>
  </r>
  <r>
    <x v="11"/>
    <x v="0"/>
    <x v="11"/>
    <x v="11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9.8094549999999998"/>
  </r>
  <r>
    <x v="11"/>
    <x v="0"/>
    <x v="11"/>
    <x v="11"/>
    <x v="1"/>
    <x v="6"/>
    <x v="0"/>
    <x v="0"/>
    <x v="2"/>
    <x v="2"/>
    <x v="17"/>
    <x v="17"/>
    <x v="1"/>
    <x v="6"/>
    <x v="6"/>
    <x v="7"/>
    <x v="7"/>
    <n v="10.5513449474588"/>
    <x v="0"/>
    <x v="0"/>
    <x v="1"/>
    <x v="4"/>
    <x v="5"/>
    <x v="7"/>
    <n v="11.500965992730093"/>
  </r>
  <r>
    <x v="11"/>
    <x v="0"/>
    <x v="11"/>
    <x v="11"/>
    <x v="1"/>
    <x v="6"/>
    <x v="0"/>
    <x v="0"/>
    <x v="2"/>
    <x v="2"/>
    <x v="17"/>
    <x v="17"/>
    <x v="1"/>
    <x v="6"/>
    <x v="6"/>
    <x v="41"/>
    <x v="41"/>
    <n v="59.656074467858403"/>
    <x v="1"/>
    <x v="2"/>
    <x v="5"/>
    <x v="7"/>
    <x v="11"/>
    <x v="22"/>
    <n v="65.025121169965658"/>
  </r>
  <r>
    <x v="11"/>
    <x v="0"/>
    <x v="11"/>
    <x v="11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354.9908563000004"/>
  </r>
  <r>
    <x v="11"/>
    <x v="0"/>
    <x v="11"/>
    <x v="11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3452126000000002"/>
  </r>
  <r>
    <x v="11"/>
    <x v="0"/>
    <x v="11"/>
    <x v="11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4.218333100000009"/>
  </r>
  <r>
    <x v="11"/>
    <x v="0"/>
    <x v="11"/>
    <x v="11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7.4207200000000002"/>
  </r>
  <r>
    <x v="11"/>
    <x v="0"/>
    <x v="11"/>
    <x v="11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7.9831600000000007"/>
  </r>
  <r>
    <x v="11"/>
    <x v="0"/>
    <x v="11"/>
    <x v="11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3.663684100000001"/>
  </r>
  <r>
    <x v="11"/>
    <x v="0"/>
    <x v="11"/>
    <x v="11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0.743214399999999"/>
  </r>
  <r>
    <x v="11"/>
    <x v="0"/>
    <x v="11"/>
    <x v="11"/>
    <x v="1"/>
    <x v="6"/>
    <x v="0"/>
    <x v="0"/>
    <x v="2"/>
    <x v="2"/>
    <x v="17"/>
    <x v="17"/>
    <x v="3"/>
    <x v="7"/>
    <x v="7"/>
    <x v="7"/>
    <x v="7"/>
    <n v="1251.2830313260999"/>
    <x v="0"/>
    <x v="0"/>
    <x v="1"/>
    <x v="4"/>
    <x v="5"/>
    <x v="7"/>
    <n v="1363.8985041454491"/>
  </r>
  <r>
    <x v="11"/>
    <x v="0"/>
    <x v="11"/>
    <x v="11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685.0067584000003"/>
  </r>
  <r>
    <x v="11"/>
    <x v="0"/>
    <x v="11"/>
    <x v="11"/>
    <x v="1"/>
    <x v="6"/>
    <x v="0"/>
    <x v="0"/>
    <x v="2"/>
    <x v="2"/>
    <x v="17"/>
    <x v="17"/>
    <x v="1"/>
    <x v="8"/>
    <x v="8"/>
    <x v="7"/>
    <x v="7"/>
    <n v="86.911405921067896"/>
    <x v="0"/>
    <x v="0"/>
    <x v="1"/>
    <x v="4"/>
    <x v="5"/>
    <x v="7"/>
    <n v="94.733432453964014"/>
  </r>
  <r>
    <x v="11"/>
    <x v="0"/>
    <x v="11"/>
    <x v="11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388.16235250000005"/>
  </r>
  <r>
    <x v="11"/>
    <x v="0"/>
    <x v="11"/>
    <x v="11"/>
    <x v="1"/>
    <x v="6"/>
    <x v="0"/>
    <x v="0"/>
    <x v="2"/>
    <x v="2"/>
    <x v="17"/>
    <x v="17"/>
    <x v="0"/>
    <x v="9"/>
    <x v="9"/>
    <x v="7"/>
    <x v="7"/>
    <n v="1131.62308707837"/>
    <x v="0"/>
    <x v="0"/>
    <x v="1"/>
    <x v="4"/>
    <x v="5"/>
    <x v="7"/>
    <n v="1233.4691649154233"/>
  </r>
  <r>
    <x v="11"/>
    <x v="0"/>
    <x v="11"/>
    <x v="11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0.677315500000006"/>
  </r>
  <r>
    <x v="11"/>
    <x v="0"/>
    <x v="11"/>
    <x v="11"/>
    <x v="1"/>
    <x v="6"/>
    <x v="0"/>
    <x v="0"/>
    <x v="2"/>
    <x v="2"/>
    <x v="17"/>
    <x v="17"/>
    <x v="2"/>
    <x v="10"/>
    <x v="10"/>
    <x v="7"/>
    <x v="7"/>
    <n v="326.20115330155801"/>
    <x v="0"/>
    <x v="0"/>
    <x v="1"/>
    <x v="4"/>
    <x v="5"/>
    <x v="7"/>
    <n v="355.55925709869825"/>
  </r>
  <r>
    <x v="11"/>
    <x v="0"/>
    <x v="11"/>
    <x v="11"/>
    <x v="1"/>
    <x v="6"/>
    <x v="0"/>
    <x v="0"/>
    <x v="2"/>
    <x v="2"/>
    <x v="17"/>
    <x v="17"/>
    <x v="2"/>
    <x v="10"/>
    <x v="10"/>
    <x v="41"/>
    <x v="41"/>
    <n v="2.1768510638215202"/>
    <x v="1"/>
    <x v="2"/>
    <x v="5"/>
    <x v="7"/>
    <x v="11"/>
    <x v="22"/>
    <n v="2.372767659565457"/>
  </r>
  <r>
    <x v="11"/>
    <x v="0"/>
    <x v="11"/>
    <x v="11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65.08520960000004"/>
  </r>
  <r>
    <x v="11"/>
    <x v="0"/>
    <x v="11"/>
    <x v="11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1.591681700000002"/>
  </r>
  <r>
    <x v="11"/>
    <x v="0"/>
    <x v="11"/>
    <x v="11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0.505758300000004"/>
  </r>
  <r>
    <x v="11"/>
    <x v="0"/>
    <x v="11"/>
    <x v="11"/>
    <x v="1"/>
    <x v="6"/>
    <x v="0"/>
    <x v="0"/>
    <x v="2"/>
    <x v="2"/>
    <x v="17"/>
    <x v="17"/>
    <x v="4"/>
    <x v="5"/>
    <x v="5"/>
    <x v="7"/>
    <x v="7"/>
    <n v="598.75561670905097"/>
    <x v="0"/>
    <x v="0"/>
    <x v="1"/>
    <x v="4"/>
    <x v="5"/>
    <x v="7"/>
    <n v="652.64362221286558"/>
  </r>
  <r>
    <x v="11"/>
    <x v="0"/>
    <x v="11"/>
    <x v="11"/>
    <x v="1"/>
    <x v="6"/>
    <x v="0"/>
    <x v="0"/>
    <x v="2"/>
    <x v="2"/>
    <x v="17"/>
    <x v="17"/>
    <x v="4"/>
    <x v="5"/>
    <x v="5"/>
    <x v="41"/>
    <x v="41"/>
    <n v="222.33386170128301"/>
    <x v="1"/>
    <x v="2"/>
    <x v="5"/>
    <x v="7"/>
    <x v="11"/>
    <x v="22"/>
    <n v="242.34390925439851"/>
  </r>
  <r>
    <x v="11"/>
    <x v="0"/>
    <x v="11"/>
    <x v="11"/>
    <x v="1"/>
    <x v="6"/>
    <x v="0"/>
    <x v="0"/>
    <x v="2"/>
    <x v="2"/>
    <x v="17"/>
    <x v="17"/>
    <x v="4"/>
    <x v="5"/>
    <x v="5"/>
    <x v="40"/>
    <x v="40"/>
    <n v="2972.4847799999998"/>
    <x v="1"/>
    <x v="2"/>
    <x v="5"/>
    <x v="7"/>
    <x v="11"/>
    <x v="22"/>
    <n v="3240.0084102000001"/>
  </r>
  <r>
    <x v="11"/>
    <x v="0"/>
    <x v="11"/>
    <x v="11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92.387495299999998"/>
  </r>
  <r>
    <x v="11"/>
    <x v="0"/>
    <x v="11"/>
    <x v="11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3980000000000001"/>
  </r>
  <r>
    <x v="11"/>
    <x v="0"/>
    <x v="11"/>
    <x v="11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0355"/>
  </r>
  <r>
    <x v="11"/>
    <x v="0"/>
    <x v="11"/>
    <x v="11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4.888637000000001"/>
  </r>
  <r>
    <x v="11"/>
    <x v="0"/>
    <x v="11"/>
    <x v="11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1.9075000000000002"/>
  </r>
  <r>
    <x v="11"/>
    <x v="0"/>
    <x v="11"/>
    <x v="11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3.893216300000001"/>
  </r>
  <r>
    <x v="11"/>
    <x v="0"/>
    <x v="11"/>
    <x v="11"/>
    <x v="1"/>
    <x v="7"/>
    <x v="0"/>
    <x v="0"/>
    <x v="0"/>
    <x v="0"/>
    <x v="0"/>
    <x v="0"/>
    <x v="3"/>
    <x v="3"/>
    <x v="3"/>
    <x v="10"/>
    <x v="10"/>
    <n v="0.24836697247691999"/>
    <x v="0"/>
    <x v="0"/>
    <x v="1"/>
    <x v="4"/>
    <x v="5"/>
    <x v="10"/>
    <n v="0.27071999999984281"/>
  </r>
  <r>
    <x v="11"/>
    <x v="0"/>
    <x v="11"/>
    <x v="11"/>
    <x v="1"/>
    <x v="7"/>
    <x v="0"/>
    <x v="0"/>
    <x v="0"/>
    <x v="0"/>
    <x v="0"/>
    <x v="0"/>
    <x v="3"/>
    <x v="3"/>
    <x v="3"/>
    <x v="11"/>
    <x v="11"/>
    <n v="38.344439999999999"/>
    <x v="0"/>
    <x v="0"/>
    <x v="3"/>
    <x v="5"/>
    <x v="7"/>
    <x v="11"/>
    <n v="41.795439600000002"/>
  </r>
  <r>
    <x v="11"/>
    <x v="0"/>
    <x v="11"/>
    <x v="11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2.700000000000003"/>
  </r>
  <r>
    <x v="11"/>
    <x v="0"/>
    <x v="11"/>
    <x v="11"/>
    <x v="1"/>
    <x v="7"/>
    <x v="0"/>
    <x v="0"/>
    <x v="0"/>
    <x v="0"/>
    <x v="0"/>
    <x v="0"/>
    <x v="3"/>
    <x v="3"/>
    <x v="3"/>
    <x v="26"/>
    <x v="26"/>
    <n v="20.18348623852"/>
    <x v="0"/>
    <x v="0"/>
    <x v="1"/>
    <x v="3"/>
    <x v="3"/>
    <x v="15"/>
    <n v="21.999999999986802"/>
  </r>
  <r>
    <x v="11"/>
    <x v="0"/>
    <x v="11"/>
    <x v="11"/>
    <x v="1"/>
    <x v="7"/>
    <x v="0"/>
    <x v="0"/>
    <x v="0"/>
    <x v="0"/>
    <x v="0"/>
    <x v="0"/>
    <x v="0"/>
    <x v="4"/>
    <x v="4"/>
    <x v="11"/>
    <x v="11"/>
    <n v="130.98535000000001"/>
    <x v="0"/>
    <x v="0"/>
    <x v="3"/>
    <x v="5"/>
    <x v="7"/>
    <x v="11"/>
    <n v="142.77403150000004"/>
  </r>
  <r>
    <x v="11"/>
    <x v="0"/>
    <x v="11"/>
    <x v="11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48.178000000000004"/>
  </r>
  <r>
    <x v="11"/>
    <x v="0"/>
    <x v="11"/>
    <x v="11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2581600000000002"/>
  </r>
  <r>
    <x v="11"/>
    <x v="0"/>
    <x v="11"/>
    <x v="11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4.9293179"/>
  </r>
  <r>
    <x v="11"/>
    <x v="0"/>
    <x v="11"/>
    <x v="11"/>
    <x v="1"/>
    <x v="7"/>
    <x v="0"/>
    <x v="0"/>
    <x v="0"/>
    <x v="0"/>
    <x v="0"/>
    <x v="0"/>
    <x v="2"/>
    <x v="2"/>
    <x v="2"/>
    <x v="5"/>
    <x v="5"/>
    <n v="4.6472883435936003"/>
    <x v="0"/>
    <x v="0"/>
    <x v="1"/>
    <x v="1"/>
    <x v="1"/>
    <x v="5"/>
    <n v="5.065544294517025"/>
  </r>
  <r>
    <x v="11"/>
    <x v="0"/>
    <x v="11"/>
    <x v="11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6.350000000000001"/>
  </r>
  <r>
    <x v="11"/>
    <x v="0"/>
    <x v="11"/>
    <x v="11"/>
    <x v="1"/>
    <x v="7"/>
    <x v="0"/>
    <x v="0"/>
    <x v="0"/>
    <x v="0"/>
    <x v="0"/>
    <x v="0"/>
    <x v="2"/>
    <x v="2"/>
    <x v="2"/>
    <x v="9"/>
    <x v="9"/>
    <n v="0.62385321100879998"/>
    <x v="0"/>
    <x v="0"/>
    <x v="1"/>
    <x v="4"/>
    <x v="5"/>
    <x v="9"/>
    <n v="0.67999999999959204"/>
  </r>
  <r>
    <x v="11"/>
    <x v="0"/>
    <x v="11"/>
    <x v="11"/>
    <x v="1"/>
    <x v="7"/>
    <x v="0"/>
    <x v="0"/>
    <x v="0"/>
    <x v="0"/>
    <x v="0"/>
    <x v="0"/>
    <x v="2"/>
    <x v="2"/>
    <x v="2"/>
    <x v="10"/>
    <x v="10"/>
    <n v="2.9550458715578598"/>
    <x v="0"/>
    <x v="0"/>
    <x v="1"/>
    <x v="4"/>
    <x v="5"/>
    <x v="10"/>
    <n v="3.2209999999980674"/>
  </r>
  <r>
    <x v="11"/>
    <x v="0"/>
    <x v="11"/>
    <x v="11"/>
    <x v="1"/>
    <x v="7"/>
    <x v="0"/>
    <x v="0"/>
    <x v="0"/>
    <x v="0"/>
    <x v="0"/>
    <x v="0"/>
    <x v="2"/>
    <x v="2"/>
    <x v="2"/>
    <x v="11"/>
    <x v="11"/>
    <n v="90.178849999999997"/>
    <x v="0"/>
    <x v="0"/>
    <x v="3"/>
    <x v="5"/>
    <x v="7"/>
    <x v="11"/>
    <n v="98.294946500000009"/>
  </r>
  <r>
    <x v="11"/>
    <x v="0"/>
    <x v="11"/>
    <x v="11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194"/>
  </r>
  <r>
    <x v="11"/>
    <x v="0"/>
    <x v="11"/>
    <x v="11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0.31324"/>
  </r>
  <r>
    <x v="11"/>
    <x v="0"/>
    <x v="11"/>
    <x v="11"/>
    <x v="1"/>
    <x v="7"/>
    <x v="0"/>
    <x v="0"/>
    <x v="0"/>
    <x v="0"/>
    <x v="0"/>
    <x v="0"/>
    <x v="2"/>
    <x v="2"/>
    <x v="2"/>
    <x v="21"/>
    <x v="21"/>
    <n v="0.66055045871520002"/>
    <x v="0"/>
    <x v="0"/>
    <x v="1"/>
    <x v="4"/>
    <x v="5"/>
    <x v="10"/>
    <n v="0.7199999999995681"/>
  </r>
  <r>
    <x v="11"/>
    <x v="0"/>
    <x v="11"/>
    <x v="11"/>
    <x v="1"/>
    <x v="7"/>
    <x v="0"/>
    <x v="0"/>
    <x v="0"/>
    <x v="0"/>
    <x v="0"/>
    <x v="0"/>
    <x v="2"/>
    <x v="2"/>
    <x v="2"/>
    <x v="18"/>
    <x v="18"/>
    <n v="9.7759999999999998"/>
    <x v="0"/>
    <x v="0"/>
    <x v="0"/>
    <x v="0"/>
    <x v="4"/>
    <x v="18"/>
    <n v="10.655840000000001"/>
  </r>
  <r>
    <x v="11"/>
    <x v="0"/>
    <x v="11"/>
    <x v="11"/>
    <x v="1"/>
    <x v="7"/>
    <x v="0"/>
    <x v="0"/>
    <x v="0"/>
    <x v="0"/>
    <x v="0"/>
    <x v="0"/>
    <x v="2"/>
    <x v="2"/>
    <x v="2"/>
    <x v="26"/>
    <x v="26"/>
    <n v="63.577981651338"/>
    <x v="0"/>
    <x v="0"/>
    <x v="1"/>
    <x v="3"/>
    <x v="3"/>
    <x v="15"/>
    <n v="69.29999999995843"/>
  </r>
  <r>
    <x v="11"/>
    <x v="0"/>
    <x v="11"/>
    <x v="11"/>
    <x v="1"/>
    <x v="7"/>
    <x v="0"/>
    <x v="0"/>
    <x v="0"/>
    <x v="0"/>
    <x v="0"/>
    <x v="0"/>
    <x v="2"/>
    <x v="2"/>
    <x v="2"/>
    <x v="1"/>
    <x v="1"/>
    <n v="38.275737930824"/>
    <x v="0"/>
    <x v="0"/>
    <x v="1"/>
    <x v="1"/>
    <x v="1"/>
    <x v="1"/>
    <n v="41.720554344598163"/>
  </r>
  <r>
    <x v="11"/>
    <x v="0"/>
    <x v="11"/>
    <x v="11"/>
    <x v="1"/>
    <x v="7"/>
    <x v="0"/>
    <x v="0"/>
    <x v="0"/>
    <x v="0"/>
    <x v="0"/>
    <x v="0"/>
    <x v="1"/>
    <x v="6"/>
    <x v="6"/>
    <x v="11"/>
    <x v="11"/>
    <n v="10.465400000000001"/>
    <x v="0"/>
    <x v="0"/>
    <x v="3"/>
    <x v="5"/>
    <x v="7"/>
    <x v="11"/>
    <n v="11.407286000000001"/>
  </r>
  <r>
    <x v="11"/>
    <x v="0"/>
    <x v="11"/>
    <x v="11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28.256070000000001"/>
  </r>
  <r>
    <x v="11"/>
    <x v="0"/>
    <x v="11"/>
    <x v="11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45"/>
  </r>
  <r>
    <x v="11"/>
    <x v="0"/>
    <x v="11"/>
    <x v="11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370.6"/>
  </r>
  <r>
    <x v="11"/>
    <x v="0"/>
    <x v="11"/>
    <x v="11"/>
    <x v="1"/>
    <x v="7"/>
    <x v="0"/>
    <x v="0"/>
    <x v="0"/>
    <x v="0"/>
    <x v="0"/>
    <x v="0"/>
    <x v="3"/>
    <x v="14"/>
    <x v="3"/>
    <x v="11"/>
    <x v="11"/>
    <n v="5.3607500000000003"/>
    <x v="0"/>
    <x v="0"/>
    <x v="3"/>
    <x v="5"/>
    <x v="7"/>
    <x v="11"/>
    <n v="5.8432175000000006"/>
  </r>
  <r>
    <x v="11"/>
    <x v="0"/>
    <x v="11"/>
    <x v="11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4.9050000000000002"/>
  </r>
  <r>
    <x v="12"/>
    <x v="1"/>
    <x v="0"/>
    <x v="0"/>
    <x v="0"/>
    <x v="0"/>
    <x v="0"/>
    <x v="0"/>
    <x v="0"/>
    <x v="0"/>
    <x v="2"/>
    <x v="2"/>
    <x v="2"/>
    <x v="2"/>
    <x v="2"/>
    <x v="2"/>
    <x v="2"/>
    <n v="2.8218487394829999E-2"/>
    <x v="0"/>
    <x v="1"/>
    <x v="2"/>
    <x v="2"/>
    <x v="13"/>
    <x v="2"/>
    <n v="3.3579999999847697E-2"/>
  </r>
  <r>
    <x v="12"/>
    <x v="1"/>
    <x v="0"/>
    <x v="0"/>
    <x v="0"/>
    <x v="0"/>
    <x v="0"/>
    <x v="0"/>
    <x v="0"/>
    <x v="0"/>
    <x v="0"/>
    <x v="0"/>
    <x v="3"/>
    <x v="3"/>
    <x v="3"/>
    <x v="4"/>
    <x v="4"/>
    <n v="19.034445378065602"/>
    <x v="0"/>
    <x v="0"/>
    <x v="1"/>
    <x v="3"/>
    <x v="3"/>
    <x v="4"/>
    <n v="22.650989999898066"/>
  </r>
  <r>
    <x v="12"/>
    <x v="1"/>
    <x v="0"/>
    <x v="0"/>
    <x v="0"/>
    <x v="0"/>
    <x v="0"/>
    <x v="0"/>
    <x v="0"/>
    <x v="0"/>
    <x v="0"/>
    <x v="0"/>
    <x v="3"/>
    <x v="3"/>
    <x v="3"/>
    <x v="5"/>
    <x v="5"/>
    <n v="9.5678674033962405"/>
    <x v="0"/>
    <x v="0"/>
    <x v="1"/>
    <x v="1"/>
    <x v="1"/>
    <x v="5"/>
    <n v="11.385762210041525"/>
  </r>
  <r>
    <x v="12"/>
    <x v="1"/>
    <x v="0"/>
    <x v="0"/>
    <x v="0"/>
    <x v="0"/>
    <x v="0"/>
    <x v="0"/>
    <x v="0"/>
    <x v="0"/>
    <x v="0"/>
    <x v="0"/>
    <x v="3"/>
    <x v="3"/>
    <x v="3"/>
    <x v="6"/>
    <x v="6"/>
    <n v="10.693"/>
    <x v="0"/>
    <x v="0"/>
    <x v="0"/>
    <x v="0"/>
    <x v="4"/>
    <x v="6"/>
    <n v="12.72467"/>
  </r>
  <r>
    <x v="12"/>
    <x v="1"/>
    <x v="0"/>
    <x v="0"/>
    <x v="0"/>
    <x v="0"/>
    <x v="0"/>
    <x v="0"/>
    <x v="0"/>
    <x v="0"/>
    <x v="0"/>
    <x v="0"/>
    <x v="3"/>
    <x v="3"/>
    <x v="3"/>
    <x v="8"/>
    <x v="8"/>
    <n v="15.9666894409331"/>
    <x v="0"/>
    <x v="1"/>
    <x v="2"/>
    <x v="2"/>
    <x v="6"/>
    <x v="8"/>
    <n v="19.000360434710387"/>
  </r>
  <r>
    <x v="12"/>
    <x v="1"/>
    <x v="0"/>
    <x v="0"/>
    <x v="0"/>
    <x v="0"/>
    <x v="0"/>
    <x v="0"/>
    <x v="0"/>
    <x v="0"/>
    <x v="0"/>
    <x v="0"/>
    <x v="3"/>
    <x v="3"/>
    <x v="3"/>
    <x v="11"/>
    <x v="11"/>
    <n v="252.79479000000001"/>
    <x v="0"/>
    <x v="0"/>
    <x v="3"/>
    <x v="5"/>
    <x v="7"/>
    <x v="11"/>
    <n v="300.82580009999998"/>
  </r>
  <r>
    <x v="12"/>
    <x v="1"/>
    <x v="0"/>
    <x v="0"/>
    <x v="0"/>
    <x v="0"/>
    <x v="0"/>
    <x v="0"/>
    <x v="0"/>
    <x v="0"/>
    <x v="0"/>
    <x v="0"/>
    <x v="3"/>
    <x v="3"/>
    <x v="3"/>
    <x v="12"/>
    <x v="12"/>
    <n v="83.780056817913703"/>
    <x v="0"/>
    <x v="0"/>
    <x v="0"/>
    <x v="0"/>
    <x v="8"/>
    <x v="12"/>
    <n v="99.698267613317299"/>
  </r>
  <r>
    <x v="12"/>
    <x v="1"/>
    <x v="0"/>
    <x v="0"/>
    <x v="0"/>
    <x v="0"/>
    <x v="0"/>
    <x v="0"/>
    <x v="0"/>
    <x v="0"/>
    <x v="0"/>
    <x v="0"/>
    <x v="3"/>
    <x v="3"/>
    <x v="3"/>
    <x v="32"/>
    <x v="32"/>
    <n v="5.3149350651753"/>
    <x v="0"/>
    <x v="0"/>
    <x v="1"/>
    <x v="1"/>
    <x v="1"/>
    <x v="20"/>
    <n v="6.3247727275586065"/>
  </r>
  <r>
    <x v="12"/>
    <x v="1"/>
    <x v="0"/>
    <x v="0"/>
    <x v="0"/>
    <x v="0"/>
    <x v="0"/>
    <x v="0"/>
    <x v="0"/>
    <x v="0"/>
    <x v="0"/>
    <x v="0"/>
    <x v="3"/>
    <x v="3"/>
    <x v="3"/>
    <x v="14"/>
    <x v="14"/>
    <n v="32.71698"/>
    <x v="0"/>
    <x v="0"/>
    <x v="0"/>
    <x v="0"/>
    <x v="8"/>
    <x v="14"/>
    <n v="38.933206200000001"/>
  </r>
  <r>
    <x v="12"/>
    <x v="1"/>
    <x v="0"/>
    <x v="0"/>
    <x v="0"/>
    <x v="0"/>
    <x v="0"/>
    <x v="0"/>
    <x v="0"/>
    <x v="0"/>
    <x v="0"/>
    <x v="0"/>
    <x v="3"/>
    <x v="3"/>
    <x v="3"/>
    <x v="16"/>
    <x v="16"/>
    <n v="153.01097999999999"/>
    <x v="0"/>
    <x v="0"/>
    <x v="3"/>
    <x v="5"/>
    <x v="9"/>
    <x v="16"/>
    <n v="182.08306619999999"/>
  </r>
  <r>
    <x v="12"/>
    <x v="1"/>
    <x v="0"/>
    <x v="0"/>
    <x v="0"/>
    <x v="0"/>
    <x v="0"/>
    <x v="0"/>
    <x v="0"/>
    <x v="0"/>
    <x v="0"/>
    <x v="0"/>
    <x v="3"/>
    <x v="3"/>
    <x v="3"/>
    <x v="24"/>
    <x v="24"/>
    <n v="13.915672268844901"/>
    <x v="0"/>
    <x v="0"/>
    <x v="1"/>
    <x v="3"/>
    <x v="3"/>
    <x v="4"/>
    <n v="16.55964999992543"/>
  </r>
  <r>
    <x v="12"/>
    <x v="1"/>
    <x v="0"/>
    <x v="0"/>
    <x v="0"/>
    <x v="0"/>
    <x v="0"/>
    <x v="0"/>
    <x v="0"/>
    <x v="0"/>
    <x v="0"/>
    <x v="0"/>
    <x v="3"/>
    <x v="3"/>
    <x v="3"/>
    <x v="18"/>
    <x v="18"/>
    <n v="22.79148"/>
    <x v="0"/>
    <x v="0"/>
    <x v="0"/>
    <x v="0"/>
    <x v="4"/>
    <x v="18"/>
    <n v="27.121861199999998"/>
  </r>
  <r>
    <x v="12"/>
    <x v="1"/>
    <x v="0"/>
    <x v="0"/>
    <x v="0"/>
    <x v="0"/>
    <x v="0"/>
    <x v="0"/>
    <x v="0"/>
    <x v="0"/>
    <x v="0"/>
    <x v="0"/>
    <x v="3"/>
    <x v="3"/>
    <x v="3"/>
    <x v="27"/>
    <x v="27"/>
    <n v="278.20475057806402"/>
    <x v="0"/>
    <x v="0"/>
    <x v="1"/>
    <x v="3"/>
    <x v="3"/>
    <x v="19"/>
    <n v="331.06365318789619"/>
  </r>
  <r>
    <x v="12"/>
    <x v="1"/>
    <x v="0"/>
    <x v="0"/>
    <x v="0"/>
    <x v="0"/>
    <x v="0"/>
    <x v="0"/>
    <x v="0"/>
    <x v="0"/>
    <x v="0"/>
    <x v="0"/>
    <x v="3"/>
    <x v="3"/>
    <x v="3"/>
    <x v="2"/>
    <x v="2"/>
    <n v="638.93907562737695"/>
    <x v="0"/>
    <x v="1"/>
    <x v="2"/>
    <x v="2"/>
    <x v="13"/>
    <x v="2"/>
    <n v="760.33749999657857"/>
  </r>
  <r>
    <x v="12"/>
    <x v="1"/>
    <x v="0"/>
    <x v="0"/>
    <x v="0"/>
    <x v="0"/>
    <x v="0"/>
    <x v="0"/>
    <x v="0"/>
    <x v="0"/>
    <x v="0"/>
    <x v="0"/>
    <x v="3"/>
    <x v="12"/>
    <x v="3"/>
    <x v="8"/>
    <x v="8"/>
    <n v="1863.2413850860901"/>
    <x v="0"/>
    <x v="1"/>
    <x v="2"/>
    <x v="2"/>
    <x v="6"/>
    <x v="8"/>
    <n v="2217.257248252447"/>
  </r>
  <r>
    <x v="12"/>
    <x v="1"/>
    <x v="0"/>
    <x v="0"/>
    <x v="0"/>
    <x v="0"/>
    <x v="0"/>
    <x v="0"/>
    <x v="0"/>
    <x v="0"/>
    <x v="0"/>
    <x v="0"/>
    <x v="3"/>
    <x v="12"/>
    <x v="3"/>
    <x v="12"/>
    <x v="12"/>
    <n v="343.38862499890098"/>
    <x v="0"/>
    <x v="0"/>
    <x v="0"/>
    <x v="0"/>
    <x v="8"/>
    <x v="12"/>
    <n v="408.63246374869215"/>
  </r>
  <r>
    <x v="12"/>
    <x v="1"/>
    <x v="0"/>
    <x v="0"/>
    <x v="0"/>
    <x v="0"/>
    <x v="0"/>
    <x v="0"/>
    <x v="0"/>
    <x v="0"/>
    <x v="0"/>
    <x v="0"/>
    <x v="3"/>
    <x v="12"/>
    <x v="3"/>
    <x v="14"/>
    <x v="14"/>
    <n v="2397.7716"/>
    <x v="0"/>
    <x v="0"/>
    <x v="0"/>
    <x v="0"/>
    <x v="8"/>
    <x v="14"/>
    <n v="2853.3482039999999"/>
  </r>
  <r>
    <x v="12"/>
    <x v="1"/>
    <x v="0"/>
    <x v="0"/>
    <x v="0"/>
    <x v="0"/>
    <x v="0"/>
    <x v="0"/>
    <x v="0"/>
    <x v="0"/>
    <x v="0"/>
    <x v="0"/>
    <x v="3"/>
    <x v="12"/>
    <x v="3"/>
    <x v="2"/>
    <x v="2"/>
    <n v="7667.9093949234802"/>
    <x v="0"/>
    <x v="1"/>
    <x v="2"/>
    <x v="2"/>
    <x v="13"/>
    <x v="2"/>
    <n v="9124.8121799589408"/>
  </r>
  <r>
    <x v="12"/>
    <x v="1"/>
    <x v="0"/>
    <x v="0"/>
    <x v="0"/>
    <x v="0"/>
    <x v="0"/>
    <x v="0"/>
    <x v="0"/>
    <x v="0"/>
    <x v="0"/>
    <x v="0"/>
    <x v="0"/>
    <x v="4"/>
    <x v="4"/>
    <x v="6"/>
    <x v="6"/>
    <n v="30.842359999999999"/>
    <x v="0"/>
    <x v="0"/>
    <x v="0"/>
    <x v="0"/>
    <x v="4"/>
    <x v="6"/>
    <n v="36.702408399999996"/>
  </r>
  <r>
    <x v="12"/>
    <x v="1"/>
    <x v="0"/>
    <x v="0"/>
    <x v="0"/>
    <x v="0"/>
    <x v="0"/>
    <x v="0"/>
    <x v="0"/>
    <x v="0"/>
    <x v="0"/>
    <x v="0"/>
    <x v="0"/>
    <x v="4"/>
    <x v="4"/>
    <x v="8"/>
    <x v="8"/>
    <n v="119.143503105137"/>
    <x v="0"/>
    <x v="1"/>
    <x v="2"/>
    <x v="2"/>
    <x v="6"/>
    <x v="8"/>
    <n v="141.78076869511301"/>
  </r>
  <r>
    <x v="12"/>
    <x v="1"/>
    <x v="0"/>
    <x v="0"/>
    <x v="0"/>
    <x v="0"/>
    <x v="0"/>
    <x v="0"/>
    <x v="0"/>
    <x v="0"/>
    <x v="0"/>
    <x v="0"/>
    <x v="0"/>
    <x v="4"/>
    <x v="4"/>
    <x v="9"/>
    <x v="9"/>
    <n v="16.864294117571198"/>
    <x v="0"/>
    <x v="0"/>
    <x v="1"/>
    <x v="4"/>
    <x v="5"/>
    <x v="9"/>
    <n v="20.068509999909725"/>
  </r>
  <r>
    <x v="12"/>
    <x v="1"/>
    <x v="0"/>
    <x v="0"/>
    <x v="0"/>
    <x v="0"/>
    <x v="0"/>
    <x v="0"/>
    <x v="0"/>
    <x v="0"/>
    <x v="0"/>
    <x v="0"/>
    <x v="0"/>
    <x v="4"/>
    <x v="4"/>
    <x v="11"/>
    <x v="11"/>
    <n v="5.3479999999999999"/>
    <x v="0"/>
    <x v="0"/>
    <x v="3"/>
    <x v="5"/>
    <x v="7"/>
    <x v="11"/>
    <n v="6.3641199999999998"/>
  </r>
  <r>
    <x v="12"/>
    <x v="1"/>
    <x v="0"/>
    <x v="0"/>
    <x v="0"/>
    <x v="0"/>
    <x v="0"/>
    <x v="0"/>
    <x v="0"/>
    <x v="0"/>
    <x v="0"/>
    <x v="0"/>
    <x v="0"/>
    <x v="4"/>
    <x v="4"/>
    <x v="12"/>
    <x v="12"/>
    <n v="938.76268181517798"/>
    <x v="0"/>
    <x v="0"/>
    <x v="0"/>
    <x v="0"/>
    <x v="8"/>
    <x v="12"/>
    <n v="1117.1275913600618"/>
  </r>
  <r>
    <x v="12"/>
    <x v="1"/>
    <x v="0"/>
    <x v="0"/>
    <x v="0"/>
    <x v="0"/>
    <x v="0"/>
    <x v="0"/>
    <x v="0"/>
    <x v="0"/>
    <x v="0"/>
    <x v="0"/>
    <x v="0"/>
    <x v="4"/>
    <x v="4"/>
    <x v="14"/>
    <x v="14"/>
    <n v="272.96086000000003"/>
    <x v="0"/>
    <x v="0"/>
    <x v="0"/>
    <x v="0"/>
    <x v="8"/>
    <x v="14"/>
    <n v="324.82342340000002"/>
  </r>
  <r>
    <x v="12"/>
    <x v="1"/>
    <x v="0"/>
    <x v="0"/>
    <x v="0"/>
    <x v="0"/>
    <x v="0"/>
    <x v="0"/>
    <x v="0"/>
    <x v="0"/>
    <x v="0"/>
    <x v="0"/>
    <x v="0"/>
    <x v="4"/>
    <x v="4"/>
    <x v="16"/>
    <x v="16"/>
    <n v="1004.73256"/>
    <x v="0"/>
    <x v="0"/>
    <x v="3"/>
    <x v="5"/>
    <x v="9"/>
    <x v="16"/>
    <n v="1195.6317463999999"/>
  </r>
  <r>
    <x v="12"/>
    <x v="1"/>
    <x v="0"/>
    <x v="0"/>
    <x v="0"/>
    <x v="0"/>
    <x v="0"/>
    <x v="0"/>
    <x v="0"/>
    <x v="0"/>
    <x v="0"/>
    <x v="0"/>
    <x v="0"/>
    <x v="4"/>
    <x v="4"/>
    <x v="17"/>
    <x v="17"/>
    <n v="4.95"/>
    <x v="0"/>
    <x v="0"/>
    <x v="0"/>
    <x v="0"/>
    <x v="4"/>
    <x v="17"/>
    <n v="5.8905000000000003"/>
  </r>
  <r>
    <x v="12"/>
    <x v="1"/>
    <x v="0"/>
    <x v="0"/>
    <x v="0"/>
    <x v="0"/>
    <x v="0"/>
    <x v="0"/>
    <x v="0"/>
    <x v="0"/>
    <x v="0"/>
    <x v="0"/>
    <x v="0"/>
    <x v="4"/>
    <x v="4"/>
    <x v="18"/>
    <x v="18"/>
    <n v="0.90991999999999995"/>
    <x v="0"/>
    <x v="0"/>
    <x v="0"/>
    <x v="0"/>
    <x v="4"/>
    <x v="18"/>
    <n v="1.0828047999999999"/>
  </r>
  <r>
    <x v="12"/>
    <x v="1"/>
    <x v="0"/>
    <x v="0"/>
    <x v="0"/>
    <x v="0"/>
    <x v="0"/>
    <x v="0"/>
    <x v="0"/>
    <x v="0"/>
    <x v="0"/>
    <x v="0"/>
    <x v="0"/>
    <x v="4"/>
    <x v="4"/>
    <x v="26"/>
    <x v="26"/>
    <n v="34.761546218330999"/>
    <x v="0"/>
    <x v="0"/>
    <x v="1"/>
    <x v="3"/>
    <x v="3"/>
    <x v="15"/>
    <n v="41.366239999813885"/>
  </r>
  <r>
    <x v="12"/>
    <x v="1"/>
    <x v="0"/>
    <x v="0"/>
    <x v="0"/>
    <x v="0"/>
    <x v="0"/>
    <x v="0"/>
    <x v="0"/>
    <x v="0"/>
    <x v="0"/>
    <x v="0"/>
    <x v="0"/>
    <x v="4"/>
    <x v="4"/>
    <x v="1"/>
    <x v="1"/>
    <n v="493.32800000246698"/>
    <x v="0"/>
    <x v="0"/>
    <x v="1"/>
    <x v="1"/>
    <x v="1"/>
    <x v="1"/>
    <n v="587.06032000293567"/>
  </r>
  <r>
    <x v="12"/>
    <x v="1"/>
    <x v="0"/>
    <x v="0"/>
    <x v="0"/>
    <x v="0"/>
    <x v="0"/>
    <x v="0"/>
    <x v="0"/>
    <x v="0"/>
    <x v="0"/>
    <x v="0"/>
    <x v="0"/>
    <x v="4"/>
    <x v="4"/>
    <x v="20"/>
    <x v="20"/>
    <n v="8.6472700000000007"/>
    <x v="0"/>
    <x v="0"/>
    <x v="1"/>
    <x v="3"/>
    <x v="3"/>
    <x v="13"/>
    <n v="10.2902513"/>
  </r>
  <r>
    <x v="12"/>
    <x v="1"/>
    <x v="0"/>
    <x v="0"/>
    <x v="0"/>
    <x v="0"/>
    <x v="0"/>
    <x v="0"/>
    <x v="0"/>
    <x v="0"/>
    <x v="0"/>
    <x v="0"/>
    <x v="0"/>
    <x v="4"/>
    <x v="4"/>
    <x v="2"/>
    <x v="2"/>
    <n v="734.57229411434196"/>
    <x v="0"/>
    <x v="1"/>
    <x v="2"/>
    <x v="2"/>
    <x v="13"/>
    <x v="2"/>
    <n v="874.14102999606689"/>
  </r>
  <r>
    <x v="12"/>
    <x v="1"/>
    <x v="0"/>
    <x v="0"/>
    <x v="0"/>
    <x v="0"/>
    <x v="0"/>
    <x v="0"/>
    <x v="0"/>
    <x v="0"/>
    <x v="0"/>
    <x v="0"/>
    <x v="0"/>
    <x v="0"/>
    <x v="0"/>
    <x v="5"/>
    <x v="5"/>
    <n v="13.000480663093899"/>
    <x v="0"/>
    <x v="0"/>
    <x v="1"/>
    <x v="1"/>
    <x v="1"/>
    <x v="5"/>
    <n v="15.470571989081739"/>
  </r>
  <r>
    <x v="12"/>
    <x v="1"/>
    <x v="0"/>
    <x v="0"/>
    <x v="0"/>
    <x v="0"/>
    <x v="0"/>
    <x v="0"/>
    <x v="0"/>
    <x v="0"/>
    <x v="0"/>
    <x v="0"/>
    <x v="0"/>
    <x v="0"/>
    <x v="0"/>
    <x v="6"/>
    <x v="6"/>
    <n v="71.590479999999999"/>
    <x v="0"/>
    <x v="0"/>
    <x v="0"/>
    <x v="0"/>
    <x v="4"/>
    <x v="6"/>
    <n v="85.192671199999992"/>
  </r>
  <r>
    <x v="12"/>
    <x v="1"/>
    <x v="0"/>
    <x v="0"/>
    <x v="0"/>
    <x v="0"/>
    <x v="0"/>
    <x v="0"/>
    <x v="0"/>
    <x v="0"/>
    <x v="0"/>
    <x v="0"/>
    <x v="0"/>
    <x v="0"/>
    <x v="0"/>
    <x v="7"/>
    <x v="7"/>
    <n v="8.7502689075236493"/>
    <x v="0"/>
    <x v="0"/>
    <x v="1"/>
    <x v="4"/>
    <x v="5"/>
    <x v="7"/>
    <n v="10.412819999953141"/>
  </r>
  <r>
    <x v="12"/>
    <x v="1"/>
    <x v="0"/>
    <x v="0"/>
    <x v="0"/>
    <x v="0"/>
    <x v="0"/>
    <x v="0"/>
    <x v="0"/>
    <x v="0"/>
    <x v="0"/>
    <x v="0"/>
    <x v="0"/>
    <x v="0"/>
    <x v="0"/>
    <x v="8"/>
    <x v="8"/>
    <n v="1510.67359626755"/>
    <x v="0"/>
    <x v="1"/>
    <x v="2"/>
    <x v="2"/>
    <x v="6"/>
    <x v="8"/>
    <n v="1797.7015795583845"/>
  </r>
  <r>
    <x v="12"/>
    <x v="1"/>
    <x v="0"/>
    <x v="0"/>
    <x v="0"/>
    <x v="0"/>
    <x v="0"/>
    <x v="0"/>
    <x v="0"/>
    <x v="0"/>
    <x v="0"/>
    <x v="0"/>
    <x v="0"/>
    <x v="0"/>
    <x v="0"/>
    <x v="9"/>
    <x v="9"/>
    <n v="162.30424645552401"/>
    <x v="0"/>
    <x v="0"/>
    <x v="1"/>
    <x v="4"/>
    <x v="5"/>
    <x v="9"/>
    <n v="193.14205328207356"/>
  </r>
  <r>
    <x v="12"/>
    <x v="1"/>
    <x v="0"/>
    <x v="0"/>
    <x v="0"/>
    <x v="0"/>
    <x v="0"/>
    <x v="0"/>
    <x v="0"/>
    <x v="0"/>
    <x v="0"/>
    <x v="0"/>
    <x v="0"/>
    <x v="0"/>
    <x v="0"/>
    <x v="10"/>
    <x v="10"/>
    <n v="47.252628936323198"/>
    <x v="0"/>
    <x v="0"/>
    <x v="1"/>
    <x v="4"/>
    <x v="5"/>
    <x v="10"/>
    <n v="56.230628434224606"/>
  </r>
  <r>
    <x v="12"/>
    <x v="1"/>
    <x v="0"/>
    <x v="0"/>
    <x v="0"/>
    <x v="0"/>
    <x v="0"/>
    <x v="0"/>
    <x v="0"/>
    <x v="0"/>
    <x v="0"/>
    <x v="0"/>
    <x v="0"/>
    <x v="0"/>
    <x v="0"/>
    <x v="55"/>
    <x v="55"/>
    <n v="0.56765546218231999"/>
    <x v="0"/>
    <x v="0"/>
    <x v="1"/>
    <x v="3"/>
    <x v="3"/>
    <x v="15"/>
    <n v="0.67550999999696071"/>
  </r>
  <r>
    <x v="12"/>
    <x v="1"/>
    <x v="0"/>
    <x v="0"/>
    <x v="0"/>
    <x v="0"/>
    <x v="0"/>
    <x v="0"/>
    <x v="0"/>
    <x v="0"/>
    <x v="0"/>
    <x v="0"/>
    <x v="0"/>
    <x v="0"/>
    <x v="0"/>
    <x v="11"/>
    <x v="11"/>
    <n v="13.95763"/>
    <x v="0"/>
    <x v="0"/>
    <x v="3"/>
    <x v="5"/>
    <x v="7"/>
    <x v="11"/>
    <n v="16.609579699999998"/>
  </r>
  <r>
    <x v="12"/>
    <x v="1"/>
    <x v="0"/>
    <x v="0"/>
    <x v="0"/>
    <x v="0"/>
    <x v="0"/>
    <x v="0"/>
    <x v="0"/>
    <x v="0"/>
    <x v="0"/>
    <x v="0"/>
    <x v="0"/>
    <x v="0"/>
    <x v="0"/>
    <x v="12"/>
    <x v="12"/>
    <n v="849.05282954273798"/>
    <x v="0"/>
    <x v="0"/>
    <x v="0"/>
    <x v="0"/>
    <x v="8"/>
    <x v="12"/>
    <n v="1010.3728671558581"/>
  </r>
  <r>
    <x v="12"/>
    <x v="1"/>
    <x v="0"/>
    <x v="0"/>
    <x v="0"/>
    <x v="0"/>
    <x v="0"/>
    <x v="0"/>
    <x v="0"/>
    <x v="0"/>
    <x v="0"/>
    <x v="0"/>
    <x v="0"/>
    <x v="0"/>
    <x v="0"/>
    <x v="13"/>
    <x v="13"/>
    <n v="3.7725599999999999"/>
    <x v="0"/>
    <x v="0"/>
    <x v="1"/>
    <x v="3"/>
    <x v="3"/>
    <x v="13"/>
    <n v="4.4893463999999996"/>
  </r>
  <r>
    <x v="12"/>
    <x v="1"/>
    <x v="0"/>
    <x v="0"/>
    <x v="0"/>
    <x v="0"/>
    <x v="0"/>
    <x v="0"/>
    <x v="0"/>
    <x v="0"/>
    <x v="0"/>
    <x v="0"/>
    <x v="0"/>
    <x v="0"/>
    <x v="0"/>
    <x v="14"/>
    <x v="14"/>
    <n v="4148.0568000000003"/>
    <x v="0"/>
    <x v="0"/>
    <x v="0"/>
    <x v="0"/>
    <x v="8"/>
    <x v="14"/>
    <n v="4936.1875920000002"/>
  </r>
  <r>
    <x v="12"/>
    <x v="1"/>
    <x v="0"/>
    <x v="0"/>
    <x v="0"/>
    <x v="0"/>
    <x v="0"/>
    <x v="0"/>
    <x v="0"/>
    <x v="0"/>
    <x v="0"/>
    <x v="0"/>
    <x v="0"/>
    <x v="0"/>
    <x v="0"/>
    <x v="22"/>
    <x v="22"/>
    <n v="4.5873991935300404"/>
    <x v="0"/>
    <x v="0"/>
    <x v="0"/>
    <x v="0"/>
    <x v="0"/>
    <x v="0"/>
    <n v="5.459005040300748"/>
  </r>
  <r>
    <x v="12"/>
    <x v="1"/>
    <x v="0"/>
    <x v="0"/>
    <x v="0"/>
    <x v="0"/>
    <x v="0"/>
    <x v="0"/>
    <x v="0"/>
    <x v="0"/>
    <x v="0"/>
    <x v="0"/>
    <x v="0"/>
    <x v="0"/>
    <x v="0"/>
    <x v="23"/>
    <x v="23"/>
    <n v="1.8487394957900001"/>
    <x v="0"/>
    <x v="0"/>
    <x v="1"/>
    <x v="3"/>
    <x v="3"/>
    <x v="15"/>
    <n v="2.1999999999901001"/>
  </r>
  <r>
    <x v="12"/>
    <x v="1"/>
    <x v="0"/>
    <x v="0"/>
    <x v="0"/>
    <x v="0"/>
    <x v="0"/>
    <x v="0"/>
    <x v="0"/>
    <x v="0"/>
    <x v="0"/>
    <x v="0"/>
    <x v="0"/>
    <x v="0"/>
    <x v="0"/>
    <x v="24"/>
    <x v="24"/>
    <n v="3.4606218487239202"/>
    <x v="0"/>
    <x v="0"/>
    <x v="1"/>
    <x v="3"/>
    <x v="3"/>
    <x v="4"/>
    <n v="4.118139999981465"/>
  </r>
  <r>
    <x v="12"/>
    <x v="1"/>
    <x v="0"/>
    <x v="0"/>
    <x v="0"/>
    <x v="0"/>
    <x v="0"/>
    <x v="0"/>
    <x v="0"/>
    <x v="0"/>
    <x v="0"/>
    <x v="0"/>
    <x v="0"/>
    <x v="0"/>
    <x v="0"/>
    <x v="17"/>
    <x v="17"/>
    <n v="2.5440800000000001"/>
    <x v="0"/>
    <x v="0"/>
    <x v="0"/>
    <x v="0"/>
    <x v="4"/>
    <x v="17"/>
    <n v="3.0274551999999999"/>
  </r>
  <r>
    <x v="12"/>
    <x v="1"/>
    <x v="0"/>
    <x v="0"/>
    <x v="0"/>
    <x v="0"/>
    <x v="0"/>
    <x v="0"/>
    <x v="0"/>
    <x v="0"/>
    <x v="0"/>
    <x v="0"/>
    <x v="0"/>
    <x v="0"/>
    <x v="0"/>
    <x v="21"/>
    <x v="21"/>
    <n v="15.211697478923099"/>
    <x v="0"/>
    <x v="0"/>
    <x v="1"/>
    <x v="4"/>
    <x v="5"/>
    <x v="10"/>
    <n v="18.101919999918486"/>
  </r>
  <r>
    <x v="12"/>
    <x v="1"/>
    <x v="0"/>
    <x v="0"/>
    <x v="0"/>
    <x v="0"/>
    <x v="0"/>
    <x v="0"/>
    <x v="0"/>
    <x v="0"/>
    <x v="0"/>
    <x v="0"/>
    <x v="0"/>
    <x v="0"/>
    <x v="0"/>
    <x v="18"/>
    <x v="18"/>
    <n v="22.907620000000001"/>
    <x v="0"/>
    <x v="0"/>
    <x v="0"/>
    <x v="0"/>
    <x v="4"/>
    <x v="18"/>
    <n v="27.260067800000002"/>
  </r>
  <r>
    <x v="12"/>
    <x v="1"/>
    <x v="0"/>
    <x v="0"/>
    <x v="0"/>
    <x v="0"/>
    <x v="0"/>
    <x v="0"/>
    <x v="0"/>
    <x v="0"/>
    <x v="0"/>
    <x v="0"/>
    <x v="0"/>
    <x v="0"/>
    <x v="0"/>
    <x v="79"/>
    <x v="79"/>
    <n v="0.51115966386324996"/>
    <x v="0"/>
    <x v="0"/>
    <x v="1"/>
    <x v="4"/>
    <x v="5"/>
    <x v="10"/>
    <n v="0.60827999999726745"/>
  </r>
  <r>
    <x v="12"/>
    <x v="1"/>
    <x v="0"/>
    <x v="0"/>
    <x v="0"/>
    <x v="0"/>
    <x v="0"/>
    <x v="0"/>
    <x v="0"/>
    <x v="0"/>
    <x v="0"/>
    <x v="0"/>
    <x v="0"/>
    <x v="0"/>
    <x v="0"/>
    <x v="25"/>
    <x v="25"/>
    <n v="69.501983192964502"/>
    <x v="0"/>
    <x v="0"/>
    <x v="1"/>
    <x v="4"/>
    <x v="5"/>
    <x v="9"/>
    <n v="82.707359999627755"/>
  </r>
  <r>
    <x v="12"/>
    <x v="1"/>
    <x v="0"/>
    <x v="0"/>
    <x v="0"/>
    <x v="0"/>
    <x v="0"/>
    <x v="0"/>
    <x v="0"/>
    <x v="0"/>
    <x v="0"/>
    <x v="0"/>
    <x v="0"/>
    <x v="0"/>
    <x v="0"/>
    <x v="27"/>
    <x v="27"/>
    <n v="12.378075515140299"/>
    <x v="0"/>
    <x v="0"/>
    <x v="1"/>
    <x v="3"/>
    <x v="3"/>
    <x v="19"/>
    <n v="14.729909863016955"/>
  </r>
  <r>
    <x v="12"/>
    <x v="1"/>
    <x v="0"/>
    <x v="0"/>
    <x v="0"/>
    <x v="0"/>
    <x v="0"/>
    <x v="0"/>
    <x v="0"/>
    <x v="0"/>
    <x v="0"/>
    <x v="0"/>
    <x v="0"/>
    <x v="0"/>
    <x v="0"/>
    <x v="78"/>
    <x v="78"/>
    <n v="6.0241176470317201"/>
    <x v="0"/>
    <x v="0"/>
    <x v="1"/>
    <x v="4"/>
    <x v="5"/>
    <x v="9"/>
    <n v="7.168699999967747"/>
  </r>
  <r>
    <x v="12"/>
    <x v="1"/>
    <x v="0"/>
    <x v="0"/>
    <x v="0"/>
    <x v="0"/>
    <x v="0"/>
    <x v="0"/>
    <x v="0"/>
    <x v="0"/>
    <x v="0"/>
    <x v="0"/>
    <x v="0"/>
    <x v="0"/>
    <x v="0"/>
    <x v="26"/>
    <x v="26"/>
    <n v="27.835016806597402"/>
    <x v="0"/>
    <x v="0"/>
    <x v="1"/>
    <x v="3"/>
    <x v="3"/>
    <x v="15"/>
    <n v="33.123669999850904"/>
  </r>
  <r>
    <x v="12"/>
    <x v="1"/>
    <x v="0"/>
    <x v="0"/>
    <x v="0"/>
    <x v="0"/>
    <x v="0"/>
    <x v="0"/>
    <x v="0"/>
    <x v="0"/>
    <x v="0"/>
    <x v="0"/>
    <x v="0"/>
    <x v="0"/>
    <x v="0"/>
    <x v="0"/>
    <x v="0"/>
    <n v="6.6906186667503"/>
    <x v="0"/>
    <x v="0"/>
    <x v="0"/>
    <x v="0"/>
    <x v="0"/>
    <x v="0"/>
    <n v="7.9618362134328571"/>
  </r>
  <r>
    <x v="12"/>
    <x v="1"/>
    <x v="0"/>
    <x v="0"/>
    <x v="0"/>
    <x v="0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4.668130399999999"/>
  </r>
  <r>
    <x v="12"/>
    <x v="1"/>
    <x v="0"/>
    <x v="0"/>
    <x v="0"/>
    <x v="0"/>
    <x v="0"/>
    <x v="0"/>
    <x v="0"/>
    <x v="0"/>
    <x v="0"/>
    <x v="0"/>
    <x v="0"/>
    <x v="0"/>
    <x v="0"/>
    <x v="2"/>
    <x v="2"/>
    <n v="12600.7611512038"/>
    <x v="0"/>
    <x v="1"/>
    <x v="2"/>
    <x v="2"/>
    <x v="13"/>
    <x v="2"/>
    <n v="14994.905769932522"/>
  </r>
  <r>
    <x v="12"/>
    <x v="1"/>
    <x v="0"/>
    <x v="0"/>
    <x v="0"/>
    <x v="0"/>
    <x v="0"/>
    <x v="0"/>
    <x v="0"/>
    <x v="0"/>
    <x v="0"/>
    <x v="0"/>
    <x v="0"/>
    <x v="0"/>
    <x v="0"/>
    <x v="3"/>
    <x v="3"/>
    <n v="0.16719193768292001"/>
    <x v="0"/>
    <x v="0"/>
    <x v="1"/>
    <x v="3"/>
    <x v="3"/>
    <x v="3"/>
    <n v="0.1989584058426748"/>
  </r>
  <r>
    <x v="12"/>
    <x v="1"/>
    <x v="0"/>
    <x v="0"/>
    <x v="0"/>
    <x v="0"/>
    <x v="0"/>
    <x v="0"/>
    <x v="0"/>
    <x v="0"/>
    <x v="0"/>
    <x v="0"/>
    <x v="1"/>
    <x v="1"/>
    <x v="1"/>
    <x v="4"/>
    <x v="4"/>
    <n v="9.4243781512180895"/>
    <x v="0"/>
    <x v="0"/>
    <x v="1"/>
    <x v="3"/>
    <x v="3"/>
    <x v="4"/>
    <n v="11.215009999949526"/>
  </r>
  <r>
    <x v="12"/>
    <x v="1"/>
    <x v="0"/>
    <x v="0"/>
    <x v="0"/>
    <x v="0"/>
    <x v="0"/>
    <x v="0"/>
    <x v="0"/>
    <x v="0"/>
    <x v="0"/>
    <x v="0"/>
    <x v="1"/>
    <x v="1"/>
    <x v="1"/>
    <x v="5"/>
    <x v="5"/>
    <n v="22.747635359309399"/>
    <x v="0"/>
    <x v="0"/>
    <x v="1"/>
    <x v="1"/>
    <x v="1"/>
    <x v="5"/>
    <n v="27.069686077578183"/>
  </r>
  <r>
    <x v="12"/>
    <x v="1"/>
    <x v="0"/>
    <x v="0"/>
    <x v="0"/>
    <x v="0"/>
    <x v="0"/>
    <x v="0"/>
    <x v="0"/>
    <x v="0"/>
    <x v="0"/>
    <x v="0"/>
    <x v="1"/>
    <x v="1"/>
    <x v="1"/>
    <x v="6"/>
    <x v="6"/>
    <n v="565.38930000000005"/>
    <x v="0"/>
    <x v="0"/>
    <x v="0"/>
    <x v="0"/>
    <x v="4"/>
    <x v="6"/>
    <n v="672.813267"/>
  </r>
  <r>
    <x v="12"/>
    <x v="1"/>
    <x v="0"/>
    <x v="0"/>
    <x v="0"/>
    <x v="0"/>
    <x v="0"/>
    <x v="0"/>
    <x v="0"/>
    <x v="0"/>
    <x v="0"/>
    <x v="0"/>
    <x v="1"/>
    <x v="1"/>
    <x v="1"/>
    <x v="7"/>
    <x v="7"/>
    <n v="8.7502689075236493"/>
    <x v="0"/>
    <x v="0"/>
    <x v="1"/>
    <x v="4"/>
    <x v="5"/>
    <x v="7"/>
    <n v="10.412819999953141"/>
  </r>
  <r>
    <x v="12"/>
    <x v="1"/>
    <x v="0"/>
    <x v="0"/>
    <x v="0"/>
    <x v="0"/>
    <x v="0"/>
    <x v="0"/>
    <x v="0"/>
    <x v="0"/>
    <x v="0"/>
    <x v="0"/>
    <x v="1"/>
    <x v="1"/>
    <x v="1"/>
    <x v="8"/>
    <x v="8"/>
    <n v="298.359111800108"/>
    <x v="0"/>
    <x v="1"/>
    <x v="2"/>
    <x v="2"/>
    <x v="6"/>
    <x v="8"/>
    <n v="355.04734304212849"/>
  </r>
  <r>
    <x v="12"/>
    <x v="1"/>
    <x v="0"/>
    <x v="0"/>
    <x v="0"/>
    <x v="0"/>
    <x v="0"/>
    <x v="0"/>
    <x v="0"/>
    <x v="0"/>
    <x v="0"/>
    <x v="0"/>
    <x v="1"/>
    <x v="1"/>
    <x v="1"/>
    <x v="9"/>
    <x v="9"/>
    <n v="351.30241601885598"/>
    <x v="0"/>
    <x v="0"/>
    <x v="1"/>
    <x v="4"/>
    <x v="5"/>
    <x v="9"/>
    <n v="418.04987506243862"/>
  </r>
  <r>
    <x v="12"/>
    <x v="1"/>
    <x v="0"/>
    <x v="0"/>
    <x v="0"/>
    <x v="0"/>
    <x v="0"/>
    <x v="0"/>
    <x v="0"/>
    <x v="0"/>
    <x v="0"/>
    <x v="0"/>
    <x v="1"/>
    <x v="1"/>
    <x v="1"/>
    <x v="10"/>
    <x v="10"/>
    <n v="16.930393300333801"/>
    <x v="0"/>
    <x v="0"/>
    <x v="1"/>
    <x v="4"/>
    <x v="5"/>
    <x v="10"/>
    <n v="20.147168027397221"/>
  </r>
  <r>
    <x v="12"/>
    <x v="1"/>
    <x v="0"/>
    <x v="0"/>
    <x v="0"/>
    <x v="0"/>
    <x v="0"/>
    <x v="0"/>
    <x v="0"/>
    <x v="0"/>
    <x v="0"/>
    <x v="0"/>
    <x v="1"/>
    <x v="1"/>
    <x v="1"/>
    <x v="55"/>
    <x v="55"/>
    <n v="1.10952100839837"/>
    <x v="0"/>
    <x v="0"/>
    <x v="1"/>
    <x v="3"/>
    <x v="3"/>
    <x v="15"/>
    <n v="1.3203299999940603"/>
  </r>
  <r>
    <x v="12"/>
    <x v="1"/>
    <x v="0"/>
    <x v="0"/>
    <x v="0"/>
    <x v="0"/>
    <x v="0"/>
    <x v="0"/>
    <x v="0"/>
    <x v="0"/>
    <x v="0"/>
    <x v="0"/>
    <x v="1"/>
    <x v="1"/>
    <x v="1"/>
    <x v="11"/>
    <x v="11"/>
    <n v="36.80489"/>
    <x v="0"/>
    <x v="0"/>
    <x v="3"/>
    <x v="5"/>
    <x v="7"/>
    <x v="11"/>
    <n v="43.797819099999998"/>
  </r>
  <r>
    <x v="12"/>
    <x v="1"/>
    <x v="0"/>
    <x v="0"/>
    <x v="0"/>
    <x v="0"/>
    <x v="0"/>
    <x v="0"/>
    <x v="0"/>
    <x v="0"/>
    <x v="0"/>
    <x v="0"/>
    <x v="1"/>
    <x v="1"/>
    <x v="1"/>
    <x v="12"/>
    <x v="12"/>
    <n v="400.02598863508399"/>
    <x v="0"/>
    <x v="0"/>
    <x v="0"/>
    <x v="0"/>
    <x v="8"/>
    <x v="12"/>
    <n v="476.03092647574994"/>
  </r>
  <r>
    <x v="12"/>
    <x v="1"/>
    <x v="0"/>
    <x v="0"/>
    <x v="0"/>
    <x v="0"/>
    <x v="0"/>
    <x v="0"/>
    <x v="0"/>
    <x v="0"/>
    <x v="0"/>
    <x v="0"/>
    <x v="1"/>
    <x v="1"/>
    <x v="1"/>
    <x v="13"/>
    <x v="13"/>
    <n v="4.8948"/>
    <x v="0"/>
    <x v="0"/>
    <x v="1"/>
    <x v="3"/>
    <x v="3"/>
    <x v="13"/>
    <n v="5.8248119999999997"/>
  </r>
  <r>
    <x v="12"/>
    <x v="1"/>
    <x v="0"/>
    <x v="0"/>
    <x v="0"/>
    <x v="0"/>
    <x v="0"/>
    <x v="0"/>
    <x v="0"/>
    <x v="0"/>
    <x v="0"/>
    <x v="0"/>
    <x v="1"/>
    <x v="1"/>
    <x v="1"/>
    <x v="14"/>
    <x v="14"/>
    <n v="449.74045000000001"/>
    <x v="0"/>
    <x v="0"/>
    <x v="0"/>
    <x v="0"/>
    <x v="8"/>
    <x v="14"/>
    <n v="535.19113549999997"/>
  </r>
  <r>
    <x v="12"/>
    <x v="1"/>
    <x v="0"/>
    <x v="0"/>
    <x v="0"/>
    <x v="0"/>
    <x v="0"/>
    <x v="0"/>
    <x v="0"/>
    <x v="0"/>
    <x v="0"/>
    <x v="0"/>
    <x v="1"/>
    <x v="1"/>
    <x v="1"/>
    <x v="15"/>
    <x v="15"/>
    <n v="0.17257983193199999"/>
    <x v="0"/>
    <x v="0"/>
    <x v="1"/>
    <x v="3"/>
    <x v="3"/>
    <x v="15"/>
    <n v="0.20536999999907998"/>
  </r>
  <r>
    <x v="12"/>
    <x v="1"/>
    <x v="0"/>
    <x v="0"/>
    <x v="0"/>
    <x v="0"/>
    <x v="0"/>
    <x v="0"/>
    <x v="0"/>
    <x v="0"/>
    <x v="0"/>
    <x v="0"/>
    <x v="1"/>
    <x v="1"/>
    <x v="1"/>
    <x v="22"/>
    <x v="22"/>
    <n v="1.5291330645100101"/>
    <x v="0"/>
    <x v="0"/>
    <x v="0"/>
    <x v="0"/>
    <x v="0"/>
    <x v="0"/>
    <n v="1.8196683467669119"/>
  </r>
  <r>
    <x v="12"/>
    <x v="1"/>
    <x v="0"/>
    <x v="0"/>
    <x v="0"/>
    <x v="0"/>
    <x v="0"/>
    <x v="0"/>
    <x v="0"/>
    <x v="0"/>
    <x v="0"/>
    <x v="0"/>
    <x v="1"/>
    <x v="1"/>
    <x v="1"/>
    <x v="16"/>
    <x v="16"/>
    <n v="117.64652"/>
    <x v="0"/>
    <x v="0"/>
    <x v="3"/>
    <x v="5"/>
    <x v="9"/>
    <x v="16"/>
    <n v="139.99935879999998"/>
  </r>
  <r>
    <x v="12"/>
    <x v="1"/>
    <x v="0"/>
    <x v="0"/>
    <x v="0"/>
    <x v="0"/>
    <x v="0"/>
    <x v="0"/>
    <x v="0"/>
    <x v="0"/>
    <x v="0"/>
    <x v="0"/>
    <x v="1"/>
    <x v="1"/>
    <x v="1"/>
    <x v="23"/>
    <x v="23"/>
    <n v="13.121058823470401"/>
    <x v="0"/>
    <x v="0"/>
    <x v="1"/>
    <x v="3"/>
    <x v="3"/>
    <x v="15"/>
    <n v="15.614059999929776"/>
  </r>
  <r>
    <x v="12"/>
    <x v="1"/>
    <x v="0"/>
    <x v="0"/>
    <x v="0"/>
    <x v="0"/>
    <x v="0"/>
    <x v="0"/>
    <x v="0"/>
    <x v="0"/>
    <x v="0"/>
    <x v="0"/>
    <x v="1"/>
    <x v="1"/>
    <x v="1"/>
    <x v="24"/>
    <x v="24"/>
    <n v="9.5217647058395105"/>
    <x v="0"/>
    <x v="0"/>
    <x v="1"/>
    <x v="3"/>
    <x v="3"/>
    <x v="4"/>
    <n v="11.330899999949017"/>
  </r>
  <r>
    <x v="12"/>
    <x v="1"/>
    <x v="0"/>
    <x v="0"/>
    <x v="0"/>
    <x v="0"/>
    <x v="0"/>
    <x v="0"/>
    <x v="0"/>
    <x v="0"/>
    <x v="0"/>
    <x v="0"/>
    <x v="1"/>
    <x v="1"/>
    <x v="1"/>
    <x v="17"/>
    <x v="17"/>
    <n v="3.0786699999999998"/>
    <x v="0"/>
    <x v="0"/>
    <x v="0"/>
    <x v="0"/>
    <x v="4"/>
    <x v="17"/>
    <n v="3.6636172999999994"/>
  </r>
  <r>
    <x v="12"/>
    <x v="1"/>
    <x v="0"/>
    <x v="0"/>
    <x v="0"/>
    <x v="0"/>
    <x v="0"/>
    <x v="0"/>
    <x v="0"/>
    <x v="0"/>
    <x v="0"/>
    <x v="0"/>
    <x v="1"/>
    <x v="1"/>
    <x v="1"/>
    <x v="18"/>
    <x v="18"/>
    <n v="94.538740000000004"/>
    <x v="0"/>
    <x v="0"/>
    <x v="0"/>
    <x v="0"/>
    <x v="4"/>
    <x v="18"/>
    <n v="112.5011006"/>
  </r>
  <r>
    <x v="12"/>
    <x v="1"/>
    <x v="0"/>
    <x v="0"/>
    <x v="0"/>
    <x v="0"/>
    <x v="0"/>
    <x v="0"/>
    <x v="0"/>
    <x v="0"/>
    <x v="0"/>
    <x v="0"/>
    <x v="1"/>
    <x v="1"/>
    <x v="1"/>
    <x v="79"/>
    <x v="79"/>
    <n v="61.446025209807502"/>
    <x v="0"/>
    <x v="0"/>
    <x v="1"/>
    <x v="4"/>
    <x v="5"/>
    <x v="10"/>
    <n v="73.120769999670927"/>
  </r>
  <r>
    <x v="12"/>
    <x v="1"/>
    <x v="0"/>
    <x v="0"/>
    <x v="0"/>
    <x v="0"/>
    <x v="0"/>
    <x v="0"/>
    <x v="0"/>
    <x v="0"/>
    <x v="0"/>
    <x v="0"/>
    <x v="1"/>
    <x v="1"/>
    <x v="1"/>
    <x v="25"/>
    <x v="25"/>
    <n v="18.470521008320201"/>
    <x v="0"/>
    <x v="0"/>
    <x v="1"/>
    <x v="4"/>
    <x v="5"/>
    <x v="9"/>
    <n v="21.979919999901039"/>
  </r>
  <r>
    <x v="12"/>
    <x v="1"/>
    <x v="0"/>
    <x v="0"/>
    <x v="0"/>
    <x v="0"/>
    <x v="0"/>
    <x v="0"/>
    <x v="0"/>
    <x v="0"/>
    <x v="0"/>
    <x v="0"/>
    <x v="1"/>
    <x v="1"/>
    <x v="1"/>
    <x v="27"/>
    <x v="27"/>
    <n v="49.300096110899801"/>
    <x v="0"/>
    <x v="0"/>
    <x v="1"/>
    <x v="3"/>
    <x v="3"/>
    <x v="19"/>
    <n v="58.667114371970762"/>
  </r>
  <r>
    <x v="12"/>
    <x v="1"/>
    <x v="0"/>
    <x v="0"/>
    <x v="0"/>
    <x v="0"/>
    <x v="0"/>
    <x v="0"/>
    <x v="0"/>
    <x v="0"/>
    <x v="0"/>
    <x v="0"/>
    <x v="1"/>
    <x v="1"/>
    <x v="1"/>
    <x v="78"/>
    <x v="78"/>
    <n v="3.76747899157969"/>
    <x v="0"/>
    <x v="0"/>
    <x v="1"/>
    <x v="4"/>
    <x v="5"/>
    <x v="9"/>
    <n v="4.4832999999798311"/>
  </r>
  <r>
    <x v="12"/>
    <x v="1"/>
    <x v="0"/>
    <x v="0"/>
    <x v="0"/>
    <x v="0"/>
    <x v="0"/>
    <x v="0"/>
    <x v="0"/>
    <x v="0"/>
    <x v="0"/>
    <x v="0"/>
    <x v="1"/>
    <x v="1"/>
    <x v="1"/>
    <x v="26"/>
    <x v="26"/>
    <n v="34.492588235138903"/>
    <x v="0"/>
    <x v="0"/>
    <x v="1"/>
    <x v="3"/>
    <x v="3"/>
    <x v="15"/>
    <n v="41.046179999815294"/>
  </r>
  <r>
    <x v="12"/>
    <x v="1"/>
    <x v="0"/>
    <x v="0"/>
    <x v="0"/>
    <x v="0"/>
    <x v="0"/>
    <x v="0"/>
    <x v="0"/>
    <x v="0"/>
    <x v="0"/>
    <x v="0"/>
    <x v="1"/>
    <x v="1"/>
    <x v="1"/>
    <x v="0"/>
    <x v="0"/>
    <n v="7.1286862223113303"/>
    <x v="0"/>
    <x v="0"/>
    <x v="0"/>
    <x v="0"/>
    <x v="0"/>
    <x v="0"/>
    <n v="8.4831366045504826"/>
  </r>
  <r>
    <x v="12"/>
    <x v="1"/>
    <x v="0"/>
    <x v="0"/>
    <x v="0"/>
    <x v="0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1.602357199999998"/>
  </r>
  <r>
    <x v="12"/>
    <x v="1"/>
    <x v="0"/>
    <x v="0"/>
    <x v="0"/>
    <x v="0"/>
    <x v="0"/>
    <x v="0"/>
    <x v="0"/>
    <x v="0"/>
    <x v="0"/>
    <x v="0"/>
    <x v="1"/>
    <x v="1"/>
    <x v="1"/>
    <x v="2"/>
    <x v="2"/>
    <n v="675.76323529107697"/>
    <x v="0"/>
    <x v="1"/>
    <x v="2"/>
    <x v="2"/>
    <x v="13"/>
    <x v="2"/>
    <n v="804.15824999638153"/>
  </r>
  <r>
    <x v="12"/>
    <x v="1"/>
    <x v="0"/>
    <x v="0"/>
    <x v="0"/>
    <x v="0"/>
    <x v="0"/>
    <x v="0"/>
    <x v="0"/>
    <x v="0"/>
    <x v="0"/>
    <x v="0"/>
    <x v="1"/>
    <x v="1"/>
    <x v="1"/>
    <x v="3"/>
    <x v="3"/>
    <n v="11.957398990961799"/>
    <x v="0"/>
    <x v="0"/>
    <x v="1"/>
    <x v="3"/>
    <x v="3"/>
    <x v="3"/>
    <n v="14.22930479924454"/>
  </r>
  <r>
    <x v="12"/>
    <x v="1"/>
    <x v="0"/>
    <x v="0"/>
    <x v="0"/>
    <x v="0"/>
    <x v="0"/>
    <x v="0"/>
    <x v="0"/>
    <x v="0"/>
    <x v="0"/>
    <x v="0"/>
    <x v="2"/>
    <x v="2"/>
    <x v="2"/>
    <x v="4"/>
    <x v="4"/>
    <n v="100.626420167614"/>
    <x v="0"/>
    <x v="0"/>
    <x v="1"/>
    <x v="3"/>
    <x v="3"/>
    <x v="4"/>
    <n v="119.74543999946066"/>
  </r>
  <r>
    <x v="12"/>
    <x v="1"/>
    <x v="0"/>
    <x v="0"/>
    <x v="0"/>
    <x v="0"/>
    <x v="0"/>
    <x v="0"/>
    <x v="0"/>
    <x v="0"/>
    <x v="0"/>
    <x v="0"/>
    <x v="2"/>
    <x v="2"/>
    <x v="2"/>
    <x v="39"/>
    <x v="39"/>
    <n v="1.9414789915879"/>
    <x v="0"/>
    <x v="0"/>
    <x v="1"/>
    <x v="4"/>
    <x v="5"/>
    <x v="9"/>
    <n v="2.310359999989601"/>
  </r>
  <r>
    <x v="12"/>
    <x v="1"/>
    <x v="0"/>
    <x v="0"/>
    <x v="0"/>
    <x v="0"/>
    <x v="0"/>
    <x v="0"/>
    <x v="0"/>
    <x v="0"/>
    <x v="0"/>
    <x v="0"/>
    <x v="2"/>
    <x v="2"/>
    <x v="2"/>
    <x v="5"/>
    <x v="5"/>
    <n v="85.028486188568095"/>
    <x v="0"/>
    <x v="0"/>
    <x v="1"/>
    <x v="1"/>
    <x v="1"/>
    <x v="5"/>
    <n v="101.18389856439603"/>
  </r>
  <r>
    <x v="12"/>
    <x v="1"/>
    <x v="0"/>
    <x v="0"/>
    <x v="0"/>
    <x v="0"/>
    <x v="0"/>
    <x v="0"/>
    <x v="0"/>
    <x v="0"/>
    <x v="0"/>
    <x v="0"/>
    <x v="2"/>
    <x v="2"/>
    <x v="2"/>
    <x v="6"/>
    <x v="6"/>
    <n v="856.59231999999997"/>
    <x v="0"/>
    <x v="0"/>
    <x v="0"/>
    <x v="0"/>
    <x v="4"/>
    <x v="6"/>
    <n v="1019.3448607999999"/>
  </r>
  <r>
    <x v="12"/>
    <x v="1"/>
    <x v="0"/>
    <x v="0"/>
    <x v="0"/>
    <x v="0"/>
    <x v="0"/>
    <x v="0"/>
    <x v="0"/>
    <x v="0"/>
    <x v="0"/>
    <x v="0"/>
    <x v="2"/>
    <x v="2"/>
    <x v="2"/>
    <x v="7"/>
    <x v="7"/>
    <n v="12.226798319272699"/>
    <x v="0"/>
    <x v="0"/>
    <x v="1"/>
    <x v="4"/>
    <x v="5"/>
    <x v="7"/>
    <n v="14.549889999934512"/>
  </r>
  <r>
    <x v="12"/>
    <x v="1"/>
    <x v="0"/>
    <x v="0"/>
    <x v="0"/>
    <x v="0"/>
    <x v="0"/>
    <x v="0"/>
    <x v="0"/>
    <x v="0"/>
    <x v="0"/>
    <x v="0"/>
    <x v="2"/>
    <x v="2"/>
    <x v="2"/>
    <x v="8"/>
    <x v="8"/>
    <n v="636.45846583609102"/>
    <x v="0"/>
    <x v="1"/>
    <x v="2"/>
    <x v="2"/>
    <x v="6"/>
    <x v="8"/>
    <n v="757.38557434494828"/>
  </r>
  <r>
    <x v="12"/>
    <x v="1"/>
    <x v="0"/>
    <x v="0"/>
    <x v="0"/>
    <x v="0"/>
    <x v="0"/>
    <x v="0"/>
    <x v="0"/>
    <x v="0"/>
    <x v="0"/>
    <x v="0"/>
    <x v="2"/>
    <x v="2"/>
    <x v="2"/>
    <x v="9"/>
    <x v="9"/>
    <n v="135.62205466760801"/>
    <x v="0"/>
    <x v="0"/>
    <x v="1"/>
    <x v="4"/>
    <x v="5"/>
    <x v="9"/>
    <n v="161.39024505445352"/>
  </r>
  <r>
    <x v="12"/>
    <x v="1"/>
    <x v="0"/>
    <x v="0"/>
    <x v="0"/>
    <x v="0"/>
    <x v="0"/>
    <x v="0"/>
    <x v="0"/>
    <x v="0"/>
    <x v="0"/>
    <x v="0"/>
    <x v="2"/>
    <x v="2"/>
    <x v="2"/>
    <x v="10"/>
    <x v="10"/>
    <n v="1.4538037852800001"/>
    <x v="0"/>
    <x v="0"/>
    <x v="1"/>
    <x v="4"/>
    <x v="5"/>
    <x v="10"/>
    <n v="1.7300265044831999"/>
  </r>
  <r>
    <x v="12"/>
    <x v="1"/>
    <x v="0"/>
    <x v="0"/>
    <x v="0"/>
    <x v="0"/>
    <x v="0"/>
    <x v="0"/>
    <x v="0"/>
    <x v="0"/>
    <x v="0"/>
    <x v="0"/>
    <x v="2"/>
    <x v="2"/>
    <x v="2"/>
    <x v="28"/>
    <x v="28"/>
    <n v="12.20384"/>
    <x v="0"/>
    <x v="0"/>
    <x v="1"/>
    <x v="3"/>
    <x v="3"/>
    <x v="13"/>
    <n v="14.522569599999999"/>
  </r>
  <r>
    <x v="12"/>
    <x v="1"/>
    <x v="0"/>
    <x v="0"/>
    <x v="0"/>
    <x v="0"/>
    <x v="0"/>
    <x v="0"/>
    <x v="0"/>
    <x v="0"/>
    <x v="0"/>
    <x v="0"/>
    <x v="2"/>
    <x v="2"/>
    <x v="2"/>
    <x v="29"/>
    <x v="29"/>
    <n v="31.234349999999999"/>
    <x v="0"/>
    <x v="0"/>
    <x v="1"/>
    <x v="3"/>
    <x v="3"/>
    <x v="13"/>
    <n v="37.168876499999996"/>
  </r>
  <r>
    <x v="12"/>
    <x v="1"/>
    <x v="0"/>
    <x v="0"/>
    <x v="0"/>
    <x v="0"/>
    <x v="0"/>
    <x v="0"/>
    <x v="0"/>
    <x v="0"/>
    <x v="0"/>
    <x v="0"/>
    <x v="2"/>
    <x v="2"/>
    <x v="2"/>
    <x v="30"/>
    <x v="30"/>
    <n v="88.961059139429096"/>
    <x v="0"/>
    <x v="0"/>
    <x v="0"/>
    <x v="0"/>
    <x v="0"/>
    <x v="0"/>
    <n v="105.86366037592062"/>
  </r>
  <r>
    <x v="12"/>
    <x v="1"/>
    <x v="0"/>
    <x v="0"/>
    <x v="0"/>
    <x v="0"/>
    <x v="0"/>
    <x v="0"/>
    <x v="0"/>
    <x v="0"/>
    <x v="0"/>
    <x v="0"/>
    <x v="2"/>
    <x v="2"/>
    <x v="2"/>
    <x v="11"/>
    <x v="11"/>
    <n v="1921.4098300000001"/>
    <x v="0"/>
    <x v="0"/>
    <x v="3"/>
    <x v="5"/>
    <x v="7"/>
    <x v="11"/>
    <n v="2286.4776977000001"/>
  </r>
  <r>
    <x v="12"/>
    <x v="1"/>
    <x v="0"/>
    <x v="0"/>
    <x v="0"/>
    <x v="0"/>
    <x v="0"/>
    <x v="0"/>
    <x v="0"/>
    <x v="0"/>
    <x v="0"/>
    <x v="0"/>
    <x v="2"/>
    <x v="2"/>
    <x v="2"/>
    <x v="88"/>
    <x v="88"/>
    <n v="0.2362184873939"/>
    <x v="0"/>
    <x v="0"/>
    <x v="1"/>
    <x v="4"/>
    <x v="5"/>
    <x v="9"/>
    <n v="0.28109999999874097"/>
  </r>
  <r>
    <x v="12"/>
    <x v="1"/>
    <x v="0"/>
    <x v="0"/>
    <x v="0"/>
    <x v="0"/>
    <x v="0"/>
    <x v="0"/>
    <x v="0"/>
    <x v="0"/>
    <x v="0"/>
    <x v="0"/>
    <x v="2"/>
    <x v="2"/>
    <x v="2"/>
    <x v="12"/>
    <x v="12"/>
    <n v="1367.75590908653"/>
    <x v="0"/>
    <x v="0"/>
    <x v="0"/>
    <x v="0"/>
    <x v="8"/>
    <x v="12"/>
    <n v="1627.6295318129705"/>
  </r>
  <r>
    <x v="12"/>
    <x v="1"/>
    <x v="0"/>
    <x v="0"/>
    <x v="0"/>
    <x v="0"/>
    <x v="0"/>
    <x v="0"/>
    <x v="0"/>
    <x v="0"/>
    <x v="0"/>
    <x v="0"/>
    <x v="2"/>
    <x v="2"/>
    <x v="2"/>
    <x v="32"/>
    <x v="32"/>
    <n v="27.098424243649099"/>
    <x v="0"/>
    <x v="0"/>
    <x v="1"/>
    <x v="1"/>
    <x v="1"/>
    <x v="20"/>
    <n v="32.247124849942423"/>
  </r>
  <r>
    <x v="12"/>
    <x v="1"/>
    <x v="0"/>
    <x v="0"/>
    <x v="0"/>
    <x v="0"/>
    <x v="0"/>
    <x v="0"/>
    <x v="0"/>
    <x v="0"/>
    <x v="0"/>
    <x v="0"/>
    <x v="2"/>
    <x v="2"/>
    <x v="2"/>
    <x v="14"/>
    <x v="14"/>
    <n v="1246.3842099999999"/>
    <x v="0"/>
    <x v="0"/>
    <x v="0"/>
    <x v="0"/>
    <x v="8"/>
    <x v="14"/>
    <n v="1483.1972099"/>
  </r>
  <r>
    <x v="12"/>
    <x v="1"/>
    <x v="0"/>
    <x v="0"/>
    <x v="0"/>
    <x v="0"/>
    <x v="0"/>
    <x v="0"/>
    <x v="0"/>
    <x v="0"/>
    <x v="0"/>
    <x v="0"/>
    <x v="2"/>
    <x v="2"/>
    <x v="2"/>
    <x v="22"/>
    <x v="22"/>
    <n v="1.5726881720367201"/>
    <x v="0"/>
    <x v="0"/>
    <x v="0"/>
    <x v="0"/>
    <x v="0"/>
    <x v="0"/>
    <n v="1.8714989247236968"/>
  </r>
  <r>
    <x v="12"/>
    <x v="1"/>
    <x v="0"/>
    <x v="0"/>
    <x v="0"/>
    <x v="0"/>
    <x v="0"/>
    <x v="0"/>
    <x v="0"/>
    <x v="0"/>
    <x v="0"/>
    <x v="0"/>
    <x v="2"/>
    <x v="2"/>
    <x v="2"/>
    <x v="16"/>
    <x v="16"/>
    <n v="757.70791999999994"/>
    <x v="0"/>
    <x v="0"/>
    <x v="3"/>
    <x v="5"/>
    <x v="9"/>
    <x v="16"/>
    <n v="901.67242479999993"/>
  </r>
  <r>
    <x v="12"/>
    <x v="1"/>
    <x v="0"/>
    <x v="0"/>
    <x v="0"/>
    <x v="0"/>
    <x v="0"/>
    <x v="0"/>
    <x v="0"/>
    <x v="0"/>
    <x v="0"/>
    <x v="0"/>
    <x v="2"/>
    <x v="2"/>
    <x v="2"/>
    <x v="23"/>
    <x v="23"/>
    <n v="6.3025210083749998"/>
    <x v="0"/>
    <x v="0"/>
    <x v="1"/>
    <x v="3"/>
    <x v="3"/>
    <x v="15"/>
    <n v="7.4999999999662492"/>
  </r>
  <r>
    <x v="12"/>
    <x v="1"/>
    <x v="0"/>
    <x v="0"/>
    <x v="0"/>
    <x v="0"/>
    <x v="0"/>
    <x v="0"/>
    <x v="0"/>
    <x v="0"/>
    <x v="0"/>
    <x v="0"/>
    <x v="2"/>
    <x v="2"/>
    <x v="2"/>
    <x v="24"/>
    <x v="24"/>
    <n v="51.8690672266574"/>
    <x v="0"/>
    <x v="0"/>
    <x v="1"/>
    <x v="3"/>
    <x v="3"/>
    <x v="4"/>
    <n v="61.724189999722306"/>
  </r>
  <r>
    <x v="12"/>
    <x v="1"/>
    <x v="0"/>
    <x v="0"/>
    <x v="0"/>
    <x v="0"/>
    <x v="0"/>
    <x v="0"/>
    <x v="0"/>
    <x v="0"/>
    <x v="0"/>
    <x v="0"/>
    <x v="2"/>
    <x v="2"/>
    <x v="2"/>
    <x v="17"/>
    <x v="17"/>
    <n v="72.389790000000005"/>
    <x v="0"/>
    <x v="0"/>
    <x v="0"/>
    <x v="0"/>
    <x v="4"/>
    <x v="17"/>
    <n v="86.143850100000009"/>
  </r>
  <r>
    <x v="12"/>
    <x v="1"/>
    <x v="0"/>
    <x v="0"/>
    <x v="0"/>
    <x v="0"/>
    <x v="0"/>
    <x v="0"/>
    <x v="0"/>
    <x v="0"/>
    <x v="0"/>
    <x v="0"/>
    <x v="2"/>
    <x v="2"/>
    <x v="2"/>
    <x v="21"/>
    <x v="21"/>
    <n v="0.25529411764590998"/>
    <x v="0"/>
    <x v="0"/>
    <x v="1"/>
    <x v="4"/>
    <x v="5"/>
    <x v="10"/>
    <n v="0.30379999999863289"/>
  </r>
  <r>
    <x v="12"/>
    <x v="1"/>
    <x v="0"/>
    <x v="0"/>
    <x v="0"/>
    <x v="0"/>
    <x v="0"/>
    <x v="0"/>
    <x v="0"/>
    <x v="0"/>
    <x v="0"/>
    <x v="0"/>
    <x v="2"/>
    <x v="2"/>
    <x v="2"/>
    <x v="18"/>
    <x v="18"/>
    <n v="197.09349"/>
    <x v="0"/>
    <x v="0"/>
    <x v="0"/>
    <x v="0"/>
    <x v="4"/>
    <x v="18"/>
    <n v="234.54125310000001"/>
  </r>
  <r>
    <x v="12"/>
    <x v="1"/>
    <x v="0"/>
    <x v="0"/>
    <x v="0"/>
    <x v="0"/>
    <x v="0"/>
    <x v="0"/>
    <x v="0"/>
    <x v="0"/>
    <x v="0"/>
    <x v="0"/>
    <x v="2"/>
    <x v="2"/>
    <x v="2"/>
    <x v="34"/>
    <x v="34"/>
    <n v="64.057829889223598"/>
    <x v="0"/>
    <x v="0"/>
    <x v="0"/>
    <x v="0"/>
    <x v="0"/>
    <x v="0"/>
    <n v="76.228817568176083"/>
  </r>
  <r>
    <x v="12"/>
    <x v="1"/>
    <x v="0"/>
    <x v="0"/>
    <x v="0"/>
    <x v="0"/>
    <x v="0"/>
    <x v="0"/>
    <x v="0"/>
    <x v="0"/>
    <x v="0"/>
    <x v="0"/>
    <x v="2"/>
    <x v="2"/>
    <x v="2"/>
    <x v="79"/>
    <x v="79"/>
    <n v="6.6552352940877002"/>
    <x v="0"/>
    <x v="0"/>
    <x v="1"/>
    <x v="4"/>
    <x v="5"/>
    <x v="10"/>
    <n v="7.9197299999643631"/>
  </r>
  <r>
    <x v="12"/>
    <x v="1"/>
    <x v="0"/>
    <x v="0"/>
    <x v="0"/>
    <x v="0"/>
    <x v="0"/>
    <x v="0"/>
    <x v="0"/>
    <x v="0"/>
    <x v="0"/>
    <x v="0"/>
    <x v="2"/>
    <x v="2"/>
    <x v="2"/>
    <x v="25"/>
    <x v="25"/>
    <n v="19.7938655461294"/>
    <x v="0"/>
    <x v="0"/>
    <x v="1"/>
    <x v="4"/>
    <x v="5"/>
    <x v="9"/>
    <n v="23.554699999893984"/>
  </r>
  <r>
    <x v="12"/>
    <x v="1"/>
    <x v="0"/>
    <x v="0"/>
    <x v="0"/>
    <x v="0"/>
    <x v="0"/>
    <x v="0"/>
    <x v="0"/>
    <x v="0"/>
    <x v="0"/>
    <x v="0"/>
    <x v="2"/>
    <x v="2"/>
    <x v="2"/>
    <x v="27"/>
    <x v="27"/>
    <n v="404.65354005446699"/>
    <x v="0"/>
    <x v="0"/>
    <x v="1"/>
    <x v="3"/>
    <x v="3"/>
    <x v="19"/>
    <n v="481.53771266481567"/>
  </r>
  <r>
    <x v="12"/>
    <x v="1"/>
    <x v="0"/>
    <x v="0"/>
    <x v="0"/>
    <x v="0"/>
    <x v="0"/>
    <x v="0"/>
    <x v="0"/>
    <x v="0"/>
    <x v="0"/>
    <x v="0"/>
    <x v="2"/>
    <x v="2"/>
    <x v="2"/>
    <x v="26"/>
    <x v="26"/>
    <n v="49.9263025207837"/>
    <x v="0"/>
    <x v="0"/>
    <x v="1"/>
    <x v="3"/>
    <x v="3"/>
    <x v="15"/>
    <n v="59.412299999732603"/>
  </r>
  <r>
    <x v="12"/>
    <x v="1"/>
    <x v="0"/>
    <x v="0"/>
    <x v="0"/>
    <x v="0"/>
    <x v="0"/>
    <x v="0"/>
    <x v="0"/>
    <x v="0"/>
    <x v="0"/>
    <x v="0"/>
    <x v="2"/>
    <x v="2"/>
    <x v="2"/>
    <x v="0"/>
    <x v="0"/>
    <n v="170.31902044657301"/>
    <x v="0"/>
    <x v="0"/>
    <x v="0"/>
    <x v="0"/>
    <x v="0"/>
    <x v="0"/>
    <n v="202.67963433142188"/>
  </r>
  <r>
    <x v="12"/>
    <x v="1"/>
    <x v="0"/>
    <x v="0"/>
    <x v="0"/>
    <x v="0"/>
    <x v="0"/>
    <x v="0"/>
    <x v="0"/>
    <x v="0"/>
    <x v="0"/>
    <x v="0"/>
    <x v="2"/>
    <x v="2"/>
    <x v="2"/>
    <x v="1"/>
    <x v="1"/>
    <n v="142.904520000715"/>
    <x v="0"/>
    <x v="0"/>
    <x v="1"/>
    <x v="1"/>
    <x v="1"/>
    <x v="1"/>
    <n v="170.05637880085084"/>
  </r>
  <r>
    <x v="12"/>
    <x v="1"/>
    <x v="0"/>
    <x v="0"/>
    <x v="0"/>
    <x v="0"/>
    <x v="0"/>
    <x v="0"/>
    <x v="0"/>
    <x v="0"/>
    <x v="0"/>
    <x v="0"/>
    <x v="2"/>
    <x v="2"/>
    <x v="2"/>
    <x v="20"/>
    <x v="20"/>
    <n v="332.14240000000001"/>
    <x v="0"/>
    <x v="0"/>
    <x v="1"/>
    <x v="3"/>
    <x v="3"/>
    <x v="13"/>
    <n v="395.24945600000001"/>
  </r>
  <r>
    <x v="12"/>
    <x v="1"/>
    <x v="0"/>
    <x v="0"/>
    <x v="0"/>
    <x v="0"/>
    <x v="0"/>
    <x v="0"/>
    <x v="0"/>
    <x v="0"/>
    <x v="0"/>
    <x v="0"/>
    <x v="2"/>
    <x v="2"/>
    <x v="2"/>
    <x v="2"/>
    <x v="2"/>
    <n v="4066.5067310741401"/>
    <x v="0"/>
    <x v="1"/>
    <x v="2"/>
    <x v="2"/>
    <x v="13"/>
    <x v="2"/>
    <n v="4839.1430099782265"/>
  </r>
  <r>
    <x v="12"/>
    <x v="1"/>
    <x v="0"/>
    <x v="0"/>
    <x v="0"/>
    <x v="0"/>
    <x v="0"/>
    <x v="0"/>
    <x v="0"/>
    <x v="0"/>
    <x v="0"/>
    <x v="0"/>
    <x v="2"/>
    <x v="2"/>
    <x v="2"/>
    <x v="3"/>
    <x v="3"/>
    <n v="91.937831415028299"/>
    <x v="0"/>
    <x v="0"/>
    <x v="1"/>
    <x v="3"/>
    <x v="3"/>
    <x v="3"/>
    <n v="109.40601938388367"/>
  </r>
  <r>
    <x v="12"/>
    <x v="1"/>
    <x v="0"/>
    <x v="0"/>
    <x v="0"/>
    <x v="0"/>
    <x v="0"/>
    <x v="0"/>
    <x v="0"/>
    <x v="0"/>
    <x v="0"/>
    <x v="0"/>
    <x v="1"/>
    <x v="6"/>
    <x v="6"/>
    <x v="5"/>
    <x v="5"/>
    <n v="8.3808563536624003"/>
    <x v="0"/>
    <x v="0"/>
    <x v="1"/>
    <x v="1"/>
    <x v="1"/>
    <x v="5"/>
    <n v="9.9732190608582556"/>
  </r>
  <r>
    <x v="12"/>
    <x v="1"/>
    <x v="0"/>
    <x v="0"/>
    <x v="0"/>
    <x v="0"/>
    <x v="0"/>
    <x v="0"/>
    <x v="0"/>
    <x v="0"/>
    <x v="0"/>
    <x v="0"/>
    <x v="1"/>
    <x v="6"/>
    <x v="6"/>
    <x v="6"/>
    <x v="6"/>
    <n v="40.506"/>
    <x v="0"/>
    <x v="0"/>
    <x v="0"/>
    <x v="0"/>
    <x v="4"/>
    <x v="6"/>
    <n v="48.20214"/>
  </r>
  <r>
    <x v="12"/>
    <x v="1"/>
    <x v="0"/>
    <x v="0"/>
    <x v="0"/>
    <x v="0"/>
    <x v="0"/>
    <x v="0"/>
    <x v="0"/>
    <x v="0"/>
    <x v="0"/>
    <x v="0"/>
    <x v="1"/>
    <x v="6"/>
    <x v="6"/>
    <x v="8"/>
    <x v="8"/>
    <n v="80.597602484165805"/>
    <x v="0"/>
    <x v="1"/>
    <x v="2"/>
    <x v="2"/>
    <x v="6"/>
    <x v="8"/>
    <n v="95.911146956157296"/>
  </r>
  <r>
    <x v="12"/>
    <x v="1"/>
    <x v="0"/>
    <x v="0"/>
    <x v="0"/>
    <x v="0"/>
    <x v="0"/>
    <x v="0"/>
    <x v="0"/>
    <x v="0"/>
    <x v="0"/>
    <x v="0"/>
    <x v="1"/>
    <x v="6"/>
    <x v="6"/>
    <x v="9"/>
    <x v="9"/>
    <n v="12.812026271535199"/>
    <x v="0"/>
    <x v="0"/>
    <x v="1"/>
    <x v="4"/>
    <x v="5"/>
    <x v="9"/>
    <n v="15.246311263126886"/>
  </r>
  <r>
    <x v="12"/>
    <x v="1"/>
    <x v="0"/>
    <x v="0"/>
    <x v="0"/>
    <x v="0"/>
    <x v="0"/>
    <x v="0"/>
    <x v="0"/>
    <x v="0"/>
    <x v="0"/>
    <x v="0"/>
    <x v="1"/>
    <x v="6"/>
    <x v="6"/>
    <x v="12"/>
    <x v="12"/>
    <n v="361.50788636248001"/>
    <x v="0"/>
    <x v="0"/>
    <x v="0"/>
    <x v="0"/>
    <x v="8"/>
    <x v="12"/>
    <n v="430.19438477135117"/>
  </r>
  <r>
    <x v="12"/>
    <x v="1"/>
    <x v="0"/>
    <x v="0"/>
    <x v="0"/>
    <x v="0"/>
    <x v="0"/>
    <x v="0"/>
    <x v="0"/>
    <x v="0"/>
    <x v="0"/>
    <x v="0"/>
    <x v="1"/>
    <x v="6"/>
    <x v="6"/>
    <x v="14"/>
    <x v="14"/>
    <n v="145.91374999999999"/>
    <x v="0"/>
    <x v="0"/>
    <x v="0"/>
    <x v="0"/>
    <x v="8"/>
    <x v="14"/>
    <n v="173.63736249999999"/>
  </r>
  <r>
    <x v="12"/>
    <x v="1"/>
    <x v="0"/>
    <x v="0"/>
    <x v="0"/>
    <x v="0"/>
    <x v="0"/>
    <x v="0"/>
    <x v="0"/>
    <x v="0"/>
    <x v="0"/>
    <x v="0"/>
    <x v="1"/>
    <x v="6"/>
    <x v="6"/>
    <x v="16"/>
    <x v="16"/>
    <n v="531.17651999999998"/>
    <x v="0"/>
    <x v="0"/>
    <x v="3"/>
    <x v="5"/>
    <x v="9"/>
    <x v="16"/>
    <n v="632.10005879999994"/>
  </r>
  <r>
    <x v="12"/>
    <x v="1"/>
    <x v="0"/>
    <x v="0"/>
    <x v="0"/>
    <x v="0"/>
    <x v="0"/>
    <x v="0"/>
    <x v="0"/>
    <x v="0"/>
    <x v="0"/>
    <x v="0"/>
    <x v="1"/>
    <x v="6"/>
    <x v="6"/>
    <x v="57"/>
    <x v="57"/>
    <n v="1.5864640884112799"/>
    <x v="0"/>
    <x v="0"/>
    <x v="1"/>
    <x v="1"/>
    <x v="1"/>
    <x v="5"/>
    <n v="1.887892265209423"/>
  </r>
  <r>
    <x v="12"/>
    <x v="1"/>
    <x v="0"/>
    <x v="0"/>
    <x v="0"/>
    <x v="0"/>
    <x v="0"/>
    <x v="0"/>
    <x v="0"/>
    <x v="0"/>
    <x v="0"/>
    <x v="0"/>
    <x v="1"/>
    <x v="6"/>
    <x v="6"/>
    <x v="27"/>
    <x v="27"/>
    <n v="31.702002289011102"/>
    <x v="0"/>
    <x v="0"/>
    <x v="1"/>
    <x v="3"/>
    <x v="3"/>
    <x v="19"/>
    <n v="37.725382723923211"/>
  </r>
  <r>
    <x v="12"/>
    <x v="1"/>
    <x v="0"/>
    <x v="0"/>
    <x v="0"/>
    <x v="0"/>
    <x v="0"/>
    <x v="0"/>
    <x v="0"/>
    <x v="0"/>
    <x v="0"/>
    <x v="0"/>
    <x v="1"/>
    <x v="6"/>
    <x v="6"/>
    <x v="26"/>
    <x v="26"/>
    <n v="6.0958823529137502"/>
    <x v="0"/>
    <x v="0"/>
    <x v="1"/>
    <x v="3"/>
    <x v="3"/>
    <x v="15"/>
    <n v="7.2540999999673623"/>
  </r>
  <r>
    <x v="12"/>
    <x v="1"/>
    <x v="0"/>
    <x v="0"/>
    <x v="0"/>
    <x v="0"/>
    <x v="0"/>
    <x v="0"/>
    <x v="0"/>
    <x v="0"/>
    <x v="0"/>
    <x v="0"/>
    <x v="1"/>
    <x v="6"/>
    <x v="6"/>
    <x v="0"/>
    <x v="0"/>
    <n v="2.2309333333612198"/>
    <x v="0"/>
    <x v="0"/>
    <x v="0"/>
    <x v="0"/>
    <x v="0"/>
    <x v="0"/>
    <n v="2.6548106666998512"/>
  </r>
  <r>
    <x v="12"/>
    <x v="1"/>
    <x v="0"/>
    <x v="0"/>
    <x v="0"/>
    <x v="0"/>
    <x v="0"/>
    <x v="0"/>
    <x v="0"/>
    <x v="0"/>
    <x v="0"/>
    <x v="0"/>
    <x v="1"/>
    <x v="6"/>
    <x v="6"/>
    <x v="1"/>
    <x v="1"/>
    <n v="59.905553333632902"/>
    <x v="0"/>
    <x v="0"/>
    <x v="1"/>
    <x v="1"/>
    <x v="1"/>
    <x v="1"/>
    <n v="71.287608467023148"/>
  </r>
  <r>
    <x v="12"/>
    <x v="1"/>
    <x v="0"/>
    <x v="0"/>
    <x v="0"/>
    <x v="0"/>
    <x v="0"/>
    <x v="0"/>
    <x v="0"/>
    <x v="0"/>
    <x v="0"/>
    <x v="0"/>
    <x v="1"/>
    <x v="6"/>
    <x v="6"/>
    <x v="2"/>
    <x v="2"/>
    <n v="1623.35088234564"/>
    <x v="0"/>
    <x v="1"/>
    <x v="2"/>
    <x v="2"/>
    <x v="13"/>
    <x v="2"/>
    <n v="1931.7875499913116"/>
  </r>
  <r>
    <x v="12"/>
    <x v="1"/>
    <x v="0"/>
    <x v="0"/>
    <x v="0"/>
    <x v="0"/>
    <x v="0"/>
    <x v="0"/>
    <x v="0"/>
    <x v="0"/>
    <x v="0"/>
    <x v="0"/>
    <x v="1"/>
    <x v="6"/>
    <x v="6"/>
    <x v="3"/>
    <x v="3"/>
    <n v="9.6966083361364408"/>
    <x v="0"/>
    <x v="0"/>
    <x v="1"/>
    <x v="3"/>
    <x v="3"/>
    <x v="3"/>
    <n v="11.538963920002365"/>
  </r>
  <r>
    <x v="12"/>
    <x v="1"/>
    <x v="0"/>
    <x v="0"/>
    <x v="0"/>
    <x v="0"/>
    <x v="0"/>
    <x v="0"/>
    <x v="0"/>
    <x v="0"/>
    <x v="0"/>
    <x v="0"/>
    <x v="3"/>
    <x v="7"/>
    <x v="7"/>
    <x v="6"/>
    <x v="6"/>
    <n v="66.443920000000006"/>
    <x v="0"/>
    <x v="0"/>
    <x v="0"/>
    <x v="0"/>
    <x v="4"/>
    <x v="6"/>
    <n v="79.068264800000009"/>
  </r>
  <r>
    <x v="12"/>
    <x v="1"/>
    <x v="0"/>
    <x v="0"/>
    <x v="0"/>
    <x v="0"/>
    <x v="0"/>
    <x v="0"/>
    <x v="0"/>
    <x v="0"/>
    <x v="0"/>
    <x v="0"/>
    <x v="3"/>
    <x v="7"/>
    <x v="7"/>
    <x v="9"/>
    <x v="9"/>
    <n v="180.80988757748901"/>
    <x v="0"/>
    <x v="0"/>
    <x v="1"/>
    <x v="4"/>
    <x v="5"/>
    <x v="9"/>
    <n v="215.1637662172119"/>
  </r>
  <r>
    <x v="12"/>
    <x v="1"/>
    <x v="0"/>
    <x v="0"/>
    <x v="0"/>
    <x v="0"/>
    <x v="0"/>
    <x v="0"/>
    <x v="0"/>
    <x v="0"/>
    <x v="0"/>
    <x v="0"/>
    <x v="3"/>
    <x v="7"/>
    <x v="7"/>
    <x v="10"/>
    <x v="10"/>
    <n v="30.699400191521601"/>
    <x v="0"/>
    <x v="0"/>
    <x v="1"/>
    <x v="4"/>
    <x v="5"/>
    <x v="10"/>
    <n v="36.532286227910703"/>
  </r>
  <r>
    <x v="12"/>
    <x v="1"/>
    <x v="0"/>
    <x v="0"/>
    <x v="0"/>
    <x v="0"/>
    <x v="0"/>
    <x v="0"/>
    <x v="0"/>
    <x v="0"/>
    <x v="0"/>
    <x v="0"/>
    <x v="3"/>
    <x v="7"/>
    <x v="7"/>
    <x v="11"/>
    <x v="11"/>
    <n v="90.739879999999999"/>
    <x v="0"/>
    <x v="0"/>
    <x v="3"/>
    <x v="5"/>
    <x v="7"/>
    <x v="11"/>
    <n v="107.98045719999999"/>
  </r>
  <r>
    <x v="12"/>
    <x v="1"/>
    <x v="0"/>
    <x v="0"/>
    <x v="0"/>
    <x v="0"/>
    <x v="0"/>
    <x v="0"/>
    <x v="0"/>
    <x v="0"/>
    <x v="0"/>
    <x v="0"/>
    <x v="3"/>
    <x v="7"/>
    <x v="7"/>
    <x v="36"/>
    <x v="36"/>
    <n v="114.225386554108"/>
    <x v="0"/>
    <x v="0"/>
    <x v="1"/>
    <x v="3"/>
    <x v="3"/>
    <x v="4"/>
    <n v="135.92820999938851"/>
  </r>
  <r>
    <x v="12"/>
    <x v="1"/>
    <x v="0"/>
    <x v="0"/>
    <x v="0"/>
    <x v="0"/>
    <x v="0"/>
    <x v="0"/>
    <x v="0"/>
    <x v="0"/>
    <x v="0"/>
    <x v="0"/>
    <x v="3"/>
    <x v="7"/>
    <x v="7"/>
    <x v="24"/>
    <x v="24"/>
    <n v="74.837277310587595"/>
    <x v="0"/>
    <x v="0"/>
    <x v="1"/>
    <x v="3"/>
    <x v="3"/>
    <x v="4"/>
    <n v="89.056359999599238"/>
  </r>
  <r>
    <x v="12"/>
    <x v="1"/>
    <x v="0"/>
    <x v="0"/>
    <x v="0"/>
    <x v="0"/>
    <x v="0"/>
    <x v="0"/>
    <x v="0"/>
    <x v="0"/>
    <x v="0"/>
    <x v="0"/>
    <x v="3"/>
    <x v="7"/>
    <x v="7"/>
    <x v="17"/>
    <x v="17"/>
    <n v="351.64710000000002"/>
    <x v="0"/>
    <x v="0"/>
    <x v="0"/>
    <x v="0"/>
    <x v="4"/>
    <x v="17"/>
    <n v="418.46004900000003"/>
  </r>
  <r>
    <x v="12"/>
    <x v="1"/>
    <x v="0"/>
    <x v="0"/>
    <x v="0"/>
    <x v="0"/>
    <x v="0"/>
    <x v="0"/>
    <x v="0"/>
    <x v="0"/>
    <x v="0"/>
    <x v="0"/>
    <x v="3"/>
    <x v="7"/>
    <x v="7"/>
    <x v="18"/>
    <x v="18"/>
    <n v="40.198070000000001"/>
    <x v="0"/>
    <x v="0"/>
    <x v="0"/>
    <x v="0"/>
    <x v="4"/>
    <x v="18"/>
    <n v="47.835703299999999"/>
  </r>
  <r>
    <x v="12"/>
    <x v="1"/>
    <x v="0"/>
    <x v="0"/>
    <x v="0"/>
    <x v="0"/>
    <x v="0"/>
    <x v="0"/>
    <x v="0"/>
    <x v="0"/>
    <x v="0"/>
    <x v="0"/>
    <x v="3"/>
    <x v="7"/>
    <x v="7"/>
    <x v="34"/>
    <x v="34"/>
    <n v="25.185167628710399"/>
    <x v="0"/>
    <x v="0"/>
    <x v="0"/>
    <x v="0"/>
    <x v="0"/>
    <x v="0"/>
    <n v="29.970349478165375"/>
  </r>
  <r>
    <x v="12"/>
    <x v="1"/>
    <x v="0"/>
    <x v="0"/>
    <x v="0"/>
    <x v="0"/>
    <x v="0"/>
    <x v="0"/>
    <x v="0"/>
    <x v="0"/>
    <x v="0"/>
    <x v="0"/>
    <x v="1"/>
    <x v="8"/>
    <x v="8"/>
    <x v="6"/>
    <x v="6"/>
    <n v="62.4069"/>
    <x v="0"/>
    <x v="0"/>
    <x v="0"/>
    <x v="0"/>
    <x v="4"/>
    <x v="6"/>
    <n v="74.264211000000003"/>
  </r>
  <r>
    <x v="12"/>
    <x v="1"/>
    <x v="0"/>
    <x v="0"/>
    <x v="0"/>
    <x v="0"/>
    <x v="0"/>
    <x v="0"/>
    <x v="0"/>
    <x v="0"/>
    <x v="0"/>
    <x v="0"/>
    <x v="1"/>
    <x v="8"/>
    <x v="8"/>
    <x v="8"/>
    <x v="8"/>
    <n v="167.509018632904"/>
    <x v="0"/>
    <x v="1"/>
    <x v="2"/>
    <x v="2"/>
    <x v="6"/>
    <x v="8"/>
    <n v="199.33573217315575"/>
  </r>
  <r>
    <x v="12"/>
    <x v="1"/>
    <x v="0"/>
    <x v="0"/>
    <x v="0"/>
    <x v="0"/>
    <x v="0"/>
    <x v="0"/>
    <x v="0"/>
    <x v="0"/>
    <x v="0"/>
    <x v="0"/>
    <x v="1"/>
    <x v="8"/>
    <x v="8"/>
    <x v="9"/>
    <x v="9"/>
    <n v="314.30661906116302"/>
    <x v="0"/>
    <x v="0"/>
    <x v="1"/>
    <x v="4"/>
    <x v="5"/>
    <x v="9"/>
    <n v="374.024876682784"/>
  </r>
  <r>
    <x v="12"/>
    <x v="1"/>
    <x v="0"/>
    <x v="0"/>
    <x v="0"/>
    <x v="0"/>
    <x v="0"/>
    <x v="0"/>
    <x v="0"/>
    <x v="0"/>
    <x v="0"/>
    <x v="0"/>
    <x v="1"/>
    <x v="8"/>
    <x v="8"/>
    <x v="10"/>
    <x v="10"/>
    <n v="43.4019414201072"/>
    <x v="0"/>
    <x v="0"/>
    <x v="1"/>
    <x v="4"/>
    <x v="5"/>
    <x v="10"/>
    <n v="51.648310289927565"/>
  </r>
  <r>
    <x v="12"/>
    <x v="1"/>
    <x v="0"/>
    <x v="0"/>
    <x v="0"/>
    <x v="0"/>
    <x v="0"/>
    <x v="0"/>
    <x v="0"/>
    <x v="0"/>
    <x v="0"/>
    <x v="0"/>
    <x v="1"/>
    <x v="8"/>
    <x v="8"/>
    <x v="11"/>
    <x v="11"/>
    <n v="6.4436900000000001"/>
    <x v="0"/>
    <x v="0"/>
    <x v="3"/>
    <x v="5"/>
    <x v="7"/>
    <x v="11"/>
    <n v="7.6679911000000001"/>
  </r>
  <r>
    <x v="12"/>
    <x v="1"/>
    <x v="0"/>
    <x v="0"/>
    <x v="0"/>
    <x v="0"/>
    <x v="0"/>
    <x v="0"/>
    <x v="0"/>
    <x v="0"/>
    <x v="0"/>
    <x v="0"/>
    <x v="1"/>
    <x v="8"/>
    <x v="8"/>
    <x v="36"/>
    <x v="36"/>
    <n v="5.1512352940944703"/>
    <x v="0"/>
    <x v="0"/>
    <x v="1"/>
    <x v="3"/>
    <x v="3"/>
    <x v="4"/>
    <n v="6.1299699999724195"/>
  </r>
  <r>
    <x v="12"/>
    <x v="1"/>
    <x v="0"/>
    <x v="0"/>
    <x v="0"/>
    <x v="0"/>
    <x v="0"/>
    <x v="0"/>
    <x v="0"/>
    <x v="0"/>
    <x v="0"/>
    <x v="0"/>
    <x v="1"/>
    <x v="8"/>
    <x v="8"/>
    <x v="24"/>
    <x v="24"/>
    <n v="90.591521007995695"/>
    <x v="0"/>
    <x v="0"/>
    <x v="1"/>
    <x v="3"/>
    <x v="3"/>
    <x v="4"/>
    <n v="107.80390999951487"/>
  </r>
  <r>
    <x v="12"/>
    <x v="1"/>
    <x v="0"/>
    <x v="0"/>
    <x v="0"/>
    <x v="0"/>
    <x v="0"/>
    <x v="0"/>
    <x v="0"/>
    <x v="0"/>
    <x v="0"/>
    <x v="0"/>
    <x v="1"/>
    <x v="8"/>
    <x v="8"/>
    <x v="17"/>
    <x v="17"/>
    <n v="31.884419999999999"/>
    <x v="0"/>
    <x v="0"/>
    <x v="0"/>
    <x v="0"/>
    <x v="4"/>
    <x v="17"/>
    <n v="37.942459799999995"/>
  </r>
  <r>
    <x v="12"/>
    <x v="1"/>
    <x v="0"/>
    <x v="0"/>
    <x v="0"/>
    <x v="0"/>
    <x v="0"/>
    <x v="0"/>
    <x v="0"/>
    <x v="0"/>
    <x v="0"/>
    <x v="0"/>
    <x v="1"/>
    <x v="8"/>
    <x v="8"/>
    <x v="21"/>
    <x v="21"/>
    <n v="7.0471176470271102"/>
    <x v="0"/>
    <x v="0"/>
    <x v="1"/>
    <x v="4"/>
    <x v="5"/>
    <x v="10"/>
    <n v="8.3860699999622614"/>
  </r>
  <r>
    <x v="12"/>
    <x v="1"/>
    <x v="0"/>
    <x v="0"/>
    <x v="0"/>
    <x v="0"/>
    <x v="0"/>
    <x v="0"/>
    <x v="0"/>
    <x v="0"/>
    <x v="0"/>
    <x v="0"/>
    <x v="1"/>
    <x v="8"/>
    <x v="8"/>
    <x v="18"/>
    <x v="18"/>
    <n v="17.268170000000001"/>
    <x v="0"/>
    <x v="0"/>
    <x v="0"/>
    <x v="0"/>
    <x v="4"/>
    <x v="18"/>
    <n v="20.549122300000001"/>
  </r>
  <r>
    <x v="12"/>
    <x v="1"/>
    <x v="0"/>
    <x v="0"/>
    <x v="0"/>
    <x v="0"/>
    <x v="0"/>
    <x v="0"/>
    <x v="0"/>
    <x v="0"/>
    <x v="0"/>
    <x v="0"/>
    <x v="1"/>
    <x v="8"/>
    <x v="8"/>
    <x v="34"/>
    <x v="34"/>
    <n v="3.5354690336671699"/>
    <x v="0"/>
    <x v="0"/>
    <x v="0"/>
    <x v="0"/>
    <x v="0"/>
    <x v="0"/>
    <n v="4.2072081500639325"/>
  </r>
  <r>
    <x v="12"/>
    <x v="1"/>
    <x v="0"/>
    <x v="0"/>
    <x v="0"/>
    <x v="0"/>
    <x v="0"/>
    <x v="0"/>
    <x v="0"/>
    <x v="0"/>
    <x v="0"/>
    <x v="0"/>
    <x v="1"/>
    <x v="8"/>
    <x v="8"/>
    <x v="37"/>
    <x v="37"/>
    <n v="51.641302520776001"/>
    <x v="0"/>
    <x v="0"/>
    <x v="1"/>
    <x v="3"/>
    <x v="3"/>
    <x v="4"/>
    <n v="61.453149999723436"/>
  </r>
  <r>
    <x v="12"/>
    <x v="1"/>
    <x v="0"/>
    <x v="0"/>
    <x v="0"/>
    <x v="0"/>
    <x v="0"/>
    <x v="0"/>
    <x v="0"/>
    <x v="0"/>
    <x v="0"/>
    <x v="0"/>
    <x v="1"/>
    <x v="8"/>
    <x v="8"/>
    <x v="26"/>
    <x v="26"/>
    <n v="8.2797647058450892"/>
    <x v="0"/>
    <x v="0"/>
    <x v="1"/>
    <x v="3"/>
    <x v="3"/>
    <x v="15"/>
    <n v="9.852919999955656"/>
  </r>
  <r>
    <x v="12"/>
    <x v="1"/>
    <x v="0"/>
    <x v="0"/>
    <x v="0"/>
    <x v="0"/>
    <x v="0"/>
    <x v="0"/>
    <x v="0"/>
    <x v="0"/>
    <x v="0"/>
    <x v="0"/>
    <x v="1"/>
    <x v="8"/>
    <x v="8"/>
    <x v="0"/>
    <x v="0"/>
    <n v="13.8598604446177"/>
    <x v="0"/>
    <x v="0"/>
    <x v="0"/>
    <x v="0"/>
    <x v="0"/>
    <x v="0"/>
    <n v="16.493233929095062"/>
  </r>
  <r>
    <x v="12"/>
    <x v="1"/>
    <x v="0"/>
    <x v="0"/>
    <x v="0"/>
    <x v="0"/>
    <x v="0"/>
    <x v="0"/>
    <x v="0"/>
    <x v="0"/>
    <x v="0"/>
    <x v="0"/>
    <x v="0"/>
    <x v="9"/>
    <x v="9"/>
    <x v="6"/>
    <x v="6"/>
    <n v="139.37010000000001"/>
    <x v="0"/>
    <x v="0"/>
    <x v="0"/>
    <x v="0"/>
    <x v="4"/>
    <x v="6"/>
    <n v="165.85041899999999"/>
  </r>
  <r>
    <x v="12"/>
    <x v="1"/>
    <x v="0"/>
    <x v="0"/>
    <x v="0"/>
    <x v="0"/>
    <x v="0"/>
    <x v="0"/>
    <x v="0"/>
    <x v="0"/>
    <x v="0"/>
    <x v="0"/>
    <x v="0"/>
    <x v="9"/>
    <x v="9"/>
    <x v="7"/>
    <x v="7"/>
    <n v="119.573033612907"/>
    <x v="0"/>
    <x v="0"/>
    <x v="1"/>
    <x v="4"/>
    <x v="5"/>
    <x v="7"/>
    <n v="142.29190999935932"/>
  </r>
  <r>
    <x v="12"/>
    <x v="1"/>
    <x v="0"/>
    <x v="0"/>
    <x v="0"/>
    <x v="0"/>
    <x v="0"/>
    <x v="0"/>
    <x v="0"/>
    <x v="0"/>
    <x v="0"/>
    <x v="0"/>
    <x v="0"/>
    <x v="9"/>
    <x v="9"/>
    <x v="9"/>
    <x v="9"/>
    <n v="1023.14197995303"/>
    <x v="0"/>
    <x v="0"/>
    <x v="1"/>
    <x v="4"/>
    <x v="5"/>
    <x v="9"/>
    <n v="1217.5389561441057"/>
  </r>
  <r>
    <x v="12"/>
    <x v="1"/>
    <x v="0"/>
    <x v="0"/>
    <x v="0"/>
    <x v="0"/>
    <x v="0"/>
    <x v="0"/>
    <x v="0"/>
    <x v="0"/>
    <x v="0"/>
    <x v="0"/>
    <x v="0"/>
    <x v="9"/>
    <x v="9"/>
    <x v="10"/>
    <x v="10"/>
    <n v="55.8763074511401"/>
    <x v="0"/>
    <x v="0"/>
    <x v="1"/>
    <x v="4"/>
    <x v="5"/>
    <x v="10"/>
    <n v="66.492805866856713"/>
  </r>
  <r>
    <x v="12"/>
    <x v="1"/>
    <x v="0"/>
    <x v="0"/>
    <x v="0"/>
    <x v="0"/>
    <x v="0"/>
    <x v="0"/>
    <x v="0"/>
    <x v="0"/>
    <x v="0"/>
    <x v="0"/>
    <x v="0"/>
    <x v="9"/>
    <x v="9"/>
    <x v="11"/>
    <x v="11"/>
    <n v="53.430410000000002"/>
    <x v="0"/>
    <x v="0"/>
    <x v="3"/>
    <x v="5"/>
    <x v="7"/>
    <x v="11"/>
    <n v="63.582187900000001"/>
  </r>
  <r>
    <x v="12"/>
    <x v="1"/>
    <x v="0"/>
    <x v="0"/>
    <x v="0"/>
    <x v="0"/>
    <x v="0"/>
    <x v="0"/>
    <x v="0"/>
    <x v="0"/>
    <x v="0"/>
    <x v="0"/>
    <x v="0"/>
    <x v="9"/>
    <x v="9"/>
    <x v="12"/>
    <x v="12"/>
    <n v="11.9791249999617"/>
    <x v="0"/>
    <x v="0"/>
    <x v="0"/>
    <x v="0"/>
    <x v="8"/>
    <x v="12"/>
    <n v="14.255158749954422"/>
  </r>
  <r>
    <x v="12"/>
    <x v="1"/>
    <x v="0"/>
    <x v="0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1543E-3"/>
  </r>
  <r>
    <x v="12"/>
    <x v="1"/>
    <x v="0"/>
    <x v="0"/>
    <x v="0"/>
    <x v="0"/>
    <x v="0"/>
    <x v="0"/>
    <x v="0"/>
    <x v="0"/>
    <x v="0"/>
    <x v="0"/>
    <x v="0"/>
    <x v="9"/>
    <x v="9"/>
    <x v="36"/>
    <x v="36"/>
    <n v="18.855478991511799"/>
    <x v="0"/>
    <x v="0"/>
    <x v="1"/>
    <x v="3"/>
    <x v="3"/>
    <x v="4"/>
    <n v="22.438019999899041"/>
  </r>
  <r>
    <x v="12"/>
    <x v="1"/>
    <x v="0"/>
    <x v="0"/>
    <x v="0"/>
    <x v="0"/>
    <x v="0"/>
    <x v="0"/>
    <x v="0"/>
    <x v="0"/>
    <x v="0"/>
    <x v="0"/>
    <x v="0"/>
    <x v="9"/>
    <x v="9"/>
    <x v="24"/>
    <x v="24"/>
    <n v="81.604739495431105"/>
    <x v="0"/>
    <x v="0"/>
    <x v="1"/>
    <x v="3"/>
    <x v="3"/>
    <x v="4"/>
    <n v="97.109639999563015"/>
  </r>
  <r>
    <x v="12"/>
    <x v="1"/>
    <x v="0"/>
    <x v="0"/>
    <x v="0"/>
    <x v="0"/>
    <x v="0"/>
    <x v="0"/>
    <x v="0"/>
    <x v="0"/>
    <x v="0"/>
    <x v="0"/>
    <x v="0"/>
    <x v="9"/>
    <x v="9"/>
    <x v="17"/>
    <x v="17"/>
    <n v="86.24"/>
    <x v="0"/>
    <x v="0"/>
    <x v="0"/>
    <x v="0"/>
    <x v="4"/>
    <x v="17"/>
    <n v="102.62559999999999"/>
  </r>
  <r>
    <x v="12"/>
    <x v="1"/>
    <x v="0"/>
    <x v="0"/>
    <x v="0"/>
    <x v="0"/>
    <x v="0"/>
    <x v="0"/>
    <x v="0"/>
    <x v="0"/>
    <x v="0"/>
    <x v="0"/>
    <x v="0"/>
    <x v="9"/>
    <x v="9"/>
    <x v="21"/>
    <x v="21"/>
    <n v="1244.44737814566"/>
    <x v="0"/>
    <x v="0"/>
    <x v="1"/>
    <x v="4"/>
    <x v="5"/>
    <x v="10"/>
    <n v="1480.8923799933352"/>
  </r>
  <r>
    <x v="12"/>
    <x v="1"/>
    <x v="0"/>
    <x v="0"/>
    <x v="0"/>
    <x v="0"/>
    <x v="0"/>
    <x v="0"/>
    <x v="0"/>
    <x v="0"/>
    <x v="0"/>
    <x v="0"/>
    <x v="0"/>
    <x v="9"/>
    <x v="9"/>
    <x v="18"/>
    <x v="18"/>
    <n v="97.845020000000005"/>
    <x v="0"/>
    <x v="0"/>
    <x v="0"/>
    <x v="0"/>
    <x v="4"/>
    <x v="18"/>
    <n v="116.4355738"/>
  </r>
  <r>
    <x v="12"/>
    <x v="1"/>
    <x v="0"/>
    <x v="0"/>
    <x v="0"/>
    <x v="0"/>
    <x v="0"/>
    <x v="0"/>
    <x v="0"/>
    <x v="0"/>
    <x v="0"/>
    <x v="0"/>
    <x v="0"/>
    <x v="9"/>
    <x v="9"/>
    <x v="34"/>
    <x v="34"/>
    <n v="14.296957059515901"/>
    <x v="0"/>
    <x v="0"/>
    <x v="0"/>
    <x v="0"/>
    <x v="0"/>
    <x v="0"/>
    <n v="17.01337890082392"/>
  </r>
  <r>
    <x v="12"/>
    <x v="1"/>
    <x v="0"/>
    <x v="0"/>
    <x v="0"/>
    <x v="0"/>
    <x v="0"/>
    <x v="0"/>
    <x v="0"/>
    <x v="0"/>
    <x v="0"/>
    <x v="0"/>
    <x v="0"/>
    <x v="9"/>
    <x v="9"/>
    <x v="37"/>
    <x v="37"/>
    <n v="23.879151260396799"/>
    <x v="0"/>
    <x v="0"/>
    <x v="1"/>
    <x v="3"/>
    <x v="3"/>
    <x v="4"/>
    <n v="28.416189999872191"/>
  </r>
  <r>
    <x v="12"/>
    <x v="1"/>
    <x v="0"/>
    <x v="0"/>
    <x v="0"/>
    <x v="0"/>
    <x v="0"/>
    <x v="0"/>
    <x v="0"/>
    <x v="0"/>
    <x v="0"/>
    <x v="0"/>
    <x v="0"/>
    <x v="9"/>
    <x v="9"/>
    <x v="26"/>
    <x v="26"/>
    <n v="12.258252100785199"/>
    <x v="0"/>
    <x v="0"/>
    <x v="1"/>
    <x v="3"/>
    <x v="3"/>
    <x v="15"/>
    <n v="14.587319999934387"/>
  </r>
  <r>
    <x v="12"/>
    <x v="1"/>
    <x v="0"/>
    <x v="0"/>
    <x v="0"/>
    <x v="0"/>
    <x v="0"/>
    <x v="0"/>
    <x v="0"/>
    <x v="0"/>
    <x v="0"/>
    <x v="0"/>
    <x v="0"/>
    <x v="9"/>
    <x v="9"/>
    <x v="0"/>
    <x v="0"/>
    <n v="1.75288800002191"/>
    <x v="0"/>
    <x v="0"/>
    <x v="0"/>
    <x v="0"/>
    <x v="0"/>
    <x v="0"/>
    <n v="2.0859367200260728"/>
  </r>
  <r>
    <x v="12"/>
    <x v="1"/>
    <x v="0"/>
    <x v="0"/>
    <x v="0"/>
    <x v="0"/>
    <x v="0"/>
    <x v="0"/>
    <x v="0"/>
    <x v="0"/>
    <x v="0"/>
    <x v="0"/>
    <x v="0"/>
    <x v="9"/>
    <x v="9"/>
    <x v="2"/>
    <x v="2"/>
    <n v="22.937218487291702"/>
    <x v="0"/>
    <x v="1"/>
    <x v="2"/>
    <x v="2"/>
    <x v="13"/>
    <x v="2"/>
    <n v="27.295289999877124"/>
  </r>
  <r>
    <x v="12"/>
    <x v="1"/>
    <x v="0"/>
    <x v="0"/>
    <x v="0"/>
    <x v="0"/>
    <x v="0"/>
    <x v="0"/>
    <x v="0"/>
    <x v="0"/>
    <x v="0"/>
    <x v="0"/>
    <x v="2"/>
    <x v="10"/>
    <x v="10"/>
    <x v="6"/>
    <x v="6"/>
    <n v="151.00218000000001"/>
    <x v="0"/>
    <x v="0"/>
    <x v="0"/>
    <x v="0"/>
    <x v="4"/>
    <x v="6"/>
    <n v="179.6925942"/>
  </r>
  <r>
    <x v="12"/>
    <x v="1"/>
    <x v="0"/>
    <x v="0"/>
    <x v="0"/>
    <x v="0"/>
    <x v="0"/>
    <x v="0"/>
    <x v="0"/>
    <x v="0"/>
    <x v="0"/>
    <x v="0"/>
    <x v="2"/>
    <x v="10"/>
    <x v="10"/>
    <x v="7"/>
    <x v="7"/>
    <n v="15.3401764705192"/>
    <x v="0"/>
    <x v="0"/>
    <x v="1"/>
    <x v="4"/>
    <x v="5"/>
    <x v="7"/>
    <n v="18.254809999917846"/>
  </r>
  <r>
    <x v="12"/>
    <x v="1"/>
    <x v="0"/>
    <x v="0"/>
    <x v="0"/>
    <x v="0"/>
    <x v="0"/>
    <x v="0"/>
    <x v="0"/>
    <x v="0"/>
    <x v="0"/>
    <x v="0"/>
    <x v="2"/>
    <x v="10"/>
    <x v="10"/>
    <x v="9"/>
    <x v="9"/>
    <n v="311.05831234930201"/>
    <x v="0"/>
    <x v="0"/>
    <x v="1"/>
    <x v="4"/>
    <x v="5"/>
    <x v="9"/>
    <n v="370.1593916956694"/>
  </r>
  <r>
    <x v="12"/>
    <x v="1"/>
    <x v="0"/>
    <x v="0"/>
    <x v="0"/>
    <x v="0"/>
    <x v="0"/>
    <x v="0"/>
    <x v="0"/>
    <x v="0"/>
    <x v="0"/>
    <x v="0"/>
    <x v="2"/>
    <x v="10"/>
    <x v="10"/>
    <x v="10"/>
    <x v="10"/>
    <n v="16.069992565636198"/>
    <x v="0"/>
    <x v="0"/>
    <x v="1"/>
    <x v="4"/>
    <x v="5"/>
    <x v="10"/>
    <n v="19.123291153107076"/>
  </r>
  <r>
    <x v="12"/>
    <x v="1"/>
    <x v="0"/>
    <x v="0"/>
    <x v="0"/>
    <x v="0"/>
    <x v="0"/>
    <x v="0"/>
    <x v="0"/>
    <x v="0"/>
    <x v="0"/>
    <x v="0"/>
    <x v="2"/>
    <x v="10"/>
    <x v="10"/>
    <x v="11"/>
    <x v="11"/>
    <n v="33.899799999999999"/>
    <x v="0"/>
    <x v="0"/>
    <x v="3"/>
    <x v="5"/>
    <x v="7"/>
    <x v="11"/>
    <n v="40.340761999999998"/>
  </r>
  <r>
    <x v="12"/>
    <x v="1"/>
    <x v="0"/>
    <x v="0"/>
    <x v="0"/>
    <x v="0"/>
    <x v="0"/>
    <x v="0"/>
    <x v="0"/>
    <x v="0"/>
    <x v="0"/>
    <x v="0"/>
    <x v="2"/>
    <x v="10"/>
    <x v="10"/>
    <x v="22"/>
    <x v="22"/>
    <n v="0.30003494623535998"/>
    <x v="0"/>
    <x v="0"/>
    <x v="0"/>
    <x v="0"/>
    <x v="0"/>
    <x v="0"/>
    <n v="0.35704158602007835"/>
  </r>
  <r>
    <x v="12"/>
    <x v="1"/>
    <x v="0"/>
    <x v="0"/>
    <x v="0"/>
    <x v="0"/>
    <x v="0"/>
    <x v="0"/>
    <x v="0"/>
    <x v="0"/>
    <x v="0"/>
    <x v="0"/>
    <x v="2"/>
    <x v="10"/>
    <x v="10"/>
    <x v="36"/>
    <x v="36"/>
    <n v="39.890991596459202"/>
    <x v="0"/>
    <x v="0"/>
    <x v="1"/>
    <x v="3"/>
    <x v="3"/>
    <x v="4"/>
    <n v="47.470279999786449"/>
  </r>
  <r>
    <x v="12"/>
    <x v="1"/>
    <x v="0"/>
    <x v="0"/>
    <x v="0"/>
    <x v="0"/>
    <x v="0"/>
    <x v="0"/>
    <x v="0"/>
    <x v="0"/>
    <x v="0"/>
    <x v="0"/>
    <x v="2"/>
    <x v="10"/>
    <x v="10"/>
    <x v="24"/>
    <x v="24"/>
    <n v="49.721235293893898"/>
    <x v="0"/>
    <x v="0"/>
    <x v="1"/>
    <x v="3"/>
    <x v="3"/>
    <x v="4"/>
    <n v="59.168269999733738"/>
  </r>
  <r>
    <x v="12"/>
    <x v="1"/>
    <x v="0"/>
    <x v="0"/>
    <x v="0"/>
    <x v="0"/>
    <x v="0"/>
    <x v="0"/>
    <x v="0"/>
    <x v="0"/>
    <x v="0"/>
    <x v="0"/>
    <x v="2"/>
    <x v="10"/>
    <x v="10"/>
    <x v="17"/>
    <x v="17"/>
    <n v="34.531750000000002"/>
    <x v="0"/>
    <x v="0"/>
    <x v="0"/>
    <x v="0"/>
    <x v="4"/>
    <x v="17"/>
    <n v="41.092782499999998"/>
  </r>
  <r>
    <x v="12"/>
    <x v="1"/>
    <x v="0"/>
    <x v="0"/>
    <x v="0"/>
    <x v="0"/>
    <x v="0"/>
    <x v="0"/>
    <x v="0"/>
    <x v="0"/>
    <x v="0"/>
    <x v="0"/>
    <x v="2"/>
    <x v="10"/>
    <x v="10"/>
    <x v="21"/>
    <x v="21"/>
    <n v="210.20215966292"/>
    <x v="0"/>
    <x v="0"/>
    <x v="1"/>
    <x v="4"/>
    <x v="5"/>
    <x v="10"/>
    <n v="250.14056999887478"/>
  </r>
  <r>
    <x v="12"/>
    <x v="1"/>
    <x v="0"/>
    <x v="0"/>
    <x v="0"/>
    <x v="0"/>
    <x v="0"/>
    <x v="0"/>
    <x v="0"/>
    <x v="0"/>
    <x v="0"/>
    <x v="0"/>
    <x v="2"/>
    <x v="10"/>
    <x v="10"/>
    <x v="18"/>
    <x v="18"/>
    <n v="52.85172"/>
    <x v="0"/>
    <x v="0"/>
    <x v="0"/>
    <x v="0"/>
    <x v="4"/>
    <x v="18"/>
    <n v="62.893546799999996"/>
  </r>
  <r>
    <x v="12"/>
    <x v="1"/>
    <x v="0"/>
    <x v="0"/>
    <x v="0"/>
    <x v="0"/>
    <x v="0"/>
    <x v="0"/>
    <x v="0"/>
    <x v="0"/>
    <x v="0"/>
    <x v="0"/>
    <x v="2"/>
    <x v="10"/>
    <x v="10"/>
    <x v="34"/>
    <x v="34"/>
    <n v="29.792378198241"/>
    <x v="0"/>
    <x v="0"/>
    <x v="0"/>
    <x v="0"/>
    <x v="0"/>
    <x v="0"/>
    <n v="35.452930055906791"/>
  </r>
  <r>
    <x v="12"/>
    <x v="1"/>
    <x v="0"/>
    <x v="0"/>
    <x v="0"/>
    <x v="0"/>
    <x v="0"/>
    <x v="0"/>
    <x v="0"/>
    <x v="0"/>
    <x v="0"/>
    <x v="0"/>
    <x v="2"/>
    <x v="10"/>
    <x v="10"/>
    <x v="79"/>
    <x v="79"/>
    <n v="2.8873109243567598"/>
    <x v="0"/>
    <x v="0"/>
    <x v="1"/>
    <x v="4"/>
    <x v="5"/>
    <x v="10"/>
    <n v="3.4358999999845441"/>
  </r>
  <r>
    <x v="12"/>
    <x v="1"/>
    <x v="0"/>
    <x v="0"/>
    <x v="0"/>
    <x v="0"/>
    <x v="0"/>
    <x v="0"/>
    <x v="0"/>
    <x v="0"/>
    <x v="0"/>
    <x v="0"/>
    <x v="2"/>
    <x v="10"/>
    <x v="10"/>
    <x v="37"/>
    <x v="37"/>
    <n v="31.006042016667202"/>
    <x v="0"/>
    <x v="0"/>
    <x v="1"/>
    <x v="3"/>
    <x v="3"/>
    <x v="4"/>
    <n v="36.897189999833969"/>
  </r>
  <r>
    <x v="12"/>
    <x v="1"/>
    <x v="0"/>
    <x v="0"/>
    <x v="0"/>
    <x v="0"/>
    <x v="0"/>
    <x v="0"/>
    <x v="0"/>
    <x v="0"/>
    <x v="0"/>
    <x v="0"/>
    <x v="2"/>
    <x v="10"/>
    <x v="10"/>
    <x v="26"/>
    <x v="26"/>
    <n v="21.920781512506402"/>
    <x v="0"/>
    <x v="0"/>
    <x v="1"/>
    <x v="3"/>
    <x v="3"/>
    <x v="15"/>
    <n v="26.085729999882616"/>
  </r>
  <r>
    <x v="12"/>
    <x v="1"/>
    <x v="0"/>
    <x v="0"/>
    <x v="0"/>
    <x v="0"/>
    <x v="0"/>
    <x v="0"/>
    <x v="0"/>
    <x v="0"/>
    <x v="0"/>
    <x v="0"/>
    <x v="2"/>
    <x v="10"/>
    <x v="10"/>
    <x v="0"/>
    <x v="0"/>
    <n v="110.494270223603"/>
    <x v="0"/>
    <x v="0"/>
    <x v="0"/>
    <x v="0"/>
    <x v="0"/>
    <x v="0"/>
    <n v="131.48818156608755"/>
  </r>
  <r>
    <x v="12"/>
    <x v="1"/>
    <x v="0"/>
    <x v="0"/>
    <x v="0"/>
    <x v="0"/>
    <x v="0"/>
    <x v="0"/>
    <x v="0"/>
    <x v="0"/>
    <x v="0"/>
    <x v="0"/>
    <x v="4"/>
    <x v="5"/>
    <x v="5"/>
    <x v="4"/>
    <x v="4"/>
    <n v="6.44139495795421"/>
    <x v="0"/>
    <x v="0"/>
    <x v="1"/>
    <x v="3"/>
    <x v="3"/>
    <x v="4"/>
    <n v="7.6652599999655093"/>
  </r>
  <r>
    <x v="12"/>
    <x v="1"/>
    <x v="0"/>
    <x v="0"/>
    <x v="0"/>
    <x v="0"/>
    <x v="0"/>
    <x v="0"/>
    <x v="0"/>
    <x v="0"/>
    <x v="0"/>
    <x v="0"/>
    <x v="4"/>
    <x v="5"/>
    <x v="5"/>
    <x v="6"/>
    <x v="6"/>
    <n v="1077.9411700000001"/>
    <x v="0"/>
    <x v="0"/>
    <x v="0"/>
    <x v="0"/>
    <x v="4"/>
    <x v="6"/>
    <n v="1282.7499923"/>
  </r>
  <r>
    <x v="12"/>
    <x v="1"/>
    <x v="0"/>
    <x v="0"/>
    <x v="0"/>
    <x v="0"/>
    <x v="0"/>
    <x v="0"/>
    <x v="0"/>
    <x v="0"/>
    <x v="0"/>
    <x v="0"/>
    <x v="4"/>
    <x v="5"/>
    <x v="5"/>
    <x v="7"/>
    <x v="7"/>
    <n v="10.302008403315"/>
    <x v="0"/>
    <x v="0"/>
    <x v="1"/>
    <x v="4"/>
    <x v="5"/>
    <x v="7"/>
    <n v="12.259389999944849"/>
  </r>
  <r>
    <x v="12"/>
    <x v="1"/>
    <x v="0"/>
    <x v="0"/>
    <x v="0"/>
    <x v="0"/>
    <x v="0"/>
    <x v="0"/>
    <x v="0"/>
    <x v="0"/>
    <x v="0"/>
    <x v="0"/>
    <x v="4"/>
    <x v="5"/>
    <x v="5"/>
    <x v="8"/>
    <x v="8"/>
    <n v="1295.39606210688"/>
    <x v="0"/>
    <x v="1"/>
    <x v="2"/>
    <x v="2"/>
    <x v="6"/>
    <x v="8"/>
    <n v="1541.5213139071871"/>
  </r>
  <r>
    <x v="12"/>
    <x v="1"/>
    <x v="0"/>
    <x v="0"/>
    <x v="0"/>
    <x v="0"/>
    <x v="0"/>
    <x v="0"/>
    <x v="0"/>
    <x v="0"/>
    <x v="0"/>
    <x v="0"/>
    <x v="4"/>
    <x v="5"/>
    <x v="5"/>
    <x v="9"/>
    <x v="9"/>
    <n v="1665.7775656957499"/>
    <x v="0"/>
    <x v="0"/>
    <x v="1"/>
    <x v="4"/>
    <x v="5"/>
    <x v="9"/>
    <n v="1982.2753031779423"/>
  </r>
  <r>
    <x v="12"/>
    <x v="1"/>
    <x v="0"/>
    <x v="0"/>
    <x v="0"/>
    <x v="0"/>
    <x v="0"/>
    <x v="0"/>
    <x v="0"/>
    <x v="0"/>
    <x v="0"/>
    <x v="0"/>
    <x v="4"/>
    <x v="5"/>
    <x v="5"/>
    <x v="10"/>
    <x v="10"/>
    <n v="163.73459482113699"/>
    <x v="0"/>
    <x v="0"/>
    <x v="1"/>
    <x v="4"/>
    <x v="5"/>
    <x v="10"/>
    <n v="194.84416783715301"/>
  </r>
  <r>
    <x v="12"/>
    <x v="1"/>
    <x v="0"/>
    <x v="0"/>
    <x v="0"/>
    <x v="0"/>
    <x v="0"/>
    <x v="0"/>
    <x v="0"/>
    <x v="0"/>
    <x v="0"/>
    <x v="0"/>
    <x v="4"/>
    <x v="5"/>
    <x v="5"/>
    <x v="35"/>
    <x v="35"/>
    <n v="438.67"/>
    <x v="0"/>
    <x v="0"/>
    <x v="0"/>
    <x v="0"/>
    <x v="0"/>
    <x v="0"/>
    <n v="522.01729999999998"/>
  </r>
  <r>
    <x v="12"/>
    <x v="1"/>
    <x v="0"/>
    <x v="0"/>
    <x v="0"/>
    <x v="0"/>
    <x v="0"/>
    <x v="0"/>
    <x v="0"/>
    <x v="0"/>
    <x v="0"/>
    <x v="0"/>
    <x v="4"/>
    <x v="5"/>
    <x v="5"/>
    <x v="55"/>
    <x v="55"/>
    <n v="2.8840336134324001"/>
    <x v="0"/>
    <x v="0"/>
    <x v="1"/>
    <x v="3"/>
    <x v="3"/>
    <x v="15"/>
    <n v="3.4319999999845558"/>
  </r>
  <r>
    <x v="12"/>
    <x v="1"/>
    <x v="0"/>
    <x v="0"/>
    <x v="0"/>
    <x v="0"/>
    <x v="0"/>
    <x v="0"/>
    <x v="0"/>
    <x v="0"/>
    <x v="0"/>
    <x v="0"/>
    <x v="4"/>
    <x v="5"/>
    <x v="5"/>
    <x v="88"/>
    <x v="88"/>
    <n v="8.6278571428183195"/>
    <x v="0"/>
    <x v="0"/>
    <x v="1"/>
    <x v="4"/>
    <x v="5"/>
    <x v="9"/>
    <n v="10.2671499999538"/>
  </r>
  <r>
    <x v="12"/>
    <x v="1"/>
    <x v="0"/>
    <x v="0"/>
    <x v="0"/>
    <x v="0"/>
    <x v="0"/>
    <x v="0"/>
    <x v="0"/>
    <x v="0"/>
    <x v="0"/>
    <x v="0"/>
    <x v="4"/>
    <x v="5"/>
    <x v="5"/>
    <x v="12"/>
    <x v="12"/>
    <n v="398.43074999872499"/>
    <x v="0"/>
    <x v="0"/>
    <x v="0"/>
    <x v="0"/>
    <x v="8"/>
    <x v="12"/>
    <n v="474.13259249848272"/>
  </r>
  <r>
    <x v="12"/>
    <x v="1"/>
    <x v="0"/>
    <x v="0"/>
    <x v="0"/>
    <x v="0"/>
    <x v="0"/>
    <x v="0"/>
    <x v="0"/>
    <x v="0"/>
    <x v="0"/>
    <x v="0"/>
    <x v="4"/>
    <x v="5"/>
    <x v="5"/>
    <x v="14"/>
    <x v="14"/>
    <n v="885.08407999999997"/>
    <x v="0"/>
    <x v="0"/>
    <x v="0"/>
    <x v="0"/>
    <x v="8"/>
    <x v="14"/>
    <n v="1053.2500551999999"/>
  </r>
  <r>
    <x v="12"/>
    <x v="1"/>
    <x v="0"/>
    <x v="0"/>
    <x v="0"/>
    <x v="0"/>
    <x v="0"/>
    <x v="0"/>
    <x v="0"/>
    <x v="0"/>
    <x v="0"/>
    <x v="0"/>
    <x v="4"/>
    <x v="5"/>
    <x v="5"/>
    <x v="22"/>
    <x v="22"/>
    <n v="19.776002688092898"/>
    <x v="0"/>
    <x v="0"/>
    <x v="0"/>
    <x v="0"/>
    <x v="0"/>
    <x v="0"/>
    <n v="23.533443198830547"/>
  </r>
  <r>
    <x v="12"/>
    <x v="1"/>
    <x v="0"/>
    <x v="0"/>
    <x v="0"/>
    <x v="0"/>
    <x v="0"/>
    <x v="0"/>
    <x v="0"/>
    <x v="0"/>
    <x v="0"/>
    <x v="0"/>
    <x v="4"/>
    <x v="5"/>
    <x v="5"/>
    <x v="33"/>
    <x v="33"/>
    <n v="5.2303613445142796"/>
    <x v="0"/>
    <x v="0"/>
    <x v="1"/>
    <x v="3"/>
    <x v="3"/>
    <x v="4"/>
    <n v="6.2241299999719928"/>
  </r>
  <r>
    <x v="12"/>
    <x v="1"/>
    <x v="0"/>
    <x v="0"/>
    <x v="0"/>
    <x v="0"/>
    <x v="0"/>
    <x v="0"/>
    <x v="0"/>
    <x v="0"/>
    <x v="0"/>
    <x v="0"/>
    <x v="4"/>
    <x v="5"/>
    <x v="5"/>
    <x v="36"/>
    <x v="36"/>
    <n v="155.09075630182301"/>
    <x v="0"/>
    <x v="0"/>
    <x v="1"/>
    <x v="3"/>
    <x v="3"/>
    <x v="4"/>
    <n v="184.55799999916937"/>
  </r>
  <r>
    <x v="12"/>
    <x v="1"/>
    <x v="0"/>
    <x v="0"/>
    <x v="0"/>
    <x v="0"/>
    <x v="0"/>
    <x v="0"/>
    <x v="0"/>
    <x v="0"/>
    <x v="0"/>
    <x v="0"/>
    <x v="4"/>
    <x v="5"/>
    <x v="5"/>
    <x v="23"/>
    <x v="23"/>
    <n v="0.72396638655136003"/>
    <x v="0"/>
    <x v="0"/>
    <x v="1"/>
    <x v="3"/>
    <x v="3"/>
    <x v="15"/>
    <n v="0.86151999999611839"/>
  </r>
  <r>
    <x v="12"/>
    <x v="1"/>
    <x v="0"/>
    <x v="0"/>
    <x v="0"/>
    <x v="0"/>
    <x v="0"/>
    <x v="0"/>
    <x v="0"/>
    <x v="0"/>
    <x v="0"/>
    <x v="0"/>
    <x v="4"/>
    <x v="5"/>
    <x v="5"/>
    <x v="24"/>
    <x v="24"/>
    <n v="78.1523361341021"/>
    <x v="0"/>
    <x v="0"/>
    <x v="1"/>
    <x v="3"/>
    <x v="3"/>
    <x v="4"/>
    <n v="93.001279999581499"/>
  </r>
  <r>
    <x v="12"/>
    <x v="1"/>
    <x v="0"/>
    <x v="0"/>
    <x v="0"/>
    <x v="0"/>
    <x v="0"/>
    <x v="0"/>
    <x v="0"/>
    <x v="0"/>
    <x v="0"/>
    <x v="0"/>
    <x v="4"/>
    <x v="5"/>
    <x v="5"/>
    <x v="17"/>
    <x v="17"/>
    <n v="209.45456999999999"/>
    <x v="0"/>
    <x v="0"/>
    <x v="0"/>
    <x v="0"/>
    <x v="4"/>
    <x v="17"/>
    <n v="249.25093829999997"/>
  </r>
  <r>
    <x v="12"/>
    <x v="1"/>
    <x v="0"/>
    <x v="0"/>
    <x v="0"/>
    <x v="0"/>
    <x v="0"/>
    <x v="0"/>
    <x v="0"/>
    <x v="0"/>
    <x v="0"/>
    <x v="0"/>
    <x v="4"/>
    <x v="5"/>
    <x v="5"/>
    <x v="18"/>
    <x v="18"/>
    <n v="629.72244000000001"/>
    <x v="0"/>
    <x v="0"/>
    <x v="0"/>
    <x v="0"/>
    <x v="4"/>
    <x v="18"/>
    <n v="749.36970359999998"/>
  </r>
  <r>
    <x v="12"/>
    <x v="1"/>
    <x v="0"/>
    <x v="0"/>
    <x v="0"/>
    <x v="0"/>
    <x v="0"/>
    <x v="0"/>
    <x v="0"/>
    <x v="0"/>
    <x v="0"/>
    <x v="0"/>
    <x v="4"/>
    <x v="5"/>
    <x v="5"/>
    <x v="34"/>
    <x v="34"/>
    <n v="120.701301397341"/>
    <x v="0"/>
    <x v="0"/>
    <x v="0"/>
    <x v="0"/>
    <x v="0"/>
    <x v="0"/>
    <n v="143.63454866283578"/>
  </r>
  <r>
    <x v="12"/>
    <x v="1"/>
    <x v="0"/>
    <x v="0"/>
    <x v="0"/>
    <x v="0"/>
    <x v="0"/>
    <x v="0"/>
    <x v="0"/>
    <x v="0"/>
    <x v="0"/>
    <x v="0"/>
    <x v="4"/>
    <x v="5"/>
    <x v="5"/>
    <x v="25"/>
    <x v="25"/>
    <n v="70.660638655144197"/>
    <x v="0"/>
    <x v="0"/>
    <x v="1"/>
    <x v="4"/>
    <x v="5"/>
    <x v="9"/>
    <n v="84.086159999621586"/>
  </r>
  <r>
    <x v="12"/>
    <x v="1"/>
    <x v="0"/>
    <x v="0"/>
    <x v="0"/>
    <x v="0"/>
    <x v="0"/>
    <x v="0"/>
    <x v="0"/>
    <x v="0"/>
    <x v="0"/>
    <x v="0"/>
    <x v="4"/>
    <x v="5"/>
    <x v="5"/>
    <x v="37"/>
    <x v="37"/>
    <n v="113.77198319276501"/>
    <x v="0"/>
    <x v="0"/>
    <x v="1"/>
    <x v="3"/>
    <x v="3"/>
    <x v="4"/>
    <n v="135.38865999939034"/>
  </r>
  <r>
    <x v="12"/>
    <x v="1"/>
    <x v="0"/>
    <x v="0"/>
    <x v="0"/>
    <x v="0"/>
    <x v="0"/>
    <x v="0"/>
    <x v="0"/>
    <x v="0"/>
    <x v="0"/>
    <x v="0"/>
    <x v="4"/>
    <x v="5"/>
    <x v="5"/>
    <x v="27"/>
    <x v="27"/>
    <n v="95.360627004338596"/>
    <x v="0"/>
    <x v="0"/>
    <x v="1"/>
    <x v="3"/>
    <x v="3"/>
    <x v="19"/>
    <n v="113.47914613516292"/>
  </r>
  <r>
    <x v="12"/>
    <x v="1"/>
    <x v="0"/>
    <x v="0"/>
    <x v="0"/>
    <x v="0"/>
    <x v="0"/>
    <x v="0"/>
    <x v="0"/>
    <x v="0"/>
    <x v="0"/>
    <x v="0"/>
    <x v="4"/>
    <x v="5"/>
    <x v="5"/>
    <x v="26"/>
    <x v="26"/>
    <n v="7.9607563024851897"/>
    <x v="0"/>
    <x v="0"/>
    <x v="1"/>
    <x v="3"/>
    <x v="3"/>
    <x v="15"/>
    <n v="9.4732999999573746"/>
  </r>
  <r>
    <x v="12"/>
    <x v="1"/>
    <x v="0"/>
    <x v="0"/>
    <x v="0"/>
    <x v="0"/>
    <x v="0"/>
    <x v="0"/>
    <x v="0"/>
    <x v="0"/>
    <x v="0"/>
    <x v="0"/>
    <x v="4"/>
    <x v="5"/>
    <x v="5"/>
    <x v="0"/>
    <x v="0"/>
    <n v="250.02491822534799"/>
    <x v="0"/>
    <x v="0"/>
    <x v="0"/>
    <x v="0"/>
    <x v="0"/>
    <x v="0"/>
    <n v="297.52965268816411"/>
  </r>
  <r>
    <x v="12"/>
    <x v="1"/>
    <x v="0"/>
    <x v="0"/>
    <x v="0"/>
    <x v="0"/>
    <x v="0"/>
    <x v="0"/>
    <x v="0"/>
    <x v="0"/>
    <x v="0"/>
    <x v="0"/>
    <x v="4"/>
    <x v="5"/>
    <x v="5"/>
    <x v="2"/>
    <x v="2"/>
    <n v="6173.7979999722202"/>
    <x v="0"/>
    <x v="1"/>
    <x v="2"/>
    <x v="2"/>
    <x v="13"/>
    <x v="2"/>
    <n v="7346.8196199669419"/>
  </r>
  <r>
    <x v="12"/>
    <x v="1"/>
    <x v="0"/>
    <x v="0"/>
    <x v="0"/>
    <x v="0"/>
    <x v="0"/>
    <x v="0"/>
    <x v="0"/>
    <x v="0"/>
    <x v="0"/>
    <x v="0"/>
    <x v="4"/>
    <x v="5"/>
    <x v="5"/>
    <x v="3"/>
    <x v="3"/>
    <n v="15.7913719635338"/>
    <x v="0"/>
    <x v="0"/>
    <x v="1"/>
    <x v="3"/>
    <x v="3"/>
    <x v="3"/>
    <n v="18.791732636605222"/>
  </r>
  <r>
    <x v="12"/>
    <x v="1"/>
    <x v="0"/>
    <x v="0"/>
    <x v="0"/>
    <x v="0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1771361"/>
  </r>
  <r>
    <x v="12"/>
    <x v="1"/>
    <x v="0"/>
    <x v="0"/>
    <x v="0"/>
    <x v="0"/>
    <x v="0"/>
    <x v="0"/>
    <x v="0"/>
    <x v="0"/>
    <x v="3"/>
    <x v="3"/>
    <x v="2"/>
    <x v="2"/>
    <x v="2"/>
    <x v="5"/>
    <x v="5"/>
    <n v="3.2053259668780698"/>
    <x v="0"/>
    <x v="0"/>
    <x v="1"/>
    <x v="1"/>
    <x v="1"/>
    <x v="5"/>
    <n v="3.8143379005849027"/>
  </r>
  <r>
    <x v="12"/>
    <x v="1"/>
    <x v="0"/>
    <x v="0"/>
    <x v="0"/>
    <x v="0"/>
    <x v="0"/>
    <x v="0"/>
    <x v="0"/>
    <x v="0"/>
    <x v="3"/>
    <x v="3"/>
    <x v="2"/>
    <x v="2"/>
    <x v="2"/>
    <x v="6"/>
    <x v="6"/>
    <n v="55.430309999999999"/>
    <x v="0"/>
    <x v="0"/>
    <x v="0"/>
    <x v="0"/>
    <x v="4"/>
    <x v="6"/>
    <n v="65.962068899999991"/>
  </r>
  <r>
    <x v="12"/>
    <x v="1"/>
    <x v="0"/>
    <x v="0"/>
    <x v="0"/>
    <x v="0"/>
    <x v="0"/>
    <x v="0"/>
    <x v="0"/>
    <x v="0"/>
    <x v="3"/>
    <x v="3"/>
    <x v="2"/>
    <x v="2"/>
    <x v="2"/>
    <x v="8"/>
    <x v="8"/>
    <n v="88.652670807116493"/>
    <x v="0"/>
    <x v="1"/>
    <x v="2"/>
    <x v="2"/>
    <x v="6"/>
    <x v="8"/>
    <n v="105.49667826046863"/>
  </r>
  <r>
    <x v="12"/>
    <x v="1"/>
    <x v="0"/>
    <x v="0"/>
    <x v="0"/>
    <x v="0"/>
    <x v="0"/>
    <x v="0"/>
    <x v="0"/>
    <x v="0"/>
    <x v="3"/>
    <x v="3"/>
    <x v="2"/>
    <x v="2"/>
    <x v="2"/>
    <x v="9"/>
    <x v="9"/>
    <n v="3.138655462171E-2"/>
    <x v="0"/>
    <x v="0"/>
    <x v="1"/>
    <x v="4"/>
    <x v="5"/>
    <x v="9"/>
    <n v="3.7349999999834897E-2"/>
  </r>
  <r>
    <x v="12"/>
    <x v="1"/>
    <x v="0"/>
    <x v="0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6.0496743999999998"/>
  </r>
  <r>
    <x v="12"/>
    <x v="1"/>
    <x v="0"/>
    <x v="0"/>
    <x v="0"/>
    <x v="0"/>
    <x v="0"/>
    <x v="0"/>
    <x v="0"/>
    <x v="0"/>
    <x v="3"/>
    <x v="3"/>
    <x v="2"/>
    <x v="2"/>
    <x v="2"/>
    <x v="16"/>
    <x v="16"/>
    <n v="26.1097"/>
    <x v="0"/>
    <x v="0"/>
    <x v="3"/>
    <x v="5"/>
    <x v="9"/>
    <x v="16"/>
    <n v="31.070542999999997"/>
  </r>
  <r>
    <x v="12"/>
    <x v="1"/>
    <x v="0"/>
    <x v="0"/>
    <x v="0"/>
    <x v="0"/>
    <x v="0"/>
    <x v="0"/>
    <x v="0"/>
    <x v="0"/>
    <x v="3"/>
    <x v="3"/>
    <x v="2"/>
    <x v="2"/>
    <x v="2"/>
    <x v="17"/>
    <x v="17"/>
    <n v="3.5150700000000001"/>
    <x v="0"/>
    <x v="0"/>
    <x v="0"/>
    <x v="0"/>
    <x v="4"/>
    <x v="17"/>
    <n v="4.1829333000000002"/>
  </r>
  <r>
    <x v="12"/>
    <x v="1"/>
    <x v="0"/>
    <x v="0"/>
    <x v="0"/>
    <x v="0"/>
    <x v="0"/>
    <x v="0"/>
    <x v="0"/>
    <x v="0"/>
    <x v="3"/>
    <x v="3"/>
    <x v="2"/>
    <x v="2"/>
    <x v="2"/>
    <x v="2"/>
    <x v="2"/>
    <n v="0.25473949579716998"/>
    <x v="0"/>
    <x v="1"/>
    <x v="2"/>
    <x v="2"/>
    <x v="13"/>
    <x v="2"/>
    <n v="0.30313999999863228"/>
  </r>
  <r>
    <x v="12"/>
    <x v="1"/>
    <x v="0"/>
    <x v="0"/>
    <x v="0"/>
    <x v="0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106.3223112"/>
  </r>
  <r>
    <x v="12"/>
    <x v="1"/>
    <x v="0"/>
    <x v="0"/>
    <x v="0"/>
    <x v="0"/>
    <x v="0"/>
    <x v="0"/>
    <x v="0"/>
    <x v="0"/>
    <x v="3"/>
    <x v="3"/>
    <x v="4"/>
    <x v="5"/>
    <x v="5"/>
    <x v="8"/>
    <x v="8"/>
    <n v="35.014751552661998"/>
    <x v="0"/>
    <x v="1"/>
    <x v="2"/>
    <x v="2"/>
    <x v="6"/>
    <x v="8"/>
    <n v="41.667554347667775"/>
  </r>
  <r>
    <x v="12"/>
    <x v="1"/>
    <x v="0"/>
    <x v="0"/>
    <x v="0"/>
    <x v="0"/>
    <x v="0"/>
    <x v="0"/>
    <x v="0"/>
    <x v="0"/>
    <x v="3"/>
    <x v="3"/>
    <x v="4"/>
    <x v="5"/>
    <x v="5"/>
    <x v="12"/>
    <x v="12"/>
    <n v="42.453386363500499"/>
    <x v="0"/>
    <x v="0"/>
    <x v="0"/>
    <x v="0"/>
    <x v="8"/>
    <x v="12"/>
    <n v="50.519529772565591"/>
  </r>
  <r>
    <x v="12"/>
    <x v="1"/>
    <x v="0"/>
    <x v="0"/>
    <x v="0"/>
    <x v="0"/>
    <x v="0"/>
    <x v="0"/>
    <x v="0"/>
    <x v="0"/>
    <x v="3"/>
    <x v="3"/>
    <x v="4"/>
    <x v="5"/>
    <x v="5"/>
    <x v="18"/>
    <x v="18"/>
    <n v="8.0315799999999999"/>
    <x v="0"/>
    <x v="0"/>
    <x v="0"/>
    <x v="0"/>
    <x v="4"/>
    <x v="18"/>
    <n v="9.5575802000000003"/>
  </r>
  <r>
    <x v="12"/>
    <x v="1"/>
    <x v="0"/>
    <x v="0"/>
    <x v="0"/>
    <x v="0"/>
    <x v="0"/>
    <x v="0"/>
    <x v="0"/>
    <x v="0"/>
    <x v="3"/>
    <x v="3"/>
    <x v="4"/>
    <x v="5"/>
    <x v="5"/>
    <x v="27"/>
    <x v="27"/>
    <n v="2.6086750572643198"/>
    <x v="0"/>
    <x v="0"/>
    <x v="1"/>
    <x v="3"/>
    <x v="3"/>
    <x v="19"/>
    <n v="3.1043233181445404"/>
  </r>
  <r>
    <x v="12"/>
    <x v="1"/>
    <x v="0"/>
    <x v="0"/>
    <x v="0"/>
    <x v="0"/>
    <x v="0"/>
    <x v="0"/>
    <x v="0"/>
    <x v="0"/>
    <x v="3"/>
    <x v="3"/>
    <x v="4"/>
    <x v="5"/>
    <x v="5"/>
    <x v="0"/>
    <x v="0"/>
    <n v="1.40444444446E-3"/>
    <x v="0"/>
    <x v="0"/>
    <x v="0"/>
    <x v="0"/>
    <x v="0"/>
    <x v="0"/>
    <n v="1.6712888889073999E-3"/>
  </r>
  <r>
    <x v="12"/>
    <x v="1"/>
    <x v="0"/>
    <x v="0"/>
    <x v="0"/>
    <x v="0"/>
    <x v="0"/>
    <x v="0"/>
    <x v="0"/>
    <x v="0"/>
    <x v="3"/>
    <x v="3"/>
    <x v="4"/>
    <x v="5"/>
    <x v="5"/>
    <x v="2"/>
    <x v="2"/>
    <n v="3.37006722687559"/>
    <x v="0"/>
    <x v="1"/>
    <x v="2"/>
    <x v="2"/>
    <x v="13"/>
    <x v="2"/>
    <n v="4.0103799999819518"/>
  </r>
  <r>
    <x v="12"/>
    <x v="1"/>
    <x v="0"/>
    <x v="0"/>
    <x v="0"/>
    <x v="0"/>
    <x v="0"/>
    <x v="0"/>
    <x v="0"/>
    <x v="0"/>
    <x v="4"/>
    <x v="4"/>
    <x v="2"/>
    <x v="2"/>
    <x v="2"/>
    <x v="6"/>
    <x v="6"/>
    <n v="1.93225"/>
    <x v="0"/>
    <x v="0"/>
    <x v="0"/>
    <x v="0"/>
    <x v="4"/>
    <x v="6"/>
    <n v="2.2993774999999999"/>
  </r>
  <r>
    <x v="12"/>
    <x v="1"/>
    <x v="0"/>
    <x v="0"/>
    <x v="0"/>
    <x v="0"/>
    <x v="0"/>
    <x v="0"/>
    <x v="0"/>
    <x v="0"/>
    <x v="4"/>
    <x v="4"/>
    <x v="2"/>
    <x v="2"/>
    <x v="2"/>
    <x v="7"/>
    <x v="7"/>
    <n v="0.47515966386341002"/>
    <x v="0"/>
    <x v="0"/>
    <x v="1"/>
    <x v="4"/>
    <x v="5"/>
    <x v="7"/>
    <n v="0.56543999999745786"/>
  </r>
  <r>
    <x v="12"/>
    <x v="1"/>
    <x v="0"/>
    <x v="0"/>
    <x v="0"/>
    <x v="0"/>
    <x v="0"/>
    <x v="0"/>
    <x v="0"/>
    <x v="0"/>
    <x v="4"/>
    <x v="4"/>
    <x v="2"/>
    <x v="2"/>
    <x v="2"/>
    <x v="8"/>
    <x v="8"/>
    <n v="0.23657142857053001"/>
    <x v="0"/>
    <x v="1"/>
    <x v="2"/>
    <x v="2"/>
    <x v="6"/>
    <x v="8"/>
    <n v="0.28151999999893068"/>
  </r>
  <r>
    <x v="12"/>
    <x v="1"/>
    <x v="0"/>
    <x v="0"/>
    <x v="0"/>
    <x v="0"/>
    <x v="0"/>
    <x v="0"/>
    <x v="0"/>
    <x v="0"/>
    <x v="4"/>
    <x v="4"/>
    <x v="2"/>
    <x v="2"/>
    <x v="2"/>
    <x v="9"/>
    <x v="9"/>
    <n v="0.4967226890734"/>
    <x v="0"/>
    <x v="0"/>
    <x v="1"/>
    <x v="4"/>
    <x v="5"/>
    <x v="9"/>
    <n v="0.59109999999734597"/>
  </r>
  <r>
    <x v="12"/>
    <x v="1"/>
    <x v="0"/>
    <x v="0"/>
    <x v="0"/>
    <x v="0"/>
    <x v="0"/>
    <x v="0"/>
    <x v="0"/>
    <x v="0"/>
    <x v="4"/>
    <x v="4"/>
    <x v="2"/>
    <x v="2"/>
    <x v="2"/>
    <x v="29"/>
    <x v="29"/>
    <n v="1.01325"/>
    <x v="0"/>
    <x v="0"/>
    <x v="1"/>
    <x v="3"/>
    <x v="3"/>
    <x v="13"/>
    <n v="1.2057674999999999"/>
  </r>
  <r>
    <x v="12"/>
    <x v="1"/>
    <x v="0"/>
    <x v="0"/>
    <x v="0"/>
    <x v="0"/>
    <x v="0"/>
    <x v="0"/>
    <x v="0"/>
    <x v="0"/>
    <x v="4"/>
    <x v="4"/>
    <x v="2"/>
    <x v="2"/>
    <x v="2"/>
    <x v="11"/>
    <x v="11"/>
    <n v="1.31118"/>
    <x v="0"/>
    <x v="0"/>
    <x v="3"/>
    <x v="5"/>
    <x v="7"/>
    <x v="11"/>
    <n v="1.5603042"/>
  </r>
  <r>
    <x v="12"/>
    <x v="1"/>
    <x v="0"/>
    <x v="0"/>
    <x v="0"/>
    <x v="0"/>
    <x v="0"/>
    <x v="0"/>
    <x v="0"/>
    <x v="0"/>
    <x v="4"/>
    <x v="4"/>
    <x v="2"/>
    <x v="2"/>
    <x v="2"/>
    <x v="12"/>
    <x v="12"/>
    <n v="0.74999999999760003"/>
    <x v="0"/>
    <x v="0"/>
    <x v="0"/>
    <x v="0"/>
    <x v="8"/>
    <x v="12"/>
    <n v="0.89249999999714402"/>
  </r>
  <r>
    <x v="12"/>
    <x v="1"/>
    <x v="0"/>
    <x v="0"/>
    <x v="0"/>
    <x v="0"/>
    <x v="0"/>
    <x v="0"/>
    <x v="0"/>
    <x v="0"/>
    <x v="4"/>
    <x v="4"/>
    <x v="2"/>
    <x v="2"/>
    <x v="2"/>
    <x v="14"/>
    <x v="14"/>
    <n v="0.50083999999999995"/>
    <x v="0"/>
    <x v="0"/>
    <x v="0"/>
    <x v="0"/>
    <x v="8"/>
    <x v="14"/>
    <n v="0.59599959999999996"/>
  </r>
  <r>
    <x v="12"/>
    <x v="1"/>
    <x v="0"/>
    <x v="0"/>
    <x v="0"/>
    <x v="0"/>
    <x v="0"/>
    <x v="0"/>
    <x v="0"/>
    <x v="0"/>
    <x v="4"/>
    <x v="4"/>
    <x v="2"/>
    <x v="2"/>
    <x v="2"/>
    <x v="16"/>
    <x v="16"/>
    <n v="10.561170000000001"/>
    <x v="0"/>
    <x v="0"/>
    <x v="3"/>
    <x v="5"/>
    <x v="9"/>
    <x v="16"/>
    <n v="12.567792300000001"/>
  </r>
  <r>
    <x v="12"/>
    <x v="1"/>
    <x v="0"/>
    <x v="0"/>
    <x v="0"/>
    <x v="0"/>
    <x v="0"/>
    <x v="0"/>
    <x v="0"/>
    <x v="0"/>
    <x v="4"/>
    <x v="4"/>
    <x v="2"/>
    <x v="2"/>
    <x v="2"/>
    <x v="25"/>
    <x v="25"/>
    <n v="0.18462184873866999"/>
    <x v="0"/>
    <x v="0"/>
    <x v="1"/>
    <x v="4"/>
    <x v="5"/>
    <x v="9"/>
    <n v="0.21969999999901729"/>
  </r>
  <r>
    <x v="12"/>
    <x v="1"/>
    <x v="0"/>
    <x v="0"/>
    <x v="0"/>
    <x v="0"/>
    <x v="0"/>
    <x v="0"/>
    <x v="0"/>
    <x v="0"/>
    <x v="4"/>
    <x v="4"/>
    <x v="2"/>
    <x v="2"/>
    <x v="2"/>
    <x v="27"/>
    <x v="27"/>
    <n v="10.510066361782"/>
    <x v="0"/>
    <x v="0"/>
    <x v="1"/>
    <x v="3"/>
    <x v="3"/>
    <x v="19"/>
    <n v="12.50697897052058"/>
  </r>
  <r>
    <x v="12"/>
    <x v="1"/>
    <x v="0"/>
    <x v="0"/>
    <x v="0"/>
    <x v="0"/>
    <x v="0"/>
    <x v="0"/>
    <x v="2"/>
    <x v="2"/>
    <x v="5"/>
    <x v="5"/>
    <x v="2"/>
    <x v="2"/>
    <x v="2"/>
    <x v="42"/>
    <x v="42"/>
    <n v="2.8409599999999999"/>
    <x v="1"/>
    <x v="2"/>
    <x v="5"/>
    <x v="7"/>
    <x v="11"/>
    <x v="22"/>
    <n v="3.3807423999999999"/>
  </r>
  <r>
    <x v="12"/>
    <x v="1"/>
    <x v="0"/>
    <x v="0"/>
    <x v="0"/>
    <x v="0"/>
    <x v="0"/>
    <x v="0"/>
    <x v="2"/>
    <x v="2"/>
    <x v="5"/>
    <x v="5"/>
    <x v="2"/>
    <x v="2"/>
    <x v="2"/>
    <x v="41"/>
    <x v="41"/>
    <n v="0.61923076923014997"/>
    <x v="1"/>
    <x v="2"/>
    <x v="5"/>
    <x v="7"/>
    <x v="11"/>
    <x v="22"/>
    <n v="0.73688461538387839"/>
  </r>
  <r>
    <x v="12"/>
    <x v="1"/>
    <x v="0"/>
    <x v="0"/>
    <x v="0"/>
    <x v="0"/>
    <x v="0"/>
    <x v="0"/>
    <x v="2"/>
    <x v="2"/>
    <x v="5"/>
    <x v="5"/>
    <x v="2"/>
    <x v="2"/>
    <x v="2"/>
    <x v="40"/>
    <x v="40"/>
    <n v="54.136119999999998"/>
    <x v="1"/>
    <x v="2"/>
    <x v="5"/>
    <x v="7"/>
    <x v="11"/>
    <x v="22"/>
    <n v="64.421982799999995"/>
  </r>
  <r>
    <x v="12"/>
    <x v="1"/>
    <x v="0"/>
    <x v="0"/>
    <x v="0"/>
    <x v="0"/>
    <x v="0"/>
    <x v="0"/>
    <x v="0"/>
    <x v="0"/>
    <x v="5"/>
    <x v="5"/>
    <x v="2"/>
    <x v="2"/>
    <x v="2"/>
    <x v="17"/>
    <x v="17"/>
    <n v="2.47986"/>
    <x v="0"/>
    <x v="0"/>
    <x v="0"/>
    <x v="0"/>
    <x v="4"/>
    <x v="17"/>
    <n v="2.9510334"/>
  </r>
  <r>
    <x v="12"/>
    <x v="1"/>
    <x v="0"/>
    <x v="0"/>
    <x v="0"/>
    <x v="0"/>
    <x v="0"/>
    <x v="0"/>
    <x v="2"/>
    <x v="2"/>
    <x v="5"/>
    <x v="5"/>
    <x v="1"/>
    <x v="6"/>
    <x v="6"/>
    <x v="40"/>
    <x v="40"/>
    <n v="33"/>
    <x v="1"/>
    <x v="2"/>
    <x v="5"/>
    <x v="7"/>
    <x v="11"/>
    <x v="22"/>
    <n v="39.269999999999996"/>
  </r>
  <r>
    <x v="12"/>
    <x v="1"/>
    <x v="0"/>
    <x v="0"/>
    <x v="0"/>
    <x v="0"/>
    <x v="0"/>
    <x v="0"/>
    <x v="2"/>
    <x v="2"/>
    <x v="5"/>
    <x v="5"/>
    <x v="3"/>
    <x v="7"/>
    <x v="7"/>
    <x v="40"/>
    <x v="40"/>
    <n v="10.037520000000001"/>
    <x v="1"/>
    <x v="2"/>
    <x v="5"/>
    <x v="7"/>
    <x v="11"/>
    <x v="22"/>
    <n v="11.9446488"/>
  </r>
  <r>
    <x v="12"/>
    <x v="1"/>
    <x v="0"/>
    <x v="0"/>
    <x v="0"/>
    <x v="0"/>
    <x v="0"/>
    <x v="0"/>
    <x v="2"/>
    <x v="2"/>
    <x v="5"/>
    <x v="5"/>
    <x v="1"/>
    <x v="8"/>
    <x v="8"/>
    <x v="40"/>
    <x v="40"/>
    <n v="7.2168000000000001"/>
    <x v="1"/>
    <x v="2"/>
    <x v="5"/>
    <x v="7"/>
    <x v="11"/>
    <x v="22"/>
    <n v="8.5879919999999998"/>
  </r>
  <r>
    <x v="12"/>
    <x v="1"/>
    <x v="0"/>
    <x v="0"/>
    <x v="0"/>
    <x v="0"/>
    <x v="0"/>
    <x v="0"/>
    <x v="2"/>
    <x v="2"/>
    <x v="5"/>
    <x v="5"/>
    <x v="2"/>
    <x v="10"/>
    <x v="10"/>
    <x v="40"/>
    <x v="40"/>
    <n v="1.6257600000000001"/>
    <x v="1"/>
    <x v="2"/>
    <x v="5"/>
    <x v="7"/>
    <x v="11"/>
    <x v="22"/>
    <n v="1.9346544000000001"/>
  </r>
  <r>
    <x v="12"/>
    <x v="1"/>
    <x v="0"/>
    <x v="0"/>
    <x v="0"/>
    <x v="0"/>
    <x v="0"/>
    <x v="0"/>
    <x v="2"/>
    <x v="2"/>
    <x v="5"/>
    <x v="5"/>
    <x v="4"/>
    <x v="5"/>
    <x v="5"/>
    <x v="40"/>
    <x v="40"/>
    <n v="244.48643999999999"/>
    <x v="1"/>
    <x v="2"/>
    <x v="5"/>
    <x v="7"/>
    <x v="11"/>
    <x v="22"/>
    <n v="290.93886359999999"/>
  </r>
  <r>
    <x v="12"/>
    <x v="1"/>
    <x v="0"/>
    <x v="0"/>
    <x v="0"/>
    <x v="0"/>
    <x v="0"/>
    <x v="0"/>
    <x v="2"/>
    <x v="2"/>
    <x v="6"/>
    <x v="6"/>
    <x v="2"/>
    <x v="2"/>
    <x v="2"/>
    <x v="40"/>
    <x v="40"/>
    <n v="1.12792"/>
    <x v="1"/>
    <x v="2"/>
    <x v="5"/>
    <x v="7"/>
    <x v="11"/>
    <x v="22"/>
    <n v="1.3422247999999999"/>
  </r>
  <r>
    <x v="12"/>
    <x v="1"/>
    <x v="0"/>
    <x v="0"/>
    <x v="0"/>
    <x v="0"/>
    <x v="0"/>
    <x v="0"/>
    <x v="2"/>
    <x v="2"/>
    <x v="7"/>
    <x v="7"/>
    <x v="2"/>
    <x v="2"/>
    <x v="2"/>
    <x v="40"/>
    <x v="40"/>
    <n v="20.46528"/>
    <x v="1"/>
    <x v="2"/>
    <x v="5"/>
    <x v="7"/>
    <x v="11"/>
    <x v="22"/>
    <n v="24.353683199999999"/>
  </r>
  <r>
    <x v="12"/>
    <x v="1"/>
    <x v="0"/>
    <x v="0"/>
    <x v="0"/>
    <x v="0"/>
    <x v="0"/>
    <x v="0"/>
    <x v="2"/>
    <x v="2"/>
    <x v="7"/>
    <x v="7"/>
    <x v="2"/>
    <x v="2"/>
    <x v="2"/>
    <x v="38"/>
    <x v="38"/>
    <n v="2.8432599999999999"/>
    <x v="1"/>
    <x v="0"/>
    <x v="4"/>
    <x v="6"/>
    <x v="10"/>
    <x v="21"/>
    <n v="3.3834793999999997"/>
  </r>
  <r>
    <x v="12"/>
    <x v="1"/>
    <x v="0"/>
    <x v="0"/>
    <x v="0"/>
    <x v="0"/>
    <x v="0"/>
    <x v="0"/>
    <x v="2"/>
    <x v="2"/>
    <x v="7"/>
    <x v="7"/>
    <x v="2"/>
    <x v="2"/>
    <x v="2"/>
    <x v="46"/>
    <x v="46"/>
    <n v="1.3937999999999999"/>
    <x v="1"/>
    <x v="0"/>
    <x v="4"/>
    <x v="6"/>
    <x v="10"/>
    <x v="21"/>
    <n v="1.6586219999999998"/>
  </r>
  <r>
    <x v="12"/>
    <x v="1"/>
    <x v="0"/>
    <x v="0"/>
    <x v="0"/>
    <x v="0"/>
    <x v="0"/>
    <x v="0"/>
    <x v="2"/>
    <x v="2"/>
    <x v="7"/>
    <x v="7"/>
    <x v="3"/>
    <x v="7"/>
    <x v="7"/>
    <x v="40"/>
    <x v="40"/>
    <n v="264.69288"/>
    <x v="1"/>
    <x v="2"/>
    <x v="5"/>
    <x v="7"/>
    <x v="11"/>
    <x v="22"/>
    <n v="314.9845272"/>
  </r>
  <r>
    <x v="12"/>
    <x v="1"/>
    <x v="0"/>
    <x v="0"/>
    <x v="0"/>
    <x v="0"/>
    <x v="0"/>
    <x v="0"/>
    <x v="2"/>
    <x v="2"/>
    <x v="7"/>
    <x v="7"/>
    <x v="1"/>
    <x v="8"/>
    <x v="8"/>
    <x v="40"/>
    <x v="40"/>
    <n v="26.246279999999999"/>
    <x v="1"/>
    <x v="2"/>
    <x v="5"/>
    <x v="7"/>
    <x v="11"/>
    <x v="22"/>
    <n v="31.233073199999996"/>
  </r>
  <r>
    <x v="12"/>
    <x v="1"/>
    <x v="0"/>
    <x v="0"/>
    <x v="0"/>
    <x v="0"/>
    <x v="0"/>
    <x v="0"/>
    <x v="2"/>
    <x v="2"/>
    <x v="7"/>
    <x v="7"/>
    <x v="2"/>
    <x v="10"/>
    <x v="10"/>
    <x v="40"/>
    <x v="40"/>
    <n v="5.4194399999999998"/>
    <x v="1"/>
    <x v="2"/>
    <x v="5"/>
    <x v="7"/>
    <x v="11"/>
    <x v="22"/>
    <n v="6.4491335999999997"/>
  </r>
  <r>
    <x v="12"/>
    <x v="1"/>
    <x v="0"/>
    <x v="0"/>
    <x v="0"/>
    <x v="0"/>
    <x v="0"/>
    <x v="0"/>
    <x v="2"/>
    <x v="2"/>
    <x v="7"/>
    <x v="7"/>
    <x v="4"/>
    <x v="5"/>
    <x v="5"/>
    <x v="40"/>
    <x v="40"/>
    <n v="203.50164000000001"/>
    <x v="1"/>
    <x v="2"/>
    <x v="5"/>
    <x v="7"/>
    <x v="11"/>
    <x v="22"/>
    <n v="242.1669516"/>
  </r>
  <r>
    <x v="12"/>
    <x v="1"/>
    <x v="0"/>
    <x v="0"/>
    <x v="0"/>
    <x v="0"/>
    <x v="0"/>
    <x v="0"/>
    <x v="2"/>
    <x v="2"/>
    <x v="8"/>
    <x v="8"/>
    <x v="2"/>
    <x v="2"/>
    <x v="2"/>
    <x v="40"/>
    <x v="40"/>
    <n v="13.638999999999999"/>
    <x v="1"/>
    <x v="2"/>
    <x v="5"/>
    <x v="7"/>
    <x v="11"/>
    <x v="22"/>
    <n v="16.230409999999999"/>
  </r>
  <r>
    <x v="12"/>
    <x v="1"/>
    <x v="0"/>
    <x v="0"/>
    <x v="0"/>
    <x v="0"/>
    <x v="0"/>
    <x v="0"/>
    <x v="2"/>
    <x v="2"/>
    <x v="9"/>
    <x v="9"/>
    <x v="2"/>
    <x v="2"/>
    <x v="2"/>
    <x v="40"/>
    <x v="40"/>
    <n v="149.78811999999999"/>
    <x v="1"/>
    <x v="2"/>
    <x v="5"/>
    <x v="7"/>
    <x v="11"/>
    <x v="22"/>
    <n v="178.24786279999998"/>
  </r>
  <r>
    <x v="12"/>
    <x v="1"/>
    <x v="0"/>
    <x v="0"/>
    <x v="0"/>
    <x v="0"/>
    <x v="0"/>
    <x v="0"/>
    <x v="2"/>
    <x v="2"/>
    <x v="9"/>
    <x v="9"/>
    <x v="2"/>
    <x v="2"/>
    <x v="2"/>
    <x v="38"/>
    <x v="38"/>
    <n v="2.8400400000000001"/>
    <x v="1"/>
    <x v="0"/>
    <x v="4"/>
    <x v="6"/>
    <x v="10"/>
    <x v="21"/>
    <n v="3.3796476000000002"/>
  </r>
  <r>
    <x v="12"/>
    <x v="1"/>
    <x v="0"/>
    <x v="0"/>
    <x v="0"/>
    <x v="0"/>
    <x v="0"/>
    <x v="0"/>
    <x v="2"/>
    <x v="2"/>
    <x v="9"/>
    <x v="9"/>
    <x v="2"/>
    <x v="2"/>
    <x v="2"/>
    <x v="48"/>
    <x v="48"/>
    <n v="1.4296800000000001"/>
    <x v="1"/>
    <x v="0"/>
    <x v="4"/>
    <x v="6"/>
    <x v="10"/>
    <x v="21"/>
    <n v="1.7013191999999999"/>
  </r>
  <r>
    <x v="12"/>
    <x v="1"/>
    <x v="0"/>
    <x v="0"/>
    <x v="0"/>
    <x v="0"/>
    <x v="0"/>
    <x v="0"/>
    <x v="2"/>
    <x v="2"/>
    <x v="9"/>
    <x v="9"/>
    <x v="3"/>
    <x v="7"/>
    <x v="7"/>
    <x v="40"/>
    <x v="40"/>
    <n v="1285.1078399999999"/>
    <x v="1"/>
    <x v="2"/>
    <x v="5"/>
    <x v="7"/>
    <x v="11"/>
    <x v="22"/>
    <n v="1529.2783295999998"/>
  </r>
  <r>
    <x v="12"/>
    <x v="1"/>
    <x v="0"/>
    <x v="0"/>
    <x v="0"/>
    <x v="0"/>
    <x v="0"/>
    <x v="0"/>
    <x v="2"/>
    <x v="2"/>
    <x v="9"/>
    <x v="9"/>
    <x v="1"/>
    <x v="8"/>
    <x v="8"/>
    <x v="40"/>
    <x v="40"/>
    <n v="352.50587999999999"/>
    <x v="1"/>
    <x v="2"/>
    <x v="5"/>
    <x v="7"/>
    <x v="11"/>
    <x v="22"/>
    <n v="419.48199719999997"/>
  </r>
  <r>
    <x v="12"/>
    <x v="1"/>
    <x v="0"/>
    <x v="0"/>
    <x v="0"/>
    <x v="0"/>
    <x v="0"/>
    <x v="0"/>
    <x v="2"/>
    <x v="2"/>
    <x v="9"/>
    <x v="9"/>
    <x v="2"/>
    <x v="10"/>
    <x v="10"/>
    <x v="40"/>
    <x v="40"/>
    <n v="276.31367999999998"/>
    <x v="1"/>
    <x v="2"/>
    <x v="5"/>
    <x v="7"/>
    <x v="11"/>
    <x v="22"/>
    <n v="328.81327919999995"/>
  </r>
  <r>
    <x v="12"/>
    <x v="1"/>
    <x v="0"/>
    <x v="0"/>
    <x v="0"/>
    <x v="0"/>
    <x v="0"/>
    <x v="0"/>
    <x v="2"/>
    <x v="2"/>
    <x v="9"/>
    <x v="9"/>
    <x v="4"/>
    <x v="5"/>
    <x v="5"/>
    <x v="40"/>
    <x v="40"/>
    <n v="1996.38726"/>
    <x v="1"/>
    <x v="2"/>
    <x v="5"/>
    <x v="7"/>
    <x v="11"/>
    <x v="22"/>
    <n v="2375.7008393999999"/>
  </r>
  <r>
    <x v="12"/>
    <x v="1"/>
    <x v="0"/>
    <x v="0"/>
    <x v="0"/>
    <x v="0"/>
    <x v="0"/>
    <x v="0"/>
    <x v="2"/>
    <x v="2"/>
    <x v="10"/>
    <x v="10"/>
    <x v="2"/>
    <x v="2"/>
    <x v="2"/>
    <x v="41"/>
    <x v="41"/>
    <n v="0.80575824175744004"/>
    <x v="1"/>
    <x v="2"/>
    <x v="5"/>
    <x v="7"/>
    <x v="11"/>
    <x v="22"/>
    <n v="0.95885230769135366"/>
  </r>
  <r>
    <x v="12"/>
    <x v="1"/>
    <x v="0"/>
    <x v="0"/>
    <x v="0"/>
    <x v="0"/>
    <x v="0"/>
    <x v="0"/>
    <x v="2"/>
    <x v="2"/>
    <x v="10"/>
    <x v="10"/>
    <x v="2"/>
    <x v="2"/>
    <x v="2"/>
    <x v="40"/>
    <x v="40"/>
    <n v="83.105119999999999"/>
    <x v="1"/>
    <x v="2"/>
    <x v="5"/>
    <x v="7"/>
    <x v="11"/>
    <x v="22"/>
    <n v="98.8950928"/>
  </r>
  <r>
    <x v="12"/>
    <x v="1"/>
    <x v="0"/>
    <x v="0"/>
    <x v="0"/>
    <x v="0"/>
    <x v="0"/>
    <x v="0"/>
    <x v="0"/>
    <x v="0"/>
    <x v="11"/>
    <x v="11"/>
    <x v="4"/>
    <x v="5"/>
    <x v="5"/>
    <x v="10"/>
    <x v="10"/>
    <n v="2.2435243599999999E-5"/>
    <x v="0"/>
    <x v="0"/>
    <x v="1"/>
    <x v="4"/>
    <x v="5"/>
    <x v="10"/>
    <n v="2.6697939883999997E-5"/>
  </r>
  <r>
    <x v="12"/>
    <x v="1"/>
    <x v="0"/>
    <x v="0"/>
    <x v="0"/>
    <x v="0"/>
    <x v="0"/>
    <x v="0"/>
    <x v="3"/>
    <x v="3"/>
    <x v="12"/>
    <x v="12"/>
    <x v="2"/>
    <x v="2"/>
    <x v="2"/>
    <x v="40"/>
    <x v="40"/>
    <n v="2.2195"/>
    <x v="1"/>
    <x v="2"/>
    <x v="5"/>
    <x v="7"/>
    <x v="11"/>
    <x v="22"/>
    <n v="2.6412049999999998"/>
  </r>
  <r>
    <x v="12"/>
    <x v="1"/>
    <x v="0"/>
    <x v="0"/>
    <x v="0"/>
    <x v="0"/>
    <x v="0"/>
    <x v="0"/>
    <x v="3"/>
    <x v="3"/>
    <x v="12"/>
    <x v="12"/>
    <x v="3"/>
    <x v="7"/>
    <x v="7"/>
    <x v="40"/>
    <x v="40"/>
    <n v="14.203440000000001"/>
    <x v="1"/>
    <x v="2"/>
    <x v="5"/>
    <x v="7"/>
    <x v="11"/>
    <x v="22"/>
    <n v="16.902093600000001"/>
  </r>
  <r>
    <x v="12"/>
    <x v="1"/>
    <x v="0"/>
    <x v="0"/>
    <x v="0"/>
    <x v="0"/>
    <x v="0"/>
    <x v="0"/>
    <x v="3"/>
    <x v="3"/>
    <x v="12"/>
    <x v="12"/>
    <x v="4"/>
    <x v="5"/>
    <x v="5"/>
    <x v="40"/>
    <x v="40"/>
    <n v="30.862079999999999"/>
    <x v="1"/>
    <x v="2"/>
    <x v="5"/>
    <x v="7"/>
    <x v="11"/>
    <x v="22"/>
    <n v="36.725875199999997"/>
  </r>
  <r>
    <x v="12"/>
    <x v="1"/>
    <x v="0"/>
    <x v="0"/>
    <x v="0"/>
    <x v="0"/>
    <x v="0"/>
    <x v="0"/>
    <x v="3"/>
    <x v="3"/>
    <x v="13"/>
    <x v="13"/>
    <x v="2"/>
    <x v="2"/>
    <x v="2"/>
    <x v="41"/>
    <x v="41"/>
    <n v="0.99127472527372995"/>
    <x v="1"/>
    <x v="2"/>
    <x v="5"/>
    <x v="7"/>
    <x v="11"/>
    <x v="22"/>
    <n v="1.1796169230757385"/>
  </r>
  <r>
    <x v="12"/>
    <x v="1"/>
    <x v="0"/>
    <x v="0"/>
    <x v="0"/>
    <x v="0"/>
    <x v="0"/>
    <x v="0"/>
    <x v="3"/>
    <x v="3"/>
    <x v="13"/>
    <x v="13"/>
    <x v="2"/>
    <x v="2"/>
    <x v="2"/>
    <x v="40"/>
    <x v="40"/>
    <n v="40.885219999999997"/>
    <x v="1"/>
    <x v="2"/>
    <x v="5"/>
    <x v="7"/>
    <x v="11"/>
    <x v="22"/>
    <n v="48.653411799999994"/>
  </r>
  <r>
    <x v="12"/>
    <x v="1"/>
    <x v="0"/>
    <x v="0"/>
    <x v="0"/>
    <x v="0"/>
    <x v="0"/>
    <x v="0"/>
    <x v="3"/>
    <x v="3"/>
    <x v="13"/>
    <x v="13"/>
    <x v="1"/>
    <x v="6"/>
    <x v="6"/>
    <x v="40"/>
    <x v="40"/>
    <n v="0.58169999999999999"/>
    <x v="1"/>
    <x v="2"/>
    <x v="5"/>
    <x v="7"/>
    <x v="11"/>
    <x v="22"/>
    <n v="0.69222299999999992"/>
  </r>
  <r>
    <x v="12"/>
    <x v="1"/>
    <x v="0"/>
    <x v="0"/>
    <x v="0"/>
    <x v="0"/>
    <x v="0"/>
    <x v="0"/>
    <x v="3"/>
    <x v="3"/>
    <x v="13"/>
    <x v="13"/>
    <x v="1"/>
    <x v="8"/>
    <x v="8"/>
    <x v="40"/>
    <x v="40"/>
    <n v="4.2683999999999997"/>
    <x v="1"/>
    <x v="2"/>
    <x v="5"/>
    <x v="7"/>
    <x v="11"/>
    <x v="22"/>
    <n v="5.0793959999999991"/>
  </r>
  <r>
    <x v="12"/>
    <x v="1"/>
    <x v="0"/>
    <x v="0"/>
    <x v="0"/>
    <x v="0"/>
    <x v="0"/>
    <x v="0"/>
    <x v="3"/>
    <x v="3"/>
    <x v="13"/>
    <x v="13"/>
    <x v="4"/>
    <x v="5"/>
    <x v="5"/>
    <x v="40"/>
    <x v="40"/>
    <n v="1.9956"/>
    <x v="1"/>
    <x v="2"/>
    <x v="5"/>
    <x v="7"/>
    <x v="11"/>
    <x v="22"/>
    <n v="2.3747639999999999"/>
  </r>
  <r>
    <x v="12"/>
    <x v="1"/>
    <x v="0"/>
    <x v="0"/>
    <x v="0"/>
    <x v="0"/>
    <x v="0"/>
    <x v="0"/>
    <x v="2"/>
    <x v="2"/>
    <x v="14"/>
    <x v="14"/>
    <x v="2"/>
    <x v="2"/>
    <x v="2"/>
    <x v="40"/>
    <x v="40"/>
    <n v="2.5341399999999998"/>
    <x v="1"/>
    <x v="2"/>
    <x v="5"/>
    <x v="7"/>
    <x v="11"/>
    <x v="22"/>
    <n v="3.0156265999999996"/>
  </r>
  <r>
    <x v="12"/>
    <x v="1"/>
    <x v="0"/>
    <x v="0"/>
    <x v="0"/>
    <x v="0"/>
    <x v="0"/>
    <x v="0"/>
    <x v="2"/>
    <x v="2"/>
    <x v="17"/>
    <x v="17"/>
    <x v="2"/>
    <x v="2"/>
    <x v="2"/>
    <x v="42"/>
    <x v="42"/>
    <n v="0.34132000000000001"/>
    <x v="1"/>
    <x v="2"/>
    <x v="5"/>
    <x v="7"/>
    <x v="11"/>
    <x v="22"/>
    <n v="0.4061708"/>
  </r>
  <r>
    <x v="12"/>
    <x v="1"/>
    <x v="0"/>
    <x v="0"/>
    <x v="0"/>
    <x v="0"/>
    <x v="0"/>
    <x v="0"/>
    <x v="2"/>
    <x v="2"/>
    <x v="17"/>
    <x v="17"/>
    <x v="2"/>
    <x v="2"/>
    <x v="2"/>
    <x v="40"/>
    <x v="40"/>
    <n v="18.388500000000001"/>
    <x v="1"/>
    <x v="2"/>
    <x v="5"/>
    <x v="7"/>
    <x v="11"/>
    <x v="22"/>
    <n v="21.882314999999998"/>
  </r>
  <r>
    <x v="12"/>
    <x v="1"/>
    <x v="0"/>
    <x v="0"/>
    <x v="0"/>
    <x v="0"/>
    <x v="0"/>
    <x v="0"/>
    <x v="2"/>
    <x v="2"/>
    <x v="17"/>
    <x v="17"/>
    <x v="3"/>
    <x v="7"/>
    <x v="7"/>
    <x v="40"/>
    <x v="40"/>
    <n v="33.45984"/>
    <x v="1"/>
    <x v="2"/>
    <x v="5"/>
    <x v="7"/>
    <x v="11"/>
    <x v="22"/>
    <n v="39.817209599999998"/>
  </r>
  <r>
    <x v="12"/>
    <x v="1"/>
    <x v="0"/>
    <x v="0"/>
    <x v="0"/>
    <x v="0"/>
    <x v="0"/>
    <x v="0"/>
    <x v="2"/>
    <x v="2"/>
    <x v="17"/>
    <x v="17"/>
    <x v="1"/>
    <x v="8"/>
    <x v="8"/>
    <x v="40"/>
    <x v="40"/>
    <n v="18.75384"/>
    <x v="1"/>
    <x v="2"/>
    <x v="5"/>
    <x v="7"/>
    <x v="11"/>
    <x v="22"/>
    <n v="22.3170696"/>
  </r>
  <r>
    <x v="12"/>
    <x v="1"/>
    <x v="0"/>
    <x v="0"/>
    <x v="0"/>
    <x v="0"/>
    <x v="0"/>
    <x v="0"/>
    <x v="2"/>
    <x v="2"/>
    <x v="17"/>
    <x v="17"/>
    <x v="2"/>
    <x v="10"/>
    <x v="10"/>
    <x v="40"/>
    <x v="40"/>
    <n v="5.4194399999999998"/>
    <x v="1"/>
    <x v="2"/>
    <x v="5"/>
    <x v="7"/>
    <x v="11"/>
    <x v="22"/>
    <n v="6.4491335999999997"/>
  </r>
  <r>
    <x v="12"/>
    <x v="1"/>
    <x v="0"/>
    <x v="0"/>
    <x v="0"/>
    <x v="0"/>
    <x v="0"/>
    <x v="0"/>
    <x v="2"/>
    <x v="2"/>
    <x v="17"/>
    <x v="17"/>
    <x v="4"/>
    <x v="5"/>
    <x v="5"/>
    <x v="40"/>
    <x v="40"/>
    <n v="339.35543999999999"/>
    <x v="1"/>
    <x v="2"/>
    <x v="5"/>
    <x v="7"/>
    <x v="11"/>
    <x v="22"/>
    <n v="403.83297359999995"/>
  </r>
  <r>
    <x v="12"/>
    <x v="1"/>
    <x v="0"/>
    <x v="0"/>
    <x v="0"/>
    <x v="1"/>
    <x v="1"/>
    <x v="1"/>
    <x v="1"/>
    <x v="5"/>
    <x v="21"/>
    <x v="21"/>
    <x v="3"/>
    <x v="3"/>
    <x v="3"/>
    <x v="2"/>
    <x v="2"/>
    <n v="6.6599915966086902"/>
    <x v="0"/>
    <x v="1"/>
    <x v="2"/>
    <x v="2"/>
    <x v="13"/>
    <x v="2"/>
    <n v="7.9253899999643407"/>
  </r>
  <r>
    <x v="12"/>
    <x v="1"/>
    <x v="0"/>
    <x v="0"/>
    <x v="0"/>
    <x v="1"/>
    <x v="1"/>
    <x v="1"/>
    <x v="1"/>
    <x v="5"/>
    <x v="1"/>
    <x v="1"/>
    <x v="3"/>
    <x v="3"/>
    <x v="3"/>
    <x v="2"/>
    <x v="2"/>
    <n v="1432.0098655397701"/>
    <x v="0"/>
    <x v="1"/>
    <x v="2"/>
    <x v="2"/>
    <x v="13"/>
    <x v="2"/>
    <n v="1704.0917399923264"/>
  </r>
  <r>
    <x v="12"/>
    <x v="1"/>
    <x v="0"/>
    <x v="0"/>
    <x v="0"/>
    <x v="1"/>
    <x v="1"/>
    <x v="1"/>
    <x v="1"/>
    <x v="5"/>
    <x v="1"/>
    <x v="1"/>
    <x v="0"/>
    <x v="4"/>
    <x v="4"/>
    <x v="2"/>
    <x v="2"/>
    <n v="97.934294117206306"/>
    <x v="0"/>
    <x v="1"/>
    <x v="2"/>
    <x v="2"/>
    <x v="13"/>
    <x v="2"/>
    <n v="116.5418099994755"/>
  </r>
  <r>
    <x v="12"/>
    <x v="1"/>
    <x v="0"/>
    <x v="0"/>
    <x v="0"/>
    <x v="1"/>
    <x v="1"/>
    <x v="1"/>
    <x v="1"/>
    <x v="5"/>
    <x v="1"/>
    <x v="1"/>
    <x v="2"/>
    <x v="2"/>
    <x v="2"/>
    <x v="2"/>
    <x v="2"/>
    <n v="26.284344537696899"/>
    <x v="0"/>
    <x v="1"/>
    <x v="2"/>
    <x v="2"/>
    <x v="13"/>
    <x v="2"/>
    <n v="31.278369999859308"/>
  </r>
  <r>
    <x v="12"/>
    <x v="1"/>
    <x v="0"/>
    <x v="0"/>
    <x v="0"/>
    <x v="1"/>
    <x v="0"/>
    <x v="0"/>
    <x v="0"/>
    <x v="0"/>
    <x v="2"/>
    <x v="2"/>
    <x v="2"/>
    <x v="2"/>
    <x v="2"/>
    <x v="2"/>
    <x v="2"/>
    <n v="185.868470587399"/>
    <x v="0"/>
    <x v="1"/>
    <x v="2"/>
    <x v="2"/>
    <x v="13"/>
    <x v="2"/>
    <n v="221.18347999900482"/>
  </r>
  <r>
    <x v="12"/>
    <x v="1"/>
    <x v="0"/>
    <x v="0"/>
    <x v="0"/>
    <x v="1"/>
    <x v="0"/>
    <x v="0"/>
    <x v="0"/>
    <x v="0"/>
    <x v="0"/>
    <x v="0"/>
    <x v="3"/>
    <x v="3"/>
    <x v="3"/>
    <x v="8"/>
    <x v="8"/>
    <n v="109.447248446789"/>
    <x v="0"/>
    <x v="1"/>
    <x v="2"/>
    <x v="2"/>
    <x v="6"/>
    <x v="8"/>
    <n v="130.24222565167892"/>
  </r>
  <r>
    <x v="12"/>
    <x v="1"/>
    <x v="0"/>
    <x v="0"/>
    <x v="0"/>
    <x v="1"/>
    <x v="0"/>
    <x v="0"/>
    <x v="0"/>
    <x v="0"/>
    <x v="0"/>
    <x v="0"/>
    <x v="3"/>
    <x v="3"/>
    <x v="3"/>
    <x v="2"/>
    <x v="2"/>
    <n v="425.71195798127798"/>
    <x v="0"/>
    <x v="1"/>
    <x v="2"/>
    <x v="2"/>
    <x v="13"/>
    <x v="2"/>
    <n v="506.59722999772077"/>
  </r>
  <r>
    <x v="12"/>
    <x v="1"/>
    <x v="0"/>
    <x v="0"/>
    <x v="0"/>
    <x v="1"/>
    <x v="0"/>
    <x v="0"/>
    <x v="0"/>
    <x v="0"/>
    <x v="0"/>
    <x v="0"/>
    <x v="3"/>
    <x v="12"/>
    <x v="3"/>
    <x v="8"/>
    <x v="8"/>
    <n v="4927.0059751365598"/>
    <x v="0"/>
    <x v="1"/>
    <x v="2"/>
    <x v="2"/>
    <x v="6"/>
    <x v="8"/>
    <n v="5863.1371104125055"/>
  </r>
  <r>
    <x v="12"/>
    <x v="1"/>
    <x v="0"/>
    <x v="0"/>
    <x v="0"/>
    <x v="1"/>
    <x v="0"/>
    <x v="0"/>
    <x v="0"/>
    <x v="0"/>
    <x v="0"/>
    <x v="0"/>
    <x v="3"/>
    <x v="12"/>
    <x v="3"/>
    <x v="12"/>
    <x v="12"/>
    <n v="2091.5404999933098"/>
    <x v="0"/>
    <x v="0"/>
    <x v="0"/>
    <x v="0"/>
    <x v="8"/>
    <x v="12"/>
    <n v="2488.9331949920384"/>
  </r>
  <r>
    <x v="12"/>
    <x v="1"/>
    <x v="0"/>
    <x v="0"/>
    <x v="0"/>
    <x v="1"/>
    <x v="0"/>
    <x v="0"/>
    <x v="0"/>
    <x v="0"/>
    <x v="0"/>
    <x v="0"/>
    <x v="3"/>
    <x v="12"/>
    <x v="3"/>
    <x v="16"/>
    <x v="16"/>
    <n v="384.01799999999997"/>
    <x v="0"/>
    <x v="0"/>
    <x v="3"/>
    <x v="5"/>
    <x v="9"/>
    <x v="16"/>
    <n v="456.98141999999996"/>
  </r>
  <r>
    <x v="12"/>
    <x v="1"/>
    <x v="0"/>
    <x v="0"/>
    <x v="0"/>
    <x v="1"/>
    <x v="0"/>
    <x v="0"/>
    <x v="0"/>
    <x v="0"/>
    <x v="0"/>
    <x v="0"/>
    <x v="3"/>
    <x v="12"/>
    <x v="3"/>
    <x v="2"/>
    <x v="2"/>
    <n v="4077.9146974606401"/>
    <x v="0"/>
    <x v="1"/>
    <x v="2"/>
    <x v="2"/>
    <x v="13"/>
    <x v="2"/>
    <n v="4852.7184899781614"/>
  </r>
  <r>
    <x v="12"/>
    <x v="1"/>
    <x v="0"/>
    <x v="0"/>
    <x v="0"/>
    <x v="1"/>
    <x v="0"/>
    <x v="0"/>
    <x v="0"/>
    <x v="0"/>
    <x v="0"/>
    <x v="0"/>
    <x v="0"/>
    <x v="4"/>
    <x v="4"/>
    <x v="8"/>
    <x v="8"/>
    <n v="19.436031055826799"/>
    <x v="0"/>
    <x v="1"/>
    <x v="2"/>
    <x v="2"/>
    <x v="6"/>
    <x v="8"/>
    <n v="23.128876956433889"/>
  </r>
  <r>
    <x v="12"/>
    <x v="1"/>
    <x v="0"/>
    <x v="0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3.914999999999999"/>
  </r>
  <r>
    <x v="12"/>
    <x v="1"/>
    <x v="0"/>
    <x v="0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8.876621699999994"/>
  </r>
  <r>
    <x v="12"/>
    <x v="1"/>
    <x v="0"/>
    <x v="0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3.799999999999997"/>
  </r>
  <r>
    <x v="12"/>
    <x v="1"/>
    <x v="0"/>
    <x v="0"/>
    <x v="0"/>
    <x v="1"/>
    <x v="0"/>
    <x v="0"/>
    <x v="2"/>
    <x v="2"/>
    <x v="17"/>
    <x v="17"/>
    <x v="2"/>
    <x v="2"/>
    <x v="2"/>
    <x v="42"/>
    <x v="42"/>
    <n v="1.5280800000000001"/>
    <x v="1"/>
    <x v="2"/>
    <x v="5"/>
    <x v="7"/>
    <x v="11"/>
    <x v="22"/>
    <n v="1.8184152"/>
  </r>
  <r>
    <x v="12"/>
    <x v="1"/>
    <x v="0"/>
    <x v="0"/>
    <x v="0"/>
    <x v="1"/>
    <x v="0"/>
    <x v="0"/>
    <x v="2"/>
    <x v="2"/>
    <x v="17"/>
    <x v="17"/>
    <x v="2"/>
    <x v="2"/>
    <x v="2"/>
    <x v="40"/>
    <x v="40"/>
    <n v="137.06939"/>
    <x v="1"/>
    <x v="2"/>
    <x v="5"/>
    <x v="7"/>
    <x v="11"/>
    <x v="22"/>
    <n v="163.11257409999999"/>
  </r>
  <r>
    <x v="12"/>
    <x v="1"/>
    <x v="0"/>
    <x v="0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4.183654400000002"/>
  </r>
  <r>
    <x v="12"/>
    <x v="1"/>
    <x v="0"/>
    <x v="0"/>
    <x v="0"/>
    <x v="2"/>
    <x v="0"/>
    <x v="0"/>
    <x v="0"/>
    <x v="0"/>
    <x v="0"/>
    <x v="0"/>
    <x v="3"/>
    <x v="3"/>
    <x v="3"/>
    <x v="9"/>
    <x v="9"/>
    <n v="25.360972447462501"/>
    <x v="0"/>
    <x v="0"/>
    <x v="1"/>
    <x v="4"/>
    <x v="5"/>
    <x v="9"/>
    <n v="30.179557212480375"/>
  </r>
  <r>
    <x v="12"/>
    <x v="1"/>
    <x v="0"/>
    <x v="0"/>
    <x v="0"/>
    <x v="2"/>
    <x v="0"/>
    <x v="0"/>
    <x v="0"/>
    <x v="0"/>
    <x v="0"/>
    <x v="0"/>
    <x v="3"/>
    <x v="3"/>
    <x v="3"/>
    <x v="11"/>
    <x v="11"/>
    <n v="96.892769999999999"/>
    <x v="0"/>
    <x v="0"/>
    <x v="3"/>
    <x v="5"/>
    <x v="7"/>
    <x v="11"/>
    <n v="115.3023963"/>
  </r>
  <r>
    <x v="12"/>
    <x v="1"/>
    <x v="0"/>
    <x v="0"/>
    <x v="0"/>
    <x v="2"/>
    <x v="0"/>
    <x v="0"/>
    <x v="0"/>
    <x v="0"/>
    <x v="0"/>
    <x v="0"/>
    <x v="3"/>
    <x v="3"/>
    <x v="3"/>
    <x v="12"/>
    <x v="12"/>
    <n v="110.62011363601"/>
    <x v="0"/>
    <x v="0"/>
    <x v="0"/>
    <x v="0"/>
    <x v="8"/>
    <x v="12"/>
    <n v="131.63793522685191"/>
  </r>
  <r>
    <x v="12"/>
    <x v="1"/>
    <x v="0"/>
    <x v="0"/>
    <x v="0"/>
    <x v="2"/>
    <x v="0"/>
    <x v="0"/>
    <x v="0"/>
    <x v="0"/>
    <x v="0"/>
    <x v="0"/>
    <x v="3"/>
    <x v="3"/>
    <x v="3"/>
    <x v="14"/>
    <x v="14"/>
    <n v="8.4"/>
    <x v="0"/>
    <x v="0"/>
    <x v="0"/>
    <x v="0"/>
    <x v="8"/>
    <x v="14"/>
    <n v="9.9960000000000004"/>
  </r>
  <r>
    <x v="12"/>
    <x v="1"/>
    <x v="0"/>
    <x v="0"/>
    <x v="0"/>
    <x v="2"/>
    <x v="0"/>
    <x v="0"/>
    <x v="0"/>
    <x v="0"/>
    <x v="0"/>
    <x v="0"/>
    <x v="3"/>
    <x v="3"/>
    <x v="3"/>
    <x v="16"/>
    <x v="16"/>
    <n v="23.02"/>
    <x v="0"/>
    <x v="0"/>
    <x v="3"/>
    <x v="5"/>
    <x v="9"/>
    <x v="16"/>
    <n v="27.393799999999999"/>
  </r>
  <r>
    <x v="12"/>
    <x v="1"/>
    <x v="0"/>
    <x v="0"/>
    <x v="0"/>
    <x v="2"/>
    <x v="0"/>
    <x v="0"/>
    <x v="0"/>
    <x v="0"/>
    <x v="0"/>
    <x v="0"/>
    <x v="3"/>
    <x v="12"/>
    <x v="3"/>
    <x v="8"/>
    <x v="8"/>
    <n v="4245.1719502944297"/>
    <x v="0"/>
    <x v="1"/>
    <x v="2"/>
    <x v="2"/>
    <x v="6"/>
    <x v="8"/>
    <n v="5051.7546208503709"/>
  </r>
  <r>
    <x v="12"/>
    <x v="1"/>
    <x v="0"/>
    <x v="0"/>
    <x v="0"/>
    <x v="2"/>
    <x v="0"/>
    <x v="0"/>
    <x v="0"/>
    <x v="0"/>
    <x v="0"/>
    <x v="0"/>
    <x v="3"/>
    <x v="12"/>
    <x v="3"/>
    <x v="2"/>
    <x v="2"/>
    <n v="1628.89008402628"/>
    <x v="0"/>
    <x v="1"/>
    <x v="2"/>
    <x v="2"/>
    <x v="13"/>
    <x v="2"/>
    <n v="1938.379199991273"/>
  </r>
  <r>
    <x v="12"/>
    <x v="1"/>
    <x v="0"/>
    <x v="0"/>
    <x v="0"/>
    <x v="2"/>
    <x v="0"/>
    <x v="0"/>
    <x v="0"/>
    <x v="0"/>
    <x v="0"/>
    <x v="0"/>
    <x v="0"/>
    <x v="4"/>
    <x v="4"/>
    <x v="5"/>
    <x v="5"/>
    <n v="1.10792265194312"/>
    <x v="0"/>
    <x v="0"/>
    <x v="1"/>
    <x v="1"/>
    <x v="1"/>
    <x v="5"/>
    <n v="1.3184279558123126"/>
  </r>
  <r>
    <x v="12"/>
    <x v="1"/>
    <x v="0"/>
    <x v="0"/>
    <x v="0"/>
    <x v="2"/>
    <x v="0"/>
    <x v="0"/>
    <x v="0"/>
    <x v="0"/>
    <x v="0"/>
    <x v="0"/>
    <x v="0"/>
    <x v="4"/>
    <x v="4"/>
    <x v="9"/>
    <x v="9"/>
    <n v="45.919715817716998"/>
    <x v="0"/>
    <x v="0"/>
    <x v="1"/>
    <x v="4"/>
    <x v="5"/>
    <x v="9"/>
    <n v="54.644461823083226"/>
  </r>
  <r>
    <x v="12"/>
    <x v="1"/>
    <x v="0"/>
    <x v="0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7.452539999999999"/>
  </r>
  <r>
    <x v="12"/>
    <x v="1"/>
    <x v="0"/>
    <x v="0"/>
    <x v="1"/>
    <x v="6"/>
    <x v="1"/>
    <x v="1"/>
    <x v="1"/>
    <x v="5"/>
    <x v="1"/>
    <x v="1"/>
    <x v="3"/>
    <x v="3"/>
    <x v="3"/>
    <x v="49"/>
    <x v="49"/>
    <n v="53.921568635"/>
    <x v="0"/>
    <x v="0"/>
    <x v="1"/>
    <x v="1"/>
    <x v="1"/>
    <x v="23"/>
    <n v="64.166666675649992"/>
  </r>
  <r>
    <x v="12"/>
    <x v="1"/>
    <x v="0"/>
    <x v="0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4.784029999999994"/>
  </r>
  <r>
    <x v="12"/>
    <x v="1"/>
    <x v="0"/>
    <x v="0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324.33895059999998"/>
  </r>
  <r>
    <x v="12"/>
    <x v="1"/>
    <x v="0"/>
    <x v="0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5394599999999996"/>
  </r>
  <r>
    <x v="12"/>
    <x v="1"/>
    <x v="0"/>
    <x v="0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1.0281123999999999"/>
  </r>
  <r>
    <x v="12"/>
    <x v="1"/>
    <x v="0"/>
    <x v="0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2.950340000000001"/>
  </r>
  <r>
    <x v="12"/>
    <x v="1"/>
    <x v="0"/>
    <x v="0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211.25621369999999"/>
  </r>
  <r>
    <x v="12"/>
    <x v="1"/>
    <x v="0"/>
    <x v="0"/>
    <x v="1"/>
    <x v="6"/>
    <x v="1"/>
    <x v="1"/>
    <x v="1"/>
    <x v="5"/>
    <x v="1"/>
    <x v="1"/>
    <x v="3"/>
    <x v="3"/>
    <x v="3"/>
    <x v="24"/>
    <x v="24"/>
    <n v="4.2630252100648498"/>
    <x v="0"/>
    <x v="0"/>
    <x v="1"/>
    <x v="3"/>
    <x v="3"/>
    <x v="4"/>
    <n v="5.0729999999771707"/>
  </r>
  <r>
    <x v="12"/>
    <x v="1"/>
    <x v="0"/>
    <x v="0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5.0749930000000001"/>
  </r>
  <r>
    <x v="12"/>
    <x v="1"/>
    <x v="0"/>
    <x v="0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5.1416687000000003"/>
  </r>
  <r>
    <x v="12"/>
    <x v="1"/>
    <x v="0"/>
    <x v="0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2697299999999998"/>
  </r>
  <r>
    <x v="12"/>
    <x v="1"/>
    <x v="0"/>
    <x v="0"/>
    <x v="1"/>
    <x v="6"/>
    <x v="1"/>
    <x v="1"/>
    <x v="1"/>
    <x v="5"/>
    <x v="1"/>
    <x v="1"/>
    <x v="3"/>
    <x v="3"/>
    <x v="3"/>
    <x v="21"/>
    <x v="21"/>
    <n v="57.638039495869499"/>
    <x v="0"/>
    <x v="0"/>
    <x v="1"/>
    <x v="4"/>
    <x v="5"/>
    <x v="10"/>
    <n v="68.589267000084703"/>
  </r>
  <r>
    <x v="12"/>
    <x v="1"/>
    <x v="0"/>
    <x v="0"/>
    <x v="1"/>
    <x v="6"/>
    <x v="1"/>
    <x v="1"/>
    <x v="1"/>
    <x v="5"/>
    <x v="1"/>
    <x v="1"/>
    <x v="3"/>
    <x v="3"/>
    <x v="3"/>
    <x v="71"/>
    <x v="71"/>
    <n v="0.53532295014555997"/>
    <x v="0"/>
    <x v="0"/>
    <x v="1"/>
    <x v="3"/>
    <x v="3"/>
    <x v="4"/>
    <n v="0.63703431067321636"/>
  </r>
  <r>
    <x v="12"/>
    <x v="1"/>
    <x v="0"/>
    <x v="0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6025272999999993"/>
  </r>
  <r>
    <x v="12"/>
    <x v="1"/>
    <x v="0"/>
    <x v="0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8570161000000001"/>
  </r>
  <r>
    <x v="12"/>
    <x v="1"/>
    <x v="0"/>
    <x v="0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9.414850000000001"/>
  </r>
  <r>
    <x v="12"/>
    <x v="1"/>
    <x v="0"/>
    <x v="0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2.1052528000000001"/>
  </r>
  <r>
    <x v="12"/>
    <x v="1"/>
    <x v="0"/>
    <x v="0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2.518953100000001"/>
  </r>
  <r>
    <x v="12"/>
    <x v="1"/>
    <x v="0"/>
    <x v="0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3319193999999999"/>
  </r>
  <r>
    <x v="12"/>
    <x v="1"/>
    <x v="0"/>
    <x v="0"/>
    <x v="1"/>
    <x v="6"/>
    <x v="1"/>
    <x v="1"/>
    <x v="1"/>
    <x v="5"/>
    <x v="1"/>
    <x v="1"/>
    <x v="3"/>
    <x v="3"/>
    <x v="3"/>
    <x v="2"/>
    <x v="2"/>
    <n v="1356.35890755692"/>
    <x v="0"/>
    <x v="1"/>
    <x v="2"/>
    <x v="2"/>
    <x v="13"/>
    <x v="2"/>
    <n v="1614.0670999927347"/>
  </r>
  <r>
    <x v="12"/>
    <x v="1"/>
    <x v="0"/>
    <x v="0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6.759"/>
  </r>
  <r>
    <x v="12"/>
    <x v="1"/>
    <x v="0"/>
    <x v="0"/>
    <x v="1"/>
    <x v="6"/>
    <x v="1"/>
    <x v="1"/>
    <x v="1"/>
    <x v="5"/>
    <x v="1"/>
    <x v="1"/>
    <x v="3"/>
    <x v="3"/>
    <x v="3"/>
    <x v="3"/>
    <x v="3"/>
    <n v="118.14902884700901"/>
    <x v="0"/>
    <x v="0"/>
    <x v="1"/>
    <x v="3"/>
    <x v="3"/>
    <x v="3"/>
    <n v="140.5973443279407"/>
  </r>
  <r>
    <x v="12"/>
    <x v="1"/>
    <x v="0"/>
    <x v="0"/>
    <x v="1"/>
    <x v="6"/>
    <x v="1"/>
    <x v="1"/>
    <x v="1"/>
    <x v="5"/>
    <x v="1"/>
    <x v="1"/>
    <x v="0"/>
    <x v="4"/>
    <x v="4"/>
    <x v="39"/>
    <x v="39"/>
    <n v="0.18424741120393001"/>
    <x v="0"/>
    <x v="0"/>
    <x v="1"/>
    <x v="4"/>
    <x v="5"/>
    <x v="9"/>
    <n v="0.2192544193326767"/>
  </r>
  <r>
    <x v="12"/>
    <x v="1"/>
    <x v="0"/>
    <x v="0"/>
    <x v="1"/>
    <x v="6"/>
    <x v="1"/>
    <x v="1"/>
    <x v="1"/>
    <x v="5"/>
    <x v="1"/>
    <x v="1"/>
    <x v="0"/>
    <x v="4"/>
    <x v="4"/>
    <x v="5"/>
    <x v="5"/>
    <n v="0.69613259669100003"/>
    <x v="0"/>
    <x v="0"/>
    <x v="1"/>
    <x v="1"/>
    <x v="1"/>
    <x v="5"/>
    <n v="0.82839779006228997"/>
  </r>
  <r>
    <x v="12"/>
    <x v="1"/>
    <x v="0"/>
    <x v="0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8821177999999996"/>
  </r>
  <r>
    <x v="12"/>
    <x v="1"/>
    <x v="0"/>
    <x v="0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7849999999999999"/>
  </r>
  <r>
    <x v="12"/>
    <x v="1"/>
    <x v="0"/>
    <x v="0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8575799999999996"/>
  </r>
  <r>
    <x v="12"/>
    <x v="1"/>
    <x v="0"/>
    <x v="0"/>
    <x v="1"/>
    <x v="6"/>
    <x v="1"/>
    <x v="1"/>
    <x v="1"/>
    <x v="5"/>
    <x v="1"/>
    <x v="1"/>
    <x v="0"/>
    <x v="4"/>
    <x v="4"/>
    <x v="7"/>
    <x v="7"/>
    <n v="-0.84301506024906003"/>
    <x v="0"/>
    <x v="0"/>
    <x v="1"/>
    <x v="4"/>
    <x v="5"/>
    <x v="7"/>
    <n v="-1.0031879216963815"/>
  </r>
  <r>
    <x v="12"/>
    <x v="1"/>
    <x v="0"/>
    <x v="0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21.48188"/>
  </r>
  <r>
    <x v="12"/>
    <x v="1"/>
    <x v="0"/>
    <x v="0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6179999999999999"/>
  </r>
  <r>
    <x v="12"/>
    <x v="1"/>
    <x v="0"/>
    <x v="0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38"/>
  </r>
  <r>
    <x v="12"/>
    <x v="1"/>
    <x v="0"/>
    <x v="0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52.409123199999996"/>
  </r>
  <r>
    <x v="12"/>
    <x v="1"/>
    <x v="0"/>
    <x v="0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4993999999999998"/>
  </r>
  <r>
    <x v="12"/>
    <x v="1"/>
    <x v="0"/>
    <x v="0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8.4968483"/>
  </r>
  <r>
    <x v="12"/>
    <x v="1"/>
    <x v="0"/>
    <x v="0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8793999999999995"/>
  </r>
  <r>
    <x v="12"/>
    <x v="1"/>
    <x v="0"/>
    <x v="0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5.2478999999999996"/>
  </r>
  <r>
    <x v="12"/>
    <x v="1"/>
    <x v="0"/>
    <x v="0"/>
    <x v="1"/>
    <x v="6"/>
    <x v="1"/>
    <x v="1"/>
    <x v="1"/>
    <x v="5"/>
    <x v="1"/>
    <x v="1"/>
    <x v="0"/>
    <x v="4"/>
    <x v="4"/>
    <x v="12"/>
    <x v="12"/>
    <n v="11.710806818144301"/>
    <x v="0"/>
    <x v="0"/>
    <x v="0"/>
    <x v="0"/>
    <x v="8"/>
    <x v="12"/>
    <n v="13.935860113591717"/>
  </r>
  <r>
    <x v="12"/>
    <x v="1"/>
    <x v="0"/>
    <x v="0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924599999999999"/>
  </r>
  <r>
    <x v="12"/>
    <x v="1"/>
    <x v="0"/>
    <x v="0"/>
    <x v="1"/>
    <x v="6"/>
    <x v="1"/>
    <x v="1"/>
    <x v="1"/>
    <x v="5"/>
    <x v="1"/>
    <x v="1"/>
    <x v="0"/>
    <x v="4"/>
    <x v="4"/>
    <x v="49"/>
    <x v="49"/>
    <n v="19.60784314"/>
    <x v="0"/>
    <x v="0"/>
    <x v="1"/>
    <x v="1"/>
    <x v="1"/>
    <x v="23"/>
    <n v="23.333333336599999"/>
  </r>
  <r>
    <x v="12"/>
    <x v="1"/>
    <x v="0"/>
    <x v="0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5.2478999999999996"/>
  </r>
  <r>
    <x v="12"/>
    <x v="1"/>
    <x v="0"/>
    <x v="0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21.7086702"/>
  </r>
  <r>
    <x v="12"/>
    <x v="1"/>
    <x v="0"/>
    <x v="0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3.0594900000000003"/>
  </r>
  <r>
    <x v="12"/>
    <x v="1"/>
    <x v="0"/>
    <x v="0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7934152000000001"/>
  </r>
  <r>
    <x v="12"/>
    <x v="1"/>
    <x v="0"/>
    <x v="0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6.2719782999999998"/>
  </r>
  <r>
    <x v="12"/>
    <x v="1"/>
    <x v="0"/>
    <x v="0"/>
    <x v="1"/>
    <x v="6"/>
    <x v="1"/>
    <x v="1"/>
    <x v="1"/>
    <x v="5"/>
    <x v="1"/>
    <x v="1"/>
    <x v="0"/>
    <x v="4"/>
    <x v="4"/>
    <x v="21"/>
    <x v="21"/>
    <n v="1.41944142993078"/>
    <x v="0"/>
    <x v="0"/>
    <x v="1"/>
    <x v="4"/>
    <x v="5"/>
    <x v="10"/>
    <n v="1.6891353016176283"/>
  </r>
  <r>
    <x v="12"/>
    <x v="1"/>
    <x v="0"/>
    <x v="0"/>
    <x v="1"/>
    <x v="6"/>
    <x v="1"/>
    <x v="1"/>
    <x v="1"/>
    <x v="5"/>
    <x v="1"/>
    <x v="1"/>
    <x v="0"/>
    <x v="4"/>
    <x v="4"/>
    <x v="27"/>
    <x v="27"/>
    <n v="1.56041418767657"/>
    <x v="0"/>
    <x v="0"/>
    <x v="1"/>
    <x v="3"/>
    <x v="3"/>
    <x v="19"/>
    <n v="1.8568928833351181"/>
  </r>
  <r>
    <x v="12"/>
    <x v="1"/>
    <x v="0"/>
    <x v="0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3089999999999999"/>
  </r>
  <r>
    <x v="12"/>
    <x v="1"/>
    <x v="0"/>
    <x v="0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5101218999999999"/>
  </r>
  <r>
    <x v="12"/>
    <x v="1"/>
    <x v="0"/>
    <x v="0"/>
    <x v="1"/>
    <x v="6"/>
    <x v="1"/>
    <x v="1"/>
    <x v="1"/>
    <x v="5"/>
    <x v="1"/>
    <x v="1"/>
    <x v="0"/>
    <x v="4"/>
    <x v="4"/>
    <x v="2"/>
    <x v="2"/>
    <n v="247.356890755189"/>
    <x v="0"/>
    <x v="1"/>
    <x v="2"/>
    <x v="2"/>
    <x v="13"/>
    <x v="2"/>
    <n v="294.3546999986749"/>
  </r>
  <r>
    <x v="12"/>
    <x v="1"/>
    <x v="0"/>
    <x v="0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8559999999999999"/>
  </r>
  <r>
    <x v="12"/>
    <x v="1"/>
    <x v="0"/>
    <x v="0"/>
    <x v="1"/>
    <x v="6"/>
    <x v="1"/>
    <x v="1"/>
    <x v="1"/>
    <x v="5"/>
    <x v="1"/>
    <x v="1"/>
    <x v="0"/>
    <x v="4"/>
    <x v="4"/>
    <x v="3"/>
    <x v="3"/>
    <n v="2.84237288105862"/>
    <x v="0"/>
    <x v="0"/>
    <x v="1"/>
    <x v="3"/>
    <x v="3"/>
    <x v="3"/>
    <n v="3.3824237284597576"/>
  </r>
  <r>
    <x v="12"/>
    <x v="1"/>
    <x v="0"/>
    <x v="0"/>
    <x v="1"/>
    <x v="6"/>
    <x v="1"/>
    <x v="1"/>
    <x v="1"/>
    <x v="5"/>
    <x v="1"/>
    <x v="1"/>
    <x v="2"/>
    <x v="2"/>
    <x v="2"/>
    <x v="39"/>
    <x v="39"/>
    <n v="0.19283834681636999"/>
    <x v="0"/>
    <x v="0"/>
    <x v="1"/>
    <x v="4"/>
    <x v="5"/>
    <x v="9"/>
    <n v="0.22947763271148028"/>
  </r>
  <r>
    <x v="12"/>
    <x v="1"/>
    <x v="0"/>
    <x v="0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5994048999999997"/>
  </r>
  <r>
    <x v="12"/>
    <x v="1"/>
    <x v="0"/>
    <x v="0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4.672699999999999"/>
  </r>
  <r>
    <x v="12"/>
    <x v="1"/>
    <x v="0"/>
    <x v="0"/>
    <x v="1"/>
    <x v="6"/>
    <x v="1"/>
    <x v="1"/>
    <x v="1"/>
    <x v="5"/>
    <x v="1"/>
    <x v="1"/>
    <x v="2"/>
    <x v="2"/>
    <x v="2"/>
    <x v="7"/>
    <x v="7"/>
    <n v="1.63294117646324"/>
    <x v="0"/>
    <x v="0"/>
    <x v="1"/>
    <x v="4"/>
    <x v="5"/>
    <x v="7"/>
    <n v="1.9431999999912555"/>
  </r>
  <r>
    <x v="12"/>
    <x v="1"/>
    <x v="0"/>
    <x v="0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21.372399999999999"/>
  </r>
  <r>
    <x v="12"/>
    <x v="1"/>
    <x v="0"/>
    <x v="0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105.7992586"/>
  </r>
  <r>
    <x v="12"/>
    <x v="1"/>
    <x v="0"/>
    <x v="0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6.407619999999994"/>
  </r>
  <r>
    <x v="12"/>
    <x v="1"/>
    <x v="0"/>
    <x v="0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2.4117"/>
  </r>
  <r>
    <x v="12"/>
    <x v="1"/>
    <x v="0"/>
    <x v="0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4.0459999999999994"/>
  </r>
  <r>
    <x v="12"/>
    <x v="1"/>
    <x v="0"/>
    <x v="0"/>
    <x v="1"/>
    <x v="6"/>
    <x v="1"/>
    <x v="1"/>
    <x v="1"/>
    <x v="5"/>
    <x v="1"/>
    <x v="1"/>
    <x v="2"/>
    <x v="2"/>
    <x v="2"/>
    <x v="12"/>
    <x v="12"/>
    <n v="9.6545454545145599"/>
    <x v="0"/>
    <x v="0"/>
    <x v="0"/>
    <x v="0"/>
    <x v="8"/>
    <x v="12"/>
    <n v="11.488909090872326"/>
  </r>
  <r>
    <x v="12"/>
    <x v="1"/>
    <x v="0"/>
    <x v="0"/>
    <x v="1"/>
    <x v="6"/>
    <x v="1"/>
    <x v="1"/>
    <x v="1"/>
    <x v="5"/>
    <x v="1"/>
    <x v="1"/>
    <x v="2"/>
    <x v="2"/>
    <x v="2"/>
    <x v="49"/>
    <x v="49"/>
    <n v="132.78480903819801"/>
    <x v="0"/>
    <x v="0"/>
    <x v="1"/>
    <x v="1"/>
    <x v="1"/>
    <x v="23"/>
    <n v="158.01392275545561"/>
  </r>
  <r>
    <x v="12"/>
    <x v="1"/>
    <x v="0"/>
    <x v="0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4.345303999999999"/>
  </r>
  <r>
    <x v="12"/>
    <x v="1"/>
    <x v="0"/>
    <x v="0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3.7445"/>
  </r>
  <r>
    <x v="12"/>
    <x v="1"/>
    <x v="0"/>
    <x v="0"/>
    <x v="1"/>
    <x v="6"/>
    <x v="1"/>
    <x v="1"/>
    <x v="1"/>
    <x v="5"/>
    <x v="1"/>
    <x v="1"/>
    <x v="2"/>
    <x v="2"/>
    <x v="2"/>
    <x v="27"/>
    <x v="27"/>
    <n v="2.5720640732818398"/>
    <x v="0"/>
    <x v="0"/>
    <x v="1"/>
    <x v="3"/>
    <x v="3"/>
    <x v="19"/>
    <n v="3.0607562472053891"/>
  </r>
  <r>
    <x v="12"/>
    <x v="1"/>
    <x v="0"/>
    <x v="0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9749999999999996"/>
  </r>
  <r>
    <x v="12"/>
    <x v="1"/>
    <x v="0"/>
    <x v="0"/>
    <x v="1"/>
    <x v="6"/>
    <x v="1"/>
    <x v="1"/>
    <x v="1"/>
    <x v="5"/>
    <x v="1"/>
    <x v="1"/>
    <x v="2"/>
    <x v="2"/>
    <x v="2"/>
    <x v="2"/>
    <x v="2"/>
    <n v="98.454831932330094"/>
    <x v="0"/>
    <x v="1"/>
    <x v="2"/>
    <x v="2"/>
    <x v="13"/>
    <x v="2"/>
    <n v="117.1612499994728"/>
  </r>
  <r>
    <x v="12"/>
    <x v="1"/>
    <x v="0"/>
    <x v="0"/>
    <x v="1"/>
    <x v="6"/>
    <x v="0"/>
    <x v="0"/>
    <x v="0"/>
    <x v="0"/>
    <x v="2"/>
    <x v="2"/>
    <x v="3"/>
    <x v="3"/>
    <x v="3"/>
    <x v="77"/>
    <x v="77"/>
    <n v="62.673159663583498"/>
    <x v="0"/>
    <x v="2"/>
    <x v="5"/>
    <x v="7"/>
    <x v="12"/>
    <x v="24"/>
    <n v="74.581059999664362"/>
  </r>
  <r>
    <x v="12"/>
    <x v="1"/>
    <x v="0"/>
    <x v="0"/>
    <x v="1"/>
    <x v="6"/>
    <x v="0"/>
    <x v="0"/>
    <x v="0"/>
    <x v="0"/>
    <x v="2"/>
    <x v="2"/>
    <x v="2"/>
    <x v="2"/>
    <x v="2"/>
    <x v="8"/>
    <x v="8"/>
    <n v="15.250881987519699"/>
    <x v="0"/>
    <x v="1"/>
    <x v="2"/>
    <x v="2"/>
    <x v="6"/>
    <x v="8"/>
    <n v="18.148549565148443"/>
  </r>
  <r>
    <x v="12"/>
    <x v="1"/>
    <x v="0"/>
    <x v="0"/>
    <x v="1"/>
    <x v="6"/>
    <x v="0"/>
    <x v="0"/>
    <x v="0"/>
    <x v="0"/>
    <x v="2"/>
    <x v="2"/>
    <x v="1"/>
    <x v="6"/>
    <x v="6"/>
    <x v="77"/>
    <x v="77"/>
    <n v="0.47725210083818997"/>
    <x v="0"/>
    <x v="2"/>
    <x v="5"/>
    <x v="7"/>
    <x v="12"/>
    <x v="24"/>
    <n v="0.56792999999744609"/>
  </r>
  <r>
    <x v="12"/>
    <x v="1"/>
    <x v="0"/>
    <x v="0"/>
    <x v="1"/>
    <x v="6"/>
    <x v="0"/>
    <x v="0"/>
    <x v="0"/>
    <x v="0"/>
    <x v="0"/>
    <x v="0"/>
    <x v="3"/>
    <x v="3"/>
    <x v="3"/>
    <x v="5"/>
    <x v="5"/>
    <n v="30.819889503024399"/>
    <x v="0"/>
    <x v="0"/>
    <x v="1"/>
    <x v="1"/>
    <x v="1"/>
    <x v="5"/>
    <n v="36.675668508599031"/>
  </r>
  <r>
    <x v="12"/>
    <x v="1"/>
    <x v="0"/>
    <x v="0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1619160000000001"/>
  </r>
  <r>
    <x v="12"/>
    <x v="1"/>
    <x v="0"/>
    <x v="0"/>
    <x v="1"/>
    <x v="6"/>
    <x v="0"/>
    <x v="0"/>
    <x v="0"/>
    <x v="0"/>
    <x v="0"/>
    <x v="0"/>
    <x v="3"/>
    <x v="3"/>
    <x v="3"/>
    <x v="11"/>
    <x v="11"/>
    <n v="-0.64961999999999998"/>
    <x v="0"/>
    <x v="0"/>
    <x v="3"/>
    <x v="5"/>
    <x v="7"/>
    <x v="11"/>
    <n v="-0.77304779999999995"/>
  </r>
  <r>
    <x v="12"/>
    <x v="1"/>
    <x v="0"/>
    <x v="0"/>
    <x v="1"/>
    <x v="6"/>
    <x v="0"/>
    <x v="0"/>
    <x v="0"/>
    <x v="0"/>
    <x v="0"/>
    <x v="0"/>
    <x v="3"/>
    <x v="3"/>
    <x v="3"/>
    <x v="26"/>
    <x v="26"/>
    <n v="72.321243697153506"/>
    <x v="0"/>
    <x v="0"/>
    <x v="1"/>
    <x v="3"/>
    <x v="3"/>
    <x v="15"/>
    <n v="86.06227999961267"/>
  </r>
  <r>
    <x v="12"/>
    <x v="1"/>
    <x v="0"/>
    <x v="0"/>
    <x v="1"/>
    <x v="6"/>
    <x v="0"/>
    <x v="0"/>
    <x v="0"/>
    <x v="0"/>
    <x v="0"/>
    <x v="0"/>
    <x v="0"/>
    <x v="4"/>
    <x v="4"/>
    <x v="7"/>
    <x v="7"/>
    <n v="-1.4307228915800001E-3"/>
    <x v="0"/>
    <x v="0"/>
    <x v="1"/>
    <x v="4"/>
    <x v="5"/>
    <x v="7"/>
    <n v="-1.7025602409802001E-3"/>
  </r>
  <r>
    <x v="12"/>
    <x v="1"/>
    <x v="0"/>
    <x v="0"/>
    <x v="1"/>
    <x v="6"/>
    <x v="0"/>
    <x v="0"/>
    <x v="0"/>
    <x v="0"/>
    <x v="0"/>
    <x v="0"/>
    <x v="0"/>
    <x v="4"/>
    <x v="4"/>
    <x v="9"/>
    <x v="9"/>
    <n v="4.6592362737531801"/>
    <x v="0"/>
    <x v="0"/>
    <x v="1"/>
    <x v="4"/>
    <x v="5"/>
    <x v="9"/>
    <n v="5.5444911657662841"/>
  </r>
  <r>
    <x v="12"/>
    <x v="1"/>
    <x v="0"/>
    <x v="0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74.867160200000001"/>
  </r>
  <r>
    <x v="12"/>
    <x v="1"/>
    <x v="0"/>
    <x v="0"/>
    <x v="1"/>
    <x v="6"/>
    <x v="0"/>
    <x v="0"/>
    <x v="0"/>
    <x v="0"/>
    <x v="0"/>
    <x v="0"/>
    <x v="0"/>
    <x v="4"/>
    <x v="4"/>
    <x v="31"/>
    <x v="31"/>
    <n v="2.8067899159537602"/>
    <x v="0"/>
    <x v="0"/>
    <x v="1"/>
    <x v="4"/>
    <x v="5"/>
    <x v="10"/>
    <n v="3.3400799999849746"/>
  </r>
  <r>
    <x v="12"/>
    <x v="1"/>
    <x v="0"/>
    <x v="0"/>
    <x v="1"/>
    <x v="6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5200200000000001"/>
  </r>
  <r>
    <x v="12"/>
    <x v="1"/>
    <x v="0"/>
    <x v="0"/>
    <x v="1"/>
    <x v="6"/>
    <x v="0"/>
    <x v="0"/>
    <x v="0"/>
    <x v="0"/>
    <x v="0"/>
    <x v="0"/>
    <x v="0"/>
    <x v="4"/>
    <x v="4"/>
    <x v="25"/>
    <x v="25"/>
    <n v="6.8364117646751197"/>
    <x v="0"/>
    <x v="0"/>
    <x v="1"/>
    <x v="4"/>
    <x v="5"/>
    <x v="9"/>
    <n v="8.1353299999633926"/>
  </r>
  <r>
    <x v="12"/>
    <x v="1"/>
    <x v="0"/>
    <x v="0"/>
    <x v="1"/>
    <x v="6"/>
    <x v="0"/>
    <x v="0"/>
    <x v="0"/>
    <x v="0"/>
    <x v="0"/>
    <x v="0"/>
    <x v="0"/>
    <x v="4"/>
    <x v="4"/>
    <x v="37"/>
    <x v="37"/>
    <n v="117.070588234767"/>
    <x v="0"/>
    <x v="0"/>
    <x v="1"/>
    <x v="3"/>
    <x v="3"/>
    <x v="4"/>
    <n v="139.31399999937273"/>
  </r>
  <r>
    <x v="12"/>
    <x v="1"/>
    <x v="0"/>
    <x v="0"/>
    <x v="1"/>
    <x v="6"/>
    <x v="0"/>
    <x v="0"/>
    <x v="0"/>
    <x v="0"/>
    <x v="0"/>
    <x v="0"/>
    <x v="0"/>
    <x v="4"/>
    <x v="4"/>
    <x v="26"/>
    <x v="26"/>
    <n v="28.652907562896299"/>
    <x v="0"/>
    <x v="0"/>
    <x v="1"/>
    <x v="3"/>
    <x v="3"/>
    <x v="15"/>
    <n v="34.096959999846597"/>
  </r>
  <r>
    <x v="12"/>
    <x v="1"/>
    <x v="0"/>
    <x v="0"/>
    <x v="1"/>
    <x v="6"/>
    <x v="0"/>
    <x v="0"/>
    <x v="0"/>
    <x v="0"/>
    <x v="0"/>
    <x v="0"/>
    <x v="0"/>
    <x v="4"/>
    <x v="4"/>
    <x v="2"/>
    <x v="2"/>
    <n v="356.84326050259602"/>
    <x v="0"/>
    <x v="1"/>
    <x v="2"/>
    <x v="2"/>
    <x v="13"/>
    <x v="2"/>
    <n v="424.64347999808928"/>
  </r>
  <r>
    <x v="12"/>
    <x v="1"/>
    <x v="0"/>
    <x v="0"/>
    <x v="1"/>
    <x v="6"/>
    <x v="0"/>
    <x v="0"/>
    <x v="0"/>
    <x v="0"/>
    <x v="0"/>
    <x v="0"/>
    <x v="0"/>
    <x v="4"/>
    <x v="4"/>
    <x v="3"/>
    <x v="3"/>
    <n v="23.064590011330001"/>
    <x v="0"/>
    <x v="0"/>
    <x v="1"/>
    <x v="3"/>
    <x v="3"/>
    <x v="3"/>
    <n v="27.446862113482698"/>
  </r>
  <r>
    <x v="12"/>
    <x v="1"/>
    <x v="0"/>
    <x v="0"/>
    <x v="1"/>
    <x v="6"/>
    <x v="0"/>
    <x v="0"/>
    <x v="0"/>
    <x v="0"/>
    <x v="0"/>
    <x v="0"/>
    <x v="0"/>
    <x v="0"/>
    <x v="0"/>
    <x v="5"/>
    <x v="5"/>
    <n v="21.850276243279701"/>
    <x v="0"/>
    <x v="0"/>
    <x v="1"/>
    <x v="1"/>
    <x v="1"/>
    <x v="5"/>
    <n v="26.001828729502844"/>
  </r>
  <r>
    <x v="12"/>
    <x v="1"/>
    <x v="0"/>
    <x v="0"/>
    <x v="1"/>
    <x v="6"/>
    <x v="0"/>
    <x v="0"/>
    <x v="0"/>
    <x v="0"/>
    <x v="0"/>
    <x v="0"/>
    <x v="0"/>
    <x v="0"/>
    <x v="0"/>
    <x v="7"/>
    <x v="7"/>
    <n v="31.557142857000901"/>
    <x v="0"/>
    <x v="0"/>
    <x v="1"/>
    <x v="4"/>
    <x v="5"/>
    <x v="7"/>
    <n v="37.552999999831073"/>
  </r>
  <r>
    <x v="12"/>
    <x v="1"/>
    <x v="0"/>
    <x v="0"/>
    <x v="1"/>
    <x v="6"/>
    <x v="0"/>
    <x v="0"/>
    <x v="0"/>
    <x v="0"/>
    <x v="0"/>
    <x v="0"/>
    <x v="0"/>
    <x v="0"/>
    <x v="0"/>
    <x v="9"/>
    <x v="9"/>
    <n v="33.596483497709997"/>
    <x v="0"/>
    <x v="0"/>
    <x v="1"/>
    <x v="4"/>
    <x v="5"/>
    <x v="9"/>
    <n v="39.979815362274891"/>
  </r>
  <r>
    <x v="12"/>
    <x v="1"/>
    <x v="0"/>
    <x v="0"/>
    <x v="1"/>
    <x v="6"/>
    <x v="0"/>
    <x v="0"/>
    <x v="0"/>
    <x v="0"/>
    <x v="0"/>
    <x v="0"/>
    <x v="0"/>
    <x v="0"/>
    <x v="0"/>
    <x v="10"/>
    <x v="10"/>
    <n v="4.7575443333824001"/>
    <x v="0"/>
    <x v="0"/>
    <x v="1"/>
    <x v="4"/>
    <x v="5"/>
    <x v="10"/>
    <n v="5.6614777567250556"/>
  </r>
  <r>
    <x v="12"/>
    <x v="1"/>
    <x v="0"/>
    <x v="0"/>
    <x v="1"/>
    <x v="6"/>
    <x v="0"/>
    <x v="0"/>
    <x v="0"/>
    <x v="0"/>
    <x v="0"/>
    <x v="0"/>
    <x v="0"/>
    <x v="0"/>
    <x v="0"/>
    <x v="26"/>
    <x v="26"/>
    <n v="8.3984033613067499"/>
    <x v="0"/>
    <x v="0"/>
    <x v="1"/>
    <x v="3"/>
    <x v="3"/>
    <x v="15"/>
    <n v="9.9940999999550311"/>
  </r>
  <r>
    <x v="12"/>
    <x v="1"/>
    <x v="0"/>
    <x v="0"/>
    <x v="1"/>
    <x v="6"/>
    <x v="0"/>
    <x v="0"/>
    <x v="0"/>
    <x v="0"/>
    <x v="0"/>
    <x v="0"/>
    <x v="0"/>
    <x v="0"/>
    <x v="0"/>
    <x v="1"/>
    <x v="1"/>
    <n v="84.864800000424296"/>
    <x v="0"/>
    <x v="0"/>
    <x v="1"/>
    <x v="1"/>
    <x v="1"/>
    <x v="1"/>
    <n v="100.9891120005049"/>
  </r>
  <r>
    <x v="12"/>
    <x v="1"/>
    <x v="0"/>
    <x v="0"/>
    <x v="1"/>
    <x v="6"/>
    <x v="0"/>
    <x v="0"/>
    <x v="0"/>
    <x v="0"/>
    <x v="0"/>
    <x v="0"/>
    <x v="0"/>
    <x v="0"/>
    <x v="0"/>
    <x v="2"/>
    <x v="2"/>
    <n v="582.49149579569803"/>
    <x v="0"/>
    <x v="1"/>
    <x v="2"/>
    <x v="2"/>
    <x v="13"/>
    <x v="2"/>
    <n v="693.16487999688059"/>
  </r>
  <r>
    <x v="12"/>
    <x v="1"/>
    <x v="0"/>
    <x v="0"/>
    <x v="1"/>
    <x v="6"/>
    <x v="0"/>
    <x v="0"/>
    <x v="0"/>
    <x v="0"/>
    <x v="0"/>
    <x v="0"/>
    <x v="1"/>
    <x v="1"/>
    <x v="1"/>
    <x v="5"/>
    <x v="5"/>
    <n v="286.64638674276802"/>
    <x v="0"/>
    <x v="0"/>
    <x v="1"/>
    <x v="1"/>
    <x v="1"/>
    <x v="5"/>
    <n v="341.10920022389394"/>
  </r>
  <r>
    <x v="12"/>
    <x v="1"/>
    <x v="0"/>
    <x v="0"/>
    <x v="1"/>
    <x v="6"/>
    <x v="0"/>
    <x v="0"/>
    <x v="0"/>
    <x v="0"/>
    <x v="0"/>
    <x v="0"/>
    <x v="1"/>
    <x v="1"/>
    <x v="1"/>
    <x v="7"/>
    <x v="7"/>
    <n v="34.168100840182397"/>
    <x v="0"/>
    <x v="0"/>
    <x v="1"/>
    <x v="4"/>
    <x v="5"/>
    <x v="7"/>
    <n v="40.660039999817052"/>
  </r>
  <r>
    <x v="12"/>
    <x v="1"/>
    <x v="0"/>
    <x v="0"/>
    <x v="1"/>
    <x v="6"/>
    <x v="0"/>
    <x v="0"/>
    <x v="0"/>
    <x v="0"/>
    <x v="0"/>
    <x v="0"/>
    <x v="1"/>
    <x v="1"/>
    <x v="1"/>
    <x v="27"/>
    <x v="27"/>
    <n v="6.1682768880044696"/>
    <x v="0"/>
    <x v="0"/>
    <x v="1"/>
    <x v="3"/>
    <x v="3"/>
    <x v="19"/>
    <n v="7.3402494967253187"/>
  </r>
  <r>
    <x v="12"/>
    <x v="1"/>
    <x v="0"/>
    <x v="0"/>
    <x v="1"/>
    <x v="6"/>
    <x v="0"/>
    <x v="0"/>
    <x v="0"/>
    <x v="0"/>
    <x v="0"/>
    <x v="0"/>
    <x v="1"/>
    <x v="1"/>
    <x v="1"/>
    <x v="26"/>
    <x v="26"/>
    <n v="20.888210083939601"/>
    <x v="0"/>
    <x v="0"/>
    <x v="1"/>
    <x v="3"/>
    <x v="3"/>
    <x v="15"/>
    <n v="24.856969999888125"/>
  </r>
  <r>
    <x v="12"/>
    <x v="1"/>
    <x v="0"/>
    <x v="0"/>
    <x v="0"/>
    <x v="1"/>
    <x v="0"/>
    <x v="0"/>
    <x v="0"/>
    <x v="0"/>
    <x v="0"/>
    <x v="0"/>
    <x v="0"/>
    <x v="4"/>
    <x v="4"/>
    <x v="30"/>
    <x v="30"/>
    <n v="81.265548386771698"/>
    <x v="0"/>
    <x v="0"/>
    <x v="0"/>
    <x v="0"/>
    <x v="0"/>
    <x v="0"/>
    <n v="96.706002580258314"/>
  </r>
  <r>
    <x v="12"/>
    <x v="1"/>
    <x v="0"/>
    <x v="0"/>
    <x v="0"/>
    <x v="1"/>
    <x v="0"/>
    <x v="0"/>
    <x v="0"/>
    <x v="0"/>
    <x v="0"/>
    <x v="0"/>
    <x v="0"/>
    <x v="4"/>
    <x v="4"/>
    <x v="11"/>
    <x v="11"/>
    <n v="545.36086999999998"/>
    <x v="0"/>
    <x v="0"/>
    <x v="3"/>
    <x v="5"/>
    <x v="7"/>
    <x v="11"/>
    <n v="648.97943529999998"/>
  </r>
  <r>
    <x v="12"/>
    <x v="1"/>
    <x v="0"/>
    <x v="0"/>
    <x v="0"/>
    <x v="1"/>
    <x v="0"/>
    <x v="0"/>
    <x v="0"/>
    <x v="0"/>
    <x v="0"/>
    <x v="0"/>
    <x v="0"/>
    <x v="4"/>
    <x v="4"/>
    <x v="12"/>
    <x v="12"/>
    <n v="439.34028408950297"/>
    <x v="0"/>
    <x v="0"/>
    <x v="0"/>
    <x v="0"/>
    <x v="8"/>
    <x v="12"/>
    <n v="522.81493806650849"/>
  </r>
  <r>
    <x v="12"/>
    <x v="1"/>
    <x v="0"/>
    <x v="0"/>
    <x v="0"/>
    <x v="1"/>
    <x v="0"/>
    <x v="0"/>
    <x v="0"/>
    <x v="0"/>
    <x v="0"/>
    <x v="0"/>
    <x v="0"/>
    <x v="4"/>
    <x v="4"/>
    <x v="16"/>
    <x v="16"/>
    <n v="202.35840999999999"/>
    <x v="0"/>
    <x v="0"/>
    <x v="3"/>
    <x v="5"/>
    <x v="9"/>
    <x v="16"/>
    <n v="240.80650789999999"/>
  </r>
  <r>
    <x v="12"/>
    <x v="1"/>
    <x v="0"/>
    <x v="0"/>
    <x v="0"/>
    <x v="1"/>
    <x v="0"/>
    <x v="0"/>
    <x v="0"/>
    <x v="0"/>
    <x v="0"/>
    <x v="0"/>
    <x v="0"/>
    <x v="4"/>
    <x v="4"/>
    <x v="24"/>
    <x v="24"/>
    <n v="1.0636134453733701"/>
    <x v="0"/>
    <x v="0"/>
    <x v="1"/>
    <x v="3"/>
    <x v="3"/>
    <x v="4"/>
    <n v="1.2656999999943104"/>
  </r>
  <r>
    <x v="12"/>
    <x v="1"/>
    <x v="0"/>
    <x v="0"/>
    <x v="0"/>
    <x v="1"/>
    <x v="0"/>
    <x v="0"/>
    <x v="0"/>
    <x v="0"/>
    <x v="0"/>
    <x v="0"/>
    <x v="0"/>
    <x v="4"/>
    <x v="4"/>
    <x v="27"/>
    <x v="27"/>
    <n v="128.50563844669901"/>
    <x v="0"/>
    <x v="0"/>
    <x v="1"/>
    <x v="3"/>
    <x v="3"/>
    <x v="19"/>
    <n v="152.92170975157183"/>
  </r>
  <r>
    <x v="12"/>
    <x v="1"/>
    <x v="0"/>
    <x v="0"/>
    <x v="0"/>
    <x v="1"/>
    <x v="0"/>
    <x v="0"/>
    <x v="0"/>
    <x v="0"/>
    <x v="0"/>
    <x v="0"/>
    <x v="0"/>
    <x v="4"/>
    <x v="4"/>
    <x v="86"/>
    <x v="86"/>
    <n v="123.88266"/>
    <x v="0"/>
    <x v="0"/>
    <x v="1"/>
    <x v="3"/>
    <x v="3"/>
    <x v="13"/>
    <n v="147.42036540000001"/>
  </r>
  <r>
    <x v="12"/>
    <x v="1"/>
    <x v="0"/>
    <x v="0"/>
    <x v="0"/>
    <x v="1"/>
    <x v="0"/>
    <x v="0"/>
    <x v="0"/>
    <x v="0"/>
    <x v="0"/>
    <x v="0"/>
    <x v="0"/>
    <x v="4"/>
    <x v="4"/>
    <x v="2"/>
    <x v="2"/>
    <n v="1425.5610420103901"/>
    <x v="0"/>
    <x v="1"/>
    <x v="2"/>
    <x v="2"/>
    <x v="13"/>
    <x v="2"/>
    <n v="1696.4176399923642"/>
  </r>
  <r>
    <x v="12"/>
    <x v="1"/>
    <x v="0"/>
    <x v="0"/>
    <x v="0"/>
    <x v="1"/>
    <x v="0"/>
    <x v="0"/>
    <x v="0"/>
    <x v="0"/>
    <x v="0"/>
    <x v="0"/>
    <x v="0"/>
    <x v="0"/>
    <x v="0"/>
    <x v="5"/>
    <x v="5"/>
    <n v="34.566276243387698"/>
    <x v="0"/>
    <x v="0"/>
    <x v="1"/>
    <x v="1"/>
    <x v="1"/>
    <x v="5"/>
    <n v="41.133868729631359"/>
  </r>
  <r>
    <x v="12"/>
    <x v="1"/>
    <x v="0"/>
    <x v="0"/>
    <x v="0"/>
    <x v="1"/>
    <x v="0"/>
    <x v="0"/>
    <x v="0"/>
    <x v="0"/>
    <x v="0"/>
    <x v="0"/>
    <x v="0"/>
    <x v="0"/>
    <x v="0"/>
    <x v="6"/>
    <x v="6"/>
    <n v="60.303730000000002"/>
    <x v="0"/>
    <x v="0"/>
    <x v="0"/>
    <x v="0"/>
    <x v="4"/>
    <x v="6"/>
    <n v="71.761438699999999"/>
  </r>
  <r>
    <x v="12"/>
    <x v="1"/>
    <x v="0"/>
    <x v="0"/>
    <x v="0"/>
    <x v="1"/>
    <x v="0"/>
    <x v="0"/>
    <x v="0"/>
    <x v="0"/>
    <x v="0"/>
    <x v="0"/>
    <x v="0"/>
    <x v="0"/>
    <x v="0"/>
    <x v="7"/>
    <x v="7"/>
    <n v="21.042168067132199"/>
    <x v="0"/>
    <x v="0"/>
    <x v="1"/>
    <x v="4"/>
    <x v="5"/>
    <x v="7"/>
    <n v="25.040179999887314"/>
  </r>
  <r>
    <x v="12"/>
    <x v="1"/>
    <x v="0"/>
    <x v="0"/>
    <x v="0"/>
    <x v="1"/>
    <x v="0"/>
    <x v="0"/>
    <x v="0"/>
    <x v="0"/>
    <x v="0"/>
    <x v="0"/>
    <x v="0"/>
    <x v="0"/>
    <x v="0"/>
    <x v="8"/>
    <x v="8"/>
    <n v="2061.9337018555202"/>
    <x v="0"/>
    <x v="1"/>
    <x v="2"/>
    <x v="2"/>
    <x v="6"/>
    <x v="8"/>
    <n v="2453.7011052080688"/>
  </r>
  <r>
    <x v="12"/>
    <x v="1"/>
    <x v="0"/>
    <x v="0"/>
    <x v="0"/>
    <x v="1"/>
    <x v="0"/>
    <x v="0"/>
    <x v="0"/>
    <x v="0"/>
    <x v="0"/>
    <x v="0"/>
    <x v="0"/>
    <x v="0"/>
    <x v="0"/>
    <x v="9"/>
    <x v="9"/>
    <n v="667.27113070227097"/>
    <x v="0"/>
    <x v="0"/>
    <x v="1"/>
    <x v="4"/>
    <x v="5"/>
    <x v="9"/>
    <n v="794.05264553570237"/>
  </r>
  <r>
    <x v="12"/>
    <x v="1"/>
    <x v="0"/>
    <x v="0"/>
    <x v="0"/>
    <x v="1"/>
    <x v="0"/>
    <x v="0"/>
    <x v="0"/>
    <x v="0"/>
    <x v="0"/>
    <x v="0"/>
    <x v="0"/>
    <x v="0"/>
    <x v="0"/>
    <x v="10"/>
    <x v="10"/>
    <n v="73.082725871993304"/>
    <x v="0"/>
    <x v="0"/>
    <x v="1"/>
    <x v="4"/>
    <x v="5"/>
    <x v="10"/>
    <n v="86.96844378767203"/>
  </r>
  <r>
    <x v="12"/>
    <x v="1"/>
    <x v="0"/>
    <x v="0"/>
    <x v="0"/>
    <x v="1"/>
    <x v="0"/>
    <x v="0"/>
    <x v="0"/>
    <x v="0"/>
    <x v="0"/>
    <x v="0"/>
    <x v="0"/>
    <x v="0"/>
    <x v="0"/>
    <x v="55"/>
    <x v="55"/>
    <n v="0.84976470587853004"/>
    <x v="0"/>
    <x v="0"/>
    <x v="1"/>
    <x v="3"/>
    <x v="3"/>
    <x v="15"/>
    <n v="1.0112199999954508"/>
  </r>
  <r>
    <x v="12"/>
    <x v="1"/>
    <x v="0"/>
    <x v="0"/>
    <x v="0"/>
    <x v="1"/>
    <x v="0"/>
    <x v="0"/>
    <x v="0"/>
    <x v="0"/>
    <x v="0"/>
    <x v="0"/>
    <x v="0"/>
    <x v="0"/>
    <x v="0"/>
    <x v="11"/>
    <x v="11"/>
    <n v="75.327330000000003"/>
    <x v="0"/>
    <x v="0"/>
    <x v="3"/>
    <x v="5"/>
    <x v="7"/>
    <x v="11"/>
    <n v="89.639522700000001"/>
  </r>
  <r>
    <x v="12"/>
    <x v="1"/>
    <x v="0"/>
    <x v="0"/>
    <x v="0"/>
    <x v="1"/>
    <x v="0"/>
    <x v="0"/>
    <x v="0"/>
    <x v="0"/>
    <x v="0"/>
    <x v="0"/>
    <x v="0"/>
    <x v="0"/>
    <x v="0"/>
    <x v="12"/>
    <x v="12"/>
    <n v="371.46206818063001"/>
    <x v="0"/>
    <x v="0"/>
    <x v="0"/>
    <x v="0"/>
    <x v="8"/>
    <x v="12"/>
    <n v="442.03986113494972"/>
  </r>
  <r>
    <x v="12"/>
    <x v="1"/>
    <x v="0"/>
    <x v="0"/>
    <x v="0"/>
    <x v="1"/>
    <x v="0"/>
    <x v="0"/>
    <x v="0"/>
    <x v="0"/>
    <x v="0"/>
    <x v="0"/>
    <x v="0"/>
    <x v="0"/>
    <x v="0"/>
    <x v="14"/>
    <x v="14"/>
    <n v="42.883069999999996"/>
    <x v="0"/>
    <x v="0"/>
    <x v="0"/>
    <x v="0"/>
    <x v="8"/>
    <x v="14"/>
    <n v="51.030853299999997"/>
  </r>
  <r>
    <x v="12"/>
    <x v="1"/>
    <x v="0"/>
    <x v="0"/>
    <x v="0"/>
    <x v="1"/>
    <x v="0"/>
    <x v="0"/>
    <x v="0"/>
    <x v="0"/>
    <x v="0"/>
    <x v="0"/>
    <x v="0"/>
    <x v="0"/>
    <x v="0"/>
    <x v="22"/>
    <x v="22"/>
    <n v="14.3598991934909"/>
    <x v="0"/>
    <x v="0"/>
    <x v="0"/>
    <x v="0"/>
    <x v="0"/>
    <x v="0"/>
    <n v="17.088280040254169"/>
  </r>
  <r>
    <x v="12"/>
    <x v="1"/>
    <x v="0"/>
    <x v="0"/>
    <x v="0"/>
    <x v="1"/>
    <x v="0"/>
    <x v="0"/>
    <x v="0"/>
    <x v="0"/>
    <x v="0"/>
    <x v="0"/>
    <x v="0"/>
    <x v="0"/>
    <x v="0"/>
    <x v="16"/>
    <x v="16"/>
    <n v="394.76316000000003"/>
    <x v="0"/>
    <x v="0"/>
    <x v="3"/>
    <x v="5"/>
    <x v="9"/>
    <x v="16"/>
    <n v="469.7681604"/>
  </r>
  <r>
    <x v="12"/>
    <x v="1"/>
    <x v="0"/>
    <x v="0"/>
    <x v="0"/>
    <x v="1"/>
    <x v="0"/>
    <x v="0"/>
    <x v="0"/>
    <x v="0"/>
    <x v="0"/>
    <x v="0"/>
    <x v="0"/>
    <x v="0"/>
    <x v="0"/>
    <x v="23"/>
    <x v="23"/>
    <n v="5.54623529409269"/>
    <x v="0"/>
    <x v="0"/>
    <x v="1"/>
    <x v="3"/>
    <x v="3"/>
    <x v="15"/>
    <n v="6.6000199999703009"/>
  </r>
  <r>
    <x v="12"/>
    <x v="1"/>
    <x v="0"/>
    <x v="0"/>
    <x v="0"/>
    <x v="1"/>
    <x v="0"/>
    <x v="0"/>
    <x v="0"/>
    <x v="0"/>
    <x v="0"/>
    <x v="0"/>
    <x v="0"/>
    <x v="0"/>
    <x v="0"/>
    <x v="24"/>
    <x v="24"/>
    <n v="7.8827731092082303"/>
    <x v="0"/>
    <x v="0"/>
    <x v="1"/>
    <x v="3"/>
    <x v="3"/>
    <x v="4"/>
    <n v="9.3804999999577934"/>
  </r>
  <r>
    <x v="12"/>
    <x v="1"/>
    <x v="0"/>
    <x v="0"/>
    <x v="0"/>
    <x v="1"/>
    <x v="0"/>
    <x v="0"/>
    <x v="0"/>
    <x v="0"/>
    <x v="0"/>
    <x v="0"/>
    <x v="0"/>
    <x v="0"/>
    <x v="0"/>
    <x v="21"/>
    <x v="21"/>
    <n v="1.98413445377258"/>
    <x v="0"/>
    <x v="0"/>
    <x v="1"/>
    <x v="4"/>
    <x v="5"/>
    <x v="10"/>
    <n v="2.3611199999893699"/>
  </r>
  <r>
    <x v="12"/>
    <x v="1"/>
    <x v="0"/>
    <x v="0"/>
    <x v="0"/>
    <x v="1"/>
    <x v="0"/>
    <x v="0"/>
    <x v="0"/>
    <x v="0"/>
    <x v="0"/>
    <x v="0"/>
    <x v="0"/>
    <x v="0"/>
    <x v="0"/>
    <x v="18"/>
    <x v="18"/>
    <n v="24.299440000000001"/>
    <x v="0"/>
    <x v="0"/>
    <x v="0"/>
    <x v="0"/>
    <x v="4"/>
    <x v="18"/>
    <n v="28.916333599999998"/>
  </r>
  <r>
    <x v="12"/>
    <x v="1"/>
    <x v="0"/>
    <x v="0"/>
    <x v="0"/>
    <x v="1"/>
    <x v="0"/>
    <x v="0"/>
    <x v="0"/>
    <x v="0"/>
    <x v="0"/>
    <x v="0"/>
    <x v="0"/>
    <x v="0"/>
    <x v="0"/>
    <x v="25"/>
    <x v="25"/>
    <n v="36.2529579830301"/>
    <x v="0"/>
    <x v="0"/>
    <x v="1"/>
    <x v="4"/>
    <x v="5"/>
    <x v="9"/>
    <n v="43.14101999980582"/>
  </r>
  <r>
    <x v="12"/>
    <x v="1"/>
    <x v="0"/>
    <x v="0"/>
    <x v="0"/>
    <x v="1"/>
    <x v="0"/>
    <x v="0"/>
    <x v="0"/>
    <x v="0"/>
    <x v="0"/>
    <x v="0"/>
    <x v="0"/>
    <x v="0"/>
    <x v="0"/>
    <x v="26"/>
    <x v="26"/>
    <n v="138.793899159039"/>
    <x v="0"/>
    <x v="0"/>
    <x v="1"/>
    <x v="3"/>
    <x v="3"/>
    <x v="15"/>
    <n v="165.1647399992564"/>
  </r>
  <r>
    <x v="12"/>
    <x v="1"/>
    <x v="0"/>
    <x v="0"/>
    <x v="0"/>
    <x v="1"/>
    <x v="0"/>
    <x v="0"/>
    <x v="0"/>
    <x v="0"/>
    <x v="0"/>
    <x v="0"/>
    <x v="0"/>
    <x v="0"/>
    <x v="0"/>
    <x v="0"/>
    <x v="0"/>
    <n v="9.4125795556732097"/>
    <x v="0"/>
    <x v="0"/>
    <x v="0"/>
    <x v="0"/>
    <x v="0"/>
    <x v="0"/>
    <n v="11.200969671251119"/>
  </r>
  <r>
    <x v="12"/>
    <x v="1"/>
    <x v="0"/>
    <x v="0"/>
    <x v="0"/>
    <x v="1"/>
    <x v="0"/>
    <x v="0"/>
    <x v="0"/>
    <x v="0"/>
    <x v="0"/>
    <x v="0"/>
    <x v="0"/>
    <x v="0"/>
    <x v="0"/>
    <x v="2"/>
    <x v="2"/>
    <n v="9951.4665713837894"/>
    <x v="0"/>
    <x v="1"/>
    <x v="2"/>
    <x v="2"/>
    <x v="13"/>
    <x v="2"/>
    <n v="11842.24521994671"/>
  </r>
  <r>
    <x v="12"/>
    <x v="1"/>
    <x v="0"/>
    <x v="0"/>
    <x v="0"/>
    <x v="1"/>
    <x v="0"/>
    <x v="0"/>
    <x v="0"/>
    <x v="0"/>
    <x v="0"/>
    <x v="0"/>
    <x v="1"/>
    <x v="1"/>
    <x v="1"/>
    <x v="4"/>
    <x v="4"/>
    <n v="19.992571428481501"/>
    <x v="0"/>
    <x v="0"/>
    <x v="1"/>
    <x v="3"/>
    <x v="3"/>
    <x v="4"/>
    <n v="23.791159999892987"/>
  </r>
  <r>
    <x v="12"/>
    <x v="1"/>
    <x v="0"/>
    <x v="0"/>
    <x v="0"/>
    <x v="1"/>
    <x v="0"/>
    <x v="0"/>
    <x v="0"/>
    <x v="0"/>
    <x v="0"/>
    <x v="0"/>
    <x v="1"/>
    <x v="1"/>
    <x v="1"/>
    <x v="5"/>
    <x v="5"/>
    <n v="57.127712707667897"/>
    <x v="0"/>
    <x v="0"/>
    <x v="1"/>
    <x v="1"/>
    <x v="1"/>
    <x v="5"/>
    <n v="67.981978122124801"/>
  </r>
  <r>
    <x v="12"/>
    <x v="1"/>
    <x v="0"/>
    <x v="0"/>
    <x v="0"/>
    <x v="1"/>
    <x v="0"/>
    <x v="0"/>
    <x v="0"/>
    <x v="0"/>
    <x v="0"/>
    <x v="0"/>
    <x v="1"/>
    <x v="1"/>
    <x v="1"/>
    <x v="6"/>
    <x v="6"/>
    <n v="195.63991999999999"/>
    <x v="0"/>
    <x v="0"/>
    <x v="0"/>
    <x v="0"/>
    <x v="4"/>
    <x v="6"/>
    <n v="232.81150479999997"/>
  </r>
  <r>
    <x v="12"/>
    <x v="1"/>
    <x v="0"/>
    <x v="0"/>
    <x v="0"/>
    <x v="1"/>
    <x v="0"/>
    <x v="0"/>
    <x v="0"/>
    <x v="0"/>
    <x v="0"/>
    <x v="0"/>
    <x v="1"/>
    <x v="1"/>
    <x v="1"/>
    <x v="7"/>
    <x v="7"/>
    <n v="21.042168067132199"/>
    <x v="0"/>
    <x v="0"/>
    <x v="1"/>
    <x v="4"/>
    <x v="5"/>
    <x v="7"/>
    <n v="25.040179999887314"/>
  </r>
  <r>
    <x v="12"/>
    <x v="1"/>
    <x v="0"/>
    <x v="0"/>
    <x v="0"/>
    <x v="1"/>
    <x v="0"/>
    <x v="0"/>
    <x v="0"/>
    <x v="0"/>
    <x v="0"/>
    <x v="0"/>
    <x v="1"/>
    <x v="1"/>
    <x v="1"/>
    <x v="8"/>
    <x v="8"/>
    <n v="372.05932297995298"/>
    <x v="0"/>
    <x v="1"/>
    <x v="2"/>
    <x v="2"/>
    <x v="6"/>
    <x v="8"/>
    <n v="442.75059434614406"/>
  </r>
  <r>
    <x v="12"/>
    <x v="1"/>
    <x v="0"/>
    <x v="0"/>
    <x v="0"/>
    <x v="1"/>
    <x v="0"/>
    <x v="0"/>
    <x v="0"/>
    <x v="0"/>
    <x v="0"/>
    <x v="0"/>
    <x v="1"/>
    <x v="1"/>
    <x v="1"/>
    <x v="9"/>
    <x v="9"/>
    <n v="2803.1559920249601"/>
    <x v="0"/>
    <x v="0"/>
    <x v="1"/>
    <x v="4"/>
    <x v="5"/>
    <x v="9"/>
    <n v="3335.7556305097023"/>
  </r>
  <r>
    <x v="12"/>
    <x v="1"/>
    <x v="0"/>
    <x v="0"/>
    <x v="0"/>
    <x v="1"/>
    <x v="0"/>
    <x v="0"/>
    <x v="0"/>
    <x v="0"/>
    <x v="0"/>
    <x v="0"/>
    <x v="1"/>
    <x v="1"/>
    <x v="1"/>
    <x v="10"/>
    <x v="10"/>
    <n v="37.057850287723198"/>
    <x v="0"/>
    <x v="0"/>
    <x v="1"/>
    <x v="4"/>
    <x v="5"/>
    <x v="10"/>
    <n v="44.098841842390605"/>
  </r>
  <r>
    <x v="12"/>
    <x v="1"/>
    <x v="0"/>
    <x v="0"/>
    <x v="0"/>
    <x v="1"/>
    <x v="0"/>
    <x v="0"/>
    <x v="0"/>
    <x v="0"/>
    <x v="0"/>
    <x v="0"/>
    <x v="1"/>
    <x v="1"/>
    <x v="1"/>
    <x v="55"/>
    <x v="55"/>
    <n v="1.66091596637908"/>
    <x v="0"/>
    <x v="0"/>
    <x v="1"/>
    <x v="3"/>
    <x v="3"/>
    <x v="15"/>
    <n v="1.9764899999911052"/>
  </r>
  <r>
    <x v="12"/>
    <x v="1"/>
    <x v="0"/>
    <x v="0"/>
    <x v="0"/>
    <x v="1"/>
    <x v="0"/>
    <x v="0"/>
    <x v="0"/>
    <x v="0"/>
    <x v="0"/>
    <x v="0"/>
    <x v="1"/>
    <x v="1"/>
    <x v="1"/>
    <x v="11"/>
    <x v="11"/>
    <n v="459.05941000000001"/>
    <x v="0"/>
    <x v="0"/>
    <x v="3"/>
    <x v="5"/>
    <x v="7"/>
    <x v="11"/>
    <n v="546.28069789999995"/>
  </r>
  <r>
    <x v="12"/>
    <x v="1"/>
    <x v="0"/>
    <x v="0"/>
    <x v="0"/>
    <x v="1"/>
    <x v="0"/>
    <x v="0"/>
    <x v="0"/>
    <x v="0"/>
    <x v="0"/>
    <x v="0"/>
    <x v="1"/>
    <x v="1"/>
    <x v="1"/>
    <x v="12"/>
    <x v="12"/>
    <n v="1761.7817386307299"/>
    <x v="0"/>
    <x v="0"/>
    <x v="0"/>
    <x v="0"/>
    <x v="8"/>
    <x v="12"/>
    <n v="2096.5202689705684"/>
  </r>
  <r>
    <x v="12"/>
    <x v="1"/>
    <x v="0"/>
    <x v="0"/>
    <x v="0"/>
    <x v="1"/>
    <x v="0"/>
    <x v="0"/>
    <x v="0"/>
    <x v="0"/>
    <x v="0"/>
    <x v="0"/>
    <x v="1"/>
    <x v="1"/>
    <x v="1"/>
    <x v="14"/>
    <x v="14"/>
    <n v="156.88692"/>
    <x v="0"/>
    <x v="0"/>
    <x v="0"/>
    <x v="0"/>
    <x v="8"/>
    <x v="14"/>
    <n v="186.69543479999999"/>
  </r>
  <r>
    <x v="12"/>
    <x v="1"/>
    <x v="0"/>
    <x v="0"/>
    <x v="0"/>
    <x v="1"/>
    <x v="0"/>
    <x v="0"/>
    <x v="0"/>
    <x v="0"/>
    <x v="0"/>
    <x v="0"/>
    <x v="1"/>
    <x v="1"/>
    <x v="1"/>
    <x v="15"/>
    <x v="15"/>
    <n v="0.29807563025076"/>
    <x v="0"/>
    <x v="0"/>
    <x v="1"/>
    <x v="3"/>
    <x v="3"/>
    <x v="15"/>
    <n v="0.35470999999840441"/>
  </r>
  <r>
    <x v="12"/>
    <x v="1"/>
    <x v="0"/>
    <x v="0"/>
    <x v="0"/>
    <x v="1"/>
    <x v="0"/>
    <x v="0"/>
    <x v="0"/>
    <x v="0"/>
    <x v="0"/>
    <x v="0"/>
    <x v="1"/>
    <x v="1"/>
    <x v="1"/>
    <x v="22"/>
    <x v="22"/>
    <n v="4.7866330644969803"/>
    <x v="0"/>
    <x v="0"/>
    <x v="0"/>
    <x v="0"/>
    <x v="0"/>
    <x v="0"/>
    <n v="5.6960933467514065"/>
  </r>
  <r>
    <x v="12"/>
    <x v="1"/>
    <x v="0"/>
    <x v="0"/>
    <x v="0"/>
    <x v="1"/>
    <x v="0"/>
    <x v="0"/>
    <x v="0"/>
    <x v="0"/>
    <x v="0"/>
    <x v="0"/>
    <x v="1"/>
    <x v="1"/>
    <x v="1"/>
    <x v="16"/>
    <x v="16"/>
    <n v="261.21062000000001"/>
    <x v="0"/>
    <x v="0"/>
    <x v="3"/>
    <x v="5"/>
    <x v="9"/>
    <x v="16"/>
    <n v="310.84063779999997"/>
  </r>
  <r>
    <x v="12"/>
    <x v="1"/>
    <x v="0"/>
    <x v="0"/>
    <x v="0"/>
    <x v="1"/>
    <x v="0"/>
    <x v="0"/>
    <x v="0"/>
    <x v="0"/>
    <x v="0"/>
    <x v="0"/>
    <x v="1"/>
    <x v="1"/>
    <x v="1"/>
    <x v="23"/>
    <x v="23"/>
    <n v="39.363268907385901"/>
    <x v="0"/>
    <x v="0"/>
    <x v="1"/>
    <x v="3"/>
    <x v="3"/>
    <x v="15"/>
    <n v="46.842289999789223"/>
  </r>
  <r>
    <x v="12"/>
    <x v="1"/>
    <x v="0"/>
    <x v="0"/>
    <x v="0"/>
    <x v="1"/>
    <x v="0"/>
    <x v="0"/>
    <x v="0"/>
    <x v="0"/>
    <x v="0"/>
    <x v="0"/>
    <x v="1"/>
    <x v="1"/>
    <x v="1"/>
    <x v="24"/>
    <x v="24"/>
    <n v="22.980210083930199"/>
    <x v="0"/>
    <x v="0"/>
    <x v="1"/>
    <x v="3"/>
    <x v="3"/>
    <x v="4"/>
    <n v="27.346449999876935"/>
  </r>
  <r>
    <x v="12"/>
    <x v="1"/>
    <x v="0"/>
    <x v="0"/>
    <x v="0"/>
    <x v="1"/>
    <x v="0"/>
    <x v="0"/>
    <x v="0"/>
    <x v="0"/>
    <x v="0"/>
    <x v="0"/>
    <x v="1"/>
    <x v="1"/>
    <x v="1"/>
    <x v="18"/>
    <x v="18"/>
    <n v="30.33297"/>
    <x v="0"/>
    <x v="0"/>
    <x v="0"/>
    <x v="0"/>
    <x v="4"/>
    <x v="18"/>
    <n v="36.096234299999999"/>
  </r>
  <r>
    <x v="12"/>
    <x v="1"/>
    <x v="0"/>
    <x v="0"/>
    <x v="0"/>
    <x v="1"/>
    <x v="0"/>
    <x v="0"/>
    <x v="0"/>
    <x v="0"/>
    <x v="0"/>
    <x v="0"/>
    <x v="1"/>
    <x v="1"/>
    <x v="1"/>
    <x v="27"/>
    <x v="27"/>
    <n v="1.9004759725809099"/>
    <x v="0"/>
    <x v="0"/>
    <x v="1"/>
    <x v="3"/>
    <x v="3"/>
    <x v="19"/>
    <n v="2.2615664073712827"/>
  </r>
  <r>
    <x v="12"/>
    <x v="1"/>
    <x v="0"/>
    <x v="0"/>
    <x v="0"/>
    <x v="1"/>
    <x v="0"/>
    <x v="0"/>
    <x v="0"/>
    <x v="0"/>
    <x v="0"/>
    <x v="0"/>
    <x v="1"/>
    <x v="1"/>
    <x v="1"/>
    <x v="86"/>
    <x v="86"/>
    <n v="11.592359999999999"/>
    <x v="0"/>
    <x v="0"/>
    <x v="1"/>
    <x v="3"/>
    <x v="3"/>
    <x v="13"/>
    <n v="13.794908399999999"/>
  </r>
  <r>
    <x v="12"/>
    <x v="1"/>
    <x v="0"/>
    <x v="0"/>
    <x v="0"/>
    <x v="1"/>
    <x v="0"/>
    <x v="0"/>
    <x v="0"/>
    <x v="0"/>
    <x v="0"/>
    <x v="0"/>
    <x v="1"/>
    <x v="1"/>
    <x v="1"/>
    <x v="26"/>
    <x v="26"/>
    <n v="190.28991596553001"/>
    <x v="0"/>
    <x v="0"/>
    <x v="1"/>
    <x v="3"/>
    <x v="3"/>
    <x v="15"/>
    <n v="226.44499999898071"/>
  </r>
  <r>
    <x v="12"/>
    <x v="1"/>
    <x v="0"/>
    <x v="0"/>
    <x v="0"/>
    <x v="1"/>
    <x v="0"/>
    <x v="0"/>
    <x v="0"/>
    <x v="0"/>
    <x v="0"/>
    <x v="0"/>
    <x v="1"/>
    <x v="1"/>
    <x v="1"/>
    <x v="0"/>
    <x v="0"/>
    <n v="27.471059555898901"/>
    <x v="0"/>
    <x v="0"/>
    <x v="0"/>
    <x v="0"/>
    <x v="0"/>
    <x v="0"/>
    <n v="32.690560871519693"/>
  </r>
  <r>
    <x v="12"/>
    <x v="1"/>
    <x v="0"/>
    <x v="0"/>
    <x v="0"/>
    <x v="1"/>
    <x v="0"/>
    <x v="0"/>
    <x v="0"/>
    <x v="0"/>
    <x v="0"/>
    <x v="0"/>
    <x v="1"/>
    <x v="1"/>
    <x v="1"/>
    <x v="2"/>
    <x v="2"/>
    <n v="1350.78330251493"/>
    <x v="0"/>
    <x v="1"/>
    <x v="2"/>
    <x v="2"/>
    <x v="13"/>
    <x v="2"/>
    <n v="1607.4321299927667"/>
  </r>
  <r>
    <x v="12"/>
    <x v="1"/>
    <x v="0"/>
    <x v="0"/>
    <x v="0"/>
    <x v="1"/>
    <x v="0"/>
    <x v="0"/>
    <x v="0"/>
    <x v="0"/>
    <x v="0"/>
    <x v="0"/>
    <x v="2"/>
    <x v="2"/>
    <x v="2"/>
    <x v="6"/>
    <x v="6"/>
    <n v="13.87551"/>
    <x v="0"/>
    <x v="0"/>
    <x v="0"/>
    <x v="0"/>
    <x v="4"/>
    <x v="6"/>
    <n v="16.511856899999998"/>
  </r>
  <r>
    <x v="12"/>
    <x v="1"/>
    <x v="0"/>
    <x v="0"/>
    <x v="0"/>
    <x v="1"/>
    <x v="0"/>
    <x v="0"/>
    <x v="0"/>
    <x v="0"/>
    <x v="0"/>
    <x v="0"/>
    <x v="2"/>
    <x v="2"/>
    <x v="2"/>
    <x v="7"/>
    <x v="7"/>
    <n v="1.09668907562532"/>
    <x v="0"/>
    <x v="0"/>
    <x v="1"/>
    <x v="4"/>
    <x v="5"/>
    <x v="7"/>
    <n v="1.3050599999941308"/>
  </r>
  <r>
    <x v="12"/>
    <x v="1"/>
    <x v="0"/>
    <x v="0"/>
    <x v="0"/>
    <x v="1"/>
    <x v="0"/>
    <x v="0"/>
    <x v="0"/>
    <x v="0"/>
    <x v="0"/>
    <x v="0"/>
    <x v="2"/>
    <x v="2"/>
    <x v="2"/>
    <x v="8"/>
    <x v="8"/>
    <n v="2411.52608694736"/>
    <x v="0"/>
    <x v="1"/>
    <x v="2"/>
    <x v="2"/>
    <x v="6"/>
    <x v="8"/>
    <n v="2869.7160434673583"/>
  </r>
  <r>
    <x v="12"/>
    <x v="1"/>
    <x v="0"/>
    <x v="0"/>
    <x v="0"/>
    <x v="1"/>
    <x v="0"/>
    <x v="0"/>
    <x v="0"/>
    <x v="0"/>
    <x v="0"/>
    <x v="0"/>
    <x v="2"/>
    <x v="2"/>
    <x v="2"/>
    <x v="9"/>
    <x v="9"/>
    <n v="8.9121932772708199"/>
    <x v="0"/>
    <x v="0"/>
    <x v="1"/>
    <x v="4"/>
    <x v="5"/>
    <x v="9"/>
    <n v="10.605509999952275"/>
  </r>
  <r>
    <x v="12"/>
    <x v="1"/>
    <x v="0"/>
    <x v="0"/>
    <x v="0"/>
    <x v="1"/>
    <x v="0"/>
    <x v="0"/>
    <x v="0"/>
    <x v="0"/>
    <x v="0"/>
    <x v="0"/>
    <x v="2"/>
    <x v="2"/>
    <x v="2"/>
    <x v="30"/>
    <x v="30"/>
    <n v="2.8758548386981699"/>
    <x v="0"/>
    <x v="0"/>
    <x v="0"/>
    <x v="0"/>
    <x v="0"/>
    <x v="0"/>
    <n v="3.4222672580508222"/>
  </r>
  <r>
    <x v="12"/>
    <x v="1"/>
    <x v="0"/>
    <x v="0"/>
    <x v="0"/>
    <x v="1"/>
    <x v="0"/>
    <x v="0"/>
    <x v="0"/>
    <x v="0"/>
    <x v="0"/>
    <x v="0"/>
    <x v="2"/>
    <x v="2"/>
    <x v="2"/>
    <x v="11"/>
    <x v="11"/>
    <n v="85.049189999999996"/>
    <x v="0"/>
    <x v="0"/>
    <x v="3"/>
    <x v="5"/>
    <x v="7"/>
    <x v="11"/>
    <n v="101.20853609999999"/>
  </r>
  <r>
    <x v="12"/>
    <x v="1"/>
    <x v="0"/>
    <x v="0"/>
    <x v="0"/>
    <x v="1"/>
    <x v="0"/>
    <x v="0"/>
    <x v="0"/>
    <x v="0"/>
    <x v="0"/>
    <x v="0"/>
    <x v="2"/>
    <x v="2"/>
    <x v="2"/>
    <x v="12"/>
    <x v="12"/>
    <n v="336.74718181710398"/>
    <x v="0"/>
    <x v="0"/>
    <x v="0"/>
    <x v="0"/>
    <x v="8"/>
    <x v="12"/>
    <n v="400.72914636235373"/>
  </r>
  <r>
    <x v="12"/>
    <x v="1"/>
    <x v="0"/>
    <x v="0"/>
    <x v="0"/>
    <x v="1"/>
    <x v="0"/>
    <x v="0"/>
    <x v="0"/>
    <x v="0"/>
    <x v="0"/>
    <x v="0"/>
    <x v="2"/>
    <x v="2"/>
    <x v="2"/>
    <x v="14"/>
    <x v="14"/>
    <n v="7.4424799999999998"/>
    <x v="0"/>
    <x v="0"/>
    <x v="0"/>
    <x v="0"/>
    <x v="8"/>
    <x v="14"/>
    <n v="8.8565512000000002"/>
  </r>
  <r>
    <x v="12"/>
    <x v="1"/>
    <x v="0"/>
    <x v="0"/>
    <x v="0"/>
    <x v="1"/>
    <x v="0"/>
    <x v="0"/>
    <x v="0"/>
    <x v="0"/>
    <x v="0"/>
    <x v="0"/>
    <x v="2"/>
    <x v="2"/>
    <x v="2"/>
    <x v="16"/>
    <x v="16"/>
    <n v="34.14414"/>
    <x v="0"/>
    <x v="0"/>
    <x v="3"/>
    <x v="5"/>
    <x v="9"/>
    <x v="16"/>
    <n v="40.631526600000001"/>
  </r>
  <r>
    <x v="12"/>
    <x v="1"/>
    <x v="0"/>
    <x v="0"/>
    <x v="0"/>
    <x v="1"/>
    <x v="0"/>
    <x v="0"/>
    <x v="0"/>
    <x v="0"/>
    <x v="0"/>
    <x v="0"/>
    <x v="2"/>
    <x v="2"/>
    <x v="2"/>
    <x v="24"/>
    <x v="24"/>
    <n v="6.0596638655190001E-2"/>
    <x v="0"/>
    <x v="0"/>
    <x v="1"/>
    <x v="3"/>
    <x v="3"/>
    <x v="4"/>
    <n v="7.21099999996761E-2"/>
  </r>
  <r>
    <x v="12"/>
    <x v="1"/>
    <x v="0"/>
    <x v="0"/>
    <x v="0"/>
    <x v="1"/>
    <x v="0"/>
    <x v="0"/>
    <x v="0"/>
    <x v="0"/>
    <x v="0"/>
    <x v="0"/>
    <x v="2"/>
    <x v="2"/>
    <x v="2"/>
    <x v="17"/>
    <x v="17"/>
    <n v="2.7065999999999999"/>
    <x v="0"/>
    <x v="0"/>
    <x v="0"/>
    <x v="0"/>
    <x v="4"/>
    <x v="17"/>
    <n v="3.2208539999999997"/>
  </r>
  <r>
    <x v="12"/>
    <x v="1"/>
    <x v="0"/>
    <x v="0"/>
    <x v="0"/>
    <x v="1"/>
    <x v="0"/>
    <x v="0"/>
    <x v="0"/>
    <x v="0"/>
    <x v="0"/>
    <x v="0"/>
    <x v="2"/>
    <x v="2"/>
    <x v="2"/>
    <x v="18"/>
    <x v="18"/>
    <n v="0.72765999999999997"/>
    <x v="0"/>
    <x v="0"/>
    <x v="0"/>
    <x v="0"/>
    <x v="4"/>
    <x v="18"/>
    <n v="0.86591539999999989"/>
  </r>
  <r>
    <x v="12"/>
    <x v="1"/>
    <x v="0"/>
    <x v="0"/>
    <x v="0"/>
    <x v="1"/>
    <x v="0"/>
    <x v="0"/>
    <x v="0"/>
    <x v="0"/>
    <x v="0"/>
    <x v="0"/>
    <x v="2"/>
    <x v="2"/>
    <x v="2"/>
    <x v="34"/>
    <x v="34"/>
    <n v="2.7851230386618999"/>
    <x v="0"/>
    <x v="0"/>
    <x v="0"/>
    <x v="0"/>
    <x v="0"/>
    <x v="0"/>
    <n v="3.3142964160076609"/>
  </r>
  <r>
    <x v="12"/>
    <x v="1"/>
    <x v="0"/>
    <x v="0"/>
    <x v="0"/>
    <x v="1"/>
    <x v="0"/>
    <x v="0"/>
    <x v="0"/>
    <x v="0"/>
    <x v="0"/>
    <x v="0"/>
    <x v="2"/>
    <x v="2"/>
    <x v="2"/>
    <x v="27"/>
    <x v="27"/>
    <n v="1.8055858123958"/>
    <x v="0"/>
    <x v="0"/>
    <x v="1"/>
    <x v="3"/>
    <x v="3"/>
    <x v="19"/>
    <n v="2.1486471167510017"/>
  </r>
  <r>
    <x v="12"/>
    <x v="1"/>
    <x v="0"/>
    <x v="0"/>
    <x v="0"/>
    <x v="1"/>
    <x v="0"/>
    <x v="0"/>
    <x v="0"/>
    <x v="0"/>
    <x v="0"/>
    <x v="0"/>
    <x v="2"/>
    <x v="2"/>
    <x v="2"/>
    <x v="0"/>
    <x v="0"/>
    <n v="3.0318933333712299"/>
    <x v="0"/>
    <x v="0"/>
    <x v="0"/>
    <x v="0"/>
    <x v="0"/>
    <x v="0"/>
    <n v="3.6079530667117634"/>
  </r>
  <r>
    <x v="12"/>
    <x v="1"/>
    <x v="0"/>
    <x v="0"/>
    <x v="0"/>
    <x v="1"/>
    <x v="0"/>
    <x v="0"/>
    <x v="0"/>
    <x v="0"/>
    <x v="0"/>
    <x v="0"/>
    <x v="2"/>
    <x v="2"/>
    <x v="2"/>
    <x v="1"/>
    <x v="1"/>
    <n v="167.757480000839"/>
    <x v="0"/>
    <x v="0"/>
    <x v="1"/>
    <x v="1"/>
    <x v="1"/>
    <x v="1"/>
    <n v="199.6314012009984"/>
  </r>
  <r>
    <x v="12"/>
    <x v="1"/>
    <x v="0"/>
    <x v="0"/>
    <x v="0"/>
    <x v="1"/>
    <x v="0"/>
    <x v="0"/>
    <x v="0"/>
    <x v="0"/>
    <x v="0"/>
    <x v="0"/>
    <x v="2"/>
    <x v="2"/>
    <x v="2"/>
    <x v="2"/>
    <x v="2"/>
    <n v="10978.5492352447"/>
    <x v="0"/>
    <x v="1"/>
    <x v="2"/>
    <x v="2"/>
    <x v="13"/>
    <x v="2"/>
    <n v="13064.473589941192"/>
  </r>
  <r>
    <x v="12"/>
    <x v="1"/>
    <x v="0"/>
    <x v="0"/>
    <x v="0"/>
    <x v="1"/>
    <x v="0"/>
    <x v="0"/>
    <x v="0"/>
    <x v="0"/>
    <x v="0"/>
    <x v="0"/>
    <x v="1"/>
    <x v="6"/>
    <x v="6"/>
    <x v="8"/>
    <x v="8"/>
    <n v="38.588850931530402"/>
    <x v="0"/>
    <x v="1"/>
    <x v="2"/>
    <x v="2"/>
    <x v="6"/>
    <x v="8"/>
    <n v="45.920732608521178"/>
  </r>
  <r>
    <x v="12"/>
    <x v="1"/>
    <x v="0"/>
    <x v="0"/>
    <x v="0"/>
    <x v="1"/>
    <x v="0"/>
    <x v="0"/>
    <x v="0"/>
    <x v="0"/>
    <x v="0"/>
    <x v="0"/>
    <x v="1"/>
    <x v="6"/>
    <x v="6"/>
    <x v="11"/>
    <x v="11"/>
    <n v="729.86060999999995"/>
    <x v="0"/>
    <x v="0"/>
    <x v="3"/>
    <x v="5"/>
    <x v="7"/>
    <x v="11"/>
    <n v="868.53412589999994"/>
  </r>
  <r>
    <x v="12"/>
    <x v="1"/>
    <x v="0"/>
    <x v="0"/>
    <x v="0"/>
    <x v="1"/>
    <x v="0"/>
    <x v="0"/>
    <x v="0"/>
    <x v="0"/>
    <x v="0"/>
    <x v="0"/>
    <x v="1"/>
    <x v="6"/>
    <x v="6"/>
    <x v="12"/>
    <x v="12"/>
    <n v="58.155795454359399"/>
    <x v="0"/>
    <x v="0"/>
    <x v="0"/>
    <x v="0"/>
    <x v="8"/>
    <x v="12"/>
    <n v="69.205396590687684"/>
  </r>
  <r>
    <x v="12"/>
    <x v="1"/>
    <x v="0"/>
    <x v="0"/>
    <x v="0"/>
    <x v="1"/>
    <x v="0"/>
    <x v="0"/>
    <x v="0"/>
    <x v="0"/>
    <x v="0"/>
    <x v="0"/>
    <x v="1"/>
    <x v="6"/>
    <x v="6"/>
    <x v="16"/>
    <x v="16"/>
    <n v="185.26509999999999"/>
    <x v="0"/>
    <x v="0"/>
    <x v="3"/>
    <x v="5"/>
    <x v="9"/>
    <x v="16"/>
    <n v="220.46546899999998"/>
  </r>
  <r>
    <x v="12"/>
    <x v="1"/>
    <x v="0"/>
    <x v="0"/>
    <x v="0"/>
    <x v="1"/>
    <x v="0"/>
    <x v="0"/>
    <x v="0"/>
    <x v="0"/>
    <x v="0"/>
    <x v="0"/>
    <x v="1"/>
    <x v="6"/>
    <x v="6"/>
    <x v="27"/>
    <x v="27"/>
    <n v="15.4872768882048"/>
    <x v="0"/>
    <x v="0"/>
    <x v="1"/>
    <x v="3"/>
    <x v="3"/>
    <x v="19"/>
    <n v="18.429859496963712"/>
  </r>
  <r>
    <x v="12"/>
    <x v="1"/>
    <x v="0"/>
    <x v="0"/>
    <x v="0"/>
    <x v="1"/>
    <x v="0"/>
    <x v="0"/>
    <x v="0"/>
    <x v="0"/>
    <x v="0"/>
    <x v="0"/>
    <x v="1"/>
    <x v="6"/>
    <x v="6"/>
    <x v="2"/>
    <x v="2"/>
    <n v="919.62342856729003"/>
    <x v="0"/>
    <x v="1"/>
    <x v="2"/>
    <x v="2"/>
    <x v="13"/>
    <x v="2"/>
    <n v="1094.351879995075"/>
  </r>
  <r>
    <x v="12"/>
    <x v="1"/>
    <x v="0"/>
    <x v="0"/>
    <x v="0"/>
    <x v="1"/>
    <x v="0"/>
    <x v="0"/>
    <x v="0"/>
    <x v="0"/>
    <x v="0"/>
    <x v="0"/>
    <x v="3"/>
    <x v="7"/>
    <x v="7"/>
    <x v="6"/>
    <x v="6"/>
    <n v="72.484279999999998"/>
    <x v="0"/>
    <x v="0"/>
    <x v="0"/>
    <x v="0"/>
    <x v="4"/>
    <x v="6"/>
    <n v="86.256293199999988"/>
  </r>
  <r>
    <x v="12"/>
    <x v="1"/>
    <x v="0"/>
    <x v="0"/>
    <x v="0"/>
    <x v="1"/>
    <x v="0"/>
    <x v="0"/>
    <x v="0"/>
    <x v="0"/>
    <x v="0"/>
    <x v="0"/>
    <x v="3"/>
    <x v="7"/>
    <x v="7"/>
    <x v="9"/>
    <x v="9"/>
    <n v="324.44362529812702"/>
    <x v="0"/>
    <x v="0"/>
    <x v="1"/>
    <x v="4"/>
    <x v="5"/>
    <x v="9"/>
    <n v="386.08791410477113"/>
  </r>
  <r>
    <x v="12"/>
    <x v="1"/>
    <x v="0"/>
    <x v="0"/>
    <x v="0"/>
    <x v="1"/>
    <x v="0"/>
    <x v="0"/>
    <x v="0"/>
    <x v="0"/>
    <x v="0"/>
    <x v="0"/>
    <x v="3"/>
    <x v="7"/>
    <x v="7"/>
    <x v="10"/>
    <x v="10"/>
    <n v="47.444525733104399"/>
    <x v="0"/>
    <x v="0"/>
    <x v="1"/>
    <x v="4"/>
    <x v="5"/>
    <x v="10"/>
    <n v="56.458985622394231"/>
  </r>
  <r>
    <x v="12"/>
    <x v="1"/>
    <x v="0"/>
    <x v="0"/>
    <x v="0"/>
    <x v="1"/>
    <x v="0"/>
    <x v="0"/>
    <x v="0"/>
    <x v="0"/>
    <x v="0"/>
    <x v="0"/>
    <x v="3"/>
    <x v="7"/>
    <x v="7"/>
    <x v="11"/>
    <x v="11"/>
    <n v="222.72521"/>
    <x v="0"/>
    <x v="0"/>
    <x v="3"/>
    <x v="5"/>
    <x v="7"/>
    <x v="11"/>
    <n v="265.04299989999998"/>
  </r>
  <r>
    <x v="12"/>
    <x v="1"/>
    <x v="0"/>
    <x v="0"/>
    <x v="0"/>
    <x v="1"/>
    <x v="0"/>
    <x v="0"/>
    <x v="0"/>
    <x v="0"/>
    <x v="0"/>
    <x v="0"/>
    <x v="3"/>
    <x v="7"/>
    <x v="7"/>
    <x v="36"/>
    <x v="36"/>
    <n v="31.152302520868201"/>
    <x v="0"/>
    <x v="0"/>
    <x v="1"/>
    <x v="3"/>
    <x v="3"/>
    <x v="4"/>
    <n v="37.071239999833161"/>
  </r>
  <r>
    <x v="12"/>
    <x v="1"/>
    <x v="0"/>
    <x v="0"/>
    <x v="0"/>
    <x v="1"/>
    <x v="0"/>
    <x v="0"/>
    <x v="0"/>
    <x v="0"/>
    <x v="0"/>
    <x v="0"/>
    <x v="3"/>
    <x v="7"/>
    <x v="7"/>
    <x v="24"/>
    <x v="24"/>
    <n v="167.91210924294199"/>
    <x v="0"/>
    <x v="0"/>
    <x v="1"/>
    <x v="3"/>
    <x v="3"/>
    <x v="4"/>
    <n v="199.81540999910098"/>
  </r>
  <r>
    <x v="12"/>
    <x v="1"/>
    <x v="0"/>
    <x v="0"/>
    <x v="0"/>
    <x v="1"/>
    <x v="0"/>
    <x v="0"/>
    <x v="0"/>
    <x v="0"/>
    <x v="0"/>
    <x v="0"/>
    <x v="3"/>
    <x v="7"/>
    <x v="7"/>
    <x v="17"/>
    <x v="17"/>
    <n v="479.51875000000001"/>
    <x v="0"/>
    <x v="0"/>
    <x v="0"/>
    <x v="0"/>
    <x v="4"/>
    <x v="17"/>
    <n v="570.62731250000002"/>
  </r>
  <r>
    <x v="12"/>
    <x v="1"/>
    <x v="0"/>
    <x v="0"/>
    <x v="0"/>
    <x v="1"/>
    <x v="0"/>
    <x v="0"/>
    <x v="0"/>
    <x v="0"/>
    <x v="0"/>
    <x v="0"/>
    <x v="3"/>
    <x v="7"/>
    <x v="7"/>
    <x v="34"/>
    <x v="34"/>
    <n v="82.424188269743894"/>
    <x v="0"/>
    <x v="0"/>
    <x v="0"/>
    <x v="0"/>
    <x v="0"/>
    <x v="0"/>
    <n v="98.084784040995231"/>
  </r>
  <r>
    <x v="12"/>
    <x v="1"/>
    <x v="0"/>
    <x v="0"/>
    <x v="0"/>
    <x v="1"/>
    <x v="0"/>
    <x v="0"/>
    <x v="0"/>
    <x v="0"/>
    <x v="0"/>
    <x v="0"/>
    <x v="1"/>
    <x v="8"/>
    <x v="8"/>
    <x v="6"/>
    <x v="6"/>
    <n v="79.314509999999999"/>
    <x v="0"/>
    <x v="0"/>
    <x v="0"/>
    <x v="0"/>
    <x v="4"/>
    <x v="6"/>
    <n v="94.3842669"/>
  </r>
  <r>
    <x v="12"/>
    <x v="1"/>
    <x v="0"/>
    <x v="0"/>
    <x v="0"/>
    <x v="1"/>
    <x v="0"/>
    <x v="0"/>
    <x v="0"/>
    <x v="0"/>
    <x v="0"/>
    <x v="0"/>
    <x v="1"/>
    <x v="8"/>
    <x v="8"/>
    <x v="8"/>
    <x v="8"/>
    <n v="228.42130434695801"/>
    <x v="0"/>
    <x v="1"/>
    <x v="2"/>
    <x v="2"/>
    <x v="6"/>
    <x v="8"/>
    <n v="271.82135217288004"/>
  </r>
  <r>
    <x v="12"/>
    <x v="1"/>
    <x v="0"/>
    <x v="0"/>
    <x v="0"/>
    <x v="1"/>
    <x v="0"/>
    <x v="0"/>
    <x v="0"/>
    <x v="0"/>
    <x v="0"/>
    <x v="0"/>
    <x v="1"/>
    <x v="8"/>
    <x v="8"/>
    <x v="9"/>
    <x v="9"/>
    <n v="993.38660786984406"/>
    <x v="0"/>
    <x v="0"/>
    <x v="1"/>
    <x v="4"/>
    <x v="5"/>
    <x v="9"/>
    <n v="1182.1300633651144"/>
  </r>
  <r>
    <x v="12"/>
    <x v="1"/>
    <x v="0"/>
    <x v="0"/>
    <x v="0"/>
    <x v="1"/>
    <x v="0"/>
    <x v="0"/>
    <x v="0"/>
    <x v="0"/>
    <x v="0"/>
    <x v="0"/>
    <x v="1"/>
    <x v="8"/>
    <x v="8"/>
    <x v="10"/>
    <x v="10"/>
    <n v="55.091701296133898"/>
    <x v="0"/>
    <x v="0"/>
    <x v="1"/>
    <x v="4"/>
    <x v="5"/>
    <x v="10"/>
    <n v="65.559124542399331"/>
  </r>
  <r>
    <x v="12"/>
    <x v="1"/>
    <x v="0"/>
    <x v="0"/>
    <x v="0"/>
    <x v="1"/>
    <x v="0"/>
    <x v="0"/>
    <x v="0"/>
    <x v="0"/>
    <x v="0"/>
    <x v="0"/>
    <x v="1"/>
    <x v="8"/>
    <x v="8"/>
    <x v="11"/>
    <x v="11"/>
    <n v="15.81625"/>
    <x v="0"/>
    <x v="0"/>
    <x v="3"/>
    <x v="5"/>
    <x v="7"/>
    <x v="11"/>
    <n v="18.821337499999998"/>
  </r>
  <r>
    <x v="12"/>
    <x v="1"/>
    <x v="0"/>
    <x v="0"/>
    <x v="0"/>
    <x v="1"/>
    <x v="0"/>
    <x v="0"/>
    <x v="0"/>
    <x v="0"/>
    <x v="0"/>
    <x v="0"/>
    <x v="1"/>
    <x v="8"/>
    <x v="8"/>
    <x v="36"/>
    <x v="36"/>
    <n v="1.40486554621217"/>
    <x v="0"/>
    <x v="0"/>
    <x v="1"/>
    <x v="3"/>
    <x v="3"/>
    <x v="4"/>
    <n v="1.6717899999924821"/>
  </r>
  <r>
    <x v="12"/>
    <x v="1"/>
    <x v="0"/>
    <x v="0"/>
    <x v="0"/>
    <x v="1"/>
    <x v="0"/>
    <x v="0"/>
    <x v="0"/>
    <x v="0"/>
    <x v="0"/>
    <x v="0"/>
    <x v="1"/>
    <x v="8"/>
    <x v="8"/>
    <x v="24"/>
    <x v="24"/>
    <n v="195.291151259625"/>
    <x v="0"/>
    <x v="0"/>
    <x v="1"/>
    <x v="3"/>
    <x v="3"/>
    <x v="4"/>
    <n v="232.39646999895373"/>
  </r>
  <r>
    <x v="12"/>
    <x v="1"/>
    <x v="0"/>
    <x v="0"/>
    <x v="0"/>
    <x v="1"/>
    <x v="0"/>
    <x v="0"/>
    <x v="0"/>
    <x v="0"/>
    <x v="0"/>
    <x v="0"/>
    <x v="1"/>
    <x v="8"/>
    <x v="8"/>
    <x v="17"/>
    <x v="17"/>
    <n v="43.478749999999998"/>
    <x v="0"/>
    <x v="0"/>
    <x v="0"/>
    <x v="0"/>
    <x v="4"/>
    <x v="17"/>
    <n v="51.739712499999996"/>
  </r>
  <r>
    <x v="12"/>
    <x v="1"/>
    <x v="0"/>
    <x v="0"/>
    <x v="0"/>
    <x v="1"/>
    <x v="0"/>
    <x v="0"/>
    <x v="0"/>
    <x v="0"/>
    <x v="0"/>
    <x v="0"/>
    <x v="1"/>
    <x v="8"/>
    <x v="8"/>
    <x v="21"/>
    <x v="21"/>
    <n v="12.8129327730516"/>
    <x v="0"/>
    <x v="0"/>
    <x v="1"/>
    <x v="4"/>
    <x v="5"/>
    <x v="10"/>
    <n v="15.247389999931404"/>
  </r>
  <r>
    <x v="12"/>
    <x v="1"/>
    <x v="0"/>
    <x v="0"/>
    <x v="0"/>
    <x v="1"/>
    <x v="0"/>
    <x v="0"/>
    <x v="0"/>
    <x v="0"/>
    <x v="0"/>
    <x v="0"/>
    <x v="1"/>
    <x v="8"/>
    <x v="8"/>
    <x v="34"/>
    <x v="34"/>
    <n v="11.5706333602398"/>
    <x v="0"/>
    <x v="0"/>
    <x v="0"/>
    <x v="0"/>
    <x v="0"/>
    <x v="0"/>
    <n v="13.769053698685362"/>
  </r>
  <r>
    <x v="12"/>
    <x v="1"/>
    <x v="0"/>
    <x v="0"/>
    <x v="0"/>
    <x v="1"/>
    <x v="0"/>
    <x v="0"/>
    <x v="0"/>
    <x v="0"/>
    <x v="0"/>
    <x v="0"/>
    <x v="1"/>
    <x v="8"/>
    <x v="8"/>
    <x v="37"/>
    <x v="37"/>
    <n v="150.22921848671899"/>
    <x v="0"/>
    <x v="0"/>
    <x v="1"/>
    <x v="3"/>
    <x v="3"/>
    <x v="4"/>
    <n v="178.77276999919559"/>
  </r>
  <r>
    <x v="12"/>
    <x v="1"/>
    <x v="0"/>
    <x v="0"/>
    <x v="0"/>
    <x v="1"/>
    <x v="0"/>
    <x v="0"/>
    <x v="0"/>
    <x v="0"/>
    <x v="0"/>
    <x v="0"/>
    <x v="1"/>
    <x v="8"/>
    <x v="8"/>
    <x v="26"/>
    <x v="26"/>
    <n v="18.064773109162399"/>
    <x v="0"/>
    <x v="0"/>
    <x v="1"/>
    <x v="3"/>
    <x v="3"/>
    <x v="15"/>
    <n v="21.497079999903253"/>
  </r>
  <r>
    <x v="12"/>
    <x v="1"/>
    <x v="0"/>
    <x v="0"/>
    <x v="0"/>
    <x v="1"/>
    <x v="0"/>
    <x v="0"/>
    <x v="0"/>
    <x v="0"/>
    <x v="0"/>
    <x v="0"/>
    <x v="1"/>
    <x v="8"/>
    <x v="8"/>
    <x v="0"/>
    <x v="0"/>
    <n v="26.459732444775199"/>
    <x v="0"/>
    <x v="0"/>
    <x v="0"/>
    <x v="0"/>
    <x v="0"/>
    <x v="0"/>
    <n v="31.487081609282484"/>
  </r>
  <r>
    <x v="12"/>
    <x v="1"/>
    <x v="0"/>
    <x v="0"/>
    <x v="0"/>
    <x v="1"/>
    <x v="0"/>
    <x v="0"/>
    <x v="0"/>
    <x v="0"/>
    <x v="0"/>
    <x v="0"/>
    <x v="0"/>
    <x v="9"/>
    <x v="9"/>
    <x v="6"/>
    <x v="6"/>
    <n v="232.76088999999999"/>
    <x v="0"/>
    <x v="0"/>
    <x v="0"/>
    <x v="0"/>
    <x v="4"/>
    <x v="6"/>
    <n v="276.98545909999996"/>
  </r>
  <r>
    <x v="12"/>
    <x v="1"/>
    <x v="0"/>
    <x v="0"/>
    <x v="0"/>
    <x v="1"/>
    <x v="0"/>
    <x v="0"/>
    <x v="0"/>
    <x v="0"/>
    <x v="0"/>
    <x v="0"/>
    <x v="0"/>
    <x v="9"/>
    <x v="9"/>
    <x v="7"/>
    <x v="7"/>
    <n v="293.45348739363698"/>
    <x v="0"/>
    <x v="0"/>
    <x v="1"/>
    <x v="4"/>
    <x v="5"/>
    <x v="7"/>
    <n v="349.20964999842801"/>
  </r>
  <r>
    <x v="12"/>
    <x v="1"/>
    <x v="0"/>
    <x v="0"/>
    <x v="0"/>
    <x v="1"/>
    <x v="0"/>
    <x v="0"/>
    <x v="0"/>
    <x v="0"/>
    <x v="0"/>
    <x v="0"/>
    <x v="0"/>
    <x v="9"/>
    <x v="9"/>
    <x v="9"/>
    <x v="9"/>
    <n v="4859.1393834616601"/>
    <x v="0"/>
    <x v="0"/>
    <x v="1"/>
    <x v="4"/>
    <x v="5"/>
    <x v="9"/>
    <n v="5782.3758663193757"/>
  </r>
  <r>
    <x v="12"/>
    <x v="1"/>
    <x v="0"/>
    <x v="0"/>
    <x v="0"/>
    <x v="1"/>
    <x v="0"/>
    <x v="0"/>
    <x v="0"/>
    <x v="0"/>
    <x v="0"/>
    <x v="0"/>
    <x v="0"/>
    <x v="9"/>
    <x v="9"/>
    <x v="10"/>
    <x v="10"/>
    <n v="77.671359335446496"/>
    <x v="0"/>
    <x v="0"/>
    <x v="1"/>
    <x v="4"/>
    <x v="5"/>
    <x v="10"/>
    <n v="92.428917609181326"/>
  </r>
  <r>
    <x v="12"/>
    <x v="1"/>
    <x v="0"/>
    <x v="0"/>
    <x v="0"/>
    <x v="1"/>
    <x v="0"/>
    <x v="0"/>
    <x v="0"/>
    <x v="0"/>
    <x v="0"/>
    <x v="0"/>
    <x v="0"/>
    <x v="9"/>
    <x v="9"/>
    <x v="11"/>
    <x v="11"/>
    <n v="131.14741000000001"/>
    <x v="0"/>
    <x v="0"/>
    <x v="3"/>
    <x v="5"/>
    <x v="7"/>
    <x v="11"/>
    <n v="156.0654179"/>
  </r>
  <r>
    <x v="12"/>
    <x v="1"/>
    <x v="0"/>
    <x v="0"/>
    <x v="0"/>
    <x v="1"/>
    <x v="0"/>
    <x v="0"/>
    <x v="0"/>
    <x v="0"/>
    <x v="0"/>
    <x v="0"/>
    <x v="0"/>
    <x v="9"/>
    <x v="9"/>
    <x v="12"/>
    <x v="12"/>
    <n v="16.335045454493201"/>
    <x v="0"/>
    <x v="0"/>
    <x v="0"/>
    <x v="0"/>
    <x v="8"/>
    <x v="12"/>
    <n v="19.438704090846908"/>
  </r>
  <r>
    <x v="12"/>
    <x v="1"/>
    <x v="0"/>
    <x v="0"/>
    <x v="0"/>
    <x v="1"/>
    <x v="0"/>
    <x v="0"/>
    <x v="0"/>
    <x v="0"/>
    <x v="0"/>
    <x v="0"/>
    <x v="0"/>
    <x v="9"/>
    <x v="9"/>
    <x v="36"/>
    <x v="36"/>
    <n v="5.1424369747667802"/>
    <x v="0"/>
    <x v="0"/>
    <x v="1"/>
    <x v="3"/>
    <x v="3"/>
    <x v="4"/>
    <n v="6.1194999999724677"/>
  </r>
  <r>
    <x v="12"/>
    <x v="1"/>
    <x v="0"/>
    <x v="0"/>
    <x v="0"/>
    <x v="1"/>
    <x v="0"/>
    <x v="0"/>
    <x v="0"/>
    <x v="0"/>
    <x v="0"/>
    <x v="0"/>
    <x v="0"/>
    <x v="9"/>
    <x v="9"/>
    <x v="24"/>
    <x v="24"/>
    <n v="193.25178991509699"/>
    <x v="0"/>
    <x v="0"/>
    <x v="1"/>
    <x v="3"/>
    <x v="3"/>
    <x v="4"/>
    <n v="229.96962999896542"/>
  </r>
  <r>
    <x v="12"/>
    <x v="1"/>
    <x v="0"/>
    <x v="0"/>
    <x v="0"/>
    <x v="1"/>
    <x v="0"/>
    <x v="0"/>
    <x v="0"/>
    <x v="0"/>
    <x v="0"/>
    <x v="0"/>
    <x v="0"/>
    <x v="9"/>
    <x v="9"/>
    <x v="17"/>
    <x v="17"/>
    <n v="117.6"/>
    <x v="0"/>
    <x v="0"/>
    <x v="0"/>
    <x v="0"/>
    <x v="4"/>
    <x v="17"/>
    <n v="139.94399999999999"/>
  </r>
  <r>
    <x v="12"/>
    <x v="1"/>
    <x v="0"/>
    <x v="0"/>
    <x v="0"/>
    <x v="1"/>
    <x v="0"/>
    <x v="0"/>
    <x v="0"/>
    <x v="0"/>
    <x v="0"/>
    <x v="0"/>
    <x v="0"/>
    <x v="9"/>
    <x v="9"/>
    <x v="21"/>
    <x v="21"/>
    <n v="103.97596638608699"/>
    <x v="0"/>
    <x v="0"/>
    <x v="1"/>
    <x v="4"/>
    <x v="5"/>
    <x v="10"/>
    <n v="123.73139999944352"/>
  </r>
  <r>
    <x v="12"/>
    <x v="1"/>
    <x v="0"/>
    <x v="0"/>
    <x v="0"/>
    <x v="1"/>
    <x v="0"/>
    <x v="0"/>
    <x v="0"/>
    <x v="0"/>
    <x v="0"/>
    <x v="0"/>
    <x v="0"/>
    <x v="9"/>
    <x v="9"/>
    <x v="18"/>
    <x v="18"/>
    <n v="10.500019999999999"/>
    <x v="0"/>
    <x v="0"/>
    <x v="0"/>
    <x v="0"/>
    <x v="4"/>
    <x v="18"/>
    <n v="12.495023799999998"/>
  </r>
  <r>
    <x v="12"/>
    <x v="1"/>
    <x v="0"/>
    <x v="0"/>
    <x v="0"/>
    <x v="1"/>
    <x v="0"/>
    <x v="0"/>
    <x v="0"/>
    <x v="0"/>
    <x v="0"/>
    <x v="0"/>
    <x v="0"/>
    <x v="9"/>
    <x v="9"/>
    <x v="34"/>
    <x v="34"/>
    <n v="46.790033853813803"/>
    <x v="0"/>
    <x v="0"/>
    <x v="0"/>
    <x v="0"/>
    <x v="0"/>
    <x v="0"/>
    <n v="55.680140286038423"/>
  </r>
  <r>
    <x v="12"/>
    <x v="1"/>
    <x v="0"/>
    <x v="0"/>
    <x v="0"/>
    <x v="1"/>
    <x v="0"/>
    <x v="0"/>
    <x v="0"/>
    <x v="0"/>
    <x v="0"/>
    <x v="0"/>
    <x v="0"/>
    <x v="9"/>
    <x v="9"/>
    <x v="37"/>
    <x v="37"/>
    <n v="69.466546218174798"/>
    <x v="0"/>
    <x v="0"/>
    <x v="1"/>
    <x v="3"/>
    <x v="3"/>
    <x v="4"/>
    <n v="82.665189999628012"/>
  </r>
  <r>
    <x v="12"/>
    <x v="1"/>
    <x v="0"/>
    <x v="0"/>
    <x v="0"/>
    <x v="1"/>
    <x v="0"/>
    <x v="0"/>
    <x v="0"/>
    <x v="0"/>
    <x v="0"/>
    <x v="0"/>
    <x v="0"/>
    <x v="9"/>
    <x v="9"/>
    <x v="26"/>
    <x v="26"/>
    <n v="26.745277310803999"/>
    <x v="0"/>
    <x v="0"/>
    <x v="1"/>
    <x v="3"/>
    <x v="3"/>
    <x v="15"/>
    <n v="31.826879999856757"/>
  </r>
  <r>
    <x v="12"/>
    <x v="1"/>
    <x v="0"/>
    <x v="0"/>
    <x v="0"/>
    <x v="1"/>
    <x v="0"/>
    <x v="0"/>
    <x v="0"/>
    <x v="0"/>
    <x v="0"/>
    <x v="0"/>
    <x v="0"/>
    <x v="9"/>
    <x v="9"/>
    <x v="0"/>
    <x v="0"/>
    <n v="3.3464231111529399"/>
    <x v="0"/>
    <x v="0"/>
    <x v="0"/>
    <x v="0"/>
    <x v="0"/>
    <x v="0"/>
    <n v="3.9822435022719982"/>
  </r>
  <r>
    <x v="12"/>
    <x v="1"/>
    <x v="0"/>
    <x v="0"/>
    <x v="0"/>
    <x v="1"/>
    <x v="0"/>
    <x v="0"/>
    <x v="0"/>
    <x v="0"/>
    <x v="0"/>
    <x v="0"/>
    <x v="0"/>
    <x v="9"/>
    <x v="9"/>
    <x v="2"/>
    <x v="2"/>
    <n v="41.165352940991198"/>
    <x v="0"/>
    <x v="1"/>
    <x v="2"/>
    <x v="2"/>
    <x v="13"/>
    <x v="2"/>
    <n v="48.986769999779526"/>
  </r>
  <r>
    <x v="12"/>
    <x v="1"/>
    <x v="0"/>
    <x v="0"/>
    <x v="0"/>
    <x v="1"/>
    <x v="0"/>
    <x v="0"/>
    <x v="0"/>
    <x v="0"/>
    <x v="0"/>
    <x v="0"/>
    <x v="2"/>
    <x v="10"/>
    <x v="10"/>
    <x v="6"/>
    <x v="6"/>
    <n v="289.79442"/>
    <x v="0"/>
    <x v="0"/>
    <x v="0"/>
    <x v="0"/>
    <x v="4"/>
    <x v="6"/>
    <n v="344.85535979999997"/>
  </r>
  <r>
    <x v="12"/>
    <x v="1"/>
    <x v="0"/>
    <x v="0"/>
    <x v="0"/>
    <x v="1"/>
    <x v="0"/>
    <x v="0"/>
    <x v="0"/>
    <x v="0"/>
    <x v="0"/>
    <x v="0"/>
    <x v="2"/>
    <x v="10"/>
    <x v="10"/>
    <x v="7"/>
    <x v="7"/>
    <n v="34.986361344380398"/>
    <x v="0"/>
    <x v="0"/>
    <x v="1"/>
    <x v="4"/>
    <x v="5"/>
    <x v="7"/>
    <n v="41.633769999812671"/>
  </r>
  <r>
    <x v="12"/>
    <x v="1"/>
    <x v="0"/>
    <x v="0"/>
    <x v="0"/>
    <x v="1"/>
    <x v="0"/>
    <x v="0"/>
    <x v="0"/>
    <x v="0"/>
    <x v="0"/>
    <x v="0"/>
    <x v="2"/>
    <x v="10"/>
    <x v="10"/>
    <x v="9"/>
    <x v="9"/>
    <n v="1045.3458908934799"/>
    <x v="0"/>
    <x v="0"/>
    <x v="1"/>
    <x v="4"/>
    <x v="5"/>
    <x v="9"/>
    <n v="1243.9616101632409"/>
  </r>
  <r>
    <x v="12"/>
    <x v="1"/>
    <x v="0"/>
    <x v="0"/>
    <x v="0"/>
    <x v="1"/>
    <x v="0"/>
    <x v="0"/>
    <x v="0"/>
    <x v="0"/>
    <x v="0"/>
    <x v="0"/>
    <x v="2"/>
    <x v="10"/>
    <x v="10"/>
    <x v="10"/>
    <x v="10"/>
    <n v="24.835445503464399"/>
    <x v="0"/>
    <x v="0"/>
    <x v="1"/>
    <x v="4"/>
    <x v="5"/>
    <x v="10"/>
    <n v="29.554180149122633"/>
  </r>
  <r>
    <x v="12"/>
    <x v="1"/>
    <x v="0"/>
    <x v="0"/>
    <x v="0"/>
    <x v="1"/>
    <x v="0"/>
    <x v="0"/>
    <x v="0"/>
    <x v="0"/>
    <x v="0"/>
    <x v="0"/>
    <x v="2"/>
    <x v="10"/>
    <x v="10"/>
    <x v="11"/>
    <x v="11"/>
    <n v="83.208519999999993"/>
    <x v="0"/>
    <x v="0"/>
    <x v="3"/>
    <x v="5"/>
    <x v="7"/>
    <x v="11"/>
    <n v="99.018138799999988"/>
  </r>
  <r>
    <x v="12"/>
    <x v="1"/>
    <x v="0"/>
    <x v="0"/>
    <x v="0"/>
    <x v="1"/>
    <x v="0"/>
    <x v="0"/>
    <x v="0"/>
    <x v="0"/>
    <x v="0"/>
    <x v="0"/>
    <x v="2"/>
    <x v="10"/>
    <x v="10"/>
    <x v="36"/>
    <x v="36"/>
    <n v="10.8793025209595"/>
    <x v="0"/>
    <x v="0"/>
    <x v="1"/>
    <x v="3"/>
    <x v="3"/>
    <x v="4"/>
    <n v="12.946369999941805"/>
  </r>
  <r>
    <x v="12"/>
    <x v="1"/>
    <x v="0"/>
    <x v="0"/>
    <x v="0"/>
    <x v="1"/>
    <x v="0"/>
    <x v="0"/>
    <x v="0"/>
    <x v="0"/>
    <x v="0"/>
    <x v="0"/>
    <x v="2"/>
    <x v="10"/>
    <x v="10"/>
    <x v="24"/>
    <x v="24"/>
    <n v="119.513823528874"/>
    <x v="0"/>
    <x v="0"/>
    <x v="1"/>
    <x v="3"/>
    <x v="3"/>
    <x v="4"/>
    <n v="142.22144999936006"/>
  </r>
  <r>
    <x v="12"/>
    <x v="1"/>
    <x v="0"/>
    <x v="0"/>
    <x v="0"/>
    <x v="1"/>
    <x v="0"/>
    <x v="0"/>
    <x v="0"/>
    <x v="0"/>
    <x v="0"/>
    <x v="0"/>
    <x v="2"/>
    <x v="10"/>
    <x v="10"/>
    <x v="17"/>
    <x v="17"/>
    <n v="47.088749999999997"/>
    <x v="0"/>
    <x v="0"/>
    <x v="0"/>
    <x v="0"/>
    <x v="4"/>
    <x v="17"/>
    <n v="56.035612499999992"/>
  </r>
  <r>
    <x v="12"/>
    <x v="1"/>
    <x v="0"/>
    <x v="0"/>
    <x v="0"/>
    <x v="1"/>
    <x v="0"/>
    <x v="0"/>
    <x v="0"/>
    <x v="0"/>
    <x v="0"/>
    <x v="0"/>
    <x v="2"/>
    <x v="10"/>
    <x v="10"/>
    <x v="21"/>
    <x v="21"/>
    <n v="41.345336134267697"/>
    <x v="0"/>
    <x v="0"/>
    <x v="1"/>
    <x v="4"/>
    <x v="5"/>
    <x v="10"/>
    <n v="49.200949999778558"/>
  </r>
  <r>
    <x v="12"/>
    <x v="1"/>
    <x v="0"/>
    <x v="0"/>
    <x v="0"/>
    <x v="1"/>
    <x v="0"/>
    <x v="0"/>
    <x v="0"/>
    <x v="0"/>
    <x v="0"/>
    <x v="0"/>
    <x v="2"/>
    <x v="10"/>
    <x v="10"/>
    <x v="18"/>
    <x v="18"/>
    <n v="99.750079999999997"/>
    <x v="0"/>
    <x v="0"/>
    <x v="0"/>
    <x v="0"/>
    <x v="4"/>
    <x v="18"/>
    <n v="118.70259519999999"/>
  </r>
  <r>
    <x v="12"/>
    <x v="1"/>
    <x v="0"/>
    <x v="0"/>
    <x v="0"/>
    <x v="1"/>
    <x v="0"/>
    <x v="0"/>
    <x v="0"/>
    <x v="0"/>
    <x v="0"/>
    <x v="0"/>
    <x v="2"/>
    <x v="10"/>
    <x v="10"/>
    <x v="34"/>
    <x v="34"/>
    <n v="100.872859614752"/>
    <x v="0"/>
    <x v="0"/>
    <x v="0"/>
    <x v="0"/>
    <x v="0"/>
    <x v="0"/>
    <n v="120.03870294155487"/>
  </r>
  <r>
    <x v="12"/>
    <x v="1"/>
    <x v="0"/>
    <x v="0"/>
    <x v="0"/>
    <x v="1"/>
    <x v="0"/>
    <x v="0"/>
    <x v="0"/>
    <x v="0"/>
    <x v="0"/>
    <x v="0"/>
    <x v="2"/>
    <x v="10"/>
    <x v="10"/>
    <x v="37"/>
    <x v="37"/>
    <n v="90.199336134047897"/>
    <x v="0"/>
    <x v="0"/>
    <x v="1"/>
    <x v="3"/>
    <x v="3"/>
    <x v="4"/>
    <n v="107.33720999951699"/>
  </r>
  <r>
    <x v="12"/>
    <x v="1"/>
    <x v="0"/>
    <x v="0"/>
    <x v="0"/>
    <x v="1"/>
    <x v="0"/>
    <x v="0"/>
    <x v="0"/>
    <x v="0"/>
    <x v="0"/>
    <x v="0"/>
    <x v="2"/>
    <x v="10"/>
    <x v="10"/>
    <x v="26"/>
    <x v="26"/>
    <n v="47.827151260289"/>
    <x v="0"/>
    <x v="0"/>
    <x v="1"/>
    <x v="3"/>
    <x v="3"/>
    <x v="15"/>
    <n v="56.914309999743907"/>
  </r>
  <r>
    <x v="12"/>
    <x v="1"/>
    <x v="0"/>
    <x v="0"/>
    <x v="0"/>
    <x v="1"/>
    <x v="0"/>
    <x v="0"/>
    <x v="0"/>
    <x v="0"/>
    <x v="0"/>
    <x v="0"/>
    <x v="2"/>
    <x v="10"/>
    <x v="10"/>
    <x v="0"/>
    <x v="0"/>
    <n v="210.943593780415"/>
    <x v="0"/>
    <x v="0"/>
    <x v="0"/>
    <x v="0"/>
    <x v="0"/>
    <x v="0"/>
    <n v="251.02287659869384"/>
  </r>
  <r>
    <x v="12"/>
    <x v="1"/>
    <x v="0"/>
    <x v="0"/>
    <x v="0"/>
    <x v="1"/>
    <x v="0"/>
    <x v="0"/>
    <x v="0"/>
    <x v="0"/>
    <x v="0"/>
    <x v="0"/>
    <x v="4"/>
    <x v="5"/>
    <x v="5"/>
    <x v="4"/>
    <x v="4"/>
    <n v="15.1158823528732"/>
    <x v="0"/>
    <x v="0"/>
    <x v="1"/>
    <x v="3"/>
    <x v="3"/>
    <x v="4"/>
    <n v="17.987899999919108"/>
  </r>
  <r>
    <x v="12"/>
    <x v="1"/>
    <x v="0"/>
    <x v="0"/>
    <x v="0"/>
    <x v="1"/>
    <x v="0"/>
    <x v="0"/>
    <x v="0"/>
    <x v="0"/>
    <x v="0"/>
    <x v="0"/>
    <x v="4"/>
    <x v="5"/>
    <x v="5"/>
    <x v="6"/>
    <x v="6"/>
    <n v="610.27210000000002"/>
    <x v="0"/>
    <x v="0"/>
    <x v="0"/>
    <x v="0"/>
    <x v="4"/>
    <x v="6"/>
    <n v="726.22379899999999"/>
  </r>
  <r>
    <x v="12"/>
    <x v="1"/>
    <x v="0"/>
    <x v="0"/>
    <x v="0"/>
    <x v="1"/>
    <x v="0"/>
    <x v="0"/>
    <x v="0"/>
    <x v="0"/>
    <x v="0"/>
    <x v="0"/>
    <x v="4"/>
    <x v="5"/>
    <x v="5"/>
    <x v="7"/>
    <x v="7"/>
    <n v="29.032840336003801"/>
    <x v="0"/>
    <x v="0"/>
    <x v="1"/>
    <x v="4"/>
    <x v="5"/>
    <x v="7"/>
    <n v="34.549079999844523"/>
  </r>
  <r>
    <x v="12"/>
    <x v="1"/>
    <x v="0"/>
    <x v="0"/>
    <x v="0"/>
    <x v="1"/>
    <x v="0"/>
    <x v="0"/>
    <x v="0"/>
    <x v="0"/>
    <x v="0"/>
    <x v="0"/>
    <x v="4"/>
    <x v="5"/>
    <x v="5"/>
    <x v="8"/>
    <x v="8"/>
    <n v="4269.17158383471"/>
    <x v="0"/>
    <x v="1"/>
    <x v="2"/>
    <x v="2"/>
    <x v="6"/>
    <x v="8"/>
    <n v="5080.3141847633042"/>
  </r>
  <r>
    <x v="12"/>
    <x v="1"/>
    <x v="0"/>
    <x v="0"/>
    <x v="0"/>
    <x v="1"/>
    <x v="0"/>
    <x v="0"/>
    <x v="0"/>
    <x v="0"/>
    <x v="0"/>
    <x v="0"/>
    <x v="4"/>
    <x v="5"/>
    <x v="5"/>
    <x v="9"/>
    <x v="9"/>
    <n v="3597.0058002094902"/>
    <x v="0"/>
    <x v="0"/>
    <x v="1"/>
    <x v="4"/>
    <x v="5"/>
    <x v="9"/>
    <n v="4280.4369022492929"/>
  </r>
  <r>
    <x v="12"/>
    <x v="1"/>
    <x v="0"/>
    <x v="0"/>
    <x v="0"/>
    <x v="1"/>
    <x v="0"/>
    <x v="0"/>
    <x v="0"/>
    <x v="0"/>
    <x v="0"/>
    <x v="0"/>
    <x v="4"/>
    <x v="5"/>
    <x v="5"/>
    <x v="10"/>
    <x v="10"/>
    <n v="211.68563554216701"/>
    <x v="0"/>
    <x v="0"/>
    <x v="1"/>
    <x v="4"/>
    <x v="5"/>
    <x v="10"/>
    <n v="251.90590629517874"/>
  </r>
  <r>
    <x v="12"/>
    <x v="1"/>
    <x v="0"/>
    <x v="0"/>
    <x v="0"/>
    <x v="1"/>
    <x v="0"/>
    <x v="0"/>
    <x v="0"/>
    <x v="0"/>
    <x v="0"/>
    <x v="0"/>
    <x v="4"/>
    <x v="5"/>
    <x v="5"/>
    <x v="30"/>
    <x v="30"/>
    <n v="3.1796182795571699"/>
    <x v="0"/>
    <x v="0"/>
    <x v="0"/>
    <x v="0"/>
    <x v="0"/>
    <x v="0"/>
    <n v="3.783745752673032"/>
  </r>
  <r>
    <x v="12"/>
    <x v="1"/>
    <x v="0"/>
    <x v="0"/>
    <x v="0"/>
    <x v="1"/>
    <x v="0"/>
    <x v="0"/>
    <x v="0"/>
    <x v="0"/>
    <x v="0"/>
    <x v="0"/>
    <x v="4"/>
    <x v="5"/>
    <x v="5"/>
    <x v="35"/>
    <x v="35"/>
    <n v="1812.0360000000001"/>
    <x v="0"/>
    <x v="0"/>
    <x v="0"/>
    <x v="0"/>
    <x v="0"/>
    <x v="0"/>
    <n v="2156.3228399999998"/>
  </r>
  <r>
    <x v="12"/>
    <x v="1"/>
    <x v="0"/>
    <x v="0"/>
    <x v="0"/>
    <x v="1"/>
    <x v="0"/>
    <x v="0"/>
    <x v="0"/>
    <x v="0"/>
    <x v="0"/>
    <x v="0"/>
    <x v="4"/>
    <x v="5"/>
    <x v="5"/>
    <x v="55"/>
    <x v="55"/>
    <n v="4.3173109243503198"/>
    <x v="0"/>
    <x v="0"/>
    <x v="1"/>
    <x v="3"/>
    <x v="3"/>
    <x v="15"/>
    <n v="5.1375999999768807"/>
  </r>
  <r>
    <x v="12"/>
    <x v="1"/>
    <x v="0"/>
    <x v="0"/>
    <x v="0"/>
    <x v="1"/>
    <x v="0"/>
    <x v="0"/>
    <x v="0"/>
    <x v="0"/>
    <x v="0"/>
    <x v="0"/>
    <x v="4"/>
    <x v="5"/>
    <x v="5"/>
    <x v="11"/>
    <x v="11"/>
    <n v="18.393940000000001"/>
    <x v="0"/>
    <x v="0"/>
    <x v="3"/>
    <x v="5"/>
    <x v="7"/>
    <x v="11"/>
    <n v="21.888788599999998"/>
  </r>
  <r>
    <x v="12"/>
    <x v="1"/>
    <x v="0"/>
    <x v="0"/>
    <x v="0"/>
    <x v="1"/>
    <x v="0"/>
    <x v="0"/>
    <x v="0"/>
    <x v="0"/>
    <x v="0"/>
    <x v="0"/>
    <x v="4"/>
    <x v="5"/>
    <x v="5"/>
    <x v="88"/>
    <x v="88"/>
    <n v="5.6959411764449603"/>
    <x v="0"/>
    <x v="0"/>
    <x v="1"/>
    <x v="4"/>
    <x v="5"/>
    <x v="9"/>
    <n v="6.7781699999695029"/>
  </r>
  <r>
    <x v="12"/>
    <x v="1"/>
    <x v="0"/>
    <x v="0"/>
    <x v="0"/>
    <x v="1"/>
    <x v="0"/>
    <x v="0"/>
    <x v="0"/>
    <x v="0"/>
    <x v="0"/>
    <x v="0"/>
    <x v="4"/>
    <x v="5"/>
    <x v="5"/>
    <x v="12"/>
    <x v="12"/>
    <n v="1363.74867045018"/>
    <x v="0"/>
    <x v="0"/>
    <x v="0"/>
    <x v="0"/>
    <x v="8"/>
    <x v="12"/>
    <n v="1622.8609178357142"/>
  </r>
  <r>
    <x v="12"/>
    <x v="1"/>
    <x v="0"/>
    <x v="0"/>
    <x v="0"/>
    <x v="1"/>
    <x v="0"/>
    <x v="0"/>
    <x v="0"/>
    <x v="0"/>
    <x v="0"/>
    <x v="0"/>
    <x v="4"/>
    <x v="5"/>
    <x v="5"/>
    <x v="14"/>
    <x v="14"/>
    <n v="119.44374999999999"/>
    <x v="0"/>
    <x v="0"/>
    <x v="0"/>
    <x v="0"/>
    <x v="8"/>
    <x v="14"/>
    <n v="142.13806249999999"/>
  </r>
  <r>
    <x v="12"/>
    <x v="1"/>
    <x v="0"/>
    <x v="0"/>
    <x v="0"/>
    <x v="1"/>
    <x v="0"/>
    <x v="0"/>
    <x v="0"/>
    <x v="0"/>
    <x v="0"/>
    <x v="0"/>
    <x v="4"/>
    <x v="5"/>
    <x v="5"/>
    <x v="22"/>
    <x v="22"/>
    <n v="52.7945913976383"/>
    <x v="0"/>
    <x v="0"/>
    <x v="0"/>
    <x v="0"/>
    <x v="0"/>
    <x v="0"/>
    <n v="62.825563763189571"/>
  </r>
  <r>
    <x v="12"/>
    <x v="1"/>
    <x v="0"/>
    <x v="0"/>
    <x v="0"/>
    <x v="1"/>
    <x v="0"/>
    <x v="0"/>
    <x v="0"/>
    <x v="0"/>
    <x v="0"/>
    <x v="0"/>
    <x v="4"/>
    <x v="5"/>
    <x v="5"/>
    <x v="16"/>
    <x v="16"/>
    <n v="22.5"/>
    <x v="0"/>
    <x v="0"/>
    <x v="3"/>
    <x v="5"/>
    <x v="9"/>
    <x v="16"/>
    <n v="26.774999999999999"/>
  </r>
  <r>
    <x v="12"/>
    <x v="1"/>
    <x v="0"/>
    <x v="0"/>
    <x v="0"/>
    <x v="1"/>
    <x v="0"/>
    <x v="0"/>
    <x v="0"/>
    <x v="0"/>
    <x v="0"/>
    <x v="0"/>
    <x v="4"/>
    <x v="5"/>
    <x v="5"/>
    <x v="33"/>
    <x v="33"/>
    <n v="15.727361344467001"/>
    <x v="0"/>
    <x v="0"/>
    <x v="1"/>
    <x v="3"/>
    <x v="3"/>
    <x v="4"/>
    <n v="18.71555999991573"/>
  </r>
  <r>
    <x v="12"/>
    <x v="1"/>
    <x v="0"/>
    <x v="0"/>
    <x v="0"/>
    <x v="1"/>
    <x v="0"/>
    <x v="0"/>
    <x v="0"/>
    <x v="0"/>
    <x v="0"/>
    <x v="0"/>
    <x v="4"/>
    <x v="5"/>
    <x v="5"/>
    <x v="36"/>
    <x v="36"/>
    <n v="42.2974873947676"/>
    <x v="0"/>
    <x v="0"/>
    <x v="1"/>
    <x v="3"/>
    <x v="3"/>
    <x v="4"/>
    <n v="50.334009999773443"/>
  </r>
  <r>
    <x v="12"/>
    <x v="1"/>
    <x v="0"/>
    <x v="0"/>
    <x v="0"/>
    <x v="1"/>
    <x v="0"/>
    <x v="0"/>
    <x v="0"/>
    <x v="0"/>
    <x v="0"/>
    <x v="0"/>
    <x v="4"/>
    <x v="5"/>
    <x v="5"/>
    <x v="23"/>
    <x v="23"/>
    <n v="2.1719075630154401"/>
    <x v="0"/>
    <x v="0"/>
    <x v="1"/>
    <x v="3"/>
    <x v="3"/>
    <x v="15"/>
    <n v="2.5845699999883736"/>
  </r>
  <r>
    <x v="12"/>
    <x v="1"/>
    <x v="0"/>
    <x v="0"/>
    <x v="0"/>
    <x v="1"/>
    <x v="0"/>
    <x v="0"/>
    <x v="0"/>
    <x v="0"/>
    <x v="0"/>
    <x v="0"/>
    <x v="4"/>
    <x v="5"/>
    <x v="5"/>
    <x v="24"/>
    <x v="24"/>
    <n v="163.55471428497799"/>
    <x v="0"/>
    <x v="0"/>
    <x v="1"/>
    <x v="3"/>
    <x v="3"/>
    <x v="4"/>
    <n v="194.63010999912379"/>
  </r>
  <r>
    <x v="12"/>
    <x v="1"/>
    <x v="0"/>
    <x v="0"/>
    <x v="0"/>
    <x v="1"/>
    <x v="0"/>
    <x v="0"/>
    <x v="0"/>
    <x v="0"/>
    <x v="0"/>
    <x v="0"/>
    <x v="4"/>
    <x v="5"/>
    <x v="5"/>
    <x v="17"/>
    <x v="17"/>
    <n v="224.93875"/>
    <x v="0"/>
    <x v="0"/>
    <x v="0"/>
    <x v="0"/>
    <x v="4"/>
    <x v="17"/>
    <n v="267.67711249999996"/>
  </r>
  <r>
    <x v="12"/>
    <x v="1"/>
    <x v="0"/>
    <x v="0"/>
    <x v="0"/>
    <x v="1"/>
    <x v="0"/>
    <x v="0"/>
    <x v="0"/>
    <x v="0"/>
    <x v="0"/>
    <x v="0"/>
    <x v="4"/>
    <x v="5"/>
    <x v="5"/>
    <x v="18"/>
    <x v="18"/>
    <n v="748.27736000000004"/>
    <x v="0"/>
    <x v="0"/>
    <x v="0"/>
    <x v="0"/>
    <x v="4"/>
    <x v="18"/>
    <n v="890.45005839999999"/>
  </r>
  <r>
    <x v="12"/>
    <x v="1"/>
    <x v="0"/>
    <x v="0"/>
    <x v="0"/>
    <x v="1"/>
    <x v="0"/>
    <x v="0"/>
    <x v="0"/>
    <x v="0"/>
    <x v="0"/>
    <x v="0"/>
    <x v="4"/>
    <x v="5"/>
    <x v="5"/>
    <x v="34"/>
    <x v="34"/>
    <n v="362.05349378740101"/>
    <x v="0"/>
    <x v="0"/>
    <x v="0"/>
    <x v="0"/>
    <x v="0"/>
    <x v="0"/>
    <n v="430.84365760700717"/>
  </r>
  <r>
    <x v="12"/>
    <x v="1"/>
    <x v="0"/>
    <x v="0"/>
    <x v="0"/>
    <x v="1"/>
    <x v="0"/>
    <x v="0"/>
    <x v="0"/>
    <x v="0"/>
    <x v="0"/>
    <x v="0"/>
    <x v="4"/>
    <x v="5"/>
    <x v="5"/>
    <x v="25"/>
    <x v="25"/>
    <n v="82.948689075256993"/>
    <x v="0"/>
    <x v="0"/>
    <x v="1"/>
    <x v="4"/>
    <x v="5"/>
    <x v="9"/>
    <n v="98.708939999555824"/>
  </r>
  <r>
    <x v="12"/>
    <x v="1"/>
    <x v="0"/>
    <x v="0"/>
    <x v="0"/>
    <x v="1"/>
    <x v="0"/>
    <x v="0"/>
    <x v="0"/>
    <x v="0"/>
    <x v="0"/>
    <x v="0"/>
    <x v="4"/>
    <x v="5"/>
    <x v="5"/>
    <x v="37"/>
    <x v="37"/>
    <n v="330.97289915817402"/>
    <x v="0"/>
    <x v="0"/>
    <x v="1"/>
    <x v="3"/>
    <x v="3"/>
    <x v="4"/>
    <n v="393.85774999822706"/>
  </r>
  <r>
    <x v="12"/>
    <x v="1"/>
    <x v="0"/>
    <x v="0"/>
    <x v="0"/>
    <x v="1"/>
    <x v="0"/>
    <x v="0"/>
    <x v="0"/>
    <x v="0"/>
    <x v="0"/>
    <x v="0"/>
    <x v="4"/>
    <x v="5"/>
    <x v="5"/>
    <x v="27"/>
    <x v="27"/>
    <n v="29.226624714587199"/>
    <x v="0"/>
    <x v="0"/>
    <x v="1"/>
    <x v="3"/>
    <x v="3"/>
    <x v="19"/>
    <n v="34.779683410358764"/>
  </r>
  <r>
    <x v="12"/>
    <x v="1"/>
    <x v="0"/>
    <x v="0"/>
    <x v="0"/>
    <x v="1"/>
    <x v="0"/>
    <x v="0"/>
    <x v="0"/>
    <x v="0"/>
    <x v="0"/>
    <x v="0"/>
    <x v="4"/>
    <x v="5"/>
    <x v="5"/>
    <x v="26"/>
    <x v="26"/>
    <n v="22.901075630149101"/>
    <x v="0"/>
    <x v="0"/>
    <x v="1"/>
    <x v="3"/>
    <x v="3"/>
    <x v="15"/>
    <n v="27.25227999987743"/>
  </r>
  <r>
    <x v="12"/>
    <x v="1"/>
    <x v="0"/>
    <x v="0"/>
    <x v="0"/>
    <x v="1"/>
    <x v="0"/>
    <x v="0"/>
    <x v="0"/>
    <x v="0"/>
    <x v="0"/>
    <x v="0"/>
    <x v="4"/>
    <x v="5"/>
    <x v="5"/>
    <x v="0"/>
    <x v="0"/>
    <n v="157.06824000196301"/>
    <x v="0"/>
    <x v="0"/>
    <x v="0"/>
    <x v="0"/>
    <x v="0"/>
    <x v="0"/>
    <n v="186.91120560233597"/>
  </r>
  <r>
    <x v="12"/>
    <x v="1"/>
    <x v="0"/>
    <x v="0"/>
    <x v="0"/>
    <x v="1"/>
    <x v="0"/>
    <x v="0"/>
    <x v="0"/>
    <x v="0"/>
    <x v="0"/>
    <x v="0"/>
    <x v="4"/>
    <x v="5"/>
    <x v="5"/>
    <x v="2"/>
    <x v="2"/>
    <n v="11235.570041966201"/>
    <x v="0"/>
    <x v="1"/>
    <x v="2"/>
    <x v="2"/>
    <x v="13"/>
    <x v="2"/>
    <n v="13370.328349939778"/>
  </r>
  <r>
    <x v="12"/>
    <x v="1"/>
    <x v="0"/>
    <x v="0"/>
    <x v="0"/>
    <x v="1"/>
    <x v="0"/>
    <x v="0"/>
    <x v="0"/>
    <x v="0"/>
    <x v="3"/>
    <x v="3"/>
    <x v="3"/>
    <x v="3"/>
    <x v="3"/>
    <x v="2"/>
    <x v="2"/>
    <n v="41.202033613259999"/>
    <x v="0"/>
    <x v="1"/>
    <x v="2"/>
    <x v="2"/>
    <x v="13"/>
    <x v="2"/>
    <n v="49.030419999779397"/>
  </r>
  <r>
    <x v="12"/>
    <x v="1"/>
    <x v="0"/>
    <x v="0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2495000000000001"/>
  </r>
  <r>
    <x v="12"/>
    <x v="1"/>
    <x v="0"/>
    <x v="0"/>
    <x v="0"/>
    <x v="1"/>
    <x v="0"/>
    <x v="0"/>
    <x v="0"/>
    <x v="0"/>
    <x v="3"/>
    <x v="3"/>
    <x v="0"/>
    <x v="4"/>
    <x v="4"/>
    <x v="2"/>
    <x v="2"/>
    <n v="105.538999999525"/>
    <x v="0"/>
    <x v="1"/>
    <x v="2"/>
    <x v="2"/>
    <x v="13"/>
    <x v="2"/>
    <n v="125.59140999943475"/>
  </r>
  <r>
    <x v="12"/>
    <x v="1"/>
    <x v="0"/>
    <x v="0"/>
    <x v="0"/>
    <x v="1"/>
    <x v="0"/>
    <x v="0"/>
    <x v="0"/>
    <x v="0"/>
    <x v="3"/>
    <x v="3"/>
    <x v="2"/>
    <x v="2"/>
    <x v="2"/>
    <x v="6"/>
    <x v="6"/>
    <n v="53.088360000000002"/>
    <x v="0"/>
    <x v="0"/>
    <x v="0"/>
    <x v="0"/>
    <x v="4"/>
    <x v="6"/>
    <n v="63.175148399999998"/>
  </r>
  <r>
    <x v="12"/>
    <x v="1"/>
    <x v="0"/>
    <x v="0"/>
    <x v="0"/>
    <x v="1"/>
    <x v="0"/>
    <x v="0"/>
    <x v="0"/>
    <x v="0"/>
    <x v="3"/>
    <x v="3"/>
    <x v="2"/>
    <x v="2"/>
    <x v="2"/>
    <x v="8"/>
    <x v="8"/>
    <n v="412.26257763818501"/>
    <x v="0"/>
    <x v="1"/>
    <x v="2"/>
    <x v="2"/>
    <x v="6"/>
    <x v="8"/>
    <n v="490.59246738944012"/>
  </r>
  <r>
    <x v="12"/>
    <x v="1"/>
    <x v="0"/>
    <x v="0"/>
    <x v="0"/>
    <x v="1"/>
    <x v="0"/>
    <x v="0"/>
    <x v="0"/>
    <x v="0"/>
    <x v="3"/>
    <x v="3"/>
    <x v="2"/>
    <x v="2"/>
    <x v="2"/>
    <x v="2"/>
    <x v="2"/>
    <n v="403.37258823347901"/>
    <x v="0"/>
    <x v="1"/>
    <x v="2"/>
    <x v="2"/>
    <x v="13"/>
    <x v="2"/>
    <n v="480.01337999783999"/>
  </r>
  <r>
    <x v="12"/>
    <x v="1"/>
    <x v="0"/>
    <x v="0"/>
    <x v="0"/>
    <x v="1"/>
    <x v="0"/>
    <x v="0"/>
    <x v="0"/>
    <x v="0"/>
    <x v="3"/>
    <x v="3"/>
    <x v="1"/>
    <x v="6"/>
    <x v="6"/>
    <x v="2"/>
    <x v="2"/>
    <n v="7.65940336131007"/>
    <x v="0"/>
    <x v="1"/>
    <x v="2"/>
    <x v="2"/>
    <x v="13"/>
    <x v="2"/>
    <n v="9.1146899999589834"/>
  </r>
  <r>
    <x v="12"/>
    <x v="1"/>
    <x v="0"/>
    <x v="0"/>
    <x v="0"/>
    <x v="1"/>
    <x v="0"/>
    <x v="0"/>
    <x v="0"/>
    <x v="0"/>
    <x v="3"/>
    <x v="3"/>
    <x v="4"/>
    <x v="5"/>
    <x v="5"/>
    <x v="12"/>
    <x v="12"/>
    <n v="19.157784090847802"/>
    <x v="0"/>
    <x v="0"/>
    <x v="0"/>
    <x v="0"/>
    <x v="8"/>
    <x v="12"/>
    <n v="22.797763068108882"/>
  </r>
  <r>
    <x v="12"/>
    <x v="1"/>
    <x v="0"/>
    <x v="0"/>
    <x v="0"/>
    <x v="1"/>
    <x v="0"/>
    <x v="0"/>
    <x v="0"/>
    <x v="0"/>
    <x v="3"/>
    <x v="3"/>
    <x v="4"/>
    <x v="5"/>
    <x v="5"/>
    <x v="2"/>
    <x v="2"/>
    <n v="5.5145714285466099"/>
    <x v="0"/>
    <x v="1"/>
    <x v="2"/>
    <x v="2"/>
    <x v="13"/>
    <x v="2"/>
    <n v="6.5623399999704652"/>
  </r>
  <r>
    <x v="12"/>
    <x v="1"/>
    <x v="0"/>
    <x v="0"/>
    <x v="0"/>
    <x v="1"/>
    <x v="0"/>
    <x v="0"/>
    <x v="0"/>
    <x v="0"/>
    <x v="18"/>
    <x v="18"/>
    <x v="1"/>
    <x v="6"/>
    <x v="6"/>
    <x v="2"/>
    <x v="2"/>
    <n v="32.924369747751001"/>
    <x v="0"/>
    <x v="1"/>
    <x v="2"/>
    <x v="2"/>
    <x v="13"/>
    <x v="2"/>
    <n v="39.179999999823693"/>
  </r>
  <r>
    <x v="12"/>
    <x v="1"/>
    <x v="0"/>
    <x v="0"/>
    <x v="0"/>
    <x v="1"/>
    <x v="0"/>
    <x v="0"/>
    <x v="0"/>
    <x v="0"/>
    <x v="4"/>
    <x v="4"/>
    <x v="2"/>
    <x v="2"/>
    <x v="2"/>
    <x v="6"/>
    <x v="6"/>
    <n v="1.635E-2"/>
    <x v="0"/>
    <x v="0"/>
    <x v="0"/>
    <x v="0"/>
    <x v="4"/>
    <x v="6"/>
    <n v="1.9456499999999998E-2"/>
  </r>
  <r>
    <x v="12"/>
    <x v="1"/>
    <x v="0"/>
    <x v="0"/>
    <x v="0"/>
    <x v="1"/>
    <x v="0"/>
    <x v="0"/>
    <x v="0"/>
    <x v="0"/>
    <x v="4"/>
    <x v="4"/>
    <x v="2"/>
    <x v="2"/>
    <x v="2"/>
    <x v="8"/>
    <x v="8"/>
    <n v="0.81270807453106997"/>
    <x v="0"/>
    <x v="1"/>
    <x v="2"/>
    <x v="2"/>
    <x v="6"/>
    <x v="8"/>
    <n v="0.9671226086919732"/>
  </r>
  <r>
    <x v="12"/>
    <x v="1"/>
    <x v="0"/>
    <x v="0"/>
    <x v="0"/>
    <x v="1"/>
    <x v="0"/>
    <x v="0"/>
    <x v="0"/>
    <x v="0"/>
    <x v="4"/>
    <x v="4"/>
    <x v="2"/>
    <x v="2"/>
    <x v="2"/>
    <x v="9"/>
    <x v="9"/>
    <n v="0.16142857142785"/>
    <x v="0"/>
    <x v="0"/>
    <x v="1"/>
    <x v="4"/>
    <x v="5"/>
    <x v="9"/>
    <n v="0.19209999999914149"/>
  </r>
  <r>
    <x v="12"/>
    <x v="1"/>
    <x v="0"/>
    <x v="0"/>
    <x v="0"/>
    <x v="1"/>
    <x v="0"/>
    <x v="0"/>
    <x v="0"/>
    <x v="0"/>
    <x v="4"/>
    <x v="4"/>
    <x v="2"/>
    <x v="2"/>
    <x v="2"/>
    <x v="11"/>
    <x v="11"/>
    <n v="3.3619999999999997E-2"/>
    <x v="0"/>
    <x v="0"/>
    <x v="3"/>
    <x v="5"/>
    <x v="7"/>
    <x v="11"/>
    <n v="4.0007799999999996E-2"/>
  </r>
  <r>
    <x v="12"/>
    <x v="1"/>
    <x v="0"/>
    <x v="0"/>
    <x v="0"/>
    <x v="1"/>
    <x v="0"/>
    <x v="0"/>
    <x v="0"/>
    <x v="0"/>
    <x v="4"/>
    <x v="4"/>
    <x v="2"/>
    <x v="2"/>
    <x v="2"/>
    <x v="27"/>
    <x v="27"/>
    <n v="0.16146224256639999"/>
    <x v="0"/>
    <x v="0"/>
    <x v="1"/>
    <x v="3"/>
    <x v="3"/>
    <x v="19"/>
    <n v="0.19214006865401598"/>
  </r>
  <r>
    <x v="12"/>
    <x v="1"/>
    <x v="0"/>
    <x v="0"/>
    <x v="0"/>
    <x v="1"/>
    <x v="0"/>
    <x v="0"/>
    <x v="0"/>
    <x v="0"/>
    <x v="4"/>
    <x v="4"/>
    <x v="2"/>
    <x v="2"/>
    <x v="2"/>
    <x v="2"/>
    <x v="2"/>
    <n v="1.81162184873134"/>
    <x v="0"/>
    <x v="1"/>
    <x v="2"/>
    <x v="2"/>
    <x v="13"/>
    <x v="2"/>
    <n v="2.1558299999902943"/>
  </r>
  <r>
    <x v="12"/>
    <x v="1"/>
    <x v="0"/>
    <x v="0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8603499999999995"/>
  </r>
  <r>
    <x v="12"/>
    <x v="1"/>
    <x v="0"/>
    <x v="0"/>
    <x v="0"/>
    <x v="1"/>
    <x v="0"/>
    <x v="0"/>
    <x v="2"/>
    <x v="2"/>
    <x v="5"/>
    <x v="5"/>
    <x v="2"/>
    <x v="2"/>
    <x v="2"/>
    <x v="42"/>
    <x v="42"/>
    <n v="9.7583300000000008"/>
    <x v="1"/>
    <x v="2"/>
    <x v="5"/>
    <x v="7"/>
    <x v="11"/>
    <x v="22"/>
    <n v="11.6124127"/>
  </r>
  <r>
    <x v="12"/>
    <x v="1"/>
    <x v="0"/>
    <x v="0"/>
    <x v="0"/>
    <x v="1"/>
    <x v="0"/>
    <x v="0"/>
    <x v="2"/>
    <x v="2"/>
    <x v="5"/>
    <x v="5"/>
    <x v="2"/>
    <x v="2"/>
    <x v="2"/>
    <x v="41"/>
    <x v="41"/>
    <n v="4.3250109890066604"/>
    <x v="1"/>
    <x v="2"/>
    <x v="5"/>
    <x v="7"/>
    <x v="11"/>
    <x v="22"/>
    <n v="5.1467630769179253"/>
  </r>
  <r>
    <x v="12"/>
    <x v="1"/>
    <x v="0"/>
    <x v="0"/>
    <x v="0"/>
    <x v="1"/>
    <x v="0"/>
    <x v="0"/>
    <x v="2"/>
    <x v="2"/>
    <x v="5"/>
    <x v="5"/>
    <x v="2"/>
    <x v="2"/>
    <x v="2"/>
    <x v="40"/>
    <x v="40"/>
    <n v="333.26474000000002"/>
    <x v="1"/>
    <x v="2"/>
    <x v="5"/>
    <x v="7"/>
    <x v="11"/>
    <x v="22"/>
    <n v="396.58504060000001"/>
  </r>
  <r>
    <x v="12"/>
    <x v="1"/>
    <x v="0"/>
    <x v="0"/>
    <x v="0"/>
    <x v="1"/>
    <x v="0"/>
    <x v="0"/>
    <x v="2"/>
    <x v="2"/>
    <x v="5"/>
    <x v="5"/>
    <x v="2"/>
    <x v="2"/>
    <x v="2"/>
    <x v="38"/>
    <x v="38"/>
    <n v="7.11"/>
    <x v="1"/>
    <x v="0"/>
    <x v="4"/>
    <x v="6"/>
    <x v="10"/>
    <x v="21"/>
    <n v="8.4609000000000005"/>
  </r>
  <r>
    <x v="12"/>
    <x v="1"/>
    <x v="0"/>
    <x v="0"/>
    <x v="0"/>
    <x v="1"/>
    <x v="0"/>
    <x v="0"/>
    <x v="0"/>
    <x v="0"/>
    <x v="5"/>
    <x v="5"/>
    <x v="2"/>
    <x v="2"/>
    <x v="2"/>
    <x v="17"/>
    <x v="17"/>
    <n v="8.5175699999999992"/>
    <x v="0"/>
    <x v="0"/>
    <x v="0"/>
    <x v="0"/>
    <x v="4"/>
    <x v="17"/>
    <n v="10.135908299999999"/>
  </r>
  <r>
    <x v="12"/>
    <x v="1"/>
    <x v="0"/>
    <x v="0"/>
    <x v="0"/>
    <x v="1"/>
    <x v="0"/>
    <x v="0"/>
    <x v="2"/>
    <x v="2"/>
    <x v="5"/>
    <x v="5"/>
    <x v="1"/>
    <x v="6"/>
    <x v="6"/>
    <x v="41"/>
    <x v="41"/>
    <n v="21.2571428571216"/>
    <x v="1"/>
    <x v="2"/>
    <x v="5"/>
    <x v="7"/>
    <x v="11"/>
    <x v="22"/>
    <n v="25.295999999974704"/>
  </r>
  <r>
    <x v="12"/>
    <x v="1"/>
    <x v="0"/>
    <x v="0"/>
    <x v="0"/>
    <x v="1"/>
    <x v="0"/>
    <x v="0"/>
    <x v="2"/>
    <x v="2"/>
    <x v="5"/>
    <x v="5"/>
    <x v="1"/>
    <x v="6"/>
    <x v="6"/>
    <x v="40"/>
    <x v="40"/>
    <n v="515.08417999999995"/>
    <x v="1"/>
    <x v="2"/>
    <x v="5"/>
    <x v="7"/>
    <x v="11"/>
    <x v="22"/>
    <n v="612.95017419999988"/>
  </r>
  <r>
    <x v="12"/>
    <x v="1"/>
    <x v="0"/>
    <x v="0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2.587389999999999"/>
  </r>
  <r>
    <x v="12"/>
    <x v="1"/>
    <x v="0"/>
    <x v="0"/>
    <x v="0"/>
    <x v="1"/>
    <x v="0"/>
    <x v="0"/>
    <x v="2"/>
    <x v="2"/>
    <x v="6"/>
    <x v="6"/>
    <x v="2"/>
    <x v="2"/>
    <x v="2"/>
    <x v="40"/>
    <x v="40"/>
    <n v="8.6976499999999994"/>
    <x v="1"/>
    <x v="2"/>
    <x v="5"/>
    <x v="7"/>
    <x v="11"/>
    <x v="22"/>
    <n v="10.350203499999999"/>
  </r>
  <r>
    <x v="12"/>
    <x v="1"/>
    <x v="0"/>
    <x v="0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1.391274999999998"/>
  </r>
  <r>
    <x v="12"/>
    <x v="1"/>
    <x v="0"/>
    <x v="0"/>
    <x v="0"/>
    <x v="1"/>
    <x v="0"/>
    <x v="0"/>
    <x v="2"/>
    <x v="2"/>
    <x v="7"/>
    <x v="7"/>
    <x v="2"/>
    <x v="2"/>
    <x v="2"/>
    <x v="40"/>
    <x v="40"/>
    <n v="101.4372"/>
    <x v="1"/>
    <x v="2"/>
    <x v="5"/>
    <x v="7"/>
    <x v="11"/>
    <x v="22"/>
    <n v="120.710268"/>
  </r>
  <r>
    <x v="12"/>
    <x v="1"/>
    <x v="0"/>
    <x v="0"/>
    <x v="0"/>
    <x v="1"/>
    <x v="0"/>
    <x v="0"/>
    <x v="2"/>
    <x v="2"/>
    <x v="7"/>
    <x v="7"/>
    <x v="2"/>
    <x v="2"/>
    <x v="2"/>
    <x v="38"/>
    <x v="38"/>
    <n v="148.83661000000001"/>
    <x v="1"/>
    <x v="0"/>
    <x v="4"/>
    <x v="6"/>
    <x v="10"/>
    <x v="21"/>
    <n v="177.11556590000001"/>
  </r>
  <r>
    <x v="12"/>
    <x v="1"/>
    <x v="0"/>
    <x v="0"/>
    <x v="0"/>
    <x v="1"/>
    <x v="0"/>
    <x v="0"/>
    <x v="2"/>
    <x v="2"/>
    <x v="7"/>
    <x v="7"/>
    <x v="2"/>
    <x v="2"/>
    <x v="2"/>
    <x v="44"/>
    <x v="44"/>
    <n v="3.165"/>
    <x v="1"/>
    <x v="0"/>
    <x v="4"/>
    <x v="6"/>
    <x v="10"/>
    <x v="21"/>
    <n v="3.7663500000000001"/>
  </r>
  <r>
    <x v="12"/>
    <x v="1"/>
    <x v="0"/>
    <x v="0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7663500000000001"/>
  </r>
  <r>
    <x v="12"/>
    <x v="1"/>
    <x v="0"/>
    <x v="0"/>
    <x v="0"/>
    <x v="1"/>
    <x v="0"/>
    <x v="0"/>
    <x v="2"/>
    <x v="2"/>
    <x v="7"/>
    <x v="7"/>
    <x v="2"/>
    <x v="2"/>
    <x v="2"/>
    <x v="46"/>
    <x v="46"/>
    <n v="3.60575"/>
    <x v="1"/>
    <x v="0"/>
    <x v="4"/>
    <x v="6"/>
    <x v="10"/>
    <x v="21"/>
    <n v="4.2908425000000001"/>
  </r>
  <r>
    <x v="12"/>
    <x v="1"/>
    <x v="0"/>
    <x v="0"/>
    <x v="0"/>
    <x v="1"/>
    <x v="0"/>
    <x v="0"/>
    <x v="2"/>
    <x v="2"/>
    <x v="7"/>
    <x v="7"/>
    <x v="1"/>
    <x v="6"/>
    <x v="6"/>
    <x v="40"/>
    <x v="40"/>
    <n v="236.62658999999999"/>
    <x v="1"/>
    <x v="2"/>
    <x v="5"/>
    <x v="7"/>
    <x v="11"/>
    <x v="22"/>
    <n v="281.58564209999997"/>
  </r>
  <r>
    <x v="12"/>
    <x v="1"/>
    <x v="0"/>
    <x v="0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31.557788499999997"/>
  </r>
  <r>
    <x v="12"/>
    <x v="1"/>
    <x v="0"/>
    <x v="0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17.3801601"/>
  </r>
  <r>
    <x v="12"/>
    <x v="1"/>
    <x v="0"/>
    <x v="0"/>
    <x v="0"/>
    <x v="1"/>
    <x v="0"/>
    <x v="0"/>
    <x v="2"/>
    <x v="2"/>
    <x v="8"/>
    <x v="8"/>
    <x v="2"/>
    <x v="2"/>
    <x v="2"/>
    <x v="40"/>
    <x v="40"/>
    <n v="74.593789999999998"/>
    <x v="1"/>
    <x v="2"/>
    <x v="5"/>
    <x v="7"/>
    <x v="11"/>
    <x v="22"/>
    <n v="88.766610099999994"/>
  </r>
  <r>
    <x v="12"/>
    <x v="1"/>
    <x v="0"/>
    <x v="0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7.465351500000004"/>
  </r>
  <r>
    <x v="12"/>
    <x v="1"/>
    <x v="0"/>
    <x v="0"/>
    <x v="0"/>
    <x v="1"/>
    <x v="0"/>
    <x v="0"/>
    <x v="2"/>
    <x v="2"/>
    <x v="9"/>
    <x v="9"/>
    <x v="2"/>
    <x v="2"/>
    <x v="2"/>
    <x v="40"/>
    <x v="40"/>
    <n v="653.17025000000001"/>
    <x v="1"/>
    <x v="2"/>
    <x v="5"/>
    <x v="7"/>
    <x v="11"/>
    <x v="22"/>
    <n v="777.27259749999996"/>
  </r>
  <r>
    <x v="12"/>
    <x v="1"/>
    <x v="0"/>
    <x v="0"/>
    <x v="0"/>
    <x v="1"/>
    <x v="0"/>
    <x v="0"/>
    <x v="2"/>
    <x v="2"/>
    <x v="9"/>
    <x v="9"/>
    <x v="2"/>
    <x v="2"/>
    <x v="2"/>
    <x v="38"/>
    <x v="38"/>
    <n v="213.08602999999999"/>
    <x v="1"/>
    <x v="0"/>
    <x v="4"/>
    <x v="6"/>
    <x v="10"/>
    <x v="21"/>
    <n v="253.57237569999998"/>
  </r>
  <r>
    <x v="12"/>
    <x v="1"/>
    <x v="0"/>
    <x v="0"/>
    <x v="0"/>
    <x v="1"/>
    <x v="0"/>
    <x v="0"/>
    <x v="2"/>
    <x v="2"/>
    <x v="9"/>
    <x v="9"/>
    <x v="2"/>
    <x v="2"/>
    <x v="2"/>
    <x v="48"/>
    <x v="48"/>
    <n v="32.802320000000002"/>
    <x v="1"/>
    <x v="0"/>
    <x v="4"/>
    <x v="6"/>
    <x v="10"/>
    <x v="21"/>
    <n v="39.034760800000001"/>
  </r>
  <r>
    <x v="12"/>
    <x v="1"/>
    <x v="0"/>
    <x v="0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6.576293800000002"/>
  </r>
  <r>
    <x v="12"/>
    <x v="1"/>
    <x v="0"/>
    <x v="0"/>
    <x v="0"/>
    <x v="1"/>
    <x v="0"/>
    <x v="0"/>
    <x v="2"/>
    <x v="2"/>
    <x v="9"/>
    <x v="9"/>
    <x v="1"/>
    <x v="6"/>
    <x v="6"/>
    <x v="40"/>
    <x v="40"/>
    <n v="1524.2524000000001"/>
    <x v="1"/>
    <x v="2"/>
    <x v="5"/>
    <x v="7"/>
    <x v="11"/>
    <x v="22"/>
    <n v="1813.8603559999999"/>
  </r>
  <r>
    <x v="12"/>
    <x v="1"/>
    <x v="0"/>
    <x v="0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17.4506914"/>
  </r>
  <r>
    <x v="12"/>
    <x v="1"/>
    <x v="0"/>
    <x v="0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5920050000000003"/>
  </r>
  <r>
    <x v="12"/>
    <x v="1"/>
    <x v="0"/>
    <x v="0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4.2259755999999999"/>
  </r>
  <r>
    <x v="12"/>
    <x v="1"/>
    <x v="0"/>
    <x v="0"/>
    <x v="0"/>
    <x v="1"/>
    <x v="0"/>
    <x v="0"/>
    <x v="2"/>
    <x v="2"/>
    <x v="10"/>
    <x v="10"/>
    <x v="2"/>
    <x v="2"/>
    <x v="2"/>
    <x v="41"/>
    <x v="41"/>
    <n v="2.76709890109613"/>
    <x v="1"/>
    <x v="2"/>
    <x v="5"/>
    <x v="7"/>
    <x v="11"/>
    <x v="22"/>
    <n v="3.2928476923043943"/>
  </r>
  <r>
    <x v="12"/>
    <x v="1"/>
    <x v="0"/>
    <x v="0"/>
    <x v="0"/>
    <x v="1"/>
    <x v="0"/>
    <x v="0"/>
    <x v="2"/>
    <x v="2"/>
    <x v="10"/>
    <x v="10"/>
    <x v="2"/>
    <x v="2"/>
    <x v="2"/>
    <x v="40"/>
    <x v="40"/>
    <n v="250.79452000000001"/>
    <x v="1"/>
    <x v="2"/>
    <x v="5"/>
    <x v="7"/>
    <x v="11"/>
    <x v="22"/>
    <n v="298.44547879999999"/>
  </r>
  <r>
    <x v="12"/>
    <x v="1"/>
    <x v="0"/>
    <x v="0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53193000000000001"/>
  </r>
  <r>
    <x v="12"/>
    <x v="1"/>
    <x v="0"/>
    <x v="0"/>
    <x v="0"/>
    <x v="1"/>
    <x v="0"/>
    <x v="0"/>
    <x v="3"/>
    <x v="3"/>
    <x v="12"/>
    <x v="12"/>
    <x v="2"/>
    <x v="2"/>
    <x v="2"/>
    <x v="40"/>
    <x v="40"/>
    <n v="7.6232499999999996"/>
    <x v="1"/>
    <x v="2"/>
    <x v="5"/>
    <x v="7"/>
    <x v="11"/>
    <x v="22"/>
    <n v="9.0716674999999984"/>
  </r>
  <r>
    <x v="12"/>
    <x v="1"/>
    <x v="0"/>
    <x v="0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5.7675"/>
  </r>
  <r>
    <x v="12"/>
    <x v="1"/>
    <x v="0"/>
    <x v="0"/>
    <x v="0"/>
    <x v="1"/>
    <x v="0"/>
    <x v="0"/>
    <x v="3"/>
    <x v="3"/>
    <x v="12"/>
    <x v="12"/>
    <x v="1"/>
    <x v="6"/>
    <x v="6"/>
    <x v="41"/>
    <x v="41"/>
    <n v="45.030989010943998"/>
    <x v="1"/>
    <x v="2"/>
    <x v="5"/>
    <x v="7"/>
    <x v="11"/>
    <x v="22"/>
    <n v="53.586876923023354"/>
  </r>
  <r>
    <x v="12"/>
    <x v="1"/>
    <x v="0"/>
    <x v="0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4.689951799999996"/>
  </r>
  <r>
    <x v="12"/>
    <x v="1"/>
    <x v="0"/>
    <x v="0"/>
    <x v="0"/>
    <x v="1"/>
    <x v="0"/>
    <x v="0"/>
    <x v="3"/>
    <x v="3"/>
    <x v="13"/>
    <x v="13"/>
    <x v="2"/>
    <x v="2"/>
    <x v="2"/>
    <x v="41"/>
    <x v="41"/>
    <n v="18.377219780201401"/>
    <x v="1"/>
    <x v="2"/>
    <x v="5"/>
    <x v="7"/>
    <x v="11"/>
    <x v="22"/>
    <n v="21.868891538439666"/>
  </r>
  <r>
    <x v="12"/>
    <x v="1"/>
    <x v="0"/>
    <x v="0"/>
    <x v="0"/>
    <x v="1"/>
    <x v="0"/>
    <x v="0"/>
    <x v="3"/>
    <x v="3"/>
    <x v="13"/>
    <x v="13"/>
    <x v="2"/>
    <x v="2"/>
    <x v="2"/>
    <x v="40"/>
    <x v="40"/>
    <n v="188.51357999999999"/>
    <x v="1"/>
    <x v="2"/>
    <x v="5"/>
    <x v="7"/>
    <x v="11"/>
    <x v="22"/>
    <n v="224.33116019999997"/>
  </r>
  <r>
    <x v="12"/>
    <x v="1"/>
    <x v="0"/>
    <x v="0"/>
    <x v="0"/>
    <x v="1"/>
    <x v="0"/>
    <x v="0"/>
    <x v="3"/>
    <x v="3"/>
    <x v="13"/>
    <x v="13"/>
    <x v="1"/>
    <x v="6"/>
    <x v="6"/>
    <x v="41"/>
    <x v="41"/>
    <n v="4.4368131868087497"/>
    <x v="1"/>
    <x v="2"/>
    <x v="5"/>
    <x v="7"/>
    <x v="11"/>
    <x v="22"/>
    <n v="5.2798076923024118"/>
  </r>
  <r>
    <x v="12"/>
    <x v="1"/>
    <x v="0"/>
    <x v="0"/>
    <x v="0"/>
    <x v="1"/>
    <x v="0"/>
    <x v="0"/>
    <x v="3"/>
    <x v="3"/>
    <x v="13"/>
    <x v="13"/>
    <x v="1"/>
    <x v="6"/>
    <x v="6"/>
    <x v="40"/>
    <x v="40"/>
    <n v="164.06700000000001"/>
    <x v="1"/>
    <x v="2"/>
    <x v="5"/>
    <x v="7"/>
    <x v="11"/>
    <x v="22"/>
    <n v="195.23973000000001"/>
  </r>
  <r>
    <x v="12"/>
    <x v="1"/>
    <x v="0"/>
    <x v="0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8.56"/>
  </r>
  <r>
    <x v="12"/>
    <x v="1"/>
    <x v="0"/>
    <x v="0"/>
    <x v="0"/>
    <x v="1"/>
    <x v="0"/>
    <x v="0"/>
    <x v="2"/>
    <x v="2"/>
    <x v="14"/>
    <x v="14"/>
    <x v="2"/>
    <x v="2"/>
    <x v="2"/>
    <x v="40"/>
    <x v="40"/>
    <n v="22.454190000000001"/>
    <x v="1"/>
    <x v="2"/>
    <x v="5"/>
    <x v="7"/>
    <x v="11"/>
    <x v="22"/>
    <n v="26.720486099999999"/>
  </r>
  <r>
    <x v="12"/>
    <x v="1"/>
    <x v="0"/>
    <x v="0"/>
    <x v="0"/>
    <x v="1"/>
    <x v="0"/>
    <x v="0"/>
    <x v="2"/>
    <x v="2"/>
    <x v="15"/>
    <x v="15"/>
    <x v="0"/>
    <x v="4"/>
    <x v="4"/>
    <x v="40"/>
    <x v="40"/>
    <n v="48.567279999999997"/>
    <x v="1"/>
    <x v="2"/>
    <x v="5"/>
    <x v="7"/>
    <x v="11"/>
    <x v="22"/>
    <n v="57.795063199999994"/>
  </r>
  <r>
    <x v="12"/>
    <x v="1"/>
    <x v="0"/>
    <x v="0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7.658469499999999"/>
  </r>
  <r>
    <x v="12"/>
    <x v="1"/>
    <x v="0"/>
    <x v="0"/>
    <x v="0"/>
    <x v="2"/>
    <x v="0"/>
    <x v="0"/>
    <x v="0"/>
    <x v="0"/>
    <x v="0"/>
    <x v="0"/>
    <x v="0"/>
    <x v="4"/>
    <x v="4"/>
    <x v="32"/>
    <x v="32"/>
    <n v="12.305194805751"/>
    <x v="0"/>
    <x v="0"/>
    <x v="1"/>
    <x v="1"/>
    <x v="1"/>
    <x v="20"/>
    <n v="14.64318181884369"/>
  </r>
  <r>
    <x v="12"/>
    <x v="1"/>
    <x v="0"/>
    <x v="0"/>
    <x v="0"/>
    <x v="2"/>
    <x v="0"/>
    <x v="0"/>
    <x v="0"/>
    <x v="0"/>
    <x v="0"/>
    <x v="0"/>
    <x v="0"/>
    <x v="4"/>
    <x v="4"/>
    <x v="16"/>
    <x v="16"/>
    <n v="79.66516"/>
    <x v="0"/>
    <x v="0"/>
    <x v="3"/>
    <x v="5"/>
    <x v="9"/>
    <x v="16"/>
    <n v="94.801540399999993"/>
  </r>
  <r>
    <x v="12"/>
    <x v="1"/>
    <x v="0"/>
    <x v="0"/>
    <x v="0"/>
    <x v="2"/>
    <x v="0"/>
    <x v="0"/>
    <x v="0"/>
    <x v="0"/>
    <x v="0"/>
    <x v="0"/>
    <x v="0"/>
    <x v="4"/>
    <x v="4"/>
    <x v="25"/>
    <x v="25"/>
    <n v="14.3235294117002"/>
    <x v="0"/>
    <x v="0"/>
    <x v="1"/>
    <x v="4"/>
    <x v="5"/>
    <x v="9"/>
    <n v="17.044999999923238"/>
  </r>
  <r>
    <x v="12"/>
    <x v="1"/>
    <x v="0"/>
    <x v="0"/>
    <x v="0"/>
    <x v="2"/>
    <x v="0"/>
    <x v="0"/>
    <x v="0"/>
    <x v="0"/>
    <x v="0"/>
    <x v="0"/>
    <x v="0"/>
    <x v="4"/>
    <x v="4"/>
    <x v="2"/>
    <x v="2"/>
    <n v="7.1224705882032397"/>
    <x v="0"/>
    <x v="1"/>
    <x v="2"/>
    <x v="2"/>
    <x v="13"/>
    <x v="2"/>
    <n v="8.4757399999618546"/>
  </r>
  <r>
    <x v="12"/>
    <x v="1"/>
    <x v="0"/>
    <x v="0"/>
    <x v="0"/>
    <x v="2"/>
    <x v="0"/>
    <x v="0"/>
    <x v="0"/>
    <x v="0"/>
    <x v="0"/>
    <x v="0"/>
    <x v="0"/>
    <x v="0"/>
    <x v="0"/>
    <x v="5"/>
    <x v="5"/>
    <n v="17.766961326117901"/>
    <x v="0"/>
    <x v="0"/>
    <x v="1"/>
    <x v="1"/>
    <x v="1"/>
    <x v="5"/>
    <n v="21.142683978080303"/>
  </r>
  <r>
    <x v="12"/>
    <x v="1"/>
    <x v="0"/>
    <x v="0"/>
    <x v="0"/>
    <x v="2"/>
    <x v="0"/>
    <x v="0"/>
    <x v="0"/>
    <x v="0"/>
    <x v="0"/>
    <x v="0"/>
    <x v="0"/>
    <x v="0"/>
    <x v="0"/>
    <x v="6"/>
    <x v="6"/>
    <n v="54.920400000000001"/>
    <x v="0"/>
    <x v="0"/>
    <x v="0"/>
    <x v="0"/>
    <x v="4"/>
    <x v="6"/>
    <n v="65.355276000000003"/>
  </r>
  <r>
    <x v="12"/>
    <x v="1"/>
    <x v="0"/>
    <x v="0"/>
    <x v="0"/>
    <x v="2"/>
    <x v="0"/>
    <x v="0"/>
    <x v="0"/>
    <x v="0"/>
    <x v="0"/>
    <x v="0"/>
    <x v="0"/>
    <x v="0"/>
    <x v="0"/>
    <x v="8"/>
    <x v="8"/>
    <n v="5663.9779378666799"/>
    <x v="0"/>
    <x v="1"/>
    <x v="2"/>
    <x v="2"/>
    <x v="6"/>
    <x v="8"/>
    <n v="6740.1337460613486"/>
  </r>
  <r>
    <x v="12"/>
    <x v="1"/>
    <x v="0"/>
    <x v="0"/>
    <x v="0"/>
    <x v="2"/>
    <x v="0"/>
    <x v="0"/>
    <x v="0"/>
    <x v="0"/>
    <x v="0"/>
    <x v="0"/>
    <x v="0"/>
    <x v="0"/>
    <x v="0"/>
    <x v="9"/>
    <x v="9"/>
    <n v="651.38252940883399"/>
    <x v="0"/>
    <x v="0"/>
    <x v="1"/>
    <x v="4"/>
    <x v="5"/>
    <x v="9"/>
    <n v="775.14520999651245"/>
  </r>
  <r>
    <x v="12"/>
    <x v="1"/>
    <x v="0"/>
    <x v="0"/>
    <x v="0"/>
    <x v="2"/>
    <x v="0"/>
    <x v="0"/>
    <x v="0"/>
    <x v="0"/>
    <x v="0"/>
    <x v="0"/>
    <x v="0"/>
    <x v="0"/>
    <x v="0"/>
    <x v="14"/>
    <x v="14"/>
    <n v="15.127800000000001"/>
    <x v="0"/>
    <x v="0"/>
    <x v="0"/>
    <x v="0"/>
    <x v="8"/>
    <x v="14"/>
    <n v="18.002082000000001"/>
  </r>
  <r>
    <x v="12"/>
    <x v="1"/>
    <x v="0"/>
    <x v="0"/>
    <x v="0"/>
    <x v="2"/>
    <x v="0"/>
    <x v="0"/>
    <x v="0"/>
    <x v="0"/>
    <x v="0"/>
    <x v="0"/>
    <x v="0"/>
    <x v="0"/>
    <x v="0"/>
    <x v="23"/>
    <x v="23"/>
    <n v="0.87392436974397003"/>
    <x v="0"/>
    <x v="0"/>
    <x v="1"/>
    <x v="3"/>
    <x v="3"/>
    <x v="15"/>
    <n v="1.0399699999953242"/>
  </r>
  <r>
    <x v="12"/>
    <x v="1"/>
    <x v="0"/>
    <x v="0"/>
    <x v="0"/>
    <x v="2"/>
    <x v="0"/>
    <x v="0"/>
    <x v="0"/>
    <x v="0"/>
    <x v="0"/>
    <x v="0"/>
    <x v="0"/>
    <x v="0"/>
    <x v="0"/>
    <x v="79"/>
    <x v="79"/>
    <n v="0.55714285714034995"/>
    <x v="0"/>
    <x v="0"/>
    <x v="1"/>
    <x v="4"/>
    <x v="5"/>
    <x v="10"/>
    <n v="0.66299999999701642"/>
  </r>
  <r>
    <x v="12"/>
    <x v="1"/>
    <x v="0"/>
    <x v="0"/>
    <x v="0"/>
    <x v="2"/>
    <x v="0"/>
    <x v="0"/>
    <x v="0"/>
    <x v="0"/>
    <x v="0"/>
    <x v="0"/>
    <x v="0"/>
    <x v="0"/>
    <x v="0"/>
    <x v="0"/>
    <x v="0"/>
    <n v="8.8888889000000001E-7"/>
    <x v="0"/>
    <x v="0"/>
    <x v="0"/>
    <x v="0"/>
    <x v="0"/>
    <x v="0"/>
    <n v="1.0577777790999999E-6"/>
  </r>
  <r>
    <x v="12"/>
    <x v="1"/>
    <x v="0"/>
    <x v="0"/>
    <x v="0"/>
    <x v="2"/>
    <x v="0"/>
    <x v="0"/>
    <x v="0"/>
    <x v="0"/>
    <x v="0"/>
    <x v="0"/>
    <x v="0"/>
    <x v="0"/>
    <x v="0"/>
    <x v="2"/>
    <x v="2"/>
    <n v="3495.50258821956"/>
    <x v="0"/>
    <x v="1"/>
    <x v="2"/>
    <x v="2"/>
    <x v="13"/>
    <x v="2"/>
    <n v="4159.6480799812762"/>
  </r>
  <r>
    <x v="12"/>
    <x v="1"/>
    <x v="0"/>
    <x v="0"/>
    <x v="0"/>
    <x v="2"/>
    <x v="0"/>
    <x v="0"/>
    <x v="0"/>
    <x v="0"/>
    <x v="0"/>
    <x v="0"/>
    <x v="1"/>
    <x v="1"/>
    <x v="1"/>
    <x v="5"/>
    <x v="5"/>
    <n v="20.8015027626078"/>
    <x v="0"/>
    <x v="0"/>
    <x v="1"/>
    <x v="1"/>
    <x v="1"/>
    <x v="5"/>
    <n v="24.75378828750328"/>
  </r>
  <r>
    <x v="12"/>
    <x v="1"/>
    <x v="0"/>
    <x v="0"/>
    <x v="0"/>
    <x v="2"/>
    <x v="0"/>
    <x v="0"/>
    <x v="0"/>
    <x v="0"/>
    <x v="0"/>
    <x v="0"/>
    <x v="1"/>
    <x v="1"/>
    <x v="1"/>
    <x v="6"/>
    <x v="6"/>
    <n v="15.829800000000001"/>
    <x v="0"/>
    <x v="0"/>
    <x v="0"/>
    <x v="0"/>
    <x v="4"/>
    <x v="6"/>
    <n v="18.837461999999999"/>
  </r>
  <r>
    <x v="12"/>
    <x v="1"/>
    <x v="0"/>
    <x v="0"/>
    <x v="0"/>
    <x v="2"/>
    <x v="0"/>
    <x v="0"/>
    <x v="0"/>
    <x v="0"/>
    <x v="0"/>
    <x v="0"/>
    <x v="1"/>
    <x v="1"/>
    <x v="1"/>
    <x v="8"/>
    <x v="8"/>
    <n v="74.668472049405693"/>
    <x v="0"/>
    <x v="1"/>
    <x v="2"/>
    <x v="2"/>
    <x v="6"/>
    <x v="8"/>
    <n v="88.855481738792776"/>
  </r>
  <r>
    <x v="12"/>
    <x v="1"/>
    <x v="0"/>
    <x v="0"/>
    <x v="0"/>
    <x v="2"/>
    <x v="0"/>
    <x v="0"/>
    <x v="0"/>
    <x v="0"/>
    <x v="0"/>
    <x v="0"/>
    <x v="1"/>
    <x v="1"/>
    <x v="1"/>
    <x v="9"/>
    <x v="9"/>
    <n v="2941.1764705750002"/>
    <x v="0"/>
    <x v="0"/>
    <x v="1"/>
    <x v="4"/>
    <x v="5"/>
    <x v="9"/>
    <n v="3499.9999999842498"/>
  </r>
  <r>
    <x v="12"/>
    <x v="1"/>
    <x v="0"/>
    <x v="0"/>
    <x v="0"/>
    <x v="2"/>
    <x v="0"/>
    <x v="0"/>
    <x v="0"/>
    <x v="0"/>
    <x v="0"/>
    <x v="0"/>
    <x v="1"/>
    <x v="1"/>
    <x v="1"/>
    <x v="11"/>
    <x v="11"/>
    <n v="12.72"/>
    <x v="0"/>
    <x v="0"/>
    <x v="3"/>
    <x v="5"/>
    <x v="7"/>
    <x v="11"/>
    <n v="15.136800000000001"/>
  </r>
  <r>
    <x v="12"/>
    <x v="1"/>
    <x v="0"/>
    <x v="0"/>
    <x v="0"/>
    <x v="2"/>
    <x v="0"/>
    <x v="0"/>
    <x v="0"/>
    <x v="0"/>
    <x v="0"/>
    <x v="0"/>
    <x v="1"/>
    <x v="1"/>
    <x v="1"/>
    <x v="32"/>
    <x v="32"/>
    <n v="14.494974026629199"/>
    <x v="0"/>
    <x v="0"/>
    <x v="1"/>
    <x v="1"/>
    <x v="1"/>
    <x v="20"/>
    <n v="17.249019091688748"/>
  </r>
  <r>
    <x v="12"/>
    <x v="1"/>
    <x v="0"/>
    <x v="0"/>
    <x v="0"/>
    <x v="2"/>
    <x v="0"/>
    <x v="0"/>
    <x v="0"/>
    <x v="0"/>
    <x v="0"/>
    <x v="0"/>
    <x v="1"/>
    <x v="1"/>
    <x v="1"/>
    <x v="14"/>
    <x v="14"/>
    <n v="19.7148"/>
    <x v="0"/>
    <x v="0"/>
    <x v="0"/>
    <x v="0"/>
    <x v="8"/>
    <x v="14"/>
    <n v="23.460611999999998"/>
  </r>
  <r>
    <x v="12"/>
    <x v="1"/>
    <x v="0"/>
    <x v="0"/>
    <x v="0"/>
    <x v="2"/>
    <x v="0"/>
    <x v="0"/>
    <x v="0"/>
    <x v="0"/>
    <x v="0"/>
    <x v="0"/>
    <x v="1"/>
    <x v="1"/>
    <x v="1"/>
    <x v="16"/>
    <x v="16"/>
    <n v="18.3"/>
    <x v="0"/>
    <x v="0"/>
    <x v="3"/>
    <x v="5"/>
    <x v="9"/>
    <x v="16"/>
    <n v="21.777000000000001"/>
  </r>
  <r>
    <x v="12"/>
    <x v="1"/>
    <x v="0"/>
    <x v="0"/>
    <x v="0"/>
    <x v="2"/>
    <x v="0"/>
    <x v="0"/>
    <x v="0"/>
    <x v="0"/>
    <x v="0"/>
    <x v="0"/>
    <x v="1"/>
    <x v="1"/>
    <x v="1"/>
    <x v="23"/>
    <x v="23"/>
    <n v="10.5482100839862"/>
    <x v="0"/>
    <x v="0"/>
    <x v="1"/>
    <x v="3"/>
    <x v="3"/>
    <x v="15"/>
    <n v="12.552369999943577"/>
  </r>
  <r>
    <x v="12"/>
    <x v="1"/>
    <x v="0"/>
    <x v="0"/>
    <x v="0"/>
    <x v="2"/>
    <x v="0"/>
    <x v="0"/>
    <x v="0"/>
    <x v="0"/>
    <x v="0"/>
    <x v="0"/>
    <x v="1"/>
    <x v="1"/>
    <x v="1"/>
    <x v="79"/>
    <x v="79"/>
    <n v="66.973109243396095"/>
    <x v="0"/>
    <x v="0"/>
    <x v="1"/>
    <x v="4"/>
    <x v="5"/>
    <x v="10"/>
    <n v="79.697999999641354"/>
  </r>
  <r>
    <x v="12"/>
    <x v="1"/>
    <x v="0"/>
    <x v="0"/>
    <x v="0"/>
    <x v="2"/>
    <x v="0"/>
    <x v="0"/>
    <x v="0"/>
    <x v="0"/>
    <x v="0"/>
    <x v="0"/>
    <x v="1"/>
    <x v="1"/>
    <x v="1"/>
    <x v="27"/>
    <x v="27"/>
    <n v="39.810249428773503"/>
    <x v="0"/>
    <x v="0"/>
    <x v="1"/>
    <x v="3"/>
    <x v="3"/>
    <x v="19"/>
    <n v="47.374196820240464"/>
  </r>
  <r>
    <x v="12"/>
    <x v="1"/>
    <x v="0"/>
    <x v="0"/>
    <x v="0"/>
    <x v="2"/>
    <x v="0"/>
    <x v="0"/>
    <x v="0"/>
    <x v="0"/>
    <x v="0"/>
    <x v="0"/>
    <x v="1"/>
    <x v="1"/>
    <x v="1"/>
    <x v="0"/>
    <x v="0"/>
    <n v="8.8888889000000001E-7"/>
    <x v="0"/>
    <x v="0"/>
    <x v="0"/>
    <x v="0"/>
    <x v="0"/>
    <x v="0"/>
    <n v="1.0577777790999999E-6"/>
  </r>
  <r>
    <x v="12"/>
    <x v="1"/>
    <x v="0"/>
    <x v="0"/>
    <x v="0"/>
    <x v="2"/>
    <x v="0"/>
    <x v="0"/>
    <x v="0"/>
    <x v="0"/>
    <x v="0"/>
    <x v="0"/>
    <x v="1"/>
    <x v="1"/>
    <x v="1"/>
    <x v="2"/>
    <x v="2"/>
    <n v="35.720168067066098"/>
    <x v="0"/>
    <x v="1"/>
    <x v="2"/>
    <x v="2"/>
    <x v="13"/>
    <x v="2"/>
    <n v="42.506999999808656"/>
  </r>
  <r>
    <x v="12"/>
    <x v="1"/>
    <x v="0"/>
    <x v="0"/>
    <x v="0"/>
    <x v="2"/>
    <x v="0"/>
    <x v="0"/>
    <x v="0"/>
    <x v="0"/>
    <x v="0"/>
    <x v="0"/>
    <x v="2"/>
    <x v="2"/>
    <x v="2"/>
    <x v="4"/>
    <x v="4"/>
    <n v="23.3937815124998"/>
    <x v="0"/>
    <x v="0"/>
    <x v="1"/>
    <x v="3"/>
    <x v="3"/>
    <x v="4"/>
    <n v="27.838599999874759"/>
  </r>
  <r>
    <x v="12"/>
    <x v="1"/>
    <x v="0"/>
    <x v="0"/>
    <x v="0"/>
    <x v="2"/>
    <x v="0"/>
    <x v="0"/>
    <x v="0"/>
    <x v="0"/>
    <x v="0"/>
    <x v="0"/>
    <x v="2"/>
    <x v="2"/>
    <x v="2"/>
    <x v="5"/>
    <x v="5"/>
    <n v="73.361414365264494"/>
    <x v="0"/>
    <x v="0"/>
    <x v="1"/>
    <x v="1"/>
    <x v="1"/>
    <x v="5"/>
    <n v="87.300083094664743"/>
  </r>
  <r>
    <x v="12"/>
    <x v="1"/>
    <x v="0"/>
    <x v="0"/>
    <x v="0"/>
    <x v="2"/>
    <x v="0"/>
    <x v="0"/>
    <x v="0"/>
    <x v="0"/>
    <x v="0"/>
    <x v="0"/>
    <x v="2"/>
    <x v="2"/>
    <x v="2"/>
    <x v="7"/>
    <x v="7"/>
    <n v="3.1932773109100001"/>
    <x v="0"/>
    <x v="0"/>
    <x v="1"/>
    <x v="4"/>
    <x v="5"/>
    <x v="7"/>
    <n v="3.7999999999829002"/>
  </r>
  <r>
    <x v="12"/>
    <x v="1"/>
    <x v="0"/>
    <x v="0"/>
    <x v="0"/>
    <x v="2"/>
    <x v="0"/>
    <x v="0"/>
    <x v="0"/>
    <x v="0"/>
    <x v="0"/>
    <x v="0"/>
    <x v="2"/>
    <x v="2"/>
    <x v="2"/>
    <x v="8"/>
    <x v="8"/>
    <n v="23.895310558915401"/>
    <x v="0"/>
    <x v="1"/>
    <x v="2"/>
    <x v="2"/>
    <x v="6"/>
    <x v="8"/>
    <n v="28.435419565109328"/>
  </r>
  <r>
    <x v="12"/>
    <x v="1"/>
    <x v="0"/>
    <x v="0"/>
    <x v="0"/>
    <x v="2"/>
    <x v="0"/>
    <x v="0"/>
    <x v="0"/>
    <x v="0"/>
    <x v="0"/>
    <x v="0"/>
    <x v="2"/>
    <x v="2"/>
    <x v="2"/>
    <x v="9"/>
    <x v="9"/>
    <n v="78.999025032722002"/>
    <x v="0"/>
    <x v="0"/>
    <x v="1"/>
    <x v="4"/>
    <x v="5"/>
    <x v="9"/>
    <n v="94.008839788939184"/>
  </r>
  <r>
    <x v="12"/>
    <x v="1"/>
    <x v="0"/>
    <x v="0"/>
    <x v="0"/>
    <x v="2"/>
    <x v="0"/>
    <x v="0"/>
    <x v="0"/>
    <x v="0"/>
    <x v="0"/>
    <x v="0"/>
    <x v="2"/>
    <x v="2"/>
    <x v="2"/>
    <x v="10"/>
    <x v="10"/>
    <n v="1.0215970585277701"/>
    <x v="0"/>
    <x v="0"/>
    <x v="1"/>
    <x v="4"/>
    <x v="5"/>
    <x v="10"/>
    <n v="1.2157004996480463"/>
  </r>
  <r>
    <x v="12"/>
    <x v="1"/>
    <x v="0"/>
    <x v="0"/>
    <x v="0"/>
    <x v="2"/>
    <x v="0"/>
    <x v="0"/>
    <x v="0"/>
    <x v="0"/>
    <x v="0"/>
    <x v="0"/>
    <x v="2"/>
    <x v="2"/>
    <x v="2"/>
    <x v="30"/>
    <x v="30"/>
    <n v="40.580008064353798"/>
    <x v="0"/>
    <x v="0"/>
    <x v="0"/>
    <x v="0"/>
    <x v="0"/>
    <x v="0"/>
    <n v="48.290209596581015"/>
  </r>
  <r>
    <x v="12"/>
    <x v="1"/>
    <x v="0"/>
    <x v="0"/>
    <x v="0"/>
    <x v="2"/>
    <x v="0"/>
    <x v="0"/>
    <x v="0"/>
    <x v="0"/>
    <x v="0"/>
    <x v="0"/>
    <x v="2"/>
    <x v="2"/>
    <x v="2"/>
    <x v="11"/>
    <x v="11"/>
    <n v="29.703679999999999"/>
    <x v="0"/>
    <x v="0"/>
    <x v="3"/>
    <x v="5"/>
    <x v="7"/>
    <x v="11"/>
    <n v="35.347379199999999"/>
  </r>
  <r>
    <x v="12"/>
    <x v="1"/>
    <x v="0"/>
    <x v="0"/>
    <x v="0"/>
    <x v="2"/>
    <x v="0"/>
    <x v="0"/>
    <x v="0"/>
    <x v="0"/>
    <x v="0"/>
    <x v="0"/>
    <x v="2"/>
    <x v="2"/>
    <x v="2"/>
    <x v="12"/>
    <x v="12"/>
    <n v="0.28589772727181001"/>
    <x v="0"/>
    <x v="0"/>
    <x v="0"/>
    <x v="0"/>
    <x v="8"/>
    <x v="12"/>
    <n v="0.34021829545345389"/>
  </r>
  <r>
    <x v="12"/>
    <x v="1"/>
    <x v="0"/>
    <x v="0"/>
    <x v="0"/>
    <x v="2"/>
    <x v="0"/>
    <x v="0"/>
    <x v="0"/>
    <x v="0"/>
    <x v="0"/>
    <x v="0"/>
    <x v="2"/>
    <x v="2"/>
    <x v="2"/>
    <x v="14"/>
    <x v="14"/>
    <n v="6.0374999999999996"/>
    <x v="0"/>
    <x v="0"/>
    <x v="0"/>
    <x v="0"/>
    <x v="8"/>
    <x v="14"/>
    <n v="7.1846249999999996"/>
  </r>
  <r>
    <x v="12"/>
    <x v="1"/>
    <x v="0"/>
    <x v="0"/>
    <x v="0"/>
    <x v="2"/>
    <x v="0"/>
    <x v="0"/>
    <x v="0"/>
    <x v="0"/>
    <x v="0"/>
    <x v="0"/>
    <x v="2"/>
    <x v="2"/>
    <x v="2"/>
    <x v="16"/>
    <x v="16"/>
    <n v="55.675040000000003"/>
    <x v="0"/>
    <x v="0"/>
    <x v="3"/>
    <x v="5"/>
    <x v="9"/>
    <x v="16"/>
    <n v="66.253297599999996"/>
  </r>
  <r>
    <x v="12"/>
    <x v="1"/>
    <x v="0"/>
    <x v="0"/>
    <x v="0"/>
    <x v="2"/>
    <x v="0"/>
    <x v="0"/>
    <x v="0"/>
    <x v="0"/>
    <x v="0"/>
    <x v="0"/>
    <x v="2"/>
    <x v="2"/>
    <x v="2"/>
    <x v="17"/>
    <x v="17"/>
    <n v="4.34"/>
    <x v="0"/>
    <x v="0"/>
    <x v="0"/>
    <x v="0"/>
    <x v="4"/>
    <x v="17"/>
    <n v="5.1645999999999992"/>
  </r>
  <r>
    <x v="12"/>
    <x v="1"/>
    <x v="0"/>
    <x v="0"/>
    <x v="0"/>
    <x v="2"/>
    <x v="0"/>
    <x v="0"/>
    <x v="0"/>
    <x v="0"/>
    <x v="0"/>
    <x v="0"/>
    <x v="2"/>
    <x v="2"/>
    <x v="2"/>
    <x v="21"/>
    <x v="21"/>
    <n v="2.7947647058697802"/>
    <x v="0"/>
    <x v="0"/>
    <x v="1"/>
    <x v="4"/>
    <x v="5"/>
    <x v="10"/>
    <n v="3.3257699999850381"/>
  </r>
  <r>
    <x v="12"/>
    <x v="1"/>
    <x v="0"/>
    <x v="0"/>
    <x v="0"/>
    <x v="2"/>
    <x v="0"/>
    <x v="0"/>
    <x v="0"/>
    <x v="0"/>
    <x v="0"/>
    <x v="0"/>
    <x v="2"/>
    <x v="2"/>
    <x v="2"/>
    <x v="18"/>
    <x v="18"/>
    <n v="10.49053"/>
    <x v="0"/>
    <x v="0"/>
    <x v="0"/>
    <x v="0"/>
    <x v="4"/>
    <x v="18"/>
    <n v="12.483730699999999"/>
  </r>
  <r>
    <x v="12"/>
    <x v="1"/>
    <x v="0"/>
    <x v="0"/>
    <x v="0"/>
    <x v="2"/>
    <x v="0"/>
    <x v="0"/>
    <x v="0"/>
    <x v="0"/>
    <x v="0"/>
    <x v="0"/>
    <x v="2"/>
    <x v="2"/>
    <x v="2"/>
    <x v="25"/>
    <x v="25"/>
    <n v="22.589100840234501"/>
    <x v="0"/>
    <x v="0"/>
    <x v="1"/>
    <x v="4"/>
    <x v="5"/>
    <x v="9"/>
    <n v="26.881029999879054"/>
  </r>
  <r>
    <x v="12"/>
    <x v="1"/>
    <x v="0"/>
    <x v="0"/>
    <x v="0"/>
    <x v="2"/>
    <x v="0"/>
    <x v="0"/>
    <x v="0"/>
    <x v="0"/>
    <x v="0"/>
    <x v="0"/>
    <x v="2"/>
    <x v="2"/>
    <x v="2"/>
    <x v="27"/>
    <x v="27"/>
    <n v="48.627002289375"/>
    <x v="0"/>
    <x v="0"/>
    <x v="1"/>
    <x v="3"/>
    <x v="3"/>
    <x v="19"/>
    <n v="57.866132724356248"/>
  </r>
  <r>
    <x v="12"/>
    <x v="1"/>
    <x v="0"/>
    <x v="0"/>
    <x v="0"/>
    <x v="2"/>
    <x v="0"/>
    <x v="0"/>
    <x v="0"/>
    <x v="0"/>
    <x v="0"/>
    <x v="0"/>
    <x v="2"/>
    <x v="2"/>
    <x v="2"/>
    <x v="0"/>
    <x v="0"/>
    <n v="3.4613484444877098"/>
    <x v="0"/>
    <x v="0"/>
    <x v="0"/>
    <x v="0"/>
    <x v="0"/>
    <x v="0"/>
    <n v="4.1190046489403747"/>
  </r>
  <r>
    <x v="12"/>
    <x v="1"/>
    <x v="0"/>
    <x v="0"/>
    <x v="0"/>
    <x v="2"/>
    <x v="0"/>
    <x v="0"/>
    <x v="0"/>
    <x v="0"/>
    <x v="0"/>
    <x v="0"/>
    <x v="2"/>
    <x v="2"/>
    <x v="2"/>
    <x v="1"/>
    <x v="1"/>
    <n v="10.523806666719301"/>
    <x v="0"/>
    <x v="0"/>
    <x v="1"/>
    <x v="1"/>
    <x v="1"/>
    <x v="1"/>
    <n v="12.523329933395967"/>
  </r>
  <r>
    <x v="12"/>
    <x v="1"/>
    <x v="0"/>
    <x v="0"/>
    <x v="0"/>
    <x v="2"/>
    <x v="0"/>
    <x v="0"/>
    <x v="0"/>
    <x v="0"/>
    <x v="0"/>
    <x v="0"/>
    <x v="2"/>
    <x v="2"/>
    <x v="2"/>
    <x v="2"/>
    <x v="2"/>
    <n v="167.17652100765099"/>
    <x v="0"/>
    <x v="1"/>
    <x v="2"/>
    <x v="2"/>
    <x v="13"/>
    <x v="2"/>
    <n v="198.94005999910468"/>
  </r>
  <r>
    <x v="12"/>
    <x v="1"/>
    <x v="0"/>
    <x v="0"/>
    <x v="0"/>
    <x v="2"/>
    <x v="0"/>
    <x v="0"/>
    <x v="0"/>
    <x v="0"/>
    <x v="0"/>
    <x v="0"/>
    <x v="2"/>
    <x v="2"/>
    <x v="2"/>
    <x v="3"/>
    <x v="3"/>
    <n v="5.3776784005530303"/>
    <x v="0"/>
    <x v="0"/>
    <x v="1"/>
    <x v="3"/>
    <x v="3"/>
    <x v="3"/>
    <n v="6.3994372966581059"/>
  </r>
  <r>
    <x v="12"/>
    <x v="1"/>
    <x v="0"/>
    <x v="0"/>
    <x v="0"/>
    <x v="2"/>
    <x v="0"/>
    <x v="0"/>
    <x v="0"/>
    <x v="0"/>
    <x v="0"/>
    <x v="0"/>
    <x v="1"/>
    <x v="6"/>
    <x v="6"/>
    <x v="5"/>
    <x v="5"/>
    <n v="5.5872375691082699"/>
    <x v="0"/>
    <x v="0"/>
    <x v="1"/>
    <x v="1"/>
    <x v="1"/>
    <x v="5"/>
    <n v="6.6488127072388412"/>
  </r>
  <r>
    <x v="12"/>
    <x v="1"/>
    <x v="0"/>
    <x v="0"/>
    <x v="0"/>
    <x v="2"/>
    <x v="0"/>
    <x v="0"/>
    <x v="0"/>
    <x v="0"/>
    <x v="0"/>
    <x v="0"/>
    <x v="1"/>
    <x v="6"/>
    <x v="6"/>
    <x v="9"/>
    <x v="9"/>
    <n v="45.435572234172803"/>
    <x v="0"/>
    <x v="0"/>
    <x v="1"/>
    <x v="4"/>
    <x v="5"/>
    <x v="9"/>
    <n v="54.068330958665634"/>
  </r>
  <r>
    <x v="12"/>
    <x v="1"/>
    <x v="0"/>
    <x v="0"/>
    <x v="0"/>
    <x v="2"/>
    <x v="0"/>
    <x v="0"/>
    <x v="0"/>
    <x v="0"/>
    <x v="0"/>
    <x v="0"/>
    <x v="1"/>
    <x v="6"/>
    <x v="6"/>
    <x v="32"/>
    <x v="32"/>
    <n v="32.131189395391701"/>
    <x v="0"/>
    <x v="0"/>
    <x v="1"/>
    <x v="1"/>
    <x v="1"/>
    <x v="20"/>
    <n v="38.236115380516125"/>
  </r>
  <r>
    <x v="12"/>
    <x v="1"/>
    <x v="0"/>
    <x v="0"/>
    <x v="0"/>
    <x v="2"/>
    <x v="0"/>
    <x v="0"/>
    <x v="0"/>
    <x v="0"/>
    <x v="0"/>
    <x v="0"/>
    <x v="1"/>
    <x v="6"/>
    <x v="6"/>
    <x v="16"/>
    <x v="16"/>
    <n v="1E-3"/>
    <x v="0"/>
    <x v="0"/>
    <x v="3"/>
    <x v="5"/>
    <x v="9"/>
    <x v="16"/>
    <n v="1.1899999999999999E-3"/>
  </r>
  <r>
    <x v="12"/>
    <x v="1"/>
    <x v="0"/>
    <x v="0"/>
    <x v="0"/>
    <x v="2"/>
    <x v="0"/>
    <x v="0"/>
    <x v="0"/>
    <x v="0"/>
    <x v="0"/>
    <x v="0"/>
    <x v="1"/>
    <x v="6"/>
    <x v="6"/>
    <x v="18"/>
    <x v="18"/>
    <n v="7.1760000000000002"/>
    <x v="0"/>
    <x v="0"/>
    <x v="0"/>
    <x v="0"/>
    <x v="4"/>
    <x v="18"/>
    <n v="8.539439999999999"/>
  </r>
  <r>
    <x v="12"/>
    <x v="1"/>
    <x v="0"/>
    <x v="0"/>
    <x v="0"/>
    <x v="2"/>
    <x v="0"/>
    <x v="0"/>
    <x v="0"/>
    <x v="0"/>
    <x v="0"/>
    <x v="0"/>
    <x v="1"/>
    <x v="6"/>
    <x v="6"/>
    <x v="57"/>
    <x v="57"/>
    <n v="7.9323204420563798"/>
    <x v="0"/>
    <x v="0"/>
    <x v="1"/>
    <x v="1"/>
    <x v="1"/>
    <x v="5"/>
    <n v="9.4394613260470912"/>
  </r>
  <r>
    <x v="12"/>
    <x v="1"/>
    <x v="0"/>
    <x v="0"/>
    <x v="0"/>
    <x v="2"/>
    <x v="0"/>
    <x v="0"/>
    <x v="0"/>
    <x v="0"/>
    <x v="0"/>
    <x v="0"/>
    <x v="1"/>
    <x v="6"/>
    <x v="6"/>
    <x v="25"/>
    <x v="25"/>
    <n v="9.1806134453368404"/>
    <x v="0"/>
    <x v="0"/>
    <x v="1"/>
    <x v="4"/>
    <x v="5"/>
    <x v="9"/>
    <n v="10.924929999950839"/>
  </r>
  <r>
    <x v="12"/>
    <x v="1"/>
    <x v="0"/>
    <x v="0"/>
    <x v="0"/>
    <x v="2"/>
    <x v="0"/>
    <x v="0"/>
    <x v="0"/>
    <x v="0"/>
    <x v="0"/>
    <x v="0"/>
    <x v="1"/>
    <x v="6"/>
    <x v="6"/>
    <x v="27"/>
    <x v="27"/>
    <n v="10.3017391306563"/>
    <x v="0"/>
    <x v="0"/>
    <x v="1"/>
    <x v="3"/>
    <x v="3"/>
    <x v="19"/>
    <n v="12.259069565480996"/>
  </r>
  <r>
    <x v="12"/>
    <x v="1"/>
    <x v="0"/>
    <x v="0"/>
    <x v="0"/>
    <x v="2"/>
    <x v="0"/>
    <x v="0"/>
    <x v="0"/>
    <x v="0"/>
    <x v="0"/>
    <x v="0"/>
    <x v="1"/>
    <x v="6"/>
    <x v="6"/>
    <x v="26"/>
    <x v="26"/>
    <n v="12.2007142856594"/>
    <x v="0"/>
    <x v="0"/>
    <x v="1"/>
    <x v="3"/>
    <x v="3"/>
    <x v="15"/>
    <n v="14.518849999934686"/>
  </r>
  <r>
    <x v="12"/>
    <x v="1"/>
    <x v="0"/>
    <x v="0"/>
    <x v="0"/>
    <x v="2"/>
    <x v="0"/>
    <x v="0"/>
    <x v="0"/>
    <x v="0"/>
    <x v="0"/>
    <x v="0"/>
    <x v="3"/>
    <x v="7"/>
    <x v="7"/>
    <x v="9"/>
    <x v="9"/>
    <n v="31.144126406165402"/>
    <x v="0"/>
    <x v="0"/>
    <x v="1"/>
    <x v="4"/>
    <x v="5"/>
    <x v="9"/>
    <n v="37.061510423336827"/>
  </r>
  <r>
    <x v="12"/>
    <x v="1"/>
    <x v="0"/>
    <x v="0"/>
    <x v="0"/>
    <x v="2"/>
    <x v="0"/>
    <x v="0"/>
    <x v="0"/>
    <x v="0"/>
    <x v="0"/>
    <x v="0"/>
    <x v="3"/>
    <x v="7"/>
    <x v="7"/>
    <x v="10"/>
    <x v="10"/>
    <n v="0.27932000656056"/>
    <x v="0"/>
    <x v="0"/>
    <x v="1"/>
    <x v="4"/>
    <x v="5"/>
    <x v="10"/>
    <n v="0.33239080780706637"/>
  </r>
  <r>
    <x v="12"/>
    <x v="1"/>
    <x v="0"/>
    <x v="0"/>
    <x v="0"/>
    <x v="2"/>
    <x v="0"/>
    <x v="0"/>
    <x v="0"/>
    <x v="0"/>
    <x v="0"/>
    <x v="0"/>
    <x v="3"/>
    <x v="7"/>
    <x v="7"/>
    <x v="34"/>
    <x v="34"/>
    <n v="0.10103137902019001"/>
    <x v="0"/>
    <x v="0"/>
    <x v="0"/>
    <x v="0"/>
    <x v="0"/>
    <x v="0"/>
    <n v="0.1202273410340261"/>
  </r>
  <r>
    <x v="12"/>
    <x v="1"/>
    <x v="0"/>
    <x v="0"/>
    <x v="0"/>
    <x v="2"/>
    <x v="0"/>
    <x v="0"/>
    <x v="0"/>
    <x v="0"/>
    <x v="0"/>
    <x v="0"/>
    <x v="3"/>
    <x v="7"/>
    <x v="7"/>
    <x v="26"/>
    <x v="26"/>
    <n v="19.2335462184008"/>
    <x v="0"/>
    <x v="0"/>
    <x v="1"/>
    <x v="3"/>
    <x v="3"/>
    <x v="15"/>
    <n v="22.887919999896951"/>
  </r>
  <r>
    <x v="12"/>
    <x v="1"/>
    <x v="0"/>
    <x v="0"/>
    <x v="0"/>
    <x v="2"/>
    <x v="0"/>
    <x v="0"/>
    <x v="0"/>
    <x v="0"/>
    <x v="0"/>
    <x v="0"/>
    <x v="1"/>
    <x v="8"/>
    <x v="8"/>
    <x v="9"/>
    <x v="9"/>
    <n v="237.497009562681"/>
    <x v="0"/>
    <x v="0"/>
    <x v="1"/>
    <x v="4"/>
    <x v="5"/>
    <x v="9"/>
    <n v="282.62144137959035"/>
  </r>
  <r>
    <x v="12"/>
    <x v="1"/>
    <x v="0"/>
    <x v="0"/>
    <x v="0"/>
    <x v="2"/>
    <x v="0"/>
    <x v="0"/>
    <x v="0"/>
    <x v="0"/>
    <x v="0"/>
    <x v="0"/>
    <x v="1"/>
    <x v="8"/>
    <x v="8"/>
    <x v="10"/>
    <x v="10"/>
    <n v="0.17912461655647999"/>
    <x v="0"/>
    <x v="0"/>
    <x v="1"/>
    <x v="4"/>
    <x v="5"/>
    <x v="10"/>
    <n v="0.21315829370221118"/>
  </r>
  <r>
    <x v="12"/>
    <x v="1"/>
    <x v="0"/>
    <x v="0"/>
    <x v="0"/>
    <x v="2"/>
    <x v="0"/>
    <x v="0"/>
    <x v="0"/>
    <x v="0"/>
    <x v="0"/>
    <x v="0"/>
    <x v="1"/>
    <x v="8"/>
    <x v="8"/>
    <x v="34"/>
    <x v="34"/>
    <n v="1.4182493806009999E-2"/>
    <x v="0"/>
    <x v="0"/>
    <x v="0"/>
    <x v="0"/>
    <x v="0"/>
    <x v="0"/>
    <n v="1.6877167629151899E-2"/>
  </r>
  <r>
    <x v="12"/>
    <x v="1"/>
    <x v="0"/>
    <x v="0"/>
    <x v="0"/>
    <x v="2"/>
    <x v="0"/>
    <x v="0"/>
    <x v="0"/>
    <x v="0"/>
    <x v="0"/>
    <x v="0"/>
    <x v="1"/>
    <x v="8"/>
    <x v="8"/>
    <x v="0"/>
    <x v="0"/>
    <n v="2.6666666699999998E-6"/>
    <x v="0"/>
    <x v="0"/>
    <x v="0"/>
    <x v="0"/>
    <x v="0"/>
    <x v="0"/>
    <n v="3.1733333372999995E-6"/>
  </r>
  <r>
    <x v="12"/>
    <x v="1"/>
    <x v="0"/>
    <x v="0"/>
    <x v="0"/>
    <x v="2"/>
    <x v="0"/>
    <x v="0"/>
    <x v="0"/>
    <x v="0"/>
    <x v="0"/>
    <x v="0"/>
    <x v="0"/>
    <x v="9"/>
    <x v="9"/>
    <x v="7"/>
    <x v="7"/>
    <n v="1.00735294117194"/>
    <x v="0"/>
    <x v="0"/>
    <x v="1"/>
    <x v="4"/>
    <x v="5"/>
    <x v="7"/>
    <n v="1.1987499999946085"/>
  </r>
  <r>
    <x v="12"/>
    <x v="1"/>
    <x v="0"/>
    <x v="0"/>
    <x v="0"/>
    <x v="2"/>
    <x v="0"/>
    <x v="0"/>
    <x v="0"/>
    <x v="0"/>
    <x v="0"/>
    <x v="0"/>
    <x v="0"/>
    <x v="9"/>
    <x v="9"/>
    <x v="9"/>
    <x v="9"/>
    <n v="2757.7389339135102"/>
    <x v="0"/>
    <x v="0"/>
    <x v="1"/>
    <x v="4"/>
    <x v="5"/>
    <x v="9"/>
    <n v="3281.7093313570772"/>
  </r>
  <r>
    <x v="12"/>
    <x v="1"/>
    <x v="0"/>
    <x v="0"/>
    <x v="0"/>
    <x v="2"/>
    <x v="0"/>
    <x v="0"/>
    <x v="0"/>
    <x v="0"/>
    <x v="0"/>
    <x v="0"/>
    <x v="0"/>
    <x v="9"/>
    <x v="9"/>
    <x v="10"/>
    <x v="10"/>
    <n v="0.11149867364328001"/>
    <x v="0"/>
    <x v="0"/>
    <x v="1"/>
    <x v="4"/>
    <x v="5"/>
    <x v="10"/>
    <n v="0.1326834216355032"/>
  </r>
  <r>
    <x v="12"/>
    <x v="1"/>
    <x v="0"/>
    <x v="0"/>
    <x v="0"/>
    <x v="2"/>
    <x v="0"/>
    <x v="0"/>
    <x v="0"/>
    <x v="0"/>
    <x v="0"/>
    <x v="0"/>
    <x v="0"/>
    <x v="9"/>
    <x v="9"/>
    <x v="21"/>
    <x v="21"/>
    <n v="1.2100840336099999E-3"/>
    <x v="0"/>
    <x v="0"/>
    <x v="1"/>
    <x v="4"/>
    <x v="5"/>
    <x v="10"/>
    <n v="1.4399999999958999E-3"/>
  </r>
  <r>
    <x v="12"/>
    <x v="1"/>
    <x v="0"/>
    <x v="0"/>
    <x v="0"/>
    <x v="2"/>
    <x v="0"/>
    <x v="0"/>
    <x v="0"/>
    <x v="0"/>
    <x v="0"/>
    <x v="0"/>
    <x v="0"/>
    <x v="9"/>
    <x v="9"/>
    <x v="34"/>
    <x v="34"/>
    <n v="5.7352601152999998E-2"/>
    <x v="0"/>
    <x v="0"/>
    <x v="0"/>
    <x v="0"/>
    <x v="0"/>
    <x v="0"/>
    <n v="6.8249595372069996E-2"/>
  </r>
  <r>
    <x v="12"/>
    <x v="1"/>
    <x v="0"/>
    <x v="0"/>
    <x v="0"/>
    <x v="2"/>
    <x v="0"/>
    <x v="0"/>
    <x v="0"/>
    <x v="0"/>
    <x v="0"/>
    <x v="0"/>
    <x v="0"/>
    <x v="9"/>
    <x v="9"/>
    <x v="26"/>
    <x v="26"/>
    <n v="7.40079831929443"/>
    <x v="0"/>
    <x v="0"/>
    <x v="1"/>
    <x v="3"/>
    <x v="3"/>
    <x v="15"/>
    <n v="8.8069499999603718"/>
  </r>
  <r>
    <x v="12"/>
    <x v="1"/>
    <x v="0"/>
    <x v="0"/>
    <x v="0"/>
    <x v="2"/>
    <x v="0"/>
    <x v="0"/>
    <x v="0"/>
    <x v="0"/>
    <x v="0"/>
    <x v="0"/>
    <x v="2"/>
    <x v="10"/>
    <x v="10"/>
    <x v="7"/>
    <x v="7"/>
    <n v="0.24899159663754"/>
    <x v="0"/>
    <x v="0"/>
    <x v="1"/>
    <x v="4"/>
    <x v="5"/>
    <x v="7"/>
    <n v="0.29629999999867257"/>
  </r>
  <r>
    <x v="12"/>
    <x v="1"/>
    <x v="0"/>
    <x v="0"/>
    <x v="0"/>
    <x v="2"/>
    <x v="0"/>
    <x v="0"/>
    <x v="0"/>
    <x v="0"/>
    <x v="0"/>
    <x v="0"/>
    <x v="2"/>
    <x v="10"/>
    <x v="10"/>
    <x v="9"/>
    <x v="9"/>
    <n v="316.99757053405199"/>
    <x v="0"/>
    <x v="0"/>
    <x v="1"/>
    <x v="4"/>
    <x v="5"/>
    <x v="9"/>
    <n v="377.22710893552187"/>
  </r>
  <r>
    <x v="12"/>
    <x v="1"/>
    <x v="0"/>
    <x v="0"/>
    <x v="0"/>
    <x v="2"/>
    <x v="0"/>
    <x v="0"/>
    <x v="0"/>
    <x v="0"/>
    <x v="0"/>
    <x v="0"/>
    <x v="2"/>
    <x v="10"/>
    <x v="10"/>
    <x v="10"/>
    <x v="10"/>
    <n v="1.0917558575120401"/>
    <x v="0"/>
    <x v="0"/>
    <x v="1"/>
    <x v="4"/>
    <x v="5"/>
    <x v="10"/>
    <n v="1.2991894704393276"/>
  </r>
  <r>
    <x v="12"/>
    <x v="1"/>
    <x v="0"/>
    <x v="0"/>
    <x v="0"/>
    <x v="2"/>
    <x v="0"/>
    <x v="0"/>
    <x v="0"/>
    <x v="0"/>
    <x v="0"/>
    <x v="0"/>
    <x v="2"/>
    <x v="10"/>
    <x v="10"/>
    <x v="21"/>
    <x v="21"/>
    <n v="2.0168067227000001E-4"/>
    <x v="0"/>
    <x v="0"/>
    <x v="1"/>
    <x v="4"/>
    <x v="5"/>
    <x v="10"/>
    <n v="2.4000000000129999E-4"/>
  </r>
  <r>
    <x v="12"/>
    <x v="1"/>
    <x v="0"/>
    <x v="0"/>
    <x v="0"/>
    <x v="2"/>
    <x v="0"/>
    <x v="0"/>
    <x v="0"/>
    <x v="0"/>
    <x v="0"/>
    <x v="0"/>
    <x v="2"/>
    <x v="10"/>
    <x v="10"/>
    <x v="34"/>
    <x v="34"/>
    <n v="3.5919590358782498"/>
    <x v="0"/>
    <x v="0"/>
    <x v="0"/>
    <x v="0"/>
    <x v="0"/>
    <x v="0"/>
    <n v="4.2744312526951171"/>
  </r>
  <r>
    <x v="12"/>
    <x v="1"/>
    <x v="0"/>
    <x v="0"/>
    <x v="0"/>
    <x v="2"/>
    <x v="0"/>
    <x v="0"/>
    <x v="0"/>
    <x v="0"/>
    <x v="0"/>
    <x v="0"/>
    <x v="2"/>
    <x v="10"/>
    <x v="10"/>
    <x v="79"/>
    <x v="79"/>
    <n v="3.1470588235152501"/>
    <x v="0"/>
    <x v="0"/>
    <x v="1"/>
    <x v="4"/>
    <x v="5"/>
    <x v="10"/>
    <n v="3.7449999999831474"/>
  </r>
  <r>
    <x v="12"/>
    <x v="1"/>
    <x v="0"/>
    <x v="0"/>
    <x v="0"/>
    <x v="2"/>
    <x v="0"/>
    <x v="0"/>
    <x v="0"/>
    <x v="0"/>
    <x v="0"/>
    <x v="0"/>
    <x v="2"/>
    <x v="10"/>
    <x v="10"/>
    <x v="26"/>
    <x v="26"/>
    <n v="25.157025209970801"/>
    <x v="0"/>
    <x v="0"/>
    <x v="1"/>
    <x v="3"/>
    <x v="3"/>
    <x v="15"/>
    <n v="29.936859999865252"/>
  </r>
  <r>
    <x v="12"/>
    <x v="1"/>
    <x v="0"/>
    <x v="0"/>
    <x v="0"/>
    <x v="2"/>
    <x v="0"/>
    <x v="0"/>
    <x v="0"/>
    <x v="0"/>
    <x v="0"/>
    <x v="0"/>
    <x v="2"/>
    <x v="10"/>
    <x v="10"/>
    <x v="0"/>
    <x v="0"/>
    <n v="2.4000000000000001E-5"/>
    <x v="0"/>
    <x v="0"/>
    <x v="0"/>
    <x v="0"/>
    <x v="0"/>
    <x v="0"/>
    <n v="2.8560000000000001E-5"/>
  </r>
  <r>
    <x v="12"/>
    <x v="1"/>
    <x v="0"/>
    <x v="0"/>
    <x v="0"/>
    <x v="2"/>
    <x v="0"/>
    <x v="0"/>
    <x v="0"/>
    <x v="0"/>
    <x v="0"/>
    <x v="0"/>
    <x v="2"/>
    <x v="10"/>
    <x v="10"/>
    <x v="2"/>
    <x v="2"/>
    <n v="330.18287394809403"/>
    <x v="0"/>
    <x v="1"/>
    <x v="2"/>
    <x v="2"/>
    <x v="13"/>
    <x v="2"/>
    <n v="392.91761999823188"/>
  </r>
  <r>
    <x v="12"/>
    <x v="1"/>
    <x v="0"/>
    <x v="0"/>
    <x v="0"/>
    <x v="2"/>
    <x v="0"/>
    <x v="0"/>
    <x v="0"/>
    <x v="0"/>
    <x v="0"/>
    <x v="0"/>
    <x v="4"/>
    <x v="5"/>
    <x v="5"/>
    <x v="5"/>
    <x v="5"/>
    <n v="49.230961326385298"/>
    <x v="0"/>
    <x v="0"/>
    <x v="1"/>
    <x v="1"/>
    <x v="1"/>
    <x v="5"/>
    <n v="58.584843978398503"/>
  </r>
  <r>
    <x v="12"/>
    <x v="1"/>
    <x v="0"/>
    <x v="0"/>
    <x v="0"/>
    <x v="2"/>
    <x v="0"/>
    <x v="0"/>
    <x v="0"/>
    <x v="0"/>
    <x v="0"/>
    <x v="0"/>
    <x v="4"/>
    <x v="5"/>
    <x v="5"/>
    <x v="6"/>
    <x v="6"/>
    <n v="105.23304"/>
    <x v="0"/>
    <x v="0"/>
    <x v="0"/>
    <x v="0"/>
    <x v="4"/>
    <x v="6"/>
    <n v="125.22731759999999"/>
  </r>
  <r>
    <x v="12"/>
    <x v="1"/>
    <x v="0"/>
    <x v="0"/>
    <x v="0"/>
    <x v="2"/>
    <x v="0"/>
    <x v="0"/>
    <x v="0"/>
    <x v="0"/>
    <x v="0"/>
    <x v="0"/>
    <x v="4"/>
    <x v="5"/>
    <x v="5"/>
    <x v="8"/>
    <x v="8"/>
    <n v="5.0437267080553703"/>
    <x v="0"/>
    <x v="1"/>
    <x v="2"/>
    <x v="2"/>
    <x v="6"/>
    <x v="8"/>
    <n v="6.0020347825858904"/>
  </r>
  <r>
    <x v="12"/>
    <x v="1"/>
    <x v="0"/>
    <x v="0"/>
    <x v="0"/>
    <x v="2"/>
    <x v="0"/>
    <x v="0"/>
    <x v="0"/>
    <x v="0"/>
    <x v="0"/>
    <x v="0"/>
    <x v="4"/>
    <x v="5"/>
    <x v="5"/>
    <x v="9"/>
    <x v="9"/>
    <n v="274.98693339427399"/>
    <x v="0"/>
    <x v="0"/>
    <x v="1"/>
    <x v="4"/>
    <x v="5"/>
    <x v="9"/>
    <n v="327.23445073918606"/>
  </r>
  <r>
    <x v="12"/>
    <x v="1"/>
    <x v="0"/>
    <x v="0"/>
    <x v="0"/>
    <x v="2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21.672026"/>
  </r>
  <r>
    <x v="12"/>
    <x v="1"/>
    <x v="0"/>
    <x v="0"/>
    <x v="0"/>
    <x v="2"/>
    <x v="0"/>
    <x v="0"/>
    <x v="0"/>
    <x v="0"/>
    <x v="0"/>
    <x v="0"/>
    <x v="4"/>
    <x v="5"/>
    <x v="5"/>
    <x v="23"/>
    <x v="23"/>
    <n v="1.8621848739411999"/>
    <x v="0"/>
    <x v="0"/>
    <x v="1"/>
    <x v="3"/>
    <x v="3"/>
    <x v="15"/>
    <n v="2.2159999999900277"/>
  </r>
  <r>
    <x v="12"/>
    <x v="1"/>
    <x v="0"/>
    <x v="0"/>
    <x v="0"/>
    <x v="2"/>
    <x v="0"/>
    <x v="0"/>
    <x v="0"/>
    <x v="0"/>
    <x v="0"/>
    <x v="0"/>
    <x v="4"/>
    <x v="5"/>
    <x v="5"/>
    <x v="17"/>
    <x v="17"/>
    <n v="175.005"/>
    <x v="0"/>
    <x v="0"/>
    <x v="0"/>
    <x v="0"/>
    <x v="4"/>
    <x v="17"/>
    <n v="208.25594999999998"/>
  </r>
  <r>
    <x v="12"/>
    <x v="1"/>
    <x v="0"/>
    <x v="0"/>
    <x v="0"/>
    <x v="2"/>
    <x v="0"/>
    <x v="0"/>
    <x v="0"/>
    <x v="0"/>
    <x v="0"/>
    <x v="0"/>
    <x v="4"/>
    <x v="5"/>
    <x v="5"/>
    <x v="21"/>
    <x v="21"/>
    <n v="2.0168067227000001E-4"/>
    <x v="0"/>
    <x v="0"/>
    <x v="1"/>
    <x v="4"/>
    <x v="5"/>
    <x v="10"/>
    <n v="2.4000000000129999E-4"/>
  </r>
  <r>
    <x v="12"/>
    <x v="1"/>
    <x v="0"/>
    <x v="0"/>
    <x v="0"/>
    <x v="2"/>
    <x v="0"/>
    <x v="0"/>
    <x v="0"/>
    <x v="0"/>
    <x v="0"/>
    <x v="0"/>
    <x v="4"/>
    <x v="5"/>
    <x v="5"/>
    <x v="18"/>
    <x v="18"/>
    <n v="29.900400000000001"/>
    <x v="0"/>
    <x v="0"/>
    <x v="0"/>
    <x v="0"/>
    <x v="4"/>
    <x v="18"/>
    <n v="35.581476000000002"/>
  </r>
  <r>
    <x v="12"/>
    <x v="1"/>
    <x v="0"/>
    <x v="0"/>
    <x v="0"/>
    <x v="2"/>
    <x v="0"/>
    <x v="0"/>
    <x v="0"/>
    <x v="0"/>
    <x v="0"/>
    <x v="0"/>
    <x v="4"/>
    <x v="5"/>
    <x v="5"/>
    <x v="34"/>
    <x v="34"/>
    <n v="4.63833659528217"/>
    <x v="0"/>
    <x v="0"/>
    <x v="0"/>
    <x v="0"/>
    <x v="0"/>
    <x v="0"/>
    <n v="5.5196205483857819"/>
  </r>
  <r>
    <x v="12"/>
    <x v="1"/>
    <x v="0"/>
    <x v="0"/>
    <x v="0"/>
    <x v="2"/>
    <x v="0"/>
    <x v="0"/>
    <x v="0"/>
    <x v="0"/>
    <x v="0"/>
    <x v="0"/>
    <x v="4"/>
    <x v="5"/>
    <x v="5"/>
    <x v="27"/>
    <x v="27"/>
    <n v="32.375988559048501"/>
    <x v="0"/>
    <x v="0"/>
    <x v="1"/>
    <x v="3"/>
    <x v="3"/>
    <x v="19"/>
    <n v="38.527426385267717"/>
  </r>
  <r>
    <x v="12"/>
    <x v="1"/>
    <x v="0"/>
    <x v="0"/>
    <x v="0"/>
    <x v="2"/>
    <x v="0"/>
    <x v="0"/>
    <x v="0"/>
    <x v="0"/>
    <x v="0"/>
    <x v="0"/>
    <x v="4"/>
    <x v="5"/>
    <x v="5"/>
    <x v="26"/>
    <x v="26"/>
    <n v="19.2335462184008"/>
    <x v="0"/>
    <x v="0"/>
    <x v="1"/>
    <x v="3"/>
    <x v="3"/>
    <x v="15"/>
    <n v="22.887919999896951"/>
  </r>
  <r>
    <x v="12"/>
    <x v="1"/>
    <x v="0"/>
    <x v="0"/>
    <x v="0"/>
    <x v="2"/>
    <x v="0"/>
    <x v="0"/>
    <x v="0"/>
    <x v="0"/>
    <x v="0"/>
    <x v="0"/>
    <x v="4"/>
    <x v="5"/>
    <x v="5"/>
    <x v="0"/>
    <x v="0"/>
    <n v="1.7777777780000001E-5"/>
    <x v="0"/>
    <x v="0"/>
    <x v="0"/>
    <x v="0"/>
    <x v="0"/>
    <x v="0"/>
    <n v="2.1155555558199999E-5"/>
  </r>
  <r>
    <x v="12"/>
    <x v="1"/>
    <x v="0"/>
    <x v="0"/>
    <x v="0"/>
    <x v="2"/>
    <x v="0"/>
    <x v="0"/>
    <x v="0"/>
    <x v="0"/>
    <x v="0"/>
    <x v="0"/>
    <x v="4"/>
    <x v="5"/>
    <x v="5"/>
    <x v="2"/>
    <x v="2"/>
    <n v="322.38898319182698"/>
    <x v="0"/>
    <x v="1"/>
    <x v="2"/>
    <x v="2"/>
    <x v="13"/>
    <x v="2"/>
    <n v="383.64288999827409"/>
  </r>
  <r>
    <x v="12"/>
    <x v="1"/>
    <x v="0"/>
    <x v="0"/>
    <x v="0"/>
    <x v="2"/>
    <x v="0"/>
    <x v="0"/>
    <x v="0"/>
    <x v="0"/>
    <x v="3"/>
    <x v="3"/>
    <x v="3"/>
    <x v="3"/>
    <x v="3"/>
    <x v="3"/>
    <x v="3"/>
    <n v="2.36339807579493"/>
    <x v="0"/>
    <x v="0"/>
    <x v="1"/>
    <x v="3"/>
    <x v="3"/>
    <x v="3"/>
    <n v="2.8124437101959665"/>
  </r>
  <r>
    <x v="12"/>
    <x v="1"/>
    <x v="0"/>
    <x v="0"/>
    <x v="0"/>
    <x v="2"/>
    <x v="0"/>
    <x v="0"/>
    <x v="0"/>
    <x v="0"/>
    <x v="3"/>
    <x v="3"/>
    <x v="2"/>
    <x v="2"/>
    <x v="2"/>
    <x v="5"/>
    <x v="5"/>
    <n v="2.24066298344446"/>
    <x v="0"/>
    <x v="0"/>
    <x v="1"/>
    <x v="1"/>
    <x v="1"/>
    <x v="5"/>
    <n v="2.6663889502989071"/>
  </r>
  <r>
    <x v="12"/>
    <x v="1"/>
    <x v="0"/>
    <x v="0"/>
    <x v="0"/>
    <x v="2"/>
    <x v="0"/>
    <x v="0"/>
    <x v="0"/>
    <x v="0"/>
    <x v="3"/>
    <x v="3"/>
    <x v="2"/>
    <x v="2"/>
    <x v="2"/>
    <x v="8"/>
    <x v="8"/>
    <n v="1.87450931676306"/>
    <x v="0"/>
    <x v="1"/>
    <x v="2"/>
    <x v="2"/>
    <x v="6"/>
    <x v="8"/>
    <n v="2.2306660869480415"/>
  </r>
  <r>
    <x v="12"/>
    <x v="1"/>
    <x v="0"/>
    <x v="0"/>
    <x v="0"/>
    <x v="2"/>
    <x v="0"/>
    <x v="0"/>
    <x v="0"/>
    <x v="0"/>
    <x v="4"/>
    <x v="4"/>
    <x v="2"/>
    <x v="2"/>
    <x v="2"/>
    <x v="5"/>
    <x v="5"/>
    <n v="0.41904972376047001"/>
    <x v="0"/>
    <x v="0"/>
    <x v="1"/>
    <x v="1"/>
    <x v="1"/>
    <x v="5"/>
    <n v="0.4986691712749593"/>
  </r>
  <r>
    <x v="12"/>
    <x v="1"/>
    <x v="0"/>
    <x v="0"/>
    <x v="0"/>
    <x v="2"/>
    <x v="0"/>
    <x v="0"/>
    <x v="0"/>
    <x v="0"/>
    <x v="4"/>
    <x v="4"/>
    <x v="2"/>
    <x v="2"/>
    <x v="2"/>
    <x v="7"/>
    <x v="7"/>
    <n v="0.285714285713"/>
    <x v="0"/>
    <x v="0"/>
    <x v="1"/>
    <x v="4"/>
    <x v="5"/>
    <x v="7"/>
    <n v="0.33999999999846997"/>
  </r>
  <r>
    <x v="12"/>
    <x v="1"/>
    <x v="0"/>
    <x v="0"/>
    <x v="0"/>
    <x v="2"/>
    <x v="0"/>
    <x v="0"/>
    <x v="2"/>
    <x v="2"/>
    <x v="5"/>
    <x v="5"/>
    <x v="2"/>
    <x v="2"/>
    <x v="2"/>
    <x v="41"/>
    <x v="41"/>
    <n v="3.2967032967000001"/>
    <x v="1"/>
    <x v="2"/>
    <x v="5"/>
    <x v="7"/>
    <x v="11"/>
    <x v="22"/>
    <n v="3.9230769230729998"/>
  </r>
  <r>
    <x v="12"/>
    <x v="1"/>
    <x v="0"/>
    <x v="0"/>
    <x v="0"/>
    <x v="2"/>
    <x v="0"/>
    <x v="0"/>
    <x v="2"/>
    <x v="2"/>
    <x v="5"/>
    <x v="5"/>
    <x v="2"/>
    <x v="2"/>
    <x v="2"/>
    <x v="40"/>
    <x v="40"/>
    <n v="29.981529999999999"/>
    <x v="1"/>
    <x v="2"/>
    <x v="5"/>
    <x v="7"/>
    <x v="11"/>
    <x v="22"/>
    <n v="35.678020699999998"/>
  </r>
  <r>
    <x v="12"/>
    <x v="1"/>
    <x v="0"/>
    <x v="0"/>
    <x v="0"/>
    <x v="2"/>
    <x v="0"/>
    <x v="0"/>
    <x v="2"/>
    <x v="2"/>
    <x v="5"/>
    <x v="5"/>
    <x v="2"/>
    <x v="2"/>
    <x v="2"/>
    <x v="38"/>
    <x v="38"/>
    <n v="110.16500000000001"/>
    <x v="1"/>
    <x v="0"/>
    <x v="4"/>
    <x v="6"/>
    <x v="10"/>
    <x v="21"/>
    <n v="131.09635"/>
  </r>
  <r>
    <x v="12"/>
    <x v="1"/>
    <x v="0"/>
    <x v="0"/>
    <x v="0"/>
    <x v="2"/>
    <x v="0"/>
    <x v="0"/>
    <x v="2"/>
    <x v="2"/>
    <x v="5"/>
    <x v="5"/>
    <x v="1"/>
    <x v="6"/>
    <x v="6"/>
    <x v="41"/>
    <x v="41"/>
    <n v="4.9059560439511403"/>
    <x v="1"/>
    <x v="2"/>
    <x v="5"/>
    <x v="7"/>
    <x v="11"/>
    <x v="22"/>
    <n v="5.8380876923018565"/>
  </r>
  <r>
    <x v="12"/>
    <x v="1"/>
    <x v="0"/>
    <x v="0"/>
    <x v="0"/>
    <x v="2"/>
    <x v="0"/>
    <x v="0"/>
    <x v="2"/>
    <x v="2"/>
    <x v="5"/>
    <x v="5"/>
    <x v="1"/>
    <x v="6"/>
    <x v="6"/>
    <x v="40"/>
    <x v="40"/>
    <n v="99.950019999999995"/>
    <x v="1"/>
    <x v="2"/>
    <x v="5"/>
    <x v="7"/>
    <x v="11"/>
    <x v="22"/>
    <n v="118.94052379999999"/>
  </r>
  <r>
    <x v="12"/>
    <x v="1"/>
    <x v="0"/>
    <x v="0"/>
    <x v="0"/>
    <x v="2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35.6481"/>
  </r>
  <r>
    <x v="12"/>
    <x v="1"/>
    <x v="0"/>
    <x v="0"/>
    <x v="0"/>
    <x v="2"/>
    <x v="0"/>
    <x v="0"/>
    <x v="2"/>
    <x v="2"/>
    <x v="7"/>
    <x v="7"/>
    <x v="2"/>
    <x v="2"/>
    <x v="2"/>
    <x v="40"/>
    <x v="40"/>
    <n v="7.8997700000000002"/>
    <x v="1"/>
    <x v="2"/>
    <x v="5"/>
    <x v="7"/>
    <x v="11"/>
    <x v="22"/>
    <n v="9.4007263000000005"/>
  </r>
  <r>
    <x v="12"/>
    <x v="1"/>
    <x v="0"/>
    <x v="0"/>
    <x v="0"/>
    <x v="2"/>
    <x v="0"/>
    <x v="0"/>
    <x v="2"/>
    <x v="2"/>
    <x v="7"/>
    <x v="7"/>
    <x v="2"/>
    <x v="2"/>
    <x v="2"/>
    <x v="38"/>
    <x v="38"/>
    <n v="163.38149999999999"/>
    <x v="1"/>
    <x v="0"/>
    <x v="4"/>
    <x v="6"/>
    <x v="10"/>
    <x v="21"/>
    <n v="194.42398499999999"/>
  </r>
  <r>
    <x v="12"/>
    <x v="1"/>
    <x v="0"/>
    <x v="0"/>
    <x v="0"/>
    <x v="2"/>
    <x v="0"/>
    <x v="0"/>
    <x v="2"/>
    <x v="2"/>
    <x v="7"/>
    <x v="7"/>
    <x v="2"/>
    <x v="2"/>
    <x v="2"/>
    <x v="43"/>
    <x v="43"/>
    <n v="11.574999999999999"/>
    <x v="1"/>
    <x v="0"/>
    <x v="4"/>
    <x v="6"/>
    <x v="10"/>
    <x v="21"/>
    <n v="13.774249999999999"/>
  </r>
  <r>
    <x v="12"/>
    <x v="1"/>
    <x v="0"/>
    <x v="0"/>
    <x v="0"/>
    <x v="2"/>
    <x v="0"/>
    <x v="0"/>
    <x v="2"/>
    <x v="2"/>
    <x v="7"/>
    <x v="7"/>
    <x v="2"/>
    <x v="2"/>
    <x v="2"/>
    <x v="44"/>
    <x v="44"/>
    <n v="8.3000000000000007"/>
    <x v="1"/>
    <x v="0"/>
    <x v="4"/>
    <x v="6"/>
    <x v="10"/>
    <x v="21"/>
    <n v="9.8770000000000007"/>
  </r>
  <r>
    <x v="12"/>
    <x v="1"/>
    <x v="0"/>
    <x v="0"/>
    <x v="0"/>
    <x v="2"/>
    <x v="0"/>
    <x v="0"/>
    <x v="0"/>
    <x v="0"/>
    <x v="7"/>
    <x v="7"/>
    <x v="2"/>
    <x v="2"/>
    <x v="2"/>
    <x v="17"/>
    <x v="17"/>
    <n v="13.36"/>
    <x v="0"/>
    <x v="0"/>
    <x v="0"/>
    <x v="0"/>
    <x v="4"/>
    <x v="17"/>
    <n v="15.898399999999999"/>
  </r>
  <r>
    <x v="12"/>
    <x v="1"/>
    <x v="0"/>
    <x v="0"/>
    <x v="0"/>
    <x v="2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30.225999999999996"/>
  </r>
  <r>
    <x v="12"/>
    <x v="1"/>
    <x v="0"/>
    <x v="0"/>
    <x v="0"/>
    <x v="2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1860299999999997"/>
  </r>
  <r>
    <x v="12"/>
    <x v="1"/>
    <x v="0"/>
    <x v="0"/>
    <x v="0"/>
    <x v="2"/>
    <x v="0"/>
    <x v="0"/>
    <x v="2"/>
    <x v="2"/>
    <x v="7"/>
    <x v="7"/>
    <x v="1"/>
    <x v="6"/>
    <x v="6"/>
    <x v="40"/>
    <x v="40"/>
    <n v="2.9249999999999998"/>
    <x v="1"/>
    <x v="2"/>
    <x v="5"/>
    <x v="7"/>
    <x v="11"/>
    <x v="22"/>
    <n v="3.4807499999999996"/>
  </r>
  <r>
    <x v="12"/>
    <x v="1"/>
    <x v="0"/>
    <x v="0"/>
    <x v="0"/>
    <x v="2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9.984384000000002"/>
  </r>
  <r>
    <x v="12"/>
    <x v="1"/>
    <x v="0"/>
    <x v="0"/>
    <x v="0"/>
    <x v="2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7849999999999999"/>
  </r>
  <r>
    <x v="12"/>
    <x v="1"/>
    <x v="0"/>
    <x v="0"/>
    <x v="0"/>
    <x v="2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8.2347999999999999"/>
  </r>
  <r>
    <x v="12"/>
    <x v="1"/>
    <x v="0"/>
    <x v="0"/>
    <x v="0"/>
    <x v="2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7.607999999999997"/>
  </r>
  <r>
    <x v="12"/>
    <x v="1"/>
    <x v="0"/>
    <x v="0"/>
    <x v="0"/>
    <x v="2"/>
    <x v="0"/>
    <x v="0"/>
    <x v="2"/>
    <x v="2"/>
    <x v="9"/>
    <x v="9"/>
    <x v="2"/>
    <x v="2"/>
    <x v="2"/>
    <x v="40"/>
    <x v="40"/>
    <n v="51.228119999999997"/>
    <x v="1"/>
    <x v="2"/>
    <x v="5"/>
    <x v="7"/>
    <x v="11"/>
    <x v="22"/>
    <n v="60.961462799999993"/>
  </r>
  <r>
    <x v="12"/>
    <x v="1"/>
    <x v="0"/>
    <x v="0"/>
    <x v="0"/>
    <x v="2"/>
    <x v="0"/>
    <x v="0"/>
    <x v="2"/>
    <x v="2"/>
    <x v="9"/>
    <x v="9"/>
    <x v="2"/>
    <x v="2"/>
    <x v="2"/>
    <x v="38"/>
    <x v="38"/>
    <n v="745.67849999999999"/>
    <x v="1"/>
    <x v="0"/>
    <x v="4"/>
    <x v="6"/>
    <x v="10"/>
    <x v="21"/>
    <n v="887.35741499999995"/>
  </r>
  <r>
    <x v="12"/>
    <x v="1"/>
    <x v="0"/>
    <x v="0"/>
    <x v="0"/>
    <x v="2"/>
    <x v="0"/>
    <x v="0"/>
    <x v="2"/>
    <x v="2"/>
    <x v="9"/>
    <x v="9"/>
    <x v="1"/>
    <x v="6"/>
    <x v="6"/>
    <x v="40"/>
    <x v="40"/>
    <n v="169.12190000000001"/>
    <x v="1"/>
    <x v="2"/>
    <x v="5"/>
    <x v="7"/>
    <x v="11"/>
    <x v="22"/>
    <n v="201.25506100000001"/>
  </r>
  <r>
    <x v="12"/>
    <x v="1"/>
    <x v="0"/>
    <x v="0"/>
    <x v="0"/>
    <x v="2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80.81127709999998"/>
  </r>
  <r>
    <x v="12"/>
    <x v="1"/>
    <x v="0"/>
    <x v="0"/>
    <x v="0"/>
    <x v="2"/>
    <x v="0"/>
    <x v="0"/>
    <x v="2"/>
    <x v="2"/>
    <x v="9"/>
    <x v="9"/>
    <x v="3"/>
    <x v="7"/>
    <x v="7"/>
    <x v="40"/>
    <x v="40"/>
    <n v="43.924300000000002"/>
    <x v="1"/>
    <x v="2"/>
    <x v="5"/>
    <x v="7"/>
    <x v="11"/>
    <x v="22"/>
    <n v="52.269917"/>
  </r>
  <r>
    <x v="12"/>
    <x v="1"/>
    <x v="0"/>
    <x v="0"/>
    <x v="0"/>
    <x v="2"/>
    <x v="0"/>
    <x v="0"/>
    <x v="2"/>
    <x v="2"/>
    <x v="9"/>
    <x v="9"/>
    <x v="1"/>
    <x v="8"/>
    <x v="8"/>
    <x v="40"/>
    <x v="40"/>
    <n v="12.7148"/>
    <x v="1"/>
    <x v="2"/>
    <x v="5"/>
    <x v="7"/>
    <x v="11"/>
    <x v="22"/>
    <n v="15.130611999999999"/>
  </r>
  <r>
    <x v="12"/>
    <x v="1"/>
    <x v="0"/>
    <x v="0"/>
    <x v="0"/>
    <x v="2"/>
    <x v="0"/>
    <x v="0"/>
    <x v="2"/>
    <x v="2"/>
    <x v="9"/>
    <x v="9"/>
    <x v="2"/>
    <x v="10"/>
    <x v="10"/>
    <x v="40"/>
    <x v="40"/>
    <n v="15.0976"/>
    <x v="1"/>
    <x v="2"/>
    <x v="5"/>
    <x v="7"/>
    <x v="11"/>
    <x v="22"/>
    <n v="17.966144"/>
  </r>
  <r>
    <x v="12"/>
    <x v="1"/>
    <x v="0"/>
    <x v="0"/>
    <x v="0"/>
    <x v="2"/>
    <x v="0"/>
    <x v="0"/>
    <x v="2"/>
    <x v="2"/>
    <x v="9"/>
    <x v="9"/>
    <x v="4"/>
    <x v="5"/>
    <x v="5"/>
    <x v="40"/>
    <x v="40"/>
    <n v="63.563299999999998"/>
    <x v="1"/>
    <x v="2"/>
    <x v="5"/>
    <x v="7"/>
    <x v="11"/>
    <x v="22"/>
    <n v="75.640326999999999"/>
  </r>
  <r>
    <x v="12"/>
    <x v="1"/>
    <x v="0"/>
    <x v="0"/>
    <x v="0"/>
    <x v="2"/>
    <x v="0"/>
    <x v="0"/>
    <x v="2"/>
    <x v="2"/>
    <x v="10"/>
    <x v="10"/>
    <x v="2"/>
    <x v="2"/>
    <x v="2"/>
    <x v="40"/>
    <x v="40"/>
    <n v="7.085"/>
    <x v="1"/>
    <x v="2"/>
    <x v="5"/>
    <x v="7"/>
    <x v="11"/>
    <x v="22"/>
    <n v="8.4311499999999988"/>
  </r>
  <r>
    <x v="12"/>
    <x v="1"/>
    <x v="0"/>
    <x v="0"/>
    <x v="0"/>
    <x v="2"/>
    <x v="0"/>
    <x v="0"/>
    <x v="3"/>
    <x v="3"/>
    <x v="13"/>
    <x v="13"/>
    <x v="2"/>
    <x v="2"/>
    <x v="2"/>
    <x v="41"/>
    <x v="41"/>
    <n v="3.2967032967000001"/>
    <x v="1"/>
    <x v="2"/>
    <x v="5"/>
    <x v="7"/>
    <x v="11"/>
    <x v="22"/>
    <n v="3.9230769230729998"/>
  </r>
  <r>
    <x v="12"/>
    <x v="1"/>
    <x v="0"/>
    <x v="0"/>
    <x v="0"/>
    <x v="2"/>
    <x v="0"/>
    <x v="0"/>
    <x v="3"/>
    <x v="3"/>
    <x v="13"/>
    <x v="13"/>
    <x v="2"/>
    <x v="2"/>
    <x v="2"/>
    <x v="40"/>
    <x v="40"/>
    <n v="5.4"/>
    <x v="1"/>
    <x v="2"/>
    <x v="5"/>
    <x v="7"/>
    <x v="11"/>
    <x v="22"/>
    <n v="6.4260000000000002"/>
  </r>
  <r>
    <x v="12"/>
    <x v="1"/>
    <x v="0"/>
    <x v="0"/>
    <x v="0"/>
    <x v="2"/>
    <x v="0"/>
    <x v="0"/>
    <x v="3"/>
    <x v="3"/>
    <x v="13"/>
    <x v="13"/>
    <x v="1"/>
    <x v="6"/>
    <x v="6"/>
    <x v="40"/>
    <x v="40"/>
    <n v="5.6"/>
    <x v="1"/>
    <x v="2"/>
    <x v="5"/>
    <x v="7"/>
    <x v="11"/>
    <x v="22"/>
    <n v="6.6639999999999997"/>
  </r>
  <r>
    <x v="12"/>
    <x v="1"/>
    <x v="0"/>
    <x v="0"/>
    <x v="0"/>
    <x v="2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4172113"/>
  </r>
  <r>
    <x v="12"/>
    <x v="1"/>
    <x v="0"/>
    <x v="0"/>
    <x v="0"/>
    <x v="2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9499999999999993"/>
  </r>
  <r>
    <x v="12"/>
    <x v="1"/>
    <x v="0"/>
    <x v="0"/>
    <x v="0"/>
    <x v="2"/>
    <x v="0"/>
    <x v="0"/>
    <x v="2"/>
    <x v="2"/>
    <x v="14"/>
    <x v="14"/>
    <x v="2"/>
    <x v="2"/>
    <x v="2"/>
    <x v="40"/>
    <x v="40"/>
    <n v="3.9"/>
    <x v="1"/>
    <x v="2"/>
    <x v="5"/>
    <x v="7"/>
    <x v="11"/>
    <x v="22"/>
    <n v="4.641"/>
  </r>
  <r>
    <x v="12"/>
    <x v="1"/>
    <x v="0"/>
    <x v="0"/>
    <x v="0"/>
    <x v="2"/>
    <x v="0"/>
    <x v="0"/>
    <x v="2"/>
    <x v="2"/>
    <x v="15"/>
    <x v="15"/>
    <x v="0"/>
    <x v="4"/>
    <x v="4"/>
    <x v="40"/>
    <x v="40"/>
    <n v="10.349880000000001"/>
    <x v="1"/>
    <x v="2"/>
    <x v="5"/>
    <x v="7"/>
    <x v="11"/>
    <x v="22"/>
    <n v="12.316357200000001"/>
  </r>
  <r>
    <x v="12"/>
    <x v="1"/>
    <x v="0"/>
    <x v="0"/>
    <x v="0"/>
    <x v="2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30.876929999999998"/>
  </r>
  <r>
    <x v="12"/>
    <x v="1"/>
    <x v="0"/>
    <x v="0"/>
    <x v="0"/>
    <x v="2"/>
    <x v="0"/>
    <x v="0"/>
    <x v="2"/>
    <x v="2"/>
    <x v="17"/>
    <x v="17"/>
    <x v="2"/>
    <x v="2"/>
    <x v="2"/>
    <x v="42"/>
    <x v="42"/>
    <n v="8.4175000000000004"/>
    <x v="1"/>
    <x v="2"/>
    <x v="5"/>
    <x v="7"/>
    <x v="11"/>
    <x v="22"/>
    <n v="10.016825000000001"/>
  </r>
  <r>
    <x v="12"/>
    <x v="1"/>
    <x v="0"/>
    <x v="0"/>
    <x v="0"/>
    <x v="2"/>
    <x v="0"/>
    <x v="0"/>
    <x v="2"/>
    <x v="2"/>
    <x v="17"/>
    <x v="17"/>
    <x v="2"/>
    <x v="2"/>
    <x v="2"/>
    <x v="40"/>
    <x v="40"/>
    <n v="5.6"/>
    <x v="1"/>
    <x v="2"/>
    <x v="5"/>
    <x v="7"/>
    <x v="11"/>
    <x v="22"/>
    <n v="6.6639999999999997"/>
  </r>
  <r>
    <x v="12"/>
    <x v="1"/>
    <x v="0"/>
    <x v="0"/>
    <x v="0"/>
    <x v="2"/>
    <x v="0"/>
    <x v="0"/>
    <x v="2"/>
    <x v="2"/>
    <x v="17"/>
    <x v="17"/>
    <x v="2"/>
    <x v="2"/>
    <x v="2"/>
    <x v="38"/>
    <x v="38"/>
    <n v="34.4375"/>
    <x v="1"/>
    <x v="0"/>
    <x v="4"/>
    <x v="6"/>
    <x v="10"/>
    <x v="21"/>
    <n v="40.980624999999996"/>
  </r>
  <r>
    <x v="12"/>
    <x v="1"/>
    <x v="0"/>
    <x v="0"/>
    <x v="0"/>
    <x v="2"/>
    <x v="0"/>
    <x v="0"/>
    <x v="2"/>
    <x v="2"/>
    <x v="17"/>
    <x v="17"/>
    <x v="3"/>
    <x v="7"/>
    <x v="7"/>
    <x v="7"/>
    <x v="7"/>
    <n v="7.8774503012804402"/>
    <x v="0"/>
    <x v="0"/>
    <x v="1"/>
    <x v="4"/>
    <x v="5"/>
    <x v="7"/>
    <n v="9.3741658585237229"/>
  </r>
  <r>
    <x v="12"/>
    <x v="1"/>
    <x v="0"/>
    <x v="0"/>
    <x v="0"/>
    <x v="2"/>
    <x v="0"/>
    <x v="0"/>
    <x v="2"/>
    <x v="2"/>
    <x v="17"/>
    <x v="17"/>
    <x v="3"/>
    <x v="7"/>
    <x v="7"/>
    <x v="40"/>
    <x v="40"/>
    <n v="6.6150000000000002"/>
    <x v="1"/>
    <x v="2"/>
    <x v="5"/>
    <x v="7"/>
    <x v="11"/>
    <x v="22"/>
    <n v="7.8718500000000002"/>
  </r>
  <r>
    <x v="12"/>
    <x v="1"/>
    <x v="0"/>
    <x v="0"/>
    <x v="0"/>
    <x v="2"/>
    <x v="0"/>
    <x v="0"/>
    <x v="2"/>
    <x v="2"/>
    <x v="17"/>
    <x v="17"/>
    <x v="1"/>
    <x v="8"/>
    <x v="8"/>
    <x v="7"/>
    <x v="7"/>
    <n v="7.5411129518796196"/>
    <x v="0"/>
    <x v="0"/>
    <x v="1"/>
    <x v="4"/>
    <x v="5"/>
    <x v="7"/>
    <n v="8.9739244127367463"/>
  </r>
  <r>
    <x v="12"/>
    <x v="1"/>
    <x v="0"/>
    <x v="0"/>
    <x v="0"/>
    <x v="2"/>
    <x v="0"/>
    <x v="0"/>
    <x v="2"/>
    <x v="2"/>
    <x v="17"/>
    <x v="17"/>
    <x v="0"/>
    <x v="9"/>
    <x v="9"/>
    <x v="7"/>
    <x v="7"/>
    <n v="59.717621988525103"/>
    <x v="0"/>
    <x v="0"/>
    <x v="1"/>
    <x v="4"/>
    <x v="5"/>
    <x v="7"/>
    <n v="71.063970166344873"/>
  </r>
  <r>
    <x v="12"/>
    <x v="1"/>
    <x v="0"/>
    <x v="0"/>
    <x v="0"/>
    <x v="2"/>
    <x v="0"/>
    <x v="0"/>
    <x v="2"/>
    <x v="2"/>
    <x v="17"/>
    <x v="17"/>
    <x v="2"/>
    <x v="10"/>
    <x v="10"/>
    <x v="7"/>
    <x v="7"/>
    <n v="2.74843222894205"/>
    <x v="0"/>
    <x v="0"/>
    <x v="1"/>
    <x v="4"/>
    <x v="5"/>
    <x v="7"/>
    <n v="3.2706343524410393"/>
  </r>
  <r>
    <x v="12"/>
    <x v="1"/>
    <x v="0"/>
    <x v="0"/>
    <x v="0"/>
    <x v="2"/>
    <x v="0"/>
    <x v="0"/>
    <x v="2"/>
    <x v="2"/>
    <x v="17"/>
    <x v="17"/>
    <x v="4"/>
    <x v="5"/>
    <x v="5"/>
    <x v="40"/>
    <x v="40"/>
    <n v="216.47113999999999"/>
    <x v="1"/>
    <x v="2"/>
    <x v="5"/>
    <x v="7"/>
    <x v="11"/>
    <x v="22"/>
    <n v="257.60065659999998"/>
  </r>
  <r>
    <x v="12"/>
    <x v="1"/>
    <x v="0"/>
    <x v="0"/>
    <x v="0"/>
    <x v="3"/>
    <x v="0"/>
    <x v="0"/>
    <x v="0"/>
    <x v="0"/>
    <x v="0"/>
    <x v="0"/>
    <x v="3"/>
    <x v="3"/>
    <x v="3"/>
    <x v="36"/>
    <x v="36"/>
    <n v="11.3420168066716"/>
    <x v="0"/>
    <x v="0"/>
    <x v="1"/>
    <x v="3"/>
    <x v="3"/>
    <x v="4"/>
    <n v="13.496999999939204"/>
  </r>
  <r>
    <x v="12"/>
    <x v="1"/>
    <x v="0"/>
    <x v="0"/>
    <x v="0"/>
    <x v="3"/>
    <x v="0"/>
    <x v="0"/>
    <x v="0"/>
    <x v="0"/>
    <x v="0"/>
    <x v="0"/>
    <x v="2"/>
    <x v="2"/>
    <x v="2"/>
    <x v="9"/>
    <x v="9"/>
    <n v="6.7226890756"/>
    <x v="0"/>
    <x v="0"/>
    <x v="1"/>
    <x v="4"/>
    <x v="5"/>
    <x v="9"/>
    <n v="7.9999999999639995"/>
  </r>
  <r>
    <x v="12"/>
    <x v="1"/>
    <x v="0"/>
    <x v="0"/>
    <x v="0"/>
    <x v="3"/>
    <x v="0"/>
    <x v="0"/>
    <x v="0"/>
    <x v="0"/>
    <x v="0"/>
    <x v="0"/>
    <x v="2"/>
    <x v="2"/>
    <x v="2"/>
    <x v="11"/>
    <x v="11"/>
    <n v="4.1379200000000003"/>
    <x v="0"/>
    <x v="0"/>
    <x v="3"/>
    <x v="5"/>
    <x v="7"/>
    <x v="11"/>
    <n v="4.9241248000000004"/>
  </r>
  <r>
    <x v="12"/>
    <x v="1"/>
    <x v="0"/>
    <x v="0"/>
    <x v="0"/>
    <x v="3"/>
    <x v="0"/>
    <x v="0"/>
    <x v="0"/>
    <x v="0"/>
    <x v="0"/>
    <x v="0"/>
    <x v="2"/>
    <x v="2"/>
    <x v="2"/>
    <x v="23"/>
    <x v="23"/>
    <n v="7.48319327727725"/>
    <x v="0"/>
    <x v="0"/>
    <x v="1"/>
    <x v="3"/>
    <x v="3"/>
    <x v="15"/>
    <n v="8.9049999999599265"/>
  </r>
  <r>
    <x v="12"/>
    <x v="1"/>
    <x v="0"/>
    <x v="0"/>
    <x v="0"/>
    <x v="3"/>
    <x v="0"/>
    <x v="0"/>
    <x v="0"/>
    <x v="0"/>
    <x v="0"/>
    <x v="0"/>
    <x v="2"/>
    <x v="2"/>
    <x v="2"/>
    <x v="18"/>
    <x v="18"/>
    <n v="11.1"/>
    <x v="0"/>
    <x v="0"/>
    <x v="0"/>
    <x v="0"/>
    <x v="4"/>
    <x v="18"/>
    <n v="13.209"/>
  </r>
  <r>
    <x v="12"/>
    <x v="1"/>
    <x v="0"/>
    <x v="0"/>
    <x v="0"/>
    <x v="3"/>
    <x v="0"/>
    <x v="0"/>
    <x v="0"/>
    <x v="0"/>
    <x v="0"/>
    <x v="0"/>
    <x v="1"/>
    <x v="6"/>
    <x v="6"/>
    <x v="31"/>
    <x v="31"/>
    <n v="10.305050420121701"/>
    <x v="0"/>
    <x v="0"/>
    <x v="1"/>
    <x v="4"/>
    <x v="5"/>
    <x v="10"/>
    <n v="12.263009999944822"/>
  </r>
  <r>
    <x v="12"/>
    <x v="1"/>
    <x v="0"/>
    <x v="0"/>
    <x v="0"/>
    <x v="5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9499999999999997"/>
  </r>
  <r>
    <x v="12"/>
    <x v="1"/>
    <x v="0"/>
    <x v="0"/>
    <x v="0"/>
    <x v="5"/>
    <x v="0"/>
    <x v="0"/>
    <x v="0"/>
    <x v="0"/>
    <x v="0"/>
    <x v="0"/>
    <x v="3"/>
    <x v="3"/>
    <x v="3"/>
    <x v="12"/>
    <x v="12"/>
    <n v="16.4317840908565"/>
    <x v="0"/>
    <x v="0"/>
    <x v="0"/>
    <x v="0"/>
    <x v="8"/>
    <x v="12"/>
    <n v="19.553823068119232"/>
  </r>
  <r>
    <x v="12"/>
    <x v="1"/>
    <x v="0"/>
    <x v="0"/>
    <x v="0"/>
    <x v="5"/>
    <x v="0"/>
    <x v="0"/>
    <x v="0"/>
    <x v="0"/>
    <x v="0"/>
    <x v="0"/>
    <x v="3"/>
    <x v="3"/>
    <x v="3"/>
    <x v="26"/>
    <x v="26"/>
    <n v="18.032067226809598"/>
    <x v="0"/>
    <x v="0"/>
    <x v="1"/>
    <x v="3"/>
    <x v="3"/>
    <x v="15"/>
    <n v="21.458159999903422"/>
  </r>
  <r>
    <x v="12"/>
    <x v="1"/>
    <x v="0"/>
    <x v="0"/>
    <x v="0"/>
    <x v="5"/>
    <x v="0"/>
    <x v="0"/>
    <x v="0"/>
    <x v="0"/>
    <x v="0"/>
    <x v="0"/>
    <x v="0"/>
    <x v="4"/>
    <x v="4"/>
    <x v="10"/>
    <x v="10"/>
    <n v="88.910084033213394"/>
    <x v="0"/>
    <x v="0"/>
    <x v="1"/>
    <x v="4"/>
    <x v="5"/>
    <x v="10"/>
    <n v="105.80299999952393"/>
  </r>
  <r>
    <x v="12"/>
    <x v="1"/>
    <x v="0"/>
    <x v="0"/>
    <x v="0"/>
    <x v="5"/>
    <x v="0"/>
    <x v="0"/>
    <x v="0"/>
    <x v="0"/>
    <x v="0"/>
    <x v="0"/>
    <x v="0"/>
    <x v="4"/>
    <x v="4"/>
    <x v="11"/>
    <x v="11"/>
    <n v="0.55728"/>
    <x v="0"/>
    <x v="0"/>
    <x v="3"/>
    <x v="5"/>
    <x v="7"/>
    <x v="11"/>
    <n v="0.66316319999999995"/>
  </r>
  <r>
    <x v="12"/>
    <x v="1"/>
    <x v="0"/>
    <x v="0"/>
    <x v="0"/>
    <x v="5"/>
    <x v="0"/>
    <x v="0"/>
    <x v="0"/>
    <x v="0"/>
    <x v="0"/>
    <x v="0"/>
    <x v="2"/>
    <x v="2"/>
    <x v="2"/>
    <x v="10"/>
    <x v="10"/>
    <n v="17.020168067150301"/>
    <x v="0"/>
    <x v="0"/>
    <x v="1"/>
    <x v="4"/>
    <x v="5"/>
    <x v="10"/>
    <n v="20.253999999908856"/>
  </r>
  <r>
    <x v="12"/>
    <x v="1"/>
    <x v="0"/>
    <x v="0"/>
    <x v="0"/>
    <x v="5"/>
    <x v="0"/>
    <x v="0"/>
    <x v="0"/>
    <x v="0"/>
    <x v="0"/>
    <x v="0"/>
    <x v="2"/>
    <x v="2"/>
    <x v="2"/>
    <x v="12"/>
    <x v="12"/>
    <n v="6.3749999999796003"/>
    <x v="0"/>
    <x v="0"/>
    <x v="0"/>
    <x v="0"/>
    <x v="8"/>
    <x v="12"/>
    <n v="7.586249999975724"/>
  </r>
  <r>
    <x v="12"/>
    <x v="1"/>
    <x v="0"/>
    <x v="0"/>
    <x v="0"/>
    <x v="5"/>
    <x v="0"/>
    <x v="0"/>
    <x v="0"/>
    <x v="0"/>
    <x v="0"/>
    <x v="0"/>
    <x v="2"/>
    <x v="2"/>
    <x v="2"/>
    <x v="26"/>
    <x v="26"/>
    <n v="2.9763361344403898"/>
    <x v="0"/>
    <x v="0"/>
    <x v="1"/>
    <x v="3"/>
    <x v="3"/>
    <x v="15"/>
    <n v="3.5418399999840635"/>
  </r>
  <r>
    <x v="12"/>
    <x v="1"/>
    <x v="0"/>
    <x v="0"/>
    <x v="0"/>
    <x v="5"/>
    <x v="0"/>
    <x v="0"/>
    <x v="0"/>
    <x v="0"/>
    <x v="0"/>
    <x v="0"/>
    <x v="1"/>
    <x v="6"/>
    <x v="6"/>
    <x v="11"/>
    <x v="11"/>
    <n v="1.0762499999999999"/>
    <x v="0"/>
    <x v="0"/>
    <x v="3"/>
    <x v="5"/>
    <x v="7"/>
    <x v="11"/>
    <n v="1.2807374999999999"/>
  </r>
  <r>
    <x v="12"/>
    <x v="1"/>
    <x v="0"/>
    <x v="0"/>
    <x v="0"/>
    <x v="4"/>
    <x v="1"/>
    <x v="1"/>
    <x v="5"/>
    <x v="5"/>
    <x v="22"/>
    <x v="22"/>
    <x v="3"/>
    <x v="3"/>
    <x v="3"/>
    <x v="2"/>
    <x v="2"/>
    <n v="0.79794957982834003"/>
    <x v="0"/>
    <x v="1"/>
    <x v="2"/>
    <x v="2"/>
    <x v="13"/>
    <x v="2"/>
    <n v="0.9495599999957246"/>
  </r>
  <r>
    <x v="12"/>
    <x v="1"/>
    <x v="0"/>
    <x v="0"/>
    <x v="0"/>
    <x v="4"/>
    <x v="1"/>
    <x v="1"/>
    <x v="5"/>
    <x v="5"/>
    <x v="23"/>
    <x v="23"/>
    <x v="5"/>
    <x v="11"/>
    <x v="11"/>
    <x v="2"/>
    <x v="2"/>
    <n v="3.6778991596473198"/>
    <x v="0"/>
    <x v="1"/>
    <x v="2"/>
    <x v="2"/>
    <x v="13"/>
    <x v="2"/>
    <n v="4.3766999999803105"/>
  </r>
  <r>
    <x v="12"/>
    <x v="1"/>
    <x v="0"/>
    <x v="0"/>
    <x v="0"/>
    <x v="4"/>
    <x v="1"/>
    <x v="1"/>
    <x v="5"/>
    <x v="5"/>
    <x v="23"/>
    <x v="23"/>
    <x v="3"/>
    <x v="3"/>
    <x v="3"/>
    <x v="49"/>
    <x v="49"/>
    <n v="1.4705882355"/>
    <x v="0"/>
    <x v="0"/>
    <x v="1"/>
    <x v="1"/>
    <x v="1"/>
    <x v="23"/>
    <n v="1.7500000002449998"/>
  </r>
  <r>
    <x v="12"/>
    <x v="1"/>
    <x v="0"/>
    <x v="0"/>
    <x v="0"/>
    <x v="4"/>
    <x v="1"/>
    <x v="1"/>
    <x v="5"/>
    <x v="5"/>
    <x v="23"/>
    <x v="23"/>
    <x v="3"/>
    <x v="3"/>
    <x v="3"/>
    <x v="2"/>
    <x v="2"/>
    <n v="99.841873949130502"/>
    <x v="0"/>
    <x v="1"/>
    <x v="2"/>
    <x v="2"/>
    <x v="13"/>
    <x v="2"/>
    <n v="118.81182999946529"/>
  </r>
  <r>
    <x v="12"/>
    <x v="1"/>
    <x v="0"/>
    <x v="0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2.0705999999999998"/>
  </r>
  <r>
    <x v="12"/>
    <x v="1"/>
    <x v="0"/>
    <x v="0"/>
    <x v="0"/>
    <x v="4"/>
    <x v="1"/>
    <x v="1"/>
    <x v="6"/>
    <x v="5"/>
    <x v="24"/>
    <x v="24"/>
    <x v="5"/>
    <x v="11"/>
    <x v="11"/>
    <x v="21"/>
    <x v="21"/>
    <n v="1.29485714285132"/>
    <x v="0"/>
    <x v="0"/>
    <x v="1"/>
    <x v="4"/>
    <x v="5"/>
    <x v="10"/>
    <n v="1.5408799999930707"/>
  </r>
  <r>
    <x v="12"/>
    <x v="1"/>
    <x v="0"/>
    <x v="0"/>
    <x v="0"/>
    <x v="4"/>
    <x v="1"/>
    <x v="1"/>
    <x v="6"/>
    <x v="5"/>
    <x v="24"/>
    <x v="24"/>
    <x v="5"/>
    <x v="11"/>
    <x v="11"/>
    <x v="27"/>
    <x v="27"/>
    <n v="48.876501145215599"/>
    <x v="0"/>
    <x v="0"/>
    <x v="1"/>
    <x v="3"/>
    <x v="3"/>
    <x v="19"/>
    <n v="58.163036362806558"/>
  </r>
  <r>
    <x v="12"/>
    <x v="1"/>
    <x v="0"/>
    <x v="0"/>
    <x v="0"/>
    <x v="4"/>
    <x v="1"/>
    <x v="1"/>
    <x v="6"/>
    <x v="5"/>
    <x v="24"/>
    <x v="24"/>
    <x v="5"/>
    <x v="11"/>
    <x v="11"/>
    <x v="2"/>
    <x v="2"/>
    <n v="3.26221848738028"/>
    <x v="0"/>
    <x v="1"/>
    <x v="2"/>
    <x v="2"/>
    <x v="13"/>
    <x v="2"/>
    <n v="3.882039999982533"/>
  </r>
  <r>
    <x v="12"/>
    <x v="1"/>
    <x v="0"/>
    <x v="0"/>
    <x v="0"/>
    <x v="4"/>
    <x v="1"/>
    <x v="1"/>
    <x v="6"/>
    <x v="5"/>
    <x v="24"/>
    <x v="24"/>
    <x v="3"/>
    <x v="3"/>
    <x v="3"/>
    <x v="7"/>
    <x v="7"/>
    <n v="0.82534939759827997"/>
    <x v="0"/>
    <x v="0"/>
    <x v="1"/>
    <x v="4"/>
    <x v="5"/>
    <x v="7"/>
    <n v="0.98216578314195313"/>
  </r>
  <r>
    <x v="12"/>
    <x v="1"/>
    <x v="0"/>
    <x v="0"/>
    <x v="0"/>
    <x v="4"/>
    <x v="1"/>
    <x v="1"/>
    <x v="6"/>
    <x v="5"/>
    <x v="24"/>
    <x v="24"/>
    <x v="3"/>
    <x v="3"/>
    <x v="3"/>
    <x v="8"/>
    <x v="8"/>
    <n v="1.45260248446653"/>
    <x v="0"/>
    <x v="1"/>
    <x v="2"/>
    <x v="2"/>
    <x v="6"/>
    <x v="8"/>
    <n v="1.7285969565151706"/>
  </r>
  <r>
    <x v="12"/>
    <x v="1"/>
    <x v="0"/>
    <x v="0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40580189999999994"/>
  </r>
  <r>
    <x v="12"/>
    <x v="1"/>
    <x v="0"/>
    <x v="0"/>
    <x v="0"/>
    <x v="4"/>
    <x v="1"/>
    <x v="1"/>
    <x v="6"/>
    <x v="5"/>
    <x v="24"/>
    <x v="24"/>
    <x v="3"/>
    <x v="3"/>
    <x v="3"/>
    <x v="40"/>
    <x v="40"/>
    <n v="6.5036990756208199"/>
    <x v="1"/>
    <x v="2"/>
    <x v="5"/>
    <x v="7"/>
    <x v="11"/>
    <x v="22"/>
    <n v="7.739401899988775"/>
  </r>
  <r>
    <x v="12"/>
    <x v="1"/>
    <x v="0"/>
    <x v="0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5610036000000003"/>
  </r>
  <r>
    <x v="12"/>
    <x v="1"/>
    <x v="0"/>
    <x v="0"/>
    <x v="0"/>
    <x v="4"/>
    <x v="1"/>
    <x v="1"/>
    <x v="6"/>
    <x v="5"/>
    <x v="24"/>
    <x v="24"/>
    <x v="3"/>
    <x v="3"/>
    <x v="3"/>
    <x v="21"/>
    <x v="21"/>
    <n v="8.67841176466683"/>
    <x v="0"/>
    <x v="0"/>
    <x v="1"/>
    <x v="4"/>
    <x v="5"/>
    <x v="10"/>
    <n v="10.327309999953528"/>
  </r>
  <r>
    <x v="12"/>
    <x v="1"/>
    <x v="0"/>
    <x v="0"/>
    <x v="0"/>
    <x v="4"/>
    <x v="1"/>
    <x v="1"/>
    <x v="6"/>
    <x v="5"/>
    <x v="24"/>
    <x v="24"/>
    <x v="3"/>
    <x v="3"/>
    <x v="3"/>
    <x v="27"/>
    <x v="27"/>
    <n v="51.350382152133797"/>
    <x v="0"/>
    <x v="0"/>
    <x v="1"/>
    <x v="3"/>
    <x v="3"/>
    <x v="19"/>
    <n v="61.106954761039212"/>
  </r>
  <r>
    <x v="12"/>
    <x v="1"/>
    <x v="0"/>
    <x v="0"/>
    <x v="0"/>
    <x v="4"/>
    <x v="1"/>
    <x v="1"/>
    <x v="6"/>
    <x v="5"/>
    <x v="24"/>
    <x v="24"/>
    <x v="3"/>
    <x v="3"/>
    <x v="3"/>
    <x v="26"/>
    <x v="26"/>
    <n v="3.5045378151102802"/>
    <x v="0"/>
    <x v="0"/>
    <x v="1"/>
    <x v="3"/>
    <x v="3"/>
    <x v="15"/>
    <n v="4.1703999999812336"/>
  </r>
  <r>
    <x v="12"/>
    <x v="1"/>
    <x v="0"/>
    <x v="0"/>
    <x v="0"/>
    <x v="4"/>
    <x v="1"/>
    <x v="1"/>
    <x v="6"/>
    <x v="5"/>
    <x v="24"/>
    <x v="24"/>
    <x v="3"/>
    <x v="3"/>
    <x v="3"/>
    <x v="2"/>
    <x v="2"/>
    <n v="25.529058823414498"/>
    <x v="0"/>
    <x v="1"/>
    <x v="2"/>
    <x v="2"/>
    <x v="13"/>
    <x v="2"/>
    <n v="30.379579999863253"/>
  </r>
  <r>
    <x v="12"/>
    <x v="1"/>
    <x v="0"/>
    <x v="0"/>
    <x v="0"/>
    <x v="4"/>
    <x v="1"/>
    <x v="1"/>
    <x v="6"/>
    <x v="5"/>
    <x v="24"/>
    <x v="24"/>
    <x v="0"/>
    <x v="4"/>
    <x v="4"/>
    <x v="39"/>
    <x v="39"/>
    <n v="1.54618959983E-2"/>
    <x v="0"/>
    <x v="0"/>
    <x v="1"/>
    <x v="4"/>
    <x v="5"/>
    <x v="9"/>
    <n v="1.8399656237977E-2"/>
  </r>
  <r>
    <x v="12"/>
    <x v="1"/>
    <x v="0"/>
    <x v="0"/>
    <x v="0"/>
    <x v="4"/>
    <x v="1"/>
    <x v="1"/>
    <x v="6"/>
    <x v="5"/>
    <x v="24"/>
    <x v="24"/>
    <x v="0"/>
    <x v="4"/>
    <x v="4"/>
    <x v="7"/>
    <x v="7"/>
    <n v="2.05882078315229"/>
    <x v="0"/>
    <x v="0"/>
    <x v="1"/>
    <x v="4"/>
    <x v="5"/>
    <x v="7"/>
    <n v="2.449996731951225"/>
  </r>
  <r>
    <x v="12"/>
    <x v="1"/>
    <x v="0"/>
    <x v="0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1806584999999998"/>
  </r>
  <r>
    <x v="12"/>
    <x v="1"/>
    <x v="0"/>
    <x v="0"/>
    <x v="0"/>
    <x v="4"/>
    <x v="1"/>
    <x v="1"/>
    <x v="6"/>
    <x v="5"/>
    <x v="24"/>
    <x v="24"/>
    <x v="0"/>
    <x v="4"/>
    <x v="4"/>
    <x v="21"/>
    <x v="21"/>
    <n v="3.2938655462036701"/>
    <x v="0"/>
    <x v="0"/>
    <x v="1"/>
    <x v="4"/>
    <x v="5"/>
    <x v="10"/>
    <n v="3.9196999999823672"/>
  </r>
  <r>
    <x v="12"/>
    <x v="1"/>
    <x v="0"/>
    <x v="0"/>
    <x v="0"/>
    <x v="4"/>
    <x v="1"/>
    <x v="1"/>
    <x v="6"/>
    <x v="5"/>
    <x v="24"/>
    <x v="24"/>
    <x v="0"/>
    <x v="4"/>
    <x v="4"/>
    <x v="27"/>
    <x v="27"/>
    <n v="40.783048055796698"/>
    <x v="0"/>
    <x v="0"/>
    <x v="1"/>
    <x v="3"/>
    <x v="3"/>
    <x v="19"/>
    <n v="48.531827186398068"/>
  </r>
  <r>
    <x v="12"/>
    <x v="1"/>
    <x v="0"/>
    <x v="0"/>
    <x v="0"/>
    <x v="4"/>
    <x v="1"/>
    <x v="1"/>
    <x v="6"/>
    <x v="5"/>
    <x v="24"/>
    <x v="24"/>
    <x v="0"/>
    <x v="4"/>
    <x v="4"/>
    <x v="26"/>
    <x v="26"/>
    <n v="6.8431260503893698"/>
    <x v="0"/>
    <x v="0"/>
    <x v="1"/>
    <x v="3"/>
    <x v="3"/>
    <x v="15"/>
    <n v="8.1433199999633494"/>
  </r>
  <r>
    <x v="12"/>
    <x v="1"/>
    <x v="0"/>
    <x v="0"/>
    <x v="0"/>
    <x v="4"/>
    <x v="1"/>
    <x v="1"/>
    <x v="6"/>
    <x v="5"/>
    <x v="24"/>
    <x v="24"/>
    <x v="0"/>
    <x v="4"/>
    <x v="4"/>
    <x v="2"/>
    <x v="2"/>
    <n v="104.325756302052"/>
    <x v="0"/>
    <x v="1"/>
    <x v="2"/>
    <x v="2"/>
    <x v="13"/>
    <x v="2"/>
    <n v="124.14764999944187"/>
  </r>
  <r>
    <x v="12"/>
    <x v="1"/>
    <x v="0"/>
    <x v="0"/>
    <x v="0"/>
    <x v="4"/>
    <x v="1"/>
    <x v="1"/>
    <x v="6"/>
    <x v="5"/>
    <x v="24"/>
    <x v="24"/>
    <x v="2"/>
    <x v="2"/>
    <x v="2"/>
    <x v="8"/>
    <x v="8"/>
    <n v="2.4844720496799999"/>
    <x v="0"/>
    <x v="1"/>
    <x v="2"/>
    <x v="2"/>
    <x v="6"/>
    <x v="8"/>
    <n v="2.9565217391191996"/>
  </r>
  <r>
    <x v="12"/>
    <x v="1"/>
    <x v="0"/>
    <x v="0"/>
    <x v="0"/>
    <x v="4"/>
    <x v="1"/>
    <x v="1"/>
    <x v="6"/>
    <x v="5"/>
    <x v="24"/>
    <x v="24"/>
    <x v="2"/>
    <x v="2"/>
    <x v="2"/>
    <x v="12"/>
    <x v="12"/>
    <n v="1.7045454545400001"/>
    <x v="0"/>
    <x v="0"/>
    <x v="0"/>
    <x v="0"/>
    <x v="8"/>
    <x v="12"/>
    <n v="2.0284090909026"/>
  </r>
  <r>
    <x v="12"/>
    <x v="1"/>
    <x v="0"/>
    <x v="0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1553948000000001"/>
  </r>
  <r>
    <x v="12"/>
    <x v="1"/>
    <x v="0"/>
    <x v="0"/>
    <x v="0"/>
    <x v="4"/>
    <x v="1"/>
    <x v="1"/>
    <x v="6"/>
    <x v="5"/>
    <x v="24"/>
    <x v="24"/>
    <x v="2"/>
    <x v="2"/>
    <x v="2"/>
    <x v="27"/>
    <x v="27"/>
    <n v="3.3947368421782498"/>
    <x v="0"/>
    <x v="0"/>
    <x v="1"/>
    <x v="3"/>
    <x v="3"/>
    <x v="19"/>
    <n v="4.0397368421921174"/>
  </r>
  <r>
    <x v="12"/>
    <x v="1"/>
    <x v="0"/>
    <x v="0"/>
    <x v="0"/>
    <x v="4"/>
    <x v="1"/>
    <x v="1"/>
    <x v="6"/>
    <x v="5"/>
    <x v="24"/>
    <x v="24"/>
    <x v="2"/>
    <x v="2"/>
    <x v="2"/>
    <x v="26"/>
    <x v="26"/>
    <n v="0.55207563024962003"/>
    <x v="0"/>
    <x v="0"/>
    <x v="1"/>
    <x v="3"/>
    <x v="3"/>
    <x v="15"/>
    <n v="0.65696999999704786"/>
  </r>
  <r>
    <x v="12"/>
    <x v="1"/>
    <x v="0"/>
    <x v="0"/>
    <x v="0"/>
    <x v="4"/>
    <x v="1"/>
    <x v="1"/>
    <x v="6"/>
    <x v="5"/>
    <x v="24"/>
    <x v="24"/>
    <x v="2"/>
    <x v="2"/>
    <x v="2"/>
    <x v="2"/>
    <x v="2"/>
    <n v="234.251605040963"/>
    <x v="0"/>
    <x v="1"/>
    <x v="2"/>
    <x v="2"/>
    <x v="13"/>
    <x v="2"/>
    <n v="278.75940999874598"/>
  </r>
  <r>
    <x v="12"/>
    <x v="1"/>
    <x v="0"/>
    <x v="0"/>
    <x v="0"/>
    <x v="4"/>
    <x v="1"/>
    <x v="1"/>
    <x v="1"/>
    <x v="5"/>
    <x v="21"/>
    <x v="21"/>
    <x v="3"/>
    <x v="3"/>
    <x v="3"/>
    <x v="5"/>
    <x v="5"/>
    <n v="2.91162983427889"/>
    <x v="0"/>
    <x v="0"/>
    <x v="1"/>
    <x v="1"/>
    <x v="1"/>
    <x v="5"/>
    <n v="3.4648395027918788"/>
  </r>
  <r>
    <x v="12"/>
    <x v="1"/>
    <x v="0"/>
    <x v="0"/>
    <x v="0"/>
    <x v="4"/>
    <x v="1"/>
    <x v="1"/>
    <x v="1"/>
    <x v="5"/>
    <x v="21"/>
    <x v="21"/>
    <x v="3"/>
    <x v="3"/>
    <x v="3"/>
    <x v="7"/>
    <x v="7"/>
    <n v="11.841025602523301"/>
    <x v="0"/>
    <x v="0"/>
    <x v="1"/>
    <x v="4"/>
    <x v="5"/>
    <x v="7"/>
    <n v="14.090820467002727"/>
  </r>
  <r>
    <x v="12"/>
    <x v="1"/>
    <x v="0"/>
    <x v="0"/>
    <x v="0"/>
    <x v="4"/>
    <x v="1"/>
    <x v="1"/>
    <x v="1"/>
    <x v="5"/>
    <x v="21"/>
    <x v="21"/>
    <x v="3"/>
    <x v="3"/>
    <x v="3"/>
    <x v="8"/>
    <x v="8"/>
    <n v="10.2462049689052"/>
    <x v="0"/>
    <x v="1"/>
    <x v="2"/>
    <x v="2"/>
    <x v="6"/>
    <x v="8"/>
    <n v="12.192983912997187"/>
  </r>
  <r>
    <x v="12"/>
    <x v="1"/>
    <x v="0"/>
    <x v="0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794935699999999"/>
  </r>
  <r>
    <x v="12"/>
    <x v="1"/>
    <x v="0"/>
    <x v="0"/>
    <x v="0"/>
    <x v="4"/>
    <x v="1"/>
    <x v="1"/>
    <x v="1"/>
    <x v="5"/>
    <x v="21"/>
    <x v="21"/>
    <x v="3"/>
    <x v="3"/>
    <x v="3"/>
    <x v="2"/>
    <x v="2"/>
    <n v="50.271999999773797"/>
    <x v="0"/>
    <x v="1"/>
    <x v="2"/>
    <x v="2"/>
    <x v="13"/>
    <x v="2"/>
    <n v="59.823679999730814"/>
  </r>
  <r>
    <x v="12"/>
    <x v="1"/>
    <x v="0"/>
    <x v="0"/>
    <x v="0"/>
    <x v="4"/>
    <x v="1"/>
    <x v="1"/>
    <x v="1"/>
    <x v="5"/>
    <x v="1"/>
    <x v="1"/>
    <x v="3"/>
    <x v="3"/>
    <x v="3"/>
    <x v="39"/>
    <x v="39"/>
    <n v="3.5936611727564798"/>
    <x v="0"/>
    <x v="0"/>
    <x v="1"/>
    <x v="4"/>
    <x v="5"/>
    <x v="9"/>
    <n v="4.2764567955802111"/>
  </r>
  <r>
    <x v="12"/>
    <x v="1"/>
    <x v="0"/>
    <x v="0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52.7985507"/>
  </r>
  <r>
    <x v="12"/>
    <x v="1"/>
    <x v="0"/>
    <x v="0"/>
    <x v="0"/>
    <x v="4"/>
    <x v="1"/>
    <x v="1"/>
    <x v="1"/>
    <x v="5"/>
    <x v="1"/>
    <x v="1"/>
    <x v="3"/>
    <x v="3"/>
    <x v="3"/>
    <x v="5"/>
    <x v="5"/>
    <n v="285.55646409082499"/>
    <x v="0"/>
    <x v="0"/>
    <x v="1"/>
    <x v="1"/>
    <x v="1"/>
    <x v="5"/>
    <n v="339.81219226808173"/>
  </r>
  <r>
    <x v="12"/>
    <x v="1"/>
    <x v="0"/>
    <x v="0"/>
    <x v="0"/>
    <x v="4"/>
    <x v="1"/>
    <x v="1"/>
    <x v="1"/>
    <x v="5"/>
    <x v="1"/>
    <x v="1"/>
    <x v="3"/>
    <x v="3"/>
    <x v="3"/>
    <x v="6"/>
    <x v="6"/>
    <n v="142.22595798255301"/>
    <x v="0"/>
    <x v="0"/>
    <x v="0"/>
    <x v="0"/>
    <x v="4"/>
    <x v="6"/>
    <n v="169.24888999923809"/>
  </r>
  <r>
    <x v="12"/>
    <x v="1"/>
    <x v="0"/>
    <x v="0"/>
    <x v="0"/>
    <x v="4"/>
    <x v="1"/>
    <x v="1"/>
    <x v="1"/>
    <x v="5"/>
    <x v="1"/>
    <x v="1"/>
    <x v="3"/>
    <x v="3"/>
    <x v="3"/>
    <x v="7"/>
    <x v="7"/>
    <n v="46.333150602854403"/>
    <x v="0"/>
    <x v="0"/>
    <x v="1"/>
    <x v="4"/>
    <x v="5"/>
    <x v="7"/>
    <n v="55.136449217396738"/>
  </r>
  <r>
    <x v="12"/>
    <x v="1"/>
    <x v="0"/>
    <x v="0"/>
    <x v="0"/>
    <x v="4"/>
    <x v="1"/>
    <x v="1"/>
    <x v="1"/>
    <x v="5"/>
    <x v="1"/>
    <x v="1"/>
    <x v="3"/>
    <x v="3"/>
    <x v="3"/>
    <x v="8"/>
    <x v="8"/>
    <n v="974.56137266710402"/>
    <x v="0"/>
    <x v="1"/>
    <x v="2"/>
    <x v="2"/>
    <x v="6"/>
    <x v="8"/>
    <n v="1159.7280334738537"/>
  </r>
  <r>
    <x v="12"/>
    <x v="1"/>
    <x v="0"/>
    <x v="0"/>
    <x v="0"/>
    <x v="4"/>
    <x v="1"/>
    <x v="1"/>
    <x v="1"/>
    <x v="5"/>
    <x v="1"/>
    <x v="1"/>
    <x v="3"/>
    <x v="3"/>
    <x v="3"/>
    <x v="41"/>
    <x v="41"/>
    <n v="147.15001098886401"/>
    <x v="1"/>
    <x v="2"/>
    <x v="5"/>
    <x v="7"/>
    <x v="11"/>
    <x v="22"/>
    <n v="175.10851307674815"/>
  </r>
  <r>
    <x v="12"/>
    <x v="1"/>
    <x v="0"/>
    <x v="0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7.945467299999997"/>
  </r>
  <r>
    <x v="12"/>
    <x v="1"/>
    <x v="0"/>
    <x v="0"/>
    <x v="0"/>
    <x v="4"/>
    <x v="1"/>
    <x v="1"/>
    <x v="1"/>
    <x v="5"/>
    <x v="1"/>
    <x v="1"/>
    <x v="3"/>
    <x v="3"/>
    <x v="3"/>
    <x v="40"/>
    <x v="40"/>
    <n v="1774.72292613339"/>
    <x v="1"/>
    <x v="2"/>
    <x v="5"/>
    <x v="7"/>
    <x v="11"/>
    <x v="22"/>
    <n v="2111.9202820987339"/>
  </r>
  <r>
    <x v="12"/>
    <x v="1"/>
    <x v="0"/>
    <x v="0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55.80744970000001"/>
  </r>
  <r>
    <x v="12"/>
    <x v="1"/>
    <x v="0"/>
    <x v="0"/>
    <x v="0"/>
    <x v="4"/>
    <x v="1"/>
    <x v="1"/>
    <x v="1"/>
    <x v="5"/>
    <x v="1"/>
    <x v="1"/>
    <x v="3"/>
    <x v="3"/>
    <x v="3"/>
    <x v="12"/>
    <x v="12"/>
    <n v="291.89612499906599"/>
    <x v="0"/>
    <x v="0"/>
    <x v="0"/>
    <x v="0"/>
    <x v="8"/>
    <x v="12"/>
    <n v="347.35638874888849"/>
  </r>
  <r>
    <x v="12"/>
    <x v="1"/>
    <x v="0"/>
    <x v="0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59.2045382"/>
  </r>
  <r>
    <x v="12"/>
    <x v="1"/>
    <x v="0"/>
    <x v="0"/>
    <x v="0"/>
    <x v="4"/>
    <x v="1"/>
    <x v="1"/>
    <x v="1"/>
    <x v="5"/>
    <x v="1"/>
    <x v="1"/>
    <x v="3"/>
    <x v="3"/>
    <x v="3"/>
    <x v="49"/>
    <x v="49"/>
    <n v="1112.97044231268"/>
    <x v="0"/>
    <x v="0"/>
    <x v="1"/>
    <x v="1"/>
    <x v="1"/>
    <x v="23"/>
    <n v="1324.4348263520892"/>
  </r>
  <r>
    <x v="12"/>
    <x v="1"/>
    <x v="0"/>
    <x v="0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85.679952400000005"/>
  </r>
  <r>
    <x v="12"/>
    <x v="1"/>
    <x v="0"/>
    <x v="0"/>
    <x v="0"/>
    <x v="4"/>
    <x v="1"/>
    <x v="1"/>
    <x v="1"/>
    <x v="5"/>
    <x v="1"/>
    <x v="1"/>
    <x v="3"/>
    <x v="3"/>
    <x v="3"/>
    <x v="21"/>
    <x v="21"/>
    <n v="185.42833613361901"/>
    <x v="0"/>
    <x v="0"/>
    <x v="1"/>
    <x v="4"/>
    <x v="5"/>
    <x v="10"/>
    <n v="220.65971999900663"/>
  </r>
  <r>
    <x v="12"/>
    <x v="1"/>
    <x v="0"/>
    <x v="0"/>
    <x v="0"/>
    <x v="4"/>
    <x v="1"/>
    <x v="1"/>
    <x v="1"/>
    <x v="5"/>
    <x v="1"/>
    <x v="1"/>
    <x v="3"/>
    <x v="3"/>
    <x v="3"/>
    <x v="27"/>
    <x v="27"/>
    <n v="2273.6772586301199"/>
    <x v="0"/>
    <x v="0"/>
    <x v="1"/>
    <x v="3"/>
    <x v="3"/>
    <x v="19"/>
    <n v="2705.6759377698427"/>
  </r>
  <r>
    <x v="12"/>
    <x v="1"/>
    <x v="0"/>
    <x v="0"/>
    <x v="0"/>
    <x v="4"/>
    <x v="1"/>
    <x v="1"/>
    <x v="1"/>
    <x v="5"/>
    <x v="1"/>
    <x v="1"/>
    <x v="3"/>
    <x v="3"/>
    <x v="3"/>
    <x v="50"/>
    <x v="50"/>
    <n v="144.44835294052601"/>
    <x v="0"/>
    <x v="0"/>
    <x v="1"/>
    <x v="1"/>
    <x v="1"/>
    <x v="23"/>
    <n v="171.89353999922594"/>
  </r>
  <r>
    <x v="12"/>
    <x v="1"/>
    <x v="0"/>
    <x v="0"/>
    <x v="0"/>
    <x v="4"/>
    <x v="1"/>
    <x v="1"/>
    <x v="1"/>
    <x v="5"/>
    <x v="1"/>
    <x v="1"/>
    <x v="3"/>
    <x v="3"/>
    <x v="3"/>
    <x v="2"/>
    <x v="2"/>
    <n v="10658.047537767199"/>
    <x v="0"/>
    <x v="1"/>
    <x v="2"/>
    <x v="2"/>
    <x v="13"/>
    <x v="2"/>
    <n v="12683.076569942967"/>
  </r>
  <r>
    <x v="12"/>
    <x v="1"/>
    <x v="0"/>
    <x v="0"/>
    <x v="0"/>
    <x v="4"/>
    <x v="1"/>
    <x v="1"/>
    <x v="1"/>
    <x v="5"/>
    <x v="1"/>
    <x v="1"/>
    <x v="0"/>
    <x v="4"/>
    <x v="4"/>
    <x v="39"/>
    <x v="39"/>
    <n v="0.12578922004282"/>
    <x v="0"/>
    <x v="0"/>
    <x v="1"/>
    <x v="4"/>
    <x v="5"/>
    <x v="9"/>
    <n v="0.14968917185095579"/>
  </r>
  <r>
    <x v="12"/>
    <x v="1"/>
    <x v="0"/>
    <x v="0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7411292999999999"/>
  </r>
  <r>
    <x v="12"/>
    <x v="1"/>
    <x v="0"/>
    <x v="0"/>
    <x v="0"/>
    <x v="4"/>
    <x v="1"/>
    <x v="1"/>
    <x v="1"/>
    <x v="5"/>
    <x v="1"/>
    <x v="1"/>
    <x v="0"/>
    <x v="4"/>
    <x v="4"/>
    <x v="5"/>
    <x v="5"/>
    <n v="16.038071823340701"/>
    <x v="0"/>
    <x v="0"/>
    <x v="1"/>
    <x v="1"/>
    <x v="1"/>
    <x v="5"/>
    <n v="19.085305469775435"/>
  </r>
  <r>
    <x v="12"/>
    <x v="1"/>
    <x v="0"/>
    <x v="0"/>
    <x v="0"/>
    <x v="4"/>
    <x v="1"/>
    <x v="1"/>
    <x v="1"/>
    <x v="5"/>
    <x v="1"/>
    <x v="1"/>
    <x v="0"/>
    <x v="4"/>
    <x v="4"/>
    <x v="6"/>
    <x v="6"/>
    <n v="5.0554621848511996"/>
    <x v="0"/>
    <x v="0"/>
    <x v="0"/>
    <x v="0"/>
    <x v="4"/>
    <x v="6"/>
    <n v="6.0159999999729274"/>
  </r>
  <r>
    <x v="12"/>
    <x v="1"/>
    <x v="0"/>
    <x v="0"/>
    <x v="0"/>
    <x v="4"/>
    <x v="1"/>
    <x v="1"/>
    <x v="1"/>
    <x v="5"/>
    <x v="1"/>
    <x v="1"/>
    <x v="0"/>
    <x v="4"/>
    <x v="4"/>
    <x v="7"/>
    <x v="7"/>
    <n v="5.3756701807744998"/>
    <x v="0"/>
    <x v="0"/>
    <x v="1"/>
    <x v="4"/>
    <x v="5"/>
    <x v="7"/>
    <n v="6.3970475151216544"/>
  </r>
  <r>
    <x v="12"/>
    <x v="1"/>
    <x v="0"/>
    <x v="0"/>
    <x v="0"/>
    <x v="4"/>
    <x v="1"/>
    <x v="1"/>
    <x v="1"/>
    <x v="5"/>
    <x v="1"/>
    <x v="1"/>
    <x v="0"/>
    <x v="4"/>
    <x v="4"/>
    <x v="8"/>
    <x v="8"/>
    <n v="57.161670807236199"/>
    <x v="0"/>
    <x v="1"/>
    <x v="2"/>
    <x v="2"/>
    <x v="6"/>
    <x v="8"/>
    <n v="68.022388260611081"/>
  </r>
  <r>
    <x v="12"/>
    <x v="1"/>
    <x v="0"/>
    <x v="0"/>
    <x v="0"/>
    <x v="4"/>
    <x v="1"/>
    <x v="1"/>
    <x v="1"/>
    <x v="5"/>
    <x v="1"/>
    <x v="1"/>
    <x v="0"/>
    <x v="4"/>
    <x v="4"/>
    <x v="41"/>
    <x v="41"/>
    <n v="25.0825164834914"/>
    <x v="1"/>
    <x v="2"/>
    <x v="5"/>
    <x v="7"/>
    <x v="11"/>
    <x v="22"/>
    <n v="29.848194615354764"/>
  </r>
  <r>
    <x v="12"/>
    <x v="1"/>
    <x v="0"/>
    <x v="0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5.2601807999999997"/>
  </r>
  <r>
    <x v="12"/>
    <x v="1"/>
    <x v="0"/>
    <x v="0"/>
    <x v="0"/>
    <x v="4"/>
    <x v="1"/>
    <x v="1"/>
    <x v="1"/>
    <x v="5"/>
    <x v="1"/>
    <x v="1"/>
    <x v="0"/>
    <x v="4"/>
    <x v="4"/>
    <x v="40"/>
    <x v="40"/>
    <n v="123.66069865538201"/>
    <x v="1"/>
    <x v="2"/>
    <x v="5"/>
    <x v="7"/>
    <x v="11"/>
    <x v="22"/>
    <n v="147.15623139990458"/>
  </r>
  <r>
    <x v="12"/>
    <x v="1"/>
    <x v="0"/>
    <x v="0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9.291790499999998"/>
  </r>
  <r>
    <x v="12"/>
    <x v="1"/>
    <x v="0"/>
    <x v="0"/>
    <x v="0"/>
    <x v="4"/>
    <x v="1"/>
    <x v="1"/>
    <x v="1"/>
    <x v="5"/>
    <x v="1"/>
    <x v="1"/>
    <x v="0"/>
    <x v="4"/>
    <x v="4"/>
    <x v="12"/>
    <x v="12"/>
    <n v="11.9851022726889"/>
    <x v="0"/>
    <x v="0"/>
    <x v="0"/>
    <x v="0"/>
    <x v="8"/>
    <x v="12"/>
    <n v="14.26227170449979"/>
  </r>
  <r>
    <x v="12"/>
    <x v="1"/>
    <x v="0"/>
    <x v="0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7.694093299999999"/>
  </r>
  <r>
    <x v="12"/>
    <x v="1"/>
    <x v="0"/>
    <x v="0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1.071"/>
  </r>
  <r>
    <x v="12"/>
    <x v="1"/>
    <x v="0"/>
    <x v="0"/>
    <x v="0"/>
    <x v="4"/>
    <x v="1"/>
    <x v="1"/>
    <x v="1"/>
    <x v="5"/>
    <x v="1"/>
    <x v="1"/>
    <x v="0"/>
    <x v="4"/>
    <x v="4"/>
    <x v="21"/>
    <x v="21"/>
    <n v="12.6947310923799"/>
    <x v="0"/>
    <x v="0"/>
    <x v="1"/>
    <x v="4"/>
    <x v="5"/>
    <x v="10"/>
    <n v="15.10672999993208"/>
  </r>
  <r>
    <x v="12"/>
    <x v="1"/>
    <x v="0"/>
    <x v="0"/>
    <x v="0"/>
    <x v="4"/>
    <x v="1"/>
    <x v="1"/>
    <x v="1"/>
    <x v="5"/>
    <x v="1"/>
    <x v="1"/>
    <x v="0"/>
    <x v="4"/>
    <x v="4"/>
    <x v="27"/>
    <x v="27"/>
    <n v="188.97932265852501"/>
    <x v="0"/>
    <x v="0"/>
    <x v="1"/>
    <x v="3"/>
    <x v="3"/>
    <x v="19"/>
    <n v="224.88539396364476"/>
  </r>
  <r>
    <x v="12"/>
    <x v="1"/>
    <x v="0"/>
    <x v="0"/>
    <x v="0"/>
    <x v="4"/>
    <x v="1"/>
    <x v="1"/>
    <x v="1"/>
    <x v="5"/>
    <x v="1"/>
    <x v="1"/>
    <x v="0"/>
    <x v="4"/>
    <x v="4"/>
    <x v="50"/>
    <x v="50"/>
    <n v="5.5909495798067699"/>
    <x v="0"/>
    <x v="0"/>
    <x v="1"/>
    <x v="1"/>
    <x v="1"/>
    <x v="23"/>
    <n v="6.6532299999700557"/>
  </r>
  <r>
    <x v="12"/>
    <x v="1"/>
    <x v="0"/>
    <x v="0"/>
    <x v="0"/>
    <x v="4"/>
    <x v="1"/>
    <x v="1"/>
    <x v="1"/>
    <x v="5"/>
    <x v="1"/>
    <x v="1"/>
    <x v="0"/>
    <x v="4"/>
    <x v="4"/>
    <x v="2"/>
    <x v="2"/>
    <n v="602.96017646787504"/>
    <x v="0"/>
    <x v="1"/>
    <x v="2"/>
    <x v="2"/>
    <x v="13"/>
    <x v="2"/>
    <n v="717.52260999677128"/>
  </r>
  <r>
    <x v="12"/>
    <x v="1"/>
    <x v="0"/>
    <x v="0"/>
    <x v="0"/>
    <x v="4"/>
    <x v="1"/>
    <x v="1"/>
    <x v="1"/>
    <x v="5"/>
    <x v="1"/>
    <x v="1"/>
    <x v="2"/>
    <x v="2"/>
    <x v="2"/>
    <x v="39"/>
    <x v="39"/>
    <n v="0.83116834423353003"/>
    <x v="0"/>
    <x v="0"/>
    <x v="1"/>
    <x v="4"/>
    <x v="5"/>
    <x v="9"/>
    <n v="0.98909032963790067"/>
  </r>
  <r>
    <x v="12"/>
    <x v="1"/>
    <x v="0"/>
    <x v="0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74.7371646"/>
  </r>
  <r>
    <x v="12"/>
    <x v="1"/>
    <x v="0"/>
    <x v="0"/>
    <x v="0"/>
    <x v="4"/>
    <x v="1"/>
    <x v="1"/>
    <x v="1"/>
    <x v="5"/>
    <x v="1"/>
    <x v="1"/>
    <x v="2"/>
    <x v="2"/>
    <x v="2"/>
    <x v="5"/>
    <x v="5"/>
    <n v="63.092342541972698"/>
    <x v="0"/>
    <x v="0"/>
    <x v="1"/>
    <x v="1"/>
    <x v="1"/>
    <x v="5"/>
    <n v="75.079887624947503"/>
  </r>
  <r>
    <x v="12"/>
    <x v="1"/>
    <x v="0"/>
    <x v="0"/>
    <x v="0"/>
    <x v="4"/>
    <x v="1"/>
    <x v="1"/>
    <x v="1"/>
    <x v="5"/>
    <x v="1"/>
    <x v="1"/>
    <x v="2"/>
    <x v="2"/>
    <x v="2"/>
    <x v="6"/>
    <x v="6"/>
    <n v="22.921411764602698"/>
    <x v="0"/>
    <x v="0"/>
    <x v="0"/>
    <x v="0"/>
    <x v="4"/>
    <x v="6"/>
    <n v="27.276479999877211"/>
  </r>
  <r>
    <x v="12"/>
    <x v="1"/>
    <x v="0"/>
    <x v="0"/>
    <x v="0"/>
    <x v="4"/>
    <x v="1"/>
    <x v="1"/>
    <x v="1"/>
    <x v="5"/>
    <x v="1"/>
    <x v="1"/>
    <x v="2"/>
    <x v="2"/>
    <x v="2"/>
    <x v="7"/>
    <x v="7"/>
    <n v="8.89467018080828"/>
    <x v="0"/>
    <x v="0"/>
    <x v="1"/>
    <x v="4"/>
    <x v="5"/>
    <x v="7"/>
    <n v="10.584657515161853"/>
  </r>
  <r>
    <x v="12"/>
    <x v="1"/>
    <x v="0"/>
    <x v="0"/>
    <x v="0"/>
    <x v="4"/>
    <x v="1"/>
    <x v="1"/>
    <x v="1"/>
    <x v="5"/>
    <x v="1"/>
    <x v="1"/>
    <x v="2"/>
    <x v="2"/>
    <x v="2"/>
    <x v="8"/>
    <x v="8"/>
    <n v="651.34851552547502"/>
    <x v="0"/>
    <x v="1"/>
    <x v="2"/>
    <x v="2"/>
    <x v="6"/>
    <x v="8"/>
    <n v="775.10473347531524"/>
  </r>
  <r>
    <x v="12"/>
    <x v="1"/>
    <x v="0"/>
    <x v="0"/>
    <x v="0"/>
    <x v="4"/>
    <x v="1"/>
    <x v="1"/>
    <x v="1"/>
    <x v="5"/>
    <x v="1"/>
    <x v="1"/>
    <x v="2"/>
    <x v="2"/>
    <x v="2"/>
    <x v="41"/>
    <x v="41"/>
    <n v="44.997802197757203"/>
    <x v="1"/>
    <x v="2"/>
    <x v="5"/>
    <x v="7"/>
    <x v="11"/>
    <x v="22"/>
    <n v="53.547384615331069"/>
  </r>
  <r>
    <x v="12"/>
    <x v="1"/>
    <x v="0"/>
    <x v="0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8385499999999999"/>
  </r>
  <r>
    <x v="12"/>
    <x v="1"/>
    <x v="0"/>
    <x v="0"/>
    <x v="0"/>
    <x v="4"/>
    <x v="1"/>
    <x v="1"/>
    <x v="1"/>
    <x v="5"/>
    <x v="1"/>
    <x v="1"/>
    <x v="2"/>
    <x v="2"/>
    <x v="2"/>
    <x v="40"/>
    <x v="40"/>
    <n v="448.62358823487301"/>
    <x v="1"/>
    <x v="2"/>
    <x v="5"/>
    <x v="7"/>
    <x v="11"/>
    <x v="22"/>
    <n v="533.86206999949889"/>
  </r>
  <r>
    <x v="12"/>
    <x v="1"/>
    <x v="0"/>
    <x v="0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7.912233800000003"/>
  </r>
  <r>
    <x v="12"/>
    <x v="1"/>
    <x v="0"/>
    <x v="0"/>
    <x v="0"/>
    <x v="4"/>
    <x v="1"/>
    <x v="1"/>
    <x v="1"/>
    <x v="5"/>
    <x v="1"/>
    <x v="1"/>
    <x v="2"/>
    <x v="2"/>
    <x v="2"/>
    <x v="12"/>
    <x v="12"/>
    <n v="49.495590908932499"/>
    <x v="0"/>
    <x v="0"/>
    <x v="0"/>
    <x v="0"/>
    <x v="8"/>
    <x v="12"/>
    <n v="58.89975318162967"/>
  </r>
  <r>
    <x v="12"/>
    <x v="1"/>
    <x v="0"/>
    <x v="0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75.262739999999994"/>
  </r>
  <r>
    <x v="12"/>
    <x v="1"/>
    <x v="0"/>
    <x v="0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9.2969226000000003"/>
  </r>
  <r>
    <x v="12"/>
    <x v="1"/>
    <x v="0"/>
    <x v="0"/>
    <x v="0"/>
    <x v="4"/>
    <x v="1"/>
    <x v="1"/>
    <x v="1"/>
    <x v="5"/>
    <x v="1"/>
    <x v="1"/>
    <x v="2"/>
    <x v="2"/>
    <x v="2"/>
    <x v="21"/>
    <x v="21"/>
    <n v="19.892521008313899"/>
    <x v="0"/>
    <x v="0"/>
    <x v="1"/>
    <x v="4"/>
    <x v="5"/>
    <x v="10"/>
    <n v="23.67209999989354"/>
  </r>
  <r>
    <x v="12"/>
    <x v="1"/>
    <x v="0"/>
    <x v="0"/>
    <x v="0"/>
    <x v="4"/>
    <x v="1"/>
    <x v="1"/>
    <x v="1"/>
    <x v="5"/>
    <x v="1"/>
    <x v="1"/>
    <x v="2"/>
    <x v="2"/>
    <x v="2"/>
    <x v="27"/>
    <x v="27"/>
    <n v="136.01561327523601"/>
    <x v="0"/>
    <x v="0"/>
    <x v="1"/>
    <x v="3"/>
    <x v="3"/>
    <x v="19"/>
    <n v="161.85857979753084"/>
  </r>
  <r>
    <x v="12"/>
    <x v="1"/>
    <x v="0"/>
    <x v="0"/>
    <x v="0"/>
    <x v="4"/>
    <x v="1"/>
    <x v="1"/>
    <x v="1"/>
    <x v="5"/>
    <x v="1"/>
    <x v="1"/>
    <x v="2"/>
    <x v="2"/>
    <x v="2"/>
    <x v="50"/>
    <x v="50"/>
    <n v="1.6806722689"/>
    <x v="0"/>
    <x v="0"/>
    <x v="1"/>
    <x v="1"/>
    <x v="1"/>
    <x v="23"/>
    <n v="1.9999999999909999"/>
  </r>
  <r>
    <x v="12"/>
    <x v="1"/>
    <x v="0"/>
    <x v="0"/>
    <x v="0"/>
    <x v="4"/>
    <x v="1"/>
    <x v="1"/>
    <x v="1"/>
    <x v="5"/>
    <x v="1"/>
    <x v="1"/>
    <x v="2"/>
    <x v="2"/>
    <x v="2"/>
    <x v="2"/>
    <x v="2"/>
    <n v="1994.5932857053101"/>
    <x v="0"/>
    <x v="1"/>
    <x v="2"/>
    <x v="2"/>
    <x v="13"/>
    <x v="2"/>
    <n v="2373.5660099893189"/>
  </r>
  <r>
    <x v="12"/>
    <x v="1"/>
    <x v="0"/>
    <x v="0"/>
    <x v="0"/>
    <x v="4"/>
    <x v="0"/>
    <x v="0"/>
    <x v="0"/>
    <x v="0"/>
    <x v="0"/>
    <x v="0"/>
    <x v="0"/>
    <x v="4"/>
    <x v="4"/>
    <x v="7"/>
    <x v="7"/>
    <n v="-3.8765060241300001E-3"/>
    <x v="0"/>
    <x v="0"/>
    <x v="1"/>
    <x v="4"/>
    <x v="5"/>
    <x v="7"/>
    <n v="-4.6130421687146997E-3"/>
  </r>
  <r>
    <x v="12"/>
    <x v="1"/>
    <x v="0"/>
    <x v="0"/>
    <x v="0"/>
    <x v="4"/>
    <x v="0"/>
    <x v="0"/>
    <x v="0"/>
    <x v="0"/>
    <x v="0"/>
    <x v="0"/>
    <x v="0"/>
    <x v="4"/>
    <x v="4"/>
    <x v="10"/>
    <x v="10"/>
    <n v="9.7899244800000006E-5"/>
    <x v="0"/>
    <x v="0"/>
    <x v="1"/>
    <x v="4"/>
    <x v="5"/>
    <x v="10"/>
    <n v="1.1650010131200001E-4"/>
  </r>
  <r>
    <x v="12"/>
    <x v="1"/>
    <x v="0"/>
    <x v="0"/>
    <x v="0"/>
    <x v="4"/>
    <x v="0"/>
    <x v="0"/>
    <x v="0"/>
    <x v="0"/>
    <x v="0"/>
    <x v="0"/>
    <x v="0"/>
    <x v="0"/>
    <x v="0"/>
    <x v="9"/>
    <x v="9"/>
    <n v="8.8620063593159006"/>
    <x v="0"/>
    <x v="0"/>
    <x v="1"/>
    <x v="4"/>
    <x v="5"/>
    <x v="9"/>
    <n v="10.545787567585922"/>
  </r>
  <r>
    <x v="12"/>
    <x v="1"/>
    <x v="0"/>
    <x v="0"/>
    <x v="0"/>
    <x v="4"/>
    <x v="0"/>
    <x v="0"/>
    <x v="0"/>
    <x v="0"/>
    <x v="0"/>
    <x v="0"/>
    <x v="0"/>
    <x v="0"/>
    <x v="0"/>
    <x v="10"/>
    <x v="10"/>
    <n v="43.994414188490602"/>
    <x v="0"/>
    <x v="0"/>
    <x v="1"/>
    <x v="4"/>
    <x v="5"/>
    <x v="10"/>
    <n v="52.353352884303817"/>
  </r>
  <r>
    <x v="12"/>
    <x v="1"/>
    <x v="0"/>
    <x v="0"/>
    <x v="0"/>
    <x v="4"/>
    <x v="0"/>
    <x v="0"/>
    <x v="0"/>
    <x v="0"/>
    <x v="0"/>
    <x v="0"/>
    <x v="0"/>
    <x v="0"/>
    <x v="0"/>
    <x v="11"/>
    <x v="11"/>
    <n v="13.295400000000001"/>
    <x v="0"/>
    <x v="0"/>
    <x v="3"/>
    <x v="5"/>
    <x v="7"/>
    <x v="11"/>
    <n v="15.821526"/>
  </r>
  <r>
    <x v="12"/>
    <x v="1"/>
    <x v="0"/>
    <x v="0"/>
    <x v="0"/>
    <x v="4"/>
    <x v="0"/>
    <x v="0"/>
    <x v="0"/>
    <x v="0"/>
    <x v="0"/>
    <x v="0"/>
    <x v="0"/>
    <x v="0"/>
    <x v="0"/>
    <x v="33"/>
    <x v="33"/>
    <n v="53.291294117407197"/>
    <x v="0"/>
    <x v="0"/>
    <x v="1"/>
    <x v="3"/>
    <x v="3"/>
    <x v="4"/>
    <n v="63.416639999714562"/>
  </r>
  <r>
    <x v="12"/>
    <x v="1"/>
    <x v="0"/>
    <x v="0"/>
    <x v="0"/>
    <x v="4"/>
    <x v="0"/>
    <x v="0"/>
    <x v="0"/>
    <x v="0"/>
    <x v="0"/>
    <x v="0"/>
    <x v="0"/>
    <x v="0"/>
    <x v="0"/>
    <x v="23"/>
    <x v="23"/>
    <n v="32.432571428425497"/>
    <x v="0"/>
    <x v="0"/>
    <x v="1"/>
    <x v="3"/>
    <x v="3"/>
    <x v="15"/>
    <n v="38.594759999826337"/>
  </r>
  <r>
    <x v="12"/>
    <x v="1"/>
    <x v="0"/>
    <x v="0"/>
    <x v="0"/>
    <x v="4"/>
    <x v="0"/>
    <x v="0"/>
    <x v="0"/>
    <x v="0"/>
    <x v="0"/>
    <x v="0"/>
    <x v="0"/>
    <x v="0"/>
    <x v="0"/>
    <x v="26"/>
    <x v="26"/>
    <n v="16.579462184799301"/>
    <x v="0"/>
    <x v="0"/>
    <x v="1"/>
    <x v="3"/>
    <x v="3"/>
    <x v="15"/>
    <n v="19.729559999911167"/>
  </r>
  <r>
    <x v="12"/>
    <x v="1"/>
    <x v="0"/>
    <x v="0"/>
    <x v="0"/>
    <x v="4"/>
    <x v="0"/>
    <x v="0"/>
    <x v="0"/>
    <x v="0"/>
    <x v="0"/>
    <x v="0"/>
    <x v="0"/>
    <x v="0"/>
    <x v="0"/>
    <x v="85"/>
    <x v="85"/>
    <n v="17.1468907562254"/>
    <x v="0"/>
    <x v="0"/>
    <x v="1"/>
    <x v="3"/>
    <x v="3"/>
    <x v="4"/>
    <n v="20.404799999908224"/>
  </r>
  <r>
    <x v="12"/>
    <x v="1"/>
    <x v="0"/>
    <x v="0"/>
    <x v="0"/>
    <x v="4"/>
    <x v="0"/>
    <x v="0"/>
    <x v="0"/>
    <x v="0"/>
    <x v="0"/>
    <x v="0"/>
    <x v="0"/>
    <x v="0"/>
    <x v="0"/>
    <x v="3"/>
    <x v="3"/>
    <n v="4.9871846078154896"/>
    <x v="0"/>
    <x v="0"/>
    <x v="1"/>
    <x v="3"/>
    <x v="3"/>
    <x v="3"/>
    <n v="5.9347496833004323"/>
  </r>
  <r>
    <x v="12"/>
    <x v="1"/>
    <x v="0"/>
    <x v="0"/>
    <x v="0"/>
    <x v="4"/>
    <x v="0"/>
    <x v="0"/>
    <x v="0"/>
    <x v="0"/>
    <x v="0"/>
    <x v="0"/>
    <x v="1"/>
    <x v="1"/>
    <x v="1"/>
    <x v="11"/>
    <x v="11"/>
    <n v="12.03912"/>
    <x v="0"/>
    <x v="0"/>
    <x v="3"/>
    <x v="5"/>
    <x v="7"/>
    <x v="11"/>
    <n v="14.3265528"/>
  </r>
  <r>
    <x v="12"/>
    <x v="1"/>
    <x v="0"/>
    <x v="0"/>
    <x v="0"/>
    <x v="4"/>
    <x v="0"/>
    <x v="0"/>
    <x v="0"/>
    <x v="0"/>
    <x v="0"/>
    <x v="0"/>
    <x v="1"/>
    <x v="1"/>
    <x v="1"/>
    <x v="33"/>
    <x v="33"/>
    <n v="52.0390588232952"/>
    <x v="0"/>
    <x v="0"/>
    <x v="1"/>
    <x v="3"/>
    <x v="3"/>
    <x v="4"/>
    <n v="61.926479999721288"/>
  </r>
  <r>
    <x v="12"/>
    <x v="1"/>
    <x v="0"/>
    <x v="0"/>
    <x v="0"/>
    <x v="4"/>
    <x v="0"/>
    <x v="0"/>
    <x v="0"/>
    <x v="0"/>
    <x v="0"/>
    <x v="0"/>
    <x v="1"/>
    <x v="1"/>
    <x v="1"/>
    <x v="23"/>
    <x v="23"/>
    <n v="122.134084033064"/>
    <x v="0"/>
    <x v="0"/>
    <x v="1"/>
    <x v="3"/>
    <x v="3"/>
    <x v="15"/>
    <n v="145.33955999934616"/>
  </r>
  <r>
    <x v="12"/>
    <x v="1"/>
    <x v="0"/>
    <x v="0"/>
    <x v="0"/>
    <x v="4"/>
    <x v="0"/>
    <x v="0"/>
    <x v="0"/>
    <x v="0"/>
    <x v="0"/>
    <x v="0"/>
    <x v="1"/>
    <x v="1"/>
    <x v="1"/>
    <x v="26"/>
    <x v="26"/>
    <n v="108.799159663376"/>
    <x v="0"/>
    <x v="0"/>
    <x v="1"/>
    <x v="3"/>
    <x v="3"/>
    <x v="15"/>
    <n v="129.47099999941744"/>
  </r>
  <r>
    <x v="12"/>
    <x v="1"/>
    <x v="0"/>
    <x v="0"/>
    <x v="0"/>
    <x v="4"/>
    <x v="0"/>
    <x v="0"/>
    <x v="0"/>
    <x v="0"/>
    <x v="0"/>
    <x v="0"/>
    <x v="1"/>
    <x v="1"/>
    <x v="1"/>
    <x v="85"/>
    <x v="85"/>
    <n v="71.352605041695696"/>
    <x v="0"/>
    <x v="0"/>
    <x v="1"/>
    <x v="3"/>
    <x v="3"/>
    <x v="4"/>
    <n v="84.909599999617882"/>
  </r>
  <r>
    <x v="12"/>
    <x v="1"/>
    <x v="0"/>
    <x v="0"/>
    <x v="0"/>
    <x v="4"/>
    <x v="0"/>
    <x v="0"/>
    <x v="0"/>
    <x v="0"/>
    <x v="0"/>
    <x v="0"/>
    <x v="1"/>
    <x v="1"/>
    <x v="1"/>
    <x v="3"/>
    <x v="3"/>
    <n v="13.7026807131796"/>
    <x v="0"/>
    <x v="0"/>
    <x v="1"/>
    <x v="3"/>
    <x v="3"/>
    <x v="3"/>
    <n v="16.306190048683725"/>
  </r>
  <r>
    <x v="12"/>
    <x v="1"/>
    <x v="0"/>
    <x v="0"/>
    <x v="0"/>
    <x v="4"/>
    <x v="0"/>
    <x v="0"/>
    <x v="0"/>
    <x v="0"/>
    <x v="0"/>
    <x v="0"/>
    <x v="2"/>
    <x v="2"/>
    <x v="2"/>
    <x v="7"/>
    <x v="7"/>
    <n v="-1.3648425635359999E-2"/>
    <x v="0"/>
    <x v="0"/>
    <x v="1"/>
    <x v="4"/>
    <x v="5"/>
    <x v="7"/>
    <n v="-1.62416265060784E-2"/>
  </r>
  <r>
    <x v="12"/>
    <x v="1"/>
    <x v="0"/>
    <x v="0"/>
    <x v="0"/>
    <x v="4"/>
    <x v="0"/>
    <x v="0"/>
    <x v="0"/>
    <x v="0"/>
    <x v="0"/>
    <x v="0"/>
    <x v="2"/>
    <x v="2"/>
    <x v="2"/>
    <x v="9"/>
    <x v="9"/>
    <n v="34.820042566462"/>
    <x v="0"/>
    <x v="0"/>
    <x v="1"/>
    <x v="4"/>
    <x v="5"/>
    <x v="9"/>
    <n v="41.435850654089776"/>
  </r>
  <r>
    <x v="12"/>
    <x v="1"/>
    <x v="0"/>
    <x v="0"/>
    <x v="0"/>
    <x v="4"/>
    <x v="0"/>
    <x v="0"/>
    <x v="0"/>
    <x v="0"/>
    <x v="0"/>
    <x v="0"/>
    <x v="1"/>
    <x v="6"/>
    <x v="6"/>
    <x v="7"/>
    <x v="7"/>
    <n v="-1.4503012048299999E-3"/>
    <x v="0"/>
    <x v="0"/>
    <x v="1"/>
    <x v="4"/>
    <x v="5"/>
    <x v="7"/>
    <n v="-1.7258584337476999E-3"/>
  </r>
  <r>
    <x v="12"/>
    <x v="1"/>
    <x v="0"/>
    <x v="0"/>
    <x v="0"/>
    <x v="4"/>
    <x v="0"/>
    <x v="0"/>
    <x v="0"/>
    <x v="0"/>
    <x v="0"/>
    <x v="0"/>
    <x v="1"/>
    <x v="6"/>
    <x v="6"/>
    <x v="10"/>
    <x v="10"/>
    <n v="2.4474811200000002E-5"/>
    <x v="0"/>
    <x v="0"/>
    <x v="1"/>
    <x v="4"/>
    <x v="5"/>
    <x v="10"/>
    <n v="2.9125025328000002E-5"/>
  </r>
  <r>
    <x v="12"/>
    <x v="1"/>
    <x v="0"/>
    <x v="0"/>
    <x v="0"/>
    <x v="4"/>
    <x v="0"/>
    <x v="0"/>
    <x v="0"/>
    <x v="0"/>
    <x v="0"/>
    <x v="0"/>
    <x v="4"/>
    <x v="5"/>
    <x v="5"/>
    <x v="7"/>
    <x v="7"/>
    <n v="-8.5843373490000007E-5"/>
    <x v="0"/>
    <x v="0"/>
    <x v="1"/>
    <x v="4"/>
    <x v="5"/>
    <x v="7"/>
    <n v="-1.0215361445310001E-4"/>
  </r>
  <r>
    <x v="12"/>
    <x v="1"/>
    <x v="0"/>
    <x v="0"/>
    <x v="0"/>
    <x v="4"/>
    <x v="0"/>
    <x v="0"/>
    <x v="0"/>
    <x v="0"/>
    <x v="0"/>
    <x v="0"/>
    <x v="4"/>
    <x v="5"/>
    <x v="5"/>
    <x v="9"/>
    <x v="9"/>
    <n v="376.71"/>
    <x v="0"/>
    <x v="0"/>
    <x v="1"/>
    <x v="4"/>
    <x v="5"/>
    <x v="9"/>
    <n v="448.28489999999994"/>
  </r>
  <r>
    <x v="12"/>
    <x v="1"/>
    <x v="0"/>
    <x v="0"/>
    <x v="0"/>
    <x v="4"/>
    <x v="0"/>
    <x v="0"/>
    <x v="0"/>
    <x v="0"/>
    <x v="0"/>
    <x v="0"/>
    <x v="4"/>
    <x v="5"/>
    <x v="5"/>
    <x v="33"/>
    <x v="33"/>
    <n v="26.956336134332499"/>
    <x v="0"/>
    <x v="0"/>
    <x v="1"/>
    <x v="3"/>
    <x v="3"/>
    <x v="4"/>
    <n v="32.078039999855676"/>
  </r>
  <r>
    <x v="12"/>
    <x v="1"/>
    <x v="0"/>
    <x v="0"/>
    <x v="0"/>
    <x v="4"/>
    <x v="0"/>
    <x v="0"/>
    <x v="0"/>
    <x v="0"/>
    <x v="0"/>
    <x v="0"/>
    <x v="4"/>
    <x v="5"/>
    <x v="5"/>
    <x v="23"/>
    <x v="23"/>
    <n v="49.468941176248002"/>
    <x v="0"/>
    <x v="0"/>
    <x v="1"/>
    <x v="3"/>
    <x v="3"/>
    <x v="15"/>
    <n v="58.868039999735117"/>
  </r>
  <r>
    <x v="12"/>
    <x v="1"/>
    <x v="0"/>
    <x v="0"/>
    <x v="0"/>
    <x v="4"/>
    <x v="0"/>
    <x v="0"/>
    <x v="0"/>
    <x v="0"/>
    <x v="0"/>
    <x v="0"/>
    <x v="4"/>
    <x v="5"/>
    <x v="5"/>
    <x v="26"/>
    <x v="26"/>
    <n v="11.6371764705359"/>
    <x v="0"/>
    <x v="0"/>
    <x v="1"/>
    <x v="3"/>
    <x v="3"/>
    <x v="15"/>
    <n v="13.848239999937721"/>
  </r>
  <r>
    <x v="12"/>
    <x v="1"/>
    <x v="0"/>
    <x v="0"/>
    <x v="0"/>
    <x v="4"/>
    <x v="0"/>
    <x v="0"/>
    <x v="0"/>
    <x v="0"/>
    <x v="0"/>
    <x v="0"/>
    <x v="4"/>
    <x v="5"/>
    <x v="5"/>
    <x v="85"/>
    <x v="85"/>
    <n v="15.6141176469886"/>
    <x v="0"/>
    <x v="0"/>
    <x v="1"/>
    <x v="3"/>
    <x v="3"/>
    <x v="4"/>
    <n v="18.580799999916433"/>
  </r>
  <r>
    <x v="12"/>
    <x v="1"/>
    <x v="0"/>
    <x v="0"/>
    <x v="0"/>
    <x v="4"/>
    <x v="0"/>
    <x v="0"/>
    <x v="0"/>
    <x v="0"/>
    <x v="0"/>
    <x v="0"/>
    <x v="4"/>
    <x v="5"/>
    <x v="5"/>
    <x v="3"/>
    <x v="3"/>
    <n v="8.2088575346429593"/>
    <x v="0"/>
    <x v="0"/>
    <x v="1"/>
    <x v="3"/>
    <x v="3"/>
    <x v="3"/>
    <n v="9.7685404662251205"/>
  </r>
  <r>
    <x v="12"/>
    <x v="1"/>
    <x v="0"/>
    <x v="0"/>
    <x v="0"/>
    <x v="4"/>
    <x v="0"/>
    <x v="0"/>
    <x v="0"/>
    <x v="0"/>
    <x v="3"/>
    <x v="3"/>
    <x v="3"/>
    <x v="3"/>
    <x v="3"/>
    <x v="7"/>
    <x v="7"/>
    <n v="-3.6219879518400002E-3"/>
    <x v="0"/>
    <x v="0"/>
    <x v="1"/>
    <x v="4"/>
    <x v="5"/>
    <x v="7"/>
    <n v="-4.3101656626895997E-3"/>
  </r>
  <r>
    <x v="12"/>
    <x v="1"/>
    <x v="0"/>
    <x v="0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10.56363"/>
  </r>
  <r>
    <x v="12"/>
    <x v="1"/>
    <x v="0"/>
    <x v="0"/>
    <x v="0"/>
    <x v="4"/>
    <x v="0"/>
    <x v="0"/>
    <x v="0"/>
    <x v="0"/>
    <x v="3"/>
    <x v="3"/>
    <x v="2"/>
    <x v="2"/>
    <x v="2"/>
    <x v="7"/>
    <x v="7"/>
    <n v="-4.0840336134300003E-3"/>
    <x v="0"/>
    <x v="0"/>
    <x v="1"/>
    <x v="4"/>
    <x v="5"/>
    <x v="7"/>
    <n v="-4.8599999999817001E-3"/>
  </r>
  <r>
    <x v="12"/>
    <x v="1"/>
    <x v="0"/>
    <x v="0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1780999999999999"/>
  </r>
  <r>
    <x v="12"/>
    <x v="1"/>
    <x v="0"/>
    <x v="0"/>
    <x v="0"/>
    <x v="4"/>
    <x v="0"/>
    <x v="0"/>
    <x v="0"/>
    <x v="0"/>
    <x v="3"/>
    <x v="3"/>
    <x v="1"/>
    <x v="6"/>
    <x v="6"/>
    <x v="7"/>
    <x v="7"/>
    <n v="-2.1536144579000001E-4"/>
    <x v="0"/>
    <x v="0"/>
    <x v="1"/>
    <x v="4"/>
    <x v="5"/>
    <x v="7"/>
    <n v="-2.562801204901E-4"/>
  </r>
  <r>
    <x v="12"/>
    <x v="1"/>
    <x v="0"/>
    <x v="0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46.60776199999998"/>
  </r>
  <r>
    <x v="12"/>
    <x v="1"/>
    <x v="0"/>
    <x v="0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7.3541999999999991E-3"/>
  </r>
  <r>
    <x v="12"/>
    <x v="1"/>
    <x v="0"/>
    <x v="0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5248111"/>
  </r>
  <r>
    <x v="12"/>
    <x v="1"/>
    <x v="0"/>
    <x v="0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4.1447700000000003"/>
  </r>
  <r>
    <x v="12"/>
    <x v="1"/>
    <x v="0"/>
    <x v="0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7349999999999997"/>
  </r>
  <r>
    <x v="12"/>
    <x v="1"/>
    <x v="0"/>
    <x v="0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3782003999999999"/>
  </r>
  <r>
    <x v="12"/>
    <x v="1"/>
    <x v="0"/>
    <x v="0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54.431551999999996"/>
  </r>
  <r>
    <x v="12"/>
    <x v="1"/>
    <x v="0"/>
    <x v="0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3.013399699999999"/>
  </r>
  <r>
    <x v="12"/>
    <x v="1"/>
    <x v="0"/>
    <x v="0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21.1880214"/>
  </r>
  <r>
    <x v="12"/>
    <x v="1"/>
    <x v="0"/>
    <x v="0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5544374999999999"/>
  </r>
  <r>
    <x v="12"/>
    <x v="1"/>
    <x v="0"/>
    <x v="0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3960009"/>
  </r>
  <r>
    <x v="12"/>
    <x v="1"/>
    <x v="0"/>
    <x v="0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53549999999999998"/>
  </r>
  <r>
    <x v="12"/>
    <x v="1"/>
    <x v="0"/>
    <x v="0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5761550000000002"/>
  </r>
  <r>
    <x v="12"/>
    <x v="1"/>
    <x v="0"/>
    <x v="0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55.19381430000001"/>
  </r>
  <r>
    <x v="12"/>
    <x v="1"/>
    <x v="0"/>
    <x v="0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7.427103299999992"/>
  </r>
  <r>
    <x v="12"/>
    <x v="1"/>
    <x v="0"/>
    <x v="0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95199999999999996"/>
  </r>
  <r>
    <x v="12"/>
    <x v="1"/>
    <x v="0"/>
    <x v="0"/>
    <x v="0"/>
    <x v="4"/>
    <x v="0"/>
    <x v="0"/>
    <x v="2"/>
    <x v="2"/>
    <x v="10"/>
    <x v="10"/>
    <x v="2"/>
    <x v="2"/>
    <x v="2"/>
    <x v="41"/>
    <x v="41"/>
    <n v="9.3832197802103998"/>
    <x v="1"/>
    <x v="2"/>
    <x v="5"/>
    <x v="7"/>
    <x v="11"/>
    <x v="22"/>
    <n v="11.166031538450376"/>
  </r>
  <r>
    <x v="12"/>
    <x v="1"/>
    <x v="0"/>
    <x v="0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90.04023140000001"/>
  </r>
  <r>
    <x v="12"/>
    <x v="1"/>
    <x v="0"/>
    <x v="0"/>
    <x v="0"/>
    <x v="4"/>
    <x v="0"/>
    <x v="0"/>
    <x v="0"/>
    <x v="0"/>
    <x v="10"/>
    <x v="10"/>
    <x v="1"/>
    <x v="6"/>
    <x v="6"/>
    <x v="7"/>
    <x v="7"/>
    <n v="1.446283132544"/>
    <x v="0"/>
    <x v="0"/>
    <x v="1"/>
    <x v="4"/>
    <x v="5"/>
    <x v="7"/>
    <n v="1.7210769277273599"/>
  </r>
  <r>
    <x v="12"/>
    <x v="1"/>
    <x v="0"/>
    <x v="0"/>
    <x v="0"/>
    <x v="4"/>
    <x v="0"/>
    <x v="0"/>
    <x v="0"/>
    <x v="0"/>
    <x v="11"/>
    <x v="11"/>
    <x v="2"/>
    <x v="2"/>
    <x v="2"/>
    <x v="7"/>
    <x v="7"/>
    <n v="-2.98343373497E-3"/>
    <x v="0"/>
    <x v="0"/>
    <x v="1"/>
    <x v="4"/>
    <x v="5"/>
    <x v="7"/>
    <n v="-3.5502861446142999E-3"/>
  </r>
  <r>
    <x v="12"/>
    <x v="1"/>
    <x v="0"/>
    <x v="0"/>
    <x v="0"/>
    <x v="4"/>
    <x v="0"/>
    <x v="0"/>
    <x v="0"/>
    <x v="0"/>
    <x v="11"/>
    <x v="11"/>
    <x v="1"/>
    <x v="6"/>
    <x v="6"/>
    <x v="7"/>
    <x v="7"/>
    <n v="-1.82379518074E-3"/>
    <x v="0"/>
    <x v="0"/>
    <x v="1"/>
    <x v="4"/>
    <x v="5"/>
    <x v="7"/>
    <n v="-2.1703162650806001E-3"/>
  </r>
  <r>
    <x v="12"/>
    <x v="1"/>
    <x v="0"/>
    <x v="0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62792"/>
  </r>
  <r>
    <x v="12"/>
    <x v="1"/>
    <x v="0"/>
    <x v="0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4.9254084"/>
  </r>
  <r>
    <x v="12"/>
    <x v="1"/>
    <x v="0"/>
    <x v="0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70.236191899999994"/>
  </r>
  <r>
    <x v="12"/>
    <x v="1"/>
    <x v="0"/>
    <x v="0"/>
    <x v="0"/>
    <x v="4"/>
    <x v="0"/>
    <x v="0"/>
    <x v="2"/>
    <x v="2"/>
    <x v="16"/>
    <x v="16"/>
    <x v="1"/>
    <x v="6"/>
    <x v="6"/>
    <x v="7"/>
    <x v="7"/>
    <n v="-1.37036802673E-3"/>
    <x v="0"/>
    <x v="0"/>
    <x v="1"/>
    <x v="4"/>
    <x v="5"/>
    <x v="7"/>
    <n v="-1.6307379518086999E-3"/>
  </r>
  <r>
    <x v="12"/>
    <x v="1"/>
    <x v="0"/>
    <x v="0"/>
    <x v="0"/>
    <x v="4"/>
    <x v="0"/>
    <x v="0"/>
    <x v="2"/>
    <x v="2"/>
    <x v="17"/>
    <x v="17"/>
    <x v="3"/>
    <x v="3"/>
    <x v="3"/>
    <x v="7"/>
    <x v="7"/>
    <n v="-2.7487394957860001E-2"/>
    <x v="0"/>
    <x v="0"/>
    <x v="1"/>
    <x v="4"/>
    <x v="5"/>
    <x v="7"/>
    <n v="-3.2709999999853398E-2"/>
  </r>
  <r>
    <x v="12"/>
    <x v="1"/>
    <x v="0"/>
    <x v="0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5.34029"/>
  </r>
  <r>
    <x v="12"/>
    <x v="1"/>
    <x v="0"/>
    <x v="0"/>
    <x v="0"/>
    <x v="4"/>
    <x v="0"/>
    <x v="0"/>
    <x v="2"/>
    <x v="2"/>
    <x v="17"/>
    <x v="17"/>
    <x v="0"/>
    <x v="4"/>
    <x v="4"/>
    <x v="7"/>
    <x v="7"/>
    <n v="-2.1691429583809999E-2"/>
    <x v="0"/>
    <x v="0"/>
    <x v="1"/>
    <x v="4"/>
    <x v="5"/>
    <x v="7"/>
    <n v="-2.5812801204733896E-2"/>
  </r>
  <r>
    <x v="12"/>
    <x v="1"/>
    <x v="0"/>
    <x v="0"/>
    <x v="0"/>
    <x v="4"/>
    <x v="0"/>
    <x v="0"/>
    <x v="2"/>
    <x v="2"/>
    <x v="17"/>
    <x v="17"/>
    <x v="2"/>
    <x v="2"/>
    <x v="2"/>
    <x v="7"/>
    <x v="7"/>
    <n v="-6.2378948567100002E-2"/>
    <x v="0"/>
    <x v="0"/>
    <x v="1"/>
    <x v="4"/>
    <x v="5"/>
    <x v="7"/>
    <n v="-7.4230948794848997E-2"/>
  </r>
  <r>
    <x v="12"/>
    <x v="1"/>
    <x v="0"/>
    <x v="0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72.709000000000003"/>
  </r>
  <r>
    <x v="12"/>
    <x v="1"/>
    <x v="0"/>
    <x v="0"/>
    <x v="0"/>
    <x v="4"/>
    <x v="0"/>
    <x v="0"/>
    <x v="2"/>
    <x v="2"/>
    <x v="17"/>
    <x v="17"/>
    <x v="1"/>
    <x v="6"/>
    <x v="6"/>
    <x v="7"/>
    <x v="7"/>
    <n v="-2.9853042421670001E-2"/>
    <x v="0"/>
    <x v="0"/>
    <x v="1"/>
    <x v="4"/>
    <x v="5"/>
    <x v="7"/>
    <n v="-3.5525120481787298E-2"/>
  </r>
  <r>
    <x v="12"/>
    <x v="1"/>
    <x v="0"/>
    <x v="0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5397263999999997"/>
  </r>
  <r>
    <x v="12"/>
    <x v="1"/>
    <x v="0"/>
    <x v="0"/>
    <x v="0"/>
    <x v="4"/>
    <x v="0"/>
    <x v="0"/>
    <x v="2"/>
    <x v="2"/>
    <x v="17"/>
    <x v="17"/>
    <x v="4"/>
    <x v="5"/>
    <x v="5"/>
    <x v="7"/>
    <x v="7"/>
    <n v="-3.0509137389800002E-3"/>
    <x v="0"/>
    <x v="0"/>
    <x v="1"/>
    <x v="4"/>
    <x v="5"/>
    <x v="7"/>
    <n v="-3.6305873493861999E-3"/>
  </r>
  <r>
    <x v="12"/>
    <x v="1"/>
    <x v="0"/>
    <x v="0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8.3062000000000005"/>
  </r>
  <r>
    <x v="12"/>
    <x v="1"/>
    <x v="0"/>
    <x v="0"/>
    <x v="1"/>
    <x v="6"/>
    <x v="1"/>
    <x v="1"/>
    <x v="7"/>
    <x v="5"/>
    <x v="25"/>
    <x v="25"/>
    <x v="3"/>
    <x v="3"/>
    <x v="3"/>
    <x v="55"/>
    <x v="55"/>
    <n v="1.2098991596584201"/>
    <x v="0"/>
    <x v="0"/>
    <x v="1"/>
    <x v="3"/>
    <x v="3"/>
    <x v="15"/>
    <n v="1.4397799999935199"/>
  </r>
  <r>
    <x v="12"/>
    <x v="1"/>
    <x v="0"/>
    <x v="0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6607804999999995"/>
  </r>
  <r>
    <x v="12"/>
    <x v="1"/>
    <x v="0"/>
    <x v="0"/>
    <x v="1"/>
    <x v="6"/>
    <x v="1"/>
    <x v="1"/>
    <x v="6"/>
    <x v="5"/>
    <x v="24"/>
    <x v="24"/>
    <x v="3"/>
    <x v="3"/>
    <x v="3"/>
    <x v="5"/>
    <x v="5"/>
    <n v="57.734806630324996"/>
    <x v="0"/>
    <x v="0"/>
    <x v="1"/>
    <x v="1"/>
    <x v="1"/>
    <x v="5"/>
    <n v="68.70441989008674"/>
  </r>
  <r>
    <x v="12"/>
    <x v="1"/>
    <x v="0"/>
    <x v="0"/>
    <x v="1"/>
    <x v="6"/>
    <x v="1"/>
    <x v="1"/>
    <x v="6"/>
    <x v="5"/>
    <x v="24"/>
    <x v="24"/>
    <x v="3"/>
    <x v="3"/>
    <x v="3"/>
    <x v="57"/>
    <x v="57"/>
    <n v="12.430939226625"/>
    <x v="0"/>
    <x v="0"/>
    <x v="1"/>
    <x v="1"/>
    <x v="1"/>
    <x v="5"/>
    <n v="14.792817679683749"/>
  </r>
  <r>
    <x v="12"/>
    <x v="1"/>
    <x v="0"/>
    <x v="0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7.12"/>
  </r>
  <r>
    <x v="12"/>
    <x v="1"/>
    <x v="0"/>
    <x v="0"/>
    <x v="1"/>
    <x v="6"/>
    <x v="1"/>
    <x v="1"/>
    <x v="1"/>
    <x v="5"/>
    <x v="21"/>
    <x v="21"/>
    <x v="3"/>
    <x v="3"/>
    <x v="3"/>
    <x v="49"/>
    <x v="49"/>
    <n v="2.1202745101007601"/>
    <x v="0"/>
    <x v="0"/>
    <x v="1"/>
    <x v="1"/>
    <x v="1"/>
    <x v="23"/>
    <n v="2.5231266670199042"/>
  </r>
  <r>
    <x v="12"/>
    <x v="1"/>
    <x v="0"/>
    <x v="0"/>
    <x v="1"/>
    <x v="6"/>
    <x v="1"/>
    <x v="1"/>
    <x v="1"/>
    <x v="5"/>
    <x v="21"/>
    <x v="21"/>
    <x v="3"/>
    <x v="3"/>
    <x v="3"/>
    <x v="2"/>
    <x v="2"/>
    <n v="7.1190588234973804"/>
    <x v="0"/>
    <x v="1"/>
    <x v="2"/>
    <x v="2"/>
    <x v="13"/>
    <x v="2"/>
    <n v="8.4716799999618821"/>
  </r>
  <r>
    <x v="12"/>
    <x v="1"/>
    <x v="0"/>
    <x v="0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72125899999999998"/>
  </r>
  <r>
    <x v="12"/>
    <x v="1"/>
    <x v="0"/>
    <x v="0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7773091000000001"/>
  </r>
  <r>
    <x v="12"/>
    <x v="1"/>
    <x v="0"/>
    <x v="0"/>
    <x v="1"/>
    <x v="6"/>
    <x v="1"/>
    <x v="1"/>
    <x v="1"/>
    <x v="5"/>
    <x v="1"/>
    <x v="1"/>
    <x v="3"/>
    <x v="3"/>
    <x v="3"/>
    <x v="39"/>
    <x v="39"/>
    <n v="3.08414434831128"/>
    <x v="0"/>
    <x v="0"/>
    <x v="1"/>
    <x v="4"/>
    <x v="5"/>
    <x v="9"/>
    <n v="3.6701317744904229"/>
  </r>
  <r>
    <x v="12"/>
    <x v="1"/>
    <x v="0"/>
    <x v="0"/>
    <x v="1"/>
    <x v="6"/>
    <x v="1"/>
    <x v="1"/>
    <x v="1"/>
    <x v="5"/>
    <x v="1"/>
    <x v="1"/>
    <x v="3"/>
    <x v="3"/>
    <x v="3"/>
    <x v="5"/>
    <x v="5"/>
    <n v="132.977060774611"/>
    <x v="0"/>
    <x v="0"/>
    <x v="1"/>
    <x v="1"/>
    <x v="1"/>
    <x v="5"/>
    <n v="158.24270232178708"/>
  </r>
  <r>
    <x v="12"/>
    <x v="1"/>
    <x v="0"/>
    <x v="0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94.251558099999997"/>
  </r>
  <r>
    <x v="12"/>
    <x v="1"/>
    <x v="0"/>
    <x v="0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9.44688"/>
  </r>
  <r>
    <x v="12"/>
    <x v="1"/>
    <x v="0"/>
    <x v="0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70.017219999999995"/>
  </r>
  <r>
    <x v="12"/>
    <x v="1"/>
    <x v="0"/>
    <x v="0"/>
    <x v="1"/>
    <x v="6"/>
    <x v="1"/>
    <x v="1"/>
    <x v="1"/>
    <x v="5"/>
    <x v="1"/>
    <x v="1"/>
    <x v="3"/>
    <x v="3"/>
    <x v="3"/>
    <x v="7"/>
    <x v="7"/>
    <n v="-2.7731189759302399"/>
    <x v="0"/>
    <x v="0"/>
    <x v="1"/>
    <x v="4"/>
    <x v="5"/>
    <x v="7"/>
    <n v="-3.3000115813569852"/>
  </r>
  <r>
    <x v="12"/>
    <x v="1"/>
    <x v="0"/>
    <x v="0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501.63766939999999"/>
  </r>
  <r>
    <x v="12"/>
    <x v="1"/>
    <x v="0"/>
    <x v="0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3561999999999999"/>
  </r>
  <r>
    <x v="12"/>
    <x v="1"/>
    <x v="0"/>
    <x v="0"/>
    <x v="1"/>
    <x v="6"/>
    <x v="1"/>
    <x v="1"/>
    <x v="1"/>
    <x v="5"/>
    <x v="1"/>
    <x v="1"/>
    <x v="3"/>
    <x v="3"/>
    <x v="3"/>
    <x v="8"/>
    <x v="8"/>
    <n v="1.13478260869134"/>
    <x v="0"/>
    <x v="1"/>
    <x v="2"/>
    <x v="2"/>
    <x v="6"/>
    <x v="8"/>
    <n v="1.3503913043426945"/>
  </r>
  <r>
    <x v="12"/>
    <x v="1"/>
    <x v="0"/>
    <x v="0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4113399999999998"/>
  </r>
  <r>
    <x v="12"/>
    <x v="1"/>
    <x v="0"/>
    <x v="0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5.671009999999995"/>
  </r>
  <r>
    <x v="12"/>
    <x v="1"/>
    <x v="0"/>
    <x v="0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40.68095879999998"/>
  </r>
  <r>
    <x v="12"/>
    <x v="1"/>
    <x v="0"/>
    <x v="0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8862715591322352"/>
  </r>
  <r>
    <x v="12"/>
    <x v="1"/>
    <x v="0"/>
    <x v="0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79.80537049999998"/>
  </r>
  <r>
    <x v="12"/>
    <x v="1"/>
    <x v="0"/>
    <x v="0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31.883669999999999"/>
  </r>
  <r>
    <x v="12"/>
    <x v="1"/>
    <x v="0"/>
    <x v="0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82.17838889999996"/>
  </r>
  <r>
    <x v="12"/>
    <x v="1"/>
    <x v="0"/>
    <x v="0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6992294000000001"/>
  </r>
  <r>
    <x v="12"/>
    <x v="1"/>
    <x v="0"/>
    <x v="0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3.949236300000003"/>
  </r>
  <r>
    <x v="12"/>
    <x v="1"/>
    <x v="0"/>
    <x v="0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50.279879999999999"/>
  </r>
  <r>
    <x v="12"/>
    <x v="1"/>
    <x v="0"/>
    <x v="0"/>
    <x v="1"/>
    <x v="6"/>
    <x v="1"/>
    <x v="1"/>
    <x v="1"/>
    <x v="5"/>
    <x v="1"/>
    <x v="1"/>
    <x v="3"/>
    <x v="3"/>
    <x v="3"/>
    <x v="12"/>
    <x v="12"/>
    <n v="356.28274999886003"/>
    <x v="0"/>
    <x v="0"/>
    <x v="0"/>
    <x v="0"/>
    <x v="8"/>
    <x v="12"/>
    <n v="423.97647249864343"/>
  </r>
  <r>
    <x v="12"/>
    <x v="1"/>
    <x v="0"/>
    <x v="0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20.5275"/>
  </r>
  <r>
    <x v="12"/>
    <x v="1"/>
    <x v="0"/>
    <x v="0"/>
    <x v="1"/>
    <x v="6"/>
    <x v="0"/>
    <x v="0"/>
    <x v="0"/>
    <x v="0"/>
    <x v="0"/>
    <x v="0"/>
    <x v="1"/>
    <x v="1"/>
    <x v="1"/>
    <x v="1"/>
    <x v="1"/>
    <n v="76.644800000383199"/>
    <x v="0"/>
    <x v="0"/>
    <x v="1"/>
    <x v="1"/>
    <x v="1"/>
    <x v="1"/>
    <n v="91.207312000456"/>
  </r>
  <r>
    <x v="12"/>
    <x v="1"/>
    <x v="0"/>
    <x v="0"/>
    <x v="1"/>
    <x v="6"/>
    <x v="0"/>
    <x v="0"/>
    <x v="0"/>
    <x v="0"/>
    <x v="0"/>
    <x v="0"/>
    <x v="1"/>
    <x v="1"/>
    <x v="1"/>
    <x v="2"/>
    <x v="2"/>
    <n v="15.0062521007728"/>
    <x v="0"/>
    <x v="1"/>
    <x v="2"/>
    <x v="2"/>
    <x v="13"/>
    <x v="2"/>
    <n v="17.857439999919631"/>
  </r>
  <r>
    <x v="12"/>
    <x v="1"/>
    <x v="0"/>
    <x v="0"/>
    <x v="1"/>
    <x v="6"/>
    <x v="0"/>
    <x v="0"/>
    <x v="0"/>
    <x v="0"/>
    <x v="0"/>
    <x v="0"/>
    <x v="2"/>
    <x v="2"/>
    <x v="2"/>
    <x v="4"/>
    <x v="4"/>
    <n v="109.500915965894"/>
    <x v="0"/>
    <x v="0"/>
    <x v="1"/>
    <x v="3"/>
    <x v="3"/>
    <x v="4"/>
    <n v="130.30608999941384"/>
  </r>
  <r>
    <x v="12"/>
    <x v="1"/>
    <x v="0"/>
    <x v="0"/>
    <x v="1"/>
    <x v="6"/>
    <x v="0"/>
    <x v="0"/>
    <x v="0"/>
    <x v="0"/>
    <x v="0"/>
    <x v="0"/>
    <x v="2"/>
    <x v="2"/>
    <x v="2"/>
    <x v="39"/>
    <x v="39"/>
    <n v="3.7815126050250001"/>
    <x v="0"/>
    <x v="0"/>
    <x v="1"/>
    <x v="4"/>
    <x v="5"/>
    <x v="9"/>
    <n v="4.4999999999797495"/>
  </r>
  <r>
    <x v="12"/>
    <x v="1"/>
    <x v="0"/>
    <x v="0"/>
    <x v="1"/>
    <x v="6"/>
    <x v="0"/>
    <x v="0"/>
    <x v="0"/>
    <x v="0"/>
    <x v="0"/>
    <x v="0"/>
    <x v="2"/>
    <x v="2"/>
    <x v="2"/>
    <x v="5"/>
    <x v="5"/>
    <n v="24.1129502764481"/>
    <x v="0"/>
    <x v="0"/>
    <x v="1"/>
    <x v="1"/>
    <x v="1"/>
    <x v="5"/>
    <n v="28.694410828973236"/>
  </r>
  <r>
    <x v="12"/>
    <x v="1"/>
    <x v="0"/>
    <x v="0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6.0689999999999991"/>
  </r>
  <r>
    <x v="12"/>
    <x v="1"/>
    <x v="0"/>
    <x v="0"/>
    <x v="1"/>
    <x v="6"/>
    <x v="0"/>
    <x v="0"/>
    <x v="0"/>
    <x v="0"/>
    <x v="0"/>
    <x v="0"/>
    <x v="2"/>
    <x v="2"/>
    <x v="2"/>
    <x v="8"/>
    <x v="8"/>
    <n v="9.0051801241893799"/>
    <x v="0"/>
    <x v="1"/>
    <x v="2"/>
    <x v="2"/>
    <x v="6"/>
    <x v="8"/>
    <n v="10.716164347785362"/>
  </r>
  <r>
    <x v="12"/>
    <x v="1"/>
    <x v="0"/>
    <x v="0"/>
    <x v="1"/>
    <x v="6"/>
    <x v="0"/>
    <x v="0"/>
    <x v="0"/>
    <x v="0"/>
    <x v="0"/>
    <x v="0"/>
    <x v="2"/>
    <x v="2"/>
    <x v="2"/>
    <x v="9"/>
    <x v="9"/>
    <n v="15.142061192660901"/>
    <x v="0"/>
    <x v="0"/>
    <x v="1"/>
    <x v="4"/>
    <x v="5"/>
    <x v="9"/>
    <n v="18.01905281926647"/>
  </r>
  <r>
    <x v="12"/>
    <x v="1"/>
    <x v="0"/>
    <x v="0"/>
    <x v="1"/>
    <x v="6"/>
    <x v="0"/>
    <x v="0"/>
    <x v="0"/>
    <x v="0"/>
    <x v="0"/>
    <x v="0"/>
    <x v="2"/>
    <x v="2"/>
    <x v="2"/>
    <x v="10"/>
    <x v="10"/>
    <n v="22.045956431107001"/>
    <x v="0"/>
    <x v="0"/>
    <x v="1"/>
    <x v="4"/>
    <x v="5"/>
    <x v="10"/>
    <n v="26.234688153017331"/>
  </r>
  <r>
    <x v="12"/>
    <x v="1"/>
    <x v="0"/>
    <x v="0"/>
    <x v="1"/>
    <x v="6"/>
    <x v="0"/>
    <x v="0"/>
    <x v="0"/>
    <x v="0"/>
    <x v="0"/>
    <x v="0"/>
    <x v="2"/>
    <x v="2"/>
    <x v="2"/>
    <x v="28"/>
    <x v="28"/>
    <n v="7.1999399999999998"/>
    <x v="0"/>
    <x v="0"/>
    <x v="1"/>
    <x v="3"/>
    <x v="3"/>
    <x v="13"/>
    <n v="8.5679286000000001"/>
  </r>
  <r>
    <x v="12"/>
    <x v="1"/>
    <x v="0"/>
    <x v="0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8.544529999999998"/>
  </r>
  <r>
    <x v="12"/>
    <x v="1"/>
    <x v="0"/>
    <x v="0"/>
    <x v="1"/>
    <x v="6"/>
    <x v="0"/>
    <x v="0"/>
    <x v="0"/>
    <x v="0"/>
    <x v="0"/>
    <x v="0"/>
    <x v="2"/>
    <x v="2"/>
    <x v="2"/>
    <x v="80"/>
    <x v="80"/>
    <n v="6.8832941176160798"/>
    <x v="0"/>
    <x v="0"/>
    <x v="1"/>
    <x v="4"/>
    <x v="5"/>
    <x v="10"/>
    <n v="8.191119999963135"/>
  </r>
  <r>
    <x v="12"/>
    <x v="1"/>
    <x v="0"/>
    <x v="0"/>
    <x v="1"/>
    <x v="6"/>
    <x v="0"/>
    <x v="0"/>
    <x v="0"/>
    <x v="0"/>
    <x v="0"/>
    <x v="0"/>
    <x v="2"/>
    <x v="2"/>
    <x v="2"/>
    <x v="31"/>
    <x v="31"/>
    <n v="1.97480672268019"/>
    <x v="0"/>
    <x v="0"/>
    <x v="1"/>
    <x v="4"/>
    <x v="5"/>
    <x v="10"/>
    <n v="2.350019999989426"/>
  </r>
  <r>
    <x v="12"/>
    <x v="1"/>
    <x v="0"/>
    <x v="0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4.165"/>
  </r>
  <r>
    <x v="12"/>
    <x v="1"/>
    <x v="0"/>
    <x v="0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64.712021499999992"/>
  </r>
  <r>
    <x v="12"/>
    <x v="1"/>
    <x v="0"/>
    <x v="0"/>
    <x v="1"/>
    <x v="6"/>
    <x v="0"/>
    <x v="0"/>
    <x v="0"/>
    <x v="0"/>
    <x v="0"/>
    <x v="0"/>
    <x v="2"/>
    <x v="2"/>
    <x v="2"/>
    <x v="14"/>
    <x v="14"/>
    <n v="67.588070000000002"/>
    <x v="0"/>
    <x v="0"/>
    <x v="0"/>
    <x v="0"/>
    <x v="8"/>
    <x v="14"/>
    <n v="80.429803300000003"/>
  </r>
  <r>
    <x v="12"/>
    <x v="1"/>
    <x v="0"/>
    <x v="0"/>
    <x v="1"/>
    <x v="6"/>
    <x v="0"/>
    <x v="0"/>
    <x v="0"/>
    <x v="0"/>
    <x v="0"/>
    <x v="0"/>
    <x v="2"/>
    <x v="2"/>
    <x v="2"/>
    <x v="21"/>
    <x v="21"/>
    <n v="23.310336134348901"/>
    <x v="0"/>
    <x v="0"/>
    <x v="1"/>
    <x v="4"/>
    <x v="5"/>
    <x v="10"/>
    <n v="27.73929999987519"/>
  </r>
  <r>
    <x v="12"/>
    <x v="1"/>
    <x v="0"/>
    <x v="0"/>
    <x v="1"/>
    <x v="6"/>
    <x v="0"/>
    <x v="0"/>
    <x v="0"/>
    <x v="0"/>
    <x v="0"/>
    <x v="0"/>
    <x v="2"/>
    <x v="2"/>
    <x v="2"/>
    <x v="79"/>
    <x v="79"/>
    <n v="9.6618571428136608"/>
    <x v="0"/>
    <x v="0"/>
    <x v="1"/>
    <x v="4"/>
    <x v="5"/>
    <x v="10"/>
    <n v="11.497609999948256"/>
  </r>
  <r>
    <x v="12"/>
    <x v="1"/>
    <x v="0"/>
    <x v="0"/>
    <x v="1"/>
    <x v="6"/>
    <x v="0"/>
    <x v="0"/>
    <x v="0"/>
    <x v="0"/>
    <x v="0"/>
    <x v="0"/>
    <x v="2"/>
    <x v="2"/>
    <x v="2"/>
    <x v="25"/>
    <x v="25"/>
    <n v="0.54331932772864999"/>
    <x v="0"/>
    <x v="0"/>
    <x v="1"/>
    <x v="4"/>
    <x v="5"/>
    <x v="9"/>
    <n v="0.64654999999709351"/>
  </r>
  <r>
    <x v="12"/>
    <x v="1"/>
    <x v="0"/>
    <x v="0"/>
    <x v="1"/>
    <x v="6"/>
    <x v="0"/>
    <x v="0"/>
    <x v="0"/>
    <x v="0"/>
    <x v="0"/>
    <x v="0"/>
    <x v="2"/>
    <x v="2"/>
    <x v="2"/>
    <x v="78"/>
    <x v="78"/>
    <n v="2.9780504201546698"/>
    <x v="0"/>
    <x v="0"/>
    <x v="1"/>
    <x v="4"/>
    <x v="5"/>
    <x v="9"/>
    <n v="3.5438799999840569"/>
  </r>
  <r>
    <x v="12"/>
    <x v="1"/>
    <x v="0"/>
    <x v="0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9.797380999999994"/>
  </r>
  <r>
    <x v="12"/>
    <x v="1"/>
    <x v="0"/>
    <x v="0"/>
    <x v="1"/>
    <x v="6"/>
    <x v="0"/>
    <x v="0"/>
    <x v="0"/>
    <x v="0"/>
    <x v="0"/>
    <x v="0"/>
    <x v="2"/>
    <x v="2"/>
    <x v="2"/>
    <x v="26"/>
    <x v="26"/>
    <n v="57.257865545960797"/>
    <x v="0"/>
    <x v="0"/>
    <x v="1"/>
    <x v="3"/>
    <x v="3"/>
    <x v="15"/>
    <n v="68.136859999693343"/>
  </r>
  <r>
    <x v="12"/>
    <x v="1"/>
    <x v="0"/>
    <x v="0"/>
    <x v="1"/>
    <x v="6"/>
    <x v="0"/>
    <x v="0"/>
    <x v="0"/>
    <x v="0"/>
    <x v="0"/>
    <x v="0"/>
    <x v="2"/>
    <x v="2"/>
    <x v="2"/>
    <x v="0"/>
    <x v="0"/>
    <n v="0.37959822222696998"/>
    <x v="0"/>
    <x v="0"/>
    <x v="0"/>
    <x v="0"/>
    <x v="0"/>
    <x v="0"/>
    <n v="0.45172188445009426"/>
  </r>
  <r>
    <x v="12"/>
    <x v="1"/>
    <x v="0"/>
    <x v="0"/>
    <x v="1"/>
    <x v="6"/>
    <x v="0"/>
    <x v="0"/>
    <x v="0"/>
    <x v="0"/>
    <x v="0"/>
    <x v="0"/>
    <x v="2"/>
    <x v="2"/>
    <x v="2"/>
    <x v="1"/>
    <x v="1"/>
    <n v="71.846566667025897"/>
    <x v="0"/>
    <x v="0"/>
    <x v="1"/>
    <x v="1"/>
    <x v="1"/>
    <x v="1"/>
    <n v="85.497414333760815"/>
  </r>
  <r>
    <x v="12"/>
    <x v="1"/>
    <x v="0"/>
    <x v="0"/>
    <x v="1"/>
    <x v="6"/>
    <x v="0"/>
    <x v="0"/>
    <x v="0"/>
    <x v="0"/>
    <x v="0"/>
    <x v="0"/>
    <x v="2"/>
    <x v="2"/>
    <x v="2"/>
    <x v="2"/>
    <x v="2"/>
    <n v="184.13441176387701"/>
    <x v="0"/>
    <x v="1"/>
    <x v="2"/>
    <x v="2"/>
    <x v="13"/>
    <x v="2"/>
    <n v="219.11994999901364"/>
  </r>
  <r>
    <x v="12"/>
    <x v="1"/>
    <x v="0"/>
    <x v="0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5.6757986"/>
  </r>
  <r>
    <x v="12"/>
    <x v="1"/>
    <x v="0"/>
    <x v="0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85.328997599999994"/>
  </r>
  <r>
    <x v="12"/>
    <x v="1"/>
    <x v="0"/>
    <x v="0"/>
    <x v="1"/>
    <x v="6"/>
    <x v="0"/>
    <x v="0"/>
    <x v="0"/>
    <x v="0"/>
    <x v="0"/>
    <x v="0"/>
    <x v="1"/>
    <x v="6"/>
    <x v="6"/>
    <x v="21"/>
    <x v="21"/>
    <n v="3.48693277309355"/>
    <x v="0"/>
    <x v="0"/>
    <x v="1"/>
    <x v="4"/>
    <x v="5"/>
    <x v="10"/>
    <n v="4.1494499999813241"/>
  </r>
  <r>
    <x v="12"/>
    <x v="1"/>
    <x v="0"/>
    <x v="0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6.1375677999999994"/>
  </r>
  <r>
    <x v="12"/>
    <x v="1"/>
    <x v="0"/>
    <x v="0"/>
    <x v="1"/>
    <x v="6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3656678"/>
  </r>
  <r>
    <x v="12"/>
    <x v="1"/>
    <x v="0"/>
    <x v="0"/>
    <x v="1"/>
    <x v="6"/>
    <x v="0"/>
    <x v="0"/>
    <x v="0"/>
    <x v="0"/>
    <x v="0"/>
    <x v="0"/>
    <x v="1"/>
    <x v="6"/>
    <x v="6"/>
    <x v="26"/>
    <x v="26"/>
    <n v="8.3773361344160797"/>
    <x v="0"/>
    <x v="0"/>
    <x v="1"/>
    <x v="3"/>
    <x v="3"/>
    <x v="15"/>
    <n v="9.9690299999551346"/>
  </r>
  <r>
    <x v="12"/>
    <x v="1"/>
    <x v="0"/>
    <x v="0"/>
    <x v="1"/>
    <x v="6"/>
    <x v="0"/>
    <x v="0"/>
    <x v="0"/>
    <x v="0"/>
    <x v="0"/>
    <x v="0"/>
    <x v="1"/>
    <x v="6"/>
    <x v="6"/>
    <x v="2"/>
    <x v="2"/>
    <n v="366.25859663700697"/>
    <x v="0"/>
    <x v="1"/>
    <x v="2"/>
    <x v="2"/>
    <x v="13"/>
    <x v="2"/>
    <n v="435.84772999803829"/>
  </r>
  <r>
    <x v="12"/>
    <x v="1"/>
    <x v="0"/>
    <x v="0"/>
    <x v="1"/>
    <x v="6"/>
    <x v="0"/>
    <x v="0"/>
    <x v="0"/>
    <x v="0"/>
    <x v="0"/>
    <x v="0"/>
    <x v="3"/>
    <x v="7"/>
    <x v="7"/>
    <x v="7"/>
    <x v="7"/>
    <n v="390.08571428395902"/>
    <x v="0"/>
    <x v="0"/>
    <x v="1"/>
    <x v="4"/>
    <x v="5"/>
    <x v="7"/>
    <n v="464.20199999791123"/>
  </r>
  <r>
    <x v="12"/>
    <x v="1"/>
    <x v="0"/>
    <x v="0"/>
    <x v="1"/>
    <x v="6"/>
    <x v="0"/>
    <x v="0"/>
    <x v="0"/>
    <x v="0"/>
    <x v="0"/>
    <x v="0"/>
    <x v="3"/>
    <x v="7"/>
    <x v="7"/>
    <x v="9"/>
    <x v="9"/>
    <n v="5.82059245669062"/>
    <x v="0"/>
    <x v="0"/>
    <x v="1"/>
    <x v="4"/>
    <x v="5"/>
    <x v="9"/>
    <n v="6.9265050234618375"/>
  </r>
  <r>
    <x v="12"/>
    <x v="1"/>
    <x v="0"/>
    <x v="0"/>
    <x v="1"/>
    <x v="6"/>
    <x v="0"/>
    <x v="0"/>
    <x v="0"/>
    <x v="0"/>
    <x v="0"/>
    <x v="0"/>
    <x v="3"/>
    <x v="7"/>
    <x v="7"/>
    <x v="10"/>
    <x v="10"/>
    <n v="8.1664286704000004E-4"/>
    <x v="0"/>
    <x v="0"/>
    <x v="1"/>
    <x v="4"/>
    <x v="5"/>
    <x v="10"/>
    <n v="9.7180501177760001E-4"/>
  </r>
  <r>
    <x v="12"/>
    <x v="1"/>
    <x v="0"/>
    <x v="0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17.231303"/>
  </r>
  <r>
    <x v="12"/>
    <x v="1"/>
    <x v="0"/>
    <x v="0"/>
    <x v="1"/>
    <x v="6"/>
    <x v="0"/>
    <x v="0"/>
    <x v="0"/>
    <x v="0"/>
    <x v="0"/>
    <x v="0"/>
    <x v="3"/>
    <x v="7"/>
    <x v="7"/>
    <x v="24"/>
    <x v="24"/>
    <n v="99.8951260499706"/>
    <x v="0"/>
    <x v="0"/>
    <x v="1"/>
    <x v="3"/>
    <x v="3"/>
    <x v="4"/>
    <n v="118.87519999946501"/>
  </r>
  <r>
    <x v="12"/>
    <x v="1"/>
    <x v="0"/>
    <x v="0"/>
    <x v="1"/>
    <x v="6"/>
    <x v="0"/>
    <x v="0"/>
    <x v="0"/>
    <x v="0"/>
    <x v="0"/>
    <x v="0"/>
    <x v="3"/>
    <x v="7"/>
    <x v="7"/>
    <x v="34"/>
    <x v="34"/>
    <n v="2.3426919899700001E-3"/>
    <x v="0"/>
    <x v="0"/>
    <x v="0"/>
    <x v="0"/>
    <x v="0"/>
    <x v="0"/>
    <n v="2.7878034680643001E-3"/>
  </r>
  <r>
    <x v="12"/>
    <x v="1"/>
    <x v="0"/>
    <x v="0"/>
    <x v="1"/>
    <x v="6"/>
    <x v="0"/>
    <x v="0"/>
    <x v="0"/>
    <x v="0"/>
    <x v="0"/>
    <x v="0"/>
    <x v="3"/>
    <x v="7"/>
    <x v="7"/>
    <x v="26"/>
    <x v="26"/>
    <n v="8.4033613400000007E-6"/>
    <x v="0"/>
    <x v="0"/>
    <x v="1"/>
    <x v="3"/>
    <x v="3"/>
    <x v="15"/>
    <n v="9.9999999945999998E-6"/>
  </r>
  <r>
    <x v="12"/>
    <x v="1"/>
    <x v="0"/>
    <x v="0"/>
    <x v="1"/>
    <x v="6"/>
    <x v="0"/>
    <x v="0"/>
    <x v="0"/>
    <x v="0"/>
    <x v="0"/>
    <x v="0"/>
    <x v="1"/>
    <x v="8"/>
    <x v="8"/>
    <x v="7"/>
    <x v="7"/>
    <n v="36.191931051824199"/>
    <x v="0"/>
    <x v="0"/>
    <x v="1"/>
    <x v="4"/>
    <x v="5"/>
    <x v="7"/>
    <n v="43.068397951670796"/>
  </r>
  <r>
    <x v="12"/>
    <x v="1"/>
    <x v="0"/>
    <x v="0"/>
    <x v="1"/>
    <x v="6"/>
    <x v="0"/>
    <x v="0"/>
    <x v="0"/>
    <x v="0"/>
    <x v="0"/>
    <x v="0"/>
    <x v="1"/>
    <x v="8"/>
    <x v="8"/>
    <x v="9"/>
    <x v="9"/>
    <n v="75.019622582750898"/>
    <x v="0"/>
    <x v="0"/>
    <x v="1"/>
    <x v="4"/>
    <x v="5"/>
    <x v="9"/>
    <n v="89.273350873473561"/>
  </r>
  <r>
    <x v="12"/>
    <x v="1"/>
    <x v="0"/>
    <x v="0"/>
    <x v="1"/>
    <x v="6"/>
    <x v="0"/>
    <x v="0"/>
    <x v="0"/>
    <x v="0"/>
    <x v="0"/>
    <x v="0"/>
    <x v="1"/>
    <x v="8"/>
    <x v="8"/>
    <x v="10"/>
    <x v="10"/>
    <n v="7.1325194370726797"/>
    <x v="0"/>
    <x v="0"/>
    <x v="1"/>
    <x v="4"/>
    <x v="5"/>
    <x v="10"/>
    <n v="8.4876981301164882"/>
  </r>
  <r>
    <x v="12"/>
    <x v="1"/>
    <x v="0"/>
    <x v="0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31.002534499999999"/>
  </r>
  <r>
    <x v="12"/>
    <x v="1"/>
    <x v="0"/>
    <x v="0"/>
    <x v="1"/>
    <x v="6"/>
    <x v="0"/>
    <x v="0"/>
    <x v="0"/>
    <x v="0"/>
    <x v="0"/>
    <x v="0"/>
    <x v="1"/>
    <x v="8"/>
    <x v="8"/>
    <x v="24"/>
    <x v="24"/>
    <n v="54.170420167823501"/>
    <x v="0"/>
    <x v="0"/>
    <x v="1"/>
    <x v="3"/>
    <x v="3"/>
    <x v="4"/>
    <n v="64.462799999709958"/>
  </r>
  <r>
    <x v="12"/>
    <x v="1"/>
    <x v="0"/>
    <x v="0"/>
    <x v="1"/>
    <x v="6"/>
    <x v="0"/>
    <x v="0"/>
    <x v="0"/>
    <x v="0"/>
    <x v="0"/>
    <x v="0"/>
    <x v="1"/>
    <x v="8"/>
    <x v="8"/>
    <x v="34"/>
    <x v="34"/>
    <n v="3.2865400494000002E-4"/>
    <x v="0"/>
    <x v="0"/>
    <x v="0"/>
    <x v="0"/>
    <x v="0"/>
    <x v="0"/>
    <n v="3.9109826587859999E-4"/>
  </r>
  <r>
    <x v="12"/>
    <x v="1"/>
    <x v="0"/>
    <x v="0"/>
    <x v="1"/>
    <x v="6"/>
    <x v="0"/>
    <x v="0"/>
    <x v="0"/>
    <x v="0"/>
    <x v="0"/>
    <x v="0"/>
    <x v="0"/>
    <x v="9"/>
    <x v="9"/>
    <x v="7"/>
    <x v="7"/>
    <n v="970.59306967808595"/>
    <x v="0"/>
    <x v="0"/>
    <x v="1"/>
    <x v="4"/>
    <x v="5"/>
    <x v="7"/>
    <n v="1155.0057529169221"/>
  </r>
  <r>
    <x v="12"/>
    <x v="1"/>
    <x v="0"/>
    <x v="0"/>
    <x v="1"/>
    <x v="6"/>
    <x v="0"/>
    <x v="0"/>
    <x v="0"/>
    <x v="0"/>
    <x v="0"/>
    <x v="0"/>
    <x v="0"/>
    <x v="9"/>
    <x v="9"/>
    <x v="9"/>
    <x v="9"/>
    <n v="180.062822422311"/>
    <x v="0"/>
    <x v="0"/>
    <x v="1"/>
    <x v="4"/>
    <x v="5"/>
    <x v="9"/>
    <n v="214.27475868255007"/>
  </r>
  <r>
    <x v="12"/>
    <x v="1"/>
    <x v="0"/>
    <x v="0"/>
    <x v="1"/>
    <x v="6"/>
    <x v="0"/>
    <x v="0"/>
    <x v="0"/>
    <x v="0"/>
    <x v="0"/>
    <x v="0"/>
    <x v="0"/>
    <x v="9"/>
    <x v="9"/>
    <x v="10"/>
    <x v="10"/>
    <n v="4.4038606723420397"/>
    <x v="0"/>
    <x v="0"/>
    <x v="1"/>
    <x v="4"/>
    <x v="5"/>
    <x v="10"/>
    <n v="5.2405942000870267"/>
  </r>
  <r>
    <x v="12"/>
    <x v="1"/>
    <x v="0"/>
    <x v="0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86.06500849999998"/>
  </r>
  <r>
    <x v="12"/>
    <x v="1"/>
    <x v="0"/>
    <x v="0"/>
    <x v="1"/>
    <x v="6"/>
    <x v="0"/>
    <x v="0"/>
    <x v="0"/>
    <x v="0"/>
    <x v="0"/>
    <x v="0"/>
    <x v="0"/>
    <x v="9"/>
    <x v="9"/>
    <x v="24"/>
    <x v="24"/>
    <n v="37.0073949578167"/>
    <x v="0"/>
    <x v="0"/>
    <x v="1"/>
    <x v="3"/>
    <x v="3"/>
    <x v="4"/>
    <n v="44.038799999801874"/>
  </r>
  <r>
    <x v="12"/>
    <x v="1"/>
    <x v="0"/>
    <x v="0"/>
    <x v="1"/>
    <x v="6"/>
    <x v="0"/>
    <x v="0"/>
    <x v="0"/>
    <x v="0"/>
    <x v="0"/>
    <x v="0"/>
    <x v="0"/>
    <x v="9"/>
    <x v="9"/>
    <x v="34"/>
    <x v="34"/>
    <n v="1.3303055325499999E-3"/>
    <x v="0"/>
    <x v="0"/>
    <x v="0"/>
    <x v="0"/>
    <x v="0"/>
    <x v="0"/>
    <n v="1.5830635837344998E-3"/>
  </r>
  <r>
    <x v="12"/>
    <x v="1"/>
    <x v="0"/>
    <x v="0"/>
    <x v="1"/>
    <x v="6"/>
    <x v="0"/>
    <x v="0"/>
    <x v="0"/>
    <x v="0"/>
    <x v="0"/>
    <x v="0"/>
    <x v="2"/>
    <x v="10"/>
    <x v="10"/>
    <x v="7"/>
    <x v="7"/>
    <n v="181.504293927031"/>
    <x v="0"/>
    <x v="0"/>
    <x v="1"/>
    <x v="4"/>
    <x v="5"/>
    <x v="7"/>
    <n v="215.99010977316689"/>
  </r>
  <r>
    <x v="12"/>
    <x v="1"/>
    <x v="0"/>
    <x v="0"/>
    <x v="1"/>
    <x v="6"/>
    <x v="0"/>
    <x v="0"/>
    <x v="0"/>
    <x v="0"/>
    <x v="0"/>
    <x v="0"/>
    <x v="2"/>
    <x v="10"/>
    <x v="10"/>
    <x v="9"/>
    <x v="9"/>
    <n v="60.830757763970603"/>
    <x v="0"/>
    <x v="0"/>
    <x v="1"/>
    <x v="4"/>
    <x v="5"/>
    <x v="9"/>
    <n v="72.388601739125008"/>
  </r>
  <r>
    <x v="12"/>
    <x v="1"/>
    <x v="0"/>
    <x v="0"/>
    <x v="1"/>
    <x v="6"/>
    <x v="0"/>
    <x v="0"/>
    <x v="0"/>
    <x v="0"/>
    <x v="0"/>
    <x v="0"/>
    <x v="2"/>
    <x v="10"/>
    <x v="10"/>
    <x v="10"/>
    <x v="10"/>
    <n v="1.60452783092E-3"/>
    <x v="0"/>
    <x v="0"/>
    <x v="1"/>
    <x v="4"/>
    <x v="5"/>
    <x v="10"/>
    <n v="1.9093881187947999E-3"/>
  </r>
  <r>
    <x v="12"/>
    <x v="1"/>
    <x v="0"/>
    <x v="0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105.60419379999999"/>
  </r>
  <r>
    <x v="12"/>
    <x v="1"/>
    <x v="0"/>
    <x v="0"/>
    <x v="1"/>
    <x v="6"/>
    <x v="0"/>
    <x v="0"/>
    <x v="0"/>
    <x v="0"/>
    <x v="0"/>
    <x v="0"/>
    <x v="2"/>
    <x v="10"/>
    <x v="10"/>
    <x v="24"/>
    <x v="24"/>
    <n v="55.432436974540501"/>
    <x v="0"/>
    <x v="0"/>
    <x v="1"/>
    <x v="3"/>
    <x v="3"/>
    <x v="4"/>
    <n v="65.964599999703196"/>
  </r>
  <r>
    <x v="12"/>
    <x v="1"/>
    <x v="0"/>
    <x v="0"/>
    <x v="1"/>
    <x v="6"/>
    <x v="0"/>
    <x v="0"/>
    <x v="0"/>
    <x v="0"/>
    <x v="0"/>
    <x v="0"/>
    <x v="2"/>
    <x v="10"/>
    <x v="10"/>
    <x v="34"/>
    <x v="34"/>
    <n v="2.77126341851E-3"/>
    <x v="0"/>
    <x v="0"/>
    <x v="0"/>
    <x v="0"/>
    <x v="0"/>
    <x v="0"/>
    <n v="3.2978034680269E-3"/>
  </r>
  <r>
    <x v="12"/>
    <x v="1"/>
    <x v="0"/>
    <x v="0"/>
    <x v="1"/>
    <x v="6"/>
    <x v="0"/>
    <x v="0"/>
    <x v="0"/>
    <x v="0"/>
    <x v="0"/>
    <x v="0"/>
    <x v="2"/>
    <x v="10"/>
    <x v="10"/>
    <x v="26"/>
    <x v="26"/>
    <n v="8.4033613400000007E-6"/>
    <x v="0"/>
    <x v="0"/>
    <x v="1"/>
    <x v="3"/>
    <x v="3"/>
    <x v="15"/>
    <n v="9.9999999945999998E-6"/>
  </r>
  <r>
    <x v="12"/>
    <x v="1"/>
    <x v="0"/>
    <x v="0"/>
    <x v="1"/>
    <x v="6"/>
    <x v="0"/>
    <x v="0"/>
    <x v="0"/>
    <x v="0"/>
    <x v="0"/>
    <x v="0"/>
    <x v="4"/>
    <x v="5"/>
    <x v="5"/>
    <x v="5"/>
    <x v="5"/>
    <n v="205.563314918874"/>
    <x v="0"/>
    <x v="0"/>
    <x v="1"/>
    <x v="1"/>
    <x v="1"/>
    <x v="5"/>
    <n v="244.62034475346005"/>
  </r>
  <r>
    <x v="12"/>
    <x v="1"/>
    <x v="0"/>
    <x v="0"/>
    <x v="1"/>
    <x v="6"/>
    <x v="0"/>
    <x v="0"/>
    <x v="0"/>
    <x v="0"/>
    <x v="0"/>
    <x v="0"/>
    <x v="4"/>
    <x v="5"/>
    <x v="5"/>
    <x v="7"/>
    <x v="7"/>
    <n v="549.37831709833097"/>
    <x v="0"/>
    <x v="0"/>
    <x v="1"/>
    <x v="4"/>
    <x v="5"/>
    <x v="7"/>
    <n v="653.76019734701379"/>
  </r>
  <r>
    <x v="12"/>
    <x v="1"/>
    <x v="0"/>
    <x v="0"/>
    <x v="1"/>
    <x v="6"/>
    <x v="0"/>
    <x v="0"/>
    <x v="0"/>
    <x v="0"/>
    <x v="0"/>
    <x v="0"/>
    <x v="4"/>
    <x v="5"/>
    <x v="5"/>
    <x v="9"/>
    <x v="9"/>
    <n v="218.75128340438101"/>
    <x v="0"/>
    <x v="0"/>
    <x v="1"/>
    <x v="4"/>
    <x v="5"/>
    <x v="9"/>
    <n v="260.31402725121342"/>
  </r>
  <r>
    <x v="12"/>
    <x v="1"/>
    <x v="0"/>
    <x v="0"/>
    <x v="1"/>
    <x v="6"/>
    <x v="0"/>
    <x v="0"/>
    <x v="0"/>
    <x v="0"/>
    <x v="0"/>
    <x v="0"/>
    <x v="4"/>
    <x v="5"/>
    <x v="5"/>
    <x v="10"/>
    <x v="10"/>
    <n v="49.511842670086203"/>
    <x v="0"/>
    <x v="0"/>
    <x v="1"/>
    <x v="4"/>
    <x v="5"/>
    <x v="10"/>
    <n v="58.919092777402582"/>
  </r>
  <r>
    <x v="12"/>
    <x v="1"/>
    <x v="0"/>
    <x v="0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9402520000000001"/>
  </r>
  <r>
    <x v="12"/>
    <x v="1"/>
    <x v="0"/>
    <x v="0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311.45176229999998"/>
  </r>
  <r>
    <x v="12"/>
    <x v="1"/>
    <x v="0"/>
    <x v="0"/>
    <x v="1"/>
    <x v="7"/>
    <x v="0"/>
    <x v="0"/>
    <x v="0"/>
    <x v="0"/>
    <x v="0"/>
    <x v="0"/>
    <x v="2"/>
    <x v="2"/>
    <x v="2"/>
    <x v="9"/>
    <x v="9"/>
    <n v="0.57142857142600001"/>
    <x v="0"/>
    <x v="0"/>
    <x v="1"/>
    <x v="4"/>
    <x v="5"/>
    <x v="9"/>
    <n v="0.67999999999693994"/>
  </r>
  <r>
    <x v="12"/>
    <x v="1"/>
    <x v="0"/>
    <x v="0"/>
    <x v="1"/>
    <x v="7"/>
    <x v="0"/>
    <x v="0"/>
    <x v="0"/>
    <x v="0"/>
    <x v="0"/>
    <x v="0"/>
    <x v="2"/>
    <x v="2"/>
    <x v="2"/>
    <x v="10"/>
    <x v="10"/>
    <n v="2.7067226890634499"/>
    <x v="0"/>
    <x v="0"/>
    <x v="1"/>
    <x v="4"/>
    <x v="5"/>
    <x v="10"/>
    <n v="3.2209999999855055"/>
  </r>
  <r>
    <x v="12"/>
    <x v="1"/>
    <x v="0"/>
    <x v="0"/>
    <x v="1"/>
    <x v="7"/>
    <x v="0"/>
    <x v="0"/>
    <x v="0"/>
    <x v="0"/>
    <x v="0"/>
    <x v="0"/>
    <x v="2"/>
    <x v="2"/>
    <x v="2"/>
    <x v="11"/>
    <x v="11"/>
    <n v="90.178849999999997"/>
    <x v="0"/>
    <x v="0"/>
    <x v="3"/>
    <x v="5"/>
    <x v="7"/>
    <x v="11"/>
    <n v="107.31283149999999"/>
  </r>
  <r>
    <x v="12"/>
    <x v="1"/>
    <x v="0"/>
    <x v="0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8539999999999992"/>
  </r>
  <r>
    <x v="12"/>
    <x v="1"/>
    <x v="0"/>
    <x v="0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2.176839999999999"/>
  </r>
  <r>
    <x v="12"/>
    <x v="1"/>
    <x v="0"/>
    <x v="0"/>
    <x v="1"/>
    <x v="7"/>
    <x v="0"/>
    <x v="0"/>
    <x v="0"/>
    <x v="0"/>
    <x v="0"/>
    <x v="0"/>
    <x v="2"/>
    <x v="2"/>
    <x v="2"/>
    <x v="21"/>
    <x v="21"/>
    <n v="0.60504201680400005"/>
    <x v="0"/>
    <x v="0"/>
    <x v="1"/>
    <x v="4"/>
    <x v="5"/>
    <x v="10"/>
    <n v="0.71999999999676001"/>
  </r>
  <r>
    <x v="12"/>
    <x v="1"/>
    <x v="0"/>
    <x v="0"/>
    <x v="1"/>
    <x v="7"/>
    <x v="0"/>
    <x v="0"/>
    <x v="0"/>
    <x v="0"/>
    <x v="0"/>
    <x v="0"/>
    <x v="2"/>
    <x v="2"/>
    <x v="2"/>
    <x v="18"/>
    <x v="18"/>
    <n v="9.7759999999999998"/>
    <x v="0"/>
    <x v="0"/>
    <x v="0"/>
    <x v="0"/>
    <x v="4"/>
    <x v="18"/>
    <n v="11.633439999999998"/>
  </r>
  <r>
    <x v="12"/>
    <x v="1"/>
    <x v="0"/>
    <x v="0"/>
    <x v="1"/>
    <x v="7"/>
    <x v="0"/>
    <x v="0"/>
    <x v="0"/>
    <x v="0"/>
    <x v="0"/>
    <x v="0"/>
    <x v="2"/>
    <x v="2"/>
    <x v="2"/>
    <x v="26"/>
    <x v="26"/>
    <n v="58.235294117385003"/>
    <x v="0"/>
    <x v="0"/>
    <x v="1"/>
    <x v="3"/>
    <x v="3"/>
    <x v="15"/>
    <n v="69.299999999688154"/>
  </r>
  <r>
    <x v="12"/>
    <x v="1"/>
    <x v="0"/>
    <x v="0"/>
    <x v="1"/>
    <x v="7"/>
    <x v="0"/>
    <x v="0"/>
    <x v="0"/>
    <x v="0"/>
    <x v="0"/>
    <x v="0"/>
    <x v="1"/>
    <x v="6"/>
    <x v="6"/>
    <x v="11"/>
    <x v="11"/>
    <n v="10.465400000000001"/>
    <x v="0"/>
    <x v="0"/>
    <x v="3"/>
    <x v="5"/>
    <x v="7"/>
    <x v="11"/>
    <n v="12.453825999999999"/>
  </r>
  <r>
    <x v="12"/>
    <x v="1"/>
    <x v="0"/>
    <x v="0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30.848369999999996"/>
  </r>
  <r>
    <x v="12"/>
    <x v="1"/>
    <x v="0"/>
    <x v="0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9499999999999993"/>
  </r>
  <r>
    <x v="12"/>
    <x v="1"/>
    <x v="0"/>
    <x v="0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404.59999999999997"/>
  </r>
  <r>
    <x v="12"/>
    <x v="1"/>
    <x v="0"/>
    <x v="0"/>
    <x v="1"/>
    <x v="7"/>
    <x v="0"/>
    <x v="0"/>
    <x v="0"/>
    <x v="0"/>
    <x v="0"/>
    <x v="0"/>
    <x v="3"/>
    <x v="14"/>
    <x v="3"/>
    <x v="11"/>
    <x v="11"/>
    <n v="5.3607500000000003"/>
    <x v="0"/>
    <x v="0"/>
    <x v="3"/>
    <x v="5"/>
    <x v="7"/>
    <x v="11"/>
    <n v="6.3792925"/>
  </r>
  <r>
    <x v="12"/>
    <x v="1"/>
    <x v="0"/>
    <x v="0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5.3549999999999995"/>
  </r>
  <r>
    <x v="12"/>
    <x v="1"/>
    <x v="0"/>
    <x v="0"/>
    <x v="1"/>
    <x v="6"/>
    <x v="0"/>
    <x v="0"/>
    <x v="0"/>
    <x v="0"/>
    <x v="0"/>
    <x v="0"/>
    <x v="4"/>
    <x v="5"/>
    <x v="5"/>
    <x v="12"/>
    <x v="12"/>
    <n v="21.106465909023399"/>
    <x v="0"/>
    <x v="0"/>
    <x v="0"/>
    <x v="0"/>
    <x v="8"/>
    <x v="12"/>
    <n v="25.116694431737844"/>
  </r>
  <r>
    <x v="12"/>
    <x v="1"/>
    <x v="0"/>
    <x v="0"/>
    <x v="1"/>
    <x v="6"/>
    <x v="0"/>
    <x v="0"/>
    <x v="0"/>
    <x v="0"/>
    <x v="0"/>
    <x v="0"/>
    <x v="4"/>
    <x v="5"/>
    <x v="5"/>
    <x v="24"/>
    <x v="24"/>
    <n v="3.9512605041839"/>
    <x v="0"/>
    <x v="0"/>
    <x v="1"/>
    <x v="3"/>
    <x v="3"/>
    <x v="4"/>
    <n v="4.7019999999788409"/>
  </r>
  <r>
    <x v="12"/>
    <x v="1"/>
    <x v="0"/>
    <x v="0"/>
    <x v="1"/>
    <x v="6"/>
    <x v="0"/>
    <x v="0"/>
    <x v="0"/>
    <x v="0"/>
    <x v="0"/>
    <x v="0"/>
    <x v="4"/>
    <x v="5"/>
    <x v="5"/>
    <x v="34"/>
    <x v="34"/>
    <n v="1.017671345941E-2"/>
    <x v="0"/>
    <x v="0"/>
    <x v="0"/>
    <x v="0"/>
    <x v="0"/>
    <x v="0"/>
    <n v="1.21102890166979E-2"/>
  </r>
  <r>
    <x v="12"/>
    <x v="1"/>
    <x v="0"/>
    <x v="0"/>
    <x v="1"/>
    <x v="6"/>
    <x v="0"/>
    <x v="0"/>
    <x v="0"/>
    <x v="0"/>
    <x v="0"/>
    <x v="0"/>
    <x v="4"/>
    <x v="5"/>
    <x v="5"/>
    <x v="27"/>
    <x v="27"/>
    <n v="7.4947368422664002"/>
    <x v="0"/>
    <x v="0"/>
    <x v="1"/>
    <x v="3"/>
    <x v="3"/>
    <x v="19"/>
    <n v="8.9187368422970152"/>
  </r>
  <r>
    <x v="12"/>
    <x v="1"/>
    <x v="0"/>
    <x v="0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53.161643499999997"/>
  </r>
  <r>
    <x v="12"/>
    <x v="1"/>
    <x v="0"/>
    <x v="0"/>
    <x v="1"/>
    <x v="6"/>
    <x v="0"/>
    <x v="0"/>
    <x v="0"/>
    <x v="0"/>
    <x v="0"/>
    <x v="0"/>
    <x v="4"/>
    <x v="5"/>
    <x v="5"/>
    <x v="26"/>
    <x v="26"/>
    <n v="3.2722773109096401"/>
    <x v="0"/>
    <x v="0"/>
    <x v="1"/>
    <x v="3"/>
    <x v="3"/>
    <x v="15"/>
    <n v="3.8940099999824715"/>
  </r>
  <r>
    <x v="12"/>
    <x v="1"/>
    <x v="0"/>
    <x v="0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37.88856429999998"/>
  </r>
  <r>
    <x v="12"/>
    <x v="1"/>
    <x v="0"/>
    <x v="0"/>
    <x v="1"/>
    <x v="6"/>
    <x v="0"/>
    <x v="0"/>
    <x v="0"/>
    <x v="0"/>
    <x v="3"/>
    <x v="3"/>
    <x v="3"/>
    <x v="3"/>
    <x v="3"/>
    <x v="5"/>
    <x v="5"/>
    <n v="71.546961326575001"/>
    <x v="0"/>
    <x v="0"/>
    <x v="1"/>
    <x v="1"/>
    <x v="1"/>
    <x v="5"/>
    <n v="85.140883978624245"/>
  </r>
  <r>
    <x v="12"/>
    <x v="1"/>
    <x v="0"/>
    <x v="0"/>
    <x v="1"/>
    <x v="6"/>
    <x v="0"/>
    <x v="0"/>
    <x v="0"/>
    <x v="0"/>
    <x v="3"/>
    <x v="3"/>
    <x v="3"/>
    <x v="3"/>
    <x v="3"/>
    <x v="7"/>
    <x v="7"/>
    <n v="-2.08192771086336"/>
    <x v="0"/>
    <x v="0"/>
    <x v="1"/>
    <x v="4"/>
    <x v="5"/>
    <x v="7"/>
    <n v="-2.4774939759273984"/>
  </r>
  <r>
    <x v="12"/>
    <x v="1"/>
    <x v="0"/>
    <x v="0"/>
    <x v="1"/>
    <x v="6"/>
    <x v="0"/>
    <x v="0"/>
    <x v="2"/>
    <x v="2"/>
    <x v="3"/>
    <x v="3"/>
    <x v="3"/>
    <x v="3"/>
    <x v="3"/>
    <x v="41"/>
    <x v="41"/>
    <n v="20.988945054924098"/>
    <x v="1"/>
    <x v="2"/>
    <x v="5"/>
    <x v="7"/>
    <x v="11"/>
    <x v="22"/>
    <n v="24.976844615359674"/>
  </r>
  <r>
    <x v="12"/>
    <x v="1"/>
    <x v="0"/>
    <x v="0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31.88326129999999"/>
  </r>
  <r>
    <x v="12"/>
    <x v="1"/>
    <x v="0"/>
    <x v="0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30.22040290000001"/>
  </r>
  <r>
    <x v="12"/>
    <x v="1"/>
    <x v="0"/>
    <x v="0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3918999999999997"/>
  </r>
  <r>
    <x v="12"/>
    <x v="1"/>
    <x v="0"/>
    <x v="0"/>
    <x v="1"/>
    <x v="6"/>
    <x v="0"/>
    <x v="0"/>
    <x v="0"/>
    <x v="0"/>
    <x v="3"/>
    <x v="3"/>
    <x v="3"/>
    <x v="3"/>
    <x v="3"/>
    <x v="2"/>
    <x v="2"/>
    <n v="23.553134453675501"/>
    <x v="0"/>
    <x v="1"/>
    <x v="2"/>
    <x v="2"/>
    <x v="13"/>
    <x v="2"/>
    <n v="28.028229999873844"/>
  </r>
  <r>
    <x v="12"/>
    <x v="1"/>
    <x v="0"/>
    <x v="0"/>
    <x v="1"/>
    <x v="6"/>
    <x v="0"/>
    <x v="0"/>
    <x v="0"/>
    <x v="0"/>
    <x v="3"/>
    <x v="3"/>
    <x v="3"/>
    <x v="3"/>
    <x v="3"/>
    <x v="77"/>
    <x v="77"/>
    <n v="12.479840336078301"/>
    <x v="0"/>
    <x v="2"/>
    <x v="5"/>
    <x v="7"/>
    <x v="12"/>
    <x v="24"/>
    <n v="14.851009999933177"/>
  </r>
  <r>
    <x v="12"/>
    <x v="1"/>
    <x v="0"/>
    <x v="0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76.33369570000002"/>
  </r>
  <r>
    <x v="12"/>
    <x v="1"/>
    <x v="0"/>
    <x v="0"/>
    <x v="1"/>
    <x v="6"/>
    <x v="0"/>
    <x v="0"/>
    <x v="0"/>
    <x v="0"/>
    <x v="3"/>
    <x v="3"/>
    <x v="0"/>
    <x v="4"/>
    <x v="4"/>
    <x v="5"/>
    <x v="5"/>
    <n v="2.4861878453249999"/>
    <x v="0"/>
    <x v="0"/>
    <x v="1"/>
    <x v="1"/>
    <x v="1"/>
    <x v="5"/>
    <n v="2.9585635359367499"/>
  </r>
  <r>
    <x v="12"/>
    <x v="1"/>
    <x v="0"/>
    <x v="0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10.348239999999999"/>
  </r>
  <r>
    <x v="12"/>
    <x v="1"/>
    <x v="0"/>
    <x v="0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3799999999999999"/>
  </r>
  <r>
    <x v="12"/>
    <x v="1"/>
    <x v="0"/>
    <x v="0"/>
    <x v="1"/>
    <x v="6"/>
    <x v="0"/>
    <x v="0"/>
    <x v="0"/>
    <x v="0"/>
    <x v="3"/>
    <x v="3"/>
    <x v="0"/>
    <x v="4"/>
    <x v="4"/>
    <x v="1"/>
    <x v="1"/>
    <n v="5.8133266666957297"/>
    <x v="0"/>
    <x v="0"/>
    <x v="1"/>
    <x v="1"/>
    <x v="1"/>
    <x v="1"/>
    <n v="6.9178587333679182"/>
  </r>
  <r>
    <x v="12"/>
    <x v="1"/>
    <x v="0"/>
    <x v="0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206.14305739999998"/>
  </r>
  <r>
    <x v="12"/>
    <x v="1"/>
    <x v="0"/>
    <x v="0"/>
    <x v="1"/>
    <x v="6"/>
    <x v="0"/>
    <x v="0"/>
    <x v="0"/>
    <x v="0"/>
    <x v="3"/>
    <x v="3"/>
    <x v="2"/>
    <x v="2"/>
    <x v="2"/>
    <x v="5"/>
    <x v="5"/>
    <n v="21.933602210131198"/>
    <x v="0"/>
    <x v="0"/>
    <x v="1"/>
    <x v="1"/>
    <x v="1"/>
    <x v="5"/>
    <n v="26.100986630056124"/>
  </r>
  <r>
    <x v="12"/>
    <x v="1"/>
    <x v="0"/>
    <x v="0"/>
    <x v="1"/>
    <x v="6"/>
    <x v="0"/>
    <x v="0"/>
    <x v="2"/>
    <x v="2"/>
    <x v="3"/>
    <x v="3"/>
    <x v="2"/>
    <x v="2"/>
    <x v="2"/>
    <x v="41"/>
    <x v="41"/>
    <n v="0.71428571428499998"/>
    <x v="1"/>
    <x v="2"/>
    <x v="5"/>
    <x v="7"/>
    <x v="11"/>
    <x v="22"/>
    <n v="0.84999999999914999"/>
  </r>
  <r>
    <x v="12"/>
    <x v="1"/>
    <x v="0"/>
    <x v="0"/>
    <x v="1"/>
    <x v="6"/>
    <x v="0"/>
    <x v="0"/>
    <x v="0"/>
    <x v="0"/>
    <x v="3"/>
    <x v="3"/>
    <x v="2"/>
    <x v="2"/>
    <x v="2"/>
    <x v="9"/>
    <x v="9"/>
    <n v="2.8088007363696001"/>
    <x v="0"/>
    <x v="0"/>
    <x v="1"/>
    <x v="4"/>
    <x v="5"/>
    <x v="9"/>
    <n v="3.3424728762798241"/>
  </r>
  <r>
    <x v="12"/>
    <x v="1"/>
    <x v="0"/>
    <x v="0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5.516870900000001"/>
  </r>
  <r>
    <x v="12"/>
    <x v="1"/>
    <x v="0"/>
    <x v="0"/>
    <x v="1"/>
    <x v="6"/>
    <x v="0"/>
    <x v="0"/>
    <x v="0"/>
    <x v="0"/>
    <x v="3"/>
    <x v="3"/>
    <x v="2"/>
    <x v="2"/>
    <x v="2"/>
    <x v="31"/>
    <x v="31"/>
    <n v="8.4033613400000007E-6"/>
    <x v="0"/>
    <x v="0"/>
    <x v="1"/>
    <x v="4"/>
    <x v="5"/>
    <x v="10"/>
    <n v="9.9999999945999998E-6"/>
  </r>
  <r>
    <x v="12"/>
    <x v="1"/>
    <x v="0"/>
    <x v="0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7.3304"/>
  </r>
  <r>
    <x v="12"/>
    <x v="1"/>
    <x v="0"/>
    <x v="0"/>
    <x v="1"/>
    <x v="6"/>
    <x v="0"/>
    <x v="0"/>
    <x v="0"/>
    <x v="0"/>
    <x v="3"/>
    <x v="3"/>
    <x v="2"/>
    <x v="2"/>
    <x v="2"/>
    <x v="32"/>
    <x v="32"/>
    <n v="10.261255411719199"/>
    <x v="0"/>
    <x v="0"/>
    <x v="1"/>
    <x v="1"/>
    <x v="1"/>
    <x v="20"/>
    <n v="12.210893939945846"/>
  </r>
  <r>
    <x v="12"/>
    <x v="1"/>
    <x v="0"/>
    <x v="0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4.165"/>
  </r>
  <r>
    <x v="12"/>
    <x v="1"/>
    <x v="0"/>
    <x v="0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9155000000000002"/>
  </r>
  <r>
    <x v="12"/>
    <x v="1"/>
    <x v="0"/>
    <x v="0"/>
    <x v="1"/>
    <x v="6"/>
    <x v="0"/>
    <x v="0"/>
    <x v="0"/>
    <x v="0"/>
    <x v="3"/>
    <x v="3"/>
    <x v="2"/>
    <x v="2"/>
    <x v="2"/>
    <x v="79"/>
    <x v="79"/>
    <n v="0.9400252100798"/>
    <x v="0"/>
    <x v="0"/>
    <x v="1"/>
    <x v="4"/>
    <x v="5"/>
    <x v="10"/>
    <n v="1.118629999994962"/>
  </r>
  <r>
    <x v="12"/>
    <x v="1"/>
    <x v="0"/>
    <x v="0"/>
    <x v="1"/>
    <x v="6"/>
    <x v="0"/>
    <x v="0"/>
    <x v="0"/>
    <x v="0"/>
    <x v="3"/>
    <x v="3"/>
    <x v="2"/>
    <x v="2"/>
    <x v="2"/>
    <x v="27"/>
    <x v="27"/>
    <n v="0.27459954234"/>
    <x v="0"/>
    <x v="0"/>
    <x v="1"/>
    <x v="3"/>
    <x v="3"/>
    <x v="19"/>
    <n v="0.32677345538460001"/>
  </r>
  <r>
    <x v="12"/>
    <x v="1"/>
    <x v="0"/>
    <x v="0"/>
    <x v="1"/>
    <x v="6"/>
    <x v="0"/>
    <x v="0"/>
    <x v="0"/>
    <x v="0"/>
    <x v="3"/>
    <x v="3"/>
    <x v="2"/>
    <x v="2"/>
    <x v="2"/>
    <x v="78"/>
    <x v="78"/>
    <n v="5.0420168067000004"/>
    <x v="0"/>
    <x v="0"/>
    <x v="1"/>
    <x v="4"/>
    <x v="5"/>
    <x v="9"/>
    <n v="5.9999999999730003"/>
  </r>
  <r>
    <x v="12"/>
    <x v="1"/>
    <x v="0"/>
    <x v="0"/>
    <x v="1"/>
    <x v="6"/>
    <x v="0"/>
    <x v="0"/>
    <x v="0"/>
    <x v="0"/>
    <x v="3"/>
    <x v="3"/>
    <x v="2"/>
    <x v="2"/>
    <x v="2"/>
    <x v="0"/>
    <x v="0"/>
    <n v="90.682889778911303"/>
    <x v="0"/>
    <x v="0"/>
    <x v="0"/>
    <x v="0"/>
    <x v="0"/>
    <x v="0"/>
    <n v="107.91263883690445"/>
  </r>
  <r>
    <x v="12"/>
    <x v="1"/>
    <x v="0"/>
    <x v="0"/>
    <x v="1"/>
    <x v="6"/>
    <x v="0"/>
    <x v="0"/>
    <x v="0"/>
    <x v="0"/>
    <x v="3"/>
    <x v="3"/>
    <x v="2"/>
    <x v="2"/>
    <x v="2"/>
    <x v="2"/>
    <x v="2"/>
    <n v="13.0400840335548"/>
    <x v="0"/>
    <x v="1"/>
    <x v="2"/>
    <x v="2"/>
    <x v="13"/>
    <x v="2"/>
    <n v="15.517699999930212"/>
  </r>
  <r>
    <x v="12"/>
    <x v="1"/>
    <x v="0"/>
    <x v="0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10.8636409"/>
  </r>
  <r>
    <x v="12"/>
    <x v="1"/>
    <x v="0"/>
    <x v="0"/>
    <x v="1"/>
    <x v="6"/>
    <x v="0"/>
    <x v="0"/>
    <x v="0"/>
    <x v="0"/>
    <x v="3"/>
    <x v="3"/>
    <x v="1"/>
    <x v="6"/>
    <x v="6"/>
    <x v="8"/>
    <x v="8"/>
    <n v="4.028571428556E-2"/>
    <x v="0"/>
    <x v="1"/>
    <x v="2"/>
    <x v="2"/>
    <x v="6"/>
    <x v="8"/>
    <n v="4.79399999998164E-2"/>
  </r>
  <r>
    <x v="12"/>
    <x v="1"/>
    <x v="0"/>
    <x v="0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6.9713143"/>
  </r>
  <r>
    <x v="12"/>
    <x v="1"/>
    <x v="0"/>
    <x v="0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9.547351699999993"/>
  </r>
  <r>
    <x v="12"/>
    <x v="1"/>
    <x v="0"/>
    <x v="0"/>
    <x v="1"/>
    <x v="6"/>
    <x v="0"/>
    <x v="0"/>
    <x v="0"/>
    <x v="0"/>
    <x v="3"/>
    <x v="3"/>
    <x v="1"/>
    <x v="6"/>
    <x v="6"/>
    <x v="57"/>
    <x v="57"/>
    <n v="12.1546961327"/>
    <x v="0"/>
    <x v="0"/>
    <x v="1"/>
    <x v="1"/>
    <x v="1"/>
    <x v="5"/>
    <n v="14.464088397912999"/>
  </r>
  <r>
    <x v="12"/>
    <x v="1"/>
    <x v="0"/>
    <x v="0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5827"/>
  </r>
  <r>
    <x v="12"/>
    <x v="1"/>
    <x v="0"/>
    <x v="0"/>
    <x v="1"/>
    <x v="6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9164016999999998"/>
  </r>
  <r>
    <x v="12"/>
    <x v="1"/>
    <x v="0"/>
    <x v="0"/>
    <x v="1"/>
    <x v="6"/>
    <x v="0"/>
    <x v="0"/>
    <x v="0"/>
    <x v="0"/>
    <x v="3"/>
    <x v="3"/>
    <x v="1"/>
    <x v="6"/>
    <x v="6"/>
    <x v="2"/>
    <x v="2"/>
    <n v="9.3512605041595993"/>
    <x v="0"/>
    <x v="1"/>
    <x v="2"/>
    <x v="2"/>
    <x v="13"/>
    <x v="2"/>
    <n v="11.127999999949923"/>
  </r>
  <r>
    <x v="12"/>
    <x v="1"/>
    <x v="0"/>
    <x v="0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20.23"/>
  </r>
  <r>
    <x v="12"/>
    <x v="1"/>
    <x v="0"/>
    <x v="0"/>
    <x v="1"/>
    <x v="6"/>
    <x v="0"/>
    <x v="0"/>
    <x v="0"/>
    <x v="0"/>
    <x v="18"/>
    <x v="18"/>
    <x v="0"/>
    <x v="4"/>
    <x v="4"/>
    <x v="26"/>
    <x v="26"/>
    <n v="0.89008403360944"/>
    <x v="0"/>
    <x v="0"/>
    <x v="1"/>
    <x v="3"/>
    <x v="3"/>
    <x v="15"/>
    <n v="1.0591999999952335"/>
  </r>
  <r>
    <x v="12"/>
    <x v="1"/>
    <x v="0"/>
    <x v="0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10.33039779999999"/>
  </r>
  <r>
    <x v="12"/>
    <x v="1"/>
    <x v="0"/>
    <x v="0"/>
    <x v="1"/>
    <x v="6"/>
    <x v="0"/>
    <x v="0"/>
    <x v="0"/>
    <x v="0"/>
    <x v="26"/>
    <x v="26"/>
    <x v="2"/>
    <x v="2"/>
    <x v="2"/>
    <x v="1"/>
    <x v="1"/>
    <n v="5.0784266666920601"/>
    <x v="0"/>
    <x v="0"/>
    <x v="1"/>
    <x v="1"/>
    <x v="1"/>
    <x v="1"/>
    <n v="6.0433277333635509"/>
  </r>
  <r>
    <x v="12"/>
    <x v="1"/>
    <x v="0"/>
    <x v="0"/>
    <x v="1"/>
    <x v="6"/>
    <x v="0"/>
    <x v="0"/>
    <x v="2"/>
    <x v="2"/>
    <x v="26"/>
    <x v="26"/>
    <x v="1"/>
    <x v="6"/>
    <x v="6"/>
    <x v="41"/>
    <x v="41"/>
    <n v="1.45881318681173"/>
    <x v="1"/>
    <x v="2"/>
    <x v="5"/>
    <x v="7"/>
    <x v="11"/>
    <x v="22"/>
    <n v="1.7359876923059587"/>
  </r>
  <r>
    <x v="12"/>
    <x v="1"/>
    <x v="0"/>
    <x v="0"/>
    <x v="1"/>
    <x v="6"/>
    <x v="0"/>
    <x v="0"/>
    <x v="0"/>
    <x v="0"/>
    <x v="4"/>
    <x v="4"/>
    <x v="3"/>
    <x v="3"/>
    <x v="3"/>
    <x v="2"/>
    <x v="2"/>
    <n v="0.20694117646966001"/>
    <x v="0"/>
    <x v="1"/>
    <x v="2"/>
    <x v="2"/>
    <x v="13"/>
    <x v="2"/>
    <n v="0.24625999999889539"/>
  </r>
  <r>
    <x v="12"/>
    <x v="1"/>
    <x v="0"/>
    <x v="0"/>
    <x v="1"/>
    <x v="6"/>
    <x v="0"/>
    <x v="0"/>
    <x v="0"/>
    <x v="0"/>
    <x v="4"/>
    <x v="4"/>
    <x v="2"/>
    <x v="2"/>
    <x v="2"/>
    <x v="5"/>
    <x v="5"/>
    <n v="1.122651933711E-2"/>
    <x v="0"/>
    <x v="0"/>
    <x v="1"/>
    <x v="1"/>
    <x v="1"/>
    <x v="5"/>
    <n v="1.3359558011160899E-2"/>
  </r>
  <r>
    <x v="12"/>
    <x v="1"/>
    <x v="0"/>
    <x v="0"/>
    <x v="1"/>
    <x v="6"/>
    <x v="0"/>
    <x v="0"/>
    <x v="0"/>
    <x v="0"/>
    <x v="4"/>
    <x v="4"/>
    <x v="2"/>
    <x v="2"/>
    <x v="2"/>
    <x v="7"/>
    <x v="7"/>
    <n v="0.285714285713"/>
    <x v="0"/>
    <x v="0"/>
    <x v="1"/>
    <x v="4"/>
    <x v="5"/>
    <x v="7"/>
    <n v="0.33999999999846997"/>
  </r>
  <r>
    <x v="12"/>
    <x v="1"/>
    <x v="0"/>
    <x v="0"/>
    <x v="1"/>
    <x v="6"/>
    <x v="0"/>
    <x v="0"/>
    <x v="0"/>
    <x v="0"/>
    <x v="4"/>
    <x v="4"/>
    <x v="2"/>
    <x v="2"/>
    <x v="2"/>
    <x v="8"/>
    <x v="8"/>
    <n v="1.0496521739090501"/>
    <x v="0"/>
    <x v="1"/>
    <x v="2"/>
    <x v="2"/>
    <x v="6"/>
    <x v="8"/>
    <n v="1.2490860869517695"/>
  </r>
  <r>
    <x v="12"/>
    <x v="1"/>
    <x v="0"/>
    <x v="0"/>
    <x v="1"/>
    <x v="6"/>
    <x v="0"/>
    <x v="0"/>
    <x v="2"/>
    <x v="2"/>
    <x v="4"/>
    <x v="4"/>
    <x v="2"/>
    <x v="2"/>
    <x v="2"/>
    <x v="41"/>
    <x v="41"/>
    <n v="0.63736263736200005"/>
    <x v="1"/>
    <x v="2"/>
    <x v="5"/>
    <x v="7"/>
    <x v="11"/>
    <x v="22"/>
    <n v="0.75846153846078002"/>
  </r>
  <r>
    <x v="12"/>
    <x v="1"/>
    <x v="0"/>
    <x v="0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6069"/>
  </r>
  <r>
    <x v="12"/>
    <x v="1"/>
    <x v="0"/>
    <x v="0"/>
    <x v="1"/>
    <x v="6"/>
    <x v="0"/>
    <x v="0"/>
    <x v="0"/>
    <x v="0"/>
    <x v="4"/>
    <x v="4"/>
    <x v="2"/>
    <x v="2"/>
    <x v="2"/>
    <x v="21"/>
    <x v="21"/>
    <n v="0.89526050419765002"/>
    <x v="0"/>
    <x v="0"/>
    <x v="1"/>
    <x v="4"/>
    <x v="5"/>
    <x v="10"/>
    <n v="1.0653599999952035"/>
  </r>
  <r>
    <x v="12"/>
    <x v="1"/>
    <x v="0"/>
    <x v="0"/>
    <x v="1"/>
    <x v="6"/>
    <x v="0"/>
    <x v="0"/>
    <x v="0"/>
    <x v="0"/>
    <x v="4"/>
    <x v="4"/>
    <x v="2"/>
    <x v="2"/>
    <x v="2"/>
    <x v="79"/>
    <x v="79"/>
    <n v="0.26890756302399998"/>
    <x v="0"/>
    <x v="0"/>
    <x v="1"/>
    <x v="4"/>
    <x v="5"/>
    <x v="10"/>
    <n v="0.31999999999855999"/>
  </r>
  <r>
    <x v="12"/>
    <x v="1"/>
    <x v="0"/>
    <x v="0"/>
    <x v="1"/>
    <x v="6"/>
    <x v="0"/>
    <x v="0"/>
    <x v="0"/>
    <x v="0"/>
    <x v="4"/>
    <x v="4"/>
    <x v="2"/>
    <x v="2"/>
    <x v="2"/>
    <x v="78"/>
    <x v="78"/>
    <n v="1.82082352940357"/>
    <x v="0"/>
    <x v="0"/>
    <x v="1"/>
    <x v="4"/>
    <x v="5"/>
    <x v="9"/>
    <n v="2.166779999990248"/>
  </r>
  <r>
    <x v="12"/>
    <x v="1"/>
    <x v="0"/>
    <x v="0"/>
    <x v="1"/>
    <x v="6"/>
    <x v="0"/>
    <x v="0"/>
    <x v="0"/>
    <x v="0"/>
    <x v="4"/>
    <x v="4"/>
    <x v="2"/>
    <x v="2"/>
    <x v="2"/>
    <x v="26"/>
    <x v="26"/>
    <n v="0.48326050419951"/>
    <x v="0"/>
    <x v="0"/>
    <x v="1"/>
    <x v="3"/>
    <x v="3"/>
    <x v="15"/>
    <n v="0.57507999999741688"/>
  </r>
  <r>
    <x v="12"/>
    <x v="1"/>
    <x v="0"/>
    <x v="0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7.14"/>
  </r>
  <r>
    <x v="12"/>
    <x v="1"/>
    <x v="0"/>
    <x v="0"/>
    <x v="1"/>
    <x v="6"/>
    <x v="0"/>
    <x v="0"/>
    <x v="0"/>
    <x v="0"/>
    <x v="4"/>
    <x v="4"/>
    <x v="4"/>
    <x v="5"/>
    <x v="5"/>
    <x v="20"/>
    <x v="20"/>
    <n v="20.752400000000002"/>
    <x v="0"/>
    <x v="0"/>
    <x v="1"/>
    <x v="3"/>
    <x v="3"/>
    <x v="13"/>
    <n v="24.695356"/>
  </r>
  <r>
    <x v="12"/>
    <x v="1"/>
    <x v="0"/>
    <x v="0"/>
    <x v="1"/>
    <x v="6"/>
    <x v="0"/>
    <x v="0"/>
    <x v="2"/>
    <x v="2"/>
    <x v="5"/>
    <x v="5"/>
    <x v="3"/>
    <x v="3"/>
    <x v="3"/>
    <x v="41"/>
    <x v="41"/>
    <n v="3.73541758241385"/>
    <x v="1"/>
    <x v="2"/>
    <x v="5"/>
    <x v="7"/>
    <x v="11"/>
    <x v="22"/>
    <n v="4.4451469230724809"/>
  </r>
  <r>
    <x v="12"/>
    <x v="1"/>
    <x v="0"/>
    <x v="0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5.563314999999996"/>
  </r>
  <r>
    <x v="12"/>
    <x v="1"/>
    <x v="0"/>
    <x v="0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6767000000000003"/>
  </r>
  <r>
    <x v="12"/>
    <x v="1"/>
    <x v="0"/>
    <x v="0"/>
    <x v="1"/>
    <x v="6"/>
    <x v="0"/>
    <x v="0"/>
    <x v="0"/>
    <x v="0"/>
    <x v="5"/>
    <x v="5"/>
    <x v="2"/>
    <x v="2"/>
    <x v="2"/>
    <x v="7"/>
    <x v="7"/>
    <n v="7.4695346386259196"/>
    <x v="0"/>
    <x v="0"/>
    <x v="1"/>
    <x v="4"/>
    <x v="5"/>
    <x v="7"/>
    <n v="8.8887462199648439"/>
  </r>
  <r>
    <x v="12"/>
    <x v="1"/>
    <x v="0"/>
    <x v="0"/>
    <x v="1"/>
    <x v="6"/>
    <x v="0"/>
    <x v="0"/>
    <x v="2"/>
    <x v="2"/>
    <x v="5"/>
    <x v="5"/>
    <x v="2"/>
    <x v="2"/>
    <x v="2"/>
    <x v="41"/>
    <x v="41"/>
    <n v="103.749010988907"/>
    <x v="1"/>
    <x v="2"/>
    <x v="5"/>
    <x v="7"/>
    <x v="11"/>
    <x v="22"/>
    <n v="123.46132307679933"/>
  </r>
  <r>
    <x v="12"/>
    <x v="1"/>
    <x v="0"/>
    <x v="0"/>
    <x v="1"/>
    <x v="6"/>
    <x v="0"/>
    <x v="0"/>
    <x v="2"/>
    <x v="2"/>
    <x v="5"/>
    <x v="5"/>
    <x v="2"/>
    <x v="2"/>
    <x v="2"/>
    <x v="40"/>
    <x v="40"/>
    <n v="10133.64013"/>
    <x v="1"/>
    <x v="2"/>
    <x v="5"/>
    <x v="7"/>
    <x v="11"/>
    <x v="22"/>
    <n v="12059.0317547"/>
  </r>
  <r>
    <x v="12"/>
    <x v="1"/>
    <x v="0"/>
    <x v="0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207.14897629999999"/>
  </r>
  <r>
    <x v="12"/>
    <x v="1"/>
    <x v="0"/>
    <x v="0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99563"/>
  </r>
  <r>
    <x v="12"/>
    <x v="1"/>
    <x v="0"/>
    <x v="0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3.927759999999999"/>
  </r>
  <r>
    <x v="12"/>
    <x v="1"/>
    <x v="0"/>
    <x v="0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58.07912399999998"/>
  </r>
  <r>
    <x v="12"/>
    <x v="1"/>
    <x v="0"/>
    <x v="0"/>
    <x v="1"/>
    <x v="6"/>
    <x v="0"/>
    <x v="0"/>
    <x v="0"/>
    <x v="0"/>
    <x v="5"/>
    <x v="5"/>
    <x v="1"/>
    <x v="6"/>
    <x v="6"/>
    <x v="7"/>
    <x v="7"/>
    <n v="1.5338855421833999"/>
    <x v="0"/>
    <x v="0"/>
    <x v="1"/>
    <x v="4"/>
    <x v="5"/>
    <x v="7"/>
    <n v="1.8253237951982457"/>
  </r>
  <r>
    <x v="12"/>
    <x v="1"/>
    <x v="0"/>
    <x v="0"/>
    <x v="1"/>
    <x v="6"/>
    <x v="0"/>
    <x v="0"/>
    <x v="2"/>
    <x v="2"/>
    <x v="5"/>
    <x v="5"/>
    <x v="1"/>
    <x v="6"/>
    <x v="6"/>
    <x v="41"/>
    <x v="41"/>
    <n v="109.055637362528"/>
    <x v="1"/>
    <x v="2"/>
    <x v="5"/>
    <x v="7"/>
    <x v="11"/>
    <x v="22"/>
    <n v="129.77620846140832"/>
  </r>
  <r>
    <x v="12"/>
    <x v="1"/>
    <x v="0"/>
    <x v="0"/>
    <x v="1"/>
    <x v="6"/>
    <x v="0"/>
    <x v="0"/>
    <x v="2"/>
    <x v="2"/>
    <x v="5"/>
    <x v="5"/>
    <x v="1"/>
    <x v="6"/>
    <x v="6"/>
    <x v="40"/>
    <x v="40"/>
    <n v="3219.1868599999998"/>
    <x v="1"/>
    <x v="2"/>
    <x v="5"/>
    <x v="7"/>
    <x v="11"/>
    <x v="22"/>
    <n v="3830.8323633999994"/>
  </r>
  <r>
    <x v="12"/>
    <x v="1"/>
    <x v="0"/>
    <x v="0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307.65236600000003"/>
  </r>
  <r>
    <x v="12"/>
    <x v="1"/>
    <x v="0"/>
    <x v="0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1.662000000000001"/>
  </r>
  <r>
    <x v="12"/>
    <x v="1"/>
    <x v="0"/>
    <x v="0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749.90576290000001"/>
  </r>
  <r>
    <x v="12"/>
    <x v="1"/>
    <x v="0"/>
    <x v="0"/>
    <x v="1"/>
    <x v="6"/>
    <x v="0"/>
    <x v="0"/>
    <x v="0"/>
    <x v="0"/>
    <x v="5"/>
    <x v="5"/>
    <x v="1"/>
    <x v="8"/>
    <x v="8"/>
    <x v="7"/>
    <x v="7"/>
    <n v="8.6028765061066803"/>
    <x v="0"/>
    <x v="0"/>
    <x v="1"/>
    <x v="4"/>
    <x v="5"/>
    <x v="7"/>
    <n v="10.237423042266949"/>
  </r>
  <r>
    <x v="12"/>
    <x v="1"/>
    <x v="0"/>
    <x v="0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213.9187316"/>
  </r>
  <r>
    <x v="12"/>
    <x v="1"/>
    <x v="0"/>
    <x v="0"/>
    <x v="1"/>
    <x v="6"/>
    <x v="0"/>
    <x v="0"/>
    <x v="0"/>
    <x v="0"/>
    <x v="5"/>
    <x v="5"/>
    <x v="2"/>
    <x v="10"/>
    <x v="10"/>
    <x v="7"/>
    <x v="7"/>
    <n v="3.7359608434093601"/>
    <x v="0"/>
    <x v="0"/>
    <x v="1"/>
    <x v="4"/>
    <x v="5"/>
    <x v="7"/>
    <n v="4.445793403657138"/>
  </r>
  <r>
    <x v="12"/>
    <x v="1"/>
    <x v="0"/>
    <x v="0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87.075191700000005"/>
  </r>
  <r>
    <x v="12"/>
    <x v="1"/>
    <x v="0"/>
    <x v="0"/>
    <x v="1"/>
    <x v="6"/>
    <x v="0"/>
    <x v="0"/>
    <x v="0"/>
    <x v="0"/>
    <x v="5"/>
    <x v="5"/>
    <x v="4"/>
    <x v="5"/>
    <x v="5"/>
    <x v="7"/>
    <x v="7"/>
    <n v="6.4220798193387596"/>
    <x v="0"/>
    <x v="0"/>
    <x v="1"/>
    <x v="4"/>
    <x v="5"/>
    <x v="7"/>
    <n v="7.642274985013124"/>
  </r>
  <r>
    <x v="12"/>
    <x v="1"/>
    <x v="0"/>
    <x v="0"/>
    <x v="1"/>
    <x v="6"/>
    <x v="0"/>
    <x v="0"/>
    <x v="2"/>
    <x v="2"/>
    <x v="5"/>
    <x v="5"/>
    <x v="4"/>
    <x v="5"/>
    <x v="5"/>
    <x v="41"/>
    <x v="41"/>
    <n v="98.386142857044504"/>
    <x v="1"/>
    <x v="2"/>
    <x v="5"/>
    <x v="7"/>
    <x v="11"/>
    <x v="22"/>
    <n v="117.07950999988296"/>
  </r>
  <r>
    <x v="12"/>
    <x v="1"/>
    <x v="0"/>
    <x v="0"/>
    <x v="1"/>
    <x v="6"/>
    <x v="0"/>
    <x v="0"/>
    <x v="2"/>
    <x v="2"/>
    <x v="5"/>
    <x v="5"/>
    <x v="4"/>
    <x v="5"/>
    <x v="5"/>
    <x v="40"/>
    <x v="40"/>
    <n v="1173.0724499999999"/>
    <x v="1"/>
    <x v="2"/>
    <x v="5"/>
    <x v="7"/>
    <x v="11"/>
    <x v="22"/>
    <n v="1395.9562154999999"/>
  </r>
  <r>
    <x v="12"/>
    <x v="1"/>
    <x v="0"/>
    <x v="0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1.88334"/>
  </r>
  <r>
    <x v="12"/>
    <x v="1"/>
    <x v="0"/>
    <x v="0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43.98409720000001"/>
  </r>
  <r>
    <x v="12"/>
    <x v="1"/>
    <x v="0"/>
    <x v="0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51.438463999999996"/>
  </r>
  <r>
    <x v="12"/>
    <x v="1"/>
    <x v="0"/>
    <x v="0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95676000000000005"/>
  </r>
  <r>
    <x v="12"/>
    <x v="1"/>
    <x v="0"/>
    <x v="0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522648"/>
  </r>
  <r>
    <x v="12"/>
    <x v="1"/>
    <x v="0"/>
    <x v="0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4.01225"/>
  </r>
  <r>
    <x v="12"/>
    <x v="1"/>
    <x v="0"/>
    <x v="0"/>
    <x v="1"/>
    <x v="6"/>
    <x v="0"/>
    <x v="0"/>
    <x v="2"/>
    <x v="2"/>
    <x v="6"/>
    <x v="6"/>
    <x v="2"/>
    <x v="2"/>
    <x v="2"/>
    <x v="41"/>
    <x v="41"/>
    <n v="4.4702197802153103"/>
    <x v="1"/>
    <x v="2"/>
    <x v="5"/>
    <x v="7"/>
    <x v="11"/>
    <x v="22"/>
    <n v="5.3195615384562194"/>
  </r>
  <r>
    <x v="12"/>
    <x v="1"/>
    <x v="0"/>
    <x v="0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62.75593069999996"/>
  </r>
  <r>
    <x v="12"/>
    <x v="1"/>
    <x v="0"/>
    <x v="0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7.968615999999997"/>
  </r>
  <r>
    <x v="12"/>
    <x v="1"/>
    <x v="0"/>
    <x v="0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4097.0293776999997"/>
  </r>
  <r>
    <x v="12"/>
    <x v="1"/>
    <x v="0"/>
    <x v="0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5.979550000000003"/>
  </r>
  <r>
    <x v="12"/>
    <x v="1"/>
    <x v="0"/>
    <x v="0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73.546760000000006"/>
  </r>
  <r>
    <x v="12"/>
    <x v="1"/>
    <x v="0"/>
    <x v="0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4509999999999996"/>
  </r>
  <r>
    <x v="12"/>
    <x v="1"/>
    <x v="0"/>
    <x v="0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4.036380000000001"/>
  </r>
  <r>
    <x v="12"/>
    <x v="1"/>
    <x v="0"/>
    <x v="0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7.0924000000000001E-2"/>
  </r>
  <r>
    <x v="12"/>
    <x v="1"/>
    <x v="0"/>
    <x v="0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10.6655732"/>
  </r>
  <r>
    <x v="12"/>
    <x v="1"/>
    <x v="0"/>
    <x v="0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2.481479999999998"/>
  </r>
  <r>
    <x v="12"/>
    <x v="1"/>
    <x v="0"/>
    <x v="0"/>
    <x v="1"/>
    <x v="6"/>
    <x v="0"/>
    <x v="0"/>
    <x v="2"/>
    <x v="2"/>
    <x v="6"/>
    <x v="6"/>
    <x v="1"/>
    <x v="6"/>
    <x v="6"/>
    <x v="41"/>
    <x v="41"/>
    <n v="7.1772527472455696"/>
    <x v="1"/>
    <x v="2"/>
    <x v="5"/>
    <x v="7"/>
    <x v="11"/>
    <x v="22"/>
    <n v="8.5409307692222267"/>
  </r>
  <r>
    <x v="12"/>
    <x v="1"/>
    <x v="0"/>
    <x v="0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524.52083389999996"/>
  </r>
  <r>
    <x v="12"/>
    <x v="1"/>
    <x v="0"/>
    <x v="0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5.458802099999998"/>
  </r>
  <r>
    <x v="12"/>
    <x v="1"/>
    <x v="0"/>
    <x v="0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800.2443045999999"/>
  </r>
  <r>
    <x v="12"/>
    <x v="1"/>
    <x v="0"/>
    <x v="0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8.960717399999993"/>
  </r>
  <r>
    <x v="12"/>
    <x v="1"/>
    <x v="0"/>
    <x v="0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91.908459999999991"/>
  </r>
  <r>
    <x v="12"/>
    <x v="1"/>
    <x v="0"/>
    <x v="0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10.324083"/>
  </r>
  <r>
    <x v="12"/>
    <x v="1"/>
    <x v="0"/>
    <x v="0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53.695774999999998"/>
  </r>
  <r>
    <x v="12"/>
    <x v="1"/>
    <x v="0"/>
    <x v="0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50.088599399999993"/>
  </r>
  <r>
    <x v="12"/>
    <x v="1"/>
    <x v="0"/>
    <x v="0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7.422016499999998"/>
  </r>
  <r>
    <x v="12"/>
    <x v="1"/>
    <x v="0"/>
    <x v="0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9364999999999992"/>
  </r>
  <r>
    <x v="12"/>
    <x v="1"/>
    <x v="0"/>
    <x v="0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1483380999999999"/>
  </r>
  <r>
    <x v="12"/>
    <x v="1"/>
    <x v="0"/>
    <x v="0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5.117"/>
  </r>
  <r>
    <x v="12"/>
    <x v="1"/>
    <x v="0"/>
    <x v="0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6.552799999999998"/>
  </r>
  <r>
    <x v="12"/>
    <x v="1"/>
    <x v="0"/>
    <x v="0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5.172976"/>
  </r>
  <r>
    <x v="12"/>
    <x v="1"/>
    <x v="0"/>
    <x v="0"/>
    <x v="1"/>
    <x v="6"/>
    <x v="0"/>
    <x v="0"/>
    <x v="0"/>
    <x v="0"/>
    <x v="7"/>
    <x v="7"/>
    <x v="2"/>
    <x v="2"/>
    <x v="2"/>
    <x v="7"/>
    <x v="7"/>
    <n v="208.745096387546"/>
    <x v="0"/>
    <x v="0"/>
    <x v="1"/>
    <x v="4"/>
    <x v="5"/>
    <x v="7"/>
    <n v="248.40666470117972"/>
  </r>
  <r>
    <x v="12"/>
    <x v="1"/>
    <x v="0"/>
    <x v="0"/>
    <x v="1"/>
    <x v="6"/>
    <x v="0"/>
    <x v="0"/>
    <x v="2"/>
    <x v="2"/>
    <x v="7"/>
    <x v="7"/>
    <x v="2"/>
    <x v="2"/>
    <x v="2"/>
    <x v="41"/>
    <x v="41"/>
    <n v="80.002758241678194"/>
    <x v="1"/>
    <x v="2"/>
    <x v="5"/>
    <x v="7"/>
    <x v="11"/>
    <x v="22"/>
    <n v="95.20328230759705"/>
  </r>
  <r>
    <x v="12"/>
    <x v="1"/>
    <x v="0"/>
    <x v="0"/>
    <x v="1"/>
    <x v="6"/>
    <x v="0"/>
    <x v="0"/>
    <x v="2"/>
    <x v="2"/>
    <x v="7"/>
    <x v="7"/>
    <x v="2"/>
    <x v="2"/>
    <x v="2"/>
    <x v="40"/>
    <x v="40"/>
    <n v="2520.83482"/>
    <x v="1"/>
    <x v="2"/>
    <x v="5"/>
    <x v="7"/>
    <x v="11"/>
    <x v="22"/>
    <n v="2999.7934357999998"/>
  </r>
  <r>
    <x v="12"/>
    <x v="1"/>
    <x v="0"/>
    <x v="0"/>
    <x v="1"/>
    <x v="6"/>
    <x v="0"/>
    <x v="0"/>
    <x v="2"/>
    <x v="2"/>
    <x v="7"/>
    <x v="7"/>
    <x v="2"/>
    <x v="2"/>
    <x v="2"/>
    <x v="38"/>
    <x v="38"/>
    <n v="4080.2636499999999"/>
    <x v="1"/>
    <x v="0"/>
    <x v="4"/>
    <x v="6"/>
    <x v="10"/>
    <x v="21"/>
    <n v="4855.5137434999997"/>
  </r>
  <r>
    <x v="12"/>
    <x v="1"/>
    <x v="0"/>
    <x v="0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85.5383539"/>
  </r>
  <r>
    <x v="12"/>
    <x v="1"/>
    <x v="0"/>
    <x v="0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50.15382700000001"/>
  </r>
  <r>
    <x v="12"/>
    <x v="1"/>
    <x v="0"/>
    <x v="0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9.501124999999998"/>
  </r>
  <r>
    <x v="12"/>
    <x v="1"/>
    <x v="0"/>
    <x v="0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9.721940499999988"/>
  </r>
  <r>
    <x v="12"/>
    <x v="1"/>
    <x v="0"/>
    <x v="0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94.1237402"/>
  </r>
  <r>
    <x v="12"/>
    <x v="1"/>
    <x v="0"/>
    <x v="0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312.99379999999996"/>
  </r>
  <r>
    <x v="12"/>
    <x v="1"/>
    <x v="0"/>
    <x v="0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201.6217"/>
  </r>
  <r>
    <x v="12"/>
    <x v="1"/>
    <x v="0"/>
    <x v="0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5.350999999999999"/>
  </r>
  <r>
    <x v="12"/>
    <x v="1"/>
    <x v="0"/>
    <x v="0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1.870249999999999"/>
  </r>
  <r>
    <x v="12"/>
    <x v="1"/>
    <x v="0"/>
    <x v="0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7849999999999999"/>
  </r>
  <r>
    <x v="12"/>
    <x v="1"/>
    <x v="0"/>
    <x v="0"/>
    <x v="1"/>
    <x v="6"/>
    <x v="0"/>
    <x v="0"/>
    <x v="2"/>
    <x v="2"/>
    <x v="7"/>
    <x v="7"/>
    <x v="1"/>
    <x v="6"/>
    <x v="6"/>
    <x v="41"/>
    <x v="41"/>
    <n v="38.2376263735881"/>
    <x v="1"/>
    <x v="2"/>
    <x v="5"/>
    <x v="7"/>
    <x v="11"/>
    <x v="22"/>
    <n v="45.502775384569837"/>
  </r>
  <r>
    <x v="12"/>
    <x v="1"/>
    <x v="0"/>
    <x v="0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2064.6705036999997"/>
  </r>
  <r>
    <x v="12"/>
    <x v="1"/>
    <x v="0"/>
    <x v="0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734.9271258"/>
  </r>
  <r>
    <x v="12"/>
    <x v="1"/>
    <x v="0"/>
    <x v="0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7.3185000000000002"/>
  </r>
  <r>
    <x v="12"/>
    <x v="1"/>
    <x v="0"/>
    <x v="0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9.04"/>
  </r>
  <r>
    <x v="12"/>
    <x v="1"/>
    <x v="0"/>
    <x v="0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1.945266"/>
  </r>
  <r>
    <x v="12"/>
    <x v="1"/>
    <x v="0"/>
    <x v="0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8432999999999993"/>
  </r>
  <r>
    <x v="12"/>
    <x v="1"/>
    <x v="0"/>
    <x v="0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6.1689600000000002"/>
  </r>
  <r>
    <x v="12"/>
    <x v="1"/>
    <x v="0"/>
    <x v="0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9.575499999999998"/>
  </r>
  <r>
    <x v="12"/>
    <x v="1"/>
    <x v="0"/>
    <x v="0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211.82893689999997"/>
  </r>
  <r>
    <x v="12"/>
    <x v="1"/>
    <x v="0"/>
    <x v="0"/>
    <x v="1"/>
    <x v="6"/>
    <x v="0"/>
    <x v="0"/>
    <x v="2"/>
    <x v="2"/>
    <x v="7"/>
    <x v="7"/>
    <x v="1"/>
    <x v="8"/>
    <x v="8"/>
    <x v="40"/>
    <x v="40"/>
    <n v="222.66556"/>
    <x v="1"/>
    <x v="2"/>
    <x v="5"/>
    <x v="7"/>
    <x v="11"/>
    <x v="22"/>
    <n v="264.97201639999997"/>
  </r>
  <r>
    <x v="12"/>
    <x v="1"/>
    <x v="0"/>
    <x v="0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7257498999999998"/>
  </r>
  <r>
    <x v="12"/>
    <x v="1"/>
    <x v="0"/>
    <x v="0"/>
    <x v="1"/>
    <x v="6"/>
    <x v="0"/>
    <x v="0"/>
    <x v="2"/>
    <x v="2"/>
    <x v="7"/>
    <x v="7"/>
    <x v="4"/>
    <x v="5"/>
    <x v="5"/>
    <x v="40"/>
    <x v="40"/>
    <n v="183.48287999999999"/>
    <x v="1"/>
    <x v="2"/>
    <x v="5"/>
    <x v="7"/>
    <x v="11"/>
    <x v="22"/>
    <n v="218.34462719999999"/>
  </r>
  <r>
    <x v="12"/>
    <x v="1"/>
    <x v="0"/>
    <x v="0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66.66898800000001"/>
  </r>
  <r>
    <x v="12"/>
    <x v="1"/>
    <x v="0"/>
    <x v="0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5.668342799999991"/>
  </r>
  <r>
    <x v="12"/>
    <x v="1"/>
    <x v="0"/>
    <x v="0"/>
    <x v="1"/>
    <x v="6"/>
    <x v="0"/>
    <x v="0"/>
    <x v="2"/>
    <x v="2"/>
    <x v="8"/>
    <x v="8"/>
    <x v="3"/>
    <x v="3"/>
    <x v="3"/>
    <x v="41"/>
    <x v="41"/>
    <n v="1.5728351648335901"/>
    <x v="1"/>
    <x v="2"/>
    <x v="5"/>
    <x v="7"/>
    <x v="11"/>
    <x v="22"/>
    <n v="1.8716738461519722"/>
  </r>
  <r>
    <x v="12"/>
    <x v="1"/>
    <x v="0"/>
    <x v="0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565.8179169"/>
  </r>
  <r>
    <x v="12"/>
    <x v="1"/>
    <x v="0"/>
    <x v="0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6.3641199999999998"/>
  </r>
  <r>
    <x v="12"/>
    <x v="1"/>
    <x v="0"/>
    <x v="0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4.274763999999999"/>
  </r>
  <r>
    <x v="12"/>
    <x v="1"/>
    <x v="0"/>
    <x v="0"/>
    <x v="1"/>
    <x v="6"/>
    <x v="0"/>
    <x v="0"/>
    <x v="2"/>
    <x v="2"/>
    <x v="8"/>
    <x v="8"/>
    <x v="2"/>
    <x v="2"/>
    <x v="2"/>
    <x v="41"/>
    <x v="41"/>
    <n v="62.154120879058702"/>
    <x v="1"/>
    <x v="2"/>
    <x v="5"/>
    <x v="7"/>
    <x v="11"/>
    <x v="22"/>
    <n v="73.963403846079856"/>
  </r>
  <r>
    <x v="12"/>
    <x v="1"/>
    <x v="0"/>
    <x v="0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353.2051984"/>
  </r>
  <r>
    <x v="12"/>
    <x v="1"/>
    <x v="0"/>
    <x v="0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8.5823157000000005"/>
  </r>
  <r>
    <x v="12"/>
    <x v="1"/>
    <x v="0"/>
    <x v="0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6.017399999999999"/>
  </r>
  <r>
    <x v="12"/>
    <x v="1"/>
    <x v="0"/>
    <x v="0"/>
    <x v="1"/>
    <x v="6"/>
    <x v="0"/>
    <x v="0"/>
    <x v="2"/>
    <x v="2"/>
    <x v="8"/>
    <x v="8"/>
    <x v="1"/>
    <x v="6"/>
    <x v="6"/>
    <x v="41"/>
    <x v="41"/>
    <n v="23.759362637338899"/>
    <x v="1"/>
    <x v="2"/>
    <x v="5"/>
    <x v="7"/>
    <x v="11"/>
    <x v="22"/>
    <n v="28.273641538433289"/>
  </r>
  <r>
    <x v="12"/>
    <x v="1"/>
    <x v="0"/>
    <x v="0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516.0561219000001"/>
  </r>
  <r>
    <x v="12"/>
    <x v="1"/>
    <x v="0"/>
    <x v="0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46.3824712"/>
  </r>
  <r>
    <x v="12"/>
    <x v="1"/>
    <x v="0"/>
    <x v="0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3154.0281219999997"/>
  </r>
  <r>
    <x v="12"/>
    <x v="1"/>
    <x v="0"/>
    <x v="0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3.0749584"/>
  </r>
  <r>
    <x v="12"/>
    <x v="1"/>
    <x v="0"/>
    <x v="0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66.73719509999998"/>
  </r>
  <r>
    <x v="12"/>
    <x v="1"/>
    <x v="0"/>
    <x v="0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21.109885999999999"/>
  </r>
  <r>
    <x v="12"/>
    <x v="1"/>
    <x v="0"/>
    <x v="0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7.866979699999998"/>
  </r>
  <r>
    <x v="12"/>
    <x v="1"/>
    <x v="0"/>
    <x v="0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337.4751411"/>
  </r>
  <r>
    <x v="12"/>
    <x v="1"/>
    <x v="0"/>
    <x v="0"/>
    <x v="1"/>
    <x v="6"/>
    <x v="0"/>
    <x v="0"/>
    <x v="0"/>
    <x v="0"/>
    <x v="9"/>
    <x v="9"/>
    <x v="2"/>
    <x v="2"/>
    <x v="2"/>
    <x v="7"/>
    <x v="7"/>
    <n v="91.845957832207006"/>
    <x v="0"/>
    <x v="0"/>
    <x v="1"/>
    <x v="4"/>
    <x v="5"/>
    <x v="7"/>
    <n v="109.29668982032634"/>
  </r>
  <r>
    <x v="12"/>
    <x v="1"/>
    <x v="0"/>
    <x v="0"/>
    <x v="1"/>
    <x v="6"/>
    <x v="0"/>
    <x v="0"/>
    <x v="2"/>
    <x v="2"/>
    <x v="9"/>
    <x v="9"/>
    <x v="2"/>
    <x v="2"/>
    <x v="2"/>
    <x v="41"/>
    <x v="41"/>
    <n v="527.33487912035196"/>
    <x v="1"/>
    <x v="2"/>
    <x v="5"/>
    <x v="7"/>
    <x v="11"/>
    <x v="22"/>
    <n v="627.52850615321881"/>
  </r>
  <r>
    <x v="12"/>
    <x v="1"/>
    <x v="0"/>
    <x v="0"/>
    <x v="1"/>
    <x v="6"/>
    <x v="0"/>
    <x v="0"/>
    <x v="2"/>
    <x v="2"/>
    <x v="9"/>
    <x v="9"/>
    <x v="2"/>
    <x v="2"/>
    <x v="2"/>
    <x v="40"/>
    <x v="40"/>
    <n v="13259.07926"/>
    <x v="1"/>
    <x v="2"/>
    <x v="5"/>
    <x v="7"/>
    <x v="11"/>
    <x v="22"/>
    <n v="15778.3043194"/>
  </r>
  <r>
    <x v="12"/>
    <x v="1"/>
    <x v="0"/>
    <x v="0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693.5351983999999"/>
  </r>
  <r>
    <x v="12"/>
    <x v="1"/>
    <x v="0"/>
    <x v="0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211.96310939999998"/>
  </r>
  <r>
    <x v="12"/>
    <x v="1"/>
    <x v="0"/>
    <x v="0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8.198999999999998"/>
  </r>
  <r>
    <x v="12"/>
    <x v="1"/>
    <x v="0"/>
    <x v="0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6659999999999999"/>
  </r>
  <r>
    <x v="12"/>
    <x v="1"/>
    <x v="0"/>
    <x v="0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6179999999999999"/>
  </r>
  <r>
    <x v="12"/>
    <x v="1"/>
    <x v="0"/>
    <x v="0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964.1590286000001"/>
  </r>
  <r>
    <x v="12"/>
    <x v="1"/>
    <x v="0"/>
    <x v="0"/>
    <x v="1"/>
    <x v="6"/>
    <x v="0"/>
    <x v="0"/>
    <x v="2"/>
    <x v="2"/>
    <x v="9"/>
    <x v="9"/>
    <x v="1"/>
    <x v="6"/>
    <x v="6"/>
    <x v="41"/>
    <x v="41"/>
    <n v="148.913626373477"/>
    <x v="1"/>
    <x v="2"/>
    <x v="5"/>
    <x v="7"/>
    <x v="11"/>
    <x v="22"/>
    <n v="177.20721538443763"/>
  </r>
  <r>
    <x v="12"/>
    <x v="1"/>
    <x v="0"/>
    <x v="0"/>
    <x v="1"/>
    <x v="6"/>
    <x v="0"/>
    <x v="0"/>
    <x v="2"/>
    <x v="2"/>
    <x v="9"/>
    <x v="9"/>
    <x v="1"/>
    <x v="6"/>
    <x v="6"/>
    <x v="40"/>
    <x v="40"/>
    <n v="25735.1309"/>
    <x v="1"/>
    <x v="2"/>
    <x v="5"/>
    <x v="7"/>
    <x v="11"/>
    <x v="22"/>
    <n v="30624.805770999999"/>
  </r>
  <r>
    <x v="12"/>
    <x v="1"/>
    <x v="0"/>
    <x v="0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737.5318162999999"/>
  </r>
  <r>
    <x v="12"/>
    <x v="1"/>
    <x v="0"/>
    <x v="0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735.33521250000001"/>
  </r>
  <r>
    <x v="12"/>
    <x v="1"/>
    <x v="0"/>
    <x v="0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4.3625400000000001"/>
  </r>
  <r>
    <x v="12"/>
    <x v="1"/>
    <x v="0"/>
    <x v="0"/>
    <x v="1"/>
    <x v="6"/>
    <x v="0"/>
    <x v="0"/>
    <x v="2"/>
    <x v="2"/>
    <x v="9"/>
    <x v="9"/>
    <x v="3"/>
    <x v="7"/>
    <x v="7"/>
    <x v="40"/>
    <x v="40"/>
    <n v="751.09121000000005"/>
    <x v="1"/>
    <x v="2"/>
    <x v="5"/>
    <x v="7"/>
    <x v="11"/>
    <x v="22"/>
    <n v="893.79853990000004"/>
  </r>
  <r>
    <x v="12"/>
    <x v="1"/>
    <x v="0"/>
    <x v="0"/>
    <x v="1"/>
    <x v="6"/>
    <x v="0"/>
    <x v="0"/>
    <x v="2"/>
    <x v="2"/>
    <x v="9"/>
    <x v="9"/>
    <x v="1"/>
    <x v="8"/>
    <x v="8"/>
    <x v="40"/>
    <x v="40"/>
    <n v="12526.8838"/>
    <x v="1"/>
    <x v="2"/>
    <x v="5"/>
    <x v="7"/>
    <x v="11"/>
    <x v="22"/>
    <n v="14906.991721999999"/>
  </r>
  <r>
    <x v="12"/>
    <x v="1"/>
    <x v="0"/>
    <x v="0"/>
    <x v="1"/>
    <x v="6"/>
    <x v="0"/>
    <x v="0"/>
    <x v="2"/>
    <x v="2"/>
    <x v="9"/>
    <x v="9"/>
    <x v="2"/>
    <x v="10"/>
    <x v="10"/>
    <x v="40"/>
    <x v="40"/>
    <n v="196.56697"/>
    <x v="1"/>
    <x v="2"/>
    <x v="5"/>
    <x v="7"/>
    <x v="11"/>
    <x v="22"/>
    <n v="233.91469429999998"/>
  </r>
  <r>
    <x v="12"/>
    <x v="1"/>
    <x v="0"/>
    <x v="0"/>
    <x v="1"/>
    <x v="6"/>
    <x v="0"/>
    <x v="0"/>
    <x v="2"/>
    <x v="2"/>
    <x v="9"/>
    <x v="9"/>
    <x v="4"/>
    <x v="5"/>
    <x v="5"/>
    <x v="41"/>
    <x v="41"/>
    <n v="341.59451648317503"/>
    <x v="1"/>
    <x v="2"/>
    <x v="5"/>
    <x v="7"/>
    <x v="11"/>
    <x v="22"/>
    <n v="406.49747461497827"/>
  </r>
  <r>
    <x v="12"/>
    <x v="1"/>
    <x v="0"/>
    <x v="0"/>
    <x v="1"/>
    <x v="6"/>
    <x v="0"/>
    <x v="0"/>
    <x v="2"/>
    <x v="2"/>
    <x v="9"/>
    <x v="9"/>
    <x v="4"/>
    <x v="5"/>
    <x v="5"/>
    <x v="40"/>
    <x v="40"/>
    <n v="3316.4558200000001"/>
    <x v="1"/>
    <x v="2"/>
    <x v="5"/>
    <x v="7"/>
    <x v="11"/>
    <x v="22"/>
    <n v="3946.5824257999998"/>
  </r>
  <r>
    <x v="12"/>
    <x v="1"/>
    <x v="0"/>
    <x v="0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80.54782260000002"/>
  </r>
  <r>
    <x v="12"/>
    <x v="1"/>
    <x v="0"/>
    <x v="0"/>
    <x v="1"/>
    <x v="6"/>
    <x v="0"/>
    <x v="0"/>
    <x v="2"/>
    <x v="2"/>
    <x v="10"/>
    <x v="10"/>
    <x v="2"/>
    <x v="2"/>
    <x v="2"/>
    <x v="41"/>
    <x v="41"/>
    <n v="555.43360439504897"/>
    <x v="1"/>
    <x v="2"/>
    <x v="5"/>
    <x v="7"/>
    <x v="11"/>
    <x v="22"/>
    <n v="660.96598923010822"/>
  </r>
  <r>
    <x v="12"/>
    <x v="1"/>
    <x v="0"/>
    <x v="0"/>
    <x v="1"/>
    <x v="6"/>
    <x v="0"/>
    <x v="0"/>
    <x v="2"/>
    <x v="2"/>
    <x v="10"/>
    <x v="10"/>
    <x v="2"/>
    <x v="2"/>
    <x v="2"/>
    <x v="40"/>
    <x v="40"/>
    <n v="4563.14048"/>
    <x v="1"/>
    <x v="2"/>
    <x v="5"/>
    <x v="7"/>
    <x v="11"/>
    <x v="22"/>
    <n v="5430.1371712"/>
  </r>
  <r>
    <x v="12"/>
    <x v="1"/>
    <x v="0"/>
    <x v="0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76.211467499999998"/>
  </r>
  <r>
    <x v="12"/>
    <x v="1"/>
    <x v="0"/>
    <x v="0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41649999999999998"/>
  </r>
  <r>
    <x v="12"/>
    <x v="1"/>
    <x v="0"/>
    <x v="0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85203999999999991"/>
  </r>
  <r>
    <x v="12"/>
    <x v="1"/>
    <x v="0"/>
    <x v="0"/>
    <x v="1"/>
    <x v="6"/>
    <x v="0"/>
    <x v="0"/>
    <x v="0"/>
    <x v="0"/>
    <x v="10"/>
    <x v="10"/>
    <x v="1"/>
    <x v="6"/>
    <x v="6"/>
    <x v="7"/>
    <x v="7"/>
    <n v="9.8210903615400706"/>
    <x v="0"/>
    <x v="0"/>
    <x v="1"/>
    <x v="4"/>
    <x v="5"/>
    <x v="7"/>
    <n v="11.687097530232684"/>
  </r>
  <r>
    <x v="12"/>
    <x v="1"/>
    <x v="0"/>
    <x v="0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71.84523809999996"/>
  </r>
  <r>
    <x v="12"/>
    <x v="1"/>
    <x v="0"/>
    <x v="0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65.33569639999999"/>
  </r>
  <r>
    <x v="12"/>
    <x v="1"/>
    <x v="0"/>
    <x v="0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1.363309999999998"/>
  </r>
  <r>
    <x v="12"/>
    <x v="1"/>
    <x v="0"/>
    <x v="0"/>
    <x v="1"/>
    <x v="6"/>
    <x v="0"/>
    <x v="0"/>
    <x v="0"/>
    <x v="0"/>
    <x v="11"/>
    <x v="11"/>
    <x v="2"/>
    <x v="2"/>
    <x v="2"/>
    <x v="7"/>
    <x v="7"/>
    <n v="8.7142590362282402"/>
    <x v="0"/>
    <x v="0"/>
    <x v="1"/>
    <x v="4"/>
    <x v="5"/>
    <x v="7"/>
    <n v="10.369968253111605"/>
  </r>
  <r>
    <x v="12"/>
    <x v="1"/>
    <x v="0"/>
    <x v="0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206.32781679999997"/>
  </r>
  <r>
    <x v="12"/>
    <x v="1"/>
    <x v="0"/>
    <x v="0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8.991191699999995"/>
  </r>
  <r>
    <x v="12"/>
    <x v="1"/>
    <x v="0"/>
    <x v="0"/>
    <x v="1"/>
    <x v="6"/>
    <x v="0"/>
    <x v="0"/>
    <x v="0"/>
    <x v="0"/>
    <x v="11"/>
    <x v="11"/>
    <x v="2"/>
    <x v="2"/>
    <x v="2"/>
    <x v="2"/>
    <x v="2"/>
    <n v="29.0484705881046"/>
    <x v="0"/>
    <x v="1"/>
    <x v="2"/>
    <x v="2"/>
    <x v="13"/>
    <x v="2"/>
    <n v="34.567679999844472"/>
  </r>
  <r>
    <x v="12"/>
    <x v="1"/>
    <x v="0"/>
    <x v="0"/>
    <x v="1"/>
    <x v="6"/>
    <x v="0"/>
    <x v="0"/>
    <x v="0"/>
    <x v="0"/>
    <x v="11"/>
    <x v="11"/>
    <x v="1"/>
    <x v="6"/>
    <x v="6"/>
    <x v="7"/>
    <x v="7"/>
    <n v="9.9592771085293403"/>
    <x v="0"/>
    <x v="0"/>
    <x v="1"/>
    <x v="4"/>
    <x v="5"/>
    <x v="7"/>
    <n v="11.851539759149915"/>
  </r>
  <r>
    <x v="12"/>
    <x v="1"/>
    <x v="0"/>
    <x v="0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318.37480149999999"/>
  </r>
  <r>
    <x v="12"/>
    <x v="1"/>
    <x v="0"/>
    <x v="0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9.768271999999996"/>
  </r>
  <r>
    <x v="12"/>
    <x v="1"/>
    <x v="0"/>
    <x v="0"/>
    <x v="1"/>
    <x v="6"/>
    <x v="0"/>
    <x v="0"/>
    <x v="0"/>
    <x v="0"/>
    <x v="11"/>
    <x v="11"/>
    <x v="4"/>
    <x v="5"/>
    <x v="5"/>
    <x v="7"/>
    <x v="7"/>
    <n v="117.883052711975"/>
    <x v="0"/>
    <x v="0"/>
    <x v="1"/>
    <x v="4"/>
    <x v="5"/>
    <x v="7"/>
    <n v="140.28083272725024"/>
  </r>
  <r>
    <x v="12"/>
    <x v="1"/>
    <x v="0"/>
    <x v="0"/>
    <x v="1"/>
    <x v="6"/>
    <x v="0"/>
    <x v="0"/>
    <x v="0"/>
    <x v="0"/>
    <x v="11"/>
    <x v="11"/>
    <x v="4"/>
    <x v="5"/>
    <x v="5"/>
    <x v="10"/>
    <x v="10"/>
    <n v="6.3070737962710801"/>
    <x v="0"/>
    <x v="0"/>
    <x v="1"/>
    <x v="4"/>
    <x v="5"/>
    <x v="10"/>
    <n v="7.5054178175625852"/>
  </r>
  <r>
    <x v="12"/>
    <x v="1"/>
    <x v="0"/>
    <x v="0"/>
    <x v="1"/>
    <x v="6"/>
    <x v="0"/>
    <x v="0"/>
    <x v="3"/>
    <x v="3"/>
    <x v="12"/>
    <x v="12"/>
    <x v="3"/>
    <x v="3"/>
    <x v="3"/>
    <x v="41"/>
    <x v="41"/>
    <n v="27.767054945027201"/>
    <x v="1"/>
    <x v="2"/>
    <x v="5"/>
    <x v="7"/>
    <x v="11"/>
    <x v="22"/>
    <n v="33.042795384582369"/>
  </r>
  <r>
    <x v="12"/>
    <x v="1"/>
    <x v="0"/>
    <x v="0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6.716081500000001"/>
  </r>
  <r>
    <x v="12"/>
    <x v="1"/>
    <x v="0"/>
    <x v="0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201.22899999999998"/>
  </r>
  <r>
    <x v="12"/>
    <x v="1"/>
    <x v="0"/>
    <x v="0"/>
    <x v="1"/>
    <x v="6"/>
    <x v="0"/>
    <x v="0"/>
    <x v="3"/>
    <x v="3"/>
    <x v="12"/>
    <x v="12"/>
    <x v="2"/>
    <x v="2"/>
    <x v="2"/>
    <x v="41"/>
    <x v="41"/>
    <n v="1617.92446153684"/>
    <x v="1"/>
    <x v="2"/>
    <x v="5"/>
    <x v="7"/>
    <x v="11"/>
    <x v="22"/>
    <n v="1925.3301092288395"/>
  </r>
  <r>
    <x v="12"/>
    <x v="1"/>
    <x v="0"/>
    <x v="0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519.3000196000003"/>
  </r>
  <r>
    <x v="12"/>
    <x v="1"/>
    <x v="0"/>
    <x v="0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317.92515999999995"/>
  </r>
  <r>
    <x v="12"/>
    <x v="1"/>
    <x v="0"/>
    <x v="0"/>
    <x v="1"/>
    <x v="6"/>
    <x v="0"/>
    <x v="0"/>
    <x v="3"/>
    <x v="3"/>
    <x v="12"/>
    <x v="12"/>
    <x v="1"/>
    <x v="6"/>
    <x v="6"/>
    <x v="41"/>
    <x v="41"/>
    <n v="716.19890109818505"/>
    <x v="1"/>
    <x v="2"/>
    <x v="5"/>
    <x v="7"/>
    <x v="11"/>
    <x v="22"/>
    <n v="852.27669230684012"/>
  </r>
  <r>
    <x v="12"/>
    <x v="1"/>
    <x v="0"/>
    <x v="0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916.1926751999999"/>
  </r>
  <r>
    <x v="12"/>
    <x v="1"/>
    <x v="0"/>
    <x v="0"/>
    <x v="1"/>
    <x v="6"/>
    <x v="0"/>
    <x v="0"/>
    <x v="3"/>
    <x v="3"/>
    <x v="12"/>
    <x v="12"/>
    <x v="3"/>
    <x v="7"/>
    <x v="7"/>
    <x v="41"/>
    <x v="41"/>
    <n v="16.837945054928198"/>
    <x v="1"/>
    <x v="2"/>
    <x v="5"/>
    <x v="7"/>
    <x v="11"/>
    <x v="22"/>
    <n v="20.037154615364557"/>
  </r>
  <r>
    <x v="12"/>
    <x v="1"/>
    <x v="0"/>
    <x v="0"/>
    <x v="1"/>
    <x v="6"/>
    <x v="0"/>
    <x v="0"/>
    <x v="3"/>
    <x v="3"/>
    <x v="12"/>
    <x v="12"/>
    <x v="3"/>
    <x v="7"/>
    <x v="7"/>
    <x v="40"/>
    <x v="40"/>
    <n v="181.13209000000001"/>
    <x v="1"/>
    <x v="2"/>
    <x v="5"/>
    <x v="7"/>
    <x v="11"/>
    <x v="22"/>
    <n v="215.5471871"/>
  </r>
  <r>
    <x v="12"/>
    <x v="1"/>
    <x v="0"/>
    <x v="0"/>
    <x v="1"/>
    <x v="6"/>
    <x v="0"/>
    <x v="0"/>
    <x v="3"/>
    <x v="3"/>
    <x v="12"/>
    <x v="12"/>
    <x v="1"/>
    <x v="8"/>
    <x v="8"/>
    <x v="40"/>
    <x v="40"/>
    <n v="82.918040000000005"/>
    <x v="1"/>
    <x v="2"/>
    <x v="5"/>
    <x v="7"/>
    <x v="11"/>
    <x v="22"/>
    <n v="98.672467600000004"/>
  </r>
  <r>
    <x v="12"/>
    <x v="1"/>
    <x v="0"/>
    <x v="0"/>
    <x v="1"/>
    <x v="6"/>
    <x v="0"/>
    <x v="0"/>
    <x v="3"/>
    <x v="3"/>
    <x v="12"/>
    <x v="12"/>
    <x v="2"/>
    <x v="10"/>
    <x v="10"/>
    <x v="41"/>
    <x v="41"/>
    <n v="5.9664615384555697"/>
    <x v="1"/>
    <x v="2"/>
    <x v="5"/>
    <x v="7"/>
    <x v="11"/>
    <x v="22"/>
    <n v="7.1000892307621273"/>
  </r>
  <r>
    <x v="12"/>
    <x v="1"/>
    <x v="0"/>
    <x v="0"/>
    <x v="1"/>
    <x v="6"/>
    <x v="0"/>
    <x v="0"/>
    <x v="3"/>
    <x v="3"/>
    <x v="12"/>
    <x v="12"/>
    <x v="2"/>
    <x v="10"/>
    <x v="10"/>
    <x v="40"/>
    <x v="40"/>
    <n v="17.974589999999999"/>
    <x v="1"/>
    <x v="2"/>
    <x v="5"/>
    <x v="7"/>
    <x v="11"/>
    <x v="22"/>
    <n v="21.389762099999999"/>
  </r>
  <r>
    <x v="12"/>
    <x v="1"/>
    <x v="0"/>
    <x v="0"/>
    <x v="1"/>
    <x v="6"/>
    <x v="0"/>
    <x v="0"/>
    <x v="3"/>
    <x v="3"/>
    <x v="12"/>
    <x v="12"/>
    <x v="4"/>
    <x v="5"/>
    <x v="5"/>
    <x v="41"/>
    <x v="41"/>
    <n v="22.594439560417001"/>
    <x v="1"/>
    <x v="2"/>
    <x v="5"/>
    <x v="7"/>
    <x v="11"/>
    <x v="22"/>
    <n v="26.887383076896231"/>
  </r>
  <r>
    <x v="12"/>
    <x v="1"/>
    <x v="0"/>
    <x v="0"/>
    <x v="1"/>
    <x v="6"/>
    <x v="0"/>
    <x v="0"/>
    <x v="3"/>
    <x v="3"/>
    <x v="12"/>
    <x v="12"/>
    <x v="4"/>
    <x v="5"/>
    <x v="5"/>
    <x v="40"/>
    <x v="40"/>
    <n v="237.52191999999999"/>
    <x v="1"/>
    <x v="2"/>
    <x v="5"/>
    <x v="7"/>
    <x v="11"/>
    <x v="22"/>
    <n v="282.65108479999998"/>
  </r>
  <r>
    <x v="12"/>
    <x v="1"/>
    <x v="0"/>
    <x v="0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7.62771029999999"/>
  </r>
  <r>
    <x v="12"/>
    <x v="1"/>
    <x v="0"/>
    <x v="0"/>
    <x v="1"/>
    <x v="6"/>
    <x v="0"/>
    <x v="0"/>
    <x v="3"/>
    <x v="3"/>
    <x v="13"/>
    <x v="13"/>
    <x v="2"/>
    <x v="2"/>
    <x v="2"/>
    <x v="7"/>
    <x v="7"/>
    <n v="4.7227409639010003E-2"/>
    <x v="0"/>
    <x v="0"/>
    <x v="1"/>
    <x v="4"/>
    <x v="5"/>
    <x v="7"/>
    <n v="5.6200617470421897E-2"/>
  </r>
  <r>
    <x v="12"/>
    <x v="1"/>
    <x v="0"/>
    <x v="0"/>
    <x v="1"/>
    <x v="6"/>
    <x v="0"/>
    <x v="0"/>
    <x v="3"/>
    <x v="3"/>
    <x v="13"/>
    <x v="13"/>
    <x v="2"/>
    <x v="2"/>
    <x v="2"/>
    <x v="41"/>
    <x v="41"/>
    <n v="311.11828571397501"/>
    <x v="1"/>
    <x v="2"/>
    <x v="5"/>
    <x v="7"/>
    <x v="11"/>
    <x v="22"/>
    <n v="370.23075999963027"/>
  </r>
  <r>
    <x v="12"/>
    <x v="1"/>
    <x v="0"/>
    <x v="0"/>
    <x v="1"/>
    <x v="6"/>
    <x v="0"/>
    <x v="0"/>
    <x v="3"/>
    <x v="3"/>
    <x v="13"/>
    <x v="13"/>
    <x v="2"/>
    <x v="2"/>
    <x v="2"/>
    <x v="40"/>
    <x v="40"/>
    <n v="2156.0938700000002"/>
    <x v="1"/>
    <x v="2"/>
    <x v="5"/>
    <x v="7"/>
    <x v="11"/>
    <x v="22"/>
    <n v="2565.7517053000001"/>
  </r>
  <r>
    <x v="12"/>
    <x v="1"/>
    <x v="0"/>
    <x v="0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69.63614999999999"/>
  </r>
  <r>
    <x v="12"/>
    <x v="1"/>
    <x v="0"/>
    <x v="0"/>
    <x v="1"/>
    <x v="6"/>
    <x v="0"/>
    <x v="0"/>
    <x v="3"/>
    <x v="3"/>
    <x v="13"/>
    <x v="13"/>
    <x v="1"/>
    <x v="6"/>
    <x v="6"/>
    <x v="41"/>
    <x v="41"/>
    <n v="193.12781318661999"/>
    <x v="1"/>
    <x v="2"/>
    <x v="5"/>
    <x v="7"/>
    <x v="11"/>
    <x v="22"/>
    <n v="229.82209769207779"/>
  </r>
  <r>
    <x v="12"/>
    <x v="1"/>
    <x v="0"/>
    <x v="0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569.5094635"/>
  </r>
  <r>
    <x v="12"/>
    <x v="1"/>
    <x v="0"/>
    <x v="0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42.27462689999999"/>
  </r>
  <r>
    <x v="12"/>
    <x v="1"/>
    <x v="0"/>
    <x v="0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62.974918999999993"/>
  </r>
  <r>
    <x v="12"/>
    <x v="1"/>
    <x v="0"/>
    <x v="0"/>
    <x v="1"/>
    <x v="6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91.66330399999998"/>
  </r>
  <r>
    <x v="12"/>
    <x v="1"/>
    <x v="0"/>
    <x v="0"/>
    <x v="1"/>
    <x v="6"/>
    <x v="0"/>
    <x v="0"/>
    <x v="3"/>
    <x v="3"/>
    <x v="19"/>
    <x v="19"/>
    <x v="3"/>
    <x v="7"/>
    <x v="7"/>
    <x v="41"/>
    <x v="41"/>
    <n v="159.69651648335699"/>
    <x v="1"/>
    <x v="2"/>
    <x v="5"/>
    <x v="7"/>
    <x v="11"/>
    <x v="22"/>
    <n v="190.03885461519479"/>
  </r>
  <r>
    <x v="12"/>
    <x v="1"/>
    <x v="0"/>
    <x v="0"/>
    <x v="1"/>
    <x v="6"/>
    <x v="0"/>
    <x v="0"/>
    <x v="3"/>
    <x v="3"/>
    <x v="19"/>
    <x v="19"/>
    <x v="3"/>
    <x v="7"/>
    <x v="7"/>
    <x v="40"/>
    <x v="40"/>
    <n v="6678.4062899999999"/>
    <x v="1"/>
    <x v="2"/>
    <x v="5"/>
    <x v="7"/>
    <x v="11"/>
    <x v="22"/>
    <n v="7947.3034850999993"/>
  </r>
  <r>
    <x v="12"/>
    <x v="1"/>
    <x v="0"/>
    <x v="0"/>
    <x v="1"/>
    <x v="6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5.852795999999998"/>
  </r>
  <r>
    <x v="12"/>
    <x v="1"/>
    <x v="0"/>
    <x v="0"/>
    <x v="1"/>
    <x v="6"/>
    <x v="0"/>
    <x v="0"/>
    <x v="3"/>
    <x v="3"/>
    <x v="19"/>
    <x v="19"/>
    <x v="1"/>
    <x v="8"/>
    <x v="8"/>
    <x v="41"/>
    <x v="41"/>
    <n v="21.407780219758799"/>
    <x v="1"/>
    <x v="2"/>
    <x v="5"/>
    <x v="7"/>
    <x v="11"/>
    <x v="22"/>
    <n v="25.475258461512968"/>
  </r>
  <r>
    <x v="12"/>
    <x v="1"/>
    <x v="0"/>
    <x v="0"/>
    <x v="1"/>
    <x v="6"/>
    <x v="0"/>
    <x v="0"/>
    <x v="3"/>
    <x v="3"/>
    <x v="19"/>
    <x v="19"/>
    <x v="1"/>
    <x v="8"/>
    <x v="8"/>
    <x v="40"/>
    <x v="40"/>
    <n v="2090.3256799999999"/>
    <x v="1"/>
    <x v="2"/>
    <x v="5"/>
    <x v="7"/>
    <x v="11"/>
    <x v="22"/>
    <n v="2487.4875591999999"/>
  </r>
  <r>
    <x v="12"/>
    <x v="1"/>
    <x v="0"/>
    <x v="0"/>
    <x v="1"/>
    <x v="6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9.006963999999996"/>
  </r>
  <r>
    <x v="12"/>
    <x v="1"/>
    <x v="0"/>
    <x v="0"/>
    <x v="1"/>
    <x v="6"/>
    <x v="0"/>
    <x v="0"/>
    <x v="3"/>
    <x v="3"/>
    <x v="19"/>
    <x v="19"/>
    <x v="2"/>
    <x v="10"/>
    <x v="10"/>
    <x v="41"/>
    <x v="41"/>
    <n v="26.6901098900832"/>
    <x v="1"/>
    <x v="2"/>
    <x v="5"/>
    <x v="7"/>
    <x v="11"/>
    <x v="22"/>
    <n v="31.761230769199006"/>
  </r>
  <r>
    <x v="12"/>
    <x v="1"/>
    <x v="0"/>
    <x v="0"/>
    <x v="1"/>
    <x v="6"/>
    <x v="0"/>
    <x v="0"/>
    <x v="3"/>
    <x v="3"/>
    <x v="19"/>
    <x v="19"/>
    <x v="2"/>
    <x v="10"/>
    <x v="10"/>
    <x v="40"/>
    <x v="40"/>
    <n v="891.26963999999998"/>
    <x v="1"/>
    <x v="2"/>
    <x v="5"/>
    <x v="7"/>
    <x v="11"/>
    <x v="22"/>
    <n v="1060.6108715999999"/>
  </r>
  <r>
    <x v="12"/>
    <x v="1"/>
    <x v="0"/>
    <x v="0"/>
    <x v="1"/>
    <x v="6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22.10683599999999"/>
  </r>
  <r>
    <x v="12"/>
    <x v="1"/>
    <x v="0"/>
    <x v="0"/>
    <x v="1"/>
    <x v="6"/>
    <x v="0"/>
    <x v="0"/>
    <x v="3"/>
    <x v="3"/>
    <x v="19"/>
    <x v="19"/>
    <x v="4"/>
    <x v="5"/>
    <x v="5"/>
    <x v="7"/>
    <x v="7"/>
    <n v="312.97787801505302"/>
    <x v="0"/>
    <x v="0"/>
    <x v="1"/>
    <x v="4"/>
    <x v="5"/>
    <x v="7"/>
    <n v="372.44367483791308"/>
  </r>
  <r>
    <x v="12"/>
    <x v="1"/>
    <x v="0"/>
    <x v="0"/>
    <x v="1"/>
    <x v="6"/>
    <x v="0"/>
    <x v="0"/>
    <x v="3"/>
    <x v="3"/>
    <x v="19"/>
    <x v="19"/>
    <x v="4"/>
    <x v="5"/>
    <x v="5"/>
    <x v="41"/>
    <x v="41"/>
    <n v="678.43064835097005"/>
    <x v="1"/>
    <x v="2"/>
    <x v="5"/>
    <x v="7"/>
    <x v="11"/>
    <x v="22"/>
    <n v="807.33247153765433"/>
  </r>
  <r>
    <x v="12"/>
    <x v="1"/>
    <x v="0"/>
    <x v="0"/>
    <x v="1"/>
    <x v="6"/>
    <x v="0"/>
    <x v="0"/>
    <x v="3"/>
    <x v="3"/>
    <x v="19"/>
    <x v="19"/>
    <x v="4"/>
    <x v="5"/>
    <x v="5"/>
    <x v="40"/>
    <x v="40"/>
    <n v="9232.62075"/>
    <x v="1"/>
    <x v="2"/>
    <x v="5"/>
    <x v="7"/>
    <x v="11"/>
    <x v="22"/>
    <n v="10986.818692499999"/>
  </r>
  <r>
    <x v="12"/>
    <x v="1"/>
    <x v="0"/>
    <x v="0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911.85931269999992"/>
  </r>
  <r>
    <x v="12"/>
    <x v="1"/>
    <x v="0"/>
    <x v="0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52.478964299999994"/>
  </r>
  <r>
    <x v="12"/>
    <x v="1"/>
    <x v="0"/>
    <x v="0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18.78149999999999"/>
  </r>
  <r>
    <x v="12"/>
    <x v="1"/>
    <x v="0"/>
    <x v="0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8.674999999999997"/>
  </r>
  <r>
    <x v="12"/>
    <x v="1"/>
    <x v="0"/>
    <x v="0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45.53613089999993"/>
  </r>
  <r>
    <x v="12"/>
    <x v="1"/>
    <x v="0"/>
    <x v="0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71.36589459999999"/>
  </r>
  <r>
    <x v="12"/>
    <x v="1"/>
    <x v="0"/>
    <x v="0"/>
    <x v="1"/>
    <x v="6"/>
    <x v="0"/>
    <x v="0"/>
    <x v="2"/>
    <x v="2"/>
    <x v="14"/>
    <x v="14"/>
    <x v="0"/>
    <x v="4"/>
    <x v="4"/>
    <x v="41"/>
    <x v="41"/>
    <n v="21.881879120857199"/>
    <x v="1"/>
    <x v="2"/>
    <x v="5"/>
    <x v="7"/>
    <x v="11"/>
    <x v="22"/>
    <n v="26.039436153820066"/>
  </r>
  <r>
    <x v="12"/>
    <x v="1"/>
    <x v="0"/>
    <x v="0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280.3633044999999"/>
  </r>
  <r>
    <x v="12"/>
    <x v="1"/>
    <x v="0"/>
    <x v="0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3.24113"/>
  </r>
  <r>
    <x v="12"/>
    <x v="1"/>
    <x v="0"/>
    <x v="0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992.1054698999999"/>
  </r>
  <r>
    <x v="12"/>
    <x v="1"/>
    <x v="0"/>
    <x v="0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8904999999999996"/>
  </r>
  <r>
    <x v="12"/>
    <x v="1"/>
    <x v="0"/>
    <x v="0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50.069250000000004"/>
  </r>
  <r>
    <x v="12"/>
    <x v="1"/>
    <x v="0"/>
    <x v="0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6489399999999996E-2"/>
  </r>
  <r>
    <x v="12"/>
    <x v="1"/>
    <x v="0"/>
    <x v="0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6401999999999997E-3"/>
  </r>
  <r>
    <x v="12"/>
    <x v="1"/>
    <x v="0"/>
    <x v="0"/>
    <x v="1"/>
    <x v="6"/>
    <x v="0"/>
    <x v="0"/>
    <x v="2"/>
    <x v="2"/>
    <x v="14"/>
    <x v="14"/>
    <x v="4"/>
    <x v="5"/>
    <x v="5"/>
    <x v="40"/>
    <x v="40"/>
    <n v="289.10766000000001"/>
    <x v="1"/>
    <x v="2"/>
    <x v="5"/>
    <x v="7"/>
    <x v="11"/>
    <x v="22"/>
    <n v="344.03811539999998"/>
  </r>
  <r>
    <x v="12"/>
    <x v="1"/>
    <x v="0"/>
    <x v="0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81.33577"/>
  </r>
  <r>
    <x v="12"/>
    <x v="1"/>
    <x v="0"/>
    <x v="0"/>
    <x v="1"/>
    <x v="6"/>
    <x v="0"/>
    <x v="0"/>
    <x v="2"/>
    <x v="2"/>
    <x v="15"/>
    <x v="15"/>
    <x v="3"/>
    <x v="3"/>
    <x v="3"/>
    <x v="41"/>
    <x v="41"/>
    <n v="10.6528901098795"/>
    <x v="1"/>
    <x v="2"/>
    <x v="5"/>
    <x v="7"/>
    <x v="11"/>
    <x v="22"/>
    <n v="12.676939230756604"/>
  </r>
  <r>
    <x v="12"/>
    <x v="1"/>
    <x v="0"/>
    <x v="0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347.9376806"/>
  </r>
  <r>
    <x v="12"/>
    <x v="1"/>
    <x v="0"/>
    <x v="0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90.1566638999999"/>
  </r>
  <r>
    <x v="12"/>
    <x v="1"/>
    <x v="0"/>
    <x v="0"/>
    <x v="1"/>
    <x v="6"/>
    <x v="0"/>
    <x v="0"/>
    <x v="2"/>
    <x v="2"/>
    <x v="15"/>
    <x v="15"/>
    <x v="0"/>
    <x v="4"/>
    <x v="4"/>
    <x v="41"/>
    <x v="41"/>
    <n v="123.586857142734"/>
    <x v="1"/>
    <x v="2"/>
    <x v="5"/>
    <x v="7"/>
    <x v="11"/>
    <x v="22"/>
    <n v="147.06835999985347"/>
  </r>
  <r>
    <x v="12"/>
    <x v="1"/>
    <x v="0"/>
    <x v="0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567.4157536999996"/>
  </r>
  <r>
    <x v="12"/>
    <x v="1"/>
    <x v="0"/>
    <x v="0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34.83465949999999"/>
  </r>
  <r>
    <x v="12"/>
    <x v="1"/>
    <x v="0"/>
    <x v="0"/>
    <x v="1"/>
    <x v="6"/>
    <x v="0"/>
    <x v="0"/>
    <x v="2"/>
    <x v="2"/>
    <x v="15"/>
    <x v="15"/>
    <x v="2"/>
    <x v="2"/>
    <x v="2"/>
    <x v="41"/>
    <x v="41"/>
    <n v="43.173999999956798"/>
    <x v="1"/>
    <x v="2"/>
    <x v="5"/>
    <x v="7"/>
    <x v="11"/>
    <x v="22"/>
    <n v="51.377059999948585"/>
  </r>
  <r>
    <x v="12"/>
    <x v="1"/>
    <x v="0"/>
    <x v="0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297.8586487999999"/>
  </r>
  <r>
    <x v="12"/>
    <x v="1"/>
    <x v="0"/>
    <x v="0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41.610908499999994"/>
  </r>
  <r>
    <x v="12"/>
    <x v="1"/>
    <x v="0"/>
    <x v="0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9289800000000001"/>
  </r>
  <r>
    <x v="12"/>
    <x v="1"/>
    <x v="0"/>
    <x v="0"/>
    <x v="1"/>
    <x v="6"/>
    <x v="0"/>
    <x v="0"/>
    <x v="2"/>
    <x v="2"/>
    <x v="15"/>
    <x v="15"/>
    <x v="1"/>
    <x v="6"/>
    <x v="6"/>
    <x v="41"/>
    <x v="41"/>
    <n v="26.729890109863401"/>
    <x v="1"/>
    <x v="2"/>
    <x v="5"/>
    <x v="7"/>
    <x v="11"/>
    <x v="22"/>
    <n v="31.808569230737447"/>
  </r>
  <r>
    <x v="12"/>
    <x v="1"/>
    <x v="0"/>
    <x v="0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300.00885319999998"/>
  </r>
  <r>
    <x v="12"/>
    <x v="1"/>
    <x v="0"/>
    <x v="0"/>
    <x v="1"/>
    <x v="6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35.62571199999996"/>
  </r>
  <r>
    <x v="12"/>
    <x v="1"/>
    <x v="0"/>
    <x v="0"/>
    <x v="1"/>
    <x v="6"/>
    <x v="0"/>
    <x v="0"/>
    <x v="2"/>
    <x v="2"/>
    <x v="15"/>
    <x v="15"/>
    <x v="3"/>
    <x v="7"/>
    <x v="7"/>
    <x v="40"/>
    <x v="40"/>
    <n v="12.01599"/>
    <x v="1"/>
    <x v="2"/>
    <x v="5"/>
    <x v="7"/>
    <x v="11"/>
    <x v="22"/>
    <n v="14.299028099999999"/>
  </r>
  <r>
    <x v="12"/>
    <x v="1"/>
    <x v="0"/>
    <x v="0"/>
    <x v="1"/>
    <x v="6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6985199999999998"/>
  </r>
  <r>
    <x v="12"/>
    <x v="1"/>
    <x v="0"/>
    <x v="0"/>
    <x v="1"/>
    <x v="6"/>
    <x v="0"/>
    <x v="0"/>
    <x v="2"/>
    <x v="2"/>
    <x v="15"/>
    <x v="15"/>
    <x v="1"/>
    <x v="8"/>
    <x v="8"/>
    <x v="40"/>
    <x v="40"/>
    <n v="25.54935"/>
    <x v="1"/>
    <x v="2"/>
    <x v="5"/>
    <x v="7"/>
    <x v="11"/>
    <x v="22"/>
    <n v="30.403726499999998"/>
  </r>
  <r>
    <x v="12"/>
    <x v="1"/>
    <x v="0"/>
    <x v="0"/>
    <x v="1"/>
    <x v="6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64.627709999999993"/>
  </r>
  <r>
    <x v="12"/>
    <x v="1"/>
    <x v="0"/>
    <x v="0"/>
    <x v="1"/>
    <x v="6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4736099999999999"/>
  </r>
  <r>
    <x v="12"/>
    <x v="1"/>
    <x v="0"/>
    <x v="0"/>
    <x v="1"/>
    <x v="6"/>
    <x v="0"/>
    <x v="0"/>
    <x v="2"/>
    <x v="2"/>
    <x v="15"/>
    <x v="15"/>
    <x v="4"/>
    <x v="5"/>
    <x v="5"/>
    <x v="40"/>
    <x v="40"/>
    <n v="285.21755000000002"/>
    <x v="1"/>
    <x v="2"/>
    <x v="5"/>
    <x v="7"/>
    <x v="11"/>
    <x v="22"/>
    <n v="339.4088845"/>
  </r>
  <r>
    <x v="12"/>
    <x v="1"/>
    <x v="0"/>
    <x v="0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64022000000000001"/>
  </r>
  <r>
    <x v="12"/>
    <x v="1"/>
    <x v="0"/>
    <x v="0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93.16027639999999"/>
  </r>
  <r>
    <x v="12"/>
    <x v="1"/>
    <x v="0"/>
    <x v="0"/>
    <x v="1"/>
    <x v="6"/>
    <x v="0"/>
    <x v="0"/>
    <x v="2"/>
    <x v="2"/>
    <x v="16"/>
    <x v="16"/>
    <x v="0"/>
    <x v="4"/>
    <x v="4"/>
    <x v="41"/>
    <x v="41"/>
    <n v="3.5164835164800001"/>
    <x v="1"/>
    <x v="2"/>
    <x v="5"/>
    <x v="7"/>
    <x v="11"/>
    <x v="22"/>
    <n v="4.1846153846111998"/>
  </r>
  <r>
    <x v="12"/>
    <x v="1"/>
    <x v="0"/>
    <x v="0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603.20434790000002"/>
  </r>
  <r>
    <x v="12"/>
    <x v="1"/>
    <x v="0"/>
    <x v="0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5.398207299999999"/>
  </r>
  <r>
    <x v="12"/>
    <x v="1"/>
    <x v="0"/>
    <x v="0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18.99405"/>
  </r>
  <r>
    <x v="12"/>
    <x v="1"/>
    <x v="0"/>
    <x v="0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737.3158128"/>
  </r>
  <r>
    <x v="12"/>
    <x v="1"/>
    <x v="0"/>
    <x v="0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20.384699999999999"/>
  </r>
  <r>
    <x v="12"/>
    <x v="1"/>
    <x v="0"/>
    <x v="0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9749999999999996"/>
  </r>
  <r>
    <x v="12"/>
    <x v="1"/>
    <x v="0"/>
    <x v="0"/>
    <x v="1"/>
    <x v="6"/>
    <x v="0"/>
    <x v="0"/>
    <x v="2"/>
    <x v="2"/>
    <x v="16"/>
    <x v="16"/>
    <x v="1"/>
    <x v="6"/>
    <x v="6"/>
    <x v="7"/>
    <x v="7"/>
    <n v="1.3804518072421701"/>
    <x v="0"/>
    <x v="0"/>
    <x v="1"/>
    <x v="4"/>
    <x v="5"/>
    <x v="7"/>
    <n v="1.6427376506181823"/>
  </r>
  <r>
    <x v="12"/>
    <x v="1"/>
    <x v="0"/>
    <x v="0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59.0363079"/>
  </r>
  <r>
    <x v="12"/>
    <x v="1"/>
    <x v="0"/>
    <x v="0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4.280356999999999"/>
  </r>
  <r>
    <x v="12"/>
    <x v="1"/>
    <x v="0"/>
    <x v="0"/>
    <x v="1"/>
    <x v="6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6.179524000000001"/>
  </r>
  <r>
    <x v="12"/>
    <x v="1"/>
    <x v="0"/>
    <x v="0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8.376896299999999"/>
  </r>
  <r>
    <x v="12"/>
    <x v="1"/>
    <x v="0"/>
    <x v="0"/>
    <x v="1"/>
    <x v="6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41054999999999997"/>
  </r>
  <r>
    <x v="12"/>
    <x v="1"/>
    <x v="0"/>
    <x v="0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6.369485299999997"/>
  </r>
  <r>
    <x v="12"/>
    <x v="1"/>
    <x v="0"/>
    <x v="0"/>
    <x v="1"/>
    <x v="6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7.1799839999999993"/>
  </r>
  <r>
    <x v="12"/>
    <x v="1"/>
    <x v="0"/>
    <x v="0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4818283000000001"/>
  </r>
  <r>
    <x v="12"/>
    <x v="1"/>
    <x v="0"/>
    <x v="0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43.584999499999995"/>
  </r>
  <r>
    <x v="12"/>
    <x v="1"/>
    <x v="0"/>
    <x v="0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52.16397499999999"/>
  </r>
  <r>
    <x v="12"/>
    <x v="1"/>
    <x v="0"/>
    <x v="0"/>
    <x v="1"/>
    <x v="6"/>
    <x v="0"/>
    <x v="0"/>
    <x v="2"/>
    <x v="2"/>
    <x v="17"/>
    <x v="17"/>
    <x v="3"/>
    <x v="3"/>
    <x v="3"/>
    <x v="41"/>
    <x v="41"/>
    <n v="1.4964505494490501"/>
    <x v="1"/>
    <x v="2"/>
    <x v="5"/>
    <x v="7"/>
    <x v="11"/>
    <x v="22"/>
    <n v="1.7807761538443696"/>
  </r>
  <r>
    <x v="12"/>
    <x v="1"/>
    <x v="0"/>
    <x v="0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95.30277989999996"/>
  </r>
  <r>
    <x v="12"/>
    <x v="1"/>
    <x v="0"/>
    <x v="0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4.880664399999999"/>
  </r>
  <r>
    <x v="12"/>
    <x v="1"/>
    <x v="0"/>
    <x v="0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4863"/>
  </r>
  <r>
    <x v="12"/>
    <x v="1"/>
    <x v="0"/>
    <x v="0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108.42209"/>
  </r>
  <r>
    <x v="12"/>
    <x v="1"/>
    <x v="0"/>
    <x v="0"/>
    <x v="1"/>
    <x v="6"/>
    <x v="0"/>
    <x v="0"/>
    <x v="2"/>
    <x v="2"/>
    <x v="17"/>
    <x v="17"/>
    <x v="0"/>
    <x v="4"/>
    <x v="4"/>
    <x v="7"/>
    <x v="7"/>
    <n v="78.980462350155804"/>
    <x v="0"/>
    <x v="0"/>
    <x v="1"/>
    <x v="4"/>
    <x v="5"/>
    <x v="7"/>
    <n v="93.986750196685406"/>
  </r>
  <r>
    <x v="12"/>
    <x v="1"/>
    <x v="0"/>
    <x v="0"/>
    <x v="1"/>
    <x v="6"/>
    <x v="0"/>
    <x v="0"/>
    <x v="2"/>
    <x v="2"/>
    <x v="17"/>
    <x v="17"/>
    <x v="0"/>
    <x v="4"/>
    <x v="4"/>
    <x v="41"/>
    <x v="41"/>
    <n v="86.309714285628004"/>
    <x v="1"/>
    <x v="2"/>
    <x v="5"/>
    <x v="7"/>
    <x v="11"/>
    <x v="22"/>
    <n v="102.70855999989732"/>
  </r>
  <r>
    <x v="12"/>
    <x v="1"/>
    <x v="0"/>
    <x v="0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75.79138929999999"/>
  </r>
  <r>
    <x v="12"/>
    <x v="1"/>
    <x v="0"/>
    <x v="0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68.9254972"/>
  </r>
  <r>
    <x v="12"/>
    <x v="1"/>
    <x v="0"/>
    <x v="0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72.92737279999997"/>
  </r>
  <r>
    <x v="12"/>
    <x v="1"/>
    <x v="0"/>
    <x v="0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870.71935859999996"/>
  </r>
  <r>
    <x v="12"/>
    <x v="1"/>
    <x v="0"/>
    <x v="0"/>
    <x v="1"/>
    <x v="6"/>
    <x v="0"/>
    <x v="0"/>
    <x v="2"/>
    <x v="2"/>
    <x v="17"/>
    <x v="17"/>
    <x v="2"/>
    <x v="2"/>
    <x v="2"/>
    <x v="7"/>
    <x v="7"/>
    <n v="1.06777108435E-3"/>
    <x v="0"/>
    <x v="0"/>
    <x v="1"/>
    <x v="4"/>
    <x v="5"/>
    <x v="7"/>
    <n v="1.2706475903764998E-3"/>
  </r>
  <r>
    <x v="12"/>
    <x v="1"/>
    <x v="0"/>
    <x v="0"/>
    <x v="1"/>
    <x v="6"/>
    <x v="0"/>
    <x v="0"/>
    <x v="2"/>
    <x v="2"/>
    <x v="17"/>
    <x v="17"/>
    <x v="2"/>
    <x v="2"/>
    <x v="2"/>
    <x v="41"/>
    <x v="41"/>
    <n v="526.87204395551703"/>
    <x v="1"/>
    <x v="2"/>
    <x v="5"/>
    <x v="7"/>
    <x v="11"/>
    <x v="22"/>
    <n v="626.97773230706525"/>
  </r>
  <r>
    <x v="12"/>
    <x v="1"/>
    <x v="0"/>
    <x v="0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4338.4050268999999"/>
  </r>
  <r>
    <x v="12"/>
    <x v="1"/>
    <x v="0"/>
    <x v="0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884.2065752999999"/>
  </r>
  <r>
    <x v="12"/>
    <x v="1"/>
    <x v="0"/>
    <x v="0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83299999999999996"/>
  </r>
  <r>
    <x v="12"/>
    <x v="1"/>
    <x v="0"/>
    <x v="0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210.01609089999997"/>
  </r>
  <r>
    <x v="12"/>
    <x v="1"/>
    <x v="0"/>
    <x v="0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324.86393099999998"/>
  </r>
  <r>
    <x v="12"/>
    <x v="1"/>
    <x v="0"/>
    <x v="0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10.709404999999999"/>
  </r>
  <r>
    <x v="12"/>
    <x v="1"/>
    <x v="0"/>
    <x v="0"/>
    <x v="1"/>
    <x v="6"/>
    <x v="0"/>
    <x v="0"/>
    <x v="2"/>
    <x v="2"/>
    <x v="17"/>
    <x v="17"/>
    <x v="1"/>
    <x v="6"/>
    <x v="6"/>
    <x v="7"/>
    <x v="7"/>
    <n v="9.1211927711719003"/>
    <x v="0"/>
    <x v="0"/>
    <x v="1"/>
    <x v="4"/>
    <x v="5"/>
    <x v="7"/>
    <n v="10.85421939769456"/>
  </r>
  <r>
    <x v="12"/>
    <x v="1"/>
    <x v="0"/>
    <x v="0"/>
    <x v="1"/>
    <x v="6"/>
    <x v="0"/>
    <x v="0"/>
    <x v="2"/>
    <x v="2"/>
    <x v="17"/>
    <x v="17"/>
    <x v="1"/>
    <x v="6"/>
    <x v="6"/>
    <x v="41"/>
    <x v="41"/>
    <n v="61.622758241696602"/>
    <x v="1"/>
    <x v="2"/>
    <x v="5"/>
    <x v="7"/>
    <x v="11"/>
    <x v="22"/>
    <n v="73.331082307618956"/>
  </r>
  <r>
    <x v="12"/>
    <x v="1"/>
    <x v="0"/>
    <x v="0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571.0450633"/>
  </r>
  <r>
    <x v="12"/>
    <x v="1"/>
    <x v="0"/>
    <x v="0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4686265999999999"/>
  </r>
  <r>
    <x v="12"/>
    <x v="1"/>
    <x v="0"/>
    <x v="0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9.192492100000003"/>
  </r>
  <r>
    <x v="12"/>
    <x v="1"/>
    <x v="0"/>
    <x v="0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8.1015199999999989"/>
  </r>
  <r>
    <x v="12"/>
    <x v="1"/>
    <x v="0"/>
    <x v="0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8.71556"/>
  </r>
  <r>
    <x v="12"/>
    <x v="1"/>
    <x v="0"/>
    <x v="0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4.917233099999999"/>
  </r>
  <r>
    <x v="12"/>
    <x v="1"/>
    <x v="0"/>
    <x v="0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1.728830399999998"/>
  </r>
  <r>
    <x v="12"/>
    <x v="1"/>
    <x v="0"/>
    <x v="0"/>
    <x v="1"/>
    <x v="6"/>
    <x v="0"/>
    <x v="0"/>
    <x v="2"/>
    <x v="2"/>
    <x v="17"/>
    <x v="17"/>
    <x v="3"/>
    <x v="7"/>
    <x v="7"/>
    <x v="7"/>
    <x v="7"/>
    <n v="1253.8635692891501"/>
    <x v="0"/>
    <x v="0"/>
    <x v="1"/>
    <x v="4"/>
    <x v="5"/>
    <x v="7"/>
    <n v="1492.0976474540885"/>
  </r>
  <r>
    <x v="12"/>
    <x v="1"/>
    <x v="0"/>
    <x v="0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839.5945343999999"/>
  </r>
  <r>
    <x v="12"/>
    <x v="1"/>
    <x v="0"/>
    <x v="0"/>
    <x v="1"/>
    <x v="6"/>
    <x v="0"/>
    <x v="0"/>
    <x v="2"/>
    <x v="2"/>
    <x v="17"/>
    <x v="17"/>
    <x v="1"/>
    <x v="8"/>
    <x v="8"/>
    <x v="7"/>
    <x v="7"/>
    <n v="135.41063403744499"/>
    <x v="0"/>
    <x v="0"/>
    <x v="1"/>
    <x v="4"/>
    <x v="5"/>
    <x v="7"/>
    <n v="161.13865450455953"/>
  </r>
  <r>
    <x v="12"/>
    <x v="1"/>
    <x v="0"/>
    <x v="0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423.77357749999999"/>
  </r>
  <r>
    <x v="12"/>
    <x v="1"/>
    <x v="0"/>
    <x v="0"/>
    <x v="1"/>
    <x v="6"/>
    <x v="0"/>
    <x v="0"/>
    <x v="2"/>
    <x v="2"/>
    <x v="17"/>
    <x v="17"/>
    <x v="0"/>
    <x v="9"/>
    <x v="9"/>
    <x v="7"/>
    <x v="7"/>
    <n v="1040.59189609433"/>
    <x v="0"/>
    <x v="0"/>
    <x v="1"/>
    <x v="4"/>
    <x v="5"/>
    <x v="7"/>
    <n v="1238.3043563522526"/>
  </r>
  <r>
    <x v="12"/>
    <x v="1"/>
    <x v="0"/>
    <x v="0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5.326610500000001"/>
  </r>
  <r>
    <x v="12"/>
    <x v="1"/>
    <x v="0"/>
    <x v="0"/>
    <x v="1"/>
    <x v="6"/>
    <x v="0"/>
    <x v="0"/>
    <x v="2"/>
    <x v="2"/>
    <x v="17"/>
    <x v="17"/>
    <x v="2"/>
    <x v="10"/>
    <x v="10"/>
    <x v="7"/>
    <x v="7"/>
    <n v="323.59198042479301"/>
    <x v="0"/>
    <x v="0"/>
    <x v="1"/>
    <x v="4"/>
    <x v="5"/>
    <x v="7"/>
    <n v="385.07445670550368"/>
  </r>
  <r>
    <x v="12"/>
    <x v="1"/>
    <x v="0"/>
    <x v="0"/>
    <x v="1"/>
    <x v="6"/>
    <x v="0"/>
    <x v="0"/>
    <x v="2"/>
    <x v="2"/>
    <x v="17"/>
    <x v="17"/>
    <x v="2"/>
    <x v="10"/>
    <x v="10"/>
    <x v="41"/>
    <x v="41"/>
    <n v="2.24861538461314"/>
    <x v="1"/>
    <x v="2"/>
    <x v="5"/>
    <x v="7"/>
    <x v="11"/>
    <x v="22"/>
    <n v="2.6758523076896363"/>
  </r>
  <r>
    <x v="12"/>
    <x v="1"/>
    <x v="0"/>
    <x v="0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89.4049536"/>
  </r>
  <r>
    <x v="12"/>
    <x v="1"/>
    <x v="0"/>
    <x v="0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7.242294700000002"/>
  </r>
  <r>
    <x v="12"/>
    <x v="1"/>
    <x v="0"/>
    <x v="0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6.056745300000003"/>
  </r>
  <r>
    <x v="12"/>
    <x v="1"/>
    <x v="0"/>
    <x v="0"/>
    <x v="1"/>
    <x v="6"/>
    <x v="0"/>
    <x v="0"/>
    <x v="2"/>
    <x v="2"/>
    <x v="17"/>
    <x v="17"/>
    <x v="4"/>
    <x v="5"/>
    <x v="5"/>
    <x v="7"/>
    <x v="7"/>
    <n v="517.59898193267998"/>
    <x v="0"/>
    <x v="0"/>
    <x v="1"/>
    <x v="4"/>
    <x v="5"/>
    <x v="7"/>
    <n v="615.94278849988916"/>
  </r>
  <r>
    <x v="12"/>
    <x v="1"/>
    <x v="0"/>
    <x v="0"/>
    <x v="1"/>
    <x v="6"/>
    <x v="0"/>
    <x v="0"/>
    <x v="2"/>
    <x v="2"/>
    <x v="17"/>
    <x v="17"/>
    <x v="4"/>
    <x v="5"/>
    <x v="5"/>
    <x v="41"/>
    <x v="41"/>
    <n v="229.66354945032001"/>
    <x v="1"/>
    <x v="2"/>
    <x v="5"/>
    <x v="7"/>
    <x v="11"/>
    <x v="22"/>
    <n v="273.29962384588077"/>
  </r>
  <r>
    <x v="12"/>
    <x v="1"/>
    <x v="0"/>
    <x v="0"/>
    <x v="1"/>
    <x v="6"/>
    <x v="0"/>
    <x v="0"/>
    <x v="2"/>
    <x v="2"/>
    <x v="17"/>
    <x v="17"/>
    <x v="4"/>
    <x v="5"/>
    <x v="5"/>
    <x v="40"/>
    <x v="40"/>
    <n v="2972.4847799999998"/>
    <x v="1"/>
    <x v="2"/>
    <x v="5"/>
    <x v="7"/>
    <x v="11"/>
    <x v="22"/>
    <n v="3537.2568881999996"/>
  </r>
  <r>
    <x v="12"/>
    <x v="1"/>
    <x v="0"/>
    <x v="0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100.86341229999999"/>
  </r>
  <r>
    <x v="12"/>
    <x v="1"/>
    <x v="0"/>
    <x v="0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6179999999999998"/>
  </r>
  <r>
    <x v="12"/>
    <x v="1"/>
    <x v="0"/>
    <x v="0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1305"/>
  </r>
  <r>
    <x v="12"/>
    <x v="1"/>
    <x v="0"/>
    <x v="0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6.254566999999998"/>
  </r>
  <r>
    <x v="12"/>
    <x v="1"/>
    <x v="0"/>
    <x v="0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2.0825"/>
  </r>
  <r>
    <x v="12"/>
    <x v="1"/>
    <x v="0"/>
    <x v="0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5.167823299999998"/>
  </r>
  <r>
    <x v="12"/>
    <x v="1"/>
    <x v="0"/>
    <x v="0"/>
    <x v="1"/>
    <x v="7"/>
    <x v="0"/>
    <x v="0"/>
    <x v="0"/>
    <x v="0"/>
    <x v="0"/>
    <x v="0"/>
    <x v="3"/>
    <x v="3"/>
    <x v="3"/>
    <x v="10"/>
    <x v="10"/>
    <n v="0.2274957983183"/>
    <x v="0"/>
    <x v="0"/>
    <x v="1"/>
    <x v="4"/>
    <x v="5"/>
    <x v="10"/>
    <n v="0.27071999999877699"/>
  </r>
  <r>
    <x v="12"/>
    <x v="1"/>
    <x v="0"/>
    <x v="0"/>
    <x v="1"/>
    <x v="7"/>
    <x v="0"/>
    <x v="0"/>
    <x v="0"/>
    <x v="0"/>
    <x v="0"/>
    <x v="0"/>
    <x v="3"/>
    <x v="3"/>
    <x v="3"/>
    <x v="11"/>
    <x v="11"/>
    <n v="38.344439999999999"/>
    <x v="0"/>
    <x v="0"/>
    <x v="3"/>
    <x v="5"/>
    <x v="7"/>
    <x v="11"/>
    <n v="45.629883599999999"/>
  </r>
  <r>
    <x v="12"/>
    <x v="1"/>
    <x v="0"/>
    <x v="0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5.699999999999996"/>
  </r>
  <r>
    <x v="12"/>
    <x v="1"/>
    <x v="0"/>
    <x v="0"/>
    <x v="1"/>
    <x v="7"/>
    <x v="0"/>
    <x v="0"/>
    <x v="0"/>
    <x v="0"/>
    <x v="0"/>
    <x v="0"/>
    <x v="3"/>
    <x v="3"/>
    <x v="3"/>
    <x v="26"/>
    <x v="26"/>
    <n v="18.487394957900001"/>
    <x v="0"/>
    <x v="0"/>
    <x v="1"/>
    <x v="3"/>
    <x v="3"/>
    <x v="15"/>
    <n v="21.999999999901"/>
  </r>
  <r>
    <x v="12"/>
    <x v="1"/>
    <x v="0"/>
    <x v="0"/>
    <x v="1"/>
    <x v="7"/>
    <x v="0"/>
    <x v="0"/>
    <x v="0"/>
    <x v="0"/>
    <x v="0"/>
    <x v="0"/>
    <x v="0"/>
    <x v="4"/>
    <x v="4"/>
    <x v="11"/>
    <x v="11"/>
    <n v="125.75535000000001"/>
    <x v="0"/>
    <x v="0"/>
    <x v="3"/>
    <x v="5"/>
    <x v="7"/>
    <x v="11"/>
    <n v="149.6488665"/>
  </r>
  <r>
    <x v="12"/>
    <x v="1"/>
    <x v="0"/>
    <x v="0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52.597999999999999"/>
  </r>
  <r>
    <x v="12"/>
    <x v="1"/>
    <x v="0"/>
    <x v="0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7405599999999994"/>
  </r>
  <r>
    <x v="12"/>
    <x v="1"/>
    <x v="0"/>
    <x v="0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5.3815488999999994"/>
  </r>
  <r>
    <x v="12"/>
    <x v="1"/>
    <x v="0"/>
    <x v="0"/>
    <x v="1"/>
    <x v="7"/>
    <x v="0"/>
    <x v="0"/>
    <x v="0"/>
    <x v="0"/>
    <x v="0"/>
    <x v="0"/>
    <x v="2"/>
    <x v="2"/>
    <x v="2"/>
    <x v="5"/>
    <x v="5"/>
    <n v="4.1851270718587799"/>
    <x v="0"/>
    <x v="0"/>
    <x v="1"/>
    <x v="1"/>
    <x v="1"/>
    <x v="5"/>
    <n v="4.9803012155119477"/>
  </r>
  <r>
    <x v="12"/>
    <x v="1"/>
    <x v="0"/>
    <x v="0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7.849999999999998"/>
  </r>
  <r>
    <x v="13"/>
    <x v="1"/>
    <x v="1"/>
    <x v="1"/>
    <x v="0"/>
    <x v="0"/>
    <x v="0"/>
    <x v="0"/>
    <x v="0"/>
    <x v="0"/>
    <x v="2"/>
    <x v="2"/>
    <x v="2"/>
    <x v="2"/>
    <x v="2"/>
    <x v="2"/>
    <x v="2"/>
    <n v="2.6739495798200001E-2"/>
    <x v="0"/>
    <x v="1"/>
    <x v="2"/>
    <x v="2"/>
    <x v="13"/>
    <x v="2"/>
    <n v="3.1819999999857997E-2"/>
  </r>
  <r>
    <x v="13"/>
    <x v="1"/>
    <x v="1"/>
    <x v="1"/>
    <x v="0"/>
    <x v="0"/>
    <x v="0"/>
    <x v="0"/>
    <x v="0"/>
    <x v="0"/>
    <x v="0"/>
    <x v="0"/>
    <x v="3"/>
    <x v="3"/>
    <x v="3"/>
    <x v="4"/>
    <x v="4"/>
    <n v="19.034445378065602"/>
    <x v="0"/>
    <x v="0"/>
    <x v="1"/>
    <x v="3"/>
    <x v="3"/>
    <x v="4"/>
    <n v="22.650989999898066"/>
  </r>
  <r>
    <x v="13"/>
    <x v="1"/>
    <x v="1"/>
    <x v="1"/>
    <x v="0"/>
    <x v="0"/>
    <x v="0"/>
    <x v="0"/>
    <x v="0"/>
    <x v="0"/>
    <x v="0"/>
    <x v="0"/>
    <x v="3"/>
    <x v="3"/>
    <x v="3"/>
    <x v="5"/>
    <x v="5"/>
    <n v="9.5678674033962405"/>
    <x v="0"/>
    <x v="0"/>
    <x v="1"/>
    <x v="1"/>
    <x v="1"/>
    <x v="5"/>
    <n v="11.385762210041525"/>
  </r>
  <r>
    <x v="13"/>
    <x v="1"/>
    <x v="1"/>
    <x v="1"/>
    <x v="0"/>
    <x v="0"/>
    <x v="0"/>
    <x v="0"/>
    <x v="0"/>
    <x v="0"/>
    <x v="0"/>
    <x v="0"/>
    <x v="3"/>
    <x v="3"/>
    <x v="3"/>
    <x v="6"/>
    <x v="6"/>
    <n v="22.042999999999999"/>
    <x v="0"/>
    <x v="0"/>
    <x v="0"/>
    <x v="0"/>
    <x v="4"/>
    <x v="6"/>
    <n v="26.231169999999999"/>
  </r>
  <r>
    <x v="13"/>
    <x v="1"/>
    <x v="1"/>
    <x v="1"/>
    <x v="0"/>
    <x v="0"/>
    <x v="0"/>
    <x v="0"/>
    <x v="0"/>
    <x v="0"/>
    <x v="0"/>
    <x v="0"/>
    <x v="3"/>
    <x v="3"/>
    <x v="3"/>
    <x v="8"/>
    <x v="8"/>
    <n v="7.3896770186054601"/>
    <x v="0"/>
    <x v="1"/>
    <x v="2"/>
    <x v="2"/>
    <x v="6"/>
    <x v="8"/>
    <n v="8.7937156521404969"/>
  </r>
  <r>
    <x v="13"/>
    <x v="1"/>
    <x v="1"/>
    <x v="1"/>
    <x v="0"/>
    <x v="0"/>
    <x v="0"/>
    <x v="0"/>
    <x v="0"/>
    <x v="0"/>
    <x v="0"/>
    <x v="0"/>
    <x v="3"/>
    <x v="3"/>
    <x v="3"/>
    <x v="11"/>
    <x v="11"/>
    <n v="315.9058"/>
    <x v="0"/>
    <x v="0"/>
    <x v="3"/>
    <x v="5"/>
    <x v="7"/>
    <x v="11"/>
    <n v="375.92790199999996"/>
  </r>
  <r>
    <x v="13"/>
    <x v="1"/>
    <x v="1"/>
    <x v="1"/>
    <x v="0"/>
    <x v="0"/>
    <x v="0"/>
    <x v="0"/>
    <x v="0"/>
    <x v="0"/>
    <x v="0"/>
    <x v="0"/>
    <x v="3"/>
    <x v="3"/>
    <x v="3"/>
    <x v="12"/>
    <x v="12"/>
    <n v="112.676193181458"/>
    <x v="0"/>
    <x v="0"/>
    <x v="0"/>
    <x v="0"/>
    <x v="8"/>
    <x v="12"/>
    <n v="134.08466988593503"/>
  </r>
  <r>
    <x v="13"/>
    <x v="1"/>
    <x v="1"/>
    <x v="1"/>
    <x v="0"/>
    <x v="0"/>
    <x v="0"/>
    <x v="0"/>
    <x v="0"/>
    <x v="0"/>
    <x v="0"/>
    <x v="0"/>
    <x v="3"/>
    <x v="3"/>
    <x v="3"/>
    <x v="14"/>
    <x v="14"/>
    <n v="34.396059999999999"/>
    <x v="0"/>
    <x v="0"/>
    <x v="0"/>
    <x v="0"/>
    <x v="8"/>
    <x v="14"/>
    <n v="40.931311399999998"/>
  </r>
  <r>
    <x v="13"/>
    <x v="1"/>
    <x v="1"/>
    <x v="1"/>
    <x v="0"/>
    <x v="0"/>
    <x v="0"/>
    <x v="0"/>
    <x v="0"/>
    <x v="0"/>
    <x v="0"/>
    <x v="0"/>
    <x v="3"/>
    <x v="3"/>
    <x v="3"/>
    <x v="16"/>
    <x v="16"/>
    <n v="146.89098000000001"/>
    <x v="0"/>
    <x v="0"/>
    <x v="3"/>
    <x v="5"/>
    <x v="9"/>
    <x v="16"/>
    <n v="174.80026620000001"/>
  </r>
  <r>
    <x v="13"/>
    <x v="1"/>
    <x v="1"/>
    <x v="1"/>
    <x v="0"/>
    <x v="0"/>
    <x v="0"/>
    <x v="0"/>
    <x v="0"/>
    <x v="0"/>
    <x v="0"/>
    <x v="0"/>
    <x v="3"/>
    <x v="3"/>
    <x v="3"/>
    <x v="36"/>
    <x v="36"/>
    <n v="11.3420168066716"/>
    <x v="0"/>
    <x v="0"/>
    <x v="1"/>
    <x v="3"/>
    <x v="3"/>
    <x v="4"/>
    <n v="13.496999999939204"/>
  </r>
  <r>
    <x v="13"/>
    <x v="1"/>
    <x v="1"/>
    <x v="1"/>
    <x v="0"/>
    <x v="0"/>
    <x v="0"/>
    <x v="0"/>
    <x v="0"/>
    <x v="0"/>
    <x v="0"/>
    <x v="0"/>
    <x v="3"/>
    <x v="3"/>
    <x v="3"/>
    <x v="24"/>
    <x v="24"/>
    <n v="13.915672268844901"/>
    <x v="0"/>
    <x v="0"/>
    <x v="1"/>
    <x v="3"/>
    <x v="3"/>
    <x v="4"/>
    <n v="16.55964999992543"/>
  </r>
  <r>
    <x v="13"/>
    <x v="1"/>
    <x v="1"/>
    <x v="1"/>
    <x v="0"/>
    <x v="0"/>
    <x v="0"/>
    <x v="0"/>
    <x v="0"/>
    <x v="0"/>
    <x v="0"/>
    <x v="0"/>
    <x v="3"/>
    <x v="3"/>
    <x v="3"/>
    <x v="18"/>
    <x v="18"/>
    <n v="187.85678999999999"/>
    <x v="0"/>
    <x v="0"/>
    <x v="0"/>
    <x v="0"/>
    <x v="4"/>
    <x v="18"/>
    <n v="223.54958009999999"/>
  </r>
  <r>
    <x v="13"/>
    <x v="1"/>
    <x v="1"/>
    <x v="1"/>
    <x v="0"/>
    <x v="0"/>
    <x v="0"/>
    <x v="0"/>
    <x v="0"/>
    <x v="0"/>
    <x v="0"/>
    <x v="0"/>
    <x v="3"/>
    <x v="3"/>
    <x v="3"/>
    <x v="27"/>
    <x v="27"/>
    <n v="567.306972552243"/>
    <x v="0"/>
    <x v="0"/>
    <x v="1"/>
    <x v="3"/>
    <x v="3"/>
    <x v="19"/>
    <n v="675.09529733716909"/>
  </r>
  <r>
    <x v="13"/>
    <x v="1"/>
    <x v="1"/>
    <x v="1"/>
    <x v="0"/>
    <x v="0"/>
    <x v="0"/>
    <x v="0"/>
    <x v="0"/>
    <x v="0"/>
    <x v="0"/>
    <x v="0"/>
    <x v="3"/>
    <x v="3"/>
    <x v="3"/>
    <x v="26"/>
    <x v="26"/>
    <n v="21.747277310826501"/>
    <x v="0"/>
    <x v="0"/>
    <x v="1"/>
    <x v="3"/>
    <x v="3"/>
    <x v="15"/>
    <n v="25.879259999883534"/>
  </r>
  <r>
    <x v="13"/>
    <x v="1"/>
    <x v="1"/>
    <x v="1"/>
    <x v="0"/>
    <x v="0"/>
    <x v="0"/>
    <x v="0"/>
    <x v="0"/>
    <x v="0"/>
    <x v="0"/>
    <x v="0"/>
    <x v="3"/>
    <x v="3"/>
    <x v="3"/>
    <x v="2"/>
    <x v="2"/>
    <n v="769.96325209737597"/>
    <x v="0"/>
    <x v="1"/>
    <x v="2"/>
    <x v="2"/>
    <x v="13"/>
    <x v="2"/>
    <n v="916.25626999587735"/>
  </r>
  <r>
    <x v="13"/>
    <x v="1"/>
    <x v="1"/>
    <x v="1"/>
    <x v="0"/>
    <x v="0"/>
    <x v="0"/>
    <x v="0"/>
    <x v="0"/>
    <x v="0"/>
    <x v="0"/>
    <x v="0"/>
    <x v="3"/>
    <x v="12"/>
    <x v="3"/>
    <x v="8"/>
    <x v="8"/>
    <n v="1988.2623788744299"/>
    <x v="0"/>
    <x v="1"/>
    <x v="2"/>
    <x v="2"/>
    <x v="6"/>
    <x v="8"/>
    <n v="2366.0322308605714"/>
  </r>
  <r>
    <x v="13"/>
    <x v="1"/>
    <x v="1"/>
    <x v="1"/>
    <x v="0"/>
    <x v="0"/>
    <x v="0"/>
    <x v="0"/>
    <x v="0"/>
    <x v="0"/>
    <x v="0"/>
    <x v="0"/>
    <x v="3"/>
    <x v="12"/>
    <x v="3"/>
    <x v="12"/>
    <x v="12"/>
    <n v="312.17147727172801"/>
    <x v="0"/>
    <x v="0"/>
    <x v="0"/>
    <x v="0"/>
    <x v="8"/>
    <x v="12"/>
    <n v="371.48405795335634"/>
  </r>
  <r>
    <x v="13"/>
    <x v="1"/>
    <x v="1"/>
    <x v="1"/>
    <x v="0"/>
    <x v="0"/>
    <x v="0"/>
    <x v="0"/>
    <x v="0"/>
    <x v="0"/>
    <x v="0"/>
    <x v="0"/>
    <x v="3"/>
    <x v="12"/>
    <x v="3"/>
    <x v="14"/>
    <x v="14"/>
    <n v="2397.7716"/>
    <x v="0"/>
    <x v="0"/>
    <x v="0"/>
    <x v="0"/>
    <x v="8"/>
    <x v="14"/>
    <n v="2853.3482039999999"/>
  </r>
  <r>
    <x v="13"/>
    <x v="1"/>
    <x v="1"/>
    <x v="1"/>
    <x v="0"/>
    <x v="0"/>
    <x v="0"/>
    <x v="0"/>
    <x v="0"/>
    <x v="0"/>
    <x v="0"/>
    <x v="0"/>
    <x v="3"/>
    <x v="12"/>
    <x v="3"/>
    <x v="2"/>
    <x v="2"/>
    <n v="7586.6344873608195"/>
    <x v="0"/>
    <x v="1"/>
    <x v="2"/>
    <x v="2"/>
    <x v="13"/>
    <x v="2"/>
    <n v="9028.0950399593748"/>
  </r>
  <r>
    <x v="13"/>
    <x v="1"/>
    <x v="1"/>
    <x v="1"/>
    <x v="0"/>
    <x v="0"/>
    <x v="0"/>
    <x v="0"/>
    <x v="0"/>
    <x v="0"/>
    <x v="0"/>
    <x v="0"/>
    <x v="0"/>
    <x v="4"/>
    <x v="4"/>
    <x v="6"/>
    <x v="6"/>
    <n v="30.842359999999999"/>
    <x v="0"/>
    <x v="0"/>
    <x v="0"/>
    <x v="0"/>
    <x v="4"/>
    <x v="6"/>
    <n v="36.702408399999996"/>
  </r>
  <r>
    <x v="13"/>
    <x v="1"/>
    <x v="1"/>
    <x v="1"/>
    <x v="0"/>
    <x v="0"/>
    <x v="0"/>
    <x v="0"/>
    <x v="0"/>
    <x v="0"/>
    <x v="0"/>
    <x v="0"/>
    <x v="0"/>
    <x v="4"/>
    <x v="4"/>
    <x v="8"/>
    <x v="8"/>
    <n v="115.838788819436"/>
    <x v="0"/>
    <x v="1"/>
    <x v="2"/>
    <x v="2"/>
    <x v="6"/>
    <x v="8"/>
    <n v="137.84815869512883"/>
  </r>
  <r>
    <x v="13"/>
    <x v="1"/>
    <x v="1"/>
    <x v="1"/>
    <x v="0"/>
    <x v="0"/>
    <x v="0"/>
    <x v="0"/>
    <x v="0"/>
    <x v="0"/>
    <x v="0"/>
    <x v="0"/>
    <x v="0"/>
    <x v="4"/>
    <x v="4"/>
    <x v="9"/>
    <x v="9"/>
    <n v="16.864294117571198"/>
    <x v="0"/>
    <x v="0"/>
    <x v="1"/>
    <x v="4"/>
    <x v="5"/>
    <x v="9"/>
    <n v="20.068509999909725"/>
  </r>
  <r>
    <x v="13"/>
    <x v="1"/>
    <x v="1"/>
    <x v="1"/>
    <x v="0"/>
    <x v="0"/>
    <x v="0"/>
    <x v="0"/>
    <x v="0"/>
    <x v="0"/>
    <x v="0"/>
    <x v="0"/>
    <x v="0"/>
    <x v="4"/>
    <x v="4"/>
    <x v="30"/>
    <x v="30"/>
    <n v="81.265548386771698"/>
    <x v="0"/>
    <x v="0"/>
    <x v="0"/>
    <x v="0"/>
    <x v="0"/>
    <x v="0"/>
    <n v="96.706002580258314"/>
  </r>
  <r>
    <x v="13"/>
    <x v="1"/>
    <x v="1"/>
    <x v="1"/>
    <x v="0"/>
    <x v="0"/>
    <x v="0"/>
    <x v="0"/>
    <x v="0"/>
    <x v="0"/>
    <x v="0"/>
    <x v="0"/>
    <x v="0"/>
    <x v="4"/>
    <x v="4"/>
    <x v="12"/>
    <x v="12"/>
    <n v="901.826977269841"/>
    <x v="0"/>
    <x v="0"/>
    <x v="0"/>
    <x v="0"/>
    <x v="8"/>
    <x v="12"/>
    <n v="1073.1741029511106"/>
  </r>
  <r>
    <x v="13"/>
    <x v="1"/>
    <x v="1"/>
    <x v="1"/>
    <x v="0"/>
    <x v="0"/>
    <x v="0"/>
    <x v="0"/>
    <x v="0"/>
    <x v="0"/>
    <x v="0"/>
    <x v="0"/>
    <x v="0"/>
    <x v="4"/>
    <x v="4"/>
    <x v="14"/>
    <x v="14"/>
    <n v="224.84976"/>
    <x v="0"/>
    <x v="0"/>
    <x v="0"/>
    <x v="0"/>
    <x v="8"/>
    <x v="14"/>
    <n v="267.57121439999997"/>
  </r>
  <r>
    <x v="13"/>
    <x v="1"/>
    <x v="1"/>
    <x v="1"/>
    <x v="0"/>
    <x v="0"/>
    <x v="0"/>
    <x v="0"/>
    <x v="0"/>
    <x v="0"/>
    <x v="0"/>
    <x v="0"/>
    <x v="0"/>
    <x v="4"/>
    <x v="4"/>
    <x v="16"/>
    <x v="16"/>
    <n v="635.58848"/>
    <x v="0"/>
    <x v="0"/>
    <x v="3"/>
    <x v="5"/>
    <x v="9"/>
    <x v="16"/>
    <n v="756.35029120000002"/>
  </r>
  <r>
    <x v="13"/>
    <x v="1"/>
    <x v="1"/>
    <x v="1"/>
    <x v="0"/>
    <x v="0"/>
    <x v="0"/>
    <x v="0"/>
    <x v="0"/>
    <x v="0"/>
    <x v="0"/>
    <x v="0"/>
    <x v="0"/>
    <x v="4"/>
    <x v="4"/>
    <x v="17"/>
    <x v="17"/>
    <n v="10.4"/>
    <x v="0"/>
    <x v="0"/>
    <x v="0"/>
    <x v="0"/>
    <x v="4"/>
    <x v="17"/>
    <n v="12.375999999999999"/>
  </r>
  <r>
    <x v="13"/>
    <x v="1"/>
    <x v="1"/>
    <x v="1"/>
    <x v="0"/>
    <x v="0"/>
    <x v="0"/>
    <x v="0"/>
    <x v="0"/>
    <x v="0"/>
    <x v="0"/>
    <x v="0"/>
    <x v="0"/>
    <x v="4"/>
    <x v="4"/>
    <x v="18"/>
    <x v="18"/>
    <n v="0.90991999999999995"/>
    <x v="0"/>
    <x v="0"/>
    <x v="0"/>
    <x v="0"/>
    <x v="4"/>
    <x v="18"/>
    <n v="1.0828047999999999"/>
  </r>
  <r>
    <x v="13"/>
    <x v="1"/>
    <x v="1"/>
    <x v="1"/>
    <x v="0"/>
    <x v="0"/>
    <x v="0"/>
    <x v="0"/>
    <x v="0"/>
    <x v="0"/>
    <x v="0"/>
    <x v="0"/>
    <x v="0"/>
    <x v="4"/>
    <x v="4"/>
    <x v="1"/>
    <x v="1"/>
    <n v="493.32800000246698"/>
    <x v="0"/>
    <x v="0"/>
    <x v="1"/>
    <x v="1"/>
    <x v="1"/>
    <x v="1"/>
    <n v="587.06032000293567"/>
  </r>
  <r>
    <x v="13"/>
    <x v="1"/>
    <x v="1"/>
    <x v="1"/>
    <x v="0"/>
    <x v="0"/>
    <x v="0"/>
    <x v="0"/>
    <x v="0"/>
    <x v="0"/>
    <x v="0"/>
    <x v="0"/>
    <x v="0"/>
    <x v="4"/>
    <x v="4"/>
    <x v="20"/>
    <x v="20"/>
    <n v="8.6472700000000007"/>
    <x v="0"/>
    <x v="0"/>
    <x v="1"/>
    <x v="3"/>
    <x v="3"/>
    <x v="13"/>
    <n v="10.2902513"/>
  </r>
  <r>
    <x v="13"/>
    <x v="1"/>
    <x v="1"/>
    <x v="1"/>
    <x v="0"/>
    <x v="0"/>
    <x v="0"/>
    <x v="0"/>
    <x v="0"/>
    <x v="0"/>
    <x v="0"/>
    <x v="0"/>
    <x v="0"/>
    <x v="4"/>
    <x v="4"/>
    <x v="2"/>
    <x v="2"/>
    <n v="780.09986554270802"/>
    <x v="0"/>
    <x v="1"/>
    <x v="2"/>
    <x v="2"/>
    <x v="13"/>
    <x v="2"/>
    <n v="928.31883999582249"/>
  </r>
  <r>
    <x v="13"/>
    <x v="1"/>
    <x v="1"/>
    <x v="1"/>
    <x v="0"/>
    <x v="0"/>
    <x v="0"/>
    <x v="0"/>
    <x v="0"/>
    <x v="0"/>
    <x v="0"/>
    <x v="0"/>
    <x v="0"/>
    <x v="0"/>
    <x v="0"/>
    <x v="5"/>
    <x v="5"/>
    <n v="204.64874033323099"/>
    <x v="0"/>
    <x v="0"/>
    <x v="1"/>
    <x v="1"/>
    <x v="1"/>
    <x v="5"/>
    <n v="243.53200099654487"/>
  </r>
  <r>
    <x v="13"/>
    <x v="1"/>
    <x v="1"/>
    <x v="1"/>
    <x v="0"/>
    <x v="0"/>
    <x v="0"/>
    <x v="0"/>
    <x v="0"/>
    <x v="0"/>
    <x v="0"/>
    <x v="0"/>
    <x v="0"/>
    <x v="0"/>
    <x v="0"/>
    <x v="6"/>
    <x v="6"/>
    <n v="58.038539999999998"/>
    <x v="0"/>
    <x v="0"/>
    <x v="0"/>
    <x v="0"/>
    <x v="4"/>
    <x v="6"/>
    <n v="69.065862599999988"/>
  </r>
  <r>
    <x v="13"/>
    <x v="1"/>
    <x v="1"/>
    <x v="1"/>
    <x v="0"/>
    <x v="0"/>
    <x v="0"/>
    <x v="0"/>
    <x v="0"/>
    <x v="0"/>
    <x v="0"/>
    <x v="0"/>
    <x v="0"/>
    <x v="0"/>
    <x v="0"/>
    <x v="7"/>
    <x v="7"/>
    <n v="8.1757142856775005"/>
    <x v="0"/>
    <x v="0"/>
    <x v="1"/>
    <x v="4"/>
    <x v="5"/>
    <x v="7"/>
    <n v="9.729099999956226"/>
  </r>
  <r>
    <x v="13"/>
    <x v="1"/>
    <x v="1"/>
    <x v="1"/>
    <x v="0"/>
    <x v="0"/>
    <x v="0"/>
    <x v="0"/>
    <x v="0"/>
    <x v="0"/>
    <x v="0"/>
    <x v="0"/>
    <x v="0"/>
    <x v="0"/>
    <x v="0"/>
    <x v="8"/>
    <x v="8"/>
    <n v="1880.5513105518601"/>
    <x v="0"/>
    <x v="1"/>
    <x v="2"/>
    <x v="2"/>
    <x v="6"/>
    <x v="8"/>
    <n v="2237.8560595567133"/>
  </r>
  <r>
    <x v="13"/>
    <x v="1"/>
    <x v="1"/>
    <x v="1"/>
    <x v="0"/>
    <x v="0"/>
    <x v="0"/>
    <x v="0"/>
    <x v="0"/>
    <x v="0"/>
    <x v="0"/>
    <x v="0"/>
    <x v="0"/>
    <x v="0"/>
    <x v="0"/>
    <x v="9"/>
    <x v="9"/>
    <n v="161.00616037708599"/>
    <x v="0"/>
    <x v="0"/>
    <x v="1"/>
    <x v="4"/>
    <x v="5"/>
    <x v="9"/>
    <n v="191.59733084873233"/>
  </r>
  <r>
    <x v="13"/>
    <x v="1"/>
    <x v="1"/>
    <x v="1"/>
    <x v="0"/>
    <x v="0"/>
    <x v="0"/>
    <x v="0"/>
    <x v="0"/>
    <x v="0"/>
    <x v="0"/>
    <x v="0"/>
    <x v="0"/>
    <x v="0"/>
    <x v="0"/>
    <x v="10"/>
    <x v="10"/>
    <n v="39.2401111359382"/>
    <x v="0"/>
    <x v="0"/>
    <x v="1"/>
    <x v="4"/>
    <x v="5"/>
    <x v="10"/>
    <n v="46.695732251766458"/>
  </r>
  <r>
    <x v="13"/>
    <x v="1"/>
    <x v="1"/>
    <x v="1"/>
    <x v="0"/>
    <x v="0"/>
    <x v="0"/>
    <x v="0"/>
    <x v="0"/>
    <x v="0"/>
    <x v="0"/>
    <x v="0"/>
    <x v="0"/>
    <x v="0"/>
    <x v="0"/>
    <x v="55"/>
    <x v="55"/>
    <n v="0.51605042016574998"/>
    <x v="0"/>
    <x v="0"/>
    <x v="1"/>
    <x v="3"/>
    <x v="3"/>
    <x v="15"/>
    <n v="0.61409999999724241"/>
  </r>
  <r>
    <x v="13"/>
    <x v="1"/>
    <x v="1"/>
    <x v="1"/>
    <x v="0"/>
    <x v="0"/>
    <x v="0"/>
    <x v="0"/>
    <x v="0"/>
    <x v="0"/>
    <x v="0"/>
    <x v="0"/>
    <x v="0"/>
    <x v="0"/>
    <x v="0"/>
    <x v="11"/>
    <x v="11"/>
    <n v="12.54402"/>
    <x v="0"/>
    <x v="0"/>
    <x v="3"/>
    <x v="5"/>
    <x v="7"/>
    <x v="11"/>
    <n v="14.927383799999999"/>
  </r>
  <r>
    <x v="13"/>
    <x v="1"/>
    <x v="1"/>
    <x v="1"/>
    <x v="0"/>
    <x v="0"/>
    <x v="0"/>
    <x v="0"/>
    <x v="0"/>
    <x v="0"/>
    <x v="0"/>
    <x v="0"/>
    <x v="0"/>
    <x v="0"/>
    <x v="0"/>
    <x v="12"/>
    <x v="12"/>
    <n v="826.50969317917304"/>
    <x v="0"/>
    <x v="0"/>
    <x v="0"/>
    <x v="0"/>
    <x v="8"/>
    <x v="12"/>
    <n v="983.54653488321583"/>
  </r>
  <r>
    <x v="13"/>
    <x v="1"/>
    <x v="1"/>
    <x v="1"/>
    <x v="0"/>
    <x v="0"/>
    <x v="0"/>
    <x v="0"/>
    <x v="0"/>
    <x v="0"/>
    <x v="0"/>
    <x v="0"/>
    <x v="0"/>
    <x v="0"/>
    <x v="0"/>
    <x v="13"/>
    <x v="13"/>
    <n v="3.3009900000000001"/>
    <x v="0"/>
    <x v="0"/>
    <x v="1"/>
    <x v="3"/>
    <x v="3"/>
    <x v="13"/>
    <n v="3.9281780999999998"/>
  </r>
  <r>
    <x v="13"/>
    <x v="1"/>
    <x v="1"/>
    <x v="1"/>
    <x v="0"/>
    <x v="0"/>
    <x v="0"/>
    <x v="0"/>
    <x v="0"/>
    <x v="0"/>
    <x v="0"/>
    <x v="0"/>
    <x v="0"/>
    <x v="0"/>
    <x v="0"/>
    <x v="14"/>
    <x v="14"/>
    <n v="4146.6850800000002"/>
    <x v="0"/>
    <x v="0"/>
    <x v="0"/>
    <x v="0"/>
    <x v="8"/>
    <x v="14"/>
    <n v="4934.5552452000002"/>
  </r>
  <r>
    <x v="13"/>
    <x v="1"/>
    <x v="1"/>
    <x v="1"/>
    <x v="0"/>
    <x v="0"/>
    <x v="0"/>
    <x v="0"/>
    <x v="0"/>
    <x v="0"/>
    <x v="0"/>
    <x v="0"/>
    <x v="0"/>
    <x v="0"/>
    <x v="0"/>
    <x v="22"/>
    <x v="22"/>
    <n v="4.1703629032091296"/>
    <x v="0"/>
    <x v="0"/>
    <x v="0"/>
    <x v="0"/>
    <x v="0"/>
    <x v="0"/>
    <n v="4.9627318548188644"/>
  </r>
  <r>
    <x v="13"/>
    <x v="1"/>
    <x v="1"/>
    <x v="1"/>
    <x v="0"/>
    <x v="0"/>
    <x v="0"/>
    <x v="0"/>
    <x v="0"/>
    <x v="0"/>
    <x v="0"/>
    <x v="0"/>
    <x v="0"/>
    <x v="0"/>
    <x v="0"/>
    <x v="23"/>
    <x v="23"/>
    <n v="1.6806722689"/>
    <x v="0"/>
    <x v="0"/>
    <x v="1"/>
    <x v="3"/>
    <x v="3"/>
    <x v="15"/>
    <n v="1.9999999999909999"/>
  </r>
  <r>
    <x v="13"/>
    <x v="1"/>
    <x v="1"/>
    <x v="1"/>
    <x v="0"/>
    <x v="0"/>
    <x v="0"/>
    <x v="0"/>
    <x v="0"/>
    <x v="0"/>
    <x v="0"/>
    <x v="0"/>
    <x v="0"/>
    <x v="0"/>
    <x v="0"/>
    <x v="24"/>
    <x v="24"/>
    <n v="3.16741176469163"/>
    <x v="0"/>
    <x v="0"/>
    <x v="1"/>
    <x v="3"/>
    <x v="3"/>
    <x v="4"/>
    <n v="3.7692199999830396"/>
  </r>
  <r>
    <x v="13"/>
    <x v="1"/>
    <x v="1"/>
    <x v="1"/>
    <x v="0"/>
    <x v="0"/>
    <x v="0"/>
    <x v="0"/>
    <x v="0"/>
    <x v="0"/>
    <x v="0"/>
    <x v="0"/>
    <x v="0"/>
    <x v="0"/>
    <x v="0"/>
    <x v="17"/>
    <x v="17"/>
    <n v="2.3128000000000002"/>
    <x v="0"/>
    <x v="0"/>
    <x v="0"/>
    <x v="0"/>
    <x v="4"/>
    <x v="17"/>
    <n v="2.7522320000000002"/>
  </r>
  <r>
    <x v="13"/>
    <x v="1"/>
    <x v="1"/>
    <x v="1"/>
    <x v="0"/>
    <x v="0"/>
    <x v="0"/>
    <x v="0"/>
    <x v="0"/>
    <x v="0"/>
    <x v="0"/>
    <x v="0"/>
    <x v="0"/>
    <x v="0"/>
    <x v="0"/>
    <x v="21"/>
    <x v="21"/>
    <n v="15.4044789915273"/>
    <x v="0"/>
    <x v="0"/>
    <x v="1"/>
    <x v="4"/>
    <x v="5"/>
    <x v="10"/>
    <n v="18.331329999917486"/>
  </r>
  <r>
    <x v="13"/>
    <x v="1"/>
    <x v="1"/>
    <x v="1"/>
    <x v="0"/>
    <x v="0"/>
    <x v="0"/>
    <x v="0"/>
    <x v="0"/>
    <x v="0"/>
    <x v="0"/>
    <x v="0"/>
    <x v="0"/>
    <x v="0"/>
    <x v="0"/>
    <x v="18"/>
    <x v="18"/>
    <n v="20.825109999999999"/>
    <x v="0"/>
    <x v="0"/>
    <x v="0"/>
    <x v="0"/>
    <x v="4"/>
    <x v="18"/>
    <n v="24.781880899999997"/>
  </r>
  <r>
    <x v="13"/>
    <x v="1"/>
    <x v="1"/>
    <x v="1"/>
    <x v="0"/>
    <x v="0"/>
    <x v="0"/>
    <x v="0"/>
    <x v="0"/>
    <x v="0"/>
    <x v="0"/>
    <x v="0"/>
    <x v="0"/>
    <x v="0"/>
    <x v="0"/>
    <x v="79"/>
    <x v="79"/>
    <n v="0.46518487394748997"/>
    <x v="0"/>
    <x v="0"/>
    <x v="1"/>
    <x v="4"/>
    <x v="5"/>
    <x v="10"/>
    <n v="0.553569999997513"/>
  </r>
  <r>
    <x v="13"/>
    <x v="1"/>
    <x v="1"/>
    <x v="1"/>
    <x v="0"/>
    <x v="0"/>
    <x v="0"/>
    <x v="0"/>
    <x v="0"/>
    <x v="0"/>
    <x v="0"/>
    <x v="0"/>
    <x v="0"/>
    <x v="0"/>
    <x v="0"/>
    <x v="25"/>
    <x v="25"/>
    <n v="68.6817058820439"/>
    <x v="0"/>
    <x v="0"/>
    <x v="1"/>
    <x v="4"/>
    <x v="5"/>
    <x v="9"/>
    <n v="81.731229999632234"/>
  </r>
  <r>
    <x v="13"/>
    <x v="1"/>
    <x v="1"/>
    <x v="1"/>
    <x v="0"/>
    <x v="0"/>
    <x v="0"/>
    <x v="0"/>
    <x v="0"/>
    <x v="0"/>
    <x v="0"/>
    <x v="0"/>
    <x v="0"/>
    <x v="0"/>
    <x v="0"/>
    <x v="27"/>
    <x v="27"/>
    <n v="12.378075515140299"/>
    <x v="0"/>
    <x v="0"/>
    <x v="1"/>
    <x v="3"/>
    <x v="3"/>
    <x v="19"/>
    <n v="14.729909863016955"/>
  </r>
  <r>
    <x v="13"/>
    <x v="1"/>
    <x v="1"/>
    <x v="1"/>
    <x v="0"/>
    <x v="0"/>
    <x v="0"/>
    <x v="0"/>
    <x v="0"/>
    <x v="0"/>
    <x v="0"/>
    <x v="0"/>
    <x v="0"/>
    <x v="0"/>
    <x v="0"/>
    <x v="78"/>
    <x v="78"/>
    <n v="6.0241176470317201"/>
    <x v="0"/>
    <x v="0"/>
    <x v="1"/>
    <x v="4"/>
    <x v="5"/>
    <x v="9"/>
    <n v="7.168699999967747"/>
  </r>
  <r>
    <x v="13"/>
    <x v="1"/>
    <x v="1"/>
    <x v="1"/>
    <x v="0"/>
    <x v="0"/>
    <x v="0"/>
    <x v="0"/>
    <x v="0"/>
    <x v="0"/>
    <x v="0"/>
    <x v="0"/>
    <x v="0"/>
    <x v="0"/>
    <x v="0"/>
    <x v="26"/>
    <x v="26"/>
    <n v="25.822638655346001"/>
    <x v="0"/>
    <x v="0"/>
    <x v="1"/>
    <x v="3"/>
    <x v="3"/>
    <x v="15"/>
    <n v="30.728939999861741"/>
  </r>
  <r>
    <x v="13"/>
    <x v="1"/>
    <x v="1"/>
    <x v="1"/>
    <x v="0"/>
    <x v="0"/>
    <x v="0"/>
    <x v="0"/>
    <x v="0"/>
    <x v="0"/>
    <x v="0"/>
    <x v="0"/>
    <x v="0"/>
    <x v="0"/>
    <x v="0"/>
    <x v="0"/>
    <x v="0"/>
    <n v="6.9464968889757204"/>
    <x v="0"/>
    <x v="0"/>
    <x v="0"/>
    <x v="0"/>
    <x v="0"/>
    <x v="0"/>
    <n v="8.2663312978811074"/>
  </r>
  <r>
    <x v="13"/>
    <x v="1"/>
    <x v="1"/>
    <x v="1"/>
    <x v="0"/>
    <x v="0"/>
    <x v="0"/>
    <x v="0"/>
    <x v="0"/>
    <x v="0"/>
    <x v="0"/>
    <x v="0"/>
    <x v="0"/>
    <x v="0"/>
    <x v="0"/>
    <x v="20"/>
    <x v="20"/>
    <n v="12.32616"/>
    <x v="0"/>
    <x v="0"/>
    <x v="1"/>
    <x v="3"/>
    <x v="3"/>
    <x v="13"/>
    <n v="14.668130399999999"/>
  </r>
  <r>
    <x v="13"/>
    <x v="1"/>
    <x v="1"/>
    <x v="1"/>
    <x v="0"/>
    <x v="0"/>
    <x v="0"/>
    <x v="0"/>
    <x v="0"/>
    <x v="0"/>
    <x v="0"/>
    <x v="0"/>
    <x v="0"/>
    <x v="0"/>
    <x v="0"/>
    <x v="2"/>
    <x v="2"/>
    <n v="12415.484041960901"/>
    <x v="0"/>
    <x v="1"/>
    <x v="2"/>
    <x v="2"/>
    <x v="13"/>
    <x v="2"/>
    <n v="14774.426009933472"/>
  </r>
  <r>
    <x v="13"/>
    <x v="1"/>
    <x v="1"/>
    <x v="1"/>
    <x v="0"/>
    <x v="0"/>
    <x v="0"/>
    <x v="0"/>
    <x v="0"/>
    <x v="0"/>
    <x v="0"/>
    <x v="0"/>
    <x v="0"/>
    <x v="0"/>
    <x v="0"/>
    <x v="3"/>
    <x v="3"/>
    <n v="0.12539395326218999"/>
    <x v="0"/>
    <x v="0"/>
    <x v="1"/>
    <x v="3"/>
    <x v="3"/>
    <x v="3"/>
    <n v="0.14921880438200608"/>
  </r>
  <r>
    <x v="13"/>
    <x v="1"/>
    <x v="1"/>
    <x v="1"/>
    <x v="0"/>
    <x v="0"/>
    <x v="0"/>
    <x v="0"/>
    <x v="0"/>
    <x v="0"/>
    <x v="0"/>
    <x v="0"/>
    <x v="1"/>
    <x v="1"/>
    <x v="1"/>
    <x v="4"/>
    <x v="4"/>
    <n v="8.4862184873567692"/>
    <x v="0"/>
    <x v="0"/>
    <x v="1"/>
    <x v="3"/>
    <x v="3"/>
    <x v="4"/>
    <n v="10.098599999954555"/>
  </r>
  <r>
    <x v="13"/>
    <x v="1"/>
    <x v="1"/>
    <x v="1"/>
    <x v="0"/>
    <x v="0"/>
    <x v="0"/>
    <x v="0"/>
    <x v="0"/>
    <x v="0"/>
    <x v="0"/>
    <x v="0"/>
    <x v="1"/>
    <x v="1"/>
    <x v="1"/>
    <x v="5"/>
    <x v="5"/>
    <n v="73.712640884604497"/>
    <x v="0"/>
    <x v="0"/>
    <x v="1"/>
    <x v="1"/>
    <x v="1"/>
    <x v="5"/>
    <n v="87.718042652679344"/>
  </r>
  <r>
    <x v="13"/>
    <x v="1"/>
    <x v="1"/>
    <x v="1"/>
    <x v="0"/>
    <x v="0"/>
    <x v="0"/>
    <x v="0"/>
    <x v="0"/>
    <x v="0"/>
    <x v="0"/>
    <x v="0"/>
    <x v="1"/>
    <x v="1"/>
    <x v="1"/>
    <x v="6"/>
    <x v="6"/>
    <n v="458.68565000000001"/>
    <x v="0"/>
    <x v="0"/>
    <x v="0"/>
    <x v="0"/>
    <x v="4"/>
    <x v="6"/>
    <n v="545.83592350000004"/>
  </r>
  <r>
    <x v="13"/>
    <x v="1"/>
    <x v="1"/>
    <x v="1"/>
    <x v="0"/>
    <x v="0"/>
    <x v="0"/>
    <x v="0"/>
    <x v="0"/>
    <x v="0"/>
    <x v="0"/>
    <x v="0"/>
    <x v="1"/>
    <x v="1"/>
    <x v="1"/>
    <x v="7"/>
    <x v="7"/>
    <n v="8.1757142856775005"/>
    <x v="0"/>
    <x v="0"/>
    <x v="1"/>
    <x v="4"/>
    <x v="5"/>
    <x v="7"/>
    <n v="9.729099999956226"/>
  </r>
  <r>
    <x v="13"/>
    <x v="1"/>
    <x v="1"/>
    <x v="1"/>
    <x v="0"/>
    <x v="0"/>
    <x v="0"/>
    <x v="0"/>
    <x v="0"/>
    <x v="0"/>
    <x v="0"/>
    <x v="0"/>
    <x v="1"/>
    <x v="1"/>
    <x v="1"/>
    <x v="8"/>
    <x v="8"/>
    <n v="301.70773291810798"/>
    <x v="0"/>
    <x v="1"/>
    <x v="2"/>
    <x v="2"/>
    <x v="6"/>
    <x v="8"/>
    <n v="359.03220217254847"/>
  </r>
  <r>
    <x v="13"/>
    <x v="1"/>
    <x v="1"/>
    <x v="1"/>
    <x v="0"/>
    <x v="0"/>
    <x v="0"/>
    <x v="0"/>
    <x v="0"/>
    <x v="0"/>
    <x v="0"/>
    <x v="0"/>
    <x v="1"/>
    <x v="1"/>
    <x v="1"/>
    <x v="9"/>
    <x v="9"/>
    <n v="350.76039420851799"/>
    <x v="0"/>
    <x v="0"/>
    <x v="1"/>
    <x v="4"/>
    <x v="5"/>
    <x v="9"/>
    <n v="417.40486910813638"/>
  </r>
  <r>
    <x v="13"/>
    <x v="1"/>
    <x v="1"/>
    <x v="1"/>
    <x v="0"/>
    <x v="0"/>
    <x v="0"/>
    <x v="0"/>
    <x v="0"/>
    <x v="0"/>
    <x v="0"/>
    <x v="0"/>
    <x v="1"/>
    <x v="1"/>
    <x v="1"/>
    <x v="10"/>
    <x v="10"/>
    <n v="10.3372363267572"/>
    <x v="0"/>
    <x v="0"/>
    <x v="1"/>
    <x v="4"/>
    <x v="5"/>
    <x v="10"/>
    <n v="12.301311228841067"/>
  </r>
  <r>
    <x v="13"/>
    <x v="1"/>
    <x v="1"/>
    <x v="1"/>
    <x v="0"/>
    <x v="0"/>
    <x v="0"/>
    <x v="0"/>
    <x v="0"/>
    <x v="0"/>
    <x v="0"/>
    <x v="0"/>
    <x v="1"/>
    <x v="1"/>
    <x v="1"/>
    <x v="55"/>
    <x v="55"/>
    <n v="1.0086554621803401"/>
    <x v="0"/>
    <x v="0"/>
    <x v="1"/>
    <x v="3"/>
    <x v="3"/>
    <x v="15"/>
    <n v="1.2002999999946047"/>
  </r>
  <r>
    <x v="13"/>
    <x v="1"/>
    <x v="1"/>
    <x v="1"/>
    <x v="0"/>
    <x v="0"/>
    <x v="0"/>
    <x v="0"/>
    <x v="0"/>
    <x v="0"/>
    <x v="0"/>
    <x v="0"/>
    <x v="1"/>
    <x v="1"/>
    <x v="1"/>
    <x v="11"/>
    <x v="11"/>
    <n v="32.792490000000001"/>
    <x v="0"/>
    <x v="0"/>
    <x v="3"/>
    <x v="5"/>
    <x v="7"/>
    <x v="11"/>
    <n v="39.023063100000002"/>
  </r>
  <r>
    <x v="13"/>
    <x v="1"/>
    <x v="1"/>
    <x v="1"/>
    <x v="0"/>
    <x v="0"/>
    <x v="0"/>
    <x v="0"/>
    <x v="0"/>
    <x v="0"/>
    <x v="0"/>
    <x v="0"/>
    <x v="1"/>
    <x v="1"/>
    <x v="1"/>
    <x v="12"/>
    <x v="12"/>
    <n v="363.12782954429298"/>
    <x v="0"/>
    <x v="0"/>
    <x v="0"/>
    <x v="0"/>
    <x v="8"/>
    <x v="12"/>
    <n v="432.1221171577086"/>
  </r>
  <r>
    <x v="13"/>
    <x v="1"/>
    <x v="1"/>
    <x v="1"/>
    <x v="0"/>
    <x v="0"/>
    <x v="0"/>
    <x v="0"/>
    <x v="0"/>
    <x v="0"/>
    <x v="0"/>
    <x v="0"/>
    <x v="1"/>
    <x v="1"/>
    <x v="1"/>
    <x v="13"/>
    <x v="13"/>
    <n v="4.2829499999999996"/>
    <x v="0"/>
    <x v="0"/>
    <x v="1"/>
    <x v="3"/>
    <x v="3"/>
    <x v="13"/>
    <n v="5.0967104999999995"/>
  </r>
  <r>
    <x v="13"/>
    <x v="1"/>
    <x v="1"/>
    <x v="1"/>
    <x v="0"/>
    <x v="0"/>
    <x v="0"/>
    <x v="0"/>
    <x v="0"/>
    <x v="0"/>
    <x v="0"/>
    <x v="0"/>
    <x v="1"/>
    <x v="1"/>
    <x v="1"/>
    <x v="14"/>
    <x v="14"/>
    <n v="448.46672999999998"/>
    <x v="0"/>
    <x v="0"/>
    <x v="0"/>
    <x v="0"/>
    <x v="8"/>
    <x v="14"/>
    <n v="533.67540869999993"/>
  </r>
  <r>
    <x v="13"/>
    <x v="1"/>
    <x v="1"/>
    <x v="1"/>
    <x v="0"/>
    <x v="0"/>
    <x v="0"/>
    <x v="0"/>
    <x v="0"/>
    <x v="0"/>
    <x v="0"/>
    <x v="0"/>
    <x v="1"/>
    <x v="1"/>
    <x v="1"/>
    <x v="15"/>
    <x v="15"/>
    <n v="0.15327731092367999"/>
    <x v="0"/>
    <x v="0"/>
    <x v="1"/>
    <x v="3"/>
    <x v="3"/>
    <x v="15"/>
    <n v="0.18239999999917919"/>
  </r>
  <r>
    <x v="13"/>
    <x v="1"/>
    <x v="1"/>
    <x v="1"/>
    <x v="0"/>
    <x v="0"/>
    <x v="0"/>
    <x v="0"/>
    <x v="0"/>
    <x v="0"/>
    <x v="0"/>
    <x v="0"/>
    <x v="1"/>
    <x v="1"/>
    <x v="1"/>
    <x v="22"/>
    <x v="22"/>
    <n v="1.3901209677363799"/>
    <x v="0"/>
    <x v="0"/>
    <x v="0"/>
    <x v="0"/>
    <x v="0"/>
    <x v="0"/>
    <n v="1.6542439516062921"/>
  </r>
  <r>
    <x v="13"/>
    <x v="1"/>
    <x v="1"/>
    <x v="1"/>
    <x v="0"/>
    <x v="0"/>
    <x v="0"/>
    <x v="0"/>
    <x v="0"/>
    <x v="0"/>
    <x v="0"/>
    <x v="0"/>
    <x v="1"/>
    <x v="1"/>
    <x v="1"/>
    <x v="16"/>
    <x v="16"/>
    <n v="106.23546"/>
    <x v="0"/>
    <x v="0"/>
    <x v="3"/>
    <x v="5"/>
    <x v="9"/>
    <x v="16"/>
    <n v="126.42019739999999"/>
  </r>
  <r>
    <x v="13"/>
    <x v="1"/>
    <x v="1"/>
    <x v="1"/>
    <x v="0"/>
    <x v="0"/>
    <x v="0"/>
    <x v="0"/>
    <x v="0"/>
    <x v="0"/>
    <x v="0"/>
    <x v="0"/>
    <x v="1"/>
    <x v="1"/>
    <x v="1"/>
    <x v="23"/>
    <x v="23"/>
    <n v="11.928235294064001"/>
    <x v="0"/>
    <x v="0"/>
    <x v="1"/>
    <x v="3"/>
    <x v="3"/>
    <x v="15"/>
    <n v="14.194599999936161"/>
  </r>
  <r>
    <x v="13"/>
    <x v="1"/>
    <x v="1"/>
    <x v="1"/>
    <x v="0"/>
    <x v="0"/>
    <x v="0"/>
    <x v="0"/>
    <x v="0"/>
    <x v="0"/>
    <x v="0"/>
    <x v="0"/>
    <x v="1"/>
    <x v="1"/>
    <x v="1"/>
    <x v="24"/>
    <x v="24"/>
    <n v="8.6263697478603394"/>
    <x v="0"/>
    <x v="0"/>
    <x v="1"/>
    <x v="3"/>
    <x v="3"/>
    <x v="4"/>
    <n v="10.265379999953803"/>
  </r>
  <r>
    <x v="13"/>
    <x v="1"/>
    <x v="1"/>
    <x v="1"/>
    <x v="0"/>
    <x v="0"/>
    <x v="0"/>
    <x v="0"/>
    <x v="0"/>
    <x v="0"/>
    <x v="0"/>
    <x v="0"/>
    <x v="1"/>
    <x v="1"/>
    <x v="1"/>
    <x v="17"/>
    <x v="17"/>
    <n v="2.7987899999999999"/>
    <x v="0"/>
    <x v="0"/>
    <x v="0"/>
    <x v="0"/>
    <x v="4"/>
    <x v="17"/>
    <n v="3.3305600999999996"/>
  </r>
  <r>
    <x v="13"/>
    <x v="1"/>
    <x v="1"/>
    <x v="1"/>
    <x v="0"/>
    <x v="0"/>
    <x v="0"/>
    <x v="0"/>
    <x v="0"/>
    <x v="0"/>
    <x v="0"/>
    <x v="0"/>
    <x v="1"/>
    <x v="1"/>
    <x v="1"/>
    <x v="18"/>
    <x v="18"/>
    <n v="169.93926999999999"/>
    <x v="0"/>
    <x v="0"/>
    <x v="0"/>
    <x v="0"/>
    <x v="4"/>
    <x v="18"/>
    <n v="202.22773129999999"/>
  </r>
  <r>
    <x v="13"/>
    <x v="1"/>
    <x v="1"/>
    <x v="1"/>
    <x v="0"/>
    <x v="0"/>
    <x v="0"/>
    <x v="0"/>
    <x v="0"/>
    <x v="0"/>
    <x v="0"/>
    <x v="0"/>
    <x v="1"/>
    <x v="1"/>
    <x v="1"/>
    <x v="79"/>
    <x v="79"/>
    <n v="55.918941176219001"/>
    <x v="0"/>
    <x v="0"/>
    <x v="1"/>
    <x v="4"/>
    <x v="5"/>
    <x v="10"/>
    <n v="66.543539999700613"/>
  </r>
  <r>
    <x v="13"/>
    <x v="1"/>
    <x v="1"/>
    <x v="1"/>
    <x v="0"/>
    <x v="0"/>
    <x v="0"/>
    <x v="0"/>
    <x v="0"/>
    <x v="0"/>
    <x v="0"/>
    <x v="0"/>
    <x v="1"/>
    <x v="1"/>
    <x v="1"/>
    <x v="25"/>
    <x v="25"/>
    <n v="18.470521008320201"/>
    <x v="0"/>
    <x v="0"/>
    <x v="1"/>
    <x v="4"/>
    <x v="5"/>
    <x v="9"/>
    <n v="21.979919999901039"/>
  </r>
  <r>
    <x v="13"/>
    <x v="1"/>
    <x v="1"/>
    <x v="1"/>
    <x v="0"/>
    <x v="0"/>
    <x v="0"/>
    <x v="0"/>
    <x v="0"/>
    <x v="0"/>
    <x v="0"/>
    <x v="0"/>
    <x v="1"/>
    <x v="1"/>
    <x v="1"/>
    <x v="27"/>
    <x v="27"/>
    <n v="49.300096110899801"/>
    <x v="0"/>
    <x v="0"/>
    <x v="1"/>
    <x v="3"/>
    <x v="3"/>
    <x v="19"/>
    <n v="58.667114371970762"/>
  </r>
  <r>
    <x v="13"/>
    <x v="1"/>
    <x v="1"/>
    <x v="1"/>
    <x v="0"/>
    <x v="0"/>
    <x v="0"/>
    <x v="0"/>
    <x v="0"/>
    <x v="0"/>
    <x v="0"/>
    <x v="0"/>
    <x v="1"/>
    <x v="1"/>
    <x v="1"/>
    <x v="78"/>
    <x v="78"/>
    <n v="3.76747899157969"/>
    <x v="0"/>
    <x v="0"/>
    <x v="1"/>
    <x v="4"/>
    <x v="5"/>
    <x v="9"/>
    <n v="4.4832999999798311"/>
  </r>
  <r>
    <x v="13"/>
    <x v="1"/>
    <x v="1"/>
    <x v="1"/>
    <x v="0"/>
    <x v="0"/>
    <x v="0"/>
    <x v="0"/>
    <x v="0"/>
    <x v="0"/>
    <x v="0"/>
    <x v="0"/>
    <x v="1"/>
    <x v="1"/>
    <x v="1"/>
    <x v="26"/>
    <x v="26"/>
    <n v="33.141957983044101"/>
    <x v="0"/>
    <x v="0"/>
    <x v="1"/>
    <x v="3"/>
    <x v="3"/>
    <x v="15"/>
    <n v="39.438929999822477"/>
  </r>
  <r>
    <x v="13"/>
    <x v="1"/>
    <x v="1"/>
    <x v="1"/>
    <x v="0"/>
    <x v="0"/>
    <x v="0"/>
    <x v="0"/>
    <x v="0"/>
    <x v="0"/>
    <x v="0"/>
    <x v="0"/>
    <x v="1"/>
    <x v="1"/>
    <x v="1"/>
    <x v="0"/>
    <x v="0"/>
    <n v="24.304376000303801"/>
    <x v="0"/>
    <x v="0"/>
    <x v="0"/>
    <x v="0"/>
    <x v="0"/>
    <x v="0"/>
    <n v="28.922207440361522"/>
  </r>
  <r>
    <x v="13"/>
    <x v="1"/>
    <x v="1"/>
    <x v="1"/>
    <x v="0"/>
    <x v="0"/>
    <x v="0"/>
    <x v="0"/>
    <x v="0"/>
    <x v="0"/>
    <x v="0"/>
    <x v="0"/>
    <x v="1"/>
    <x v="1"/>
    <x v="1"/>
    <x v="20"/>
    <x v="20"/>
    <n v="9.7498799999999992"/>
    <x v="0"/>
    <x v="0"/>
    <x v="1"/>
    <x v="3"/>
    <x v="3"/>
    <x v="13"/>
    <n v="11.602357199999998"/>
  </r>
  <r>
    <x v="13"/>
    <x v="1"/>
    <x v="1"/>
    <x v="1"/>
    <x v="0"/>
    <x v="0"/>
    <x v="0"/>
    <x v="0"/>
    <x v="0"/>
    <x v="0"/>
    <x v="0"/>
    <x v="0"/>
    <x v="1"/>
    <x v="1"/>
    <x v="1"/>
    <x v="2"/>
    <x v="2"/>
    <n v="1080.206857138"/>
    <x v="0"/>
    <x v="1"/>
    <x v="2"/>
    <x v="2"/>
    <x v="13"/>
    <x v="2"/>
    <n v="1285.4461599942199"/>
  </r>
  <r>
    <x v="13"/>
    <x v="1"/>
    <x v="1"/>
    <x v="1"/>
    <x v="0"/>
    <x v="0"/>
    <x v="0"/>
    <x v="0"/>
    <x v="0"/>
    <x v="0"/>
    <x v="0"/>
    <x v="0"/>
    <x v="1"/>
    <x v="1"/>
    <x v="1"/>
    <x v="3"/>
    <x v="3"/>
    <n v="8.9680526788603796"/>
    <x v="0"/>
    <x v="0"/>
    <x v="1"/>
    <x v="3"/>
    <x v="3"/>
    <x v="3"/>
    <n v="10.671982687843851"/>
  </r>
  <r>
    <x v="13"/>
    <x v="1"/>
    <x v="1"/>
    <x v="1"/>
    <x v="0"/>
    <x v="0"/>
    <x v="0"/>
    <x v="0"/>
    <x v="0"/>
    <x v="0"/>
    <x v="0"/>
    <x v="0"/>
    <x v="2"/>
    <x v="2"/>
    <x v="2"/>
    <x v="4"/>
    <x v="4"/>
    <n v="100.626420167614"/>
    <x v="0"/>
    <x v="0"/>
    <x v="1"/>
    <x v="3"/>
    <x v="3"/>
    <x v="4"/>
    <n v="119.74543999946066"/>
  </r>
  <r>
    <x v="13"/>
    <x v="1"/>
    <x v="1"/>
    <x v="1"/>
    <x v="0"/>
    <x v="0"/>
    <x v="0"/>
    <x v="0"/>
    <x v="0"/>
    <x v="0"/>
    <x v="0"/>
    <x v="0"/>
    <x v="2"/>
    <x v="2"/>
    <x v="2"/>
    <x v="39"/>
    <x v="39"/>
    <n v="1.9414705882265599"/>
    <x v="0"/>
    <x v="0"/>
    <x v="1"/>
    <x v="4"/>
    <x v="5"/>
    <x v="9"/>
    <n v="2.3103499999896062"/>
  </r>
  <r>
    <x v="13"/>
    <x v="1"/>
    <x v="1"/>
    <x v="1"/>
    <x v="0"/>
    <x v="0"/>
    <x v="0"/>
    <x v="0"/>
    <x v="0"/>
    <x v="0"/>
    <x v="0"/>
    <x v="0"/>
    <x v="2"/>
    <x v="2"/>
    <x v="2"/>
    <x v="5"/>
    <x v="5"/>
    <n v="78.215082873593005"/>
    <x v="0"/>
    <x v="0"/>
    <x v="1"/>
    <x v="1"/>
    <x v="1"/>
    <x v="5"/>
    <n v="93.075948619575669"/>
  </r>
  <r>
    <x v="13"/>
    <x v="1"/>
    <x v="1"/>
    <x v="1"/>
    <x v="0"/>
    <x v="0"/>
    <x v="0"/>
    <x v="0"/>
    <x v="0"/>
    <x v="0"/>
    <x v="0"/>
    <x v="0"/>
    <x v="2"/>
    <x v="2"/>
    <x v="2"/>
    <x v="6"/>
    <x v="6"/>
    <n v="696.58068000000003"/>
    <x v="0"/>
    <x v="0"/>
    <x v="0"/>
    <x v="0"/>
    <x v="4"/>
    <x v="6"/>
    <n v="828.93100919999995"/>
  </r>
  <r>
    <x v="13"/>
    <x v="1"/>
    <x v="1"/>
    <x v="1"/>
    <x v="0"/>
    <x v="0"/>
    <x v="0"/>
    <x v="0"/>
    <x v="0"/>
    <x v="0"/>
    <x v="0"/>
    <x v="0"/>
    <x v="2"/>
    <x v="2"/>
    <x v="2"/>
    <x v="7"/>
    <x v="7"/>
    <n v="12.226630252045799"/>
    <x v="0"/>
    <x v="0"/>
    <x v="1"/>
    <x v="4"/>
    <x v="5"/>
    <x v="7"/>
    <n v="14.5496899999345"/>
  </r>
  <r>
    <x v="13"/>
    <x v="1"/>
    <x v="1"/>
    <x v="1"/>
    <x v="0"/>
    <x v="0"/>
    <x v="0"/>
    <x v="0"/>
    <x v="0"/>
    <x v="0"/>
    <x v="0"/>
    <x v="0"/>
    <x v="2"/>
    <x v="2"/>
    <x v="2"/>
    <x v="8"/>
    <x v="8"/>
    <n v="588.35331055677"/>
    <x v="0"/>
    <x v="1"/>
    <x v="2"/>
    <x v="2"/>
    <x v="6"/>
    <x v="8"/>
    <n v="700.14043956255625"/>
  </r>
  <r>
    <x v="13"/>
    <x v="1"/>
    <x v="1"/>
    <x v="1"/>
    <x v="0"/>
    <x v="0"/>
    <x v="0"/>
    <x v="0"/>
    <x v="0"/>
    <x v="0"/>
    <x v="0"/>
    <x v="0"/>
    <x v="2"/>
    <x v="2"/>
    <x v="2"/>
    <x v="9"/>
    <x v="9"/>
    <n v="138.75758529850401"/>
    <x v="0"/>
    <x v="0"/>
    <x v="1"/>
    <x v="4"/>
    <x v="5"/>
    <x v="9"/>
    <n v="165.12152650521978"/>
  </r>
  <r>
    <x v="13"/>
    <x v="1"/>
    <x v="1"/>
    <x v="1"/>
    <x v="0"/>
    <x v="0"/>
    <x v="0"/>
    <x v="0"/>
    <x v="0"/>
    <x v="0"/>
    <x v="0"/>
    <x v="0"/>
    <x v="2"/>
    <x v="2"/>
    <x v="2"/>
    <x v="10"/>
    <x v="10"/>
    <n v="1.4538037852800001"/>
    <x v="0"/>
    <x v="0"/>
    <x v="1"/>
    <x v="4"/>
    <x v="5"/>
    <x v="10"/>
    <n v="1.7300265044831999"/>
  </r>
  <r>
    <x v="13"/>
    <x v="1"/>
    <x v="1"/>
    <x v="1"/>
    <x v="0"/>
    <x v="0"/>
    <x v="0"/>
    <x v="0"/>
    <x v="0"/>
    <x v="0"/>
    <x v="0"/>
    <x v="0"/>
    <x v="2"/>
    <x v="2"/>
    <x v="2"/>
    <x v="28"/>
    <x v="28"/>
    <n v="12.20382"/>
    <x v="0"/>
    <x v="0"/>
    <x v="1"/>
    <x v="3"/>
    <x v="3"/>
    <x v="13"/>
    <n v="14.5225458"/>
  </r>
  <r>
    <x v="13"/>
    <x v="1"/>
    <x v="1"/>
    <x v="1"/>
    <x v="0"/>
    <x v="0"/>
    <x v="0"/>
    <x v="0"/>
    <x v="0"/>
    <x v="0"/>
    <x v="0"/>
    <x v="0"/>
    <x v="2"/>
    <x v="2"/>
    <x v="2"/>
    <x v="29"/>
    <x v="29"/>
    <n v="28.773579999999999"/>
    <x v="0"/>
    <x v="0"/>
    <x v="1"/>
    <x v="3"/>
    <x v="3"/>
    <x v="13"/>
    <n v="34.240560199999997"/>
  </r>
  <r>
    <x v="13"/>
    <x v="1"/>
    <x v="1"/>
    <x v="1"/>
    <x v="0"/>
    <x v="0"/>
    <x v="0"/>
    <x v="0"/>
    <x v="0"/>
    <x v="0"/>
    <x v="0"/>
    <x v="0"/>
    <x v="2"/>
    <x v="2"/>
    <x v="2"/>
    <x v="30"/>
    <x v="30"/>
    <n v="238.00039112808"/>
    <x v="0"/>
    <x v="0"/>
    <x v="0"/>
    <x v="0"/>
    <x v="0"/>
    <x v="0"/>
    <n v="283.22046544241516"/>
  </r>
  <r>
    <x v="13"/>
    <x v="1"/>
    <x v="1"/>
    <x v="1"/>
    <x v="0"/>
    <x v="0"/>
    <x v="0"/>
    <x v="0"/>
    <x v="0"/>
    <x v="0"/>
    <x v="0"/>
    <x v="0"/>
    <x v="2"/>
    <x v="2"/>
    <x v="2"/>
    <x v="11"/>
    <x v="11"/>
    <n v="1830.4470799999999"/>
    <x v="0"/>
    <x v="0"/>
    <x v="3"/>
    <x v="5"/>
    <x v="7"/>
    <x v="11"/>
    <n v="2178.2320252"/>
  </r>
  <r>
    <x v="13"/>
    <x v="1"/>
    <x v="1"/>
    <x v="1"/>
    <x v="0"/>
    <x v="0"/>
    <x v="0"/>
    <x v="0"/>
    <x v="0"/>
    <x v="0"/>
    <x v="0"/>
    <x v="0"/>
    <x v="2"/>
    <x v="2"/>
    <x v="2"/>
    <x v="88"/>
    <x v="88"/>
    <n v="0.23551260504096"/>
    <x v="0"/>
    <x v="0"/>
    <x v="1"/>
    <x v="4"/>
    <x v="5"/>
    <x v="9"/>
    <n v="0.2802599999987424"/>
  </r>
  <r>
    <x v="13"/>
    <x v="1"/>
    <x v="1"/>
    <x v="1"/>
    <x v="0"/>
    <x v="0"/>
    <x v="0"/>
    <x v="0"/>
    <x v="0"/>
    <x v="0"/>
    <x v="0"/>
    <x v="0"/>
    <x v="2"/>
    <x v="2"/>
    <x v="2"/>
    <x v="12"/>
    <x v="12"/>
    <n v="1208.3024659052201"/>
    <x v="0"/>
    <x v="0"/>
    <x v="0"/>
    <x v="0"/>
    <x v="8"/>
    <x v="12"/>
    <n v="1437.8799344272118"/>
  </r>
  <r>
    <x v="13"/>
    <x v="1"/>
    <x v="1"/>
    <x v="1"/>
    <x v="0"/>
    <x v="0"/>
    <x v="0"/>
    <x v="0"/>
    <x v="0"/>
    <x v="0"/>
    <x v="0"/>
    <x v="0"/>
    <x v="2"/>
    <x v="2"/>
    <x v="2"/>
    <x v="32"/>
    <x v="32"/>
    <n v="18.254345238920301"/>
    <x v="0"/>
    <x v="0"/>
    <x v="1"/>
    <x v="1"/>
    <x v="1"/>
    <x v="20"/>
    <n v="21.722670834315156"/>
  </r>
  <r>
    <x v="13"/>
    <x v="1"/>
    <x v="1"/>
    <x v="1"/>
    <x v="0"/>
    <x v="0"/>
    <x v="0"/>
    <x v="0"/>
    <x v="0"/>
    <x v="0"/>
    <x v="0"/>
    <x v="0"/>
    <x v="2"/>
    <x v="2"/>
    <x v="2"/>
    <x v="14"/>
    <x v="14"/>
    <n v="1187.0117"/>
    <x v="0"/>
    <x v="0"/>
    <x v="0"/>
    <x v="0"/>
    <x v="8"/>
    <x v="14"/>
    <n v="1412.5439229999999"/>
  </r>
  <r>
    <x v="13"/>
    <x v="1"/>
    <x v="1"/>
    <x v="1"/>
    <x v="0"/>
    <x v="0"/>
    <x v="0"/>
    <x v="0"/>
    <x v="0"/>
    <x v="0"/>
    <x v="0"/>
    <x v="0"/>
    <x v="2"/>
    <x v="2"/>
    <x v="2"/>
    <x v="22"/>
    <x v="22"/>
    <n v="18.619981182721201"/>
    <x v="0"/>
    <x v="0"/>
    <x v="0"/>
    <x v="0"/>
    <x v="0"/>
    <x v="0"/>
    <n v="22.157777607438227"/>
  </r>
  <r>
    <x v="13"/>
    <x v="1"/>
    <x v="1"/>
    <x v="1"/>
    <x v="0"/>
    <x v="0"/>
    <x v="0"/>
    <x v="0"/>
    <x v="0"/>
    <x v="0"/>
    <x v="0"/>
    <x v="0"/>
    <x v="2"/>
    <x v="2"/>
    <x v="2"/>
    <x v="16"/>
    <x v="16"/>
    <n v="758.97221000000002"/>
    <x v="0"/>
    <x v="0"/>
    <x v="3"/>
    <x v="5"/>
    <x v="9"/>
    <x v="16"/>
    <n v="903.1769299"/>
  </r>
  <r>
    <x v="13"/>
    <x v="1"/>
    <x v="1"/>
    <x v="1"/>
    <x v="0"/>
    <x v="0"/>
    <x v="0"/>
    <x v="0"/>
    <x v="0"/>
    <x v="0"/>
    <x v="0"/>
    <x v="0"/>
    <x v="2"/>
    <x v="2"/>
    <x v="2"/>
    <x v="23"/>
    <x v="23"/>
    <n v="4.31823529409822"/>
    <x v="0"/>
    <x v="0"/>
    <x v="1"/>
    <x v="3"/>
    <x v="3"/>
    <x v="15"/>
    <n v="5.1386999999768816"/>
  </r>
  <r>
    <x v="13"/>
    <x v="1"/>
    <x v="1"/>
    <x v="1"/>
    <x v="0"/>
    <x v="0"/>
    <x v="0"/>
    <x v="0"/>
    <x v="0"/>
    <x v="0"/>
    <x v="0"/>
    <x v="0"/>
    <x v="2"/>
    <x v="2"/>
    <x v="2"/>
    <x v="24"/>
    <x v="24"/>
    <n v="44.893941176268598"/>
    <x v="0"/>
    <x v="0"/>
    <x v="1"/>
    <x v="3"/>
    <x v="3"/>
    <x v="4"/>
    <n v="53.423789999759627"/>
  </r>
  <r>
    <x v="13"/>
    <x v="1"/>
    <x v="1"/>
    <x v="1"/>
    <x v="0"/>
    <x v="0"/>
    <x v="0"/>
    <x v="0"/>
    <x v="0"/>
    <x v="0"/>
    <x v="0"/>
    <x v="0"/>
    <x v="2"/>
    <x v="2"/>
    <x v="2"/>
    <x v="17"/>
    <x v="17"/>
    <n v="70.817670000000007"/>
    <x v="0"/>
    <x v="0"/>
    <x v="0"/>
    <x v="0"/>
    <x v="4"/>
    <x v="17"/>
    <n v="84.27302730000001"/>
  </r>
  <r>
    <x v="13"/>
    <x v="1"/>
    <x v="1"/>
    <x v="1"/>
    <x v="0"/>
    <x v="0"/>
    <x v="0"/>
    <x v="0"/>
    <x v="0"/>
    <x v="0"/>
    <x v="0"/>
    <x v="0"/>
    <x v="2"/>
    <x v="2"/>
    <x v="2"/>
    <x v="21"/>
    <x v="21"/>
    <n v="0.25529411764590998"/>
    <x v="0"/>
    <x v="0"/>
    <x v="1"/>
    <x v="4"/>
    <x v="5"/>
    <x v="10"/>
    <n v="0.30379999999863289"/>
  </r>
  <r>
    <x v="13"/>
    <x v="1"/>
    <x v="1"/>
    <x v="1"/>
    <x v="0"/>
    <x v="0"/>
    <x v="0"/>
    <x v="0"/>
    <x v="0"/>
    <x v="0"/>
    <x v="0"/>
    <x v="0"/>
    <x v="2"/>
    <x v="2"/>
    <x v="2"/>
    <x v="18"/>
    <x v="18"/>
    <n v="598.58041000000003"/>
    <x v="0"/>
    <x v="0"/>
    <x v="0"/>
    <x v="0"/>
    <x v="4"/>
    <x v="18"/>
    <n v="712.31068789999995"/>
  </r>
  <r>
    <x v="13"/>
    <x v="1"/>
    <x v="1"/>
    <x v="1"/>
    <x v="0"/>
    <x v="0"/>
    <x v="0"/>
    <x v="0"/>
    <x v="0"/>
    <x v="0"/>
    <x v="0"/>
    <x v="0"/>
    <x v="2"/>
    <x v="2"/>
    <x v="2"/>
    <x v="34"/>
    <x v="34"/>
    <n v="50.431649873437301"/>
    <x v="0"/>
    <x v="0"/>
    <x v="0"/>
    <x v="0"/>
    <x v="0"/>
    <x v="0"/>
    <n v="60.013663349390384"/>
  </r>
  <r>
    <x v="13"/>
    <x v="1"/>
    <x v="1"/>
    <x v="1"/>
    <x v="0"/>
    <x v="0"/>
    <x v="0"/>
    <x v="0"/>
    <x v="0"/>
    <x v="0"/>
    <x v="0"/>
    <x v="0"/>
    <x v="2"/>
    <x v="2"/>
    <x v="2"/>
    <x v="79"/>
    <x v="79"/>
    <n v="5.2864705882115102"/>
    <x v="0"/>
    <x v="0"/>
    <x v="1"/>
    <x v="4"/>
    <x v="5"/>
    <x v="10"/>
    <n v="6.290899999971697"/>
  </r>
  <r>
    <x v="13"/>
    <x v="1"/>
    <x v="1"/>
    <x v="1"/>
    <x v="0"/>
    <x v="0"/>
    <x v="0"/>
    <x v="0"/>
    <x v="0"/>
    <x v="0"/>
    <x v="0"/>
    <x v="0"/>
    <x v="2"/>
    <x v="2"/>
    <x v="2"/>
    <x v="25"/>
    <x v="25"/>
    <n v="19.7937983192387"/>
    <x v="0"/>
    <x v="0"/>
    <x v="1"/>
    <x v="4"/>
    <x v="5"/>
    <x v="9"/>
    <n v="23.554619999894051"/>
  </r>
  <r>
    <x v="13"/>
    <x v="1"/>
    <x v="1"/>
    <x v="1"/>
    <x v="0"/>
    <x v="0"/>
    <x v="0"/>
    <x v="0"/>
    <x v="0"/>
    <x v="0"/>
    <x v="0"/>
    <x v="0"/>
    <x v="2"/>
    <x v="2"/>
    <x v="2"/>
    <x v="27"/>
    <x v="27"/>
    <n v="505.19183296280698"/>
    <x v="0"/>
    <x v="0"/>
    <x v="1"/>
    <x v="3"/>
    <x v="3"/>
    <x v="19"/>
    <n v="601.17828122574031"/>
  </r>
  <r>
    <x v="13"/>
    <x v="1"/>
    <x v="1"/>
    <x v="1"/>
    <x v="0"/>
    <x v="0"/>
    <x v="0"/>
    <x v="0"/>
    <x v="0"/>
    <x v="0"/>
    <x v="0"/>
    <x v="0"/>
    <x v="2"/>
    <x v="2"/>
    <x v="2"/>
    <x v="26"/>
    <x v="26"/>
    <n v="63.500663865260499"/>
    <x v="0"/>
    <x v="0"/>
    <x v="1"/>
    <x v="3"/>
    <x v="3"/>
    <x v="15"/>
    <n v="75.565789999659984"/>
  </r>
  <r>
    <x v="13"/>
    <x v="1"/>
    <x v="1"/>
    <x v="1"/>
    <x v="0"/>
    <x v="0"/>
    <x v="0"/>
    <x v="0"/>
    <x v="0"/>
    <x v="0"/>
    <x v="0"/>
    <x v="0"/>
    <x v="2"/>
    <x v="2"/>
    <x v="2"/>
    <x v="0"/>
    <x v="0"/>
    <n v="144.67235022403099"/>
    <x v="0"/>
    <x v="0"/>
    <x v="0"/>
    <x v="0"/>
    <x v="0"/>
    <x v="0"/>
    <n v="172.16009676659687"/>
  </r>
  <r>
    <x v="13"/>
    <x v="1"/>
    <x v="1"/>
    <x v="1"/>
    <x v="0"/>
    <x v="0"/>
    <x v="0"/>
    <x v="0"/>
    <x v="0"/>
    <x v="0"/>
    <x v="0"/>
    <x v="0"/>
    <x v="2"/>
    <x v="2"/>
    <x v="2"/>
    <x v="1"/>
    <x v="1"/>
    <n v="135.067300000675"/>
    <x v="0"/>
    <x v="0"/>
    <x v="1"/>
    <x v="1"/>
    <x v="1"/>
    <x v="1"/>
    <n v="160.73008700080325"/>
  </r>
  <r>
    <x v="13"/>
    <x v="1"/>
    <x v="1"/>
    <x v="1"/>
    <x v="0"/>
    <x v="0"/>
    <x v="0"/>
    <x v="0"/>
    <x v="0"/>
    <x v="0"/>
    <x v="0"/>
    <x v="0"/>
    <x v="2"/>
    <x v="2"/>
    <x v="2"/>
    <x v="20"/>
    <x v="20"/>
    <n v="356.58792999999997"/>
    <x v="0"/>
    <x v="0"/>
    <x v="1"/>
    <x v="3"/>
    <x v="3"/>
    <x v="13"/>
    <n v="424.33963669999997"/>
  </r>
  <r>
    <x v="13"/>
    <x v="1"/>
    <x v="1"/>
    <x v="1"/>
    <x v="0"/>
    <x v="0"/>
    <x v="0"/>
    <x v="0"/>
    <x v="0"/>
    <x v="0"/>
    <x v="0"/>
    <x v="0"/>
    <x v="2"/>
    <x v="2"/>
    <x v="2"/>
    <x v="2"/>
    <x v="2"/>
    <n v="3559.54188233692"/>
    <x v="0"/>
    <x v="1"/>
    <x v="2"/>
    <x v="2"/>
    <x v="13"/>
    <x v="2"/>
    <n v="4235.8548399809342"/>
  </r>
  <r>
    <x v="13"/>
    <x v="1"/>
    <x v="1"/>
    <x v="1"/>
    <x v="0"/>
    <x v="0"/>
    <x v="0"/>
    <x v="0"/>
    <x v="0"/>
    <x v="0"/>
    <x v="0"/>
    <x v="0"/>
    <x v="2"/>
    <x v="2"/>
    <x v="2"/>
    <x v="3"/>
    <x v="3"/>
    <n v="78.5231681090563"/>
    <x v="0"/>
    <x v="0"/>
    <x v="1"/>
    <x v="3"/>
    <x v="3"/>
    <x v="3"/>
    <n v="93.44257004977699"/>
  </r>
  <r>
    <x v="13"/>
    <x v="1"/>
    <x v="1"/>
    <x v="1"/>
    <x v="0"/>
    <x v="0"/>
    <x v="0"/>
    <x v="0"/>
    <x v="0"/>
    <x v="0"/>
    <x v="0"/>
    <x v="0"/>
    <x v="1"/>
    <x v="6"/>
    <x v="6"/>
    <x v="5"/>
    <x v="5"/>
    <n v="54.664740331956402"/>
    <x v="0"/>
    <x v="0"/>
    <x v="1"/>
    <x v="1"/>
    <x v="1"/>
    <x v="5"/>
    <n v="65.051040995028117"/>
  </r>
  <r>
    <x v="13"/>
    <x v="1"/>
    <x v="1"/>
    <x v="1"/>
    <x v="0"/>
    <x v="0"/>
    <x v="0"/>
    <x v="0"/>
    <x v="0"/>
    <x v="0"/>
    <x v="0"/>
    <x v="0"/>
    <x v="1"/>
    <x v="6"/>
    <x v="6"/>
    <x v="6"/>
    <x v="6"/>
    <n v="40.506"/>
    <x v="0"/>
    <x v="0"/>
    <x v="0"/>
    <x v="0"/>
    <x v="4"/>
    <x v="6"/>
    <n v="48.20214"/>
  </r>
  <r>
    <x v="13"/>
    <x v="1"/>
    <x v="1"/>
    <x v="1"/>
    <x v="0"/>
    <x v="0"/>
    <x v="0"/>
    <x v="0"/>
    <x v="0"/>
    <x v="0"/>
    <x v="0"/>
    <x v="0"/>
    <x v="1"/>
    <x v="6"/>
    <x v="6"/>
    <x v="8"/>
    <x v="8"/>
    <n v="31.465149068203399"/>
    <x v="0"/>
    <x v="1"/>
    <x v="2"/>
    <x v="2"/>
    <x v="6"/>
    <x v="8"/>
    <n v="37.443527391162043"/>
  </r>
  <r>
    <x v="13"/>
    <x v="1"/>
    <x v="1"/>
    <x v="1"/>
    <x v="0"/>
    <x v="0"/>
    <x v="0"/>
    <x v="0"/>
    <x v="0"/>
    <x v="0"/>
    <x v="0"/>
    <x v="0"/>
    <x v="1"/>
    <x v="6"/>
    <x v="6"/>
    <x v="9"/>
    <x v="9"/>
    <n v="12.812026271535199"/>
    <x v="0"/>
    <x v="0"/>
    <x v="1"/>
    <x v="4"/>
    <x v="5"/>
    <x v="9"/>
    <n v="15.246311263126886"/>
  </r>
  <r>
    <x v="13"/>
    <x v="1"/>
    <x v="1"/>
    <x v="1"/>
    <x v="0"/>
    <x v="0"/>
    <x v="0"/>
    <x v="0"/>
    <x v="0"/>
    <x v="0"/>
    <x v="0"/>
    <x v="0"/>
    <x v="1"/>
    <x v="6"/>
    <x v="6"/>
    <x v="11"/>
    <x v="11"/>
    <n v="2.0125000000000002"/>
    <x v="0"/>
    <x v="0"/>
    <x v="3"/>
    <x v="5"/>
    <x v="7"/>
    <x v="11"/>
    <n v="2.3948750000000003"/>
  </r>
  <r>
    <x v="13"/>
    <x v="1"/>
    <x v="1"/>
    <x v="1"/>
    <x v="0"/>
    <x v="0"/>
    <x v="0"/>
    <x v="0"/>
    <x v="0"/>
    <x v="0"/>
    <x v="0"/>
    <x v="0"/>
    <x v="1"/>
    <x v="6"/>
    <x v="6"/>
    <x v="12"/>
    <x v="12"/>
    <n v="195.093749999376"/>
    <x v="0"/>
    <x v="0"/>
    <x v="0"/>
    <x v="0"/>
    <x v="8"/>
    <x v="12"/>
    <n v="232.16156249925743"/>
  </r>
  <r>
    <x v="13"/>
    <x v="1"/>
    <x v="1"/>
    <x v="1"/>
    <x v="0"/>
    <x v="0"/>
    <x v="0"/>
    <x v="0"/>
    <x v="0"/>
    <x v="0"/>
    <x v="0"/>
    <x v="0"/>
    <x v="1"/>
    <x v="6"/>
    <x v="6"/>
    <x v="14"/>
    <x v="14"/>
    <n v="146.36494999999999"/>
    <x v="0"/>
    <x v="0"/>
    <x v="0"/>
    <x v="0"/>
    <x v="8"/>
    <x v="14"/>
    <n v="174.17429049999998"/>
  </r>
  <r>
    <x v="13"/>
    <x v="1"/>
    <x v="1"/>
    <x v="1"/>
    <x v="0"/>
    <x v="0"/>
    <x v="0"/>
    <x v="0"/>
    <x v="0"/>
    <x v="0"/>
    <x v="0"/>
    <x v="0"/>
    <x v="1"/>
    <x v="6"/>
    <x v="6"/>
    <x v="16"/>
    <x v="16"/>
    <n v="512.25411999999994"/>
    <x v="0"/>
    <x v="0"/>
    <x v="3"/>
    <x v="5"/>
    <x v="9"/>
    <x v="16"/>
    <n v="609.58240279999995"/>
  </r>
  <r>
    <x v="13"/>
    <x v="1"/>
    <x v="1"/>
    <x v="1"/>
    <x v="0"/>
    <x v="0"/>
    <x v="0"/>
    <x v="0"/>
    <x v="0"/>
    <x v="0"/>
    <x v="0"/>
    <x v="0"/>
    <x v="1"/>
    <x v="6"/>
    <x v="6"/>
    <x v="27"/>
    <x v="27"/>
    <n v="31.702002289011102"/>
    <x v="0"/>
    <x v="0"/>
    <x v="1"/>
    <x v="3"/>
    <x v="3"/>
    <x v="19"/>
    <n v="37.725382723923211"/>
  </r>
  <r>
    <x v="13"/>
    <x v="1"/>
    <x v="1"/>
    <x v="1"/>
    <x v="0"/>
    <x v="0"/>
    <x v="0"/>
    <x v="0"/>
    <x v="0"/>
    <x v="0"/>
    <x v="0"/>
    <x v="0"/>
    <x v="1"/>
    <x v="6"/>
    <x v="6"/>
    <x v="0"/>
    <x v="0"/>
    <n v="2.2309333333612198"/>
    <x v="0"/>
    <x v="0"/>
    <x v="0"/>
    <x v="0"/>
    <x v="0"/>
    <x v="0"/>
    <n v="2.6548106666998512"/>
  </r>
  <r>
    <x v="13"/>
    <x v="1"/>
    <x v="1"/>
    <x v="1"/>
    <x v="0"/>
    <x v="0"/>
    <x v="0"/>
    <x v="0"/>
    <x v="0"/>
    <x v="0"/>
    <x v="0"/>
    <x v="0"/>
    <x v="1"/>
    <x v="6"/>
    <x v="6"/>
    <x v="1"/>
    <x v="1"/>
    <n v="59.905553333632902"/>
    <x v="0"/>
    <x v="0"/>
    <x v="1"/>
    <x v="1"/>
    <x v="1"/>
    <x v="1"/>
    <n v="71.287608467023148"/>
  </r>
  <r>
    <x v="13"/>
    <x v="1"/>
    <x v="1"/>
    <x v="1"/>
    <x v="0"/>
    <x v="0"/>
    <x v="0"/>
    <x v="0"/>
    <x v="0"/>
    <x v="0"/>
    <x v="0"/>
    <x v="0"/>
    <x v="1"/>
    <x v="6"/>
    <x v="6"/>
    <x v="2"/>
    <x v="2"/>
    <n v="1378.45577310304"/>
    <x v="0"/>
    <x v="1"/>
    <x v="2"/>
    <x v="2"/>
    <x v="13"/>
    <x v="2"/>
    <n v="1640.3623699926175"/>
  </r>
  <r>
    <x v="13"/>
    <x v="1"/>
    <x v="1"/>
    <x v="1"/>
    <x v="0"/>
    <x v="0"/>
    <x v="0"/>
    <x v="0"/>
    <x v="0"/>
    <x v="0"/>
    <x v="0"/>
    <x v="0"/>
    <x v="1"/>
    <x v="6"/>
    <x v="6"/>
    <x v="3"/>
    <x v="3"/>
    <n v="9.6966083361364408"/>
    <x v="0"/>
    <x v="0"/>
    <x v="1"/>
    <x v="3"/>
    <x v="3"/>
    <x v="3"/>
    <n v="11.538963920002365"/>
  </r>
  <r>
    <x v="13"/>
    <x v="1"/>
    <x v="1"/>
    <x v="1"/>
    <x v="0"/>
    <x v="0"/>
    <x v="0"/>
    <x v="0"/>
    <x v="0"/>
    <x v="0"/>
    <x v="0"/>
    <x v="0"/>
    <x v="3"/>
    <x v="7"/>
    <x v="7"/>
    <x v="6"/>
    <x v="6"/>
    <n v="60.403570000000002"/>
    <x v="0"/>
    <x v="0"/>
    <x v="0"/>
    <x v="0"/>
    <x v="4"/>
    <x v="6"/>
    <n v="71.880248300000005"/>
  </r>
  <r>
    <x v="13"/>
    <x v="1"/>
    <x v="1"/>
    <x v="1"/>
    <x v="0"/>
    <x v="0"/>
    <x v="0"/>
    <x v="0"/>
    <x v="0"/>
    <x v="0"/>
    <x v="0"/>
    <x v="0"/>
    <x v="3"/>
    <x v="7"/>
    <x v="7"/>
    <x v="9"/>
    <x v="9"/>
    <n v="170.887144839646"/>
    <x v="0"/>
    <x v="0"/>
    <x v="1"/>
    <x v="4"/>
    <x v="5"/>
    <x v="9"/>
    <n v="203.35570235917874"/>
  </r>
  <r>
    <x v="13"/>
    <x v="1"/>
    <x v="1"/>
    <x v="1"/>
    <x v="0"/>
    <x v="0"/>
    <x v="0"/>
    <x v="0"/>
    <x v="0"/>
    <x v="0"/>
    <x v="0"/>
    <x v="0"/>
    <x v="3"/>
    <x v="7"/>
    <x v="7"/>
    <x v="10"/>
    <x v="10"/>
    <n v="27.908566024332"/>
    <x v="0"/>
    <x v="0"/>
    <x v="1"/>
    <x v="4"/>
    <x v="5"/>
    <x v="10"/>
    <n v="33.211193568955082"/>
  </r>
  <r>
    <x v="13"/>
    <x v="1"/>
    <x v="1"/>
    <x v="1"/>
    <x v="0"/>
    <x v="0"/>
    <x v="0"/>
    <x v="0"/>
    <x v="0"/>
    <x v="0"/>
    <x v="0"/>
    <x v="0"/>
    <x v="3"/>
    <x v="7"/>
    <x v="7"/>
    <x v="11"/>
    <x v="11"/>
    <n v="82.430599999999998"/>
    <x v="0"/>
    <x v="0"/>
    <x v="3"/>
    <x v="5"/>
    <x v="7"/>
    <x v="11"/>
    <n v="98.092413999999991"/>
  </r>
  <r>
    <x v="13"/>
    <x v="1"/>
    <x v="1"/>
    <x v="1"/>
    <x v="0"/>
    <x v="0"/>
    <x v="0"/>
    <x v="0"/>
    <x v="0"/>
    <x v="0"/>
    <x v="0"/>
    <x v="0"/>
    <x v="3"/>
    <x v="7"/>
    <x v="7"/>
    <x v="36"/>
    <x v="36"/>
    <n v="108.67159663816599"/>
    <x v="0"/>
    <x v="0"/>
    <x v="1"/>
    <x v="3"/>
    <x v="3"/>
    <x v="4"/>
    <n v="129.31919999941752"/>
  </r>
  <r>
    <x v="13"/>
    <x v="1"/>
    <x v="1"/>
    <x v="1"/>
    <x v="0"/>
    <x v="0"/>
    <x v="0"/>
    <x v="0"/>
    <x v="0"/>
    <x v="0"/>
    <x v="0"/>
    <x v="0"/>
    <x v="3"/>
    <x v="7"/>
    <x v="7"/>
    <x v="24"/>
    <x v="24"/>
    <n v="67.218302520705905"/>
    <x v="0"/>
    <x v="0"/>
    <x v="1"/>
    <x v="3"/>
    <x v="3"/>
    <x v="4"/>
    <n v="79.989779999640021"/>
  </r>
  <r>
    <x v="13"/>
    <x v="1"/>
    <x v="1"/>
    <x v="1"/>
    <x v="0"/>
    <x v="0"/>
    <x v="0"/>
    <x v="0"/>
    <x v="0"/>
    <x v="0"/>
    <x v="0"/>
    <x v="0"/>
    <x v="3"/>
    <x v="7"/>
    <x v="7"/>
    <x v="17"/>
    <x v="17"/>
    <n v="319.67919000000001"/>
    <x v="0"/>
    <x v="0"/>
    <x v="0"/>
    <x v="0"/>
    <x v="4"/>
    <x v="17"/>
    <n v="380.4182361"/>
  </r>
  <r>
    <x v="13"/>
    <x v="1"/>
    <x v="1"/>
    <x v="1"/>
    <x v="0"/>
    <x v="0"/>
    <x v="0"/>
    <x v="0"/>
    <x v="0"/>
    <x v="0"/>
    <x v="0"/>
    <x v="0"/>
    <x v="3"/>
    <x v="7"/>
    <x v="7"/>
    <x v="18"/>
    <x v="18"/>
    <n v="36.543700000000001"/>
    <x v="0"/>
    <x v="0"/>
    <x v="0"/>
    <x v="0"/>
    <x v="4"/>
    <x v="18"/>
    <n v="43.487003000000001"/>
  </r>
  <r>
    <x v="13"/>
    <x v="1"/>
    <x v="1"/>
    <x v="1"/>
    <x v="0"/>
    <x v="0"/>
    <x v="0"/>
    <x v="0"/>
    <x v="0"/>
    <x v="0"/>
    <x v="0"/>
    <x v="0"/>
    <x v="3"/>
    <x v="7"/>
    <x v="7"/>
    <x v="34"/>
    <x v="34"/>
    <n v="22.893311311739701"/>
    <x v="0"/>
    <x v="0"/>
    <x v="0"/>
    <x v="0"/>
    <x v="0"/>
    <x v="0"/>
    <n v="27.243040460970242"/>
  </r>
  <r>
    <x v="13"/>
    <x v="1"/>
    <x v="1"/>
    <x v="1"/>
    <x v="0"/>
    <x v="0"/>
    <x v="0"/>
    <x v="0"/>
    <x v="0"/>
    <x v="0"/>
    <x v="0"/>
    <x v="0"/>
    <x v="1"/>
    <x v="8"/>
    <x v="8"/>
    <x v="6"/>
    <x v="6"/>
    <n v="62.074269999999999"/>
    <x v="0"/>
    <x v="0"/>
    <x v="0"/>
    <x v="0"/>
    <x v="4"/>
    <x v="6"/>
    <n v="73.868381299999996"/>
  </r>
  <r>
    <x v="13"/>
    <x v="1"/>
    <x v="1"/>
    <x v="1"/>
    <x v="0"/>
    <x v="0"/>
    <x v="0"/>
    <x v="0"/>
    <x v="0"/>
    <x v="0"/>
    <x v="0"/>
    <x v="0"/>
    <x v="1"/>
    <x v="8"/>
    <x v="8"/>
    <x v="8"/>
    <x v="8"/>
    <n v="152.28093788762001"/>
    <x v="0"/>
    <x v="1"/>
    <x v="2"/>
    <x v="2"/>
    <x v="6"/>
    <x v="8"/>
    <n v="181.21431608626781"/>
  </r>
  <r>
    <x v="13"/>
    <x v="1"/>
    <x v="1"/>
    <x v="1"/>
    <x v="0"/>
    <x v="0"/>
    <x v="0"/>
    <x v="0"/>
    <x v="0"/>
    <x v="0"/>
    <x v="0"/>
    <x v="0"/>
    <x v="1"/>
    <x v="8"/>
    <x v="8"/>
    <x v="9"/>
    <x v="9"/>
    <n v="313.81374813689001"/>
    <x v="0"/>
    <x v="0"/>
    <x v="1"/>
    <x v="4"/>
    <x v="5"/>
    <x v="9"/>
    <n v="373.43836028289911"/>
  </r>
  <r>
    <x v="13"/>
    <x v="1"/>
    <x v="1"/>
    <x v="1"/>
    <x v="0"/>
    <x v="0"/>
    <x v="0"/>
    <x v="0"/>
    <x v="0"/>
    <x v="0"/>
    <x v="0"/>
    <x v="0"/>
    <x v="1"/>
    <x v="8"/>
    <x v="8"/>
    <x v="10"/>
    <x v="10"/>
    <n v="42.828940305926203"/>
    <x v="0"/>
    <x v="0"/>
    <x v="1"/>
    <x v="4"/>
    <x v="5"/>
    <x v="10"/>
    <n v="50.96643896405218"/>
  </r>
  <r>
    <x v="13"/>
    <x v="1"/>
    <x v="1"/>
    <x v="1"/>
    <x v="0"/>
    <x v="0"/>
    <x v="0"/>
    <x v="0"/>
    <x v="0"/>
    <x v="0"/>
    <x v="0"/>
    <x v="0"/>
    <x v="1"/>
    <x v="8"/>
    <x v="8"/>
    <x v="30"/>
    <x v="30"/>
    <n v="10.787165322537501"/>
    <x v="0"/>
    <x v="0"/>
    <x v="0"/>
    <x v="0"/>
    <x v="0"/>
    <x v="0"/>
    <n v="12.836726733819624"/>
  </r>
  <r>
    <x v="13"/>
    <x v="1"/>
    <x v="1"/>
    <x v="1"/>
    <x v="0"/>
    <x v="0"/>
    <x v="0"/>
    <x v="0"/>
    <x v="0"/>
    <x v="0"/>
    <x v="0"/>
    <x v="0"/>
    <x v="1"/>
    <x v="8"/>
    <x v="8"/>
    <x v="11"/>
    <x v="11"/>
    <n v="5.8536000000000001"/>
    <x v="0"/>
    <x v="0"/>
    <x v="3"/>
    <x v="5"/>
    <x v="7"/>
    <x v="11"/>
    <n v="6.9657840000000002"/>
  </r>
  <r>
    <x v="13"/>
    <x v="1"/>
    <x v="1"/>
    <x v="1"/>
    <x v="0"/>
    <x v="0"/>
    <x v="0"/>
    <x v="0"/>
    <x v="0"/>
    <x v="0"/>
    <x v="0"/>
    <x v="0"/>
    <x v="1"/>
    <x v="8"/>
    <x v="8"/>
    <x v="36"/>
    <x v="36"/>
    <n v="4.9007563024989604"/>
    <x v="0"/>
    <x v="0"/>
    <x v="1"/>
    <x v="3"/>
    <x v="3"/>
    <x v="4"/>
    <n v="5.8318999999737624"/>
  </r>
  <r>
    <x v="13"/>
    <x v="1"/>
    <x v="1"/>
    <x v="1"/>
    <x v="0"/>
    <x v="0"/>
    <x v="0"/>
    <x v="0"/>
    <x v="0"/>
    <x v="0"/>
    <x v="0"/>
    <x v="0"/>
    <x v="1"/>
    <x v="8"/>
    <x v="8"/>
    <x v="24"/>
    <x v="24"/>
    <n v="81.334974789550003"/>
    <x v="0"/>
    <x v="0"/>
    <x v="1"/>
    <x v="3"/>
    <x v="3"/>
    <x v="4"/>
    <n v="96.788619999564503"/>
  </r>
  <r>
    <x v="13"/>
    <x v="1"/>
    <x v="1"/>
    <x v="1"/>
    <x v="0"/>
    <x v="0"/>
    <x v="0"/>
    <x v="0"/>
    <x v="0"/>
    <x v="0"/>
    <x v="0"/>
    <x v="0"/>
    <x v="1"/>
    <x v="8"/>
    <x v="8"/>
    <x v="17"/>
    <x v="17"/>
    <n v="28.98584"/>
    <x v="0"/>
    <x v="0"/>
    <x v="0"/>
    <x v="0"/>
    <x v="4"/>
    <x v="17"/>
    <n v="34.493149599999995"/>
  </r>
  <r>
    <x v="13"/>
    <x v="1"/>
    <x v="1"/>
    <x v="1"/>
    <x v="0"/>
    <x v="0"/>
    <x v="0"/>
    <x v="0"/>
    <x v="0"/>
    <x v="0"/>
    <x v="0"/>
    <x v="0"/>
    <x v="1"/>
    <x v="8"/>
    <x v="8"/>
    <x v="21"/>
    <x v="21"/>
    <n v="6.4186554621559901"/>
    <x v="0"/>
    <x v="0"/>
    <x v="1"/>
    <x v="4"/>
    <x v="5"/>
    <x v="10"/>
    <n v="7.6381999999656278"/>
  </r>
  <r>
    <x v="13"/>
    <x v="1"/>
    <x v="1"/>
    <x v="1"/>
    <x v="0"/>
    <x v="0"/>
    <x v="0"/>
    <x v="0"/>
    <x v="0"/>
    <x v="0"/>
    <x v="0"/>
    <x v="0"/>
    <x v="1"/>
    <x v="8"/>
    <x v="8"/>
    <x v="18"/>
    <x v="18"/>
    <n v="15.586510000000001"/>
    <x v="0"/>
    <x v="0"/>
    <x v="0"/>
    <x v="0"/>
    <x v="4"/>
    <x v="18"/>
    <n v="18.547946899999999"/>
  </r>
  <r>
    <x v="13"/>
    <x v="1"/>
    <x v="1"/>
    <x v="1"/>
    <x v="0"/>
    <x v="0"/>
    <x v="0"/>
    <x v="0"/>
    <x v="0"/>
    <x v="0"/>
    <x v="0"/>
    <x v="0"/>
    <x v="1"/>
    <x v="8"/>
    <x v="8"/>
    <x v="34"/>
    <x v="34"/>
    <n v="3.2137407099849602"/>
    <x v="0"/>
    <x v="0"/>
    <x v="0"/>
    <x v="0"/>
    <x v="0"/>
    <x v="0"/>
    <n v="3.8243514448821023"/>
  </r>
  <r>
    <x v="13"/>
    <x v="1"/>
    <x v="1"/>
    <x v="1"/>
    <x v="0"/>
    <x v="0"/>
    <x v="0"/>
    <x v="0"/>
    <x v="0"/>
    <x v="0"/>
    <x v="0"/>
    <x v="0"/>
    <x v="1"/>
    <x v="8"/>
    <x v="8"/>
    <x v="37"/>
    <x v="37"/>
    <n v="46.940588235082899"/>
    <x v="0"/>
    <x v="0"/>
    <x v="1"/>
    <x v="3"/>
    <x v="3"/>
    <x v="4"/>
    <n v="55.85929999974865"/>
  </r>
  <r>
    <x v="13"/>
    <x v="1"/>
    <x v="1"/>
    <x v="1"/>
    <x v="0"/>
    <x v="0"/>
    <x v="0"/>
    <x v="0"/>
    <x v="0"/>
    <x v="0"/>
    <x v="0"/>
    <x v="0"/>
    <x v="1"/>
    <x v="8"/>
    <x v="8"/>
    <x v="26"/>
    <x v="26"/>
    <n v="7.7484033613096699"/>
    <x v="0"/>
    <x v="0"/>
    <x v="1"/>
    <x v="3"/>
    <x v="3"/>
    <x v="15"/>
    <n v="9.2205999999585071"/>
  </r>
  <r>
    <x v="13"/>
    <x v="1"/>
    <x v="1"/>
    <x v="1"/>
    <x v="0"/>
    <x v="0"/>
    <x v="0"/>
    <x v="0"/>
    <x v="0"/>
    <x v="0"/>
    <x v="0"/>
    <x v="0"/>
    <x v="1"/>
    <x v="8"/>
    <x v="8"/>
    <x v="0"/>
    <x v="0"/>
    <n v="12.599874666824199"/>
    <x v="0"/>
    <x v="0"/>
    <x v="0"/>
    <x v="0"/>
    <x v="0"/>
    <x v="0"/>
    <n v="14.993850853520797"/>
  </r>
  <r>
    <x v="13"/>
    <x v="1"/>
    <x v="1"/>
    <x v="1"/>
    <x v="0"/>
    <x v="0"/>
    <x v="0"/>
    <x v="0"/>
    <x v="0"/>
    <x v="0"/>
    <x v="0"/>
    <x v="0"/>
    <x v="0"/>
    <x v="9"/>
    <x v="9"/>
    <x v="6"/>
    <x v="6"/>
    <n v="215.77420000000001"/>
    <x v="0"/>
    <x v="0"/>
    <x v="0"/>
    <x v="0"/>
    <x v="4"/>
    <x v="6"/>
    <n v="256.771298"/>
  </r>
  <r>
    <x v="13"/>
    <x v="1"/>
    <x v="1"/>
    <x v="1"/>
    <x v="0"/>
    <x v="0"/>
    <x v="0"/>
    <x v="0"/>
    <x v="0"/>
    <x v="0"/>
    <x v="0"/>
    <x v="0"/>
    <x v="0"/>
    <x v="9"/>
    <x v="9"/>
    <x v="7"/>
    <x v="7"/>
    <n v="108.123924369261"/>
    <x v="0"/>
    <x v="0"/>
    <x v="1"/>
    <x v="4"/>
    <x v="5"/>
    <x v="7"/>
    <n v="128.6674699994206"/>
  </r>
  <r>
    <x v="13"/>
    <x v="1"/>
    <x v="1"/>
    <x v="1"/>
    <x v="0"/>
    <x v="0"/>
    <x v="0"/>
    <x v="0"/>
    <x v="0"/>
    <x v="0"/>
    <x v="0"/>
    <x v="0"/>
    <x v="0"/>
    <x v="9"/>
    <x v="9"/>
    <x v="9"/>
    <x v="9"/>
    <n v="972.321093702094"/>
    <x v="0"/>
    <x v="0"/>
    <x v="1"/>
    <x v="4"/>
    <x v="5"/>
    <x v="9"/>
    <n v="1157.0621015054919"/>
  </r>
  <r>
    <x v="13"/>
    <x v="1"/>
    <x v="1"/>
    <x v="1"/>
    <x v="0"/>
    <x v="0"/>
    <x v="0"/>
    <x v="0"/>
    <x v="0"/>
    <x v="0"/>
    <x v="0"/>
    <x v="0"/>
    <x v="0"/>
    <x v="9"/>
    <x v="9"/>
    <x v="10"/>
    <x v="10"/>
    <n v="51.477580982317598"/>
    <x v="0"/>
    <x v="0"/>
    <x v="1"/>
    <x v="4"/>
    <x v="5"/>
    <x v="10"/>
    <n v="61.258321368957937"/>
  </r>
  <r>
    <x v="13"/>
    <x v="1"/>
    <x v="1"/>
    <x v="1"/>
    <x v="0"/>
    <x v="0"/>
    <x v="0"/>
    <x v="0"/>
    <x v="0"/>
    <x v="0"/>
    <x v="0"/>
    <x v="0"/>
    <x v="0"/>
    <x v="9"/>
    <x v="9"/>
    <x v="30"/>
    <x v="30"/>
    <n v="0.35756048386953998"/>
    <x v="0"/>
    <x v="0"/>
    <x v="0"/>
    <x v="0"/>
    <x v="0"/>
    <x v="0"/>
    <n v="0.42549697580475254"/>
  </r>
  <r>
    <x v="13"/>
    <x v="1"/>
    <x v="1"/>
    <x v="1"/>
    <x v="0"/>
    <x v="0"/>
    <x v="0"/>
    <x v="0"/>
    <x v="0"/>
    <x v="0"/>
    <x v="0"/>
    <x v="0"/>
    <x v="0"/>
    <x v="9"/>
    <x v="9"/>
    <x v="11"/>
    <x v="11"/>
    <n v="48.537599999999998"/>
    <x v="0"/>
    <x v="0"/>
    <x v="3"/>
    <x v="5"/>
    <x v="7"/>
    <x v="11"/>
    <n v="57.759743999999998"/>
  </r>
  <r>
    <x v="13"/>
    <x v="1"/>
    <x v="1"/>
    <x v="1"/>
    <x v="0"/>
    <x v="0"/>
    <x v="0"/>
    <x v="0"/>
    <x v="0"/>
    <x v="0"/>
    <x v="0"/>
    <x v="0"/>
    <x v="0"/>
    <x v="9"/>
    <x v="9"/>
    <x v="12"/>
    <x v="12"/>
    <n v="10.890113636328801"/>
    <x v="0"/>
    <x v="0"/>
    <x v="0"/>
    <x v="0"/>
    <x v="8"/>
    <x v="12"/>
    <n v="12.959235227231272"/>
  </r>
  <r>
    <x v="13"/>
    <x v="1"/>
    <x v="1"/>
    <x v="1"/>
    <x v="0"/>
    <x v="0"/>
    <x v="0"/>
    <x v="0"/>
    <x v="0"/>
    <x v="0"/>
    <x v="0"/>
    <x v="0"/>
    <x v="0"/>
    <x v="9"/>
    <x v="9"/>
    <x v="14"/>
    <x v="14"/>
    <n v="9.7000000000000005E-4"/>
    <x v="0"/>
    <x v="0"/>
    <x v="0"/>
    <x v="0"/>
    <x v="8"/>
    <x v="14"/>
    <n v="1.1543E-3"/>
  </r>
  <r>
    <x v="13"/>
    <x v="1"/>
    <x v="1"/>
    <x v="1"/>
    <x v="0"/>
    <x v="0"/>
    <x v="0"/>
    <x v="0"/>
    <x v="0"/>
    <x v="0"/>
    <x v="0"/>
    <x v="0"/>
    <x v="0"/>
    <x v="9"/>
    <x v="9"/>
    <x v="36"/>
    <x v="36"/>
    <n v="17.938739495717599"/>
    <x v="0"/>
    <x v="0"/>
    <x v="1"/>
    <x v="3"/>
    <x v="3"/>
    <x v="4"/>
    <n v="21.347099999903943"/>
  </r>
  <r>
    <x v="13"/>
    <x v="1"/>
    <x v="1"/>
    <x v="1"/>
    <x v="0"/>
    <x v="0"/>
    <x v="0"/>
    <x v="0"/>
    <x v="0"/>
    <x v="0"/>
    <x v="0"/>
    <x v="0"/>
    <x v="0"/>
    <x v="9"/>
    <x v="9"/>
    <x v="24"/>
    <x v="24"/>
    <n v="73.339554621518701"/>
    <x v="0"/>
    <x v="0"/>
    <x v="1"/>
    <x v="3"/>
    <x v="3"/>
    <x v="4"/>
    <n v="87.274069999607249"/>
  </r>
  <r>
    <x v="13"/>
    <x v="1"/>
    <x v="1"/>
    <x v="1"/>
    <x v="0"/>
    <x v="0"/>
    <x v="0"/>
    <x v="0"/>
    <x v="0"/>
    <x v="0"/>
    <x v="0"/>
    <x v="0"/>
    <x v="0"/>
    <x v="9"/>
    <x v="9"/>
    <x v="17"/>
    <x v="17"/>
    <n v="78.400009999999995"/>
    <x v="0"/>
    <x v="0"/>
    <x v="0"/>
    <x v="0"/>
    <x v="4"/>
    <x v="17"/>
    <n v="93.296011899999996"/>
  </r>
  <r>
    <x v="13"/>
    <x v="1"/>
    <x v="1"/>
    <x v="1"/>
    <x v="0"/>
    <x v="0"/>
    <x v="0"/>
    <x v="0"/>
    <x v="0"/>
    <x v="0"/>
    <x v="0"/>
    <x v="0"/>
    <x v="0"/>
    <x v="9"/>
    <x v="9"/>
    <x v="21"/>
    <x v="21"/>
    <n v="1153.68153780993"/>
    <x v="0"/>
    <x v="0"/>
    <x v="1"/>
    <x v="4"/>
    <x v="5"/>
    <x v="10"/>
    <n v="1372.8810299938166"/>
  </r>
  <r>
    <x v="13"/>
    <x v="1"/>
    <x v="1"/>
    <x v="1"/>
    <x v="0"/>
    <x v="0"/>
    <x v="0"/>
    <x v="0"/>
    <x v="0"/>
    <x v="0"/>
    <x v="0"/>
    <x v="0"/>
    <x v="0"/>
    <x v="9"/>
    <x v="9"/>
    <x v="18"/>
    <x v="18"/>
    <n v="88.452259999999995"/>
    <x v="0"/>
    <x v="0"/>
    <x v="0"/>
    <x v="0"/>
    <x v="4"/>
    <x v="18"/>
    <n v="105.25818939999999"/>
  </r>
  <r>
    <x v="13"/>
    <x v="1"/>
    <x v="1"/>
    <x v="1"/>
    <x v="0"/>
    <x v="0"/>
    <x v="0"/>
    <x v="0"/>
    <x v="0"/>
    <x v="0"/>
    <x v="0"/>
    <x v="0"/>
    <x v="0"/>
    <x v="9"/>
    <x v="9"/>
    <x v="34"/>
    <x v="34"/>
    <n v="12.995928983615199"/>
    <x v="0"/>
    <x v="0"/>
    <x v="0"/>
    <x v="0"/>
    <x v="0"/>
    <x v="0"/>
    <n v="15.465155490502086"/>
  </r>
  <r>
    <x v="13"/>
    <x v="1"/>
    <x v="1"/>
    <x v="1"/>
    <x v="0"/>
    <x v="0"/>
    <x v="0"/>
    <x v="0"/>
    <x v="0"/>
    <x v="0"/>
    <x v="0"/>
    <x v="0"/>
    <x v="0"/>
    <x v="9"/>
    <x v="9"/>
    <x v="37"/>
    <x v="37"/>
    <n v="21.705462184776302"/>
    <x v="0"/>
    <x v="0"/>
    <x v="1"/>
    <x v="3"/>
    <x v="3"/>
    <x v="4"/>
    <n v="25.829499999883797"/>
  </r>
  <r>
    <x v="13"/>
    <x v="1"/>
    <x v="1"/>
    <x v="1"/>
    <x v="0"/>
    <x v="0"/>
    <x v="0"/>
    <x v="0"/>
    <x v="0"/>
    <x v="0"/>
    <x v="0"/>
    <x v="0"/>
    <x v="0"/>
    <x v="9"/>
    <x v="9"/>
    <x v="26"/>
    <x v="26"/>
    <n v="11.471596638603801"/>
    <x v="0"/>
    <x v="0"/>
    <x v="1"/>
    <x v="3"/>
    <x v="3"/>
    <x v="15"/>
    <n v="13.651199999938523"/>
  </r>
  <r>
    <x v="13"/>
    <x v="1"/>
    <x v="1"/>
    <x v="1"/>
    <x v="0"/>
    <x v="0"/>
    <x v="0"/>
    <x v="0"/>
    <x v="0"/>
    <x v="0"/>
    <x v="0"/>
    <x v="0"/>
    <x v="0"/>
    <x v="9"/>
    <x v="9"/>
    <x v="0"/>
    <x v="0"/>
    <n v="1.5935351111310301"/>
    <x v="0"/>
    <x v="0"/>
    <x v="0"/>
    <x v="0"/>
    <x v="0"/>
    <x v="0"/>
    <n v="1.8963067822459256"/>
  </r>
  <r>
    <x v="13"/>
    <x v="1"/>
    <x v="1"/>
    <x v="1"/>
    <x v="0"/>
    <x v="0"/>
    <x v="0"/>
    <x v="0"/>
    <x v="0"/>
    <x v="0"/>
    <x v="0"/>
    <x v="0"/>
    <x v="0"/>
    <x v="9"/>
    <x v="9"/>
    <x v="2"/>
    <x v="2"/>
    <n v="20.8520168066289"/>
    <x v="0"/>
    <x v="1"/>
    <x v="2"/>
    <x v="2"/>
    <x v="13"/>
    <x v="2"/>
    <n v="24.813899999888388"/>
  </r>
  <r>
    <x v="13"/>
    <x v="1"/>
    <x v="1"/>
    <x v="1"/>
    <x v="0"/>
    <x v="0"/>
    <x v="0"/>
    <x v="0"/>
    <x v="0"/>
    <x v="0"/>
    <x v="0"/>
    <x v="0"/>
    <x v="2"/>
    <x v="10"/>
    <x v="10"/>
    <x v="6"/>
    <x v="6"/>
    <n v="175.01487"/>
    <x v="0"/>
    <x v="0"/>
    <x v="0"/>
    <x v="0"/>
    <x v="4"/>
    <x v="6"/>
    <n v="208.26769529999999"/>
  </r>
  <r>
    <x v="13"/>
    <x v="1"/>
    <x v="1"/>
    <x v="1"/>
    <x v="0"/>
    <x v="0"/>
    <x v="0"/>
    <x v="0"/>
    <x v="0"/>
    <x v="0"/>
    <x v="0"/>
    <x v="0"/>
    <x v="2"/>
    <x v="10"/>
    <x v="10"/>
    <x v="7"/>
    <x v="7"/>
    <n v="13.824890756240301"/>
    <x v="0"/>
    <x v="0"/>
    <x v="1"/>
    <x v="4"/>
    <x v="5"/>
    <x v="7"/>
    <n v="16.451619999925956"/>
  </r>
  <r>
    <x v="13"/>
    <x v="1"/>
    <x v="1"/>
    <x v="1"/>
    <x v="0"/>
    <x v="0"/>
    <x v="0"/>
    <x v="0"/>
    <x v="0"/>
    <x v="0"/>
    <x v="0"/>
    <x v="0"/>
    <x v="2"/>
    <x v="10"/>
    <x v="10"/>
    <x v="9"/>
    <x v="9"/>
    <n v="296.83211797993198"/>
    <x v="0"/>
    <x v="0"/>
    <x v="1"/>
    <x v="4"/>
    <x v="5"/>
    <x v="9"/>
    <n v="353.23022039611902"/>
  </r>
  <r>
    <x v="13"/>
    <x v="1"/>
    <x v="1"/>
    <x v="1"/>
    <x v="0"/>
    <x v="0"/>
    <x v="0"/>
    <x v="0"/>
    <x v="0"/>
    <x v="0"/>
    <x v="0"/>
    <x v="0"/>
    <x v="2"/>
    <x v="10"/>
    <x v="10"/>
    <x v="10"/>
    <x v="10"/>
    <n v="14.7882560518487"/>
    <x v="0"/>
    <x v="0"/>
    <x v="1"/>
    <x v="4"/>
    <x v="5"/>
    <x v="10"/>
    <n v="17.598024701699952"/>
  </r>
  <r>
    <x v="13"/>
    <x v="1"/>
    <x v="1"/>
    <x v="1"/>
    <x v="0"/>
    <x v="0"/>
    <x v="0"/>
    <x v="0"/>
    <x v="0"/>
    <x v="0"/>
    <x v="0"/>
    <x v="0"/>
    <x v="2"/>
    <x v="10"/>
    <x v="10"/>
    <x v="11"/>
    <x v="11"/>
    <n v="30.795500000000001"/>
    <x v="0"/>
    <x v="0"/>
    <x v="3"/>
    <x v="5"/>
    <x v="7"/>
    <x v="11"/>
    <n v="36.646644999999999"/>
  </r>
  <r>
    <x v="13"/>
    <x v="1"/>
    <x v="1"/>
    <x v="1"/>
    <x v="0"/>
    <x v="0"/>
    <x v="0"/>
    <x v="0"/>
    <x v="0"/>
    <x v="0"/>
    <x v="0"/>
    <x v="0"/>
    <x v="2"/>
    <x v="10"/>
    <x v="10"/>
    <x v="36"/>
    <x v="36"/>
    <n v="37.9514285712578"/>
    <x v="0"/>
    <x v="0"/>
    <x v="1"/>
    <x v="3"/>
    <x v="3"/>
    <x v="4"/>
    <n v="45.162199999796783"/>
  </r>
  <r>
    <x v="13"/>
    <x v="1"/>
    <x v="1"/>
    <x v="1"/>
    <x v="0"/>
    <x v="0"/>
    <x v="0"/>
    <x v="0"/>
    <x v="0"/>
    <x v="0"/>
    <x v="0"/>
    <x v="0"/>
    <x v="2"/>
    <x v="10"/>
    <x v="10"/>
    <x v="24"/>
    <x v="24"/>
    <n v="44.692806722488001"/>
    <x v="0"/>
    <x v="0"/>
    <x v="1"/>
    <x v="3"/>
    <x v="3"/>
    <x v="4"/>
    <n v="53.18443999976072"/>
  </r>
  <r>
    <x v="13"/>
    <x v="1"/>
    <x v="1"/>
    <x v="1"/>
    <x v="0"/>
    <x v="0"/>
    <x v="0"/>
    <x v="0"/>
    <x v="0"/>
    <x v="0"/>
    <x v="0"/>
    <x v="0"/>
    <x v="2"/>
    <x v="10"/>
    <x v="10"/>
    <x v="17"/>
    <x v="17"/>
    <n v="31.392499999999998"/>
    <x v="0"/>
    <x v="0"/>
    <x v="0"/>
    <x v="0"/>
    <x v="4"/>
    <x v="17"/>
    <n v="37.357074999999995"/>
  </r>
  <r>
    <x v="13"/>
    <x v="1"/>
    <x v="1"/>
    <x v="1"/>
    <x v="0"/>
    <x v="0"/>
    <x v="0"/>
    <x v="0"/>
    <x v="0"/>
    <x v="0"/>
    <x v="0"/>
    <x v="0"/>
    <x v="2"/>
    <x v="10"/>
    <x v="10"/>
    <x v="21"/>
    <x v="21"/>
    <n v="194.64790756214899"/>
    <x v="0"/>
    <x v="0"/>
    <x v="1"/>
    <x v="4"/>
    <x v="5"/>
    <x v="10"/>
    <n v="231.6310099989573"/>
  </r>
  <r>
    <x v="13"/>
    <x v="1"/>
    <x v="1"/>
    <x v="1"/>
    <x v="0"/>
    <x v="0"/>
    <x v="0"/>
    <x v="0"/>
    <x v="0"/>
    <x v="0"/>
    <x v="0"/>
    <x v="0"/>
    <x v="2"/>
    <x v="10"/>
    <x v="10"/>
    <x v="18"/>
    <x v="18"/>
    <n v="48.001339999999999"/>
    <x v="0"/>
    <x v="0"/>
    <x v="0"/>
    <x v="0"/>
    <x v="4"/>
    <x v="18"/>
    <n v="57.121594599999995"/>
  </r>
  <r>
    <x v="13"/>
    <x v="1"/>
    <x v="1"/>
    <x v="1"/>
    <x v="0"/>
    <x v="0"/>
    <x v="0"/>
    <x v="0"/>
    <x v="0"/>
    <x v="0"/>
    <x v="0"/>
    <x v="0"/>
    <x v="2"/>
    <x v="10"/>
    <x v="10"/>
    <x v="34"/>
    <x v="34"/>
    <n v="27.0812634172134"/>
    <x v="0"/>
    <x v="0"/>
    <x v="0"/>
    <x v="0"/>
    <x v="0"/>
    <x v="0"/>
    <n v="32.226703466483947"/>
  </r>
  <r>
    <x v="13"/>
    <x v="1"/>
    <x v="1"/>
    <x v="1"/>
    <x v="0"/>
    <x v="0"/>
    <x v="0"/>
    <x v="0"/>
    <x v="0"/>
    <x v="0"/>
    <x v="0"/>
    <x v="0"/>
    <x v="2"/>
    <x v="10"/>
    <x v="10"/>
    <x v="79"/>
    <x v="79"/>
    <n v="2.6275966386436398"/>
    <x v="0"/>
    <x v="0"/>
    <x v="1"/>
    <x v="4"/>
    <x v="5"/>
    <x v="10"/>
    <n v="3.1268399999859313"/>
  </r>
  <r>
    <x v="13"/>
    <x v="1"/>
    <x v="1"/>
    <x v="1"/>
    <x v="0"/>
    <x v="0"/>
    <x v="0"/>
    <x v="0"/>
    <x v="0"/>
    <x v="0"/>
    <x v="0"/>
    <x v="0"/>
    <x v="2"/>
    <x v="10"/>
    <x v="10"/>
    <x v="37"/>
    <x v="37"/>
    <n v="28.1836134452513"/>
    <x v="0"/>
    <x v="0"/>
    <x v="1"/>
    <x v="3"/>
    <x v="3"/>
    <x v="4"/>
    <n v="33.538499999849044"/>
  </r>
  <r>
    <x v="13"/>
    <x v="1"/>
    <x v="1"/>
    <x v="1"/>
    <x v="0"/>
    <x v="0"/>
    <x v="0"/>
    <x v="0"/>
    <x v="0"/>
    <x v="0"/>
    <x v="0"/>
    <x v="0"/>
    <x v="2"/>
    <x v="10"/>
    <x v="10"/>
    <x v="26"/>
    <x v="26"/>
    <n v="20.514117646966501"/>
    <x v="0"/>
    <x v="0"/>
    <x v="1"/>
    <x v="3"/>
    <x v="3"/>
    <x v="15"/>
    <n v="24.411799999890135"/>
  </r>
  <r>
    <x v="13"/>
    <x v="1"/>
    <x v="1"/>
    <x v="1"/>
    <x v="0"/>
    <x v="0"/>
    <x v="0"/>
    <x v="0"/>
    <x v="0"/>
    <x v="0"/>
    <x v="0"/>
    <x v="0"/>
    <x v="2"/>
    <x v="10"/>
    <x v="10"/>
    <x v="0"/>
    <x v="0"/>
    <n v="100.44934400125599"/>
    <x v="0"/>
    <x v="0"/>
    <x v="0"/>
    <x v="0"/>
    <x v="0"/>
    <x v="0"/>
    <n v="119.53471936149462"/>
  </r>
  <r>
    <x v="13"/>
    <x v="1"/>
    <x v="1"/>
    <x v="1"/>
    <x v="0"/>
    <x v="0"/>
    <x v="0"/>
    <x v="0"/>
    <x v="0"/>
    <x v="0"/>
    <x v="0"/>
    <x v="0"/>
    <x v="4"/>
    <x v="5"/>
    <x v="5"/>
    <x v="4"/>
    <x v="4"/>
    <n v="5.8784537814861499"/>
    <x v="0"/>
    <x v="0"/>
    <x v="1"/>
    <x v="3"/>
    <x v="3"/>
    <x v="4"/>
    <n v="6.9953599999685183"/>
  </r>
  <r>
    <x v="13"/>
    <x v="1"/>
    <x v="1"/>
    <x v="1"/>
    <x v="0"/>
    <x v="0"/>
    <x v="0"/>
    <x v="0"/>
    <x v="0"/>
    <x v="0"/>
    <x v="0"/>
    <x v="0"/>
    <x v="4"/>
    <x v="5"/>
    <x v="5"/>
    <x v="6"/>
    <x v="6"/>
    <n v="1528.0241599999999"/>
    <x v="0"/>
    <x v="0"/>
    <x v="0"/>
    <x v="0"/>
    <x v="4"/>
    <x v="6"/>
    <n v="1818.3487503999997"/>
  </r>
  <r>
    <x v="13"/>
    <x v="1"/>
    <x v="1"/>
    <x v="1"/>
    <x v="0"/>
    <x v="0"/>
    <x v="0"/>
    <x v="0"/>
    <x v="0"/>
    <x v="0"/>
    <x v="0"/>
    <x v="0"/>
    <x v="4"/>
    <x v="5"/>
    <x v="5"/>
    <x v="7"/>
    <x v="7"/>
    <n v="9.3598319327309891"/>
    <x v="0"/>
    <x v="0"/>
    <x v="1"/>
    <x v="4"/>
    <x v="5"/>
    <x v="7"/>
    <n v="11.138199999949876"/>
  </r>
  <r>
    <x v="13"/>
    <x v="1"/>
    <x v="1"/>
    <x v="1"/>
    <x v="0"/>
    <x v="0"/>
    <x v="0"/>
    <x v="0"/>
    <x v="0"/>
    <x v="0"/>
    <x v="0"/>
    <x v="0"/>
    <x v="4"/>
    <x v="5"/>
    <x v="5"/>
    <x v="8"/>
    <x v="8"/>
    <n v="1142.79842856709"/>
    <x v="0"/>
    <x v="1"/>
    <x v="2"/>
    <x v="2"/>
    <x v="6"/>
    <x v="8"/>
    <n v="1359.930129994837"/>
  </r>
  <r>
    <x v="13"/>
    <x v="1"/>
    <x v="1"/>
    <x v="1"/>
    <x v="0"/>
    <x v="0"/>
    <x v="0"/>
    <x v="0"/>
    <x v="0"/>
    <x v="0"/>
    <x v="0"/>
    <x v="0"/>
    <x v="4"/>
    <x v="5"/>
    <x v="5"/>
    <x v="9"/>
    <x v="9"/>
    <n v="1558.43863118432"/>
    <x v="0"/>
    <x v="0"/>
    <x v="1"/>
    <x v="4"/>
    <x v="5"/>
    <x v="9"/>
    <n v="1854.5419711093407"/>
  </r>
  <r>
    <x v="13"/>
    <x v="1"/>
    <x v="1"/>
    <x v="1"/>
    <x v="0"/>
    <x v="0"/>
    <x v="0"/>
    <x v="0"/>
    <x v="0"/>
    <x v="0"/>
    <x v="0"/>
    <x v="0"/>
    <x v="4"/>
    <x v="5"/>
    <x v="5"/>
    <x v="10"/>
    <x v="10"/>
    <n v="154.61392298745699"/>
    <x v="0"/>
    <x v="0"/>
    <x v="1"/>
    <x v="4"/>
    <x v="5"/>
    <x v="10"/>
    <n v="183.9905683550738"/>
  </r>
  <r>
    <x v="13"/>
    <x v="1"/>
    <x v="1"/>
    <x v="1"/>
    <x v="0"/>
    <x v="0"/>
    <x v="0"/>
    <x v="0"/>
    <x v="0"/>
    <x v="0"/>
    <x v="0"/>
    <x v="0"/>
    <x v="4"/>
    <x v="5"/>
    <x v="5"/>
    <x v="30"/>
    <x v="30"/>
    <n v="5.5060833333113104"/>
    <x v="0"/>
    <x v="0"/>
    <x v="0"/>
    <x v="0"/>
    <x v="0"/>
    <x v="0"/>
    <n v="6.5522391666404589"/>
  </r>
  <r>
    <x v="13"/>
    <x v="1"/>
    <x v="1"/>
    <x v="1"/>
    <x v="0"/>
    <x v="0"/>
    <x v="0"/>
    <x v="0"/>
    <x v="0"/>
    <x v="0"/>
    <x v="0"/>
    <x v="0"/>
    <x v="4"/>
    <x v="5"/>
    <x v="5"/>
    <x v="35"/>
    <x v="35"/>
    <n v="399.58001000000002"/>
    <x v="0"/>
    <x v="0"/>
    <x v="0"/>
    <x v="0"/>
    <x v="0"/>
    <x v="0"/>
    <n v="475.50021190000001"/>
  </r>
  <r>
    <x v="13"/>
    <x v="1"/>
    <x v="1"/>
    <x v="1"/>
    <x v="0"/>
    <x v="0"/>
    <x v="0"/>
    <x v="0"/>
    <x v="0"/>
    <x v="0"/>
    <x v="0"/>
    <x v="0"/>
    <x v="4"/>
    <x v="5"/>
    <x v="5"/>
    <x v="55"/>
    <x v="55"/>
    <n v="2.6218487394840002"/>
    <x v="0"/>
    <x v="0"/>
    <x v="1"/>
    <x v="3"/>
    <x v="3"/>
    <x v="15"/>
    <n v="3.1199999999859602"/>
  </r>
  <r>
    <x v="13"/>
    <x v="1"/>
    <x v="1"/>
    <x v="1"/>
    <x v="0"/>
    <x v="0"/>
    <x v="0"/>
    <x v="0"/>
    <x v="0"/>
    <x v="0"/>
    <x v="0"/>
    <x v="0"/>
    <x v="4"/>
    <x v="5"/>
    <x v="5"/>
    <x v="88"/>
    <x v="88"/>
    <n v="8.6278571428183195"/>
    <x v="0"/>
    <x v="0"/>
    <x v="1"/>
    <x v="4"/>
    <x v="5"/>
    <x v="9"/>
    <n v="10.2671499999538"/>
  </r>
  <r>
    <x v="13"/>
    <x v="1"/>
    <x v="1"/>
    <x v="1"/>
    <x v="0"/>
    <x v="0"/>
    <x v="0"/>
    <x v="0"/>
    <x v="0"/>
    <x v="0"/>
    <x v="0"/>
    <x v="0"/>
    <x v="4"/>
    <x v="5"/>
    <x v="5"/>
    <x v="12"/>
    <x v="12"/>
    <n v="389.17369318057303"/>
    <x v="0"/>
    <x v="0"/>
    <x v="0"/>
    <x v="0"/>
    <x v="8"/>
    <x v="12"/>
    <n v="463.11669488488189"/>
  </r>
  <r>
    <x v="13"/>
    <x v="1"/>
    <x v="1"/>
    <x v="1"/>
    <x v="0"/>
    <x v="0"/>
    <x v="0"/>
    <x v="0"/>
    <x v="0"/>
    <x v="0"/>
    <x v="0"/>
    <x v="0"/>
    <x v="4"/>
    <x v="5"/>
    <x v="5"/>
    <x v="14"/>
    <x v="14"/>
    <n v="884.62228000000005"/>
    <x v="0"/>
    <x v="0"/>
    <x v="0"/>
    <x v="0"/>
    <x v="8"/>
    <x v="14"/>
    <n v="1052.7005131999999"/>
  </r>
  <r>
    <x v="13"/>
    <x v="1"/>
    <x v="1"/>
    <x v="1"/>
    <x v="0"/>
    <x v="0"/>
    <x v="0"/>
    <x v="0"/>
    <x v="0"/>
    <x v="0"/>
    <x v="0"/>
    <x v="0"/>
    <x v="4"/>
    <x v="5"/>
    <x v="5"/>
    <x v="22"/>
    <x v="22"/>
    <n v="15.6635564515502"/>
    <x v="0"/>
    <x v="0"/>
    <x v="0"/>
    <x v="0"/>
    <x v="0"/>
    <x v="0"/>
    <n v="18.639632177344737"/>
  </r>
  <r>
    <x v="13"/>
    <x v="1"/>
    <x v="1"/>
    <x v="1"/>
    <x v="0"/>
    <x v="0"/>
    <x v="0"/>
    <x v="0"/>
    <x v="0"/>
    <x v="0"/>
    <x v="0"/>
    <x v="0"/>
    <x v="4"/>
    <x v="5"/>
    <x v="5"/>
    <x v="33"/>
    <x v="33"/>
    <n v="4.7548739495584398"/>
    <x v="0"/>
    <x v="0"/>
    <x v="1"/>
    <x v="3"/>
    <x v="3"/>
    <x v="4"/>
    <n v="5.6582999999745427"/>
  </r>
  <r>
    <x v="13"/>
    <x v="1"/>
    <x v="1"/>
    <x v="1"/>
    <x v="0"/>
    <x v="0"/>
    <x v="0"/>
    <x v="0"/>
    <x v="0"/>
    <x v="0"/>
    <x v="0"/>
    <x v="0"/>
    <x v="4"/>
    <x v="5"/>
    <x v="5"/>
    <x v="36"/>
    <x v="36"/>
    <n v="147.550084032949"/>
    <x v="0"/>
    <x v="0"/>
    <x v="1"/>
    <x v="3"/>
    <x v="3"/>
    <x v="4"/>
    <n v="175.5845999992093"/>
  </r>
  <r>
    <x v="13"/>
    <x v="1"/>
    <x v="1"/>
    <x v="1"/>
    <x v="0"/>
    <x v="0"/>
    <x v="0"/>
    <x v="0"/>
    <x v="0"/>
    <x v="0"/>
    <x v="0"/>
    <x v="0"/>
    <x v="4"/>
    <x v="5"/>
    <x v="5"/>
    <x v="23"/>
    <x v="23"/>
    <n v="0.65815126050123995"/>
    <x v="0"/>
    <x v="0"/>
    <x v="1"/>
    <x v="3"/>
    <x v="3"/>
    <x v="15"/>
    <n v="0.78319999999647549"/>
  </r>
  <r>
    <x v="13"/>
    <x v="1"/>
    <x v="1"/>
    <x v="1"/>
    <x v="0"/>
    <x v="0"/>
    <x v="0"/>
    <x v="0"/>
    <x v="0"/>
    <x v="0"/>
    <x v="0"/>
    <x v="0"/>
    <x v="4"/>
    <x v="5"/>
    <x v="5"/>
    <x v="24"/>
    <x v="24"/>
    <n v="70.7564201677488"/>
    <x v="0"/>
    <x v="0"/>
    <x v="1"/>
    <x v="3"/>
    <x v="3"/>
    <x v="4"/>
    <n v="84.200139999621072"/>
  </r>
  <r>
    <x v="13"/>
    <x v="1"/>
    <x v="1"/>
    <x v="1"/>
    <x v="0"/>
    <x v="0"/>
    <x v="0"/>
    <x v="0"/>
    <x v="0"/>
    <x v="0"/>
    <x v="0"/>
    <x v="0"/>
    <x v="4"/>
    <x v="5"/>
    <x v="5"/>
    <x v="17"/>
    <x v="17"/>
    <n v="199.99915999999999"/>
    <x v="0"/>
    <x v="0"/>
    <x v="0"/>
    <x v="0"/>
    <x v="4"/>
    <x v="17"/>
    <n v="237.99900039999997"/>
  </r>
  <r>
    <x v="13"/>
    <x v="1"/>
    <x v="1"/>
    <x v="1"/>
    <x v="0"/>
    <x v="0"/>
    <x v="0"/>
    <x v="0"/>
    <x v="0"/>
    <x v="0"/>
    <x v="0"/>
    <x v="0"/>
    <x v="4"/>
    <x v="5"/>
    <x v="5"/>
    <x v="21"/>
    <x v="21"/>
    <n v="3.5156974789757802"/>
    <x v="0"/>
    <x v="0"/>
    <x v="1"/>
    <x v="4"/>
    <x v="5"/>
    <x v="10"/>
    <n v="4.1836799999811785"/>
  </r>
  <r>
    <x v="13"/>
    <x v="1"/>
    <x v="1"/>
    <x v="1"/>
    <x v="0"/>
    <x v="0"/>
    <x v="0"/>
    <x v="0"/>
    <x v="0"/>
    <x v="0"/>
    <x v="0"/>
    <x v="0"/>
    <x v="4"/>
    <x v="5"/>
    <x v="5"/>
    <x v="18"/>
    <x v="18"/>
    <n v="544.60193000000004"/>
    <x v="0"/>
    <x v="0"/>
    <x v="0"/>
    <x v="0"/>
    <x v="4"/>
    <x v="18"/>
    <n v="648.07629670000006"/>
  </r>
  <r>
    <x v="13"/>
    <x v="1"/>
    <x v="1"/>
    <x v="1"/>
    <x v="0"/>
    <x v="0"/>
    <x v="0"/>
    <x v="0"/>
    <x v="0"/>
    <x v="0"/>
    <x v="0"/>
    <x v="0"/>
    <x v="4"/>
    <x v="5"/>
    <x v="5"/>
    <x v="34"/>
    <x v="34"/>
    <n v="109.718464899167"/>
    <x v="0"/>
    <x v="0"/>
    <x v="0"/>
    <x v="0"/>
    <x v="0"/>
    <x v="0"/>
    <n v="130.56497323000872"/>
  </r>
  <r>
    <x v="13"/>
    <x v="1"/>
    <x v="1"/>
    <x v="1"/>
    <x v="0"/>
    <x v="0"/>
    <x v="0"/>
    <x v="0"/>
    <x v="0"/>
    <x v="0"/>
    <x v="0"/>
    <x v="0"/>
    <x v="4"/>
    <x v="5"/>
    <x v="5"/>
    <x v="25"/>
    <x v="25"/>
    <n v="68.107369747592699"/>
    <x v="0"/>
    <x v="0"/>
    <x v="1"/>
    <x v="4"/>
    <x v="5"/>
    <x v="9"/>
    <n v="81.047769999635307"/>
  </r>
  <r>
    <x v="13"/>
    <x v="1"/>
    <x v="1"/>
    <x v="1"/>
    <x v="0"/>
    <x v="0"/>
    <x v="0"/>
    <x v="0"/>
    <x v="0"/>
    <x v="0"/>
    <x v="0"/>
    <x v="0"/>
    <x v="4"/>
    <x v="5"/>
    <x v="5"/>
    <x v="37"/>
    <x v="37"/>
    <n v="103.41563025163499"/>
    <x v="0"/>
    <x v="0"/>
    <x v="1"/>
    <x v="3"/>
    <x v="3"/>
    <x v="4"/>
    <n v="123.06459999944563"/>
  </r>
  <r>
    <x v="13"/>
    <x v="1"/>
    <x v="1"/>
    <x v="1"/>
    <x v="0"/>
    <x v="0"/>
    <x v="0"/>
    <x v="0"/>
    <x v="0"/>
    <x v="0"/>
    <x v="0"/>
    <x v="0"/>
    <x v="4"/>
    <x v="5"/>
    <x v="5"/>
    <x v="27"/>
    <x v="27"/>
    <n v="89.487510299406793"/>
    <x v="0"/>
    <x v="0"/>
    <x v="1"/>
    <x v="3"/>
    <x v="3"/>
    <x v="19"/>
    <n v="106.49013725629408"/>
  </r>
  <r>
    <x v="13"/>
    <x v="1"/>
    <x v="1"/>
    <x v="1"/>
    <x v="0"/>
    <x v="0"/>
    <x v="0"/>
    <x v="0"/>
    <x v="0"/>
    <x v="0"/>
    <x v="0"/>
    <x v="0"/>
    <x v="4"/>
    <x v="5"/>
    <x v="5"/>
    <x v="26"/>
    <x v="26"/>
    <n v="7.3318907562695301"/>
    <x v="0"/>
    <x v="0"/>
    <x v="1"/>
    <x v="3"/>
    <x v="3"/>
    <x v="15"/>
    <n v="8.7249499999607405"/>
  </r>
  <r>
    <x v="13"/>
    <x v="1"/>
    <x v="1"/>
    <x v="1"/>
    <x v="0"/>
    <x v="0"/>
    <x v="0"/>
    <x v="0"/>
    <x v="0"/>
    <x v="0"/>
    <x v="0"/>
    <x v="0"/>
    <x v="4"/>
    <x v="5"/>
    <x v="5"/>
    <x v="0"/>
    <x v="0"/>
    <n v="192.16184089129101"/>
    <x v="0"/>
    <x v="0"/>
    <x v="0"/>
    <x v="0"/>
    <x v="0"/>
    <x v="0"/>
    <n v="228.67259066063627"/>
  </r>
  <r>
    <x v="13"/>
    <x v="1"/>
    <x v="1"/>
    <x v="1"/>
    <x v="0"/>
    <x v="0"/>
    <x v="0"/>
    <x v="0"/>
    <x v="0"/>
    <x v="0"/>
    <x v="0"/>
    <x v="0"/>
    <x v="4"/>
    <x v="5"/>
    <x v="5"/>
    <x v="2"/>
    <x v="2"/>
    <n v="6086.9396974516003"/>
    <x v="0"/>
    <x v="1"/>
    <x v="2"/>
    <x v="2"/>
    <x v="13"/>
    <x v="2"/>
    <n v="7243.4582399674036"/>
  </r>
  <r>
    <x v="13"/>
    <x v="1"/>
    <x v="1"/>
    <x v="1"/>
    <x v="0"/>
    <x v="0"/>
    <x v="0"/>
    <x v="0"/>
    <x v="0"/>
    <x v="0"/>
    <x v="0"/>
    <x v="0"/>
    <x v="4"/>
    <x v="5"/>
    <x v="5"/>
    <x v="3"/>
    <x v="3"/>
    <n v="11.8435336680236"/>
    <x v="0"/>
    <x v="0"/>
    <x v="1"/>
    <x v="3"/>
    <x v="3"/>
    <x v="3"/>
    <n v="14.093805064948084"/>
  </r>
  <r>
    <x v="13"/>
    <x v="1"/>
    <x v="1"/>
    <x v="1"/>
    <x v="0"/>
    <x v="0"/>
    <x v="0"/>
    <x v="0"/>
    <x v="0"/>
    <x v="0"/>
    <x v="3"/>
    <x v="3"/>
    <x v="0"/>
    <x v="4"/>
    <x v="4"/>
    <x v="16"/>
    <x v="16"/>
    <n v="0.98919000000000001"/>
    <x v="0"/>
    <x v="0"/>
    <x v="3"/>
    <x v="5"/>
    <x v="9"/>
    <x v="16"/>
    <n v="1.1771361"/>
  </r>
  <r>
    <x v="13"/>
    <x v="1"/>
    <x v="1"/>
    <x v="1"/>
    <x v="0"/>
    <x v="0"/>
    <x v="0"/>
    <x v="0"/>
    <x v="0"/>
    <x v="0"/>
    <x v="3"/>
    <x v="3"/>
    <x v="2"/>
    <x v="2"/>
    <x v="2"/>
    <x v="5"/>
    <x v="5"/>
    <n v="3.20519337019299"/>
    <x v="0"/>
    <x v="0"/>
    <x v="1"/>
    <x v="1"/>
    <x v="1"/>
    <x v="5"/>
    <n v="3.8141801105296578"/>
  </r>
  <r>
    <x v="13"/>
    <x v="1"/>
    <x v="1"/>
    <x v="1"/>
    <x v="0"/>
    <x v="0"/>
    <x v="0"/>
    <x v="0"/>
    <x v="0"/>
    <x v="0"/>
    <x v="3"/>
    <x v="3"/>
    <x v="2"/>
    <x v="2"/>
    <x v="2"/>
    <x v="6"/>
    <x v="6"/>
    <n v="45.287170000000003"/>
    <x v="0"/>
    <x v="0"/>
    <x v="0"/>
    <x v="0"/>
    <x v="4"/>
    <x v="6"/>
    <n v="53.891732300000001"/>
  </r>
  <r>
    <x v="13"/>
    <x v="1"/>
    <x v="1"/>
    <x v="1"/>
    <x v="0"/>
    <x v="0"/>
    <x v="0"/>
    <x v="0"/>
    <x v="0"/>
    <x v="0"/>
    <x v="3"/>
    <x v="3"/>
    <x v="2"/>
    <x v="2"/>
    <x v="2"/>
    <x v="8"/>
    <x v="8"/>
    <n v="61.074559005979097"/>
    <x v="0"/>
    <x v="1"/>
    <x v="2"/>
    <x v="2"/>
    <x v="6"/>
    <x v="8"/>
    <n v="72.678725217115115"/>
  </r>
  <r>
    <x v="13"/>
    <x v="1"/>
    <x v="1"/>
    <x v="1"/>
    <x v="0"/>
    <x v="0"/>
    <x v="0"/>
    <x v="0"/>
    <x v="0"/>
    <x v="0"/>
    <x v="3"/>
    <x v="3"/>
    <x v="2"/>
    <x v="2"/>
    <x v="2"/>
    <x v="9"/>
    <x v="9"/>
    <n v="3.138655462171E-2"/>
    <x v="0"/>
    <x v="0"/>
    <x v="1"/>
    <x v="4"/>
    <x v="5"/>
    <x v="9"/>
    <n v="3.7349999999834897E-2"/>
  </r>
  <r>
    <x v="13"/>
    <x v="1"/>
    <x v="1"/>
    <x v="1"/>
    <x v="0"/>
    <x v="0"/>
    <x v="0"/>
    <x v="0"/>
    <x v="2"/>
    <x v="2"/>
    <x v="3"/>
    <x v="3"/>
    <x v="2"/>
    <x v="2"/>
    <x v="2"/>
    <x v="40"/>
    <x v="40"/>
    <n v="-5.0837599999999998"/>
    <x v="1"/>
    <x v="2"/>
    <x v="5"/>
    <x v="7"/>
    <x v="11"/>
    <x v="22"/>
    <n v="-6.0496743999999998"/>
  </r>
  <r>
    <x v="13"/>
    <x v="1"/>
    <x v="1"/>
    <x v="1"/>
    <x v="0"/>
    <x v="0"/>
    <x v="0"/>
    <x v="0"/>
    <x v="0"/>
    <x v="0"/>
    <x v="3"/>
    <x v="3"/>
    <x v="2"/>
    <x v="2"/>
    <x v="2"/>
    <x v="16"/>
    <x v="16"/>
    <n v="8.3039699999999996"/>
    <x v="0"/>
    <x v="0"/>
    <x v="3"/>
    <x v="5"/>
    <x v="9"/>
    <x v="16"/>
    <n v="9.8817242999999984"/>
  </r>
  <r>
    <x v="13"/>
    <x v="1"/>
    <x v="1"/>
    <x v="1"/>
    <x v="0"/>
    <x v="0"/>
    <x v="0"/>
    <x v="0"/>
    <x v="0"/>
    <x v="0"/>
    <x v="3"/>
    <x v="3"/>
    <x v="2"/>
    <x v="2"/>
    <x v="2"/>
    <x v="17"/>
    <x v="17"/>
    <n v="3.0062500000000001"/>
    <x v="0"/>
    <x v="0"/>
    <x v="0"/>
    <x v="0"/>
    <x v="4"/>
    <x v="17"/>
    <n v="3.5774374999999998"/>
  </r>
  <r>
    <x v="13"/>
    <x v="1"/>
    <x v="1"/>
    <x v="1"/>
    <x v="0"/>
    <x v="0"/>
    <x v="0"/>
    <x v="0"/>
    <x v="0"/>
    <x v="0"/>
    <x v="3"/>
    <x v="3"/>
    <x v="2"/>
    <x v="2"/>
    <x v="2"/>
    <x v="2"/>
    <x v="2"/>
    <n v="0.24173949579723"/>
    <x v="0"/>
    <x v="1"/>
    <x v="2"/>
    <x v="2"/>
    <x v="13"/>
    <x v="2"/>
    <n v="0.28766999999870368"/>
  </r>
  <r>
    <x v="13"/>
    <x v="1"/>
    <x v="1"/>
    <x v="1"/>
    <x v="0"/>
    <x v="0"/>
    <x v="0"/>
    <x v="0"/>
    <x v="0"/>
    <x v="0"/>
    <x v="3"/>
    <x v="3"/>
    <x v="4"/>
    <x v="5"/>
    <x v="5"/>
    <x v="8"/>
    <x v="8"/>
    <n v="28.0116335402662"/>
    <x v="0"/>
    <x v="1"/>
    <x v="2"/>
    <x v="2"/>
    <x v="6"/>
    <x v="8"/>
    <n v="33.333843912916777"/>
  </r>
  <r>
    <x v="13"/>
    <x v="1"/>
    <x v="1"/>
    <x v="1"/>
    <x v="0"/>
    <x v="0"/>
    <x v="0"/>
    <x v="0"/>
    <x v="0"/>
    <x v="0"/>
    <x v="3"/>
    <x v="3"/>
    <x v="4"/>
    <x v="5"/>
    <x v="5"/>
    <x v="12"/>
    <x v="12"/>
    <n v="40.4909204544159"/>
    <x v="0"/>
    <x v="0"/>
    <x v="0"/>
    <x v="0"/>
    <x v="8"/>
    <x v="12"/>
    <n v="48.184195340754918"/>
  </r>
  <r>
    <x v="13"/>
    <x v="1"/>
    <x v="1"/>
    <x v="1"/>
    <x v="0"/>
    <x v="0"/>
    <x v="0"/>
    <x v="0"/>
    <x v="0"/>
    <x v="0"/>
    <x v="3"/>
    <x v="3"/>
    <x v="4"/>
    <x v="5"/>
    <x v="5"/>
    <x v="18"/>
    <x v="18"/>
    <n v="20.443169999999999"/>
    <x v="0"/>
    <x v="0"/>
    <x v="0"/>
    <x v="0"/>
    <x v="4"/>
    <x v="18"/>
    <n v="24.327372299999997"/>
  </r>
  <r>
    <x v="13"/>
    <x v="1"/>
    <x v="1"/>
    <x v="1"/>
    <x v="0"/>
    <x v="0"/>
    <x v="0"/>
    <x v="0"/>
    <x v="0"/>
    <x v="0"/>
    <x v="3"/>
    <x v="3"/>
    <x v="4"/>
    <x v="5"/>
    <x v="5"/>
    <x v="27"/>
    <x v="27"/>
    <n v="1.92217620141432"/>
    <x v="0"/>
    <x v="0"/>
    <x v="1"/>
    <x v="3"/>
    <x v="3"/>
    <x v="19"/>
    <n v="2.2873896796830406"/>
  </r>
  <r>
    <x v="13"/>
    <x v="1"/>
    <x v="1"/>
    <x v="1"/>
    <x v="0"/>
    <x v="0"/>
    <x v="0"/>
    <x v="0"/>
    <x v="0"/>
    <x v="0"/>
    <x v="3"/>
    <x v="3"/>
    <x v="4"/>
    <x v="5"/>
    <x v="5"/>
    <x v="0"/>
    <x v="0"/>
    <n v="1.22666666668E-3"/>
    <x v="0"/>
    <x v="0"/>
    <x v="0"/>
    <x v="0"/>
    <x v="0"/>
    <x v="0"/>
    <n v="1.4597333333492E-3"/>
  </r>
  <r>
    <x v="13"/>
    <x v="1"/>
    <x v="1"/>
    <x v="1"/>
    <x v="0"/>
    <x v="0"/>
    <x v="0"/>
    <x v="0"/>
    <x v="0"/>
    <x v="0"/>
    <x v="3"/>
    <x v="3"/>
    <x v="4"/>
    <x v="5"/>
    <x v="5"/>
    <x v="2"/>
    <x v="2"/>
    <n v="3.0636974789778102"/>
    <x v="0"/>
    <x v="1"/>
    <x v="2"/>
    <x v="2"/>
    <x v="13"/>
    <x v="2"/>
    <n v="3.6457999999835939"/>
  </r>
  <r>
    <x v="13"/>
    <x v="1"/>
    <x v="1"/>
    <x v="1"/>
    <x v="0"/>
    <x v="0"/>
    <x v="0"/>
    <x v="0"/>
    <x v="0"/>
    <x v="0"/>
    <x v="4"/>
    <x v="4"/>
    <x v="2"/>
    <x v="2"/>
    <x v="2"/>
    <x v="7"/>
    <x v="7"/>
    <n v="0.47512605041803002"/>
    <x v="0"/>
    <x v="0"/>
    <x v="1"/>
    <x v="4"/>
    <x v="5"/>
    <x v="7"/>
    <n v="0.56539999999745572"/>
  </r>
  <r>
    <x v="13"/>
    <x v="1"/>
    <x v="1"/>
    <x v="1"/>
    <x v="0"/>
    <x v="0"/>
    <x v="0"/>
    <x v="0"/>
    <x v="0"/>
    <x v="0"/>
    <x v="4"/>
    <x v="4"/>
    <x v="2"/>
    <x v="2"/>
    <x v="2"/>
    <x v="8"/>
    <x v="8"/>
    <n v="0.22461490683144"/>
    <x v="0"/>
    <x v="1"/>
    <x v="2"/>
    <x v="2"/>
    <x v="6"/>
    <x v="8"/>
    <n v="0.26729173912941362"/>
  </r>
  <r>
    <x v="13"/>
    <x v="1"/>
    <x v="1"/>
    <x v="1"/>
    <x v="0"/>
    <x v="0"/>
    <x v="0"/>
    <x v="0"/>
    <x v="0"/>
    <x v="0"/>
    <x v="4"/>
    <x v="4"/>
    <x v="2"/>
    <x v="2"/>
    <x v="2"/>
    <x v="9"/>
    <x v="9"/>
    <n v="0.50082352940951003"/>
    <x v="0"/>
    <x v="0"/>
    <x v="1"/>
    <x v="4"/>
    <x v="5"/>
    <x v="9"/>
    <n v="0.59597999999731688"/>
  </r>
  <r>
    <x v="13"/>
    <x v="1"/>
    <x v="1"/>
    <x v="1"/>
    <x v="0"/>
    <x v="0"/>
    <x v="0"/>
    <x v="0"/>
    <x v="0"/>
    <x v="0"/>
    <x v="4"/>
    <x v="4"/>
    <x v="2"/>
    <x v="2"/>
    <x v="2"/>
    <x v="29"/>
    <x v="29"/>
    <n v="1.01308"/>
    <x v="0"/>
    <x v="0"/>
    <x v="1"/>
    <x v="3"/>
    <x v="3"/>
    <x v="13"/>
    <n v="1.2055651999999999"/>
  </r>
  <r>
    <x v="13"/>
    <x v="1"/>
    <x v="1"/>
    <x v="1"/>
    <x v="0"/>
    <x v="0"/>
    <x v="0"/>
    <x v="0"/>
    <x v="0"/>
    <x v="0"/>
    <x v="4"/>
    <x v="4"/>
    <x v="2"/>
    <x v="2"/>
    <x v="2"/>
    <x v="11"/>
    <x v="11"/>
    <n v="1.31118"/>
    <x v="0"/>
    <x v="0"/>
    <x v="3"/>
    <x v="5"/>
    <x v="7"/>
    <x v="11"/>
    <n v="1.5603042"/>
  </r>
  <r>
    <x v="13"/>
    <x v="1"/>
    <x v="1"/>
    <x v="1"/>
    <x v="0"/>
    <x v="0"/>
    <x v="0"/>
    <x v="0"/>
    <x v="0"/>
    <x v="0"/>
    <x v="4"/>
    <x v="4"/>
    <x v="2"/>
    <x v="2"/>
    <x v="2"/>
    <x v="12"/>
    <x v="12"/>
    <n v="0.74999999999760003"/>
    <x v="0"/>
    <x v="0"/>
    <x v="0"/>
    <x v="0"/>
    <x v="8"/>
    <x v="12"/>
    <n v="0.89249999999714402"/>
  </r>
  <r>
    <x v="13"/>
    <x v="1"/>
    <x v="1"/>
    <x v="1"/>
    <x v="0"/>
    <x v="0"/>
    <x v="0"/>
    <x v="0"/>
    <x v="0"/>
    <x v="0"/>
    <x v="4"/>
    <x v="4"/>
    <x v="2"/>
    <x v="2"/>
    <x v="2"/>
    <x v="14"/>
    <x v="14"/>
    <n v="0.50083999999999995"/>
    <x v="0"/>
    <x v="0"/>
    <x v="0"/>
    <x v="0"/>
    <x v="8"/>
    <x v="14"/>
    <n v="0.59599959999999996"/>
  </r>
  <r>
    <x v="13"/>
    <x v="1"/>
    <x v="1"/>
    <x v="1"/>
    <x v="0"/>
    <x v="0"/>
    <x v="0"/>
    <x v="0"/>
    <x v="0"/>
    <x v="0"/>
    <x v="4"/>
    <x v="4"/>
    <x v="2"/>
    <x v="2"/>
    <x v="2"/>
    <x v="16"/>
    <x v="16"/>
    <n v="7.7356199999999999"/>
    <x v="0"/>
    <x v="0"/>
    <x v="3"/>
    <x v="5"/>
    <x v="9"/>
    <x v="16"/>
    <n v="9.2053877999999987"/>
  </r>
  <r>
    <x v="13"/>
    <x v="1"/>
    <x v="1"/>
    <x v="1"/>
    <x v="0"/>
    <x v="0"/>
    <x v="0"/>
    <x v="0"/>
    <x v="0"/>
    <x v="0"/>
    <x v="4"/>
    <x v="4"/>
    <x v="2"/>
    <x v="2"/>
    <x v="2"/>
    <x v="25"/>
    <x v="25"/>
    <n v="0.18461344537732"/>
    <x v="0"/>
    <x v="0"/>
    <x v="1"/>
    <x v="4"/>
    <x v="5"/>
    <x v="9"/>
    <n v="0.21968999999901079"/>
  </r>
  <r>
    <x v="13"/>
    <x v="1"/>
    <x v="1"/>
    <x v="1"/>
    <x v="0"/>
    <x v="0"/>
    <x v="0"/>
    <x v="0"/>
    <x v="0"/>
    <x v="0"/>
    <x v="4"/>
    <x v="4"/>
    <x v="2"/>
    <x v="2"/>
    <x v="2"/>
    <x v="27"/>
    <x v="27"/>
    <n v="10.510061785123"/>
    <x v="0"/>
    <x v="0"/>
    <x v="1"/>
    <x v="3"/>
    <x v="3"/>
    <x v="19"/>
    <n v="12.506973524296368"/>
  </r>
  <r>
    <x v="13"/>
    <x v="1"/>
    <x v="1"/>
    <x v="1"/>
    <x v="0"/>
    <x v="0"/>
    <x v="0"/>
    <x v="0"/>
    <x v="2"/>
    <x v="2"/>
    <x v="5"/>
    <x v="5"/>
    <x v="2"/>
    <x v="2"/>
    <x v="2"/>
    <x v="42"/>
    <x v="42"/>
    <n v="2.6956699999999998"/>
    <x v="1"/>
    <x v="2"/>
    <x v="5"/>
    <x v="7"/>
    <x v="11"/>
    <x v="22"/>
    <n v="3.2078472999999996"/>
  </r>
  <r>
    <x v="13"/>
    <x v="1"/>
    <x v="1"/>
    <x v="1"/>
    <x v="0"/>
    <x v="0"/>
    <x v="0"/>
    <x v="0"/>
    <x v="2"/>
    <x v="2"/>
    <x v="5"/>
    <x v="5"/>
    <x v="2"/>
    <x v="2"/>
    <x v="2"/>
    <x v="41"/>
    <x v="41"/>
    <n v="0.58782417582359003"/>
    <x v="1"/>
    <x v="2"/>
    <x v="5"/>
    <x v="7"/>
    <x v="11"/>
    <x v="22"/>
    <n v="0.69951076923007216"/>
  </r>
  <r>
    <x v="13"/>
    <x v="1"/>
    <x v="1"/>
    <x v="1"/>
    <x v="0"/>
    <x v="0"/>
    <x v="0"/>
    <x v="0"/>
    <x v="2"/>
    <x v="2"/>
    <x v="5"/>
    <x v="5"/>
    <x v="2"/>
    <x v="2"/>
    <x v="2"/>
    <x v="40"/>
    <x v="40"/>
    <n v="52.011510000000001"/>
    <x v="1"/>
    <x v="2"/>
    <x v="5"/>
    <x v="7"/>
    <x v="11"/>
    <x v="22"/>
    <n v="61.893696900000002"/>
  </r>
  <r>
    <x v="13"/>
    <x v="1"/>
    <x v="1"/>
    <x v="1"/>
    <x v="0"/>
    <x v="0"/>
    <x v="0"/>
    <x v="0"/>
    <x v="0"/>
    <x v="0"/>
    <x v="5"/>
    <x v="5"/>
    <x v="2"/>
    <x v="2"/>
    <x v="2"/>
    <x v="17"/>
    <x v="17"/>
    <n v="2.3525299999999998"/>
    <x v="0"/>
    <x v="0"/>
    <x v="0"/>
    <x v="0"/>
    <x v="4"/>
    <x v="17"/>
    <n v="2.7995106999999995"/>
  </r>
  <r>
    <x v="13"/>
    <x v="1"/>
    <x v="1"/>
    <x v="1"/>
    <x v="0"/>
    <x v="0"/>
    <x v="0"/>
    <x v="0"/>
    <x v="2"/>
    <x v="2"/>
    <x v="5"/>
    <x v="5"/>
    <x v="1"/>
    <x v="6"/>
    <x v="6"/>
    <x v="40"/>
    <x v="40"/>
    <n v="33"/>
    <x v="1"/>
    <x v="2"/>
    <x v="5"/>
    <x v="7"/>
    <x v="11"/>
    <x v="22"/>
    <n v="39.269999999999996"/>
  </r>
  <r>
    <x v="13"/>
    <x v="1"/>
    <x v="1"/>
    <x v="1"/>
    <x v="0"/>
    <x v="0"/>
    <x v="0"/>
    <x v="0"/>
    <x v="2"/>
    <x v="2"/>
    <x v="5"/>
    <x v="5"/>
    <x v="3"/>
    <x v="7"/>
    <x v="7"/>
    <x v="40"/>
    <x v="40"/>
    <n v="10.037520000000001"/>
    <x v="1"/>
    <x v="2"/>
    <x v="5"/>
    <x v="7"/>
    <x v="11"/>
    <x v="22"/>
    <n v="11.9446488"/>
  </r>
  <r>
    <x v="13"/>
    <x v="1"/>
    <x v="1"/>
    <x v="1"/>
    <x v="0"/>
    <x v="0"/>
    <x v="0"/>
    <x v="0"/>
    <x v="2"/>
    <x v="2"/>
    <x v="5"/>
    <x v="5"/>
    <x v="1"/>
    <x v="8"/>
    <x v="8"/>
    <x v="40"/>
    <x v="40"/>
    <n v="7.2168000000000001"/>
    <x v="1"/>
    <x v="2"/>
    <x v="5"/>
    <x v="7"/>
    <x v="11"/>
    <x v="22"/>
    <n v="8.5879919999999998"/>
  </r>
  <r>
    <x v="13"/>
    <x v="1"/>
    <x v="1"/>
    <x v="1"/>
    <x v="0"/>
    <x v="0"/>
    <x v="0"/>
    <x v="0"/>
    <x v="2"/>
    <x v="2"/>
    <x v="5"/>
    <x v="5"/>
    <x v="2"/>
    <x v="10"/>
    <x v="10"/>
    <x v="40"/>
    <x v="40"/>
    <n v="1.6257600000000001"/>
    <x v="1"/>
    <x v="2"/>
    <x v="5"/>
    <x v="7"/>
    <x v="11"/>
    <x v="22"/>
    <n v="1.9346544000000001"/>
  </r>
  <r>
    <x v="13"/>
    <x v="1"/>
    <x v="1"/>
    <x v="1"/>
    <x v="0"/>
    <x v="0"/>
    <x v="0"/>
    <x v="0"/>
    <x v="2"/>
    <x v="2"/>
    <x v="5"/>
    <x v="5"/>
    <x v="4"/>
    <x v="5"/>
    <x v="5"/>
    <x v="40"/>
    <x v="40"/>
    <n v="244.48643999999999"/>
    <x v="1"/>
    <x v="2"/>
    <x v="5"/>
    <x v="7"/>
    <x v="11"/>
    <x v="22"/>
    <n v="290.93886359999999"/>
  </r>
  <r>
    <x v="13"/>
    <x v="1"/>
    <x v="1"/>
    <x v="1"/>
    <x v="0"/>
    <x v="0"/>
    <x v="0"/>
    <x v="0"/>
    <x v="2"/>
    <x v="2"/>
    <x v="6"/>
    <x v="6"/>
    <x v="2"/>
    <x v="2"/>
    <x v="2"/>
    <x v="40"/>
    <x v="40"/>
    <n v="1.07457"/>
    <x v="1"/>
    <x v="2"/>
    <x v="5"/>
    <x v="7"/>
    <x v="11"/>
    <x v="22"/>
    <n v="1.2787382999999999"/>
  </r>
  <r>
    <x v="13"/>
    <x v="1"/>
    <x v="1"/>
    <x v="1"/>
    <x v="0"/>
    <x v="0"/>
    <x v="0"/>
    <x v="0"/>
    <x v="2"/>
    <x v="2"/>
    <x v="7"/>
    <x v="7"/>
    <x v="2"/>
    <x v="2"/>
    <x v="2"/>
    <x v="40"/>
    <x v="40"/>
    <n v="20.178529999999999"/>
    <x v="1"/>
    <x v="2"/>
    <x v="5"/>
    <x v="7"/>
    <x v="11"/>
    <x v="22"/>
    <n v="24.012450699999999"/>
  </r>
  <r>
    <x v="13"/>
    <x v="1"/>
    <x v="1"/>
    <x v="1"/>
    <x v="0"/>
    <x v="0"/>
    <x v="0"/>
    <x v="0"/>
    <x v="2"/>
    <x v="2"/>
    <x v="7"/>
    <x v="7"/>
    <x v="2"/>
    <x v="2"/>
    <x v="2"/>
    <x v="38"/>
    <x v="38"/>
    <n v="2.6969599999999998"/>
    <x v="1"/>
    <x v="0"/>
    <x v="4"/>
    <x v="6"/>
    <x v="10"/>
    <x v="21"/>
    <n v="3.2093823999999995"/>
  </r>
  <r>
    <x v="13"/>
    <x v="1"/>
    <x v="1"/>
    <x v="1"/>
    <x v="0"/>
    <x v="0"/>
    <x v="0"/>
    <x v="0"/>
    <x v="2"/>
    <x v="2"/>
    <x v="7"/>
    <x v="7"/>
    <x v="2"/>
    <x v="2"/>
    <x v="2"/>
    <x v="46"/>
    <x v="46"/>
    <n v="1.33558"/>
    <x v="1"/>
    <x v="0"/>
    <x v="4"/>
    <x v="6"/>
    <x v="10"/>
    <x v="21"/>
    <n v="1.5893401999999999"/>
  </r>
  <r>
    <x v="13"/>
    <x v="1"/>
    <x v="1"/>
    <x v="1"/>
    <x v="0"/>
    <x v="0"/>
    <x v="0"/>
    <x v="0"/>
    <x v="2"/>
    <x v="2"/>
    <x v="7"/>
    <x v="7"/>
    <x v="3"/>
    <x v="7"/>
    <x v="7"/>
    <x v="40"/>
    <x v="40"/>
    <n v="264.69288"/>
    <x v="1"/>
    <x v="2"/>
    <x v="5"/>
    <x v="7"/>
    <x v="11"/>
    <x v="22"/>
    <n v="314.9845272"/>
  </r>
  <r>
    <x v="13"/>
    <x v="1"/>
    <x v="1"/>
    <x v="1"/>
    <x v="0"/>
    <x v="0"/>
    <x v="0"/>
    <x v="0"/>
    <x v="2"/>
    <x v="2"/>
    <x v="7"/>
    <x v="7"/>
    <x v="1"/>
    <x v="8"/>
    <x v="8"/>
    <x v="40"/>
    <x v="40"/>
    <n v="26.246279999999999"/>
    <x v="1"/>
    <x v="2"/>
    <x v="5"/>
    <x v="7"/>
    <x v="11"/>
    <x v="22"/>
    <n v="31.233073199999996"/>
  </r>
  <r>
    <x v="13"/>
    <x v="1"/>
    <x v="1"/>
    <x v="1"/>
    <x v="0"/>
    <x v="0"/>
    <x v="0"/>
    <x v="0"/>
    <x v="2"/>
    <x v="2"/>
    <x v="7"/>
    <x v="7"/>
    <x v="2"/>
    <x v="10"/>
    <x v="10"/>
    <x v="40"/>
    <x v="40"/>
    <n v="5.4194399999999998"/>
    <x v="1"/>
    <x v="2"/>
    <x v="5"/>
    <x v="7"/>
    <x v="11"/>
    <x v="22"/>
    <n v="6.4491335999999997"/>
  </r>
  <r>
    <x v="13"/>
    <x v="1"/>
    <x v="1"/>
    <x v="1"/>
    <x v="0"/>
    <x v="0"/>
    <x v="0"/>
    <x v="0"/>
    <x v="2"/>
    <x v="2"/>
    <x v="7"/>
    <x v="7"/>
    <x v="4"/>
    <x v="5"/>
    <x v="5"/>
    <x v="40"/>
    <x v="40"/>
    <n v="203.50164000000001"/>
    <x v="1"/>
    <x v="2"/>
    <x v="5"/>
    <x v="7"/>
    <x v="11"/>
    <x v="22"/>
    <n v="242.1669516"/>
  </r>
  <r>
    <x v="13"/>
    <x v="1"/>
    <x v="1"/>
    <x v="1"/>
    <x v="0"/>
    <x v="0"/>
    <x v="0"/>
    <x v="0"/>
    <x v="2"/>
    <x v="2"/>
    <x v="8"/>
    <x v="8"/>
    <x v="2"/>
    <x v="2"/>
    <x v="2"/>
    <x v="40"/>
    <x v="40"/>
    <n v="12.96794"/>
    <x v="1"/>
    <x v="2"/>
    <x v="5"/>
    <x v="7"/>
    <x v="11"/>
    <x v="22"/>
    <n v="15.4318486"/>
  </r>
  <r>
    <x v="13"/>
    <x v="1"/>
    <x v="1"/>
    <x v="1"/>
    <x v="0"/>
    <x v="0"/>
    <x v="0"/>
    <x v="0"/>
    <x v="2"/>
    <x v="2"/>
    <x v="9"/>
    <x v="9"/>
    <x v="2"/>
    <x v="2"/>
    <x v="2"/>
    <x v="40"/>
    <x v="40"/>
    <n v="143.07250999999999"/>
    <x v="1"/>
    <x v="2"/>
    <x v="5"/>
    <x v="7"/>
    <x v="11"/>
    <x v="22"/>
    <n v="170.25628689999999"/>
  </r>
  <r>
    <x v="13"/>
    <x v="1"/>
    <x v="1"/>
    <x v="1"/>
    <x v="0"/>
    <x v="0"/>
    <x v="0"/>
    <x v="0"/>
    <x v="2"/>
    <x v="2"/>
    <x v="9"/>
    <x v="9"/>
    <x v="2"/>
    <x v="2"/>
    <x v="2"/>
    <x v="38"/>
    <x v="38"/>
    <n v="2.67116"/>
    <x v="1"/>
    <x v="0"/>
    <x v="4"/>
    <x v="6"/>
    <x v="10"/>
    <x v="21"/>
    <n v="3.1786803999999997"/>
  </r>
  <r>
    <x v="13"/>
    <x v="1"/>
    <x v="1"/>
    <x v="1"/>
    <x v="0"/>
    <x v="0"/>
    <x v="0"/>
    <x v="0"/>
    <x v="2"/>
    <x v="2"/>
    <x v="9"/>
    <x v="9"/>
    <x v="2"/>
    <x v="2"/>
    <x v="2"/>
    <x v="48"/>
    <x v="48"/>
    <n v="1.3471900000000001"/>
    <x v="1"/>
    <x v="0"/>
    <x v="4"/>
    <x v="6"/>
    <x v="10"/>
    <x v="21"/>
    <n v="1.6031561000000001"/>
  </r>
  <r>
    <x v="13"/>
    <x v="1"/>
    <x v="1"/>
    <x v="1"/>
    <x v="0"/>
    <x v="0"/>
    <x v="0"/>
    <x v="0"/>
    <x v="2"/>
    <x v="2"/>
    <x v="9"/>
    <x v="9"/>
    <x v="3"/>
    <x v="7"/>
    <x v="7"/>
    <x v="40"/>
    <x v="40"/>
    <n v="1285.1078399999999"/>
    <x v="1"/>
    <x v="2"/>
    <x v="5"/>
    <x v="7"/>
    <x v="11"/>
    <x v="22"/>
    <n v="1529.2783295999998"/>
  </r>
  <r>
    <x v="13"/>
    <x v="1"/>
    <x v="1"/>
    <x v="1"/>
    <x v="0"/>
    <x v="0"/>
    <x v="0"/>
    <x v="0"/>
    <x v="2"/>
    <x v="2"/>
    <x v="9"/>
    <x v="9"/>
    <x v="1"/>
    <x v="8"/>
    <x v="8"/>
    <x v="40"/>
    <x v="40"/>
    <n v="352.50587999999999"/>
    <x v="1"/>
    <x v="2"/>
    <x v="5"/>
    <x v="7"/>
    <x v="11"/>
    <x v="22"/>
    <n v="419.48199719999997"/>
  </r>
  <r>
    <x v="13"/>
    <x v="1"/>
    <x v="1"/>
    <x v="1"/>
    <x v="0"/>
    <x v="0"/>
    <x v="0"/>
    <x v="0"/>
    <x v="2"/>
    <x v="2"/>
    <x v="9"/>
    <x v="9"/>
    <x v="2"/>
    <x v="10"/>
    <x v="10"/>
    <x v="40"/>
    <x v="40"/>
    <n v="276.31367999999998"/>
    <x v="1"/>
    <x v="2"/>
    <x v="5"/>
    <x v="7"/>
    <x v="11"/>
    <x v="22"/>
    <n v="328.81327919999995"/>
  </r>
  <r>
    <x v="13"/>
    <x v="1"/>
    <x v="1"/>
    <x v="1"/>
    <x v="0"/>
    <x v="0"/>
    <x v="0"/>
    <x v="0"/>
    <x v="2"/>
    <x v="2"/>
    <x v="9"/>
    <x v="9"/>
    <x v="4"/>
    <x v="5"/>
    <x v="5"/>
    <x v="40"/>
    <x v="40"/>
    <n v="1996.38726"/>
    <x v="1"/>
    <x v="2"/>
    <x v="5"/>
    <x v="7"/>
    <x v="11"/>
    <x v="22"/>
    <n v="2375.7008393999999"/>
  </r>
  <r>
    <x v="13"/>
    <x v="1"/>
    <x v="1"/>
    <x v="1"/>
    <x v="0"/>
    <x v="0"/>
    <x v="0"/>
    <x v="0"/>
    <x v="2"/>
    <x v="2"/>
    <x v="10"/>
    <x v="10"/>
    <x v="2"/>
    <x v="2"/>
    <x v="2"/>
    <x v="41"/>
    <x v="41"/>
    <n v="0.76407692307616004"/>
    <x v="1"/>
    <x v="2"/>
    <x v="5"/>
    <x v="7"/>
    <x v="11"/>
    <x v="22"/>
    <n v="0.90925153846063045"/>
  </r>
  <r>
    <x v="13"/>
    <x v="1"/>
    <x v="1"/>
    <x v="1"/>
    <x v="0"/>
    <x v="0"/>
    <x v="0"/>
    <x v="0"/>
    <x v="2"/>
    <x v="2"/>
    <x v="10"/>
    <x v="10"/>
    <x v="2"/>
    <x v="2"/>
    <x v="2"/>
    <x v="40"/>
    <x v="40"/>
    <n v="79.509709999999998"/>
    <x v="1"/>
    <x v="2"/>
    <x v="5"/>
    <x v="7"/>
    <x v="11"/>
    <x v="22"/>
    <n v="94.616554899999997"/>
  </r>
  <r>
    <x v="13"/>
    <x v="1"/>
    <x v="1"/>
    <x v="1"/>
    <x v="0"/>
    <x v="0"/>
    <x v="0"/>
    <x v="0"/>
    <x v="0"/>
    <x v="0"/>
    <x v="11"/>
    <x v="11"/>
    <x v="4"/>
    <x v="5"/>
    <x v="5"/>
    <x v="10"/>
    <x v="10"/>
    <n v="2.2435243599999999E-5"/>
    <x v="0"/>
    <x v="0"/>
    <x v="1"/>
    <x v="4"/>
    <x v="5"/>
    <x v="10"/>
    <n v="2.6697939883999997E-5"/>
  </r>
  <r>
    <x v="13"/>
    <x v="1"/>
    <x v="1"/>
    <x v="1"/>
    <x v="0"/>
    <x v="0"/>
    <x v="0"/>
    <x v="0"/>
    <x v="3"/>
    <x v="3"/>
    <x v="12"/>
    <x v="12"/>
    <x v="2"/>
    <x v="2"/>
    <x v="2"/>
    <x v="40"/>
    <x v="40"/>
    <n v="2.1044200000000002"/>
    <x v="1"/>
    <x v="2"/>
    <x v="5"/>
    <x v="7"/>
    <x v="11"/>
    <x v="22"/>
    <n v="2.5042598000000003"/>
  </r>
  <r>
    <x v="13"/>
    <x v="1"/>
    <x v="1"/>
    <x v="1"/>
    <x v="0"/>
    <x v="0"/>
    <x v="0"/>
    <x v="0"/>
    <x v="3"/>
    <x v="3"/>
    <x v="12"/>
    <x v="12"/>
    <x v="3"/>
    <x v="7"/>
    <x v="7"/>
    <x v="40"/>
    <x v="40"/>
    <n v="14.203440000000001"/>
    <x v="1"/>
    <x v="2"/>
    <x v="5"/>
    <x v="7"/>
    <x v="11"/>
    <x v="22"/>
    <n v="16.902093600000001"/>
  </r>
  <r>
    <x v="13"/>
    <x v="1"/>
    <x v="1"/>
    <x v="1"/>
    <x v="0"/>
    <x v="0"/>
    <x v="0"/>
    <x v="0"/>
    <x v="3"/>
    <x v="3"/>
    <x v="12"/>
    <x v="12"/>
    <x v="4"/>
    <x v="5"/>
    <x v="5"/>
    <x v="40"/>
    <x v="40"/>
    <n v="30.862079999999999"/>
    <x v="1"/>
    <x v="2"/>
    <x v="5"/>
    <x v="7"/>
    <x v="11"/>
    <x v="22"/>
    <n v="36.725875199999997"/>
  </r>
  <r>
    <x v="13"/>
    <x v="1"/>
    <x v="1"/>
    <x v="1"/>
    <x v="0"/>
    <x v="0"/>
    <x v="0"/>
    <x v="0"/>
    <x v="3"/>
    <x v="3"/>
    <x v="13"/>
    <x v="13"/>
    <x v="2"/>
    <x v="2"/>
    <x v="2"/>
    <x v="41"/>
    <x v="41"/>
    <n v="0.94080219780125995"/>
    <x v="1"/>
    <x v="2"/>
    <x v="5"/>
    <x v="7"/>
    <x v="11"/>
    <x v="22"/>
    <n v="1.1195546153834992"/>
  </r>
  <r>
    <x v="13"/>
    <x v="1"/>
    <x v="1"/>
    <x v="1"/>
    <x v="0"/>
    <x v="0"/>
    <x v="0"/>
    <x v="0"/>
    <x v="3"/>
    <x v="3"/>
    <x v="13"/>
    <x v="13"/>
    <x v="2"/>
    <x v="2"/>
    <x v="2"/>
    <x v="40"/>
    <x v="40"/>
    <n v="39.293399999999998"/>
    <x v="1"/>
    <x v="2"/>
    <x v="5"/>
    <x v="7"/>
    <x v="11"/>
    <x v="22"/>
    <n v="46.759145999999994"/>
  </r>
  <r>
    <x v="13"/>
    <x v="1"/>
    <x v="1"/>
    <x v="1"/>
    <x v="0"/>
    <x v="0"/>
    <x v="0"/>
    <x v="0"/>
    <x v="3"/>
    <x v="3"/>
    <x v="13"/>
    <x v="13"/>
    <x v="1"/>
    <x v="6"/>
    <x v="6"/>
    <x v="40"/>
    <x v="40"/>
    <n v="0.58169999999999999"/>
    <x v="1"/>
    <x v="2"/>
    <x v="5"/>
    <x v="7"/>
    <x v="11"/>
    <x v="22"/>
    <n v="0.69222299999999992"/>
  </r>
  <r>
    <x v="13"/>
    <x v="1"/>
    <x v="1"/>
    <x v="1"/>
    <x v="0"/>
    <x v="0"/>
    <x v="0"/>
    <x v="0"/>
    <x v="3"/>
    <x v="3"/>
    <x v="13"/>
    <x v="13"/>
    <x v="1"/>
    <x v="8"/>
    <x v="8"/>
    <x v="40"/>
    <x v="40"/>
    <n v="4.2683999999999997"/>
    <x v="1"/>
    <x v="2"/>
    <x v="5"/>
    <x v="7"/>
    <x v="11"/>
    <x v="22"/>
    <n v="5.0793959999999991"/>
  </r>
  <r>
    <x v="13"/>
    <x v="1"/>
    <x v="1"/>
    <x v="1"/>
    <x v="0"/>
    <x v="0"/>
    <x v="0"/>
    <x v="0"/>
    <x v="3"/>
    <x v="3"/>
    <x v="13"/>
    <x v="13"/>
    <x v="4"/>
    <x v="5"/>
    <x v="5"/>
    <x v="40"/>
    <x v="40"/>
    <n v="1.9956"/>
    <x v="1"/>
    <x v="2"/>
    <x v="5"/>
    <x v="7"/>
    <x v="11"/>
    <x v="22"/>
    <n v="2.3747639999999999"/>
  </r>
  <r>
    <x v="13"/>
    <x v="1"/>
    <x v="1"/>
    <x v="1"/>
    <x v="0"/>
    <x v="0"/>
    <x v="0"/>
    <x v="0"/>
    <x v="2"/>
    <x v="2"/>
    <x v="14"/>
    <x v="14"/>
    <x v="2"/>
    <x v="2"/>
    <x v="2"/>
    <x v="40"/>
    <x v="40"/>
    <n v="2.4041299999999999"/>
    <x v="1"/>
    <x v="2"/>
    <x v="5"/>
    <x v="7"/>
    <x v="11"/>
    <x v="22"/>
    <n v="2.8609146999999999"/>
  </r>
  <r>
    <x v="13"/>
    <x v="1"/>
    <x v="1"/>
    <x v="1"/>
    <x v="0"/>
    <x v="0"/>
    <x v="0"/>
    <x v="0"/>
    <x v="2"/>
    <x v="2"/>
    <x v="17"/>
    <x v="17"/>
    <x v="2"/>
    <x v="2"/>
    <x v="2"/>
    <x v="42"/>
    <x v="42"/>
    <n v="0.32422000000000001"/>
    <x v="1"/>
    <x v="2"/>
    <x v="5"/>
    <x v="7"/>
    <x v="11"/>
    <x v="22"/>
    <n v="0.38582179999999999"/>
  </r>
  <r>
    <x v="13"/>
    <x v="1"/>
    <x v="1"/>
    <x v="1"/>
    <x v="0"/>
    <x v="0"/>
    <x v="0"/>
    <x v="0"/>
    <x v="2"/>
    <x v="2"/>
    <x v="17"/>
    <x v="17"/>
    <x v="2"/>
    <x v="2"/>
    <x v="2"/>
    <x v="40"/>
    <x v="40"/>
    <n v="17.568079999999998"/>
    <x v="1"/>
    <x v="2"/>
    <x v="5"/>
    <x v="7"/>
    <x v="11"/>
    <x v="22"/>
    <n v="20.906015199999999"/>
  </r>
  <r>
    <x v="13"/>
    <x v="1"/>
    <x v="1"/>
    <x v="1"/>
    <x v="0"/>
    <x v="0"/>
    <x v="0"/>
    <x v="0"/>
    <x v="2"/>
    <x v="2"/>
    <x v="17"/>
    <x v="17"/>
    <x v="3"/>
    <x v="7"/>
    <x v="7"/>
    <x v="40"/>
    <x v="40"/>
    <n v="33.45984"/>
    <x v="1"/>
    <x v="2"/>
    <x v="5"/>
    <x v="7"/>
    <x v="11"/>
    <x v="22"/>
    <n v="39.817209599999998"/>
  </r>
  <r>
    <x v="13"/>
    <x v="1"/>
    <x v="1"/>
    <x v="1"/>
    <x v="0"/>
    <x v="0"/>
    <x v="0"/>
    <x v="0"/>
    <x v="2"/>
    <x v="2"/>
    <x v="17"/>
    <x v="17"/>
    <x v="1"/>
    <x v="8"/>
    <x v="8"/>
    <x v="40"/>
    <x v="40"/>
    <n v="18.75384"/>
    <x v="1"/>
    <x v="2"/>
    <x v="5"/>
    <x v="7"/>
    <x v="11"/>
    <x v="22"/>
    <n v="22.3170696"/>
  </r>
  <r>
    <x v="13"/>
    <x v="1"/>
    <x v="1"/>
    <x v="1"/>
    <x v="0"/>
    <x v="0"/>
    <x v="0"/>
    <x v="0"/>
    <x v="2"/>
    <x v="2"/>
    <x v="17"/>
    <x v="17"/>
    <x v="2"/>
    <x v="10"/>
    <x v="10"/>
    <x v="40"/>
    <x v="40"/>
    <n v="5.4194399999999998"/>
    <x v="1"/>
    <x v="2"/>
    <x v="5"/>
    <x v="7"/>
    <x v="11"/>
    <x v="22"/>
    <n v="6.4491335999999997"/>
  </r>
  <r>
    <x v="13"/>
    <x v="1"/>
    <x v="1"/>
    <x v="1"/>
    <x v="0"/>
    <x v="0"/>
    <x v="0"/>
    <x v="0"/>
    <x v="2"/>
    <x v="2"/>
    <x v="17"/>
    <x v="17"/>
    <x v="4"/>
    <x v="5"/>
    <x v="5"/>
    <x v="40"/>
    <x v="40"/>
    <n v="339.35543999999999"/>
    <x v="1"/>
    <x v="2"/>
    <x v="5"/>
    <x v="7"/>
    <x v="11"/>
    <x v="22"/>
    <n v="403.83297359999995"/>
  </r>
  <r>
    <x v="13"/>
    <x v="1"/>
    <x v="1"/>
    <x v="1"/>
    <x v="0"/>
    <x v="1"/>
    <x v="1"/>
    <x v="1"/>
    <x v="1"/>
    <x v="5"/>
    <x v="21"/>
    <x v="21"/>
    <x v="3"/>
    <x v="3"/>
    <x v="3"/>
    <x v="2"/>
    <x v="2"/>
    <n v="6.6599915966086902"/>
    <x v="0"/>
    <x v="1"/>
    <x v="2"/>
    <x v="2"/>
    <x v="13"/>
    <x v="2"/>
    <n v="7.9253899999643407"/>
  </r>
  <r>
    <x v="13"/>
    <x v="1"/>
    <x v="1"/>
    <x v="1"/>
    <x v="0"/>
    <x v="1"/>
    <x v="1"/>
    <x v="1"/>
    <x v="1"/>
    <x v="5"/>
    <x v="1"/>
    <x v="1"/>
    <x v="3"/>
    <x v="3"/>
    <x v="3"/>
    <x v="2"/>
    <x v="2"/>
    <n v="1432.0098655397701"/>
    <x v="0"/>
    <x v="1"/>
    <x v="2"/>
    <x v="2"/>
    <x v="13"/>
    <x v="2"/>
    <n v="1704.0917399923264"/>
  </r>
  <r>
    <x v="13"/>
    <x v="1"/>
    <x v="1"/>
    <x v="1"/>
    <x v="0"/>
    <x v="1"/>
    <x v="1"/>
    <x v="1"/>
    <x v="1"/>
    <x v="5"/>
    <x v="1"/>
    <x v="1"/>
    <x v="0"/>
    <x v="4"/>
    <x v="4"/>
    <x v="2"/>
    <x v="2"/>
    <n v="97.934294117206306"/>
    <x v="0"/>
    <x v="1"/>
    <x v="2"/>
    <x v="2"/>
    <x v="13"/>
    <x v="2"/>
    <n v="116.5418099994755"/>
  </r>
  <r>
    <x v="13"/>
    <x v="1"/>
    <x v="1"/>
    <x v="1"/>
    <x v="0"/>
    <x v="1"/>
    <x v="1"/>
    <x v="1"/>
    <x v="1"/>
    <x v="5"/>
    <x v="1"/>
    <x v="1"/>
    <x v="2"/>
    <x v="2"/>
    <x v="2"/>
    <x v="2"/>
    <x v="2"/>
    <n v="26.284344537696899"/>
    <x v="0"/>
    <x v="1"/>
    <x v="2"/>
    <x v="2"/>
    <x v="13"/>
    <x v="2"/>
    <n v="31.278369999859308"/>
  </r>
  <r>
    <x v="13"/>
    <x v="1"/>
    <x v="1"/>
    <x v="1"/>
    <x v="0"/>
    <x v="1"/>
    <x v="0"/>
    <x v="0"/>
    <x v="0"/>
    <x v="0"/>
    <x v="2"/>
    <x v="2"/>
    <x v="2"/>
    <x v="2"/>
    <x v="2"/>
    <x v="2"/>
    <x v="2"/>
    <n v="180.15993277229899"/>
    <x v="0"/>
    <x v="1"/>
    <x v="2"/>
    <x v="2"/>
    <x v="13"/>
    <x v="2"/>
    <n v="214.3903199990358"/>
  </r>
  <r>
    <x v="13"/>
    <x v="1"/>
    <x v="1"/>
    <x v="1"/>
    <x v="0"/>
    <x v="1"/>
    <x v="0"/>
    <x v="0"/>
    <x v="0"/>
    <x v="0"/>
    <x v="0"/>
    <x v="0"/>
    <x v="3"/>
    <x v="3"/>
    <x v="3"/>
    <x v="8"/>
    <x v="8"/>
    <n v="109.447248446789"/>
    <x v="0"/>
    <x v="1"/>
    <x v="2"/>
    <x v="2"/>
    <x v="6"/>
    <x v="8"/>
    <n v="130.24222565167892"/>
  </r>
  <r>
    <x v="13"/>
    <x v="1"/>
    <x v="1"/>
    <x v="1"/>
    <x v="0"/>
    <x v="1"/>
    <x v="0"/>
    <x v="0"/>
    <x v="0"/>
    <x v="0"/>
    <x v="0"/>
    <x v="0"/>
    <x v="3"/>
    <x v="3"/>
    <x v="3"/>
    <x v="2"/>
    <x v="2"/>
    <n v="437.47106722492202"/>
    <x v="0"/>
    <x v="1"/>
    <x v="2"/>
    <x v="2"/>
    <x v="13"/>
    <x v="2"/>
    <n v="520.59056999765721"/>
  </r>
  <r>
    <x v="13"/>
    <x v="1"/>
    <x v="1"/>
    <x v="1"/>
    <x v="0"/>
    <x v="1"/>
    <x v="0"/>
    <x v="0"/>
    <x v="0"/>
    <x v="0"/>
    <x v="0"/>
    <x v="0"/>
    <x v="3"/>
    <x v="12"/>
    <x v="3"/>
    <x v="8"/>
    <x v="8"/>
    <n v="6939.6690496630699"/>
    <x v="0"/>
    <x v="1"/>
    <x v="2"/>
    <x v="2"/>
    <x v="6"/>
    <x v="8"/>
    <n v="8258.2061690990522"/>
  </r>
  <r>
    <x v="13"/>
    <x v="1"/>
    <x v="1"/>
    <x v="1"/>
    <x v="0"/>
    <x v="1"/>
    <x v="0"/>
    <x v="0"/>
    <x v="0"/>
    <x v="0"/>
    <x v="0"/>
    <x v="0"/>
    <x v="3"/>
    <x v="12"/>
    <x v="3"/>
    <x v="12"/>
    <x v="12"/>
    <n v="2091.5404999933098"/>
    <x v="0"/>
    <x v="0"/>
    <x v="0"/>
    <x v="0"/>
    <x v="8"/>
    <x v="12"/>
    <n v="2488.9331949920384"/>
  </r>
  <r>
    <x v="13"/>
    <x v="1"/>
    <x v="1"/>
    <x v="1"/>
    <x v="0"/>
    <x v="1"/>
    <x v="0"/>
    <x v="0"/>
    <x v="0"/>
    <x v="0"/>
    <x v="0"/>
    <x v="0"/>
    <x v="3"/>
    <x v="12"/>
    <x v="3"/>
    <x v="16"/>
    <x v="16"/>
    <n v="384.01799999999997"/>
    <x v="0"/>
    <x v="0"/>
    <x v="3"/>
    <x v="5"/>
    <x v="9"/>
    <x v="16"/>
    <n v="456.98141999999996"/>
  </r>
  <r>
    <x v="13"/>
    <x v="1"/>
    <x v="1"/>
    <x v="1"/>
    <x v="0"/>
    <x v="1"/>
    <x v="0"/>
    <x v="0"/>
    <x v="0"/>
    <x v="0"/>
    <x v="0"/>
    <x v="0"/>
    <x v="3"/>
    <x v="12"/>
    <x v="3"/>
    <x v="2"/>
    <x v="2"/>
    <n v="4077.9146974606401"/>
    <x v="0"/>
    <x v="1"/>
    <x v="2"/>
    <x v="2"/>
    <x v="13"/>
    <x v="2"/>
    <n v="4852.7184899781614"/>
  </r>
  <r>
    <x v="13"/>
    <x v="1"/>
    <x v="1"/>
    <x v="1"/>
    <x v="0"/>
    <x v="1"/>
    <x v="0"/>
    <x v="0"/>
    <x v="0"/>
    <x v="0"/>
    <x v="0"/>
    <x v="0"/>
    <x v="0"/>
    <x v="4"/>
    <x v="4"/>
    <x v="8"/>
    <x v="8"/>
    <n v="19.436031055826799"/>
    <x v="0"/>
    <x v="1"/>
    <x v="2"/>
    <x v="2"/>
    <x v="6"/>
    <x v="8"/>
    <n v="23.128876956433889"/>
  </r>
  <r>
    <x v="13"/>
    <x v="1"/>
    <x v="1"/>
    <x v="1"/>
    <x v="0"/>
    <x v="1"/>
    <x v="0"/>
    <x v="0"/>
    <x v="0"/>
    <x v="0"/>
    <x v="0"/>
    <x v="0"/>
    <x v="0"/>
    <x v="4"/>
    <x v="4"/>
    <x v="11"/>
    <x v="11"/>
    <n v="225.00824"/>
    <x v="0"/>
    <x v="0"/>
    <x v="3"/>
    <x v="5"/>
    <x v="7"/>
    <x v="11"/>
    <n v="267.75980559999999"/>
  </r>
  <r>
    <x v="13"/>
    <x v="1"/>
    <x v="1"/>
    <x v="1"/>
    <x v="0"/>
    <x v="1"/>
    <x v="0"/>
    <x v="0"/>
    <x v="0"/>
    <x v="0"/>
    <x v="0"/>
    <x v="0"/>
    <x v="0"/>
    <x v="4"/>
    <x v="4"/>
    <x v="12"/>
    <x v="12"/>
    <n v="448.47030681674698"/>
    <x v="0"/>
    <x v="0"/>
    <x v="0"/>
    <x v="0"/>
    <x v="8"/>
    <x v="12"/>
    <n v="533.6796651119289"/>
  </r>
  <r>
    <x v="13"/>
    <x v="1"/>
    <x v="1"/>
    <x v="1"/>
    <x v="0"/>
    <x v="1"/>
    <x v="0"/>
    <x v="0"/>
    <x v="0"/>
    <x v="0"/>
    <x v="0"/>
    <x v="0"/>
    <x v="0"/>
    <x v="4"/>
    <x v="4"/>
    <x v="14"/>
    <x v="14"/>
    <n v="45.051099999999998"/>
    <x v="0"/>
    <x v="0"/>
    <x v="0"/>
    <x v="0"/>
    <x v="8"/>
    <x v="14"/>
    <n v="53.610808999999996"/>
  </r>
  <r>
    <x v="13"/>
    <x v="1"/>
    <x v="1"/>
    <x v="1"/>
    <x v="0"/>
    <x v="1"/>
    <x v="0"/>
    <x v="0"/>
    <x v="0"/>
    <x v="0"/>
    <x v="0"/>
    <x v="0"/>
    <x v="0"/>
    <x v="4"/>
    <x v="4"/>
    <x v="16"/>
    <x v="16"/>
    <n v="218.70940999999999"/>
    <x v="0"/>
    <x v="0"/>
    <x v="3"/>
    <x v="5"/>
    <x v="9"/>
    <x v="16"/>
    <n v="260.2641979"/>
  </r>
  <r>
    <x v="13"/>
    <x v="1"/>
    <x v="1"/>
    <x v="1"/>
    <x v="0"/>
    <x v="1"/>
    <x v="0"/>
    <x v="0"/>
    <x v="0"/>
    <x v="0"/>
    <x v="0"/>
    <x v="0"/>
    <x v="0"/>
    <x v="4"/>
    <x v="4"/>
    <x v="24"/>
    <x v="24"/>
    <n v="1.0636134453733701"/>
    <x v="0"/>
    <x v="0"/>
    <x v="1"/>
    <x v="3"/>
    <x v="3"/>
    <x v="4"/>
    <n v="1.2656999999943104"/>
  </r>
  <r>
    <x v="13"/>
    <x v="1"/>
    <x v="1"/>
    <x v="1"/>
    <x v="0"/>
    <x v="1"/>
    <x v="0"/>
    <x v="0"/>
    <x v="0"/>
    <x v="0"/>
    <x v="0"/>
    <x v="0"/>
    <x v="0"/>
    <x v="4"/>
    <x v="4"/>
    <x v="18"/>
    <x v="18"/>
    <n v="350.33321000000001"/>
    <x v="0"/>
    <x v="0"/>
    <x v="0"/>
    <x v="0"/>
    <x v="4"/>
    <x v="18"/>
    <n v="416.89651989999999"/>
  </r>
  <r>
    <x v="13"/>
    <x v="1"/>
    <x v="1"/>
    <x v="1"/>
    <x v="0"/>
    <x v="1"/>
    <x v="0"/>
    <x v="0"/>
    <x v="0"/>
    <x v="0"/>
    <x v="0"/>
    <x v="0"/>
    <x v="0"/>
    <x v="4"/>
    <x v="4"/>
    <x v="27"/>
    <x v="27"/>
    <n v="251.391665909295"/>
    <x v="0"/>
    <x v="0"/>
    <x v="1"/>
    <x v="3"/>
    <x v="3"/>
    <x v="19"/>
    <n v="299.15608243206105"/>
  </r>
  <r>
    <x v="13"/>
    <x v="1"/>
    <x v="1"/>
    <x v="1"/>
    <x v="0"/>
    <x v="1"/>
    <x v="0"/>
    <x v="0"/>
    <x v="2"/>
    <x v="2"/>
    <x v="0"/>
    <x v="0"/>
    <x v="0"/>
    <x v="4"/>
    <x v="4"/>
    <x v="46"/>
    <x v="46"/>
    <n v="5.7240000000000002"/>
    <x v="1"/>
    <x v="0"/>
    <x v="4"/>
    <x v="6"/>
    <x v="10"/>
    <x v="21"/>
    <n v="6.8115600000000001"/>
  </r>
  <r>
    <x v="13"/>
    <x v="1"/>
    <x v="1"/>
    <x v="1"/>
    <x v="0"/>
    <x v="1"/>
    <x v="0"/>
    <x v="0"/>
    <x v="0"/>
    <x v="0"/>
    <x v="0"/>
    <x v="0"/>
    <x v="0"/>
    <x v="4"/>
    <x v="4"/>
    <x v="86"/>
    <x v="86"/>
    <n v="123.88266"/>
    <x v="0"/>
    <x v="0"/>
    <x v="1"/>
    <x v="3"/>
    <x v="3"/>
    <x v="13"/>
    <n v="147.42036540000001"/>
  </r>
  <r>
    <x v="13"/>
    <x v="1"/>
    <x v="1"/>
    <x v="1"/>
    <x v="0"/>
    <x v="1"/>
    <x v="0"/>
    <x v="0"/>
    <x v="0"/>
    <x v="0"/>
    <x v="0"/>
    <x v="0"/>
    <x v="0"/>
    <x v="4"/>
    <x v="4"/>
    <x v="26"/>
    <x v="26"/>
    <n v="11.3004201680164"/>
    <x v="0"/>
    <x v="0"/>
    <x v="1"/>
    <x v="3"/>
    <x v="3"/>
    <x v="15"/>
    <n v="13.447499999939515"/>
  </r>
  <r>
    <x v="13"/>
    <x v="1"/>
    <x v="1"/>
    <x v="1"/>
    <x v="0"/>
    <x v="1"/>
    <x v="0"/>
    <x v="0"/>
    <x v="0"/>
    <x v="0"/>
    <x v="0"/>
    <x v="0"/>
    <x v="0"/>
    <x v="4"/>
    <x v="4"/>
    <x v="20"/>
    <x v="20"/>
    <n v="40.772939999999998"/>
    <x v="0"/>
    <x v="0"/>
    <x v="1"/>
    <x v="3"/>
    <x v="3"/>
    <x v="13"/>
    <n v="48.519798599999994"/>
  </r>
  <r>
    <x v="13"/>
    <x v="1"/>
    <x v="1"/>
    <x v="1"/>
    <x v="0"/>
    <x v="1"/>
    <x v="0"/>
    <x v="0"/>
    <x v="0"/>
    <x v="0"/>
    <x v="0"/>
    <x v="0"/>
    <x v="0"/>
    <x v="4"/>
    <x v="4"/>
    <x v="2"/>
    <x v="2"/>
    <n v="1412.0911848676001"/>
    <x v="0"/>
    <x v="1"/>
    <x v="2"/>
    <x v="2"/>
    <x v="13"/>
    <x v="2"/>
    <n v="1680.3885099924439"/>
  </r>
  <r>
    <x v="13"/>
    <x v="1"/>
    <x v="1"/>
    <x v="1"/>
    <x v="0"/>
    <x v="1"/>
    <x v="0"/>
    <x v="0"/>
    <x v="0"/>
    <x v="0"/>
    <x v="0"/>
    <x v="0"/>
    <x v="0"/>
    <x v="0"/>
    <x v="0"/>
    <x v="5"/>
    <x v="5"/>
    <n v="34.566276243387698"/>
    <x v="0"/>
    <x v="0"/>
    <x v="1"/>
    <x v="1"/>
    <x v="1"/>
    <x v="5"/>
    <n v="41.133868729631359"/>
  </r>
  <r>
    <x v="13"/>
    <x v="1"/>
    <x v="1"/>
    <x v="1"/>
    <x v="0"/>
    <x v="1"/>
    <x v="0"/>
    <x v="0"/>
    <x v="0"/>
    <x v="0"/>
    <x v="0"/>
    <x v="0"/>
    <x v="0"/>
    <x v="0"/>
    <x v="0"/>
    <x v="6"/>
    <x v="6"/>
    <n v="125.21332"/>
    <x v="0"/>
    <x v="0"/>
    <x v="0"/>
    <x v="0"/>
    <x v="4"/>
    <x v="6"/>
    <n v="149.00385079999998"/>
  </r>
  <r>
    <x v="13"/>
    <x v="1"/>
    <x v="1"/>
    <x v="1"/>
    <x v="0"/>
    <x v="1"/>
    <x v="0"/>
    <x v="0"/>
    <x v="0"/>
    <x v="0"/>
    <x v="0"/>
    <x v="0"/>
    <x v="0"/>
    <x v="0"/>
    <x v="0"/>
    <x v="7"/>
    <x v="7"/>
    <n v="21.616722688978399"/>
    <x v="0"/>
    <x v="0"/>
    <x v="1"/>
    <x v="4"/>
    <x v="5"/>
    <x v="7"/>
    <n v="25.723899999884292"/>
  </r>
  <r>
    <x v="13"/>
    <x v="1"/>
    <x v="1"/>
    <x v="1"/>
    <x v="0"/>
    <x v="1"/>
    <x v="0"/>
    <x v="0"/>
    <x v="0"/>
    <x v="0"/>
    <x v="0"/>
    <x v="0"/>
    <x v="0"/>
    <x v="0"/>
    <x v="0"/>
    <x v="8"/>
    <x v="8"/>
    <n v="5086.8662173719704"/>
    <x v="0"/>
    <x v="1"/>
    <x v="2"/>
    <x v="2"/>
    <x v="6"/>
    <x v="8"/>
    <n v="6053.3707986726449"/>
  </r>
  <r>
    <x v="13"/>
    <x v="1"/>
    <x v="1"/>
    <x v="1"/>
    <x v="0"/>
    <x v="1"/>
    <x v="0"/>
    <x v="0"/>
    <x v="0"/>
    <x v="0"/>
    <x v="0"/>
    <x v="0"/>
    <x v="0"/>
    <x v="0"/>
    <x v="0"/>
    <x v="9"/>
    <x v="9"/>
    <n v="668.01116846216098"/>
    <x v="0"/>
    <x v="0"/>
    <x v="1"/>
    <x v="4"/>
    <x v="5"/>
    <x v="9"/>
    <n v="794.93329046997155"/>
  </r>
  <r>
    <x v="13"/>
    <x v="1"/>
    <x v="1"/>
    <x v="1"/>
    <x v="0"/>
    <x v="1"/>
    <x v="0"/>
    <x v="0"/>
    <x v="0"/>
    <x v="0"/>
    <x v="0"/>
    <x v="0"/>
    <x v="0"/>
    <x v="0"/>
    <x v="0"/>
    <x v="10"/>
    <x v="10"/>
    <n v="75.044304282147806"/>
    <x v="0"/>
    <x v="0"/>
    <x v="1"/>
    <x v="4"/>
    <x v="5"/>
    <x v="10"/>
    <n v="89.302722095755882"/>
  </r>
  <r>
    <x v="13"/>
    <x v="1"/>
    <x v="1"/>
    <x v="1"/>
    <x v="0"/>
    <x v="1"/>
    <x v="0"/>
    <x v="0"/>
    <x v="0"/>
    <x v="0"/>
    <x v="0"/>
    <x v="0"/>
    <x v="0"/>
    <x v="0"/>
    <x v="0"/>
    <x v="55"/>
    <x v="55"/>
    <n v="0.84976470587853004"/>
    <x v="0"/>
    <x v="0"/>
    <x v="1"/>
    <x v="3"/>
    <x v="3"/>
    <x v="15"/>
    <n v="1.0112199999954508"/>
  </r>
  <r>
    <x v="13"/>
    <x v="1"/>
    <x v="1"/>
    <x v="1"/>
    <x v="0"/>
    <x v="1"/>
    <x v="0"/>
    <x v="0"/>
    <x v="0"/>
    <x v="0"/>
    <x v="0"/>
    <x v="0"/>
    <x v="0"/>
    <x v="0"/>
    <x v="0"/>
    <x v="11"/>
    <x v="11"/>
    <n v="75.86824"/>
    <x v="0"/>
    <x v="0"/>
    <x v="3"/>
    <x v="5"/>
    <x v="7"/>
    <x v="11"/>
    <n v="90.283205600000002"/>
  </r>
  <r>
    <x v="13"/>
    <x v="1"/>
    <x v="1"/>
    <x v="1"/>
    <x v="0"/>
    <x v="1"/>
    <x v="0"/>
    <x v="0"/>
    <x v="0"/>
    <x v="0"/>
    <x v="0"/>
    <x v="0"/>
    <x v="0"/>
    <x v="0"/>
    <x v="0"/>
    <x v="12"/>
    <x v="12"/>
    <n v="376.10627272606899"/>
    <x v="0"/>
    <x v="0"/>
    <x v="0"/>
    <x v="0"/>
    <x v="8"/>
    <x v="12"/>
    <n v="447.5664645440221"/>
  </r>
  <r>
    <x v="13"/>
    <x v="1"/>
    <x v="1"/>
    <x v="1"/>
    <x v="0"/>
    <x v="1"/>
    <x v="0"/>
    <x v="0"/>
    <x v="0"/>
    <x v="0"/>
    <x v="0"/>
    <x v="0"/>
    <x v="0"/>
    <x v="0"/>
    <x v="0"/>
    <x v="14"/>
    <x v="14"/>
    <n v="42.883069999999996"/>
    <x v="0"/>
    <x v="0"/>
    <x v="0"/>
    <x v="0"/>
    <x v="8"/>
    <x v="14"/>
    <n v="51.030853299999997"/>
  </r>
  <r>
    <x v="13"/>
    <x v="1"/>
    <x v="1"/>
    <x v="1"/>
    <x v="0"/>
    <x v="1"/>
    <x v="0"/>
    <x v="0"/>
    <x v="0"/>
    <x v="0"/>
    <x v="0"/>
    <x v="0"/>
    <x v="0"/>
    <x v="0"/>
    <x v="0"/>
    <x v="22"/>
    <x v="22"/>
    <n v="14.3598991934909"/>
    <x v="0"/>
    <x v="0"/>
    <x v="0"/>
    <x v="0"/>
    <x v="0"/>
    <x v="0"/>
    <n v="17.088280040254169"/>
  </r>
  <r>
    <x v="13"/>
    <x v="1"/>
    <x v="1"/>
    <x v="1"/>
    <x v="0"/>
    <x v="1"/>
    <x v="0"/>
    <x v="0"/>
    <x v="0"/>
    <x v="0"/>
    <x v="0"/>
    <x v="0"/>
    <x v="0"/>
    <x v="0"/>
    <x v="0"/>
    <x v="16"/>
    <x v="16"/>
    <n v="394.76316000000003"/>
    <x v="0"/>
    <x v="0"/>
    <x v="3"/>
    <x v="5"/>
    <x v="9"/>
    <x v="16"/>
    <n v="469.7681604"/>
  </r>
  <r>
    <x v="13"/>
    <x v="1"/>
    <x v="1"/>
    <x v="1"/>
    <x v="0"/>
    <x v="1"/>
    <x v="0"/>
    <x v="0"/>
    <x v="0"/>
    <x v="0"/>
    <x v="0"/>
    <x v="0"/>
    <x v="0"/>
    <x v="0"/>
    <x v="0"/>
    <x v="23"/>
    <x v="23"/>
    <n v="5.54623529409269"/>
    <x v="0"/>
    <x v="0"/>
    <x v="1"/>
    <x v="3"/>
    <x v="3"/>
    <x v="15"/>
    <n v="6.6000199999703009"/>
  </r>
  <r>
    <x v="13"/>
    <x v="1"/>
    <x v="1"/>
    <x v="1"/>
    <x v="0"/>
    <x v="1"/>
    <x v="0"/>
    <x v="0"/>
    <x v="0"/>
    <x v="0"/>
    <x v="0"/>
    <x v="0"/>
    <x v="0"/>
    <x v="0"/>
    <x v="0"/>
    <x v="24"/>
    <x v="24"/>
    <n v="7.8827731092082303"/>
    <x v="0"/>
    <x v="0"/>
    <x v="1"/>
    <x v="3"/>
    <x v="3"/>
    <x v="4"/>
    <n v="9.3804999999577934"/>
  </r>
  <r>
    <x v="13"/>
    <x v="1"/>
    <x v="1"/>
    <x v="1"/>
    <x v="0"/>
    <x v="1"/>
    <x v="0"/>
    <x v="0"/>
    <x v="0"/>
    <x v="0"/>
    <x v="0"/>
    <x v="0"/>
    <x v="0"/>
    <x v="0"/>
    <x v="0"/>
    <x v="21"/>
    <x v="21"/>
    <n v="1.7912184873868999"/>
    <x v="0"/>
    <x v="0"/>
    <x v="1"/>
    <x v="4"/>
    <x v="5"/>
    <x v="10"/>
    <n v="2.1315499999904106"/>
  </r>
  <r>
    <x v="13"/>
    <x v="1"/>
    <x v="1"/>
    <x v="1"/>
    <x v="0"/>
    <x v="1"/>
    <x v="0"/>
    <x v="0"/>
    <x v="0"/>
    <x v="0"/>
    <x v="0"/>
    <x v="0"/>
    <x v="0"/>
    <x v="0"/>
    <x v="0"/>
    <x v="18"/>
    <x v="18"/>
    <n v="142.46763999999999"/>
    <x v="0"/>
    <x v="0"/>
    <x v="0"/>
    <x v="0"/>
    <x v="4"/>
    <x v="18"/>
    <n v="169.53649159999998"/>
  </r>
  <r>
    <x v="13"/>
    <x v="1"/>
    <x v="1"/>
    <x v="1"/>
    <x v="0"/>
    <x v="1"/>
    <x v="0"/>
    <x v="0"/>
    <x v="0"/>
    <x v="0"/>
    <x v="0"/>
    <x v="0"/>
    <x v="0"/>
    <x v="0"/>
    <x v="0"/>
    <x v="25"/>
    <x v="25"/>
    <n v="37.073277310757497"/>
    <x v="0"/>
    <x v="0"/>
    <x v="1"/>
    <x v="4"/>
    <x v="5"/>
    <x v="9"/>
    <n v="44.117199999801421"/>
  </r>
  <r>
    <x v="13"/>
    <x v="1"/>
    <x v="1"/>
    <x v="1"/>
    <x v="0"/>
    <x v="1"/>
    <x v="0"/>
    <x v="0"/>
    <x v="0"/>
    <x v="0"/>
    <x v="0"/>
    <x v="0"/>
    <x v="0"/>
    <x v="0"/>
    <x v="0"/>
    <x v="26"/>
    <x v="26"/>
    <n v="138.793899159039"/>
    <x v="0"/>
    <x v="0"/>
    <x v="1"/>
    <x v="3"/>
    <x v="3"/>
    <x v="15"/>
    <n v="165.1647399992564"/>
  </r>
  <r>
    <x v="13"/>
    <x v="1"/>
    <x v="1"/>
    <x v="1"/>
    <x v="0"/>
    <x v="1"/>
    <x v="0"/>
    <x v="0"/>
    <x v="0"/>
    <x v="0"/>
    <x v="0"/>
    <x v="0"/>
    <x v="0"/>
    <x v="0"/>
    <x v="0"/>
    <x v="0"/>
    <x v="0"/>
    <n v="9.4125795556732097"/>
    <x v="0"/>
    <x v="0"/>
    <x v="0"/>
    <x v="0"/>
    <x v="0"/>
    <x v="0"/>
    <n v="11.200969671251119"/>
  </r>
  <r>
    <x v="13"/>
    <x v="1"/>
    <x v="1"/>
    <x v="1"/>
    <x v="0"/>
    <x v="1"/>
    <x v="0"/>
    <x v="0"/>
    <x v="0"/>
    <x v="0"/>
    <x v="0"/>
    <x v="0"/>
    <x v="0"/>
    <x v="0"/>
    <x v="0"/>
    <x v="2"/>
    <x v="2"/>
    <n v="9977.22725205594"/>
    <x v="0"/>
    <x v="1"/>
    <x v="2"/>
    <x v="2"/>
    <x v="13"/>
    <x v="2"/>
    <n v="11872.900429946569"/>
  </r>
  <r>
    <x v="13"/>
    <x v="1"/>
    <x v="1"/>
    <x v="1"/>
    <x v="0"/>
    <x v="1"/>
    <x v="0"/>
    <x v="0"/>
    <x v="0"/>
    <x v="0"/>
    <x v="0"/>
    <x v="0"/>
    <x v="1"/>
    <x v="1"/>
    <x v="1"/>
    <x v="4"/>
    <x v="4"/>
    <n v="19.709033613356699"/>
    <x v="0"/>
    <x v="0"/>
    <x v="1"/>
    <x v="3"/>
    <x v="3"/>
    <x v="4"/>
    <n v="23.45374999989447"/>
  </r>
  <r>
    <x v="13"/>
    <x v="1"/>
    <x v="1"/>
    <x v="1"/>
    <x v="0"/>
    <x v="1"/>
    <x v="0"/>
    <x v="0"/>
    <x v="0"/>
    <x v="0"/>
    <x v="0"/>
    <x v="0"/>
    <x v="1"/>
    <x v="1"/>
    <x v="1"/>
    <x v="5"/>
    <x v="5"/>
    <n v="57.127712707667897"/>
    <x v="0"/>
    <x v="0"/>
    <x v="1"/>
    <x v="1"/>
    <x v="1"/>
    <x v="5"/>
    <n v="67.981978122124801"/>
  </r>
  <r>
    <x v="13"/>
    <x v="1"/>
    <x v="1"/>
    <x v="1"/>
    <x v="0"/>
    <x v="1"/>
    <x v="0"/>
    <x v="0"/>
    <x v="0"/>
    <x v="0"/>
    <x v="0"/>
    <x v="0"/>
    <x v="1"/>
    <x v="1"/>
    <x v="1"/>
    <x v="6"/>
    <x v="6"/>
    <n v="308.85007000000002"/>
    <x v="0"/>
    <x v="0"/>
    <x v="0"/>
    <x v="0"/>
    <x v="4"/>
    <x v="6"/>
    <n v="367.53158330000002"/>
  </r>
  <r>
    <x v="13"/>
    <x v="1"/>
    <x v="1"/>
    <x v="1"/>
    <x v="0"/>
    <x v="1"/>
    <x v="0"/>
    <x v="0"/>
    <x v="0"/>
    <x v="0"/>
    <x v="0"/>
    <x v="0"/>
    <x v="1"/>
    <x v="1"/>
    <x v="1"/>
    <x v="7"/>
    <x v="7"/>
    <n v="21.616722688978399"/>
    <x v="0"/>
    <x v="0"/>
    <x v="1"/>
    <x v="4"/>
    <x v="5"/>
    <x v="7"/>
    <n v="25.723899999884292"/>
  </r>
  <r>
    <x v="13"/>
    <x v="1"/>
    <x v="1"/>
    <x v="1"/>
    <x v="0"/>
    <x v="1"/>
    <x v="0"/>
    <x v="0"/>
    <x v="0"/>
    <x v="0"/>
    <x v="0"/>
    <x v="0"/>
    <x v="1"/>
    <x v="1"/>
    <x v="1"/>
    <x v="8"/>
    <x v="8"/>
    <n v="409.54179502950001"/>
    <x v="0"/>
    <x v="1"/>
    <x v="2"/>
    <x v="2"/>
    <x v="6"/>
    <x v="8"/>
    <n v="487.354736085105"/>
  </r>
  <r>
    <x v="13"/>
    <x v="1"/>
    <x v="1"/>
    <x v="1"/>
    <x v="0"/>
    <x v="1"/>
    <x v="0"/>
    <x v="0"/>
    <x v="0"/>
    <x v="0"/>
    <x v="0"/>
    <x v="0"/>
    <x v="1"/>
    <x v="1"/>
    <x v="1"/>
    <x v="9"/>
    <x v="9"/>
    <n v="2803.4770301163298"/>
    <x v="0"/>
    <x v="0"/>
    <x v="1"/>
    <x v="4"/>
    <x v="5"/>
    <x v="9"/>
    <n v="3336.1376658384324"/>
  </r>
  <r>
    <x v="13"/>
    <x v="1"/>
    <x v="1"/>
    <x v="1"/>
    <x v="0"/>
    <x v="1"/>
    <x v="0"/>
    <x v="0"/>
    <x v="0"/>
    <x v="0"/>
    <x v="0"/>
    <x v="0"/>
    <x v="1"/>
    <x v="1"/>
    <x v="1"/>
    <x v="10"/>
    <x v="10"/>
    <n v="37.852687933594801"/>
    <x v="0"/>
    <x v="0"/>
    <x v="1"/>
    <x v="4"/>
    <x v="5"/>
    <x v="10"/>
    <n v="45.044698640977813"/>
  </r>
  <r>
    <x v="13"/>
    <x v="1"/>
    <x v="1"/>
    <x v="1"/>
    <x v="0"/>
    <x v="1"/>
    <x v="0"/>
    <x v="0"/>
    <x v="0"/>
    <x v="0"/>
    <x v="0"/>
    <x v="0"/>
    <x v="1"/>
    <x v="1"/>
    <x v="1"/>
    <x v="55"/>
    <x v="55"/>
    <n v="1.66091596637908"/>
    <x v="0"/>
    <x v="0"/>
    <x v="1"/>
    <x v="3"/>
    <x v="3"/>
    <x v="15"/>
    <n v="1.9764899999911052"/>
  </r>
  <r>
    <x v="13"/>
    <x v="1"/>
    <x v="1"/>
    <x v="1"/>
    <x v="0"/>
    <x v="1"/>
    <x v="0"/>
    <x v="0"/>
    <x v="0"/>
    <x v="0"/>
    <x v="0"/>
    <x v="0"/>
    <x v="1"/>
    <x v="1"/>
    <x v="1"/>
    <x v="11"/>
    <x v="11"/>
    <n v="467.81923999999998"/>
    <x v="0"/>
    <x v="0"/>
    <x v="3"/>
    <x v="5"/>
    <x v="7"/>
    <x v="11"/>
    <n v="556.70489559999999"/>
  </r>
  <r>
    <x v="13"/>
    <x v="1"/>
    <x v="1"/>
    <x v="1"/>
    <x v="0"/>
    <x v="1"/>
    <x v="0"/>
    <x v="0"/>
    <x v="0"/>
    <x v="0"/>
    <x v="0"/>
    <x v="0"/>
    <x v="1"/>
    <x v="1"/>
    <x v="1"/>
    <x v="12"/>
    <x v="12"/>
    <n v="1777.1843522670399"/>
    <x v="0"/>
    <x v="0"/>
    <x v="0"/>
    <x v="0"/>
    <x v="8"/>
    <x v="12"/>
    <n v="2114.8493791977776"/>
  </r>
  <r>
    <x v="13"/>
    <x v="1"/>
    <x v="1"/>
    <x v="1"/>
    <x v="0"/>
    <x v="1"/>
    <x v="0"/>
    <x v="0"/>
    <x v="0"/>
    <x v="0"/>
    <x v="0"/>
    <x v="0"/>
    <x v="1"/>
    <x v="1"/>
    <x v="1"/>
    <x v="14"/>
    <x v="14"/>
    <n v="156.88692"/>
    <x v="0"/>
    <x v="0"/>
    <x v="0"/>
    <x v="0"/>
    <x v="8"/>
    <x v="14"/>
    <n v="186.69543479999999"/>
  </r>
  <r>
    <x v="13"/>
    <x v="1"/>
    <x v="1"/>
    <x v="1"/>
    <x v="0"/>
    <x v="1"/>
    <x v="0"/>
    <x v="0"/>
    <x v="0"/>
    <x v="0"/>
    <x v="0"/>
    <x v="0"/>
    <x v="1"/>
    <x v="1"/>
    <x v="1"/>
    <x v="15"/>
    <x v="15"/>
    <n v="0.29133613445246997"/>
    <x v="0"/>
    <x v="0"/>
    <x v="1"/>
    <x v="3"/>
    <x v="3"/>
    <x v="15"/>
    <n v="0.34668999999843925"/>
  </r>
  <r>
    <x v="13"/>
    <x v="1"/>
    <x v="1"/>
    <x v="1"/>
    <x v="0"/>
    <x v="1"/>
    <x v="0"/>
    <x v="0"/>
    <x v="0"/>
    <x v="0"/>
    <x v="0"/>
    <x v="0"/>
    <x v="1"/>
    <x v="1"/>
    <x v="1"/>
    <x v="22"/>
    <x v="22"/>
    <n v="4.7866330644969803"/>
    <x v="0"/>
    <x v="0"/>
    <x v="0"/>
    <x v="0"/>
    <x v="0"/>
    <x v="0"/>
    <n v="5.6960933467514065"/>
  </r>
  <r>
    <x v="13"/>
    <x v="1"/>
    <x v="1"/>
    <x v="1"/>
    <x v="0"/>
    <x v="1"/>
    <x v="0"/>
    <x v="0"/>
    <x v="0"/>
    <x v="0"/>
    <x v="0"/>
    <x v="0"/>
    <x v="1"/>
    <x v="1"/>
    <x v="1"/>
    <x v="16"/>
    <x v="16"/>
    <n v="259.78138000000001"/>
    <x v="0"/>
    <x v="0"/>
    <x v="3"/>
    <x v="5"/>
    <x v="9"/>
    <x v="16"/>
    <n v="309.13984219999998"/>
  </r>
  <r>
    <x v="13"/>
    <x v="1"/>
    <x v="1"/>
    <x v="1"/>
    <x v="0"/>
    <x v="1"/>
    <x v="0"/>
    <x v="0"/>
    <x v="0"/>
    <x v="0"/>
    <x v="0"/>
    <x v="0"/>
    <x v="1"/>
    <x v="1"/>
    <x v="1"/>
    <x v="23"/>
    <x v="23"/>
    <n v="39.363268907385901"/>
    <x v="0"/>
    <x v="0"/>
    <x v="1"/>
    <x v="3"/>
    <x v="3"/>
    <x v="15"/>
    <n v="46.842289999789223"/>
  </r>
  <r>
    <x v="13"/>
    <x v="1"/>
    <x v="1"/>
    <x v="1"/>
    <x v="0"/>
    <x v="1"/>
    <x v="0"/>
    <x v="0"/>
    <x v="0"/>
    <x v="0"/>
    <x v="0"/>
    <x v="0"/>
    <x v="1"/>
    <x v="1"/>
    <x v="1"/>
    <x v="24"/>
    <x v="24"/>
    <n v="22.970084033510101"/>
    <x v="0"/>
    <x v="0"/>
    <x v="1"/>
    <x v="3"/>
    <x v="3"/>
    <x v="4"/>
    <n v="27.334399999877018"/>
  </r>
  <r>
    <x v="13"/>
    <x v="1"/>
    <x v="1"/>
    <x v="1"/>
    <x v="0"/>
    <x v="1"/>
    <x v="0"/>
    <x v="0"/>
    <x v="0"/>
    <x v="0"/>
    <x v="0"/>
    <x v="0"/>
    <x v="1"/>
    <x v="1"/>
    <x v="1"/>
    <x v="18"/>
    <x v="18"/>
    <n v="82.660889999999995"/>
    <x v="0"/>
    <x v="0"/>
    <x v="0"/>
    <x v="0"/>
    <x v="4"/>
    <x v="18"/>
    <n v="98.366459099999986"/>
  </r>
  <r>
    <x v="13"/>
    <x v="1"/>
    <x v="1"/>
    <x v="1"/>
    <x v="0"/>
    <x v="1"/>
    <x v="0"/>
    <x v="0"/>
    <x v="0"/>
    <x v="0"/>
    <x v="0"/>
    <x v="0"/>
    <x v="1"/>
    <x v="1"/>
    <x v="1"/>
    <x v="27"/>
    <x v="27"/>
    <n v="30.101979405681501"/>
    <x v="0"/>
    <x v="0"/>
    <x v="1"/>
    <x v="3"/>
    <x v="3"/>
    <x v="19"/>
    <n v="35.821355492760986"/>
  </r>
  <r>
    <x v="13"/>
    <x v="1"/>
    <x v="1"/>
    <x v="1"/>
    <x v="0"/>
    <x v="1"/>
    <x v="0"/>
    <x v="0"/>
    <x v="0"/>
    <x v="0"/>
    <x v="0"/>
    <x v="0"/>
    <x v="1"/>
    <x v="1"/>
    <x v="1"/>
    <x v="86"/>
    <x v="86"/>
    <n v="11.592359999999999"/>
    <x v="0"/>
    <x v="0"/>
    <x v="1"/>
    <x v="3"/>
    <x v="3"/>
    <x v="13"/>
    <n v="13.794908399999999"/>
  </r>
  <r>
    <x v="13"/>
    <x v="1"/>
    <x v="1"/>
    <x v="1"/>
    <x v="0"/>
    <x v="1"/>
    <x v="0"/>
    <x v="0"/>
    <x v="0"/>
    <x v="0"/>
    <x v="0"/>
    <x v="0"/>
    <x v="1"/>
    <x v="1"/>
    <x v="1"/>
    <x v="26"/>
    <x v="26"/>
    <n v="193.025840335266"/>
    <x v="0"/>
    <x v="0"/>
    <x v="1"/>
    <x v="3"/>
    <x v="3"/>
    <x v="15"/>
    <n v="229.70074999896653"/>
  </r>
  <r>
    <x v="13"/>
    <x v="1"/>
    <x v="1"/>
    <x v="1"/>
    <x v="0"/>
    <x v="1"/>
    <x v="0"/>
    <x v="0"/>
    <x v="0"/>
    <x v="0"/>
    <x v="0"/>
    <x v="0"/>
    <x v="1"/>
    <x v="1"/>
    <x v="1"/>
    <x v="0"/>
    <x v="0"/>
    <n v="10.4577262223529"/>
    <x v="0"/>
    <x v="0"/>
    <x v="0"/>
    <x v="0"/>
    <x v="0"/>
    <x v="0"/>
    <n v="12.44469420459995"/>
  </r>
  <r>
    <x v="13"/>
    <x v="1"/>
    <x v="1"/>
    <x v="1"/>
    <x v="0"/>
    <x v="1"/>
    <x v="0"/>
    <x v="0"/>
    <x v="0"/>
    <x v="0"/>
    <x v="0"/>
    <x v="0"/>
    <x v="1"/>
    <x v="1"/>
    <x v="1"/>
    <x v="2"/>
    <x v="2"/>
    <n v="1425.54173948938"/>
    <x v="0"/>
    <x v="1"/>
    <x v="2"/>
    <x v="2"/>
    <x v="13"/>
    <x v="2"/>
    <n v="1696.3946699923622"/>
  </r>
  <r>
    <x v="13"/>
    <x v="1"/>
    <x v="1"/>
    <x v="1"/>
    <x v="0"/>
    <x v="1"/>
    <x v="0"/>
    <x v="0"/>
    <x v="0"/>
    <x v="0"/>
    <x v="0"/>
    <x v="0"/>
    <x v="2"/>
    <x v="2"/>
    <x v="2"/>
    <x v="6"/>
    <x v="6"/>
    <n v="118.20196"/>
    <x v="0"/>
    <x v="0"/>
    <x v="0"/>
    <x v="0"/>
    <x v="4"/>
    <x v="6"/>
    <n v="140.66033239999999"/>
  </r>
  <r>
    <x v="13"/>
    <x v="1"/>
    <x v="1"/>
    <x v="1"/>
    <x v="0"/>
    <x v="1"/>
    <x v="0"/>
    <x v="0"/>
    <x v="0"/>
    <x v="0"/>
    <x v="0"/>
    <x v="0"/>
    <x v="2"/>
    <x v="2"/>
    <x v="2"/>
    <x v="7"/>
    <x v="7"/>
    <n v="1.09668907562532"/>
    <x v="0"/>
    <x v="0"/>
    <x v="1"/>
    <x v="4"/>
    <x v="5"/>
    <x v="7"/>
    <n v="1.3050599999941308"/>
  </r>
  <r>
    <x v="13"/>
    <x v="1"/>
    <x v="1"/>
    <x v="1"/>
    <x v="0"/>
    <x v="1"/>
    <x v="0"/>
    <x v="0"/>
    <x v="0"/>
    <x v="0"/>
    <x v="0"/>
    <x v="0"/>
    <x v="2"/>
    <x v="2"/>
    <x v="2"/>
    <x v="8"/>
    <x v="8"/>
    <n v="2020.7490993711999"/>
    <x v="0"/>
    <x v="1"/>
    <x v="2"/>
    <x v="2"/>
    <x v="6"/>
    <x v="8"/>
    <n v="2404.6914282517278"/>
  </r>
  <r>
    <x v="13"/>
    <x v="1"/>
    <x v="1"/>
    <x v="1"/>
    <x v="0"/>
    <x v="1"/>
    <x v="0"/>
    <x v="0"/>
    <x v="0"/>
    <x v="0"/>
    <x v="0"/>
    <x v="0"/>
    <x v="2"/>
    <x v="2"/>
    <x v="2"/>
    <x v="9"/>
    <x v="9"/>
    <n v="8.4587983192896701"/>
    <x v="0"/>
    <x v="0"/>
    <x v="1"/>
    <x v="4"/>
    <x v="5"/>
    <x v="9"/>
    <n v="10.065969999954707"/>
  </r>
  <r>
    <x v="13"/>
    <x v="1"/>
    <x v="1"/>
    <x v="1"/>
    <x v="0"/>
    <x v="1"/>
    <x v="0"/>
    <x v="0"/>
    <x v="0"/>
    <x v="0"/>
    <x v="0"/>
    <x v="0"/>
    <x v="2"/>
    <x v="2"/>
    <x v="2"/>
    <x v="30"/>
    <x v="30"/>
    <n v="68.985274193272403"/>
    <x v="0"/>
    <x v="0"/>
    <x v="0"/>
    <x v="0"/>
    <x v="0"/>
    <x v="0"/>
    <n v="82.092476289994153"/>
  </r>
  <r>
    <x v="13"/>
    <x v="1"/>
    <x v="1"/>
    <x v="1"/>
    <x v="0"/>
    <x v="1"/>
    <x v="0"/>
    <x v="0"/>
    <x v="0"/>
    <x v="0"/>
    <x v="0"/>
    <x v="0"/>
    <x v="2"/>
    <x v="2"/>
    <x v="2"/>
    <x v="11"/>
    <x v="11"/>
    <n v="100.04898"/>
    <x v="0"/>
    <x v="0"/>
    <x v="3"/>
    <x v="5"/>
    <x v="7"/>
    <x v="11"/>
    <n v="119.0582862"/>
  </r>
  <r>
    <x v="13"/>
    <x v="1"/>
    <x v="1"/>
    <x v="1"/>
    <x v="0"/>
    <x v="1"/>
    <x v="0"/>
    <x v="0"/>
    <x v="0"/>
    <x v="0"/>
    <x v="0"/>
    <x v="0"/>
    <x v="2"/>
    <x v="2"/>
    <x v="2"/>
    <x v="12"/>
    <x v="12"/>
    <n v="328.02347727167802"/>
    <x v="0"/>
    <x v="0"/>
    <x v="0"/>
    <x v="0"/>
    <x v="8"/>
    <x v="12"/>
    <n v="390.34793795329682"/>
  </r>
  <r>
    <x v="13"/>
    <x v="1"/>
    <x v="1"/>
    <x v="1"/>
    <x v="0"/>
    <x v="1"/>
    <x v="0"/>
    <x v="0"/>
    <x v="0"/>
    <x v="0"/>
    <x v="0"/>
    <x v="0"/>
    <x v="2"/>
    <x v="2"/>
    <x v="2"/>
    <x v="14"/>
    <x v="14"/>
    <n v="28.253029999999999"/>
    <x v="0"/>
    <x v="0"/>
    <x v="0"/>
    <x v="0"/>
    <x v="8"/>
    <x v="14"/>
    <n v="33.621105699999994"/>
  </r>
  <r>
    <x v="13"/>
    <x v="1"/>
    <x v="1"/>
    <x v="1"/>
    <x v="0"/>
    <x v="1"/>
    <x v="0"/>
    <x v="0"/>
    <x v="0"/>
    <x v="0"/>
    <x v="0"/>
    <x v="0"/>
    <x v="2"/>
    <x v="2"/>
    <x v="2"/>
    <x v="22"/>
    <x v="22"/>
    <n v="6.5727580644898396"/>
    <x v="0"/>
    <x v="0"/>
    <x v="0"/>
    <x v="0"/>
    <x v="0"/>
    <x v="0"/>
    <n v="7.8215820967429091"/>
  </r>
  <r>
    <x v="13"/>
    <x v="1"/>
    <x v="1"/>
    <x v="1"/>
    <x v="0"/>
    <x v="1"/>
    <x v="0"/>
    <x v="0"/>
    <x v="0"/>
    <x v="0"/>
    <x v="0"/>
    <x v="0"/>
    <x v="2"/>
    <x v="2"/>
    <x v="2"/>
    <x v="16"/>
    <x v="16"/>
    <n v="44.182259999999999"/>
    <x v="0"/>
    <x v="0"/>
    <x v="3"/>
    <x v="5"/>
    <x v="9"/>
    <x v="16"/>
    <n v="52.576889399999999"/>
  </r>
  <r>
    <x v="13"/>
    <x v="1"/>
    <x v="1"/>
    <x v="1"/>
    <x v="0"/>
    <x v="1"/>
    <x v="0"/>
    <x v="0"/>
    <x v="0"/>
    <x v="0"/>
    <x v="0"/>
    <x v="0"/>
    <x v="2"/>
    <x v="2"/>
    <x v="2"/>
    <x v="24"/>
    <x v="24"/>
    <n v="6.0596638655190001E-2"/>
    <x v="0"/>
    <x v="0"/>
    <x v="1"/>
    <x v="3"/>
    <x v="3"/>
    <x v="4"/>
    <n v="7.21099999996761E-2"/>
  </r>
  <r>
    <x v="13"/>
    <x v="1"/>
    <x v="1"/>
    <x v="1"/>
    <x v="0"/>
    <x v="1"/>
    <x v="0"/>
    <x v="0"/>
    <x v="0"/>
    <x v="0"/>
    <x v="0"/>
    <x v="0"/>
    <x v="2"/>
    <x v="2"/>
    <x v="2"/>
    <x v="17"/>
    <x v="17"/>
    <n v="0.95204999999999995"/>
    <x v="0"/>
    <x v="0"/>
    <x v="0"/>
    <x v="0"/>
    <x v="4"/>
    <x v="17"/>
    <n v="1.1329395"/>
  </r>
  <r>
    <x v="13"/>
    <x v="1"/>
    <x v="1"/>
    <x v="1"/>
    <x v="0"/>
    <x v="1"/>
    <x v="0"/>
    <x v="0"/>
    <x v="0"/>
    <x v="0"/>
    <x v="0"/>
    <x v="0"/>
    <x v="2"/>
    <x v="2"/>
    <x v="2"/>
    <x v="18"/>
    <x v="18"/>
    <n v="208.03733"/>
    <x v="0"/>
    <x v="0"/>
    <x v="0"/>
    <x v="0"/>
    <x v="4"/>
    <x v="18"/>
    <n v="247.56442269999999"/>
  </r>
  <r>
    <x v="13"/>
    <x v="1"/>
    <x v="1"/>
    <x v="1"/>
    <x v="0"/>
    <x v="1"/>
    <x v="0"/>
    <x v="0"/>
    <x v="0"/>
    <x v="0"/>
    <x v="0"/>
    <x v="0"/>
    <x v="2"/>
    <x v="2"/>
    <x v="2"/>
    <x v="34"/>
    <x v="34"/>
    <n v="1.1728290668241199"/>
    <x v="0"/>
    <x v="0"/>
    <x v="0"/>
    <x v="0"/>
    <x v="0"/>
    <x v="0"/>
    <n v="1.3956665895207025"/>
  </r>
  <r>
    <x v="13"/>
    <x v="1"/>
    <x v="1"/>
    <x v="1"/>
    <x v="0"/>
    <x v="1"/>
    <x v="0"/>
    <x v="0"/>
    <x v="0"/>
    <x v="0"/>
    <x v="0"/>
    <x v="0"/>
    <x v="2"/>
    <x v="2"/>
    <x v="2"/>
    <x v="27"/>
    <x v="27"/>
    <n v="44.948308925451499"/>
    <x v="0"/>
    <x v="0"/>
    <x v="1"/>
    <x v="3"/>
    <x v="3"/>
    <x v="19"/>
    <n v="53.488487621287284"/>
  </r>
  <r>
    <x v="13"/>
    <x v="1"/>
    <x v="1"/>
    <x v="1"/>
    <x v="0"/>
    <x v="1"/>
    <x v="0"/>
    <x v="0"/>
    <x v="0"/>
    <x v="0"/>
    <x v="0"/>
    <x v="0"/>
    <x v="2"/>
    <x v="2"/>
    <x v="2"/>
    <x v="26"/>
    <x v="26"/>
    <n v="4.6725210083823399"/>
    <x v="0"/>
    <x v="0"/>
    <x v="1"/>
    <x v="3"/>
    <x v="3"/>
    <x v="15"/>
    <n v="5.5602999999749843"/>
  </r>
  <r>
    <x v="13"/>
    <x v="1"/>
    <x v="1"/>
    <x v="1"/>
    <x v="0"/>
    <x v="1"/>
    <x v="0"/>
    <x v="0"/>
    <x v="0"/>
    <x v="0"/>
    <x v="0"/>
    <x v="0"/>
    <x v="2"/>
    <x v="2"/>
    <x v="2"/>
    <x v="0"/>
    <x v="0"/>
    <n v="0.39004444444932002"/>
    <x v="0"/>
    <x v="0"/>
    <x v="0"/>
    <x v="0"/>
    <x v="0"/>
    <x v="0"/>
    <n v="0.46415288889469081"/>
  </r>
  <r>
    <x v="13"/>
    <x v="1"/>
    <x v="1"/>
    <x v="1"/>
    <x v="0"/>
    <x v="1"/>
    <x v="0"/>
    <x v="0"/>
    <x v="0"/>
    <x v="0"/>
    <x v="0"/>
    <x v="0"/>
    <x v="2"/>
    <x v="2"/>
    <x v="2"/>
    <x v="1"/>
    <x v="1"/>
    <n v="166.47830000083201"/>
    <x v="0"/>
    <x v="0"/>
    <x v="1"/>
    <x v="1"/>
    <x v="1"/>
    <x v="1"/>
    <n v="198.10917700099009"/>
  </r>
  <r>
    <x v="13"/>
    <x v="1"/>
    <x v="1"/>
    <x v="1"/>
    <x v="0"/>
    <x v="1"/>
    <x v="0"/>
    <x v="0"/>
    <x v="0"/>
    <x v="0"/>
    <x v="0"/>
    <x v="0"/>
    <x v="2"/>
    <x v="2"/>
    <x v="2"/>
    <x v="20"/>
    <x v="20"/>
    <n v="9.2909000000000006"/>
    <x v="0"/>
    <x v="0"/>
    <x v="1"/>
    <x v="3"/>
    <x v="3"/>
    <x v="13"/>
    <n v="11.056171000000001"/>
  </r>
  <r>
    <x v="13"/>
    <x v="1"/>
    <x v="1"/>
    <x v="1"/>
    <x v="0"/>
    <x v="1"/>
    <x v="0"/>
    <x v="0"/>
    <x v="0"/>
    <x v="0"/>
    <x v="0"/>
    <x v="0"/>
    <x v="2"/>
    <x v="2"/>
    <x v="2"/>
    <x v="2"/>
    <x v="2"/>
    <n v="10351.5454285248"/>
    <x v="0"/>
    <x v="1"/>
    <x v="2"/>
    <x v="2"/>
    <x v="13"/>
    <x v="2"/>
    <n v="12318.339059944512"/>
  </r>
  <r>
    <x v="13"/>
    <x v="1"/>
    <x v="1"/>
    <x v="1"/>
    <x v="0"/>
    <x v="1"/>
    <x v="0"/>
    <x v="0"/>
    <x v="0"/>
    <x v="0"/>
    <x v="0"/>
    <x v="0"/>
    <x v="1"/>
    <x v="6"/>
    <x v="6"/>
    <x v="8"/>
    <x v="8"/>
    <n v="38.588850931530402"/>
    <x v="0"/>
    <x v="1"/>
    <x v="2"/>
    <x v="2"/>
    <x v="6"/>
    <x v="8"/>
    <n v="45.920732608521178"/>
  </r>
  <r>
    <x v="13"/>
    <x v="1"/>
    <x v="1"/>
    <x v="1"/>
    <x v="0"/>
    <x v="1"/>
    <x v="0"/>
    <x v="0"/>
    <x v="0"/>
    <x v="0"/>
    <x v="0"/>
    <x v="0"/>
    <x v="1"/>
    <x v="6"/>
    <x v="6"/>
    <x v="11"/>
    <x v="11"/>
    <n v="792.24000999999998"/>
    <x v="0"/>
    <x v="0"/>
    <x v="3"/>
    <x v="5"/>
    <x v="7"/>
    <x v="11"/>
    <n v="942.76561189999995"/>
  </r>
  <r>
    <x v="13"/>
    <x v="1"/>
    <x v="1"/>
    <x v="1"/>
    <x v="0"/>
    <x v="1"/>
    <x v="0"/>
    <x v="0"/>
    <x v="0"/>
    <x v="0"/>
    <x v="0"/>
    <x v="0"/>
    <x v="1"/>
    <x v="6"/>
    <x v="6"/>
    <x v="12"/>
    <x v="12"/>
    <n v="101.02561363604001"/>
    <x v="0"/>
    <x v="0"/>
    <x v="0"/>
    <x v="0"/>
    <x v="8"/>
    <x v="12"/>
    <n v="120.2204802268876"/>
  </r>
  <r>
    <x v="13"/>
    <x v="1"/>
    <x v="1"/>
    <x v="1"/>
    <x v="0"/>
    <x v="1"/>
    <x v="0"/>
    <x v="0"/>
    <x v="0"/>
    <x v="0"/>
    <x v="0"/>
    <x v="0"/>
    <x v="1"/>
    <x v="6"/>
    <x v="6"/>
    <x v="14"/>
    <x v="14"/>
    <n v="2.94882"/>
    <x v="0"/>
    <x v="0"/>
    <x v="0"/>
    <x v="0"/>
    <x v="8"/>
    <x v="14"/>
    <n v="3.5090957999999999"/>
  </r>
  <r>
    <x v="13"/>
    <x v="1"/>
    <x v="1"/>
    <x v="1"/>
    <x v="0"/>
    <x v="1"/>
    <x v="0"/>
    <x v="0"/>
    <x v="0"/>
    <x v="0"/>
    <x v="0"/>
    <x v="0"/>
    <x v="1"/>
    <x v="6"/>
    <x v="6"/>
    <x v="16"/>
    <x v="16"/>
    <n v="185.26509999999999"/>
    <x v="0"/>
    <x v="0"/>
    <x v="3"/>
    <x v="5"/>
    <x v="9"/>
    <x v="16"/>
    <n v="220.46546899999998"/>
  </r>
  <r>
    <x v="13"/>
    <x v="1"/>
    <x v="1"/>
    <x v="1"/>
    <x v="0"/>
    <x v="1"/>
    <x v="0"/>
    <x v="0"/>
    <x v="0"/>
    <x v="0"/>
    <x v="0"/>
    <x v="0"/>
    <x v="1"/>
    <x v="6"/>
    <x v="6"/>
    <x v="18"/>
    <x v="18"/>
    <n v="40"/>
    <x v="0"/>
    <x v="0"/>
    <x v="0"/>
    <x v="0"/>
    <x v="4"/>
    <x v="18"/>
    <n v="47.599999999999994"/>
  </r>
  <r>
    <x v="13"/>
    <x v="1"/>
    <x v="1"/>
    <x v="1"/>
    <x v="0"/>
    <x v="1"/>
    <x v="0"/>
    <x v="0"/>
    <x v="0"/>
    <x v="0"/>
    <x v="0"/>
    <x v="0"/>
    <x v="1"/>
    <x v="6"/>
    <x v="6"/>
    <x v="27"/>
    <x v="27"/>
    <n v="94.921148743459597"/>
    <x v="0"/>
    <x v="0"/>
    <x v="1"/>
    <x v="3"/>
    <x v="3"/>
    <x v="19"/>
    <n v="112.95616700471692"/>
  </r>
  <r>
    <x v="13"/>
    <x v="1"/>
    <x v="1"/>
    <x v="1"/>
    <x v="0"/>
    <x v="1"/>
    <x v="0"/>
    <x v="0"/>
    <x v="2"/>
    <x v="2"/>
    <x v="0"/>
    <x v="0"/>
    <x v="1"/>
    <x v="6"/>
    <x v="6"/>
    <x v="46"/>
    <x v="46"/>
    <n v="9.7885000000000009"/>
    <x v="1"/>
    <x v="0"/>
    <x v="4"/>
    <x v="6"/>
    <x v="10"/>
    <x v="21"/>
    <n v="11.648315"/>
  </r>
  <r>
    <x v="13"/>
    <x v="1"/>
    <x v="1"/>
    <x v="1"/>
    <x v="0"/>
    <x v="1"/>
    <x v="0"/>
    <x v="0"/>
    <x v="0"/>
    <x v="0"/>
    <x v="0"/>
    <x v="0"/>
    <x v="1"/>
    <x v="6"/>
    <x v="6"/>
    <x v="26"/>
    <x v="26"/>
    <n v="5.93746218484723"/>
    <x v="0"/>
    <x v="0"/>
    <x v="1"/>
    <x v="3"/>
    <x v="3"/>
    <x v="15"/>
    <n v="7.065579999968203"/>
  </r>
  <r>
    <x v="13"/>
    <x v="1"/>
    <x v="1"/>
    <x v="1"/>
    <x v="0"/>
    <x v="1"/>
    <x v="0"/>
    <x v="0"/>
    <x v="0"/>
    <x v="0"/>
    <x v="0"/>
    <x v="0"/>
    <x v="1"/>
    <x v="6"/>
    <x v="6"/>
    <x v="20"/>
    <x v="20"/>
    <n v="20.792159999999999"/>
    <x v="0"/>
    <x v="0"/>
    <x v="1"/>
    <x v="3"/>
    <x v="3"/>
    <x v="13"/>
    <n v="24.742670399999998"/>
  </r>
  <r>
    <x v="13"/>
    <x v="1"/>
    <x v="1"/>
    <x v="1"/>
    <x v="0"/>
    <x v="1"/>
    <x v="0"/>
    <x v="0"/>
    <x v="0"/>
    <x v="0"/>
    <x v="0"/>
    <x v="0"/>
    <x v="1"/>
    <x v="6"/>
    <x v="6"/>
    <x v="2"/>
    <x v="2"/>
    <n v="1151.0573781460801"/>
    <x v="0"/>
    <x v="1"/>
    <x v="2"/>
    <x v="2"/>
    <x v="13"/>
    <x v="2"/>
    <n v="1369.7582799938352"/>
  </r>
  <r>
    <x v="13"/>
    <x v="1"/>
    <x v="1"/>
    <x v="1"/>
    <x v="0"/>
    <x v="1"/>
    <x v="0"/>
    <x v="0"/>
    <x v="0"/>
    <x v="0"/>
    <x v="0"/>
    <x v="0"/>
    <x v="3"/>
    <x v="7"/>
    <x v="7"/>
    <x v="6"/>
    <x v="6"/>
    <n v="72.484279999999998"/>
    <x v="0"/>
    <x v="0"/>
    <x v="0"/>
    <x v="0"/>
    <x v="4"/>
    <x v="6"/>
    <n v="86.256293199999988"/>
  </r>
  <r>
    <x v="13"/>
    <x v="1"/>
    <x v="1"/>
    <x v="1"/>
    <x v="0"/>
    <x v="1"/>
    <x v="0"/>
    <x v="0"/>
    <x v="0"/>
    <x v="0"/>
    <x v="0"/>
    <x v="0"/>
    <x v="3"/>
    <x v="7"/>
    <x v="7"/>
    <x v="9"/>
    <x v="9"/>
    <n v="399.27344128695398"/>
    <x v="0"/>
    <x v="0"/>
    <x v="1"/>
    <x v="4"/>
    <x v="5"/>
    <x v="9"/>
    <n v="475.13539513147521"/>
  </r>
  <r>
    <x v="13"/>
    <x v="1"/>
    <x v="1"/>
    <x v="1"/>
    <x v="0"/>
    <x v="1"/>
    <x v="0"/>
    <x v="0"/>
    <x v="0"/>
    <x v="0"/>
    <x v="0"/>
    <x v="0"/>
    <x v="3"/>
    <x v="7"/>
    <x v="7"/>
    <x v="10"/>
    <x v="10"/>
    <n v="47.444564892802298"/>
    <x v="0"/>
    <x v="0"/>
    <x v="1"/>
    <x v="4"/>
    <x v="5"/>
    <x v="10"/>
    <n v="56.459032222434729"/>
  </r>
  <r>
    <x v="13"/>
    <x v="1"/>
    <x v="1"/>
    <x v="1"/>
    <x v="0"/>
    <x v="1"/>
    <x v="0"/>
    <x v="0"/>
    <x v="0"/>
    <x v="0"/>
    <x v="0"/>
    <x v="0"/>
    <x v="3"/>
    <x v="7"/>
    <x v="7"/>
    <x v="11"/>
    <x v="11"/>
    <n v="222.56245999999999"/>
    <x v="0"/>
    <x v="0"/>
    <x v="3"/>
    <x v="5"/>
    <x v="7"/>
    <x v="11"/>
    <n v="264.84932739999999"/>
  </r>
  <r>
    <x v="13"/>
    <x v="1"/>
    <x v="1"/>
    <x v="1"/>
    <x v="0"/>
    <x v="1"/>
    <x v="0"/>
    <x v="0"/>
    <x v="0"/>
    <x v="0"/>
    <x v="0"/>
    <x v="0"/>
    <x v="3"/>
    <x v="7"/>
    <x v="7"/>
    <x v="36"/>
    <x v="36"/>
    <n v="32.601411764559202"/>
    <x v="0"/>
    <x v="0"/>
    <x v="1"/>
    <x v="3"/>
    <x v="3"/>
    <x v="4"/>
    <n v="38.795679999825452"/>
  </r>
  <r>
    <x v="13"/>
    <x v="1"/>
    <x v="1"/>
    <x v="1"/>
    <x v="0"/>
    <x v="1"/>
    <x v="0"/>
    <x v="0"/>
    <x v="0"/>
    <x v="0"/>
    <x v="0"/>
    <x v="0"/>
    <x v="3"/>
    <x v="7"/>
    <x v="7"/>
    <x v="24"/>
    <x v="24"/>
    <n v="167.85518487319399"/>
    <x v="0"/>
    <x v="0"/>
    <x v="1"/>
    <x v="3"/>
    <x v="3"/>
    <x v="4"/>
    <n v="199.74766999910085"/>
  </r>
  <r>
    <x v="13"/>
    <x v="1"/>
    <x v="1"/>
    <x v="1"/>
    <x v="0"/>
    <x v="1"/>
    <x v="0"/>
    <x v="0"/>
    <x v="0"/>
    <x v="0"/>
    <x v="0"/>
    <x v="0"/>
    <x v="3"/>
    <x v="7"/>
    <x v="7"/>
    <x v="17"/>
    <x v="17"/>
    <n v="479.51875000000001"/>
    <x v="0"/>
    <x v="0"/>
    <x v="0"/>
    <x v="0"/>
    <x v="4"/>
    <x v="17"/>
    <n v="570.62731250000002"/>
  </r>
  <r>
    <x v="13"/>
    <x v="1"/>
    <x v="1"/>
    <x v="1"/>
    <x v="0"/>
    <x v="1"/>
    <x v="0"/>
    <x v="0"/>
    <x v="0"/>
    <x v="0"/>
    <x v="0"/>
    <x v="0"/>
    <x v="3"/>
    <x v="7"/>
    <x v="7"/>
    <x v="34"/>
    <x v="34"/>
    <n v="82.415902555458601"/>
    <x v="0"/>
    <x v="0"/>
    <x v="0"/>
    <x v="0"/>
    <x v="0"/>
    <x v="0"/>
    <n v="98.074924040995725"/>
  </r>
  <r>
    <x v="13"/>
    <x v="1"/>
    <x v="1"/>
    <x v="1"/>
    <x v="0"/>
    <x v="1"/>
    <x v="0"/>
    <x v="0"/>
    <x v="0"/>
    <x v="0"/>
    <x v="0"/>
    <x v="0"/>
    <x v="1"/>
    <x v="8"/>
    <x v="8"/>
    <x v="6"/>
    <x v="6"/>
    <n v="79.314509999999999"/>
    <x v="0"/>
    <x v="0"/>
    <x v="0"/>
    <x v="0"/>
    <x v="4"/>
    <x v="6"/>
    <n v="94.3842669"/>
  </r>
  <r>
    <x v="13"/>
    <x v="1"/>
    <x v="1"/>
    <x v="1"/>
    <x v="0"/>
    <x v="1"/>
    <x v="0"/>
    <x v="0"/>
    <x v="0"/>
    <x v="0"/>
    <x v="0"/>
    <x v="0"/>
    <x v="1"/>
    <x v="8"/>
    <x v="8"/>
    <x v="8"/>
    <x v="8"/>
    <n v="228.42130434695801"/>
    <x v="0"/>
    <x v="1"/>
    <x v="2"/>
    <x v="2"/>
    <x v="6"/>
    <x v="8"/>
    <n v="271.82135217288004"/>
  </r>
  <r>
    <x v="13"/>
    <x v="1"/>
    <x v="1"/>
    <x v="1"/>
    <x v="0"/>
    <x v="1"/>
    <x v="0"/>
    <x v="0"/>
    <x v="0"/>
    <x v="0"/>
    <x v="0"/>
    <x v="0"/>
    <x v="1"/>
    <x v="8"/>
    <x v="8"/>
    <x v="9"/>
    <x v="9"/>
    <n v="1039.86542229514"/>
    <x v="0"/>
    <x v="0"/>
    <x v="1"/>
    <x v="4"/>
    <x v="5"/>
    <x v="9"/>
    <n v="1237.4398525312165"/>
  </r>
  <r>
    <x v="13"/>
    <x v="1"/>
    <x v="1"/>
    <x v="1"/>
    <x v="0"/>
    <x v="1"/>
    <x v="0"/>
    <x v="0"/>
    <x v="0"/>
    <x v="0"/>
    <x v="0"/>
    <x v="0"/>
    <x v="1"/>
    <x v="8"/>
    <x v="8"/>
    <x v="10"/>
    <x v="10"/>
    <n v="60.821091606139902"/>
    <x v="0"/>
    <x v="0"/>
    <x v="1"/>
    <x v="4"/>
    <x v="5"/>
    <x v="10"/>
    <n v="72.377099011306484"/>
  </r>
  <r>
    <x v="13"/>
    <x v="1"/>
    <x v="1"/>
    <x v="1"/>
    <x v="0"/>
    <x v="1"/>
    <x v="0"/>
    <x v="0"/>
    <x v="0"/>
    <x v="0"/>
    <x v="0"/>
    <x v="0"/>
    <x v="1"/>
    <x v="8"/>
    <x v="8"/>
    <x v="30"/>
    <x v="30"/>
    <n v="66.880431451345402"/>
    <x v="0"/>
    <x v="0"/>
    <x v="0"/>
    <x v="0"/>
    <x v="0"/>
    <x v="0"/>
    <n v="79.587713427101022"/>
  </r>
  <r>
    <x v="13"/>
    <x v="1"/>
    <x v="1"/>
    <x v="1"/>
    <x v="0"/>
    <x v="1"/>
    <x v="0"/>
    <x v="0"/>
    <x v="0"/>
    <x v="0"/>
    <x v="0"/>
    <x v="0"/>
    <x v="1"/>
    <x v="8"/>
    <x v="8"/>
    <x v="11"/>
    <x v="11"/>
    <n v="15.80472"/>
    <x v="0"/>
    <x v="0"/>
    <x v="3"/>
    <x v="5"/>
    <x v="7"/>
    <x v="11"/>
    <n v="18.807616799999998"/>
  </r>
  <r>
    <x v="13"/>
    <x v="1"/>
    <x v="1"/>
    <x v="1"/>
    <x v="0"/>
    <x v="1"/>
    <x v="0"/>
    <x v="0"/>
    <x v="0"/>
    <x v="0"/>
    <x v="0"/>
    <x v="0"/>
    <x v="1"/>
    <x v="8"/>
    <x v="8"/>
    <x v="36"/>
    <x v="36"/>
    <n v="1.4702352941110299"/>
    <x v="0"/>
    <x v="0"/>
    <x v="1"/>
    <x v="3"/>
    <x v="3"/>
    <x v="4"/>
    <n v="1.7495799999921255"/>
  </r>
  <r>
    <x v="13"/>
    <x v="1"/>
    <x v="1"/>
    <x v="1"/>
    <x v="0"/>
    <x v="1"/>
    <x v="0"/>
    <x v="0"/>
    <x v="0"/>
    <x v="0"/>
    <x v="0"/>
    <x v="0"/>
    <x v="1"/>
    <x v="8"/>
    <x v="8"/>
    <x v="24"/>
    <x v="24"/>
    <n v="195.25438655374299"/>
    <x v="0"/>
    <x v="0"/>
    <x v="1"/>
    <x v="3"/>
    <x v="3"/>
    <x v="4"/>
    <n v="232.35271999895414"/>
  </r>
  <r>
    <x v="13"/>
    <x v="1"/>
    <x v="1"/>
    <x v="1"/>
    <x v="0"/>
    <x v="1"/>
    <x v="0"/>
    <x v="0"/>
    <x v="0"/>
    <x v="0"/>
    <x v="0"/>
    <x v="0"/>
    <x v="1"/>
    <x v="8"/>
    <x v="8"/>
    <x v="17"/>
    <x v="17"/>
    <n v="43.478749999999998"/>
    <x v="0"/>
    <x v="0"/>
    <x v="0"/>
    <x v="0"/>
    <x v="4"/>
    <x v="17"/>
    <n v="51.739712499999996"/>
  </r>
  <r>
    <x v="13"/>
    <x v="1"/>
    <x v="1"/>
    <x v="1"/>
    <x v="0"/>
    <x v="1"/>
    <x v="0"/>
    <x v="0"/>
    <x v="0"/>
    <x v="0"/>
    <x v="0"/>
    <x v="0"/>
    <x v="1"/>
    <x v="8"/>
    <x v="8"/>
    <x v="21"/>
    <x v="21"/>
    <n v="12.837310924312"/>
    <x v="0"/>
    <x v="0"/>
    <x v="1"/>
    <x v="4"/>
    <x v="5"/>
    <x v="10"/>
    <n v="15.276399999931279"/>
  </r>
  <r>
    <x v="13"/>
    <x v="1"/>
    <x v="1"/>
    <x v="1"/>
    <x v="0"/>
    <x v="1"/>
    <x v="0"/>
    <x v="0"/>
    <x v="0"/>
    <x v="0"/>
    <x v="0"/>
    <x v="0"/>
    <x v="1"/>
    <x v="8"/>
    <x v="8"/>
    <x v="34"/>
    <x v="34"/>
    <n v="11.569469859001201"/>
    <x v="0"/>
    <x v="0"/>
    <x v="0"/>
    <x v="0"/>
    <x v="0"/>
    <x v="0"/>
    <n v="13.767669132211427"/>
  </r>
  <r>
    <x v="13"/>
    <x v="1"/>
    <x v="1"/>
    <x v="1"/>
    <x v="0"/>
    <x v="1"/>
    <x v="0"/>
    <x v="0"/>
    <x v="0"/>
    <x v="0"/>
    <x v="0"/>
    <x v="0"/>
    <x v="1"/>
    <x v="8"/>
    <x v="8"/>
    <x v="37"/>
    <x v="37"/>
    <n v="150.20966386487001"/>
    <x v="0"/>
    <x v="0"/>
    <x v="1"/>
    <x v="3"/>
    <x v="3"/>
    <x v="4"/>
    <n v="178.74949999919531"/>
  </r>
  <r>
    <x v="13"/>
    <x v="1"/>
    <x v="1"/>
    <x v="1"/>
    <x v="0"/>
    <x v="1"/>
    <x v="0"/>
    <x v="0"/>
    <x v="0"/>
    <x v="0"/>
    <x v="0"/>
    <x v="0"/>
    <x v="1"/>
    <x v="8"/>
    <x v="8"/>
    <x v="26"/>
    <x v="26"/>
    <n v="18.5961344536978"/>
    <x v="0"/>
    <x v="0"/>
    <x v="1"/>
    <x v="3"/>
    <x v="3"/>
    <x v="15"/>
    <n v="22.129399999900382"/>
  </r>
  <r>
    <x v="13"/>
    <x v="1"/>
    <x v="1"/>
    <x v="1"/>
    <x v="0"/>
    <x v="1"/>
    <x v="0"/>
    <x v="0"/>
    <x v="0"/>
    <x v="0"/>
    <x v="0"/>
    <x v="0"/>
    <x v="1"/>
    <x v="8"/>
    <x v="8"/>
    <x v="0"/>
    <x v="0"/>
    <n v="26.459732444775199"/>
    <x v="0"/>
    <x v="0"/>
    <x v="0"/>
    <x v="0"/>
    <x v="0"/>
    <x v="0"/>
    <n v="31.487081609282484"/>
  </r>
  <r>
    <x v="13"/>
    <x v="1"/>
    <x v="1"/>
    <x v="1"/>
    <x v="0"/>
    <x v="1"/>
    <x v="0"/>
    <x v="0"/>
    <x v="0"/>
    <x v="0"/>
    <x v="0"/>
    <x v="0"/>
    <x v="0"/>
    <x v="9"/>
    <x v="9"/>
    <x v="6"/>
    <x v="6"/>
    <n v="232.76088999999999"/>
    <x v="0"/>
    <x v="0"/>
    <x v="0"/>
    <x v="0"/>
    <x v="4"/>
    <x v="6"/>
    <n v="276.98545909999996"/>
  </r>
  <r>
    <x v="13"/>
    <x v="1"/>
    <x v="1"/>
    <x v="1"/>
    <x v="0"/>
    <x v="1"/>
    <x v="0"/>
    <x v="0"/>
    <x v="0"/>
    <x v="0"/>
    <x v="0"/>
    <x v="0"/>
    <x v="0"/>
    <x v="9"/>
    <x v="9"/>
    <x v="7"/>
    <x v="7"/>
    <n v="293.11103361212599"/>
    <x v="0"/>
    <x v="0"/>
    <x v="1"/>
    <x v="4"/>
    <x v="5"/>
    <x v="7"/>
    <n v="348.8021299984299"/>
  </r>
  <r>
    <x v="13"/>
    <x v="1"/>
    <x v="1"/>
    <x v="1"/>
    <x v="0"/>
    <x v="1"/>
    <x v="0"/>
    <x v="0"/>
    <x v="0"/>
    <x v="0"/>
    <x v="0"/>
    <x v="0"/>
    <x v="0"/>
    <x v="9"/>
    <x v="9"/>
    <x v="9"/>
    <x v="9"/>
    <n v="4850.6303225288602"/>
    <x v="0"/>
    <x v="0"/>
    <x v="1"/>
    <x v="4"/>
    <x v="5"/>
    <x v="9"/>
    <n v="5772.2500838093438"/>
  </r>
  <r>
    <x v="13"/>
    <x v="1"/>
    <x v="1"/>
    <x v="1"/>
    <x v="0"/>
    <x v="1"/>
    <x v="0"/>
    <x v="0"/>
    <x v="0"/>
    <x v="0"/>
    <x v="0"/>
    <x v="0"/>
    <x v="0"/>
    <x v="9"/>
    <x v="9"/>
    <x v="10"/>
    <x v="10"/>
    <n v="77.512485789547199"/>
    <x v="0"/>
    <x v="0"/>
    <x v="1"/>
    <x v="4"/>
    <x v="5"/>
    <x v="10"/>
    <n v="92.239858089561167"/>
  </r>
  <r>
    <x v="13"/>
    <x v="1"/>
    <x v="1"/>
    <x v="1"/>
    <x v="0"/>
    <x v="1"/>
    <x v="0"/>
    <x v="0"/>
    <x v="0"/>
    <x v="0"/>
    <x v="0"/>
    <x v="0"/>
    <x v="0"/>
    <x v="9"/>
    <x v="9"/>
    <x v="30"/>
    <x v="30"/>
    <n v="2.2168749999911301"/>
    <x v="0"/>
    <x v="0"/>
    <x v="0"/>
    <x v="0"/>
    <x v="0"/>
    <x v="0"/>
    <n v="2.6380812499894448"/>
  </r>
  <r>
    <x v="13"/>
    <x v="1"/>
    <x v="1"/>
    <x v="1"/>
    <x v="0"/>
    <x v="1"/>
    <x v="0"/>
    <x v="0"/>
    <x v="0"/>
    <x v="0"/>
    <x v="0"/>
    <x v="0"/>
    <x v="0"/>
    <x v="9"/>
    <x v="9"/>
    <x v="11"/>
    <x v="11"/>
    <n v="131.05162999999999"/>
    <x v="0"/>
    <x v="0"/>
    <x v="3"/>
    <x v="5"/>
    <x v="7"/>
    <x v="11"/>
    <n v="155.95143969999998"/>
  </r>
  <r>
    <x v="13"/>
    <x v="1"/>
    <x v="1"/>
    <x v="1"/>
    <x v="0"/>
    <x v="1"/>
    <x v="0"/>
    <x v="0"/>
    <x v="0"/>
    <x v="0"/>
    <x v="0"/>
    <x v="0"/>
    <x v="0"/>
    <x v="9"/>
    <x v="9"/>
    <x v="12"/>
    <x v="12"/>
    <n v="16.335045454493201"/>
    <x v="0"/>
    <x v="0"/>
    <x v="0"/>
    <x v="0"/>
    <x v="8"/>
    <x v="12"/>
    <n v="19.438704090846908"/>
  </r>
  <r>
    <x v="13"/>
    <x v="1"/>
    <x v="1"/>
    <x v="1"/>
    <x v="0"/>
    <x v="1"/>
    <x v="0"/>
    <x v="0"/>
    <x v="0"/>
    <x v="0"/>
    <x v="0"/>
    <x v="0"/>
    <x v="0"/>
    <x v="9"/>
    <x v="9"/>
    <x v="36"/>
    <x v="36"/>
    <n v="5.3816050419925903"/>
    <x v="0"/>
    <x v="0"/>
    <x v="1"/>
    <x v="3"/>
    <x v="3"/>
    <x v="4"/>
    <n v="6.4041099999711824"/>
  </r>
  <r>
    <x v="13"/>
    <x v="1"/>
    <x v="1"/>
    <x v="1"/>
    <x v="0"/>
    <x v="1"/>
    <x v="0"/>
    <x v="0"/>
    <x v="0"/>
    <x v="0"/>
    <x v="0"/>
    <x v="0"/>
    <x v="0"/>
    <x v="9"/>
    <x v="9"/>
    <x v="24"/>
    <x v="24"/>
    <n v="193.147848738627"/>
    <x v="0"/>
    <x v="0"/>
    <x v="1"/>
    <x v="3"/>
    <x v="3"/>
    <x v="4"/>
    <n v="229.84593999896612"/>
  </r>
  <r>
    <x v="13"/>
    <x v="1"/>
    <x v="1"/>
    <x v="1"/>
    <x v="0"/>
    <x v="1"/>
    <x v="0"/>
    <x v="0"/>
    <x v="0"/>
    <x v="0"/>
    <x v="0"/>
    <x v="0"/>
    <x v="0"/>
    <x v="9"/>
    <x v="9"/>
    <x v="17"/>
    <x v="17"/>
    <n v="117.6"/>
    <x v="0"/>
    <x v="0"/>
    <x v="0"/>
    <x v="0"/>
    <x v="4"/>
    <x v="17"/>
    <n v="139.94399999999999"/>
  </r>
  <r>
    <x v="13"/>
    <x v="1"/>
    <x v="1"/>
    <x v="1"/>
    <x v="0"/>
    <x v="1"/>
    <x v="0"/>
    <x v="0"/>
    <x v="0"/>
    <x v="0"/>
    <x v="0"/>
    <x v="0"/>
    <x v="0"/>
    <x v="9"/>
    <x v="9"/>
    <x v="21"/>
    <x v="21"/>
    <n v="104.173815125582"/>
    <x v="0"/>
    <x v="0"/>
    <x v="1"/>
    <x v="4"/>
    <x v="5"/>
    <x v="10"/>
    <n v="123.96683999944257"/>
  </r>
  <r>
    <x v="13"/>
    <x v="1"/>
    <x v="1"/>
    <x v="1"/>
    <x v="0"/>
    <x v="1"/>
    <x v="0"/>
    <x v="0"/>
    <x v="0"/>
    <x v="0"/>
    <x v="0"/>
    <x v="0"/>
    <x v="0"/>
    <x v="9"/>
    <x v="9"/>
    <x v="18"/>
    <x v="18"/>
    <n v="10.5"/>
    <x v="0"/>
    <x v="0"/>
    <x v="0"/>
    <x v="0"/>
    <x v="4"/>
    <x v="18"/>
    <n v="12.494999999999999"/>
  </r>
  <r>
    <x v="13"/>
    <x v="1"/>
    <x v="1"/>
    <x v="1"/>
    <x v="0"/>
    <x v="1"/>
    <x v="0"/>
    <x v="0"/>
    <x v="0"/>
    <x v="0"/>
    <x v="0"/>
    <x v="0"/>
    <x v="0"/>
    <x v="9"/>
    <x v="9"/>
    <x v="34"/>
    <x v="34"/>
    <n v="46.7853319545573"/>
    <x v="0"/>
    <x v="0"/>
    <x v="0"/>
    <x v="0"/>
    <x v="0"/>
    <x v="0"/>
    <n v="55.674545025923187"/>
  </r>
  <r>
    <x v="13"/>
    <x v="1"/>
    <x v="1"/>
    <x v="1"/>
    <x v="0"/>
    <x v="1"/>
    <x v="0"/>
    <x v="0"/>
    <x v="0"/>
    <x v="0"/>
    <x v="0"/>
    <x v="0"/>
    <x v="0"/>
    <x v="9"/>
    <x v="9"/>
    <x v="37"/>
    <x v="37"/>
    <n v="69.457571428258902"/>
    <x v="0"/>
    <x v="0"/>
    <x v="1"/>
    <x v="3"/>
    <x v="3"/>
    <x v="4"/>
    <n v="82.65450999962809"/>
  </r>
  <r>
    <x v="13"/>
    <x v="1"/>
    <x v="1"/>
    <x v="1"/>
    <x v="0"/>
    <x v="1"/>
    <x v="0"/>
    <x v="0"/>
    <x v="0"/>
    <x v="0"/>
    <x v="0"/>
    <x v="0"/>
    <x v="0"/>
    <x v="9"/>
    <x v="9"/>
    <x v="26"/>
    <x v="26"/>
    <n v="27.5319327729854"/>
    <x v="0"/>
    <x v="0"/>
    <x v="1"/>
    <x v="3"/>
    <x v="3"/>
    <x v="15"/>
    <n v="32.762999999852624"/>
  </r>
  <r>
    <x v="13"/>
    <x v="1"/>
    <x v="1"/>
    <x v="1"/>
    <x v="0"/>
    <x v="1"/>
    <x v="0"/>
    <x v="0"/>
    <x v="0"/>
    <x v="0"/>
    <x v="0"/>
    <x v="0"/>
    <x v="0"/>
    <x v="9"/>
    <x v="9"/>
    <x v="0"/>
    <x v="0"/>
    <n v="3.3464231111529399"/>
    <x v="0"/>
    <x v="0"/>
    <x v="0"/>
    <x v="0"/>
    <x v="0"/>
    <x v="0"/>
    <n v="3.9822435022719982"/>
  </r>
  <r>
    <x v="13"/>
    <x v="1"/>
    <x v="1"/>
    <x v="1"/>
    <x v="0"/>
    <x v="1"/>
    <x v="0"/>
    <x v="0"/>
    <x v="0"/>
    <x v="0"/>
    <x v="0"/>
    <x v="0"/>
    <x v="0"/>
    <x v="9"/>
    <x v="9"/>
    <x v="2"/>
    <x v="2"/>
    <n v="41.165352940991198"/>
    <x v="0"/>
    <x v="1"/>
    <x v="2"/>
    <x v="2"/>
    <x v="13"/>
    <x v="2"/>
    <n v="48.986769999779526"/>
  </r>
  <r>
    <x v="13"/>
    <x v="1"/>
    <x v="1"/>
    <x v="1"/>
    <x v="0"/>
    <x v="1"/>
    <x v="0"/>
    <x v="0"/>
    <x v="0"/>
    <x v="0"/>
    <x v="0"/>
    <x v="0"/>
    <x v="2"/>
    <x v="10"/>
    <x v="10"/>
    <x v="6"/>
    <x v="6"/>
    <n v="289.79442"/>
    <x v="0"/>
    <x v="0"/>
    <x v="0"/>
    <x v="0"/>
    <x v="4"/>
    <x v="6"/>
    <n v="344.85535979999997"/>
  </r>
  <r>
    <x v="13"/>
    <x v="1"/>
    <x v="1"/>
    <x v="1"/>
    <x v="0"/>
    <x v="1"/>
    <x v="0"/>
    <x v="0"/>
    <x v="0"/>
    <x v="0"/>
    <x v="0"/>
    <x v="0"/>
    <x v="2"/>
    <x v="10"/>
    <x v="10"/>
    <x v="7"/>
    <x v="7"/>
    <n v="34.9651512603469"/>
    <x v="0"/>
    <x v="0"/>
    <x v="1"/>
    <x v="4"/>
    <x v="5"/>
    <x v="7"/>
    <n v="41.608529999812809"/>
  </r>
  <r>
    <x v="13"/>
    <x v="1"/>
    <x v="1"/>
    <x v="1"/>
    <x v="0"/>
    <x v="1"/>
    <x v="0"/>
    <x v="0"/>
    <x v="0"/>
    <x v="0"/>
    <x v="0"/>
    <x v="0"/>
    <x v="2"/>
    <x v="10"/>
    <x v="10"/>
    <x v="9"/>
    <x v="9"/>
    <n v="1068.3037138470099"/>
    <x v="0"/>
    <x v="0"/>
    <x v="1"/>
    <x v="4"/>
    <x v="5"/>
    <x v="9"/>
    <n v="1271.2814194779417"/>
  </r>
  <r>
    <x v="13"/>
    <x v="1"/>
    <x v="1"/>
    <x v="1"/>
    <x v="0"/>
    <x v="1"/>
    <x v="0"/>
    <x v="0"/>
    <x v="0"/>
    <x v="0"/>
    <x v="0"/>
    <x v="0"/>
    <x v="2"/>
    <x v="10"/>
    <x v="10"/>
    <x v="10"/>
    <x v="10"/>
    <n v="25.265445829107598"/>
    <x v="0"/>
    <x v="0"/>
    <x v="1"/>
    <x v="4"/>
    <x v="5"/>
    <x v="10"/>
    <n v="30.065880536638041"/>
  </r>
  <r>
    <x v="13"/>
    <x v="1"/>
    <x v="1"/>
    <x v="1"/>
    <x v="0"/>
    <x v="1"/>
    <x v="0"/>
    <x v="0"/>
    <x v="0"/>
    <x v="0"/>
    <x v="0"/>
    <x v="0"/>
    <x v="2"/>
    <x v="10"/>
    <x v="10"/>
    <x v="11"/>
    <x v="11"/>
    <n v="83.147729999999996"/>
    <x v="0"/>
    <x v="0"/>
    <x v="3"/>
    <x v="5"/>
    <x v="7"/>
    <x v="11"/>
    <n v="98.945798699999997"/>
  </r>
  <r>
    <x v="13"/>
    <x v="1"/>
    <x v="1"/>
    <x v="1"/>
    <x v="0"/>
    <x v="1"/>
    <x v="0"/>
    <x v="0"/>
    <x v="0"/>
    <x v="0"/>
    <x v="0"/>
    <x v="0"/>
    <x v="2"/>
    <x v="10"/>
    <x v="10"/>
    <x v="36"/>
    <x v="36"/>
    <n v="11.3853865545706"/>
    <x v="0"/>
    <x v="0"/>
    <x v="1"/>
    <x v="3"/>
    <x v="3"/>
    <x v="4"/>
    <n v="13.548609999939012"/>
  </r>
  <r>
    <x v="13"/>
    <x v="1"/>
    <x v="1"/>
    <x v="1"/>
    <x v="0"/>
    <x v="1"/>
    <x v="0"/>
    <x v="0"/>
    <x v="0"/>
    <x v="0"/>
    <x v="0"/>
    <x v="0"/>
    <x v="2"/>
    <x v="10"/>
    <x v="10"/>
    <x v="24"/>
    <x v="24"/>
    <n v="119.443756301984"/>
    <x v="0"/>
    <x v="0"/>
    <x v="1"/>
    <x v="3"/>
    <x v="3"/>
    <x v="4"/>
    <n v="142.13806999936094"/>
  </r>
  <r>
    <x v="13"/>
    <x v="1"/>
    <x v="1"/>
    <x v="1"/>
    <x v="0"/>
    <x v="1"/>
    <x v="0"/>
    <x v="0"/>
    <x v="0"/>
    <x v="0"/>
    <x v="0"/>
    <x v="0"/>
    <x v="2"/>
    <x v="10"/>
    <x v="10"/>
    <x v="17"/>
    <x v="17"/>
    <n v="47.088749999999997"/>
    <x v="0"/>
    <x v="0"/>
    <x v="0"/>
    <x v="0"/>
    <x v="4"/>
    <x v="17"/>
    <n v="56.035612499999992"/>
  </r>
  <r>
    <x v="13"/>
    <x v="1"/>
    <x v="1"/>
    <x v="1"/>
    <x v="0"/>
    <x v="1"/>
    <x v="0"/>
    <x v="0"/>
    <x v="0"/>
    <x v="0"/>
    <x v="0"/>
    <x v="0"/>
    <x v="2"/>
    <x v="10"/>
    <x v="10"/>
    <x v="21"/>
    <x v="21"/>
    <n v="41.424016806536301"/>
    <x v="0"/>
    <x v="0"/>
    <x v="1"/>
    <x v="4"/>
    <x v="5"/>
    <x v="10"/>
    <n v="49.294579999778193"/>
  </r>
  <r>
    <x v="13"/>
    <x v="1"/>
    <x v="1"/>
    <x v="1"/>
    <x v="0"/>
    <x v="1"/>
    <x v="0"/>
    <x v="0"/>
    <x v="0"/>
    <x v="0"/>
    <x v="0"/>
    <x v="0"/>
    <x v="2"/>
    <x v="10"/>
    <x v="10"/>
    <x v="18"/>
    <x v="18"/>
    <n v="99.749989999999997"/>
    <x v="0"/>
    <x v="0"/>
    <x v="0"/>
    <x v="0"/>
    <x v="4"/>
    <x v="18"/>
    <n v="118.7024881"/>
  </r>
  <r>
    <x v="13"/>
    <x v="1"/>
    <x v="1"/>
    <x v="1"/>
    <x v="0"/>
    <x v="1"/>
    <x v="0"/>
    <x v="0"/>
    <x v="0"/>
    <x v="0"/>
    <x v="0"/>
    <x v="0"/>
    <x v="2"/>
    <x v="10"/>
    <x v="10"/>
    <x v="34"/>
    <x v="34"/>
    <n v="100.8630594496"/>
    <x v="0"/>
    <x v="0"/>
    <x v="0"/>
    <x v="0"/>
    <x v="0"/>
    <x v="0"/>
    <n v="120.027040745024"/>
  </r>
  <r>
    <x v="13"/>
    <x v="1"/>
    <x v="1"/>
    <x v="1"/>
    <x v="0"/>
    <x v="1"/>
    <x v="0"/>
    <x v="0"/>
    <x v="0"/>
    <x v="0"/>
    <x v="0"/>
    <x v="0"/>
    <x v="2"/>
    <x v="10"/>
    <x v="10"/>
    <x v="37"/>
    <x v="37"/>
    <n v="90.187663865140394"/>
    <x v="0"/>
    <x v="0"/>
    <x v="1"/>
    <x v="3"/>
    <x v="3"/>
    <x v="4"/>
    <n v="107.32331999951707"/>
  </r>
  <r>
    <x v="13"/>
    <x v="1"/>
    <x v="1"/>
    <x v="1"/>
    <x v="0"/>
    <x v="1"/>
    <x v="0"/>
    <x v="0"/>
    <x v="0"/>
    <x v="0"/>
    <x v="0"/>
    <x v="0"/>
    <x v="2"/>
    <x v="10"/>
    <x v="10"/>
    <x v="26"/>
    <x v="26"/>
    <n v="49.233815125828897"/>
    <x v="0"/>
    <x v="0"/>
    <x v="1"/>
    <x v="3"/>
    <x v="3"/>
    <x v="15"/>
    <n v="58.588239999736388"/>
  </r>
  <r>
    <x v="13"/>
    <x v="1"/>
    <x v="1"/>
    <x v="1"/>
    <x v="0"/>
    <x v="1"/>
    <x v="0"/>
    <x v="0"/>
    <x v="0"/>
    <x v="0"/>
    <x v="0"/>
    <x v="0"/>
    <x v="2"/>
    <x v="10"/>
    <x v="10"/>
    <x v="0"/>
    <x v="0"/>
    <n v="210.943593780415"/>
    <x v="0"/>
    <x v="0"/>
    <x v="0"/>
    <x v="0"/>
    <x v="0"/>
    <x v="0"/>
    <n v="251.02287659869384"/>
  </r>
  <r>
    <x v="13"/>
    <x v="1"/>
    <x v="1"/>
    <x v="1"/>
    <x v="0"/>
    <x v="1"/>
    <x v="0"/>
    <x v="0"/>
    <x v="0"/>
    <x v="0"/>
    <x v="0"/>
    <x v="0"/>
    <x v="4"/>
    <x v="5"/>
    <x v="5"/>
    <x v="4"/>
    <x v="4"/>
    <n v="15.0164201679996"/>
    <x v="0"/>
    <x v="0"/>
    <x v="1"/>
    <x v="3"/>
    <x v="3"/>
    <x v="4"/>
    <n v="17.869539999919525"/>
  </r>
  <r>
    <x v="13"/>
    <x v="1"/>
    <x v="1"/>
    <x v="1"/>
    <x v="0"/>
    <x v="1"/>
    <x v="0"/>
    <x v="0"/>
    <x v="0"/>
    <x v="0"/>
    <x v="0"/>
    <x v="0"/>
    <x v="4"/>
    <x v="5"/>
    <x v="5"/>
    <x v="6"/>
    <x v="6"/>
    <n v="678.95135000000005"/>
    <x v="0"/>
    <x v="0"/>
    <x v="0"/>
    <x v="0"/>
    <x v="4"/>
    <x v="6"/>
    <n v="807.95210650000001"/>
  </r>
  <r>
    <x v="13"/>
    <x v="1"/>
    <x v="1"/>
    <x v="1"/>
    <x v="0"/>
    <x v="1"/>
    <x v="0"/>
    <x v="0"/>
    <x v="0"/>
    <x v="0"/>
    <x v="0"/>
    <x v="0"/>
    <x v="4"/>
    <x v="5"/>
    <x v="5"/>
    <x v="7"/>
    <x v="7"/>
    <n v="29.0156302519703"/>
    <x v="0"/>
    <x v="0"/>
    <x v="1"/>
    <x v="4"/>
    <x v="5"/>
    <x v="7"/>
    <n v="34.528599999844658"/>
  </r>
  <r>
    <x v="13"/>
    <x v="1"/>
    <x v="1"/>
    <x v="1"/>
    <x v="0"/>
    <x v="1"/>
    <x v="0"/>
    <x v="0"/>
    <x v="0"/>
    <x v="0"/>
    <x v="0"/>
    <x v="0"/>
    <x v="4"/>
    <x v="5"/>
    <x v="5"/>
    <x v="8"/>
    <x v="8"/>
    <n v="4272.6503415986699"/>
    <x v="0"/>
    <x v="1"/>
    <x v="2"/>
    <x v="2"/>
    <x v="6"/>
    <x v="8"/>
    <n v="5084.4539065024173"/>
  </r>
  <r>
    <x v="13"/>
    <x v="1"/>
    <x v="1"/>
    <x v="1"/>
    <x v="0"/>
    <x v="1"/>
    <x v="0"/>
    <x v="0"/>
    <x v="0"/>
    <x v="0"/>
    <x v="0"/>
    <x v="0"/>
    <x v="4"/>
    <x v="5"/>
    <x v="5"/>
    <x v="9"/>
    <x v="9"/>
    <n v="3533.6334821788901"/>
    <x v="0"/>
    <x v="0"/>
    <x v="1"/>
    <x v="4"/>
    <x v="5"/>
    <x v="9"/>
    <n v="4205.0238437928792"/>
  </r>
  <r>
    <x v="13"/>
    <x v="1"/>
    <x v="1"/>
    <x v="1"/>
    <x v="0"/>
    <x v="1"/>
    <x v="0"/>
    <x v="0"/>
    <x v="0"/>
    <x v="0"/>
    <x v="0"/>
    <x v="0"/>
    <x v="4"/>
    <x v="5"/>
    <x v="5"/>
    <x v="10"/>
    <x v="10"/>
    <n v="211.525331644413"/>
    <x v="0"/>
    <x v="0"/>
    <x v="1"/>
    <x v="4"/>
    <x v="5"/>
    <x v="10"/>
    <n v="251.71514465685146"/>
  </r>
  <r>
    <x v="13"/>
    <x v="1"/>
    <x v="1"/>
    <x v="1"/>
    <x v="0"/>
    <x v="1"/>
    <x v="0"/>
    <x v="0"/>
    <x v="0"/>
    <x v="0"/>
    <x v="0"/>
    <x v="0"/>
    <x v="4"/>
    <x v="5"/>
    <x v="5"/>
    <x v="30"/>
    <x v="30"/>
    <n v="14.4240833332756"/>
    <x v="0"/>
    <x v="0"/>
    <x v="0"/>
    <x v="0"/>
    <x v="0"/>
    <x v="0"/>
    <n v="17.164659166597964"/>
  </r>
  <r>
    <x v="13"/>
    <x v="1"/>
    <x v="1"/>
    <x v="1"/>
    <x v="0"/>
    <x v="1"/>
    <x v="0"/>
    <x v="0"/>
    <x v="0"/>
    <x v="0"/>
    <x v="0"/>
    <x v="0"/>
    <x v="4"/>
    <x v="5"/>
    <x v="5"/>
    <x v="35"/>
    <x v="35"/>
    <n v="1812.0360000000001"/>
    <x v="0"/>
    <x v="0"/>
    <x v="0"/>
    <x v="0"/>
    <x v="0"/>
    <x v="0"/>
    <n v="2156.3228399999998"/>
  </r>
  <r>
    <x v="13"/>
    <x v="1"/>
    <x v="1"/>
    <x v="1"/>
    <x v="0"/>
    <x v="1"/>
    <x v="0"/>
    <x v="0"/>
    <x v="0"/>
    <x v="0"/>
    <x v="0"/>
    <x v="0"/>
    <x v="4"/>
    <x v="5"/>
    <x v="5"/>
    <x v="55"/>
    <x v="55"/>
    <n v="4.3173109243503198"/>
    <x v="0"/>
    <x v="0"/>
    <x v="1"/>
    <x v="3"/>
    <x v="3"/>
    <x v="15"/>
    <n v="5.1375999999768807"/>
  </r>
  <r>
    <x v="13"/>
    <x v="1"/>
    <x v="1"/>
    <x v="1"/>
    <x v="0"/>
    <x v="1"/>
    <x v="0"/>
    <x v="0"/>
    <x v="0"/>
    <x v="0"/>
    <x v="0"/>
    <x v="0"/>
    <x v="4"/>
    <x v="5"/>
    <x v="5"/>
    <x v="11"/>
    <x v="11"/>
    <n v="18.393940000000001"/>
    <x v="0"/>
    <x v="0"/>
    <x v="3"/>
    <x v="5"/>
    <x v="7"/>
    <x v="11"/>
    <n v="21.888788599999998"/>
  </r>
  <r>
    <x v="13"/>
    <x v="1"/>
    <x v="1"/>
    <x v="1"/>
    <x v="0"/>
    <x v="1"/>
    <x v="0"/>
    <x v="0"/>
    <x v="0"/>
    <x v="0"/>
    <x v="0"/>
    <x v="0"/>
    <x v="4"/>
    <x v="5"/>
    <x v="5"/>
    <x v="88"/>
    <x v="88"/>
    <n v="5.6959411764449603"/>
    <x v="0"/>
    <x v="0"/>
    <x v="1"/>
    <x v="4"/>
    <x v="5"/>
    <x v="9"/>
    <n v="6.7781699999695029"/>
  </r>
  <r>
    <x v="13"/>
    <x v="1"/>
    <x v="1"/>
    <x v="1"/>
    <x v="0"/>
    <x v="1"/>
    <x v="0"/>
    <x v="0"/>
    <x v="0"/>
    <x v="0"/>
    <x v="0"/>
    <x v="0"/>
    <x v="4"/>
    <x v="5"/>
    <x v="5"/>
    <x v="12"/>
    <x v="12"/>
    <n v="1387.1979659046499"/>
    <x v="0"/>
    <x v="0"/>
    <x v="0"/>
    <x v="0"/>
    <x v="8"/>
    <x v="12"/>
    <n v="1650.7655794265333"/>
  </r>
  <r>
    <x v="13"/>
    <x v="1"/>
    <x v="1"/>
    <x v="1"/>
    <x v="0"/>
    <x v="1"/>
    <x v="0"/>
    <x v="0"/>
    <x v="0"/>
    <x v="0"/>
    <x v="0"/>
    <x v="0"/>
    <x v="4"/>
    <x v="5"/>
    <x v="5"/>
    <x v="14"/>
    <x v="14"/>
    <n v="117.81518"/>
    <x v="0"/>
    <x v="0"/>
    <x v="0"/>
    <x v="0"/>
    <x v="8"/>
    <x v="14"/>
    <n v="140.20006419999999"/>
  </r>
  <r>
    <x v="13"/>
    <x v="1"/>
    <x v="1"/>
    <x v="1"/>
    <x v="0"/>
    <x v="1"/>
    <x v="0"/>
    <x v="0"/>
    <x v="0"/>
    <x v="0"/>
    <x v="0"/>
    <x v="0"/>
    <x v="4"/>
    <x v="5"/>
    <x v="5"/>
    <x v="22"/>
    <x v="22"/>
    <n v="52.7945913976383"/>
    <x v="0"/>
    <x v="0"/>
    <x v="0"/>
    <x v="0"/>
    <x v="0"/>
    <x v="0"/>
    <n v="62.825563763189571"/>
  </r>
  <r>
    <x v="13"/>
    <x v="1"/>
    <x v="1"/>
    <x v="1"/>
    <x v="0"/>
    <x v="1"/>
    <x v="0"/>
    <x v="0"/>
    <x v="0"/>
    <x v="0"/>
    <x v="0"/>
    <x v="0"/>
    <x v="4"/>
    <x v="5"/>
    <x v="5"/>
    <x v="16"/>
    <x v="16"/>
    <n v="22.5"/>
    <x v="0"/>
    <x v="0"/>
    <x v="3"/>
    <x v="5"/>
    <x v="9"/>
    <x v="16"/>
    <n v="26.774999999999999"/>
  </r>
  <r>
    <x v="13"/>
    <x v="1"/>
    <x v="1"/>
    <x v="1"/>
    <x v="0"/>
    <x v="1"/>
    <x v="0"/>
    <x v="0"/>
    <x v="0"/>
    <x v="0"/>
    <x v="0"/>
    <x v="0"/>
    <x v="4"/>
    <x v="5"/>
    <x v="5"/>
    <x v="33"/>
    <x v="33"/>
    <n v="15.727361344467001"/>
    <x v="0"/>
    <x v="0"/>
    <x v="1"/>
    <x v="3"/>
    <x v="3"/>
    <x v="4"/>
    <n v="18.71555999991573"/>
  </r>
  <r>
    <x v="13"/>
    <x v="1"/>
    <x v="1"/>
    <x v="1"/>
    <x v="0"/>
    <x v="1"/>
    <x v="0"/>
    <x v="0"/>
    <x v="0"/>
    <x v="0"/>
    <x v="0"/>
    <x v="0"/>
    <x v="4"/>
    <x v="5"/>
    <x v="5"/>
    <x v="36"/>
    <x v="36"/>
    <n v="44.264983193078102"/>
    <x v="0"/>
    <x v="0"/>
    <x v="1"/>
    <x v="3"/>
    <x v="3"/>
    <x v="4"/>
    <n v="52.675329999762937"/>
  </r>
  <r>
    <x v="13"/>
    <x v="1"/>
    <x v="1"/>
    <x v="1"/>
    <x v="0"/>
    <x v="1"/>
    <x v="0"/>
    <x v="0"/>
    <x v="0"/>
    <x v="0"/>
    <x v="0"/>
    <x v="0"/>
    <x v="4"/>
    <x v="5"/>
    <x v="5"/>
    <x v="23"/>
    <x v="23"/>
    <n v="2.1719075630154401"/>
    <x v="0"/>
    <x v="0"/>
    <x v="1"/>
    <x v="3"/>
    <x v="3"/>
    <x v="15"/>
    <n v="2.5845699999883736"/>
  </r>
  <r>
    <x v="13"/>
    <x v="1"/>
    <x v="1"/>
    <x v="1"/>
    <x v="0"/>
    <x v="1"/>
    <x v="0"/>
    <x v="0"/>
    <x v="0"/>
    <x v="0"/>
    <x v="0"/>
    <x v="0"/>
    <x v="4"/>
    <x v="5"/>
    <x v="5"/>
    <x v="24"/>
    <x v="24"/>
    <n v="172.742882352164"/>
    <x v="0"/>
    <x v="0"/>
    <x v="1"/>
    <x v="3"/>
    <x v="3"/>
    <x v="4"/>
    <n v="205.56402999907516"/>
  </r>
  <r>
    <x v="13"/>
    <x v="1"/>
    <x v="1"/>
    <x v="1"/>
    <x v="0"/>
    <x v="1"/>
    <x v="0"/>
    <x v="0"/>
    <x v="0"/>
    <x v="0"/>
    <x v="0"/>
    <x v="0"/>
    <x v="4"/>
    <x v="5"/>
    <x v="5"/>
    <x v="17"/>
    <x v="17"/>
    <n v="251.53308000000001"/>
    <x v="0"/>
    <x v="0"/>
    <x v="0"/>
    <x v="0"/>
    <x v="4"/>
    <x v="17"/>
    <n v="299.32436519999999"/>
  </r>
  <r>
    <x v="13"/>
    <x v="1"/>
    <x v="1"/>
    <x v="1"/>
    <x v="0"/>
    <x v="1"/>
    <x v="0"/>
    <x v="0"/>
    <x v="0"/>
    <x v="0"/>
    <x v="0"/>
    <x v="0"/>
    <x v="4"/>
    <x v="5"/>
    <x v="5"/>
    <x v="18"/>
    <x v="18"/>
    <n v="1253.9239"/>
    <x v="0"/>
    <x v="0"/>
    <x v="0"/>
    <x v="0"/>
    <x v="4"/>
    <x v="18"/>
    <n v="1492.169441"/>
  </r>
  <r>
    <x v="13"/>
    <x v="1"/>
    <x v="1"/>
    <x v="1"/>
    <x v="0"/>
    <x v="1"/>
    <x v="0"/>
    <x v="0"/>
    <x v="0"/>
    <x v="0"/>
    <x v="0"/>
    <x v="0"/>
    <x v="4"/>
    <x v="5"/>
    <x v="5"/>
    <x v="34"/>
    <x v="34"/>
    <n v="362.01752516642898"/>
    <x v="0"/>
    <x v="0"/>
    <x v="0"/>
    <x v="0"/>
    <x v="0"/>
    <x v="0"/>
    <n v="430.80085494805047"/>
  </r>
  <r>
    <x v="13"/>
    <x v="1"/>
    <x v="1"/>
    <x v="1"/>
    <x v="0"/>
    <x v="1"/>
    <x v="0"/>
    <x v="0"/>
    <x v="0"/>
    <x v="0"/>
    <x v="0"/>
    <x v="0"/>
    <x v="4"/>
    <x v="5"/>
    <x v="5"/>
    <x v="25"/>
    <x v="25"/>
    <n v="82.948689075256993"/>
    <x v="0"/>
    <x v="0"/>
    <x v="1"/>
    <x v="4"/>
    <x v="5"/>
    <x v="9"/>
    <n v="98.708939999555824"/>
  </r>
  <r>
    <x v="13"/>
    <x v="1"/>
    <x v="1"/>
    <x v="1"/>
    <x v="0"/>
    <x v="1"/>
    <x v="0"/>
    <x v="0"/>
    <x v="0"/>
    <x v="0"/>
    <x v="0"/>
    <x v="0"/>
    <x v="4"/>
    <x v="5"/>
    <x v="5"/>
    <x v="37"/>
    <x v="37"/>
    <n v="330.92995798170398"/>
    <x v="0"/>
    <x v="0"/>
    <x v="1"/>
    <x v="3"/>
    <x v="3"/>
    <x v="4"/>
    <n v="393.80664999822773"/>
  </r>
  <r>
    <x v="13"/>
    <x v="1"/>
    <x v="1"/>
    <x v="1"/>
    <x v="0"/>
    <x v="1"/>
    <x v="0"/>
    <x v="0"/>
    <x v="0"/>
    <x v="0"/>
    <x v="0"/>
    <x v="0"/>
    <x v="4"/>
    <x v="5"/>
    <x v="5"/>
    <x v="27"/>
    <x v="27"/>
    <n v="49.662844394660397"/>
    <x v="0"/>
    <x v="0"/>
    <x v="1"/>
    <x v="3"/>
    <x v="3"/>
    <x v="19"/>
    <n v="59.098784829645872"/>
  </r>
  <r>
    <x v="13"/>
    <x v="1"/>
    <x v="1"/>
    <x v="1"/>
    <x v="0"/>
    <x v="1"/>
    <x v="0"/>
    <x v="0"/>
    <x v="0"/>
    <x v="0"/>
    <x v="0"/>
    <x v="0"/>
    <x v="4"/>
    <x v="5"/>
    <x v="5"/>
    <x v="26"/>
    <x v="26"/>
    <n v="30.9761596637262"/>
    <x v="0"/>
    <x v="0"/>
    <x v="1"/>
    <x v="3"/>
    <x v="3"/>
    <x v="15"/>
    <n v="36.861629999834179"/>
  </r>
  <r>
    <x v="13"/>
    <x v="1"/>
    <x v="1"/>
    <x v="1"/>
    <x v="0"/>
    <x v="1"/>
    <x v="0"/>
    <x v="0"/>
    <x v="0"/>
    <x v="0"/>
    <x v="0"/>
    <x v="0"/>
    <x v="4"/>
    <x v="5"/>
    <x v="5"/>
    <x v="0"/>
    <x v="0"/>
    <n v="157.06824000196301"/>
    <x v="0"/>
    <x v="0"/>
    <x v="0"/>
    <x v="0"/>
    <x v="0"/>
    <x v="0"/>
    <n v="186.91120560233597"/>
  </r>
  <r>
    <x v="13"/>
    <x v="1"/>
    <x v="1"/>
    <x v="1"/>
    <x v="0"/>
    <x v="1"/>
    <x v="0"/>
    <x v="0"/>
    <x v="0"/>
    <x v="0"/>
    <x v="0"/>
    <x v="0"/>
    <x v="4"/>
    <x v="5"/>
    <x v="5"/>
    <x v="2"/>
    <x v="2"/>
    <n v="11675.7984117122"/>
    <x v="0"/>
    <x v="1"/>
    <x v="2"/>
    <x v="2"/>
    <x v="13"/>
    <x v="2"/>
    <n v="13894.200109937517"/>
  </r>
  <r>
    <x v="13"/>
    <x v="1"/>
    <x v="1"/>
    <x v="1"/>
    <x v="0"/>
    <x v="1"/>
    <x v="0"/>
    <x v="0"/>
    <x v="0"/>
    <x v="0"/>
    <x v="3"/>
    <x v="3"/>
    <x v="3"/>
    <x v="3"/>
    <x v="3"/>
    <x v="2"/>
    <x v="2"/>
    <n v="41.202033613259999"/>
    <x v="0"/>
    <x v="1"/>
    <x v="2"/>
    <x v="2"/>
    <x v="13"/>
    <x v="2"/>
    <n v="49.030419999779397"/>
  </r>
  <r>
    <x v="13"/>
    <x v="1"/>
    <x v="1"/>
    <x v="1"/>
    <x v="0"/>
    <x v="1"/>
    <x v="0"/>
    <x v="0"/>
    <x v="2"/>
    <x v="2"/>
    <x v="3"/>
    <x v="3"/>
    <x v="0"/>
    <x v="4"/>
    <x v="4"/>
    <x v="40"/>
    <x v="40"/>
    <n v="-1.05"/>
    <x v="1"/>
    <x v="2"/>
    <x v="5"/>
    <x v="7"/>
    <x v="11"/>
    <x v="22"/>
    <n v="-1.2495000000000001"/>
  </r>
  <r>
    <x v="13"/>
    <x v="1"/>
    <x v="1"/>
    <x v="1"/>
    <x v="0"/>
    <x v="1"/>
    <x v="0"/>
    <x v="0"/>
    <x v="0"/>
    <x v="0"/>
    <x v="3"/>
    <x v="3"/>
    <x v="0"/>
    <x v="4"/>
    <x v="4"/>
    <x v="2"/>
    <x v="2"/>
    <n v="105.538999999525"/>
    <x v="0"/>
    <x v="1"/>
    <x v="2"/>
    <x v="2"/>
    <x v="13"/>
    <x v="2"/>
    <n v="125.59140999943475"/>
  </r>
  <r>
    <x v="13"/>
    <x v="1"/>
    <x v="1"/>
    <x v="1"/>
    <x v="0"/>
    <x v="1"/>
    <x v="0"/>
    <x v="0"/>
    <x v="0"/>
    <x v="0"/>
    <x v="3"/>
    <x v="3"/>
    <x v="2"/>
    <x v="2"/>
    <x v="2"/>
    <x v="6"/>
    <x v="6"/>
    <n v="54.765880000000003"/>
    <x v="0"/>
    <x v="0"/>
    <x v="0"/>
    <x v="0"/>
    <x v="4"/>
    <x v="6"/>
    <n v="65.171397200000001"/>
  </r>
  <r>
    <x v="13"/>
    <x v="1"/>
    <x v="1"/>
    <x v="1"/>
    <x v="0"/>
    <x v="1"/>
    <x v="0"/>
    <x v="0"/>
    <x v="0"/>
    <x v="0"/>
    <x v="3"/>
    <x v="3"/>
    <x v="2"/>
    <x v="2"/>
    <x v="2"/>
    <x v="8"/>
    <x v="8"/>
    <n v="410.48409937732202"/>
    <x v="0"/>
    <x v="1"/>
    <x v="2"/>
    <x v="2"/>
    <x v="6"/>
    <x v="8"/>
    <n v="488.47607825901321"/>
  </r>
  <r>
    <x v="13"/>
    <x v="1"/>
    <x v="1"/>
    <x v="1"/>
    <x v="0"/>
    <x v="1"/>
    <x v="0"/>
    <x v="0"/>
    <x v="0"/>
    <x v="0"/>
    <x v="3"/>
    <x v="3"/>
    <x v="2"/>
    <x v="2"/>
    <x v="2"/>
    <x v="2"/>
    <x v="2"/>
    <n v="401.96249579651101"/>
    <x v="0"/>
    <x v="1"/>
    <x v="2"/>
    <x v="2"/>
    <x v="13"/>
    <x v="2"/>
    <n v="478.33536999784809"/>
  </r>
  <r>
    <x v="13"/>
    <x v="1"/>
    <x v="1"/>
    <x v="1"/>
    <x v="0"/>
    <x v="1"/>
    <x v="0"/>
    <x v="0"/>
    <x v="0"/>
    <x v="0"/>
    <x v="3"/>
    <x v="3"/>
    <x v="1"/>
    <x v="6"/>
    <x v="6"/>
    <x v="2"/>
    <x v="2"/>
    <n v="7.65940336131007"/>
    <x v="0"/>
    <x v="1"/>
    <x v="2"/>
    <x v="2"/>
    <x v="13"/>
    <x v="2"/>
    <n v="9.1146899999589834"/>
  </r>
  <r>
    <x v="13"/>
    <x v="1"/>
    <x v="1"/>
    <x v="1"/>
    <x v="0"/>
    <x v="1"/>
    <x v="0"/>
    <x v="0"/>
    <x v="0"/>
    <x v="0"/>
    <x v="3"/>
    <x v="3"/>
    <x v="4"/>
    <x v="5"/>
    <x v="5"/>
    <x v="12"/>
    <x v="12"/>
    <n v="18.819090909030699"/>
    <x v="0"/>
    <x v="0"/>
    <x v="0"/>
    <x v="0"/>
    <x v="8"/>
    <x v="12"/>
    <n v="22.39471818174653"/>
  </r>
  <r>
    <x v="13"/>
    <x v="1"/>
    <x v="1"/>
    <x v="1"/>
    <x v="0"/>
    <x v="1"/>
    <x v="0"/>
    <x v="0"/>
    <x v="0"/>
    <x v="0"/>
    <x v="3"/>
    <x v="3"/>
    <x v="4"/>
    <x v="5"/>
    <x v="5"/>
    <x v="18"/>
    <x v="18"/>
    <n v="10.299630000000001"/>
    <x v="0"/>
    <x v="0"/>
    <x v="0"/>
    <x v="0"/>
    <x v="4"/>
    <x v="18"/>
    <n v="12.2565597"/>
  </r>
  <r>
    <x v="13"/>
    <x v="1"/>
    <x v="1"/>
    <x v="1"/>
    <x v="0"/>
    <x v="1"/>
    <x v="0"/>
    <x v="0"/>
    <x v="0"/>
    <x v="0"/>
    <x v="3"/>
    <x v="3"/>
    <x v="4"/>
    <x v="5"/>
    <x v="5"/>
    <x v="2"/>
    <x v="2"/>
    <n v="5.5145714285466099"/>
    <x v="0"/>
    <x v="1"/>
    <x v="2"/>
    <x v="2"/>
    <x v="13"/>
    <x v="2"/>
    <n v="6.5623399999704652"/>
  </r>
  <r>
    <x v="13"/>
    <x v="1"/>
    <x v="1"/>
    <x v="1"/>
    <x v="0"/>
    <x v="1"/>
    <x v="0"/>
    <x v="0"/>
    <x v="0"/>
    <x v="0"/>
    <x v="18"/>
    <x v="18"/>
    <x v="1"/>
    <x v="6"/>
    <x v="6"/>
    <x v="2"/>
    <x v="2"/>
    <n v="32.924369747751001"/>
    <x v="0"/>
    <x v="1"/>
    <x v="2"/>
    <x v="2"/>
    <x v="13"/>
    <x v="2"/>
    <n v="39.179999999823693"/>
  </r>
  <r>
    <x v="13"/>
    <x v="1"/>
    <x v="1"/>
    <x v="1"/>
    <x v="0"/>
    <x v="1"/>
    <x v="0"/>
    <x v="0"/>
    <x v="0"/>
    <x v="0"/>
    <x v="4"/>
    <x v="4"/>
    <x v="2"/>
    <x v="2"/>
    <x v="2"/>
    <x v="8"/>
    <x v="8"/>
    <n v="0.82525465838195999"/>
    <x v="0"/>
    <x v="1"/>
    <x v="2"/>
    <x v="2"/>
    <x v="6"/>
    <x v="8"/>
    <n v="0.98205304347453237"/>
  </r>
  <r>
    <x v="13"/>
    <x v="1"/>
    <x v="1"/>
    <x v="1"/>
    <x v="0"/>
    <x v="1"/>
    <x v="0"/>
    <x v="0"/>
    <x v="0"/>
    <x v="0"/>
    <x v="4"/>
    <x v="4"/>
    <x v="2"/>
    <x v="2"/>
    <x v="2"/>
    <x v="9"/>
    <x v="9"/>
    <n v="0.15715966386484001"/>
    <x v="0"/>
    <x v="0"/>
    <x v="1"/>
    <x v="4"/>
    <x v="5"/>
    <x v="9"/>
    <n v="0.18701999999915961"/>
  </r>
  <r>
    <x v="13"/>
    <x v="1"/>
    <x v="1"/>
    <x v="1"/>
    <x v="0"/>
    <x v="1"/>
    <x v="0"/>
    <x v="0"/>
    <x v="0"/>
    <x v="0"/>
    <x v="4"/>
    <x v="4"/>
    <x v="2"/>
    <x v="2"/>
    <x v="2"/>
    <x v="11"/>
    <x v="11"/>
    <n v="3.3619999999999997E-2"/>
    <x v="0"/>
    <x v="0"/>
    <x v="3"/>
    <x v="5"/>
    <x v="7"/>
    <x v="11"/>
    <n v="4.0007799999999996E-2"/>
  </r>
  <r>
    <x v="13"/>
    <x v="1"/>
    <x v="1"/>
    <x v="1"/>
    <x v="0"/>
    <x v="1"/>
    <x v="0"/>
    <x v="0"/>
    <x v="0"/>
    <x v="0"/>
    <x v="4"/>
    <x v="4"/>
    <x v="2"/>
    <x v="2"/>
    <x v="2"/>
    <x v="27"/>
    <x v="27"/>
    <n v="0.16146224256639999"/>
    <x v="0"/>
    <x v="0"/>
    <x v="1"/>
    <x v="3"/>
    <x v="3"/>
    <x v="19"/>
    <n v="0.19214006865401598"/>
  </r>
  <r>
    <x v="13"/>
    <x v="1"/>
    <x v="1"/>
    <x v="1"/>
    <x v="0"/>
    <x v="1"/>
    <x v="0"/>
    <x v="0"/>
    <x v="0"/>
    <x v="0"/>
    <x v="4"/>
    <x v="4"/>
    <x v="2"/>
    <x v="2"/>
    <x v="2"/>
    <x v="2"/>
    <x v="2"/>
    <n v="1.81162184873134"/>
    <x v="0"/>
    <x v="1"/>
    <x v="2"/>
    <x v="2"/>
    <x v="13"/>
    <x v="2"/>
    <n v="2.1558299999902943"/>
  </r>
  <r>
    <x v="13"/>
    <x v="1"/>
    <x v="1"/>
    <x v="1"/>
    <x v="0"/>
    <x v="1"/>
    <x v="0"/>
    <x v="0"/>
    <x v="2"/>
    <x v="2"/>
    <x v="5"/>
    <x v="5"/>
    <x v="3"/>
    <x v="3"/>
    <x v="3"/>
    <x v="40"/>
    <x v="40"/>
    <n v="5.7649999999999997"/>
    <x v="1"/>
    <x v="2"/>
    <x v="5"/>
    <x v="7"/>
    <x v="11"/>
    <x v="22"/>
    <n v="6.8603499999999995"/>
  </r>
  <r>
    <x v="13"/>
    <x v="1"/>
    <x v="1"/>
    <x v="1"/>
    <x v="0"/>
    <x v="1"/>
    <x v="0"/>
    <x v="0"/>
    <x v="2"/>
    <x v="2"/>
    <x v="5"/>
    <x v="5"/>
    <x v="2"/>
    <x v="2"/>
    <x v="2"/>
    <x v="42"/>
    <x v="42"/>
    <n v="9.9048400000000001"/>
    <x v="1"/>
    <x v="2"/>
    <x v="5"/>
    <x v="7"/>
    <x v="11"/>
    <x v="22"/>
    <n v="11.7867596"/>
  </r>
  <r>
    <x v="13"/>
    <x v="1"/>
    <x v="1"/>
    <x v="1"/>
    <x v="0"/>
    <x v="1"/>
    <x v="0"/>
    <x v="0"/>
    <x v="2"/>
    <x v="2"/>
    <x v="5"/>
    <x v="5"/>
    <x v="2"/>
    <x v="2"/>
    <x v="2"/>
    <x v="41"/>
    <x v="41"/>
    <n v="4.35759340658905"/>
    <x v="1"/>
    <x v="2"/>
    <x v="5"/>
    <x v="7"/>
    <x v="11"/>
    <x v="22"/>
    <n v="5.1855361538409692"/>
  </r>
  <r>
    <x v="13"/>
    <x v="1"/>
    <x v="1"/>
    <x v="1"/>
    <x v="0"/>
    <x v="1"/>
    <x v="0"/>
    <x v="0"/>
    <x v="2"/>
    <x v="2"/>
    <x v="5"/>
    <x v="5"/>
    <x v="2"/>
    <x v="2"/>
    <x v="2"/>
    <x v="40"/>
    <x v="40"/>
    <n v="335.39474999999999"/>
    <x v="1"/>
    <x v="2"/>
    <x v="5"/>
    <x v="7"/>
    <x v="11"/>
    <x v="22"/>
    <n v="399.11975249999995"/>
  </r>
  <r>
    <x v="13"/>
    <x v="1"/>
    <x v="1"/>
    <x v="1"/>
    <x v="0"/>
    <x v="1"/>
    <x v="0"/>
    <x v="0"/>
    <x v="2"/>
    <x v="2"/>
    <x v="5"/>
    <x v="5"/>
    <x v="2"/>
    <x v="2"/>
    <x v="2"/>
    <x v="38"/>
    <x v="38"/>
    <n v="7.11"/>
    <x v="1"/>
    <x v="0"/>
    <x v="4"/>
    <x v="6"/>
    <x v="10"/>
    <x v="21"/>
    <n v="8.4609000000000005"/>
  </r>
  <r>
    <x v="13"/>
    <x v="1"/>
    <x v="1"/>
    <x v="1"/>
    <x v="0"/>
    <x v="1"/>
    <x v="0"/>
    <x v="0"/>
    <x v="0"/>
    <x v="0"/>
    <x v="5"/>
    <x v="5"/>
    <x v="2"/>
    <x v="2"/>
    <x v="2"/>
    <x v="17"/>
    <x v="17"/>
    <n v="8.6442099999999993"/>
    <x v="0"/>
    <x v="0"/>
    <x v="0"/>
    <x v="0"/>
    <x v="4"/>
    <x v="17"/>
    <n v="10.286609899999998"/>
  </r>
  <r>
    <x v="13"/>
    <x v="1"/>
    <x v="1"/>
    <x v="1"/>
    <x v="0"/>
    <x v="1"/>
    <x v="0"/>
    <x v="0"/>
    <x v="2"/>
    <x v="2"/>
    <x v="5"/>
    <x v="5"/>
    <x v="1"/>
    <x v="6"/>
    <x v="6"/>
    <x v="41"/>
    <x v="41"/>
    <n v="21.2571428571216"/>
    <x v="1"/>
    <x v="2"/>
    <x v="5"/>
    <x v="7"/>
    <x v="11"/>
    <x v="22"/>
    <n v="25.295999999974704"/>
  </r>
  <r>
    <x v="13"/>
    <x v="1"/>
    <x v="1"/>
    <x v="1"/>
    <x v="0"/>
    <x v="1"/>
    <x v="0"/>
    <x v="0"/>
    <x v="2"/>
    <x v="2"/>
    <x v="5"/>
    <x v="5"/>
    <x v="1"/>
    <x v="6"/>
    <x v="6"/>
    <x v="40"/>
    <x v="40"/>
    <n v="515.08417999999995"/>
    <x v="1"/>
    <x v="2"/>
    <x v="5"/>
    <x v="7"/>
    <x v="11"/>
    <x v="22"/>
    <n v="612.95017419999988"/>
  </r>
  <r>
    <x v="13"/>
    <x v="1"/>
    <x v="1"/>
    <x v="1"/>
    <x v="0"/>
    <x v="1"/>
    <x v="0"/>
    <x v="0"/>
    <x v="2"/>
    <x v="2"/>
    <x v="5"/>
    <x v="5"/>
    <x v="1"/>
    <x v="6"/>
    <x v="6"/>
    <x v="38"/>
    <x v="38"/>
    <n v="18.981000000000002"/>
    <x v="1"/>
    <x v="0"/>
    <x v="4"/>
    <x v="6"/>
    <x v="10"/>
    <x v="21"/>
    <n v="22.587389999999999"/>
  </r>
  <r>
    <x v="13"/>
    <x v="1"/>
    <x v="1"/>
    <x v="1"/>
    <x v="0"/>
    <x v="1"/>
    <x v="0"/>
    <x v="0"/>
    <x v="2"/>
    <x v="2"/>
    <x v="6"/>
    <x v="6"/>
    <x v="2"/>
    <x v="2"/>
    <x v="2"/>
    <x v="40"/>
    <x v="40"/>
    <n v="8.7511799999999997"/>
    <x v="1"/>
    <x v="2"/>
    <x v="5"/>
    <x v="7"/>
    <x v="11"/>
    <x v="22"/>
    <n v="10.413904199999999"/>
  </r>
  <r>
    <x v="13"/>
    <x v="1"/>
    <x v="1"/>
    <x v="1"/>
    <x v="0"/>
    <x v="1"/>
    <x v="0"/>
    <x v="0"/>
    <x v="2"/>
    <x v="2"/>
    <x v="6"/>
    <x v="6"/>
    <x v="1"/>
    <x v="6"/>
    <x v="6"/>
    <x v="40"/>
    <x v="40"/>
    <n v="9.5724999999999998"/>
    <x v="1"/>
    <x v="2"/>
    <x v="5"/>
    <x v="7"/>
    <x v="11"/>
    <x v="22"/>
    <n v="11.391274999999998"/>
  </r>
  <r>
    <x v="13"/>
    <x v="1"/>
    <x v="1"/>
    <x v="1"/>
    <x v="0"/>
    <x v="1"/>
    <x v="0"/>
    <x v="0"/>
    <x v="2"/>
    <x v="2"/>
    <x v="7"/>
    <x v="7"/>
    <x v="2"/>
    <x v="2"/>
    <x v="2"/>
    <x v="40"/>
    <x v="40"/>
    <n v="101.7216"/>
    <x v="1"/>
    <x v="2"/>
    <x v="5"/>
    <x v="7"/>
    <x v="11"/>
    <x v="22"/>
    <n v="121.04870399999999"/>
  </r>
  <r>
    <x v="13"/>
    <x v="1"/>
    <x v="1"/>
    <x v="1"/>
    <x v="0"/>
    <x v="1"/>
    <x v="0"/>
    <x v="0"/>
    <x v="2"/>
    <x v="2"/>
    <x v="7"/>
    <x v="7"/>
    <x v="2"/>
    <x v="2"/>
    <x v="2"/>
    <x v="38"/>
    <x v="38"/>
    <n v="148.98302000000001"/>
    <x v="1"/>
    <x v="0"/>
    <x v="4"/>
    <x v="6"/>
    <x v="10"/>
    <x v="21"/>
    <n v="177.28979380000001"/>
  </r>
  <r>
    <x v="13"/>
    <x v="1"/>
    <x v="1"/>
    <x v="1"/>
    <x v="0"/>
    <x v="1"/>
    <x v="0"/>
    <x v="0"/>
    <x v="2"/>
    <x v="2"/>
    <x v="7"/>
    <x v="7"/>
    <x v="2"/>
    <x v="2"/>
    <x v="2"/>
    <x v="44"/>
    <x v="44"/>
    <n v="3.165"/>
    <x v="1"/>
    <x v="0"/>
    <x v="4"/>
    <x v="6"/>
    <x v="10"/>
    <x v="21"/>
    <n v="3.7663500000000001"/>
  </r>
  <r>
    <x v="13"/>
    <x v="1"/>
    <x v="1"/>
    <x v="1"/>
    <x v="0"/>
    <x v="1"/>
    <x v="0"/>
    <x v="0"/>
    <x v="2"/>
    <x v="2"/>
    <x v="7"/>
    <x v="7"/>
    <x v="2"/>
    <x v="2"/>
    <x v="2"/>
    <x v="45"/>
    <x v="45"/>
    <n v="3.165"/>
    <x v="1"/>
    <x v="0"/>
    <x v="4"/>
    <x v="6"/>
    <x v="10"/>
    <x v="21"/>
    <n v="3.7663500000000001"/>
  </r>
  <r>
    <x v="13"/>
    <x v="1"/>
    <x v="1"/>
    <x v="1"/>
    <x v="0"/>
    <x v="1"/>
    <x v="0"/>
    <x v="0"/>
    <x v="2"/>
    <x v="2"/>
    <x v="7"/>
    <x v="7"/>
    <x v="2"/>
    <x v="2"/>
    <x v="2"/>
    <x v="46"/>
    <x v="46"/>
    <n v="3.6650299999999998"/>
    <x v="1"/>
    <x v="0"/>
    <x v="4"/>
    <x v="6"/>
    <x v="10"/>
    <x v="21"/>
    <n v="4.3613856999999996"/>
  </r>
  <r>
    <x v="13"/>
    <x v="1"/>
    <x v="1"/>
    <x v="1"/>
    <x v="0"/>
    <x v="1"/>
    <x v="0"/>
    <x v="0"/>
    <x v="2"/>
    <x v="2"/>
    <x v="7"/>
    <x v="7"/>
    <x v="1"/>
    <x v="6"/>
    <x v="6"/>
    <x v="40"/>
    <x v="40"/>
    <n v="236.62658999999999"/>
    <x v="1"/>
    <x v="2"/>
    <x v="5"/>
    <x v="7"/>
    <x v="11"/>
    <x v="22"/>
    <n v="281.58564209999997"/>
  </r>
  <r>
    <x v="13"/>
    <x v="1"/>
    <x v="1"/>
    <x v="1"/>
    <x v="0"/>
    <x v="1"/>
    <x v="0"/>
    <x v="0"/>
    <x v="2"/>
    <x v="2"/>
    <x v="7"/>
    <x v="7"/>
    <x v="1"/>
    <x v="6"/>
    <x v="6"/>
    <x v="38"/>
    <x v="38"/>
    <n v="26.51915"/>
    <x v="1"/>
    <x v="0"/>
    <x v="4"/>
    <x v="6"/>
    <x v="10"/>
    <x v="21"/>
    <n v="31.557788499999997"/>
  </r>
  <r>
    <x v="13"/>
    <x v="1"/>
    <x v="1"/>
    <x v="1"/>
    <x v="0"/>
    <x v="1"/>
    <x v="0"/>
    <x v="0"/>
    <x v="2"/>
    <x v="2"/>
    <x v="8"/>
    <x v="8"/>
    <x v="3"/>
    <x v="3"/>
    <x v="3"/>
    <x v="40"/>
    <x v="40"/>
    <n v="98.63879"/>
    <x v="1"/>
    <x v="2"/>
    <x v="5"/>
    <x v="7"/>
    <x v="11"/>
    <x v="22"/>
    <n v="117.3801601"/>
  </r>
  <r>
    <x v="13"/>
    <x v="1"/>
    <x v="1"/>
    <x v="1"/>
    <x v="0"/>
    <x v="1"/>
    <x v="0"/>
    <x v="0"/>
    <x v="2"/>
    <x v="2"/>
    <x v="8"/>
    <x v="8"/>
    <x v="2"/>
    <x v="2"/>
    <x v="2"/>
    <x v="40"/>
    <x v="40"/>
    <n v="75.267340000000004"/>
    <x v="1"/>
    <x v="2"/>
    <x v="5"/>
    <x v="7"/>
    <x v="11"/>
    <x v="22"/>
    <n v="89.568134600000008"/>
  </r>
  <r>
    <x v="13"/>
    <x v="1"/>
    <x v="1"/>
    <x v="1"/>
    <x v="0"/>
    <x v="1"/>
    <x v="0"/>
    <x v="0"/>
    <x v="2"/>
    <x v="2"/>
    <x v="8"/>
    <x v="8"/>
    <x v="1"/>
    <x v="6"/>
    <x v="6"/>
    <x v="40"/>
    <x v="40"/>
    <n v="39.886850000000003"/>
    <x v="1"/>
    <x v="2"/>
    <x v="5"/>
    <x v="7"/>
    <x v="11"/>
    <x v="22"/>
    <n v="47.465351500000004"/>
  </r>
  <r>
    <x v="13"/>
    <x v="1"/>
    <x v="1"/>
    <x v="1"/>
    <x v="0"/>
    <x v="1"/>
    <x v="0"/>
    <x v="0"/>
    <x v="2"/>
    <x v="2"/>
    <x v="9"/>
    <x v="9"/>
    <x v="2"/>
    <x v="2"/>
    <x v="2"/>
    <x v="40"/>
    <x v="40"/>
    <n v="659.88559999999995"/>
    <x v="1"/>
    <x v="2"/>
    <x v="5"/>
    <x v="7"/>
    <x v="11"/>
    <x v="22"/>
    <n v="785.2638639999999"/>
  </r>
  <r>
    <x v="13"/>
    <x v="1"/>
    <x v="1"/>
    <x v="1"/>
    <x v="0"/>
    <x v="1"/>
    <x v="0"/>
    <x v="0"/>
    <x v="2"/>
    <x v="2"/>
    <x v="9"/>
    <x v="9"/>
    <x v="2"/>
    <x v="2"/>
    <x v="2"/>
    <x v="38"/>
    <x v="38"/>
    <n v="213.25614999999999"/>
    <x v="1"/>
    <x v="0"/>
    <x v="4"/>
    <x v="6"/>
    <x v="10"/>
    <x v="21"/>
    <n v="253.77481849999998"/>
  </r>
  <r>
    <x v="13"/>
    <x v="1"/>
    <x v="1"/>
    <x v="1"/>
    <x v="0"/>
    <x v="1"/>
    <x v="0"/>
    <x v="0"/>
    <x v="2"/>
    <x v="2"/>
    <x v="9"/>
    <x v="9"/>
    <x v="2"/>
    <x v="2"/>
    <x v="2"/>
    <x v="48"/>
    <x v="48"/>
    <n v="32.883699999999997"/>
    <x v="1"/>
    <x v="0"/>
    <x v="4"/>
    <x v="6"/>
    <x v="10"/>
    <x v="21"/>
    <n v="39.131602999999998"/>
  </r>
  <r>
    <x v="13"/>
    <x v="1"/>
    <x v="1"/>
    <x v="1"/>
    <x v="0"/>
    <x v="1"/>
    <x v="0"/>
    <x v="0"/>
    <x v="2"/>
    <x v="2"/>
    <x v="9"/>
    <x v="9"/>
    <x v="1"/>
    <x v="6"/>
    <x v="6"/>
    <x v="42"/>
    <x v="42"/>
    <n v="22.333020000000001"/>
    <x v="1"/>
    <x v="2"/>
    <x v="5"/>
    <x v="7"/>
    <x v="11"/>
    <x v="22"/>
    <n v="26.576293800000002"/>
  </r>
  <r>
    <x v="13"/>
    <x v="1"/>
    <x v="1"/>
    <x v="1"/>
    <x v="0"/>
    <x v="1"/>
    <x v="0"/>
    <x v="0"/>
    <x v="2"/>
    <x v="2"/>
    <x v="9"/>
    <x v="9"/>
    <x v="1"/>
    <x v="6"/>
    <x v="6"/>
    <x v="40"/>
    <x v="40"/>
    <n v="1524.2524000000001"/>
    <x v="1"/>
    <x v="2"/>
    <x v="5"/>
    <x v="7"/>
    <x v="11"/>
    <x v="22"/>
    <n v="1813.8603559999999"/>
  </r>
  <r>
    <x v="13"/>
    <x v="1"/>
    <x v="1"/>
    <x v="1"/>
    <x v="0"/>
    <x v="1"/>
    <x v="0"/>
    <x v="0"/>
    <x v="2"/>
    <x v="2"/>
    <x v="9"/>
    <x v="9"/>
    <x v="1"/>
    <x v="6"/>
    <x v="6"/>
    <x v="38"/>
    <x v="38"/>
    <n v="98.698059999999998"/>
    <x v="1"/>
    <x v="0"/>
    <x v="4"/>
    <x v="6"/>
    <x v="10"/>
    <x v="21"/>
    <n v="117.4506914"/>
  </r>
  <r>
    <x v="13"/>
    <x v="1"/>
    <x v="1"/>
    <x v="1"/>
    <x v="0"/>
    <x v="1"/>
    <x v="0"/>
    <x v="0"/>
    <x v="2"/>
    <x v="2"/>
    <x v="9"/>
    <x v="9"/>
    <x v="1"/>
    <x v="6"/>
    <x v="6"/>
    <x v="48"/>
    <x v="48"/>
    <n v="5.5395000000000003"/>
    <x v="1"/>
    <x v="0"/>
    <x v="4"/>
    <x v="6"/>
    <x v="10"/>
    <x v="21"/>
    <n v="6.5920050000000003"/>
  </r>
  <r>
    <x v="13"/>
    <x v="1"/>
    <x v="1"/>
    <x v="1"/>
    <x v="0"/>
    <x v="1"/>
    <x v="0"/>
    <x v="0"/>
    <x v="2"/>
    <x v="2"/>
    <x v="10"/>
    <x v="10"/>
    <x v="3"/>
    <x v="3"/>
    <x v="3"/>
    <x v="40"/>
    <x v="40"/>
    <n v="3.55124"/>
    <x v="1"/>
    <x v="2"/>
    <x v="5"/>
    <x v="7"/>
    <x v="11"/>
    <x v="22"/>
    <n v="4.2259755999999999"/>
  </r>
  <r>
    <x v="13"/>
    <x v="1"/>
    <x v="1"/>
    <x v="1"/>
    <x v="0"/>
    <x v="1"/>
    <x v="0"/>
    <x v="0"/>
    <x v="2"/>
    <x v="2"/>
    <x v="10"/>
    <x v="10"/>
    <x v="2"/>
    <x v="2"/>
    <x v="2"/>
    <x v="41"/>
    <x v="41"/>
    <n v="2.8074835164807102"/>
    <x v="1"/>
    <x v="2"/>
    <x v="5"/>
    <x v="7"/>
    <x v="11"/>
    <x v="22"/>
    <n v="3.3409053846120451"/>
  </r>
  <r>
    <x v="13"/>
    <x v="1"/>
    <x v="1"/>
    <x v="1"/>
    <x v="0"/>
    <x v="1"/>
    <x v="0"/>
    <x v="0"/>
    <x v="2"/>
    <x v="2"/>
    <x v="10"/>
    <x v="10"/>
    <x v="2"/>
    <x v="2"/>
    <x v="2"/>
    <x v="40"/>
    <x v="40"/>
    <n v="254.38864000000001"/>
    <x v="1"/>
    <x v="2"/>
    <x v="5"/>
    <x v="7"/>
    <x v="11"/>
    <x v="22"/>
    <n v="302.72248159999998"/>
  </r>
  <r>
    <x v="13"/>
    <x v="1"/>
    <x v="1"/>
    <x v="1"/>
    <x v="0"/>
    <x v="1"/>
    <x v="0"/>
    <x v="0"/>
    <x v="2"/>
    <x v="2"/>
    <x v="10"/>
    <x v="10"/>
    <x v="1"/>
    <x v="6"/>
    <x v="6"/>
    <x v="40"/>
    <x v="40"/>
    <n v="0.44700000000000001"/>
    <x v="1"/>
    <x v="2"/>
    <x v="5"/>
    <x v="7"/>
    <x v="11"/>
    <x v="22"/>
    <n v="0.53193000000000001"/>
  </r>
  <r>
    <x v="13"/>
    <x v="1"/>
    <x v="1"/>
    <x v="1"/>
    <x v="0"/>
    <x v="1"/>
    <x v="0"/>
    <x v="0"/>
    <x v="3"/>
    <x v="3"/>
    <x v="12"/>
    <x v="12"/>
    <x v="2"/>
    <x v="2"/>
    <x v="2"/>
    <x v="40"/>
    <x v="40"/>
    <n v="7.7337600000000002"/>
    <x v="1"/>
    <x v="2"/>
    <x v="5"/>
    <x v="7"/>
    <x v="11"/>
    <x v="22"/>
    <n v="9.2031744"/>
  </r>
  <r>
    <x v="13"/>
    <x v="1"/>
    <x v="1"/>
    <x v="1"/>
    <x v="0"/>
    <x v="1"/>
    <x v="0"/>
    <x v="0"/>
    <x v="3"/>
    <x v="3"/>
    <x v="12"/>
    <x v="12"/>
    <x v="1"/>
    <x v="6"/>
    <x v="6"/>
    <x v="42"/>
    <x v="42"/>
    <n v="13.25"/>
    <x v="1"/>
    <x v="2"/>
    <x v="5"/>
    <x v="7"/>
    <x v="11"/>
    <x v="22"/>
    <n v="15.7675"/>
  </r>
  <r>
    <x v="13"/>
    <x v="1"/>
    <x v="1"/>
    <x v="1"/>
    <x v="0"/>
    <x v="1"/>
    <x v="0"/>
    <x v="0"/>
    <x v="3"/>
    <x v="3"/>
    <x v="12"/>
    <x v="12"/>
    <x v="1"/>
    <x v="6"/>
    <x v="6"/>
    <x v="41"/>
    <x v="41"/>
    <n v="45.030989010943998"/>
    <x v="1"/>
    <x v="2"/>
    <x v="5"/>
    <x v="7"/>
    <x v="11"/>
    <x v="22"/>
    <n v="53.586876923023354"/>
  </r>
  <r>
    <x v="13"/>
    <x v="1"/>
    <x v="1"/>
    <x v="1"/>
    <x v="0"/>
    <x v="1"/>
    <x v="0"/>
    <x v="0"/>
    <x v="3"/>
    <x v="3"/>
    <x v="12"/>
    <x v="12"/>
    <x v="1"/>
    <x v="6"/>
    <x v="6"/>
    <x v="40"/>
    <x v="40"/>
    <n v="29.151219999999999"/>
    <x v="1"/>
    <x v="2"/>
    <x v="5"/>
    <x v="7"/>
    <x v="11"/>
    <x v="22"/>
    <n v="34.689951799999996"/>
  </r>
  <r>
    <x v="13"/>
    <x v="1"/>
    <x v="1"/>
    <x v="1"/>
    <x v="0"/>
    <x v="1"/>
    <x v="0"/>
    <x v="0"/>
    <x v="3"/>
    <x v="3"/>
    <x v="13"/>
    <x v="13"/>
    <x v="2"/>
    <x v="2"/>
    <x v="2"/>
    <x v="41"/>
    <x v="41"/>
    <n v="18.428890109871698"/>
    <x v="1"/>
    <x v="2"/>
    <x v="5"/>
    <x v="7"/>
    <x v="11"/>
    <x v="22"/>
    <n v="21.93037923074732"/>
  </r>
  <r>
    <x v="13"/>
    <x v="1"/>
    <x v="1"/>
    <x v="1"/>
    <x v="0"/>
    <x v="1"/>
    <x v="0"/>
    <x v="0"/>
    <x v="3"/>
    <x v="3"/>
    <x v="13"/>
    <x v="13"/>
    <x v="2"/>
    <x v="2"/>
    <x v="2"/>
    <x v="40"/>
    <x v="40"/>
    <n v="190.11067"/>
    <x v="1"/>
    <x v="2"/>
    <x v="5"/>
    <x v="7"/>
    <x v="11"/>
    <x v="22"/>
    <n v="226.23169729999998"/>
  </r>
  <r>
    <x v="13"/>
    <x v="1"/>
    <x v="1"/>
    <x v="1"/>
    <x v="0"/>
    <x v="1"/>
    <x v="0"/>
    <x v="0"/>
    <x v="3"/>
    <x v="3"/>
    <x v="13"/>
    <x v="13"/>
    <x v="1"/>
    <x v="6"/>
    <x v="6"/>
    <x v="41"/>
    <x v="41"/>
    <n v="4.4368131868087497"/>
    <x v="1"/>
    <x v="2"/>
    <x v="5"/>
    <x v="7"/>
    <x v="11"/>
    <x v="22"/>
    <n v="5.2798076923024118"/>
  </r>
  <r>
    <x v="13"/>
    <x v="1"/>
    <x v="1"/>
    <x v="1"/>
    <x v="0"/>
    <x v="1"/>
    <x v="0"/>
    <x v="0"/>
    <x v="3"/>
    <x v="3"/>
    <x v="13"/>
    <x v="13"/>
    <x v="1"/>
    <x v="6"/>
    <x v="6"/>
    <x v="40"/>
    <x v="40"/>
    <n v="164.06700000000001"/>
    <x v="1"/>
    <x v="2"/>
    <x v="5"/>
    <x v="7"/>
    <x v="11"/>
    <x v="22"/>
    <n v="195.23973000000001"/>
  </r>
  <r>
    <x v="13"/>
    <x v="1"/>
    <x v="1"/>
    <x v="1"/>
    <x v="0"/>
    <x v="1"/>
    <x v="0"/>
    <x v="0"/>
    <x v="2"/>
    <x v="2"/>
    <x v="14"/>
    <x v="14"/>
    <x v="0"/>
    <x v="4"/>
    <x v="4"/>
    <x v="40"/>
    <x v="40"/>
    <n v="24"/>
    <x v="1"/>
    <x v="2"/>
    <x v="5"/>
    <x v="7"/>
    <x v="11"/>
    <x v="22"/>
    <n v="28.56"/>
  </r>
  <r>
    <x v="13"/>
    <x v="1"/>
    <x v="1"/>
    <x v="1"/>
    <x v="0"/>
    <x v="1"/>
    <x v="0"/>
    <x v="0"/>
    <x v="2"/>
    <x v="2"/>
    <x v="14"/>
    <x v="14"/>
    <x v="2"/>
    <x v="2"/>
    <x v="2"/>
    <x v="40"/>
    <x v="40"/>
    <n v="22.583860000000001"/>
    <x v="1"/>
    <x v="2"/>
    <x v="5"/>
    <x v="7"/>
    <x v="11"/>
    <x v="22"/>
    <n v="26.874793400000001"/>
  </r>
  <r>
    <x v="13"/>
    <x v="1"/>
    <x v="1"/>
    <x v="1"/>
    <x v="0"/>
    <x v="1"/>
    <x v="0"/>
    <x v="0"/>
    <x v="2"/>
    <x v="2"/>
    <x v="15"/>
    <x v="15"/>
    <x v="0"/>
    <x v="4"/>
    <x v="4"/>
    <x v="40"/>
    <x v="40"/>
    <n v="48.567279999999997"/>
    <x v="1"/>
    <x v="2"/>
    <x v="5"/>
    <x v="7"/>
    <x v="11"/>
    <x v="22"/>
    <n v="57.795063199999994"/>
  </r>
  <r>
    <x v="13"/>
    <x v="1"/>
    <x v="1"/>
    <x v="1"/>
    <x v="0"/>
    <x v="1"/>
    <x v="0"/>
    <x v="0"/>
    <x v="2"/>
    <x v="2"/>
    <x v="16"/>
    <x v="16"/>
    <x v="0"/>
    <x v="4"/>
    <x v="4"/>
    <x v="40"/>
    <x v="40"/>
    <n v="14.83905"/>
    <x v="1"/>
    <x v="2"/>
    <x v="5"/>
    <x v="7"/>
    <x v="11"/>
    <x v="22"/>
    <n v="17.658469499999999"/>
  </r>
  <r>
    <x v="13"/>
    <x v="1"/>
    <x v="1"/>
    <x v="1"/>
    <x v="0"/>
    <x v="1"/>
    <x v="0"/>
    <x v="0"/>
    <x v="2"/>
    <x v="2"/>
    <x v="16"/>
    <x v="16"/>
    <x v="1"/>
    <x v="6"/>
    <x v="6"/>
    <x v="40"/>
    <x v="40"/>
    <n v="28.5"/>
    <x v="1"/>
    <x v="2"/>
    <x v="5"/>
    <x v="7"/>
    <x v="11"/>
    <x v="22"/>
    <n v="33.914999999999999"/>
  </r>
  <r>
    <x v="13"/>
    <x v="1"/>
    <x v="1"/>
    <x v="1"/>
    <x v="0"/>
    <x v="1"/>
    <x v="0"/>
    <x v="0"/>
    <x v="2"/>
    <x v="2"/>
    <x v="17"/>
    <x v="17"/>
    <x v="3"/>
    <x v="3"/>
    <x v="3"/>
    <x v="40"/>
    <x v="40"/>
    <n v="32.669429999999998"/>
    <x v="1"/>
    <x v="2"/>
    <x v="5"/>
    <x v="7"/>
    <x v="11"/>
    <x v="22"/>
    <n v="38.876621699999994"/>
  </r>
  <r>
    <x v="13"/>
    <x v="1"/>
    <x v="1"/>
    <x v="1"/>
    <x v="0"/>
    <x v="1"/>
    <x v="0"/>
    <x v="0"/>
    <x v="2"/>
    <x v="2"/>
    <x v="17"/>
    <x v="17"/>
    <x v="0"/>
    <x v="4"/>
    <x v="4"/>
    <x v="40"/>
    <x v="40"/>
    <n v="20"/>
    <x v="1"/>
    <x v="2"/>
    <x v="5"/>
    <x v="7"/>
    <x v="11"/>
    <x v="22"/>
    <n v="23.799999999999997"/>
  </r>
  <r>
    <x v="13"/>
    <x v="1"/>
    <x v="1"/>
    <x v="1"/>
    <x v="0"/>
    <x v="1"/>
    <x v="0"/>
    <x v="0"/>
    <x v="2"/>
    <x v="2"/>
    <x v="17"/>
    <x v="17"/>
    <x v="2"/>
    <x v="2"/>
    <x v="2"/>
    <x v="42"/>
    <x v="42"/>
    <n v="1.5452399999999999"/>
    <x v="1"/>
    <x v="2"/>
    <x v="5"/>
    <x v="7"/>
    <x v="11"/>
    <x v="22"/>
    <n v="1.8388355999999999"/>
  </r>
  <r>
    <x v="13"/>
    <x v="1"/>
    <x v="1"/>
    <x v="1"/>
    <x v="0"/>
    <x v="1"/>
    <x v="0"/>
    <x v="0"/>
    <x v="2"/>
    <x v="2"/>
    <x v="17"/>
    <x v="17"/>
    <x v="2"/>
    <x v="2"/>
    <x v="2"/>
    <x v="40"/>
    <x v="40"/>
    <n v="137.88990999999999"/>
    <x v="1"/>
    <x v="2"/>
    <x v="5"/>
    <x v="7"/>
    <x v="11"/>
    <x v="22"/>
    <n v="164.08899289999997"/>
  </r>
  <r>
    <x v="13"/>
    <x v="1"/>
    <x v="1"/>
    <x v="1"/>
    <x v="0"/>
    <x v="1"/>
    <x v="0"/>
    <x v="0"/>
    <x v="2"/>
    <x v="2"/>
    <x v="17"/>
    <x v="17"/>
    <x v="1"/>
    <x v="6"/>
    <x v="6"/>
    <x v="40"/>
    <x v="40"/>
    <n v="28.725760000000001"/>
    <x v="1"/>
    <x v="2"/>
    <x v="5"/>
    <x v="7"/>
    <x v="11"/>
    <x v="22"/>
    <n v="34.183654400000002"/>
  </r>
  <r>
    <x v="13"/>
    <x v="1"/>
    <x v="1"/>
    <x v="1"/>
    <x v="0"/>
    <x v="2"/>
    <x v="0"/>
    <x v="0"/>
    <x v="0"/>
    <x v="0"/>
    <x v="0"/>
    <x v="0"/>
    <x v="3"/>
    <x v="3"/>
    <x v="3"/>
    <x v="8"/>
    <x v="8"/>
    <n v="8.7220372670476003"/>
    <x v="0"/>
    <x v="1"/>
    <x v="2"/>
    <x v="2"/>
    <x v="6"/>
    <x v="8"/>
    <n v="10.379224347786645"/>
  </r>
  <r>
    <x v="13"/>
    <x v="1"/>
    <x v="1"/>
    <x v="1"/>
    <x v="0"/>
    <x v="2"/>
    <x v="0"/>
    <x v="0"/>
    <x v="0"/>
    <x v="0"/>
    <x v="0"/>
    <x v="0"/>
    <x v="3"/>
    <x v="3"/>
    <x v="3"/>
    <x v="9"/>
    <x v="9"/>
    <n v="16.841596638579698"/>
    <x v="0"/>
    <x v="0"/>
    <x v="1"/>
    <x v="4"/>
    <x v="5"/>
    <x v="9"/>
    <n v="20.041499999909842"/>
  </r>
  <r>
    <x v="13"/>
    <x v="1"/>
    <x v="1"/>
    <x v="1"/>
    <x v="0"/>
    <x v="2"/>
    <x v="0"/>
    <x v="0"/>
    <x v="0"/>
    <x v="0"/>
    <x v="0"/>
    <x v="0"/>
    <x v="3"/>
    <x v="3"/>
    <x v="3"/>
    <x v="10"/>
    <x v="10"/>
    <n v="21.040336134359102"/>
    <x v="0"/>
    <x v="0"/>
    <x v="1"/>
    <x v="4"/>
    <x v="5"/>
    <x v="10"/>
    <n v="25.037999999887329"/>
  </r>
  <r>
    <x v="13"/>
    <x v="1"/>
    <x v="1"/>
    <x v="1"/>
    <x v="0"/>
    <x v="2"/>
    <x v="0"/>
    <x v="0"/>
    <x v="0"/>
    <x v="0"/>
    <x v="0"/>
    <x v="0"/>
    <x v="3"/>
    <x v="3"/>
    <x v="3"/>
    <x v="11"/>
    <x v="11"/>
    <n v="112.42434"/>
    <x v="0"/>
    <x v="0"/>
    <x v="3"/>
    <x v="5"/>
    <x v="7"/>
    <x v="11"/>
    <n v="133.7849646"/>
  </r>
  <r>
    <x v="13"/>
    <x v="1"/>
    <x v="1"/>
    <x v="1"/>
    <x v="0"/>
    <x v="2"/>
    <x v="0"/>
    <x v="0"/>
    <x v="0"/>
    <x v="0"/>
    <x v="0"/>
    <x v="0"/>
    <x v="3"/>
    <x v="3"/>
    <x v="3"/>
    <x v="14"/>
    <x v="14"/>
    <n v="8.4"/>
    <x v="0"/>
    <x v="0"/>
    <x v="0"/>
    <x v="0"/>
    <x v="8"/>
    <x v="14"/>
    <n v="9.9960000000000004"/>
  </r>
  <r>
    <x v="13"/>
    <x v="1"/>
    <x v="1"/>
    <x v="1"/>
    <x v="0"/>
    <x v="2"/>
    <x v="0"/>
    <x v="0"/>
    <x v="0"/>
    <x v="0"/>
    <x v="0"/>
    <x v="0"/>
    <x v="3"/>
    <x v="3"/>
    <x v="3"/>
    <x v="16"/>
    <x v="16"/>
    <n v="51.222000000000001"/>
    <x v="0"/>
    <x v="0"/>
    <x v="3"/>
    <x v="5"/>
    <x v="9"/>
    <x v="16"/>
    <n v="60.954180000000001"/>
  </r>
  <r>
    <x v="13"/>
    <x v="1"/>
    <x v="1"/>
    <x v="1"/>
    <x v="0"/>
    <x v="2"/>
    <x v="0"/>
    <x v="0"/>
    <x v="0"/>
    <x v="0"/>
    <x v="0"/>
    <x v="0"/>
    <x v="3"/>
    <x v="3"/>
    <x v="3"/>
    <x v="2"/>
    <x v="2"/>
    <n v="1.3372521008343199"/>
    <x v="0"/>
    <x v="1"/>
    <x v="2"/>
    <x v="2"/>
    <x v="13"/>
    <x v="2"/>
    <n v="1.5913299999928405"/>
  </r>
  <r>
    <x v="13"/>
    <x v="1"/>
    <x v="1"/>
    <x v="1"/>
    <x v="0"/>
    <x v="2"/>
    <x v="0"/>
    <x v="0"/>
    <x v="0"/>
    <x v="0"/>
    <x v="0"/>
    <x v="0"/>
    <x v="3"/>
    <x v="12"/>
    <x v="3"/>
    <x v="8"/>
    <x v="8"/>
    <n v="2284.6455652087102"/>
    <x v="0"/>
    <x v="1"/>
    <x v="2"/>
    <x v="2"/>
    <x v="6"/>
    <x v="8"/>
    <n v="2718.7282225983649"/>
  </r>
  <r>
    <x v="13"/>
    <x v="1"/>
    <x v="1"/>
    <x v="1"/>
    <x v="0"/>
    <x v="2"/>
    <x v="0"/>
    <x v="0"/>
    <x v="0"/>
    <x v="0"/>
    <x v="0"/>
    <x v="0"/>
    <x v="3"/>
    <x v="12"/>
    <x v="3"/>
    <x v="2"/>
    <x v="2"/>
    <n v="1628.89008402628"/>
    <x v="0"/>
    <x v="1"/>
    <x v="2"/>
    <x v="2"/>
    <x v="13"/>
    <x v="2"/>
    <n v="1938.379199991273"/>
  </r>
  <r>
    <x v="13"/>
    <x v="1"/>
    <x v="1"/>
    <x v="1"/>
    <x v="0"/>
    <x v="2"/>
    <x v="0"/>
    <x v="0"/>
    <x v="0"/>
    <x v="0"/>
    <x v="0"/>
    <x v="0"/>
    <x v="0"/>
    <x v="4"/>
    <x v="4"/>
    <x v="9"/>
    <x v="9"/>
    <n v="45.919715817716998"/>
    <x v="0"/>
    <x v="0"/>
    <x v="1"/>
    <x v="4"/>
    <x v="5"/>
    <x v="9"/>
    <n v="54.644461823083226"/>
  </r>
  <r>
    <x v="13"/>
    <x v="1"/>
    <x v="1"/>
    <x v="1"/>
    <x v="0"/>
    <x v="2"/>
    <x v="0"/>
    <x v="0"/>
    <x v="0"/>
    <x v="0"/>
    <x v="0"/>
    <x v="0"/>
    <x v="0"/>
    <x v="4"/>
    <x v="4"/>
    <x v="10"/>
    <x v="10"/>
    <n v="5.7857142856882504"/>
    <x v="0"/>
    <x v="0"/>
    <x v="1"/>
    <x v="4"/>
    <x v="5"/>
    <x v="10"/>
    <n v="6.8849999999690175"/>
  </r>
  <r>
    <x v="13"/>
    <x v="1"/>
    <x v="1"/>
    <x v="1"/>
    <x v="0"/>
    <x v="2"/>
    <x v="0"/>
    <x v="0"/>
    <x v="0"/>
    <x v="0"/>
    <x v="0"/>
    <x v="0"/>
    <x v="0"/>
    <x v="4"/>
    <x v="4"/>
    <x v="11"/>
    <x v="11"/>
    <n v="9.0210000000000008"/>
    <x v="0"/>
    <x v="0"/>
    <x v="3"/>
    <x v="5"/>
    <x v="7"/>
    <x v="11"/>
    <n v="10.73499"/>
  </r>
  <r>
    <x v="13"/>
    <x v="1"/>
    <x v="1"/>
    <x v="1"/>
    <x v="0"/>
    <x v="2"/>
    <x v="0"/>
    <x v="0"/>
    <x v="0"/>
    <x v="0"/>
    <x v="0"/>
    <x v="0"/>
    <x v="0"/>
    <x v="4"/>
    <x v="4"/>
    <x v="32"/>
    <x v="32"/>
    <n v="12.305194805751"/>
    <x v="0"/>
    <x v="0"/>
    <x v="1"/>
    <x v="1"/>
    <x v="1"/>
    <x v="20"/>
    <n v="14.64318181884369"/>
  </r>
  <r>
    <x v="13"/>
    <x v="1"/>
    <x v="1"/>
    <x v="1"/>
    <x v="0"/>
    <x v="2"/>
    <x v="0"/>
    <x v="0"/>
    <x v="0"/>
    <x v="0"/>
    <x v="0"/>
    <x v="0"/>
    <x v="0"/>
    <x v="4"/>
    <x v="4"/>
    <x v="16"/>
    <x v="16"/>
    <n v="79.66516"/>
    <x v="0"/>
    <x v="0"/>
    <x v="3"/>
    <x v="5"/>
    <x v="9"/>
    <x v="16"/>
    <n v="94.801540399999993"/>
  </r>
  <r>
    <x v="13"/>
    <x v="1"/>
    <x v="1"/>
    <x v="1"/>
    <x v="0"/>
    <x v="2"/>
    <x v="0"/>
    <x v="0"/>
    <x v="0"/>
    <x v="0"/>
    <x v="0"/>
    <x v="0"/>
    <x v="0"/>
    <x v="4"/>
    <x v="4"/>
    <x v="25"/>
    <x v="25"/>
    <n v="14.3235294117002"/>
    <x v="0"/>
    <x v="0"/>
    <x v="1"/>
    <x v="4"/>
    <x v="5"/>
    <x v="9"/>
    <n v="17.044999999923238"/>
  </r>
  <r>
    <x v="13"/>
    <x v="1"/>
    <x v="1"/>
    <x v="1"/>
    <x v="0"/>
    <x v="2"/>
    <x v="0"/>
    <x v="0"/>
    <x v="0"/>
    <x v="0"/>
    <x v="0"/>
    <x v="0"/>
    <x v="0"/>
    <x v="0"/>
    <x v="0"/>
    <x v="5"/>
    <x v="5"/>
    <n v="17.766961326117901"/>
    <x v="0"/>
    <x v="0"/>
    <x v="1"/>
    <x v="1"/>
    <x v="1"/>
    <x v="5"/>
    <n v="21.142683978080303"/>
  </r>
  <r>
    <x v="13"/>
    <x v="1"/>
    <x v="1"/>
    <x v="1"/>
    <x v="0"/>
    <x v="2"/>
    <x v="0"/>
    <x v="0"/>
    <x v="0"/>
    <x v="0"/>
    <x v="0"/>
    <x v="0"/>
    <x v="0"/>
    <x v="0"/>
    <x v="0"/>
    <x v="8"/>
    <x v="8"/>
    <n v="3504.0502360115302"/>
    <x v="0"/>
    <x v="1"/>
    <x v="2"/>
    <x v="2"/>
    <x v="6"/>
    <x v="8"/>
    <n v="4169.8197808537207"/>
  </r>
  <r>
    <x v="13"/>
    <x v="1"/>
    <x v="1"/>
    <x v="1"/>
    <x v="0"/>
    <x v="2"/>
    <x v="0"/>
    <x v="0"/>
    <x v="0"/>
    <x v="0"/>
    <x v="0"/>
    <x v="0"/>
    <x v="0"/>
    <x v="0"/>
    <x v="0"/>
    <x v="10"/>
    <x v="10"/>
    <n v="6.0509491801550404"/>
    <x v="0"/>
    <x v="0"/>
    <x v="1"/>
    <x v="4"/>
    <x v="5"/>
    <x v="10"/>
    <n v="7.2006295243844978"/>
  </r>
  <r>
    <x v="13"/>
    <x v="1"/>
    <x v="1"/>
    <x v="1"/>
    <x v="0"/>
    <x v="2"/>
    <x v="0"/>
    <x v="0"/>
    <x v="0"/>
    <x v="0"/>
    <x v="0"/>
    <x v="0"/>
    <x v="0"/>
    <x v="0"/>
    <x v="0"/>
    <x v="14"/>
    <x v="14"/>
    <n v="15.127800000000001"/>
    <x v="0"/>
    <x v="0"/>
    <x v="0"/>
    <x v="0"/>
    <x v="8"/>
    <x v="14"/>
    <n v="18.002082000000001"/>
  </r>
  <r>
    <x v="13"/>
    <x v="1"/>
    <x v="1"/>
    <x v="1"/>
    <x v="0"/>
    <x v="2"/>
    <x v="0"/>
    <x v="0"/>
    <x v="0"/>
    <x v="0"/>
    <x v="0"/>
    <x v="0"/>
    <x v="0"/>
    <x v="0"/>
    <x v="0"/>
    <x v="23"/>
    <x v="23"/>
    <n v="0.76136134453438997"/>
    <x v="0"/>
    <x v="0"/>
    <x v="1"/>
    <x v="3"/>
    <x v="3"/>
    <x v="15"/>
    <n v="0.90601999999592397"/>
  </r>
  <r>
    <x v="13"/>
    <x v="1"/>
    <x v="1"/>
    <x v="1"/>
    <x v="0"/>
    <x v="2"/>
    <x v="0"/>
    <x v="0"/>
    <x v="0"/>
    <x v="0"/>
    <x v="0"/>
    <x v="0"/>
    <x v="0"/>
    <x v="0"/>
    <x v="0"/>
    <x v="0"/>
    <x v="0"/>
    <n v="8.8888889000000001E-7"/>
    <x v="0"/>
    <x v="0"/>
    <x v="0"/>
    <x v="0"/>
    <x v="0"/>
    <x v="0"/>
    <n v="1.0577777790999999E-6"/>
  </r>
  <r>
    <x v="13"/>
    <x v="1"/>
    <x v="1"/>
    <x v="1"/>
    <x v="0"/>
    <x v="2"/>
    <x v="0"/>
    <x v="0"/>
    <x v="0"/>
    <x v="0"/>
    <x v="0"/>
    <x v="0"/>
    <x v="0"/>
    <x v="0"/>
    <x v="0"/>
    <x v="2"/>
    <x v="2"/>
    <n v="3559.3710588075101"/>
    <x v="0"/>
    <x v="1"/>
    <x v="2"/>
    <x v="2"/>
    <x v="13"/>
    <x v="2"/>
    <n v="4235.6515599809363"/>
  </r>
  <r>
    <x v="13"/>
    <x v="1"/>
    <x v="1"/>
    <x v="1"/>
    <x v="0"/>
    <x v="2"/>
    <x v="0"/>
    <x v="0"/>
    <x v="0"/>
    <x v="0"/>
    <x v="0"/>
    <x v="0"/>
    <x v="1"/>
    <x v="1"/>
    <x v="1"/>
    <x v="5"/>
    <x v="5"/>
    <n v="20.8015027626078"/>
    <x v="0"/>
    <x v="0"/>
    <x v="1"/>
    <x v="1"/>
    <x v="1"/>
    <x v="5"/>
    <n v="24.75378828750328"/>
  </r>
  <r>
    <x v="13"/>
    <x v="1"/>
    <x v="1"/>
    <x v="1"/>
    <x v="0"/>
    <x v="2"/>
    <x v="0"/>
    <x v="0"/>
    <x v="0"/>
    <x v="0"/>
    <x v="0"/>
    <x v="0"/>
    <x v="1"/>
    <x v="1"/>
    <x v="1"/>
    <x v="8"/>
    <x v="8"/>
    <n v="57.134310558789103"/>
    <x v="0"/>
    <x v="1"/>
    <x v="2"/>
    <x v="2"/>
    <x v="6"/>
    <x v="8"/>
    <n v="67.989829564959024"/>
  </r>
  <r>
    <x v="13"/>
    <x v="1"/>
    <x v="1"/>
    <x v="1"/>
    <x v="0"/>
    <x v="2"/>
    <x v="0"/>
    <x v="0"/>
    <x v="0"/>
    <x v="0"/>
    <x v="0"/>
    <x v="0"/>
    <x v="1"/>
    <x v="1"/>
    <x v="1"/>
    <x v="9"/>
    <x v="9"/>
    <n v="5.4102795600000002E-5"/>
    <x v="0"/>
    <x v="0"/>
    <x v="1"/>
    <x v="4"/>
    <x v="5"/>
    <x v="9"/>
    <n v="6.4382326763999994E-5"/>
  </r>
  <r>
    <x v="13"/>
    <x v="1"/>
    <x v="1"/>
    <x v="1"/>
    <x v="0"/>
    <x v="2"/>
    <x v="0"/>
    <x v="0"/>
    <x v="0"/>
    <x v="0"/>
    <x v="0"/>
    <x v="0"/>
    <x v="1"/>
    <x v="1"/>
    <x v="1"/>
    <x v="10"/>
    <x v="10"/>
    <n v="5.7983193277050002"/>
    <x v="0"/>
    <x v="0"/>
    <x v="1"/>
    <x v="4"/>
    <x v="5"/>
    <x v="10"/>
    <n v="6.8999999999689496"/>
  </r>
  <r>
    <x v="13"/>
    <x v="1"/>
    <x v="1"/>
    <x v="1"/>
    <x v="0"/>
    <x v="2"/>
    <x v="0"/>
    <x v="0"/>
    <x v="0"/>
    <x v="0"/>
    <x v="0"/>
    <x v="0"/>
    <x v="1"/>
    <x v="1"/>
    <x v="1"/>
    <x v="11"/>
    <x v="11"/>
    <n v="12.72"/>
    <x v="0"/>
    <x v="0"/>
    <x v="3"/>
    <x v="5"/>
    <x v="7"/>
    <x v="11"/>
    <n v="15.136800000000001"/>
  </r>
  <r>
    <x v="13"/>
    <x v="1"/>
    <x v="1"/>
    <x v="1"/>
    <x v="0"/>
    <x v="2"/>
    <x v="0"/>
    <x v="0"/>
    <x v="0"/>
    <x v="0"/>
    <x v="0"/>
    <x v="0"/>
    <x v="1"/>
    <x v="1"/>
    <x v="1"/>
    <x v="12"/>
    <x v="12"/>
    <n v="4.5178636363491798"/>
    <x v="0"/>
    <x v="0"/>
    <x v="0"/>
    <x v="0"/>
    <x v="8"/>
    <x v="12"/>
    <n v="5.3762577272555241"/>
  </r>
  <r>
    <x v="13"/>
    <x v="1"/>
    <x v="1"/>
    <x v="1"/>
    <x v="0"/>
    <x v="2"/>
    <x v="0"/>
    <x v="0"/>
    <x v="0"/>
    <x v="0"/>
    <x v="0"/>
    <x v="0"/>
    <x v="1"/>
    <x v="1"/>
    <x v="1"/>
    <x v="32"/>
    <x v="32"/>
    <n v="14.494974026629199"/>
    <x v="0"/>
    <x v="0"/>
    <x v="1"/>
    <x v="1"/>
    <x v="1"/>
    <x v="20"/>
    <n v="17.249019091688748"/>
  </r>
  <r>
    <x v="13"/>
    <x v="1"/>
    <x v="1"/>
    <x v="1"/>
    <x v="0"/>
    <x v="2"/>
    <x v="0"/>
    <x v="0"/>
    <x v="0"/>
    <x v="0"/>
    <x v="0"/>
    <x v="0"/>
    <x v="1"/>
    <x v="1"/>
    <x v="1"/>
    <x v="14"/>
    <x v="14"/>
    <n v="19.7148"/>
    <x v="0"/>
    <x v="0"/>
    <x v="0"/>
    <x v="0"/>
    <x v="8"/>
    <x v="14"/>
    <n v="23.460611999999998"/>
  </r>
  <r>
    <x v="13"/>
    <x v="1"/>
    <x v="1"/>
    <x v="1"/>
    <x v="0"/>
    <x v="2"/>
    <x v="0"/>
    <x v="0"/>
    <x v="0"/>
    <x v="0"/>
    <x v="0"/>
    <x v="0"/>
    <x v="1"/>
    <x v="1"/>
    <x v="1"/>
    <x v="16"/>
    <x v="16"/>
    <n v="18.3"/>
    <x v="0"/>
    <x v="0"/>
    <x v="3"/>
    <x v="5"/>
    <x v="9"/>
    <x v="16"/>
    <n v="21.777000000000001"/>
  </r>
  <r>
    <x v="13"/>
    <x v="1"/>
    <x v="1"/>
    <x v="1"/>
    <x v="0"/>
    <x v="2"/>
    <x v="0"/>
    <x v="0"/>
    <x v="0"/>
    <x v="0"/>
    <x v="0"/>
    <x v="0"/>
    <x v="1"/>
    <x v="1"/>
    <x v="1"/>
    <x v="23"/>
    <x v="23"/>
    <n v="9.1895294117233508"/>
    <x v="0"/>
    <x v="0"/>
    <x v="1"/>
    <x v="3"/>
    <x v="3"/>
    <x v="15"/>
    <n v="10.935539999950787"/>
  </r>
  <r>
    <x v="13"/>
    <x v="1"/>
    <x v="1"/>
    <x v="1"/>
    <x v="0"/>
    <x v="2"/>
    <x v="0"/>
    <x v="0"/>
    <x v="0"/>
    <x v="0"/>
    <x v="0"/>
    <x v="0"/>
    <x v="1"/>
    <x v="1"/>
    <x v="1"/>
    <x v="27"/>
    <x v="27"/>
    <n v="38.9977940511817"/>
    <x v="0"/>
    <x v="0"/>
    <x v="1"/>
    <x v="3"/>
    <x v="3"/>
    <x v="19"/>
    <n v="46.407374920906221"/>
  </r>
  <r>
    <x v="13"/>
    <x v="1"/>
    <x v="1"/>
    <x v="1"/>
    <x v="0"/>
    <x v="2"/>
    <x v="0"/>
    <x v="0"/>
    <x v="0"/>
    <x v="0"/>
    <x v="0"/>
    <x v="0"/>
    <x v="1"/>
    <x v="1"/>
    <x v="1"/>
    <x v="0"/>
    <x v="0"/>
    <n v="8.8888889000000001E-7"/>
    <x v="0"/>
    <x v="0"/>
    <x v="0"/>
    <x v="0"/>
    <x v="0"/>
    <x v="0"/>
    <n v="1.0577777790999999E-6"/>
  </r>
  <r>
    <x v="13"/>
    <x v="1"/>
    <x v="1"/>
    <x v="1"/>
    <x v="0"/>
    <x v="2"/>
    <x v="0"/>
    <x v="0"/>
    <x v="0"/>
    <x v="0"/>
    <x v="0"/>
    <x v="0"/>
    <x v="1"/>
    <x v="1"/>
    <x v="1"/>
    <x v="2"/>
    <x v="2"/>
    <n v="35.720168067066098"/>
    <x v="0"/>
    <x v="1"/>
    <x v="2"/>
    <x v="2"/>
    <x v="13"/>
    <x v="2"/>
    <n v="42.506999999808656"/>
  </r>
  <r>
    <x v="13"/>
    <x v="1"/>
    <x v="1"/>
    <x v="1"/>
    <x v="0"/>
    <x v="2"/>
    <x v="0"/>
    <x v="0"/>
    <x v="0"/>
    <x v="0"/>
    <x v="0"/>
    <x v="0"/>
    <x v="2"/>
    <x v="2"/>
    <x v="2"/>
    <x v="4"/>
    <x v="4"/>
    <n v="13.6563361343923"/>
    <x v="0"/>
    <x v="0"/>
    <x v="1"/>
    <x v="3"/>
    <x v="3"/>
    <x v="4"/>
    <n v="16.251039999926835"/>
  </r>
  <r>
    <x v="13"/>
    <x v="1"/>
    <x v="1"/>
    <x v="1"/>
    <x v="0"/>
    <x v="2"/>
    <x v="0"/>
    <x v="0"/>
    <x v="0"/>
    <x v="0"/>
    <x v="0"/>
    <x v="0"/>
    <x v="2"/>
    <x v="2"/>
    <x v="2"/>
    <x v="5"/>
    <x v="5"/>
    <n v="47.204563536312797"/>
    <x v="0"/>
    <x v="0"/>
    <x v="1"/>
    <x v="1"/>
    <x v="1"/>
    <x v="5"/>
    <n v="56.173430608212229"/>
  </r>
  <r>
    <x v="13"/>
    <x v="1"/>
    <x v="1"/>
    <x v="1"/>
    <x v="0"/>
    <x v="2"/>
    <x v="0"/>
    <x v="0"/>
    <x v="0"/>
    <x v="0"/>
    <x v="0"/>
    <x v="0"/>
    <x v="2"/>
    <x v="2"/>
    <x v="2"/>
    <x v="8"/>
    <x v="8"/>
    <n v="19.406397515454199"/>
    <x v="0"/>
    <x v="1"/>
    <x v="2"/>
    <x v="2"/>
    <x v="6"/>
    <x v="8"/>
    <n v="23.093613043390494"/>
  </r>
  <r>
    <x v="13"/>
    <x v="1"/>
    <x v="1"/>
    <x v="1"/>
    <x v="0"/>
    <x v="2"/>
    <x v="0"/>
    <x v="0"/>
    <x v="0"/>
    <x v="0"/>
    <x v="0"/>
    <x v="0"/>
    <x v="2"/>
    <x v="2"/>
    <x v="2"/>
    <x v="9"/>
    <x v="9"/>
    <n v="47.634915874721997"/>
    <x v="0"/>
    <x v="0"/>
    <x v="1"/>
    <x v="4"/>
    <x v="5"/>
    <x v="9"/>
    <n v="56.685549890919177"/>
  </r>
  <r>
    <x v="13"/>
    <x v="1"/>
    <x v="1"/>
    <x v="1"/>
    <x v="0"/>
    <x v="2"/>
    <x v="0"/>
    <x v="0"/>
    <x v="0"/>
    <x v="0"/>
    <x v="0"/>
    <x v="0"/>
    <x v="2"/>
    <x v="2"/>
    <x v="2"/>
    <x v="10"/>
    <x v="10"/>
    <n v="0.11601680672217"/>
    <x v="0"/>
    <x v="0"/>
    <x v="1"/>
    <x v="4"/>
    <x v="5"/>
    <x v="10"/>
    <n v="0.13805999999938229"/>
  </r>
  <r>
    <x v="13"/>
    <x v="1"/>
    <x v="1"/>
    <x v="1"/>
    <x v="0"/>
    <x v="2"/>
    <x v="0"/>
    <x v="0"/>
    <x v="0"/>
    <x v="0"/>
    <x v="0"/>
    <x v="0"/>
    <x v="2"/>
    <x v="2"/>
    <x v="2"/>
    <x v="11"/>
    <x v="11"/>
    <n v="30.733720000000002"/>
    <x v="0"/>
    <x v="0"/>
    <x v="3"/>
    <x v="5"/>
    <x v="7"/>
    <x v="11"/>
    <n v="36.573126799999997"/>
  </r>
  <r>
    <x v="13"/>
    <x v="1"/>
    <x v="1"/>
    <x v="1"/>
    <x v="0"/>
    <x v="2"/>
    <x v="0"/>
    <x v="0"/>
    <x v="0"/>
    <x v="0"/>
    <x v="0"/>
    <x v="0"/>
    <x v="2"/>
    <x v="2"/>
    <x v="2"/>
    <x v="16"/>
    <x v="16"/>
    <n v="62.781410000000001"/>
    <x v="0"/>
    <x v="0"/>
    <x v="3"/>
    <x v="5"/>
    <x v="9"/>
    <x v="16"/>
    <n v="74.709877899999995"/>
  </r>
  <r>
    <x v="13"/>
    <x v="1"/>
    <x v="1"/>
    <x v="1"/>
    <x v="0"/>
    <x v="2"/>
    <x v="0"/>
    <x v="0"/>
    <x v="0"/>
    <x v="0"/>
    <x v="0"/>
    <x v="0"/>
    <x v="2"/>
    <x v="2"/>
    <x v="2"/>
    <x v="21"/>
    <x v="21"/>
    <n v="2.7947647058697802"/>
    <x v="0"/>
    <x v="0"/>
    <x v="1"/>
    <x v="4"/>
    <x v="5"/>
    <x v="10"/>
    <n v="3.3257699999850381"/>
  </r>
  <r>
    <x v="13"/>
    <x v="1"/>
    <x v="1"/>
    <x v="1"/>
    <x v="0"/>
    <x v="2"/>
    <x v="0"/>
    <x v="0"/>
    <x v="0"/>
    <x v="0"/>
    <x v="0"/>
    <x v="0"/>
    <x v="2"/>
    <x v="2"/>
    <x v="2"/>
    <x v="25"/>
    <x v="25"/>
    <n v="22.589100840234501"/>
    <x v="0"/>
    <x v="0"/>
    <x v="1"/>
    <x v="4"/>
    <x v="5"/>
    <x v="9"/>
    <n v="26.881029999879054"/>
  </r>
  <r>
    <x v="13"/>
    <x v="1"/>
    <x v="1"/>
    <x v="1"/>
    <x v="0"/>
    <x v="2"/>
    <x v="0"/>
    <x v="0"/>
    <x v="0"/>
    <x v="0"/>
    <x v="0"/>
    <x v="0"/>
    <x v="2"/>
    <x v="2"/>
    <x v="2"/>
    <x v="27"/>
    <x v="27"/>
    <n v="48.627002289375"/>
    <x v="0"/>
    <x v="0"/>
    <x v="1"/>
    <x v="3"/>
    <x v="3"/>
    <x v="19"/>
    <n v="57.866132724356248"/>
  </r>
  <r>
    <x v="13"/>
    <x v="1"/>
    <x v="1"/>
    <x v="1"/>
    <x v="0"/>
    <x v="2"/>
    <x v="0"/>
    <x v="0"/>
    <x v="0"/>
    <x v="0"/>
    <x v="0"/>
    <x v="0"/>
    <x v="2"/>
    <x v="2"/>
    <x v="2"/>
    <x v="1"/>
    <x v="1"/>
    <n v="10.4428533333855"/>
    <x v="0"/>
    <x v="0"/>
    <x v="1"/>
    <x v="1"/>
    <x v="1"/>
    <x v="1"/>
    <n v="12.426995466728744"/>
  </r>
  <r>
    <x v="13"/>
    <x v="1"/>
    <x v="1"/>
    <x v="1"/>
    <x v="0"/>
    <x v="2"/>
    <x v="0"/>
    <x v="0"/>
    <x v="0"/>
    <x v="0"/>
    <x v="0"/>
    <x v="0"/>
    <x v="2"/>
    <x v="2"/>
    <x v="2"/>
    <x v="89"/>
    <x v="89"/>
    <n v="0.26"/>
    <x v="0"/>
    <x v="0"/>
    <x v="3"/>
    <x v="5"/>
    <x v="9"/>
    <x v="16"/>
    <n v="0.30940000000000001"/>
  </r>
  <r>
    <x v="13"/>
    <x v="1"/>
    <x v="1"/>
    <x v="1"/>
    <x v="0"/>
    <x v="2"/>
    <x v="0"/>
    <x v="0"/>
    <x v="0"/>
    <x v="0"/>
    <x v="0"/>
    <x v="0"/>
    <x v="2"/>
    <x v="2"/>
    <x v="2"/>
    <x v="2"/>
    <x v="2"/>
    <n v="112.20771428520899"/>
    <x v="0"/>
    <x v="1"/>
    <x v="2"/>
    <x v="2"/>
    <x v="13"/>
    <x v="2"/>
    <n v="133.5271799993987"/>
  </r>
  <r>
    <x v="13"/>
    <x v="1"/>
    <x v="1"/>
    <x v="1"/>
    <x v="0"/>
    <x v="2"/>
    <x v="0"/>
    <x v="0"/>
    <x v="0"/>
    <x v="0"/>
    <x v="0"/>
    <x v="0"/>
    <x v="2"/>
    <x v="2"/>
    <x v="2"/>
    <x v="3"/>
    <x v="3"/>
    <n v="5.3426699971918499"/>
    <x v="0"/>
    <x v="0"/>
    <x v="1"/>
    <x v="3"/>
    <x v="3"/>
    <x v="3"/>
    <n v="6.357777296658301"/>
  </r>
  <r>
    <x v="13"/>
    <x v="1"/>
    <x v="1"/>
    <x v="1"/>
    <x v="0"/>
    <x v="2"/>
    <x v="0"/>
    <x v="0"/>
    <x v="0"/>
    <x v="0"/>
    <x v="0"/>
    <x v="0"/>
    <x v="1"/>
    <x v="6"/>
    <x v="6"/>
    <x v="9"/>
    <x v="9"/>
    <n v="36.774093242615201"/>
    <x v="0"/>
    <x v="0"/>
    <x v="1"/>
    <x v="4"/>
    <x v="5"/>
    <x v="9"/>
    <n v="43.761170958712086"/>
  </r>
  <r>
    <x v="13"/>
    <x v="1"/>
    <x v="1"/>
    <x v="1"/>
    <x v="0"/>
    <x v="2"/>
    <x v="0"/>
    <x v="0"/>
    <x v="0"/>
    <x v="0"/>
    <x v="0"/>
    <x v="0"/>
    <x v="1"/>
    <x v="6"/>
    <x v="6"/>
    <x v="11"/>
    <x v="11"/>
    <n v="2.0125000000000002"/>
    <x v="0"/>
    <x v="0"/>
    <x v="3"/>
    <x v="5"/>
    <x v="7"/>
    <x v="11"/>
    <n v="2.3948750000000003"/>
  </r>
  <r>
    <x v="13"/>
    <x v="1"/>
    <x v="1"/>
    <x v="1"/>
    <x v="0"/>
    <x v="2"/>
    <x v="0"/>
    <x v="0"/>
    <x v="0"/>
    <x v="0"/>
    <x v="0"/>
    <x v="0"/>
    <x v="1"/>
    <x v="6"/>
    <x v="6"/>
    <x v="32"/>
    <x v="32"/>
    <n v="32.131189395391701"/>
    <x v="0"/>
    <x v="0"/>
    <x v="1"/>
    <x v="1"/>
    <x v="1"/>
    <x v="20"/>
    <n v="38.236115380516125"/>
  </r>
  <r>
    <x v="13"/>
    <x v="1"/>
    <x v="1"/>
    <x v="1"/>
    <x v="0"/>
    <x v="2"/>
    <x v="0"/>
    <x v="0"/>
    <x v="0"/>
    <x v="0"/>
    <x v="0"/>
    <x v="0"/>
    <x v="1"/>
    <x v="6"/>
    <x v="6"/>
    <x v="14"/>
    <x v="14"/>
    <n v="4"/>
    <x v="0"/>
    <x v="0"/>
    <x v="0"/>
    <x v="0"/>
    <x v="8"/>
    <x v="14"/>
    <n v="4.76"/>
  </r>
  <r>
    <x v="13"/>
    <x v="1"/>
    <x v="1"/>
    <x v="1"/>
    <x v="0"/>
    <x v="2"/>
    <x v="0"/>
    <x v="0"/>
    <x v="0"/>
    <x v="0"/>
    <x v="0"/>
    <x v="0"/>
    <x v="1"/>
    <x v="6"/>
    <x v="6"/>
    <x v="16"/>
    <x v="16"/>
    <n v="3.0790000000000002"/>
    <x v="0"/>
    <x v="0"/>
    <x v="3"/>
    <x v="5"/>
    <x v="9"/>
    <x v="16"/>
    <n v="3.6640100000000002"/>
  </r>
  <r>
    <x v="13"/>
    <x v="1"/>
    <x v="1"/>
    <x v="1"/>
    <x v="0"/>
    <x v="2"/>
    <x v="0"/>
    <x v="0"/>
    <x v="0"/>
    <x v="0"/>
    <x v="0"/>
    <x v="0"/>
    <x v="1"/>
    <x v="6"/>
    <x v="6"/>
    <x v="25"/>
    <x v="25"/>
    <n v="7.0588235293799997"/>
    <x v="0"/>
    <x v="0"/>
    <x v="1"/>
    <x v="4"/>
    <x v="5"/>
    <x v="9"/>
    <n v="8.3999999999621995"/>
  </r>
  <r>
    <x v="13"/>
    <x v="1"/>
    <x v="1"/>
    <x v="1"/>
    <x v="0"/>
    <x v="2"/>
    <x v="0"/>
    <x v="0"/>
    <x v="0"/>
    <x v="0"/>
    <x v="0"/>
    <x v="0"/>
    <x v="1"/>
    <x v="6"/>
    <x v="6"/>
    <x v="2"/>
    <x v="2"/>
    <n v="9.2257058823114306"/>
    <x v="0"/>
    <x v="1"/>
    <x v="2"/>
    <x v="2"/>
    <x v="13"/>
    <x v="2"/>
    <n v="10.978589999950602"/>
  </r>
  <r>
    <x v="13"/>
    <x v="1"/>
    <x v="1"/>
    <x v="1"/>
    <x v="0"/>
    <x v="2"/>
    <x v="0"/>
    <x v="0"/>
    <x v="0"/>
    <x v="0"/>
    <x v="0"/>
    <x v="0"/>
    <x v="3"/>
    <x v="7"/>
    <x v="7"/>
    <x v="9"/>
    <x v="9"/>
    <n v="16.726202974800302"/>
    <x v="0"/>
    <x v="0"/>
    <x v="1"/>
    <x v="4"/>
    <x v="5"/>
    <x v="9"/>
    <n v="19.90418154001236"/>
  </r>
  <r>
    <x v="13"/>
    <x v="1"/>
    <x v="1"/>
    <x v="1"/>
    <x v="0"/>
    <x v="2"/>
    <x v="0"/>
    <x v="0"/>
    <x v="0"/>
    <x v="0"/>
    <x v="0"/>
    <x v="0"/>
    <x v="3"/>
    <x v="7"/>
    <x v="7"/>
    <x v="10"/>
    <x v="10"/>
    <n v="0.27932000656056"/>
    <x v="0"/>
    <x v="0"/>
    <x v="1"/>
    <x v="4"/>
    <x v="5"/>
    <x v="10"/>
    <n v="0.33239080780706637"/>
  </r>
  <r>
    <x v="13"/>
    <x v="1"/>
    <x v="1"/>
    <x v="1"/>
    <x v="0"/>
    <x v="2"/>
    <x v="0"/>
    <x v="0"/>
    <x v="0"/>
    <x v="0"/>
    <x v="0"/>
    <x v="0"/>
    <x v="3"/>
    <x v="7"/>
    <x v="7"/>
    <x v="34"/>
    <x v="34"/>
    <n v="0.10103137902019001"/>
    <x v="0"/>
    <x v="0"/>
    <x v="0"/>
    <x v="0"/>
    <x v="0"/>
    <x v="0"/>
    <n v="0.1202273410340261"/>
  </r>
  <r>
    <x v="13"/>
    <x v="1"/>
    <x v="1"/>
    <x v="1"/>
    <x v="0"/>
    <x v="2"/>
    <x v="0"/>
    <x v="0"/>
    <x v="0"/>
    <x v="0"/>
    <x v="0"/>
    <x v="0"/>
    <x v="3"/>
    <x v="7"/>
    <x v="7"/>
    <x v="26"/>
    <x v="26"/>
    <n v="17.6197983192484"/>
    <x v="0"/>
    <x v="0"/>
    <x v="1"/>
    <x v="3"/>
    <x v="3"/>
    <x v="15"/>
    <n v="20.967559999905596"/>
  </r>
  <r>
    <x v="13"/>
    <x v="1"/>
    <x v="1"/>
    <x v="1"/>
    <x v="0"/>
    <x v="2"/>
    <x v="0"/>
    <x v="0"/>
    <x v="0"/>
    <x v="0"/>
    <x v="0"/>
    <x v="0"/>
    <x v="1"/>
    <x v="8"/>
    <x v="8"/>
    <x v="9"/>
    <x v="9"/>
    <n v="13.730908098571"/>
    <x v="0"/>
    <x v="0"/>
    <x v="1"/>
    <x v="4"/>
    <x v="5"/>
    <x v="9"/>
    <n v="16.339780637299487"/>
  </r>
  <r>
    <x v="13"/>
    <x v="1"/>
    <x v="1"/>
    <x v="1"/>
    <x v="0"/>
    <x v="2"/>
    <x v="0"/>
    <x v="0"/>
    <x v="0"/>
    <x v="0"/>
    <x v="0"/>
    <x v="0"/>
    <x v="1"/>
    <x v="8"/>
    <x v="8"/>
    <x v="10"/>
    <x v="10"/>
    <n v="0.17912461655647999"/>
    <x v="0"/>
    <x v="0"/>
    <x v="1"/>
    <x v="4"/>
    <x v="5"/>
    <x v="10"/>
    <n v="0.21315829370221118"/>
  </r>
  <r>
    <x v="13"/>
    <x v="1"/>
    <x v="1"/>
    <x v="1"/>
    <x v="0"/>
    <x v="2"/>
    <x v="0"/>
    <x v="0"/>
    <x v="0"/>
    <x v="0"/>
    <x v="0"/>
    <x v="0"/>
    <x v="1"/>
    <x v="8"/>
    <x v="8"/>
    <x v="34"/>
    <x v="34"/>
    <n v="1.4182493806009999E-2"/>
    <x v="0"/>
    <x v="0"/>
    <x v="0"/>
    <x v="0"/>
    <x v="0"/>
    <x v="0"/>
    <n v="1.6877167629151899E-2"/>
  </r>
  <r>
    <x v="13"/>
    <x v="1"/>
    <x v="1"/>
    <x v="1"/>
    <x v="0"/>
    <x v="2"/>
    <x v="0"/>
    <x v="0"/>
    <x v="0"/>
    <x v="0"/>
    <x v="0"/>
    <x v="0"/>
    <x v="1"/>
    <x v="8"/>
    <x v="8"/>
    <x v="0"/>
    <x v="0"/>
    <n v="2.6666666699999998E-6"/>
    <x v="0"/>
    <x v="0"/>
    <x v="0"/>
    <x v="0"/>
    <x v="0"/>
    <x v="0"/>
    <n v="3.1733333372999995E-6"/>
  </r>
  <r>
    <x v="13"/>
    <x v="1"/>
    <x v="1"/>
    <x v="1"/>
    <x v="0"/>
    <x v="2"/>
    <x v="0"/>
    <x v="0"/>
    <x v="0"/>
    <x v="0"/>
    <x v="0"/>
    <x v="0"/>
    <x v="0"/>
    <x v="9"/>
    <x v="9"/>
    <x v="7"/>
    <x v="7"/>
    <n v="1.00735294117194"/>
    <x v="0"/>
    <x v="0"/>
    <x v="1"/>
    <x v="4"/>
    <x v="5"/>
    <x v="7"/>
    <n v="1.1987499999946085"/>
  </r>
  <r>
    <x v="13"/>
    <x v="1"/>
    <x v="1"/>
    <x v="1"/>
    <x v="0"/>
    <x v="2"/>
    <x v="0"/>
    <x v="0"/>
    <x v="0"/>
    <x v="0"/>
    <x v="0"/>
    <x v="0"/>
    <x v="0"/>
    <x v="9"/>
    <x v="9"/>
    <x v="9"/>
    <x v="9"/>
    <n v="13.7313030489789"/>
    <x v="0"/>
    <x v="0"/>
    <x v="1"/>
    <x v="4"/>
    <x v="5"/>
    <x v="9"/>
    <n v="16.340250628284888"/>
  </r>
  <r>
    <x v="13"/>
    <x v="1"/>
    <x v="1"/>
    <x v="1"/>
    <x v="0"/>
    <x v="2"/>
    <x v="0"/>
    <x v="0"/>
    <x v="0"/>
    <x v="0"/>
    <x v="0"/>
    <x v="0"/>
    <x v="0"/>
    <x v="9"/>
    <x v="9"/>
    <x v="10"/>
    <x v="10"/>
    <n v="0.11149867364328001"/>
    <x v="0"/>
    <x v="0"/>
    <x v="1"/>
    <x v="4"/>
    <x v="5"/>
    <x v="10"/>
    <n v="0.1326834216355032"/>
  </r>
  <r>
    <x v="13"/>
    <x v="1"/>
    <x v="1"/>
    <x v="1"/>
    <x v="0"/>
    <x v="2"/>
    <x v="0"/>
    <x v="0"/>
    <x v="0"/>
    <x v="0"/>
    <x v="0"/>
    <x v="0"/>
    <x v="0"/>
    <x v="9"/>
    <x v="9"/>
    <x v="21"/>
    <x v="21"/>
    <n v="1.2100840336099999E-3"/>
    <x v="0"/>
    <x v="0"/>
    <x v="1"/>
    <x v="4"/>
    <x v="5"/>
    <x v="10"/>
    <n v="1.4399999999958999E-3"/>
  </r>
  <r>
    <x v="13"/>
    <x v="1"/>
    <x v="1"/>
    <x v="1"/>
    <x v="0"/>
    <x v="2"/>
    <x v="0"/>
    <x v="0"/>
    <x v="0"/>
    <x v="0"/>
    <x v="0"/>
    <x v="0"/>
    <x v="0"/>
    <x v="9"/>
    <x v="9"/>
    <x v="34"/>
    <x v="34"/>
    <n v="5.7352601152999998E-2"/>
    <x v="0"/>
    <x v="0"/>
    <x v="0"/>
    <x v="0"/>
    <x v="0"/>
    <x v="0"/>
    <n v="6.8249595372069996E-2"/>
  </r>
  <r>
    <x v="13"/>
    <x v="1"/>
    <x v="1"/>
    <x v="1"/>
    <x v="0"/>
    <x v="2"/>
    <x v="0"/>
    <x v="0"/>
    <x v="0"/>
    <x v="0"/>
    <x v="0"/>
    <x v="0"/>
    <x v="0"/>
    <x v="9"/>
    <x v="9"/>
    <x v="26"/>
    <x v="26"/>
    <n v="6.7798487394652902"/>
    <x v="0"/>
    <x v="0"/>
    <x v="1"/>
    <x v="3"/>
    <x v="3"/>
    <x v="15"/>
    <n v="8.0680199999636955"/>
  </r>
  <r>
    <x v="13"/>
    <x v="1"/>
    <x v="1"/>
    <x v="1"/>
    <x v="0"/>
    <x v="2"/>
    <x v="0"/>
    <x v="0"/>
    <x v="0"/>
    <x v="0"/>
    <x v="0"/>
    <x v="0"/>
    <x v="2"/>
    <x v="10"/>
    <x v="10"/>
    <x v="7"/>
    <x v="7"/>
    <n v="0.24899159663754"/>
    <x v="0"/>
    <x v="0"/>
    <x v="1"/>
    <x v="4"/>
    <x v="5"/>
    <x v="7"/>
    <n v="0.29629999999867257"/>
  </r>
  <r>
    <x v="13"/>
    <x v="1"/>
    <x v="1"/>
    <x v="1"/>
    <x v="0"/>
    <x v="2"/>
    <x v="0"/>
    <x v="0"/>
    <x v="0"/>
    <x v="0"/>
    <x v="0"/>
    <x v="0"/>
    <x v="2"/>
    <x v="10"/>
    <x v="10"/>
    <x v="9"/>
    <x v="9"/>
    <n v="13.7309396585351"/>
    <x v="0"/>
    <x v="0"/>
    <x v="1"/>
    <x v="4"/>
    <x v="5"/>
    <x v="9"/>
    <n v="16.339818193656768"/>
  </r>
  <r>
    <x v="13"/>
    <x v="1"/>
    <x v="1"/>
    <x v="1"/>
    <x v="0"/>
    <x v="2"/>
    <x v="0"/>
    <x v="0"/>
    <x v="0"/>
    <x v="0"/>
    <x v="0"/>
    <x v="0"/>
    <x v="2"/>
    <x v="10"/>
    <x v="10"/>
    <x v="10"/>
    <x v="10"/>
    <n v="1.0917558575120401"/>
    <x v="0"/>
    <x v="0"/>
    <x v="1"/>
    <x v="4"/>
    <x v="5"/>
    <x v="10"/>
    <n v="1.2991894704393276"/>
  </r>
  <r>
    <x v="13"/>
    <x v="1"/>
    <x v="1"/>
    <x v="1"/>
    <x v="0"/>
    <x v="2"/>
    <x v="0"/>
    <x v="0"/>
    <x v="0"/>
    <x v="0"/>
    <x v="0"/>
    <x v="0"/>
    <x v="2"/>
    <x v="10"/>
    <x v="10"/>
    <x v="21"/>
    <x v="21"/>
    <n v="2.0168067227000001E-4"/>
    <x v="0"/>
    <x v="0"/>
    <x v="1"/>
    <x v="4"/>
    <x v="5"/>
    <x v="10"/>
    <n v="2.4000000000129999E-4"/>
  </r>
  <r>
    <x v="13"/>
    <x v="1"/>
    <x v="1"/>
    <x v="1"/>
    <x v="0"/>
    <x v="2"/>
    <x v="0"/>
    <x v="0"/>
    <x v="0"/>
    <x v="0"/>
    <x v="0"/>
    <x v="0"/>
    <x v="2"/>
    <x v="10"/>
    <x v="10"/>
    <x v="34"/>
    <x v="34"/>
    <n v="3.5919590358782498"/>
    <x v="0"/>
    <x v="0"/>
    <x v="0"/>
    <x v="0"/>
    <x v="0"/>
    <x v="0"/>
    <n v="4.2744312526951171"/>
  </r>
  <r>
    <x v="13"/>
    <x v="1"/>
    <x v="1"/>
    <x v="1"/>
    <x v="0"/>
    <x v="2"/>
    <x v="0"/>
    <x v="0"/>
    <x v="0"/>
    <x v="0"/>
    <x v="0"/>
    <x v="0"/>
    <x v="2"/>
    <x v="10"/>
    <x v="10"/>
    <x v="26"/>
    <x v="26"/>
    <n v="23.046277310820699"/>
    <x v="0"/>
    <x v="0"/>
    <x v="1"/>
    <x v="3"/>
    <x v="3"/>
    <x v="15"/>
    <n v="27.42506999987663"/>
  </r>
  <r>
    <x v="13"/>
    <x v="1"/>
    <x v="1"/>
    <x v="1"/>
    <x v="0"/>
    <x v="2"/>
    <x v="0"/>
    <x v="0"/>
    <x v="0"/>
    <x v="0"/>
    <x v="0"/>
    <x v="0"/>
    <x v="2"/>
    <x v="10"/>
    <x v="10"/>
    <x v="0"/>
    <x v="0"/>
    <n v="2.4000000000000001E-5"/>
    <x v="0"/>
    <x v="0"/>
    <x v="0"/>
    <x v="0"/>
    <x v="0"/>
    <x v="0"/>
    <n v="2.8560000000000001E-5"/>
  </r>
  <r>
    <x v="13"/>
    <x v="1"/>
    <x v="1"/>
    <x v="1"/>
    <x v="0"/>
    <x v="2"/>
    <x v="0"/>
    <x v="0"/>
    <x v="0"/>
    <x v="0"/>
    <x v="0"/>
    <x v="0"/>
    <x v="2"/>
    <x v="10"/>
    <x v="10"/>
    <x v="2"/>
    <x v="2"/>
    <n v="315.82719327589001"/>
    <x v="0"/>
    <x v="1"/>
    <x v="2"/>
    <x v="2"/>
    <x v="13"/>
    <x v="2"/>
    <n v="375.83435999830908"/>
  </r>
  <r>
    <x v="13"/>
    <x v="1"/>
    <x v="1"/>
    <x v="1"/>
    <x v="0"/>
    <x v="2"/>
    <x v="0"/>
    <x v="0"/>
    <x v="0"/>
    <x v="0"/>
    <x v="0"/>
    <x v="0"/>
    <x v="4"/>
    <x v="5"/>
    <x v="5"/>
    <x v="5"/>
    <x v="5"/>
    <n v="49.230961326385298"/>
    <x v="0"/>
    <x v="0"/>
    <x v="1"/>
    <x v="1"/>
    <x v="1"/>
    <x v="5"/>
    <n v="58.584843978398503"/>
  </r>
  <r>
    <x v="13"/>
    <x v="1"/>
    <x v="1"/>
    <x v="1"/>
    <x v="0"/>
    <x v="2"/>
    <x v="0"/>
    <x v="0"/>
    <x v="0"/>
    <x v="0"/>
    <x v="0"/>
    <x v="0"/>
    <x v="4"/>
    <x v="5"/>
    <x v="5"/>
    <x v="6"/>
    <x v="6"/>
    <n v="105.23304"/>
    <x v="0"/>
    <x v="0"/>
    <x v="0"/>
    <x v="0"/>
    <x v="4"/>
    <x v="6"/>
    <n v="125.22731759999999"/>
  </r>
  <r>
    <x v="13"/>
    <x v="1"/>
    <x v="1"/>
    <x v="1"/>
    <x v="0"/>
    <x v="2"/>
    <x v="0"/>
    <x v="0"/>
    <x v="0"/>
    <x v="0"/>
    <x v="0"/>
    <x v="0"/>
    <x v="4"/>
    <x v="5"/>
    <x v="5"/>
    <x v="8"/>
    <x v="8"/>
    <n v="5.0437267080553703"/>
    <x v="0"/>
    <x v="1"/>
    <x v="2"/>
    <x v="2"/>
    <x v="6"/>
    <x v="8"/>
    <n v="6.0020347825858904"/>
  </r>
  <r>
    <x v="13"/>
    <x v="1"/>
    <x v="1"/>
    <x v="1"/>
    <x v="0"/>
    <x v="2"/>
    <x v="0"/>
    <x v="0"/>
    <x v="0"/>
    <x v="0"/>
    <x v="0"/>
    <x v="0"/>
    <x v="4"/>
    <x v="5"/>
    <x v="5"/>
    <x v="9"/>
    <x v="9"/>
    <n v="13.7362218948122"/>
    <x v="0"/>
    <x v="0"/>
    <x v="1"/>
    <x v="4"/>
    <x v="5"/>
    <x v="9"/>
    <n v="16.346104054826519"/>
  </r>
  <r>
    <x v="13"/>
    <x v="1"/>
    <x v="1"/>
    <x v="1"/>
    <x v="0"/>
    <x v="2"/>
    <x v="0"/>
    <x v="0"/>
    <x v="0"/>
    <x v="0"/>
    <x v="0"/>
    <x v="0"/>
    <x v="4"/>
    <x v="5"/>
    <x v="5"/>
    <x v="14"/>
    <x v="14"/>
    <n v="102.2454"/>
    <x v="0"/>
    <x v="0"/>
    <x v="0"/>
    <x v="0"/>
    <x v="8"/>
    <x v="14"/>
    <n v="121.672026"/>
  </r>
  <r>
    <x v="13"/>
    <x v="1"/>
    <x v="1"/>
    <x v="1"/>
    <x v="0"/>
    <x v="2"/>
    <x v="0"/>
    <x v="0"/>
    <x v="0"/>
    <x v="0"/>
    <x v="0"/>
    <x v="0"/>
    <x v="4"/>
    <x v="5"/>
    <x v="5"/>
    <x v="23"/>
    <x v="23"/>
    <n v="1.6223277310851401"/>
    <x v="0"/>
    <x v="0"/>
    <x v="1"/>
    <x v="3"/>
    <x v="3"/>
    <x v="15"/>
    <n v="1.9305699999913166"/>
  </r>
  <r>
    <x v="13"/>
    <x v="1"/>
    <x v="1"/>
    <x v="1"/>
    <x v="0"/>
    <x v="2"/>
    <x v="0"/>
    <x v="0"/>
    <x v="0"/>
    <x v="0"/>
    <x v="0"/>
    <x v="0"/>
    <x v="4"/>
    <x v="5"/>
    <x v="5"/>
    <x v="17"/>
    <x v="17"/>
    <n v="175.005"/>
    <x v="0"/>
    <x v="0"/>
    <x v="0"/>
    <x v="0"/>
    <x v="4"/>
    <x v="17"/>
    <n v="208.25594999999998"/>
  </r>
  <r>
    <x v="13"/>
    <x v="1"/>
    <x v="1"/>
    <x v="1"/>
    <x v="0"/>
    <x v="2"/>
    <x v="0"/>
    <x v="0"/>
    <x v="0"/>
    <x v="0"/>
    <x v="0"/>
    <x v="0"/>
    <x v="4"/>
    <x v="5"/>
    <x v="5"/>
    <x v="21"/>
    <x v="21"/>
    <n v="2.0168067227000001E-4"/>
    <x v="0"/>
    <x v="0"/>
    <x v="1"/>
    <x v="4"/>
    <x v="5"/>
    <x v="10"/>
    <n v="2.4000000000129999E-4"/>
  </r>
  <r>
    <x v="13"/>
    <x v="1"/>
    <x v="1"/>
    <x v="1"/>
    <x v="0"/>
    <x v="2"/>
    <x v="0"/>
    <x v="0"/>
    <x v="0"/>
    <x v="0"/>
    <x v="0"/>
    <x v="0"/>
    <x v="4"/>
    <x v="5"/>
    <x v="5"/>
    <x v="34"/>
    <x v="34"/>
    <n v="4.63833659528217"/>
    <x v="0"/>
    <x v="0"/>
    <x v="0"/>
    <x v="0"/>
    <x v="0"/>
    <x v="0"/>
    <n v="5.5196205483857819"/>
  </r>
  <r>
    <x v="13"/>
    <x v="1"/>
    <x v="1"/>
    <x v="1"/>
    <x v="0"/>
    <x v="2"/>
    <x v="0"/>
    <x v="0"/>
    <x v="0"/>
    <x v="0"/>
    <x v="0"/>
    <x v="0"/>
    <x v="4"/>
    <x v="5"/>
    <x v="5"/>
    <x v="27"/>
    <x v="27"/>
    <n v="31.4237528610875"/>
    <x v="0"/>
    <x v="0"/>
    <x v="1"/>
    <x v="3"/>
    <x v="3"/>
    <x v="19"/>
    <n v="37.394265904694123"/>
  </r>
  <r>
    <x v="13"/>
    <x v="1"/>
    <x v="1"/>
    <x v="1"/>
    <x v="0"/>
    <x v="2"/>
    <x v="0"/>
    <x v="0"/>
    <x v="0"/>
    <x v="0"/>
    <x v="0"/>
    <x v="0"/>
    <x v="4"/>
    <x v="5"/>
    <x v="5"/>
    <x v="26"/>
    <x v="26"/>
    <n v="17.6197983192484"/>
    <x v="0"/>
    <x v="0"/>
    <x v="1"/>
    <x v="3"/>
    <x v="3"/>
    <x v="15"/>
    <n v="20.967559999905596"/>
  </r>
  <r>
    <x v="13"/>
    <x v="1"/>
    <x v="1"/>
    <x v="1"/>
    <x v="0"/>
    <x v="2"/>
    <x v="0"/>
    <x v="0"/>
    <x v="0"/>
    <x v="0"/>
    <x v="0"/>
    <x v="0"/>
    <x v="4"/>
    <x v="5"/>
    <x v="5"/>
    <x v="0"/>
    <x v="0"/>
    <n v="1.7777777780000001E-5"/>
    <x v="0"/>
    <x v="0"/>
    <x v="0"/>
    <x v="0"/>
    <x v="0"/>
    <x v="0"/>
    <n v="2.1155555558199999E-5"/>
  </r>
  <r>
    <x v="13"/>
    <x v="1"/>
    <x v="1"/>
    <x v="1"/>
    <x v="0"/>
    <x v="2"/>
    <x v="0"/>
    <x v="0"/>
    <x v="0"/>
    <x v="0"/>
    <x v="0"/>
    <x v="0"/>
    <x v="4"/>
    <x v="5"/>
    <x v="5"/>
    <x v="2"/>
    <x v="2"/>
    <n v="319.68640335990602"/>
    <x v="0"/>
    <x v="1"/>
    <x v="2"/>
    <x v="2"/>
    <x v="13"/>
    <x v="2"/>
    <n v="380.42681999828812"/>
  </r>
  <r>
    <x v="13"/>
    <x v="1"/>
    <x v="1"/>
    <x v="1"/>
    <x v="0"/>
    <x v="2"/>
    <x v="0"/>
    <x v="0"/>
    <x v="0"/>
    <x v="0"/>
    <x v="3"/>
    <x v="3"/>
    <x v="3"/>
    <x v="3"/>
    <x v="3"/>
    <x v="3"/>
    <x v="3"/>
    <n v="2.36339807579493"/>
    <x v="0"/>
    <x v="0"/>
    <x v="1"/>
    <x v="3"/>
    <x v="3"/>
    <x v="3"/>
    <n v="2.8124437101959665"/>
  </r>
  <r>
    <x v="13"/>
    <x v="1"/>
    <x v="1"/>
    <x v="1"/>
    <x v="0"/>
    <x v="2"/>
    <x v="0"/>
    <x v="0"/>
    <x v="0"/>
    <x v="0"/>
    <x v="3"/>
    <x v="3"/>
    <x v="2"/>
    <x v="2"/>
    <x v="2"/>
    <x v="5"/>
    <x v="5"/>
    <n v="0.44813259668888999"/>
    <x v="0"/>
    <x v="0"/>
    <x v="1"/>
    <x v="1"/>
    <x v="1"/>
    <x v="5"/>
    <n v="0.53327779005977904"/>
  </r>
  <r>
    <x v="13"/>
    <x v="1"/>
    <x v="1"/>
    <x v="1"/>
    <x v="0"/>
    <x v="2"/>
    <x v="0"/>
    <x v="0"/>
    <x v="0"/>
    <x v="0"/>
    <x v="3"/>
    <x v="3"/>
    <x v="2"/>
    <x v="2"/>
    <x v="2"/>
    <x v="8"/>
    <x v="8"/>
    <n v="1.87450931676306"/>
    <x v="0"/>
    <x v="1"/>
    <x v="2"/>
    <x v="2"/>
    <x v="6"/>
    <x v="8"/>
    <n v="2.2306660869480415"/>
  </r>
  <r>
    <x v="13"/>
    <x v="1"/>
    <x v="1"/>
    <x v="1"/>
    <x v="0"/>
    <x v="2"/>
    <x v="0"/>
    <x v="0"/>
    <x v="0"/>
    <x v="0"/>
    <x v="3"/>
    <x v="3"/>
    <x v="1"/>
    <x v="6"/>
    <x v="6"/>
    <x v="16"/>
    <x v="16"/>
    <n v="89.34648"/>
    <x v="0"/>
    <x v="0"/>
    <x v="3"/>
    <x v="5"/>
    <x v="9"/>
    <x v="16"/>
    <n v="106.3223112"/>
  </r>
  <r>
    <x v="13"/>
    <x v="1"/>
    <x v="1"/>
    <x v="1"/>
    <x v="0"/>
    <x v="2"/>
    <x v="0"/>
    <x v="0"/>
    <x v="0"/>
    <x v="0"/>
    <x v="4"/>
    <x v="4"/>
    <x v="2"/>
    <x v="2"/>
    <x v="2"/>
    <x v="5"/>
    <x v="5"/>
    <n v="0.41904972376047001"/>
    <x v="0"/>
    <x v="0"/>
    <x v="1"/>
    <x v="1"/>
    <x v="1"/>
    <x v="5"/>
    <n v="0.4986691712749593"/>
  </r>
  <r>
    <x v="13"/>
    <x v="1"/>
    <x v="1"/>
    <x v="1"/>
    <x v="0"/>
    <x v="2"/>
    <x v="0"/>
    <x v="0"/>
    <x v="0"/>
    <x v="0"/>
    <x v="4"/>
    <x v="4"/>
    <x v="2"/>
    <x v="2"/>
    <x v="2"/>
    <x v="7"/>
    <x v="7"/>
    <n v="0.285714285713"/>
    <x v="0"/>
    <x v="0"/>
    <x v="1"/>
    <x v="4"/>
    <x v="5"/>
    <x v="7"/>
    <n v="0.33999999999846997"/>
  </r>
  <r>
    <x v="13"/>
    <x v="1"/>
    <x v="1"/>
    <x v="1"/>
    <x v="0"/>
    <x v="2"/>
    <x v="0"/>
    <x v="0"/>
    <x v="0"/>
    <x v="0"/>
    <x v="4"/>
    <x v="4"/>
    <x v="2"/>
    <x v="2"/>
    <x v="2"/>
    <x v="16"/>
    <x v="16"/>
    <n v="2.8255499999999998"/>
    <x v="0"/>
    <x v="0"/>
    <x v="3"/>
    <x v="5"/>
    <x v="9"/>
    <x v="16"/>
    <n v="3.3624044999999998"/>
  </r>
  <r>
    <x v="13"/>
    <x v="1"/>
    <x v="1"/>
    <x v="1"/>
    <x v="0"/>
    <x v="2"/>
    <x v="0"/>
    <x v="0"/>
    <x v="2"/>
    <x v="2"/>
    <x v="5"/>
    <x v="5"/>
    <x v="2"/>
    <x v="2"/>
    <x v="2"/>
    <x v="41"/>
    <x v="41"/>
    <n v="3.2967032967000001"/>
    <x v="1"/>
    <x v="2"/>
    <x v="5"/>
    <x v="7"/>
    <x v="11"/>
    <x v="22"/>
    <n v="3.9230769230729998"/>
  </r>
  <r>
    <x v="13"/>
    <x v="1"/>
    <x v="1"/>
    <x v="1"/>
    <x v="0"/>
    <x v="2"/>
    <x v="0"/>
    <x v="0"/>
    <x v="2"/>
    <x v="2"/>
    <x v="5"/>
    <x v="5"/>
    <x v="2"/>
    <x v="2"/>
    <x v="2"/>
    <x v="40"/>
    <x v="40"/>
    <n v="29.981529999999999"/>
    <x v="1"/>
    <x v="2"/>
    <x v="5"/>
    <x v="7"/>
    <x v="11"/>
    <x v="22"/>
    <n v="35.678020699999998"/>
  </r>
  <r>
    <x v="13"/>
    <x v="1"/>
    <x v="1"/>
    <x v="1"/>
    <x v="0"/>
    <x v="2"/>
    <x v="0"/>
    <x v="0"/>
    <x v="2"/>
    <x v="2"/>
    <x v="5"/>
    <x v="5"/>
    <x v="2"/>
    <x v="2"/>
    <x v="2"/>
    <x v="38"/>
    <x v="38"/>
    <n v="110.16500000000001"/>
    <x v="1"/>
    <x v="0"/>
    <x v="4"/>
    <x v="6"/>
    <x v="10"/>
    <x v="21"/>
    <n v="131.09635"/>
  </r>
  <r>
    <x v="13"/>
    <x v="1"/>
    <x v="1"/>
    <x v="1"/>
    <x v="0"/>
    <x v="2"/>
    <x v="0"/>
    <x v="0"/>
    <x v="2"/>
    <x v="2"/>
    <x v="5"/>
    <x v="5"/>
    <x v="1"/>
    <x v="6"/>
    <x v="6"/>
    <x v="41"/>
    <x v="41"/>
    <n v="4.9059560439511403"/>
    <x v="1"/>
    <x v="2"/>
    <x v="5"/>
    <x v="7"/>
    <x v="11"/>
    <x v="22"/>
    <n v="5.8380876923018565"/>
  </r>
  <r>
    <x v="13"/>
    <x v="1"/>
    <x v="1"/>
    <x v="1"/>
    <x v="0"/>
    <x v="2"/>
    <x v="0"/>
    <x v="0"/>
    <x v="2"/>
    <x v="2"/>
    <x v="5"/>
    <x v="5"/>
    <x v="1"/>
    <x v="6"/>
    <x v="6"/>
    <x v="40"/>
    <x v="40"/>
    <n v="99.950019999999995"/>
    <x v="1"/>
    <x v="2"/>
    <x v="5"/>
    <x v="7"/>
    <x v="11"/>
    <x v="22"/>
    <n v="118.94052379999999"/>
  </r>
  <r>
    <x v="13"/>
    <x v="1"/>
    <x v="1"/>
    <x v="1"/>
    <x v="0"/>
    <x v="2"/>
    <x v="0"/>
    <x v="0"/>
    <x v="2"/>
    <x v="2"/>
    <x v="5"/>
    <x v="5"/>
    <x v="1"/>
    <x v="6"/>
    <x v="6"/>
    <x v="38"/>
    <x v="38"/>
    <n v="113.99"/>
    <x v="1"/>
    <x v="0"/>
    <x v="4"/>
    <x v="6"/>
    <x v="10"/>
    <x v="21"/>
    <n v="135.6481"/>
  </r>
  <r>
    <x v="13"/>
    <x v="1"/>
    <x v="1"/>
    <x v="1"/>
    <x v="0"/>
    <x v="2"/>
    <x v="0"/>
    <x v="0"/>
    <x v="2"/>
    <x v="2"/>
    <x v="7"/>
    <x v="7"/>
    <x v="2"/>
    <x v="2"/>
    <x v="2"/>
    <x v="40"/>
    <x v="40"/>
    <n v="7.8997700000000002"/>
    <x v="1"/>
    <x v="2"/>
    <x v="5"/>
    <x v="7"/>
    <x v="11"/>
    <x v="22"/>
    <n v="9.4007263000000005"/>
  </r>
  <r>
    <x v="13"/>
    <x v="1"/>
    <x v="1"/>
    <x v="1"/>
    <x v="0"/>
    <x v="2"/>
    <x v="0"/>
    <x v="0"/>
    <x v="2"/>
    <x v="2"/>
    <x v="7"/>
    <x v="7"/>
    <x v="2"/>
    <x v="2"/>
    <x v="2"/>
    <x v="38"/>
    <x v="38"/>
    <n v="163.38149999999999"/>
    <x v="1"/>
    <x v="0"/>
    <x v="4"/>
    <x v="6"/>
    <x v="10"/>
    <x v="21"/>
    <n v="194.42398499999999"/>
  </r>
  <r>
    <x v="13"/>
    <x v="1"/>
    <x v="1"/>
    <x v="1"/>
    <x v="0"/>
    <x v="2"/>
    <x v="0"/>
    <x v="0"/>
    <x v="2"/>
    <x v="2"/>
    <x v="7"/>
    <x v="7"/>
    <x v="2"/>
    <x v="2"/>
    <x v="2"/>
    <x v="43"/>
    <x v="43"/>
    <n v="11.574999999999999"/>
    <x v="1"/>
    <x v="0"/>
    <x v="4"/>
    <x v="6"/>
    <x v="10"/>
    <x v="21"/>
    <n v="13.774249999999999"/>
  </r>
  <r>
    <x v="13"/>
    <x v="1"/>
    <x v="1"/>
    <x v="1"/>
    <x v="0"/>
    <x v="2"/>
    <x v="0"/>
    <x v="0"/>
    <x v="2"/>
    <x v="2"/>
    <x v="7"/>
    <x v="7"/>
    <x v="2"/>
    <x v="2"/>
    <x v="2"/>
    <x v="44"/>
    <x v="44"/>
    <n v="8.3000000000000007"/>
    <x v="1"/>
    <x v="0"/>
    <x v="4"/>
    <x v="6"/>
    <x v="10"/>
    <x v="21"/>
    <n v="9.8770000000000007"/>
  </r>
  <r>
    <x v="13"/>
    <x v="1"/>
    <x v="1"/>
    <x v="1"/>
    <x v="0"/>
    <x v="2"/>
    <x v="0"/>
    <x v="0"/>
    <x v="0"/>
    <x v="0"/>
    <x v="7"/>
    <x v="7"/>
    <x v="2"/>
    <x v="2"/>
    <x v="2"/>
    <x v="17"/>
    <x v="17"/>
    <n v="13.36"/>
    <x v="0"/>
    <x v="0"/>
    <x v="0"/>
    <x v="0"/>
    <x v="4"/>
    <x v="17"/>
    <n v="15.898399999999999"/>
  </r>
  <r>
    <x v="13"/>
    <x v="1"/>
    <x v="1"/>
    <x v="1"/>
    <x v="0"/>
    <x v="2"/>
    <x v="0"/>
    <x v="0"/>
    <x v="2"/>
    <x v="2"/>
    <x v="7"/>
    <x v="7"/>
    <x v="2"/>
    <x v="2"/>
    <x v="2"/>
    <x v="45"/>
    <x v="45"/>
    <n v="25.4"/>
    <x v="1"/>
    <x v="0"/>
    <x v="4"/>
    <x v="6"/>
    <x v="10"/>
    <x v="21"/>
    <n v="30.225999999999996"/>
  </r>
  <r>
    <x v="13"/>
    <x v="1"/>
    <x v="1"/>
    <x v="1"/>
    <x v="0"/>
    <x v="2"/>
    <x v="0"/>
    <x v="0"/>
    <x v="2"/>
    <x v="2"/>
    <x v="7"/>
    <x v="7"/>
    <x v="1"/>
    <x v="6"/>
    <x v="6"/>
    <x v="47"/>
    <x v="47"/>
    <n v="1.837"/>
    <x v="1"/>
    <x v="0"/>
    <x v="4"/>
    <x v="6"/>
    <x v="10"/>
    <x v="21"/>
    <n v="2.1860299999999997"/>
  </r>
  <r>
    <x v="13"/>
    <x v="1"/>
    <x v="1"/>
    <x v="1"/>
    <x v="0"/>
    <x v="2"/>
    <x v="0"/>
    <x v="0"/>
    <x v="2"/>
    <x v="2"/>
    <x v="7"/>
    <x v="7"/>
    <x v="1"/>
    <x v="6"/>
    <x v="6"/>
    <x v="40"/>
    <x v="40"/>
    <n v="2.9249999999999998"/>
    <x v="1"/>
    <x v="2"/>
    <x v="5"/>
    <x v="7"/>
    <x v="11"/>
    <x v="22"/>
    <n v="3.4807499999999996"/>
  </r>
  <r>
    <x v="13"/>
    <x v="1"/>
    <x v="1"/>
    <x v="1"/>
    <x v="0"/>
    <x v="2"/>
    <x v="0"/>
    <x v="0"/>
    <x v="2"/>
    <x v="2"/>
    <x v="7"/>
    <x v="7"/>
    <x v="1"/>
    <x v="6"/>
    <x v="6"/>
    <x v="38"/>
    <x v="38"/>
    <n v="16.793600000000001"/>
    <x v="1"/>
    <x v="0"/>
    <x v="4"/>
    <x v="6"/>
    <x v="10"/>
    <x v="21"/>
    <n v="19.984384000000002"/>
  </r>
  <r>
    <x v="13"/>
    <x v="1"/>
    <x v="1"/>
    <x v="1"/>
    <x v="0"/>
    <x v="2"/>
    <x v="0"/>
    <x v="0"/>
    <x v="2"/>
    <x v="2"/>
    <x v="7"/>
    <x v="7"/>
    <x v="1"/>
    <x v="6"/>
    <x v="6"/>
    <x v="44"/>
    <x v="44"/>
    <n v="1.5"/>
    <x v="1"/>
    <x v="0"/>
    <x v="4"/>
    <x v="6"/>
    <x v="10"/>
    <x v="21"/>
    <n v="1.7849999999999999"/>
  </r>
  <r>
    <x v="13"/>
    <x v="1"/>
    <x v="1"/>
    <x v="1"/>
    <x v="0"/>
    <x v="2"/>
    <x v="0"/>
    <x v="0"/>
    <x v="0"/>
    <x v="0"/>
    <x v="7"/>
    <x v="7"/>
    <x v="1"/>
    <x v="6"/>
    <x v="6"/>
    <x v="17"/>
    <x v="17"/>
    <n v="6.92"/>
    <x v="0"/>
    <x v="0"/>
    <x v="0"/>
    <x v="0"/>
    <x v="4"/>
    <x v="17"/>
    <n v="8.2347999999999999"/>
  </r>
  <r>
    <x v="13"/>
    <x v="1"/>
    <x v="1"/>
    <x v="1"/>
    <x v="0"/>
    <x v="2"/>
    <x v="0"/>
    <x v="0"/>
    <x v="2"/>
    <x v="2"/>
    <x v="8"/>
    <x v="8"/>
    <x v="1"/>
    <x v="6"/>
    <x v="6"/>
    <x v="40"/>
    <x v="40"/>
    <n v="23.2"/>
    <x v="1"/>
    <x v="2"/>
    <x v="5"/>
    <x v="7"/>
    <x v="11"/>
    <x v="22"/>
    <n v="27.607999999999997"/>
  </r>
  <r>
    <x v="13"/>
    <x v="1"/>
    <x v="1"/>
    <x v="1"/>
    <x v="0"/>
    <x v="2"/>
    <x v="0"/>
    <x v="0"/>
    <x v="2"/>
    <x v="2"/>
    <x v="9"/>
    <x v="9"/>
    <x v="2"/>
    <x v="2"/>
    <x v="2"/>
    <x v="40"/>
    <x v="40"/>
    <n v="51.228119999999997"/>
    <x v="1"/>
    <x v="2"/>
    <x v="5"/>
    <x v="7"/>
    <x v="11"/>
    <x v="22"/>
    <n v="60.961462799999993"/>
  </r>
  <r>
    <x v="13"/>
    <x v="1"/>
    <x v="1"/>
    <x v="1"/>
    <x v="0"/>
    <x v="2"/>
    <x v="0"/>
    <x v="0"/>
    <x v="2"/>
    <x v="2"/>
    <x v="9"/>
    <x v="9"/>
    <x v="2"/>
    <x v="2"/>
    <x v="2"/>
    <x v="38"/>
    <x v="38"/>
    <n v="745.67849999999999"/>
    <x v="1"/>
    <x v="0"/>
    <x v="4"/>
    <x v="6"/>
    <x v="10"/>
    <x v="21"/>
    <n v="887.35741499999995"/>
  </r>
  <r>
    <x v="13"/>
    <x v="1"/>
    <x v="1"/>
    <x v="1"/>
    <x v="0"/>
    <x v="2"/>
    <x v="0"/>
    <x v="0"/>
    <x v="2"/>
    <x v="2"/>
    <x v="9"/>
    <x v="9"/>
    <x v="1"/>
    <x v="6"/>
    <x v="6"/>
    <x v="40"/>
    <x v="40"/>
    <n v="169.12190000000001"/>
    <x v="1"/>
    <x v="2"/>
    <x v="5"/>
    <x v="7"/>
    <x v="11"/>
    <x v="22"/>
    <n v="201.25506100000001"/>
  </r>
  <r>
    <x v="13"/>
    <x v="1"/>
    <x v="1"/>
    <x v="1"/>
    <x v="0"/>
    <x v="2"/>
    <x v="0"/>
    <x v="0"/>
    <x v="2"/>
    <x v="2"/>
    <x v="9"/>
    <x v="9"/>
    <x v="1"/>
    <x v="6"/>
    <x v="6"/>
    <x v="38"/>
    <x v="38"/>
    <n v="404.04309000000001"/>
    <x v="1"/>
    <x v="0"/>
    <x v="4"/>
    <x v="6"/>
    <x v="10"/>
    <x v="21"/>
    <n v="480.81127709999998"/>
  </r>
  <r>
    <x v="13"/>
    <x v="1"/>
    <x v="1"/>
    <x v="1"/>
    <x v="0"/>
    <x v="2"/>
    <x v="0"/>
    <x v="0"/>
    <x v="2"/>
    <x v="2"/>
    <x v="9"/>
    <x v="9"/>
    <x v="3"/>
    <x v="7"/>
    <x v="7"/>
    <x v="40"/>
    <x v="40"/>
    <n v="43.924300000000002"/>
    <x v="1"/>
    <x v="2"/>
    <x v="5"/>
    <x v="7"/>
    <x v="11"/>
    <x v="22"/>
    <n v="52.269917"/>
  </r>
  <r>
    <x v="13"/>
    <x v="1"/>
    <x v="1"/>
    <x v="1"/>
    <x v="0"/>
    <x v="2"/>
    <x v="0"/>
    <x v="0"/>
    <x v="2"/>
    <x v="2"/>
    <x v="9"/>
    <x v="9"/>
    <x v="1"/>
    <x v="8"/>
    <x v="8"/>
    <x v="40"/>
    <x v="40"/>
    <n v="12.7148"/>
    <x v="1"/>
    <x v="2"/>
    <x v="5"/>
    <x v="7"/>
    <x v="11"/>
    <x v="22"/>
    <n v="15.130611999999999"/>
  </r>
  <r>
    <x v="13"/>
    <x v="1"/>
    <x v="1"/>
    <x v="1"/>
    <x v="0"/>
    <x v="2"/>
    <x v="0"/>
    <x v="0"/>
    <x v="2"/>
    <x v="2"/>
    <x v="9"/>
    <x v="9"/>
    <x v="2"/>
    <x v="10"/>
    <x v="10"/>
    <x v="40"/>
    <x v="40"/>
    <n v="15.0976"/>
    <x v="1"/>
    <x v="2"/>
    <x v="5"/>
    <x v="7"/>
    <x v="11"/>
    <x v="22"/>
    <n v="17.966144"/>
  </r>
  <r>
    <x v="13"/>
    <x v="1"/>
    <x v="1"/>
    <x v="1"/>
    <x v="0"/>
    <x v="2"/>
    <x v="0"/>
    <x v="0"/>
    <x v="2"/>
    <x v="2"/>
    <x v="9"/>
    <x v="9"/>
    <x v="4"/>
    <x v="5"/>
    <x v="5"/>
    <x v="40"/>
    <x v="40"/>
    <n v="63.563299999999998"/>
    <x v="1"/>
    <x v="2"/>
    <x v="5"/>
    <x v="7"/>
    <x v="11"/>
    <x v="22"/>
    <n v="75.640326999999999"/>
  </r>
  <r>
    <x v="13"/>
    <x v="1"/>
    <x v="1"/>
    <x v="1"/>
    <x v="0"/>
    <x v="2"/>
    <x v="0"/>
    <x v="0"/>
    <x v="2"/>
    <x v="2"/>
    <x v="10"/>
    <x v="10"/>
    <x v="2"/>
    <x v="2"/>
    <x v="2"/>
    <x v="40"/>
    <x v="40"/>
    <n v="7.085"/>
    <x v="1"/>
    <x v="2"/>
    <x v="5"/>
    <x v="7"/>
    <x v="11"/>
    <x v="22"/>
    <n v="8.4311499999999988"/>
  </r>
  <r>
    <x v="13"/>
    <x v="1"/>
    <x v="1"/>
    <x v="1"/>
    <x v="0"/>
    <x v="2"/>
    <x v="0"/>
    <x v="0"/>
    <x v="3"/>
    <x v="3"/>
    <x v="13"/>
    <x v="13"/>
    <x v="2"/>
    <x v="2"/>
    <x v="2"/>
    <x v="41"/>
    <x v="41"/>
    <n v="3.2967032967000001"/>
    <x v="1"/>
    <x v="2"/>
    <x v="5"/>
    <x v="7"/>
    <x v="11"/>
    <x v="22"/>
    <n v="3.9230769230729998"/>
  </r>
  <r>
    <x v="13"/>
    <x v="1"/>
    <x v="1"/>
    <x v="1"/>
    <x v="0"/>
    <x v="2"/>
    <x v="0"/>
    <x v="0"/>
    <x v="3"/>
    <x v="3"/>
    <x v="13"/>
    <x v="13"/>
    <x v="2"/>
    <x v="2"/>
    <x v="2"/>
    <x v="40"/>
    <x v="40"/>
    <n v="5.4"/>
    <x v="1"/>
    <x v="2"/>
    <x v="5"/>
    <x v="7"/>
    <x v="11"/>
    <x v="22"/>
    <n v="6.4260000000000002"/>
  </r>
  <r>
    <x v="13"/>
    <x v="1"/>
    <x v="1"/>
    <x v="1"/>
    <x v="0"/>
    <x v="2"/>
    <x v="0"/>
    <x v="0"/>
    <x v="3"/>
    <x v="3"/>
    <x v="13"/>
    <x v="13"/>
    <x v="1"/>
    <x v="6"/>
    <x v="6"/>
    <x v="40"/>
    <x v="40"/>
    <n v="5.6"/>
    <x v="1"/>
    <x v="2"/>
    <x v="5"/>
    <x v="7"/>
    <x v="11"/>
    <x v="22"/>
    <n v="6.6639999999999997"/>
  </r>
  <r>
    <x v="13"/>
    <x v="1"/>
    <x v="1"/>
    <x v="1"/>
    <x v="0"/>
    <x v="2"/>
    <x v="0"/>
    <x v="0"/>
    <x v="3"/>
    <x v="3"/>
    <x v="19"/>
    <x v="19"/>
    <x v="4"/>
    <x v="5"/>
    <x v="5"/>
    <x v="40"/>
    <x v="40"/>
    <n v="2.0312700000000001"/>
    <x v="1"/>
    <x v="2"/>
    <x v="5"/>
    <x v="7"/>
    <x v="11"/>
    <x v="22"/>
    <n v="2.4172113"/>
  </r>
  <r>
    <x v="13"/>
    <x v="1"/>
    <x v="1"/>
    <x v="1"/>
    <x v="0"/>
    <x v="2"/>
    <x v="0"/>
    <x v="0"/>
    <x v="4"/>
    <x v="4"/>
    <x v="20"/>
    <x v="20"/>
    <x v="2"/>
    <x v="2"/>
    <x v="2"/>
    <x v="38"/>
    <x v="38"/>
    <n v="5"/>
    <x v="1"/>
    <x v="0"/>
    <x v="4"/>
    <x v="6"/>
    <x v="10"/>
    <x v="21"/>
    <n v="5.9499999999999993"/>
  </r>
  <r>
    <x v="13"/>
    <x v="1"/>
    <x v="1"/>
    <x v="1"/>
    <x v="0"/>
    <x v="2"/>
    <x v="0"/>
    <x v="0"/>
    <x v="2"/>
    <x v="2"/>
    <x v="14"/>
    <x v="14"/>
    <x v="2"/>
    <x v="2"/>
    <x v="2"/>
    <x v="40"/>
    <x v="40"/>
    <n v="3.9"/>
    <x v="1"/>
    <x v="2"/>
    <x v="5"/>
    <x v="7"/>
    <x v="11"/>
    <x v="22"/>
    <n v="4.641"/>
  </r>
  <r>
    <x v="13"/>
    <x v="1"/>
    <x v="1"/>
    <x v="1"/>
    <x v="0"/>
    <x v="2"/>
    <x v="0"/>
    <x v="0"/>
    <x v="2"/>
    <x v="2"/>
    <x v="15"/>
    <x v="15"/>
    <x v="0"/>
    <x v="4"/>
    <x v="4"/>
    <x v="40"/>
    <x v="40"/>
    <n v="10.349880000000001"/>
    <x v="1"/>
    <x v="2"/>
    <x v="5"/>
    <x v="7"/>
    <x v="11"/>
    <x v="22"/>
    <n v="12.316357200000001"/>
  </r>
  <r>
    <x v="13"/>
    <x v="1"/>
    <x v="1"/>
    <x v="1"/>
    <x v="0"/>
    <x v="2"/>
    <x v="0"/>
    <x v="0"/>
    <x v="2"/>
    <x v="2"/>
    <x v="16"/>
    <x v="16"/>
    <x v="0"/>
    <x v="4"/>
    <x v="4"/>
    <x v="40"/>
    <x v="40"/>
    <n v="25.946999999999999"/>
    <x v="1"/>
    <x v="2"/>
    <x v="5"/>
    <x v="7"/>
    <x v="11"/>
    <x v="22"/>
    <n v="30.876929999999998"/>
  </r>
  <r>
    <x v="13"/>
    <x v="1"/>
    <x v="1"/>
    <x v="1"/>
    <x v="0"/>
    <x v="2"/>
    <x v="0"/>
    <x v="0"/>
    <x v="2"/>
    <x v="2"/>
    <x v="17"/>
    <x v="17"/>
    <x v="2"/>
    <x v="2"/>
    <x v="2"/>
    <x v="42"/>
    <x v="42"/>
    <n v="8.4175000000000004"/>
    <x v="1"/>
    <x v="2"/>
    <x v="5"/>
    <x v="7"/>
    <x v="11"/>
    <x v="22"/>
    <n v="10.016825000000001"/>
  </r>
  <r>
    <x v="13"/>
    <x v="1"/>
    <x v="1"/>
    <x v="1"/>
    <x v="0"/>
    <x v="2"/>
    <x v="0"/>
    <x v="0"/>
    <x v="2"/>
    <x v="2"/>
    <x v="17"/>
    <x v="17"/>
    <x v="2"/>
    <x v="2"/>
    <x v="2"/>
    <x v="40"/>
    <x v="40"/>
    <n v="5.6"/>
    <x v="1"/>
    <x v="2"/>
    <x v="5"/>
    <x v="7"/>
    <x v="11"/>
    <x v="22"/>
    <n v="6.6639999999999997"/>
  </r>
  <r>
    <x v="13"/>
    <x v="1"/>
    <x v="1"/>
    <x v="1"/>
    <x v="0"/>
    <x v="2"/>
    <x v="0"/>
    <x v="0"/>
    <x v="2"/>
    <x v="2"/>
    <x v="17"/>
    <x v="17"/>
    <x v="2"/>
    <x v="2"/>
    <x v="2"/>
    <x v="38"/>
    <x v="38"/>
    <n v="34.4375"/>
    <x v="1"/>
    <x v="0"/>
    <x v="4"/>
    <x v="6"/>
    <x v="10"/>
    <x v="21"/>
    <n v="40.980624999999996"/>
  </r>
  <r>
    <x v="13"/>
    <x v="1"/>
    <x v="1"/>
    <x v="1"/>
    <x v="0"/>
    <x v="2"/>
    <x v="0"/>
    <x v="0"/>
    <x v="2"/>
    <x v="2"/>
    <x v="17"/>
    <x v="17"/>
    <x v="3"/>
    <x v="7"/>
    <x v="7"/>
    <x v="7"/>
    <x v="7"/>
    <n v="7.8774503012804402"/>
    <x v="0"/>
    <x v="0"/>
    <x v="1"/>
    <x v="4"/>
    <x v="5"/>
    <x v="7"/>
    <n v="9.3741658585237229"/>
  </r>
  <r>
    <x v="13"/>
    <x v="1"/>
    <x v="1"/>
    <x v="1"/>
    <x v="0"/>
    <x v="2"/>
    <x v="0"/>
    <x v="0"/>
    <x v="2"/>
    <x v="2"/>
    <x v="17"/>
    <x v="17"/>
    <x v="3"/>
    <x v="7"/>
    <x v="7"/>
    <x v="40"/>
    <x v="40"/>
    <n v="6.6150000000000002"/>
    <x v="1"/>
    <x v="2"/>
    <x v="5"/>
    <x v="7"/>
    <x v="11"/>
    <x v="22"/>
    <n v="7.8718500000000002"/>
  </r>
  <r>
    <x v="13"/>
    <x v="1"/>
    <x v="1"/>
    <x v="1"/>
    <x v="0"/>
    <x v="2"/>
    <x v="0"/>
    <x v="0"/>
    <x v="2"/>
    <x v="2"/>
    <x v="17"/>
    <x v="17"/>
    <x v="1"/>
    <x v="8"/>
    <x v="8"/>
    <x v="7"/>
    <x v="7"/>
    <n v="7.5411129518796196"/>
    <x v="0"/>
    <x v="0"/>
    <x v="1"/>
    <x v="4"/>
    <x v="5"/>
    <x v="7"/>
    <n v="8.9739244127367463"/>
  </r>
  <r>
    <x v="13"/>
    <x v="1"/>
    <x v="1"/>
    <x v="1"/>
    <x v="0"/>
    <x v="2"/>
    <x v="0"/>
    <x v="0"/>
    <x v="2"/>
    <x v="2"/>
    <x v="17"/>
    <x v="17"/>
    <x v="0"/>
    <x v="9"/>
    <x v="9"/>
    <x v="7"/>
    <x v="7"/>
    <n v="59.717621988525103"/>
    <x v="0"/>
    <x v="0"/>
    <x v="1"/>
    <x v="4"/>
    <x v="5"/>
    <x v="7"/>
    <n v="71.063970166344873"/>
  </r>
  <r>
    <x v="13"/>
    <x v="1"/>
    <x v="1"/>
    <x v="1"/>
    <x v="0"/>
    <x v="2"/>
    <x v="0"/>
    <x v="0"/>
    <x v="2"/>
    <x v="2"/>
    <x v="17"/>
    <x v="17"/>
    <x v="2"/>
    <x v="10"/>
    <x v="10"/>
    <x v="7"/>
    <x v="7"/>
    <n v="2.74843222894205"/>
    <x v="0"/>
    <x v="0"/>
    <x v="1"/>
    <x v="4"/>
    <x v="5"/>
    <x v="7"/>
    <n v="3.2706343524410393"/>
  </r>
  <r>
    <x v="13"/>
    <x v="1"/>
    <x v="1"/>
    <x v="1"/>
    <x v="0"/>
    <x v="2"/>
    <x v="0"/>
    <x v="0"/>
    <x v="2"/>
    <x v="2"/>
    <x v="17"/>
    <x v="17"/>
    <x v="4"/>
    <x v="5"/>
    <x v="5"/>
    <x v="40"/>
    <x v="40"/>
    <n v="216.47113999999999"/>
    <x v="1"/>
    <x v="2"/>
    <x v="5"/>
    <x v="7"/>
    <x v="11"/>
    <x v="22"/>
    <n v="257.60065659999998"/>
  </r>
  <r>
    <x v="13"/>
    <x v="1"/>
    <x v="1"/>
    <x v="1"/>
    <x v="0"/>
    <x v="3"/>
    <x v="0"/>
    <x v="0"/>
    <x v="0"/>
    <x v="0"/>
    <x v="0"/>
    <x v="0"/>
    <x v="3"/>
    <x v="3"/>
    <x v="3"/>
    <x v="14"/>
    <x v="14"/>
    <n v="13.75"/>
    <x v="0"/>
    <x v="0"/>
    <x v="0"/>
    <x v="0"/>
    <x v="8"/>
    <x v="14"/>
    <n v="16.362500000000001"/>
  </r>
  <r>
    <x v="13"/>
    <x v="1"/>
    <x v="1"/>
    <x v="1"/>
    <x v="0"/>
    <x v="3"/>
    <x v="0"/>
    <x v="0"/>
    <x v="0"/>
    <x v="0"/>
    <x v="0"/>
    <x v="0"/>
    <x v="2"/>
    <x v="2"/>
    <x v="2"/>
    <x v="9"/>
    <x v="9"/>
    <n v="23.494957983087499"/>
    <x v="0"/>
    <x v="0"/>
    <x v="1"/>
    <x v="4"/>
    <x v="5"/>
    <x v="9"/>
    <n v="27.958999999874123"/>
  </r>
  <r>
    <x v="13"/>
    <x v="1"/>
    <x v="1"/>
    <x v="1"/>
    <x v="0"/>
    <x v="3"/>
    <x v="0"/>
    <x v="0"/>
    <x v="0"/>
    <x v="0"/>
    <x v="0"/>
    <x v="0"/>
    <x v="2"/>
    <x v="2"/>
    <x v="2"/>
    <x v="12"/>
    <x v="12"/>
    <n v="6.3749999999796003"/>
    <x v="0"/>
    <x v="0"/>
    <x v="0"/>
    <x v="0"/>
    <x v="8"/>
    <x v="12"/>
    <n v="7.586249999975724"/>
  </r>
  <r>
    <x v="13"/>
    <x v="1"/>
    <x v="1"/>
    <x v="1"/>
    <x v="0"/>
    <x v="3"/>
    <x v="0"/>
    <x v="0"/>
    <x v="0"/>
    <x v="0"/>
    <x v="0"/>
    <x v="0"/>
    <x v="2"/>
    <x v="2"/>
    <x v="2"/>
    <x v="14"/>
    <x v="14"/>
    <n v="1.1299999999999999"/>
    <x v="0"/>
    <x v="0"/>
    <x v="0"/>
    <x v="0"/>
    <x v="8"/>
    <x v="14"/>
    <n v="1.3446999999999998"/>
  </r>
  <r>
    <x v="13"/>
    <x v="1"/>
    <x v="1"/>
    <x v="1"/>
    <x v="0"/>
    <x v="3"/>
    <x v="0"/>
    <x v="0"/>
    <x v="0"/>
    <x v="0"/>
    <x v="0"/>
    <x v="0"/>
    <x v="2"/>
    <x v="2"/>
    <x v="2"/>
    <x v="24"/>
    <x v="24"/>
    <n v="0.32090756302376999"/>
    <x v="0"/>
    <x v="0"/>
    <x v="1"/>
    <x v="3"/>
    <x v="3"/>
    <x v="4"/>
    <n v="0.38187999999828626"/>
  </r>
  <r>
    <x v="13"/>
    <x v="1"/>
    <x v="1"/>
    <x v="1"/>
    <x v="0"/>
    <x v="3"/>
    <x v="0"/>
    <x v="0"/>
    <x v="0"/>
    <x v="0"/>
    <x v="0"/>
    <x v="0"/>
    <x v="2"/>
    <x v="2"/>
    <x v="2"/>
    <x v="18"/>
    <x v="18"/>
    <n v="11.1"/>
    <x v="0"/>
    <x v="0"/>
    <x v="0"/>
    <x v="0"/>
    <x v="4"/>
    <x v="18"/>
    <n v="13.209"/>
  </r>
  <r>
    <x v="13"/>
    <x v="1"/>
    <x v="1"/>
    <x v="1"/>
    <x v="0"/>
    <x v="3"/>
    <x v="0"/>
    <x v="0"/>
    <x v="0"/>
    <x v="0"/>
    <x v="0"/>
    <x v="0"/>
    <x v="1"/>
    <x v="6"/>
    <x v="6"/>
    <x v="24"/>
    <x v="24"/>
    <n v="14.157680672205201"/>
    <x v="0"/>
    <x v="0"/>
    <x v="1"/>
    <x v="3"/>
    <x v="3"/>
    <x v="4"/>
    <n v="16.847639999924187"/>
  </r>
  <r>
    <x v="13"/>
    <x v="1"/>
    <x v="1"/>
    <x v="1"/>
    <x v="0"/>
    <x v="5"/>
    <x v="0"/>
    <x v="0"/>
    <x v="0"/>
    <x v="0"/>
    <x v="0"/>
    <x v="0"/>
    <x v="3"/>
    <x v="3"/>
    <x v="3"/>
    <x v="11"/>
    <x v="11"/>
    <n v="0.5"/>
    <x v="0"/>
    <x v="0"/>
    <x v="3"/>
    <x v="5"/>
    <x v="7"/>
    <x v="11"/>
    <n v="0.59499999999999997"/>
  </r>
  <r>
    <x v="13"/>
    <x v="1"/>
    <x v="1"/>
    <x v="1"/>
    <x v="0"/>
    <x v="5"/>
    <x v="0"/>
    <x v="0"/>
    <x v="0"/>
    <x v="0"/>
    <x v="0"/>
    <x v="0"/>
    <x v="3"/>
    <x v="3"/>
    <x v="3"/>
    <x v="12"/>
    <x v="12"/>
    <n v="16.4317840908565"/>
    <x v="0"/>
    <x v="0"/>
    <x v="0"/>
    <x v="0"/>
    <x v="8"/>
    <x v="12"/>
    <n v="19.553823068119232"/>
  </r>
  <r>
    <x v="13"/>
    <x v="1"/>
    <x v="1"/>
    <x v="1"/>
    <x v="0"/>
    <x v="5"/>
    <x v="0"/>
    <x v="0"/>
    <x v="0"/>
    <x v="0"/>
    <x v="0"/>
    <x v="0"/>
    <x v="3"/>
    <x v="3"/>
    <x v="3"/>
    <x v="26"/>
    <x v="26"/>
    <n v="18.032067226809598"/>
    <x v="0"/>
    <x v="0"/>
    <x v="1"/>
    <x v="3"/>
    <x v="3"/>
    <x v="15"/>
    <n v="21.458159999903422"/>
  </r>
  <r>
    <x v="13"/>
    <x v="1"/>
    <x v="1"/>
    <x v="1"/>
    <x v="0"/>
    <x v="5"/>
    <x v="0"/>
    <x v="0"/>
    <x v="0"/>
    <x v="0"/>
    <x v="0"/>
    <x v="0"/>
    <x v="2"/>
    <x v="2"/>
    <x v="2"/>
    <x v="12"/>
    <x v="12"/>
    <n v="6.3749999999796003"/>
    <x v="0"/>
    <x v="0"/>
    <x v="0"/>
    <x v="0"/>
    <x v="8"/>
    <x v="12"/>
    <n v="7.586249999975724"/>
  </r>
  <r>
    <x v="13"/>
    <x v="1"/>
    <x v="1"/>
    <x v="1"/>
    <x v="0"/>
    <x v="5"/>
    <x v="0"/>
    <x v="0"/>
    <x v="0"/>
    <x v="0"/>
    <x v="0"/>
    <x v="0"/>
    <x v="2"/>
    <x v="2"/>
    <x v="2"/>
    <x v="23"/>
    <x v="23"/>
    <n v="7.48319327727725"/>
    <x v="0"/>
    <x v="0"/>
    <x v="1"/>
    <x v="3"/>
    <x v="3"/>
    <x v="15"/>
    <n v="8.9049999999599265"/>
  </r>
  <r>
    <x v="13"/>
    <x v="1"/>
    <x v="1"/>
    <x v="1"/>
    <x v="0"/>
    <x v="5"/>
    <x v="0"/>
    <x v="0"/>
    <x v="0"/>
    <x v="0"/>
    <x v="0"/>
    <x v="0"/>
    <x v="2"/>
    <x v="2"/>
    <x v="2"/>
    <x v="26"/>
    <x v="26"/>
    <n v="2.9763361344403898"/>
    <x v="0"/>
    <x v="0"/>
    <x v="1"/>
    <x v="3"/>
    <x v="3"/>
    <x v="15"/>
    <n v="3.5418399999840635"/>
  </r>
  <r>
    <x v="13"/>
    <x v="1"/>
    <x v="1"/>
    <x v="1"/>
    <x v="0"/>
    <x v="5"/>
    <x v="0"/>
    <x v="0"/>
    <x v="0"/>
    <x v="0"/>
    <x v="0"/>
    <x v="0"/>
    <x v="1"/>
    <x v="6"/>
    <x v="6"/>
    <x v="31"/>
    <x v="31"/>
    <n v="10.305050420121701"/>
    <x v="0"/>
    <x v="0"/>
    <x v="1"/>
    <x v="4"/>
    <x v="5"/>
    <x v="10"/>
    <n v="12.263009999944822"/>
  </r>
  <r>
    <x v="13"/>
    <x v="1"/>
    <x v="1"/>
    <x v="1"/>
    <x v="0"/>
    <x v="4"/>
    <x v="1"/>
    <x v="1"/>
    <x v="5"/>
    <x v="5"/>
    <x v="22"/>
    <x v="22"/>
    <x v="3"/>
    <x v="3"/>
    <x v="3"/>
    <x v="2"/>
    <x v="2"/>
    <n v="0.79794957982834003"/>
    <x v="0"/>
    <x v="1"/>
    <x v="2"/>
    <x v="2"/>
    <x v="13"/>
    <x v="2"/>
    <n v="0.9495599999957246"/>
  </r>
  <r>
    <x v="13"/>
    <x v="1"/>
    <x v="1"/>
    <x v="1"/>
    <x v="0"/>
    <x v="4"/>
    <x v="1"/>
    <x v="1"/>
    <x v="5"/>
    <x v="5"/>
    <x v="23"/>
    <x v="23"/>
    <x v="5"/>
    <x v="11"/>
    <x v="11"/>
    <x v="2"/>
    <x v="2"/>
    <n v="3.6778991596473198"/>
    <x v="0"/>
    <x v="1"/>
    <x v="2"/>
    <x v="2"/>
    <x v="13"/>
    <x v="2"/>
    <n v="4.3766999999803105"/>
  </r>
  <r>
    <x v="13"/>
    <x v="1"/>
    <x v="1"/>
    <x v="1"/>
    <x v="0"/>
    <x v="4"/>
    <x v="1"/>
    <x v="1"/>
    <x v="5"/>
    <x v="5"/>
    <x v="23"/>
    <x v="23"/>
    <x v="3"/>
    <x v="3"/>
    <x v="3"/>
    <x v="49"/>
    <x v="49"/>
    <n v="1.4705882355"/>
    <x v="0"/>
    <x v="0"/>
    <x v="1"/>
    <x v="1"/>
    <x v="1"/>
    <x v="23"/>
    <n v="1.7500000002449998"/>
  </r>
  <r>
    <x v="13"/>
    <x v="1"/>
    <x v="1"/>
    <x v="1"/>
    <x v="0"/>
    <x v="4"/>
    <x v="1"/>
    <x v="1"/>
    <x v="5"/>
    <x v="5"/>
    <x v="23"/>
    <x v="23"/>
    <x v="3"/>
    <x v="3"/>
    <x v="3"/>
    <x v="2"/>
    <x v="2"/>
    <n v="99.841873949130502"/>
    <x v="0"/>
    <x v="1"/>
    <x v="2"/>
    <x v="2"/>
    <x v="13"/>
    <x v="2"/>
    <n v="118.81182999946529"/>
  </r>
  <r>
    <x v="13"/>
    <x v="1"/>
    <x v="1"/>
    <x v="1"/>
    <x v="0"/>
    <x v="4"/>
    <x v="1"/>
    <x v="1"/>
    <x v="6"/>
    <x v="5"/>
    <x v="24"/>
    <x v="24"/>
    <x v="5"/>
    <x v="11"/>
    <x v="11"/>
    <x v="38"/>
    <x v="38"/>
    <n v="1.74"/>
    <x v="1"/>
    <x v="0"/>
    <x v="4"/>
    <x v="6"/>
    <x v="10"/>
    <x v="21"/>
    <n v="2.0705999999999998"/>
  </r>
  <r>
    <x v="13"/>
    <x v="1"/>
    <x v="1"/>
    <x v="1"/>
    <x v="0"/>
    <x v="4"/>
    <x v="1"/>
    <x v="1"/>
    <x v="6"/>
    <x v="5"/>
    <x v="24"/>
    <x v="24"/>
    <x v="5"/>
    <x v="11"/>
    <x v="11"/>
    <x v="21"/>
    <x v="21"/>
    <n v="1.29485714285132"/>
    <x v="0"/>
    <x v="0"/>
    <x v="1"/>
    <x v="4"/>
    <x v="5"/>
    <x v="10"/>
    <n v="1.5408799999930707"/>
  </r>
  <r>
    <x v="13"/>
    <x v="1"/>
    <x v="1"/>
    <x v="1"/>
    <x v="0"/>
    <x v="4"/>
    <x v="1"/>
    <x v="1"/>
    <x v="6"/>
    <x v="5"/>
    <x v="24"/>
    <x v="24"/>
    <x v="5"/>
    <x v="11"/>
    <x v="11"/>
    <x v="27"/>
    <x v="27"/>
    <n v="48.876501145215599"/>
    <x v="0"/>
    <x v="0"/>
    <x v="1"/>
    <x v="3"/>
    <x v="3"/>
    <x v="19"/>
    <n v="58.163036362806558"/>
  </r>
  <r>
    <x v="13"/>
    <x v="1"/>
    <x v="1"/>
    <x v="1"/>
    <x v="0"/>
    <x v="4"/>
    <x v="1"/>
    <x v="1"/>
    <x v="6"/>
    <x v="5"/>
    <x v="24"/>
    <x v="24"/>
    <x v="5"/>
    <x v="11"/>
    <x v="11"/>
    <x v="2"/>
    <x v="2"/>
    <n v="3.26221848738028"/>
    <x v="0"/>
    <x v="1"/>
    <x v="2"/>
    <x v="2"/>
    <x v="13"/>
    <x v="2"/>
    <n v="3.882039999982533"/>
  </r>
  <r>
    <x v="13"/>
    <x v="1"/>
    <x v="1"/>
    <x v="1"/>
    <x v="0"/>
    <x v="4"/>
    <x v="1"/>
    <x v="1"/>
    <x v="6"/>
    <x v="5"/>
    <x v="24"/>
    <x v="24"/>
    <x v="3"/>
    <x v="3"/>
    <x v="3"/>
    <x v="7"/>
    <x v="7"/>
    <n v="0.82534939759827997"/>
    <x v="0"/>
    <x v="0"/>
    <x v="1"/>
    <x v="4"/>
    <x v="5"/>
    <x v="7"/>
    <n v="0.98216578314195313"/>
  </r>
  <r>
    <x v="13"/>
    <x v="1"/>
    <x v="1"/>
    <x v="1"/>
    <x v="0"/>
    <x v="4"/>
    <x v="1"/>
    <x v="1"/>
    <x v="6"/>
    <x v="5"/>
    <x v="24"/>
    <x v="24"/>
    <x v="3"/>
    <x v="3"/>
    <x v="3"/>
    <x v="8"/>
    <x v="8"/>
    <n v="1.45260248446653"/>
    <x v="0"/>
    <x v="1"/>
    <x v="2"/>
    <x v="2"/>
    <x v="6"/>
    <x v="8"/>
    <n v="1.7285969565151706"/>
  </r>
  <r>
    <x v="13"/>
    <x v="1"/>
    <x v="1"/>
    <x v="1"/>
    <x v="0"/>
    <x v="4"/>
    <x v="1"/>
    <x v="1"/>
    <x v="6"/>
    <x v="5"/>
    <x v="24"/>
    <x v="24"/>
    <x v="3"/>
    <x v="3"/>
    <x v="3"/>
    <x v="28"/>
    <x v="28"/>
    <n v="0.34100999999999998"/>
    <x v="0"/>
    <x v="0"/>
    <x v="1"/>
    <x v="3"/>
    <x v="3"/>
    <x v="13"/>
    <n v="0.40580189999999994"/>
  </r>
  <r>
    <x v="13"/>
    <x v="1"/>
    <x v="1"/>
    <x v="1"/>
    <x v="0"/>
    <x v="4"/>
    <x v="1"/>
    <x v="1"/>
    <x v="6"/>
    <x v="5"/>
    <x v="24"/>
    <x v="24"/>
    <x v="3"/>
    <x v="3"/>
    <x v="3"/>
    <x v="40"/>
    <x v="40"/>
    <n v="6.5036990756208199"/>
    <x v="1"/>
    <x v="2"/>
    <x v="5"/>
    <x v="7"/>
    <x v="11"/>
    <x v="22"/>
    <n v="7.739401899988775"/>
  </r>
  <r>
    <x v="13"/>
    <x v="1"/>
    <x v="1"/>
    <x v="1"/>
    <x v="0"/>
    <x v="4"/>
    <x v="1"/>
    <x v="1"/>
    <x v="6"/>
    <x v="5"/>
    <x v="24"/>
    <x v="24"/>
    <x v="3"/>
    <x v="3"/>
    <x v="3"/>
    <x v="13"/>
    <x v="13"/>
    <n v="2.9924400000000002"/>
    <x v="0"/>
    <x v="0"/>
    <x v="1"/>
    <x v="3"/>
    <x v="3"/>
    <x v="13"/>
    <n v="3.5610036000000003"/>
  </r>
  <r>
    <x v="13"/>
    <x v="1"/>
    <x v="1"/>
    <x v="1"/>
    <x v="0"/>
    <x v="4"/>
    <x v="1"/>
    <x v="1"/>
    <x v="6"/>
    <x v="5"/>
    <x v="24"/>
    <x v="24"/>
    <x v="3"/>
    <x v="3"/>
    <x v="3"/>
    <x v="21"/>
    <x v="21"/>
    <n v="8.67841176466683"/>
    <x v="0"/>
    <x v="0"/>
    <x v="1"/>
    <x v="4"/>
    <x v="5"/>
    <x v="10"/>
    <n v="10.327309999953528"/>
  </r>
  <r>
    <x v="13"/>
    <x v="1"/>
    <x v="1"/>
    <x v="1"/>
    <x v="0"/>
    <x v="4"/>
    <x v="1"/>
    <x v="1"/>
    <x v="6"/>
    <x v="5"/>
    <x v="24"/>
    <x v="24"/>
    <x v="3"/>
    <x v="3"/>
    <x v="3"/>
    <x v="27"/>
    <x v="27"/>
    <n v="51.350382152133797"/>
    <x v="0"/>
    <x v="0"/>
    <x v="1"/>
    <x v="3"/>
    <x v="3"/>
    <x v="19"/>
    <n v="61.106954761039212"/>
  </r>
  <r>
    <x v="13"/>
    <x v="1"/>
    <x v="1"/>
    <x v="1"/>
    <x v="0"/>
    <x v="4"/>
    <x v="1"/>
    <x v="1"/>
    <x v="6"/>
    <x v="5"/>
    <x v="24"/>
    <x v="24"/>
    <x v="3"/>
    <x v="3"/>
    <x v="3"/>
    <x v="26"/>
    <x v="26"/>
    <n v="3.5045378151102802"/>
    <x v="0"/>
    <x v="0"/>
    <x v="1"/>
    <x v="3"/>
    <x v="3"/>
    <x v="15"/>
    <n v="4.1703999999812336"/>
  </r>
  <r>
    <x v="13"/>
    <x v="1"/>
    <x v="1"/>
    <x v="1"/>
    <x v="0"/>
    <x v="4"/>
    <x v="1"/>
    <x v="1"/>
    <x v="6"/>
    <x v="5"/>
    <x v="24"/>
    <x v="24"/>
    <x v="3"/>
    <x v="3"/>
    <x v="3"/>
    <x v="2"/>
    <x v="2"/>
    <n v="25.529058823414498"/>
    <x v="0"/>
    <x v="1"/>
    <x v="2"/>
    <x v="2"/>
    <x v="13"/>
    <x v="2"/>
    <n v="30.379579999863253"/>
  </r>
  <r>
    <x v="13"/>
    <x v="1"/>
    <x v="1"/>
    <x v="1"/>
    <x v="0"/>
    <x v="4"/>
    <x v="1"/>
    <x v="1"/>
    <x v="6"/>
    <x v="5"/>
    <x v="24"/>
    <x v="24"/>
    <x v="0"/>
    <x v="4"/>
    <x v="4"/>
    <x v="39"/>
    <x v="39"/>
    <n v="1.54618959983E-2"/>
    <x v="0"/>
    <x v="0"/>
    <x v="1"/>
    <x v="4"/>
    <x v="5"/>
    <x v="9"/>
    <n v="1.8399656237977E-2"/>
  </r>
  <r>
    <x v="13"/>
    <x v="1"/>
    <x v="1"/>
    <x v="1"/>
    <x v="0"/>
    <x v="4"/>
    <x v="1"/>
    <x v="1"/>
    <x v="6"/>
    <x v="5"/>
    <x v="24"/>
    <x v="24"/>
    <x v="0"/>
    <x v="4"/>
    <x v="4"/>
    <x v="7"/>
    <x v="7"/>
    <n v="2.05882078315229"/>
    <x v="0"/>
    <x v="0"/>
    <x v="1"/>
    <x v="4"/>
    <x v="5"/>
    <x v="7"/>
    <n v="2.449996731951225"/>
  </r>
  <r>
    <x v="13"/>
    <x v="1"/>
    <x v="1"/>
    <x v="1"/>
    <x v="0"/>
    <x v="4"/>
    <x v="1"/>
    <x v="1"/>
    <x v="6"/>
    <x v="5"/>
    <x v="24"/>
    <x v="24"/>
    <x v="0"/>
    <x v="4"/>
    <x v="4"/>
    <x v="40"/>
    <x v="40"/>
    <n v="0.99214999999999998"/>
    <x v="1"/>
    <x v="2"/>
    <x v="5"/>
    <x v="7"/>
    <x v="11"/>
    <x v="22"/>
    <n v="1.1806584999999998"/>
  </r>
  <r>
    <x v="13"/>
    <x v="1"/>
    <x v="1"/>
    <x v="1"/>
    <x v="0"/>
    <x v="4"/>
    <x v="1"/>
    <x v="1"/>
    <x v="6"/>
    <x v="5"/>
    <x v="24"/>
    <x v="24"/>
    <x v="0"/>
    <x v="4"/>
    <x v="4"/>
    <x v="21"/>
    <x v="21"/>
    <n v="3.2938655462036701"/>
    <x v="0"/>
    <x v="0"/>
    <x v="1"/>
    <x v="4"/>
    <x v="5"/>
    <x v="10"/>
    <n v="3.9196999999823672"/>
  </r>
  <r>
    <x v="13"/>
    <x v="1"/>
    <x v="1"/>
    <x v="1"/>
    <x v="0"/>
    <x v="4"/>
    <x v="1"/>
    <x v="1"/>
    <x v="6"/>
    <x v="5"/>
    <x v="24"/>
    <x v="24"/>
    <x v="0"/>
    <x v="4"/>
    <x v="4"/>
    <x v="27"/>
    <x v="27"/>
    <n v="40.783048055796698"/>
    <x v="0"/>
    <x v="0"/>
    <x v="1"/>
    <x v="3"/>
    <x v="3"/>
    <x v="19"/>
    <n v="48.531827186398068"/>
  </r>
  <r>
    <x v="13"/>
    <x v="1"/>
    <x v="1"/>
    <x v="1"/>
    <x v="0"/>
    <x v="4"/>
    <x v="1"/>
    <x v="1"/>
    <x v="6"/>
    <x v="5"/>
    <x v="24"/>
    <x v="24"/>
    <x v="0"/>
    <x v="4"/>
    <x v="4"/>
    <x v="26"/>
    <x v="26"/>
    <n v="6.8431260503893698"/>
    <x v="0"/>
    <x v="0"/>
    <x v="1"/>
    <x v="3"/>
    <x v="3"/>
    <x v="15"/>
    <n v="8.1433199999633494"/>
  </r>
  <r>
    <x v="13"/>
    <x v="1"/>
    <x v="1"/>
    <x v="1"/>
    <x v="0"/>
    <x v="4"/>
    <x v="1"/>
    <x v="1"/>
    <x v="6"/>
    <x v="5"/>
    <x v="24"/>
    <x v="24"/>
    <x v="0"/>
    <x v="4"/>
    <x v="4"/>
    <x v="2"/>
    <x v="2"/>
    <n v="104.325756302052"/>
    <x v="0"/>
    <x v="1"/>
    <x v="2"/>
    <x v="2"/>
    <x v="13"/>
    <x v="2"/>
    <n v="124.14764999944187"/>
  </r>
  <r>
    <x v="13"/>
    <x v="1"/>
    <x v="1"/>
    <x v="1"/>
    <x v="0"/>
    <x v="4"/>
    <x v="1"/>
    <x v="1"/>
    <x v="6"/>
    <x v="5"/>
    <x v="24"/>
    <x v="24"/>
    <x v="2"/>
    <x v="2"/>
    <x v="2"/>
    <x v="8"/>
    <x v="8"/>
    <n v="2.4844720496799999"/>
    <x v="0"/>
    <x v="1"/>
    <x v="2"/>
    <x v="2"/>
    <x v="6"/>
    <x v="8"/>
    <n v="2.9565217391191996"/>
  </r>
  <r>
    <x v="13"/>
    <x v="1"/>
    <x v="1"/>
    <x v="1"/>
    <x v="0"/>
    <x v="4"/>
    <x v="1"/>
    <x v="1"/>
    <x v="6"/>
    <x v="5"/>
    <x v="24"/>
    <x v="24"/>
    <x v="2"/>
    <x v="2"/>
    <x v="2"/>
    <x v="12"/>
    <x v="12"/>
    <n v="1.7045454545400001"/>
    <x v="0"/>
    <x v="0"/>
    <x v="0"/>
    <x v="0"/>
    <x v="8"/>
    <x v="12"/>
    <n v="2.0284090909026"/>
  </r>
  <r>
    <x v="13"/>
    <x v="1"/>
    <x v="1"/>
    <x v="1"/>
    <x v="0"/>
    <x v="4"/>
    <x v="1"/>
    <x v="1"/>
    <x v="6"/>
    <x v="5"/>
    <x v="24"/>
    <x v="24"/>
    <x v="2"/>
    <x v="2"/>
    <x v="2"/>
    <x v="16"/>
    <x v="16"/>
    <n v="0.97092000000000001"/>
    <x v="0"/>
    <x v="0"/>
    <x v="3"/>
    <x v="5"/>
    <x v="9"/>
    <x v="16"/>
    <n v="1.1553948000000001"/>
  </r>
  <r>
    <x v="13"/>
    <x v="1"/>
    <x v="1"/>
    <x v="1"/>
    <x v="0"/>
    <x v="4"/>
    <x v="1"/>
    <x v="1"/>
    <x v="6"/>
    <x v="5"/>
    <x v="24"/>
    <x v="24"/>
    <x v="2"/>
    <x v="2"/>
    <x v="2"/>
    <x v="27"/>
    <x v="27"/>
    <n v="3.3947368421782498"/>
    <x v="0"/>
    <x v="0"/>
    <x v="1"/>
    <x v="3"/>
    <x v="3"/>
    <x v="19"/>
    <n v="4.0397368421921174"/>
  </r>
  <r>
    <x v="13"/>
    <x v="1"/>
    <x v="1"/>
    <x v="1"/>
    <x v="0"/>
    <x v="4"/>
    <x v="1"/>
    <x v="1"/>
    <x v="6"/>
    <x v="5"/>
    <x v="24"/>
    <x v="24"/>
    <x v="2"/>
    <x v="2"/>
    <x v="2"/>
    <x v="26"/>
    <x v="26"/>
    <n v="0.55207563024962003"/>
    <x v="0"/>
    <x v="0"/>
    <x v="1"/>
    <x v="3"/>
    <x v="3"/>
    <x v="15"/>
    <n v="0.65696999999704786"/>
  </r>
  <r>
    <x v="13"/>
    <x v="1"/>
    <x v="1"/>
    <x v="1"/>
    <x v="0"/>
    <x v="4"/>
    <x v="1"/>
    <x v="1"/>
    <x v="6"/>
    <x v="5"/>
    <x v="24"/>
    <x v="24"/>
    <x v="2"/>
    <x v="2"/>
    <x v="2"/>
    <x v="2"/>
    <x v="2"/>
    <n v="234.251605040963"/>
    <x v="0"/>
    <x v="1"/>
    <x v="2"/>
    <x v="2"/>
    <x v="13"/>
    <x v="2"/>
    <n v="278.75940999874598"/>
  </r>
  <r>
    <x v="13"/>
    <x v="1"/>
    <x v="1"/>
    <x v="1"/>
    <x v="0"/>
    <x v="4"/>
    <x v="1"/>
    <x v="1"/>
    <x v="1"/>
    <x v="5"/>
    <x v="21"/>
    <x v="21"/>
    <x v="3"/>
    <x v="3"/>
    <x v="3"/>
    <x v="5"/>
    <x v="5"/>
    <n v="2.91162983427889"/>
    <x v="0"/>
    <x v="0"/>
    <x v="1"/>
    <x v="1"/>
    <x v="1"/>
    <x v="5"/>
    <n v="3.4648395027918788"/>
  </r>
  <r>
    <x v="13"/>
    <x v="1"/>
    <x v="1"/>
    <x v="1"/>
    <x v="0"/>
    <x v="4"/>
    <x v="1"/>
    <x v="1"/>
    <x v="1"/>
    <x v="5"/>
    <x v="21"/>
    <x v="21"/>
    <x v="3"/>
    <x v="3"/>
    <x v="3"/>
    <x v="7"/>
    <x v="7"/>
    <n v="11.841025602523301"/>
    <x v="0"/>
    <x v="0"/>
    <x v="1"/>
    <x v="4"/>
    <x v="5"/>
    <x v="7"/>
    <n v="14.090820467002727"/>
  </r>
  <r>
    <x v="13"/>
    <x v="1"/>
    <x v="1"/>
    <x v="1"/>
    <x v="0"/>
    <x v="4"/>
    <x v="1"/>
    <x v="1"/>
    <x v="1"/>
    <x v="5"/>
    <x v="21"/>
    <x v="21"/>
    <x v="3"/>
    <x v="3"/>
    <x v="3"/>
    <x v="8"/>
    <x v="8"/>
    <n v="10.2462049689052"/>
    <x v="0"/>
    <x v="1"/>
    <x v="2"/>
    <x v="2"/>
    <x v="6"/>
    <x v="8"/>
    <n v="12.192983912997187"/>
  </r>
  <r>
    <x v="13"/>
    <x v="1"/>
    <x v="1"/>
    <x v="1"/>
    <x v="0"/>
    <x v="4"/>
    <x v="1"/>
    <x v="1"/>
    <x v="1"/>
    <x v="5"/>
    <x v="21"/>
    <x v="21"/>
    <x v="3"/>
    <x v="3"/>
    <x v="3"/>
    <x v="40"/>
    <x v="40"/>
    <n v="5.7100299999999997"/>
    <x v="1"/>
    <x v="2"/>
    <x v="5"/>
    <x v="7"/>
    <x v="11"/>
    <x v="22"/>
    <n v="6.794935699999999"/>
  </r>
  <r>
    <x v="13"/>
    <x v="1"/>
    <x v="1"/>
    <x v="1"/>
    <x v="0"/>
    <x v="4"/>
    <x v="1"/>
    <x v="1"/>
    <x v="1"/>
    <x v="5"/>
    <x v="21"/>
    <x v="21"/>
    <x v="3"/>
    <x v="3"/>
    <x v="3"/>
    <x v="2"/>
    <x v="2"/>
    <n v="50.271999999773797"/>
    <x v="0"/>
    <x v="1"/>
    <x v="2"/>
    <x v="2"/>
    <x v="13"/>
    <x v="2"/>
    <n v="59.823679999730814"/>
  </r>
  <r>
    <x v="13"/>
    <x v="1"/>
    <x v="1"/>
    <x v="1"/>
    <x v="0"/>
    <x v="4"/>
    <x v="1"/>
    <x v="1"/>
    <x v="1"/>
    <x v="5"/>
    <x v="1"/>
    <x v="1"/>
    <x v="3"/>
    <x v="3"/>
    <x v="3"/>
    <x v="39"/>
    <x v="39"/>
    <n v="3.5936611727564798"/>
    <x v="0"/>
    <x v="0"/>
    <x v="1"/>
    <x v="4"/>
    <x v="5"/>
    <x v="9"/>
    <n v="4.2764567955802111"/>
  </r>
  <r>
    <x v="13"/>
    <x v="1"/>
    <x v="1"/>
    <x v="1"/>
    <x v="0"/>
    <x v="4"/>
    <x v="1"/>
    <x v="1"/>
    <x v="1"/>
    <x v="5"/>
    <x v="1"/>
    <x v="1"/>
    <x v="3"/>
    <x v="3"/>
    <x v="3"/>
    <x v="42"/>
    <x v="42"/>
    <n v="44.36853"/>
    <x v="1"/>
    <x v="2"/>
    <x v="5"/>
    <x v="7"/>
    <x v="11"/>
    <x v="22"/>
    <n v="52.7985507"/>
  </r>
  <r>
    <x v="13"/>
    <x v="1"/>
    <x v="1"/>
    <x v="1"/>
    <x v="0"/>
    <x v="4"/>
    <x v="1"/>
    <x v="1"/>
    <x v="1"/>
    <x v="5"/>
    <x v="1"/>
    <x v="1"/>
    <x v="3"/>
    <x v="3"/>
    <x v="3"/>
    <x v="5"/>
    <x v="5"/>
    <n v="285.55646409082499"/>
    <x v="0"/>
    <x v="0"/>
    <x v="1"/>
    <x v="1"/>
    <x v="1"/>
    <x v="5"/>
    <n v="339.81219226808173"/>
  </r>
  <r>
    <x v="13"/>
    <x v="1"/>
    <x v="1"/>
    <x v="1"/>
    <x v="0"/>
    <x v="4"/>
    <x v="1"/>
    <x v="1"/>
    <x v="1"/>
    <x v="5"/>
    <x v="1"/>
    <x v="1"/>
    <x v="3"/>
    <x v="3"/>
    <x v="3"/>
    <x v="6"/>
    <x v="6"/>
    <n v="142.22595798255301"/>
    <x v="0"/>
    <x v="0"/>
    <x v="0"/>
    <x v="0"/>
    <x v="4"/>
    <x v="6"/>
    <n v="169.24888999923809"/>
  </r>
  <r>
    <x v="13"/>
    <x v="1"/>
    <x v="1"/>
    <x v="1"/>
    <x v="0"/>
    <x v="4"/>
    <x v="1"/>
    <x v="1"/>
    <x v="1"/>
    <x v="5"/>
    <x v="1"/>
    <x v="1"/>
    <x v="3"/>
    <x v="3"/>
    <x v="3"/>
    <x v="7"/>
    <x v="7"/>
    <n v="46.333150602854403"/>
    <x v="0"/>
    <x v="0"/>
    <x v="1"/>
    <x v="4"/>
    <x v="5"/>
    <x v="7"/>
    <n v="55.136449217396738"/>
  </r>
  <r>
    <x v="13"/>
    <x v="1"/>
    <x v="1"/>
    <x v="1"/>
    <x v="0"/>
    <x v="4"/>
    <x v="1"/>
    <x v="1"/>
    <x v="1"/>
    <x v="5"/>
    <x v="1"/>
    <x v="1"/>
    <x v="3"/>
    <x v="3"/>
    <x v="3"/>
    <x v="8"/>
    <x v="8"/>
    <n v="974.56137266710402"/>
    <x v="0"/>
    <x v="1"/>
    <x v="2"/>
    <x v="2"/>
    <x v="6"/>
    <x v="8"/>
    <n v="1159.7280334738537"/>
  </r>
  <r>
    <x v="13"/>
    <x v="1"/>
    <x v="1"/>
    <x v="1"/>
    <x v="0"/>
    <x v="4"/>
    <x v="1"/>
    <x v="1"/>
    <x v="1"/>
    <x v="5"/>
    <x v="1"/>
    <x v="1"/>
    <x v="3"/>
    <x v="3"/>
    <x v="3"/>
    <x v="41"/>
    <x v="41"/>
    <n v="147.15001098886401"/>
    <x v="1"/>
    <x v="2"/>
    <x v="5"/>
    <x v="7"/>
    <x v="11"/>
    <x v="22"/>
    <n v="175.10851307674815"/>
  </r>
  <r>
    <x v="13"/>
    <x v="1"/>
    <x v="1"/>
    <x v="1"/>
    <x v="0"/>
    <x v="4"/>
    <x v="1"/>
    <x v="1"/>
    <x v="1"/>
    <x v="5"/>
    <x v="1"/>
    <x v="1"/>
    <x v="3"/>
    <x v="3"/>
    <x v="3"/>
    <x v="28"/>
    <x v="28"/>
    <n v="48.693669999999997"/>
    <x v="0"/>
    <x v="0"/>
    <x v="1"/>
    <x v="3"/>
    <x v="3"/>
    <x v="13"/>
    <n v="57.945467299999997"/>
  </r>
  <r>
    <x v="13"/>
    <x v="1"/>
    <x v="1"/>
    <x v="1"/>
    <x v="0"/>
    <x v="4"/>
    <x v="1"/>
    <x v="1"/>
    <x v="1"/>
    <x v="5"/>
    <x v="1"/>
    <x v="1"/>
    <x v="3"/>
    <x v="3"/>
    <x v="3"/>
    <x v="40"/>
    <x v="40"/>
    <n v="1774.72292613339"/>
    <x v="1"/>
    <x v="2"/>
    <x v="5"/>
    <x v="7"/>
    <x v="11"/>
    <x v="22"/>
    <n v="2111.9202820987339"/>
  </r>
  <r>
    <x v="13"/>
    <x v="1"/>
    <x v="1"/>
    <x v="1"/>
    <x v="0"/>
    <x v="4"/>
    <x v="1"/>
    <x v="1"/>
    <x v="1"/>
    <x v="5"/>
    <x v="1"/>
    <x v="1"/>
    <x v="3"/>
    <x v="3"/>
    <x v="3"/>
    <x v="38"/>
    <x v="38"/>
    <n v="130.93063000000001"/>
    <x v="1"/>
    <x v="0"/>
    <x v="4"/>
    <x v="6"/>
    <x v="10"/>
    <x v="21"/>
    <n v="155.80744970000001"/>
  </r>
  <r>
    <x v="13"/>
    <x v="1"/>
    <x v="1"/>
    <x v="1"/>
    <x v="0"/>
    <x v="4"/>
    <x v="1"/>
    <x v="1"/>
    <x v="1"/>
    <x v="5"/>
    <x v="1"/>
    <x v="1"/>
    <x v="3"/>
    <x v="3"/>
    <x v="3"/>
    <x v="12"/>
    <x v="12"/>
    <n v="291.89612499906599"/>
    <x v="0"/>
    <x v="0"/>
    <x v="0"/>
    <x v="0"/>
    <x v="8"/>
    <x v="12"/>
    <n v="347.35638874888849"/>
  </r>
  <r>
    <x v="13"/>
    <x v="1"/>
    <x v="1"/>
    <x v="1"/>
    <x v="0"/>
    <x v="4"/>
    <x v="1"/>
    <x v="1"/>
    <x v="1"/>
    <x v="5"/>
    <x v="1"/>
    <x v="1"/>
    <x v="3"/>
    <x v="3"/>
    <x v="3"/>
    <x v="13"/>
    <x v="13"/>
    <n v="469.91978"/>
    <x v="0"/>
    <x v="0"/>
    <x v="1"/>
    <x v="3"/>
    <x v="3"/>
    <x v="13"/>
    <n v="559.2045382"/>
  </r>
  <r>
    <x v="13"/>
    <x v="1"/>
    <x v="1"/>
    <x v="1"/>
    <x v="0"/>
    <x v="4"/>
    <x v="1"/>
    <x v="1"/>
    <x v="1"/>
    <x v="5"/>
    <x v="1"/>
    <x v="1"/>
    <x v="3"/>
    <x v="3"/>
    <x v="3"/>
    <x v="49"/>
    <x v="49"/>
    <n v="1112.97044231268"/>
    <x v="0"/>
    <x v="0"/>
    <x v="1"/>
    <x v="1"/>
    <x v="1"/>
    <x v="23"/>
    <n v="1324.4348263520892"/>
  </r>
  <r>
    <x v="13"/>
    <x v="1"/>
    <x v="1"/>
    <x v="1"/>
    <x v="0"/>
    <x v="4"/>
    <x v="1"/>
    <x v="1"/>
    <x v="1"/>
    <x v="5"/>
    <x v="1"/>
    <x v="1"/>
    <x v="3"/>
    <x v="3"/>
    <x v="3"/>
    <x v="16"/>
    <x v="16"/>
    <n v="71.999960000000002"/>
    <x v="0"/>
    <x v="0"/>
    <x v="3"/>
    <x v="5"/>
    <x v="9"/>
    <x v="16"/>
    <n v="85.679952400000005"/>
  </r>
  <r>
    <x v="13"/>
    <x v="1"/>
    <x v="1"/>
    <x v="1"/>
    <x v="0"/>
    <x v="4"/>
    <x v="1"/>
    <x v="1"/>
    <x v="1"/>
    <x v="5"/>
    <x v="1"/>
    <x v="1"/>
    <x v="3"/>
    <x v="3"/>
    <x v="3"/>
    <x v="21"/>
    <x v="21"/>
    <n v="185.42833613361901"/>
    <x v="0"/>
    <x v="0"/>
    <x v="1"/>
    <x v="4"/>
    <x v="5"/>
    <x v="10"/>
    <n v="220.65971999900663"/>
  </r>
  <r>
    <x v="13"/>
    <x v="1"/>
    <x v="1"/>
    <x v="1"/>
    <x v="0"/>
    <x v="4"/>
    <x v="1"/>
    <x v="1"/>
    <x v="1"/>
    <x v="5"/>
    <x v="1"/>
    <x v="1"/>
    <x v="3"/>
    <x v="3"/>
    <x v="3"/>
    <x v="27"/>
    <x v="27"/>
    <n v="2273.6772586301199"/>
    <x v="0"/>
    <x v="0"/>
    <x v="1"/>
    <x v="3"/>
    <x v="3"/>
    <x v="19"/>
    <n v="2705.6759377698427"/>
  </r>
  <r>
    <x v="13"/>
    <x v="1"/>
    <x v="1"/>
    <x v="1"/>
    <x v="0"/>
    <x v="4"/>
    <x v="1"/>
    <x v="1"/>
    <x v="1"/>
    <x v="5"/>
    <x v="1"/>
    <x v="1"/>
    <x v="3"/>
    <x v="3"/>
    <x v="3"/>
    <x v="50"/>
    <x v="50"/>
    <n v="144.44835294052601"/>
    <x v="0"/>
    <x v="0"/>
    <x v="1"/>
    <x v="1"/>
    <x v="1"/>
    <x v="23"/>
    <n v="171.89353999922594"/>
  </r>
  <r>
    <x v="13"/>
    <x v="1"/>
    <x v="1"/>
    <x v="1"/>
    <x v="0"/>
    <x v="4"/>
    <x v="1"/>
    <x v="1"/>
    <x v="1"/>
    <x v="5"/>
    <x v="1"/>
    <x v="1"/>
    <x v="3"/>
    <x v="3"/>
    <x v="3"/>
    <x v="2"/>
    <x v="2"/>
    <n v="10658.047537767199"/>
    <x v="0"/>
    <x v="1"/>
    <x v="2"/>
    <x v="2"/>
    <x v="13"/>
    <x v="2"/>
    <n v="12683.076569942967"/>
  </r>
  <r>
    <x v="13"/>
    <x v="1"/>
    <x v="1"/>
    <x v="1"/>
    <x v="0"/>
    <x v="4"/>
    <x v="1"/>
    <x v="1"/>
    <x v="1"/>
    <x v="5"/>
    <x v="1"/>
    <x v="1"/>
    <x v="0"/>
    <x v="4"/>
    <x v="4"/>
    <x v="39"/>
    <x v="39"/>
    <n v="0.12578922004282"/>
    <x v="0"/>
    <x v="0"/>
    <x v="1"/>
    <x v="4"/>
    <x v="5"/>
    <x v="9"/>
    <n v="0.14968917185095579"/>
  </r>
  <r>
    <x v="13"/>
    <x v="1"/>
    <x v="1"/>
    <x v="1"/>
    <x v="0"/>
    <x v="4"/>
    <x v="1"/>
    <x v="1"/>
    <x v="1"/>
    <x v="5"/>
    <x v="1"/>
    <x v="1"/>
    <x v="0"/>
    <x v="4"/>
    <x v="4"/>
    <x v="42"/>
    <x v="42"/>
    <n v="2.3034699999999999"/>
    <x v="1"/>
    <x v="2"/>
    <x v="5"/>
    <x v="7"/>
    <x v="11"/>
    <x v="22"/>
    <n v="2.7411292999999999"/>
  </r>
  <r>
    <x v="13"/>
    <x v="1"/>
    <x v="1"/>
    <x v="1"/>
    <x v="0"/>
    <x v="4"/>
    <x v="1"/>
    <x v="1"/>
    <x v="1"/>
    <x v="5"/>
    <x v="1"/>
    <x v="1"/>
    <x v="0"/>
    <x v="4"/>
    <x v="4"/>
    <x v="5"/>
    <x v="5"/>
    <n v="16.038071823340701"/>
    <x v="0"/>
    <x v="0"/>
    <x v="1"/>
    <x v="1"/>
    <x v="1"/>
    <x v="5"/>
    <n v="19.085305469775435"/>
  </r>
  <r>
    <x v="13"/>
    <x v="1"/>
    <x v="1"/>
    <x v="1"/>
    <x v="0"/>
    <x v="4"/>
    <x v="1"/>
    <x v="1"/>
    <x v="1"/>
    <x v="5"/>
    <x v="1"/>
    <x v="1"/>
    <x v="0"/>
    <x v="4"/>
    <x v="4"/>
    <x v="6"/>
    <x v="6"/>
    <n v="5.0554621848511996"/>
    <x v="0"/>
    <x v="0"/>
    <x v="0"/>
    <x v="0"/>
    <x v="4"/>
    <x v="6"/>
    <n v="6.0159999999729274"/>
  </r>
  <r>
    <x v="13"/>
    <x v="1"/>
    <x v="1"/>
    <x v="1"/>
    <x v="0"/>
    <x v="4"/>
    <x v="1"/>
    <x v="1"/>
    <x v="1"/>
    <x v="5"/>
    <x v="1"/>
    <x v="1"/>
    <x v="0"/>
    <x v="4"/>
    <x v="4"/>
    <x v="7"/>
    <x v="7"/>
    <n v="5.3756701807744998"/>
    <x v="0"/>
    <x v="0"/>
    <x v="1"/>
    <x v="4"/>
    <x v="5"/>
    <x v="7"/>
    <n v="6.3970475151216544"/>
  </r>
  <r>
    <x v="13"/>
    <x v="1"/>
    <x v="1"/>
    <x v="1"/>
    <x v="0"/>
    <x v="4"/>
    <x v="1"/>
    <x v="1"/>
    <x v="1"/>
    <x v="5"/>
    <x v="1"/>
    <x v="1"/>
    <x v="0"/>
    <x v="4"/>
    <x v="4"/>
    <x v="8"/>
    <x v="8"/>
    <n v="57.161670807236199"/>
    <x v="0"/>
    <x v="1"/>
    <x v="2"/>
    <x v="2"/>
    <x v="6"/>
    <x v="8"/>
    <n v="68.022388260611081"/>
  </r>
  <r>
    <x v="13"/>
    <x v="1"/>
    <x v="1"/>
    <x v="1"/>
    <x v="0"/>
    <x v="4"/>
    <x v="1"/>
    <x v="1"/>
    <x v="1"/>
    <x v="5"/>
    <x v="1"/>
    <x v="1"/>
    <x v="0"/>
    <x v="4"/>
    <x v="4"/>
    <x v="41"/>
    <x v="41"/>
    <n v="25.0825164834914"/>
    <x v="1"/>
    <x v="2"/>
    <x v="5"/>
    <x v="7"/>
    <x v="11"/>
    <x v="22"/>
    <n v="29.848194615354764"/>
  </r>
  <r>
    <x v="13"/>
    <x v="1"/>
    <x v="1"/>
    <x v="1"/>
    <x v="0"/>
    <x v="4"/>
    <x v="1"/>
    <x v="1"/>
    <x v="1"/>
    <x v="5"/>
    <x v="1"/>
    <x v="1"/>
    <x v="0"/>
    <x v="4"/>
    <x v="4"/>
    <x v="28"/>
    <x v="28"/>
    <n v="4.4203200000000002"/>
    <x v="0"/>
    <x v="0"/>
    <x v="1"/>
    <x v="3"/>
    <x v="3"/>
    <x v="13"/>
    <n v="5.2601807999999997"/>
  </r>
  <r>
    <x v="13"/>
    <x v="1"/>
    <x v="1"/>
    <x v="1"/>
    <x v="0"/>
    <x v="4"/>
    <x v="1"/>
    <x v="1"/>
    <x v="1"/>
    <x v="5"/>
    <x v="1"/>
    <x v="1"/>
    <x v="0"/>
    <x v="4"/>
    <x v="4"/>
    <x v="40"/>
    <x v="40"/>
    <n v="123.66069865538201"/>
    <x v="1"/>
    <x v="2"/>
    <x v="5"/>
    <x v="7"/>
    <x v="11"/>
    <x v="22"/>
    <n v="147.15623139990458"/>
  </r>
  <r>
    <x v="13"/>
    <x v="1"/>
    <x v="1"/>
    <x v="1"/>
    <x v="0"/>
    <x v="4"/>
    <x v="1"/>
    <x v="1"/>
    <x v="1"/>
    <x v="5"/>
    <x v="1"/>
    <x v="1"/>
    <x v="0"/>
    <x v="4"/>
    <x v="4"/>
    <x v="38"/>
    <x v="38"/>
    <n v="24.61495"/>
    <x v="1"/>
    <x v="0"/>
    <x v="4"/>
    <x v="6"/>
    <x v="10"/>
    <x v="21"/>
    <n v="29.291790499999998"/>
  </r>
  <r>
    <x v="13"/>
    <x v="1"/>
    <x v="1"/>
    <x v="1"/>
    <x v="0"/>
    <x v="4"/>
    <x v="1"/>
    <x v="1"/>
    <x v="1"/>
    <x v="5"/>
    <x v="1"/>
    <x v="1"/>
    <x v="0"/>
    <x v="4"/>
    <x v="4"/>
    <x v="12"/>
    <x v="12"/>
    <n v="11.9851022726889"/>
    <x v="0"/>
    <x v="0"/>
    <x v="0"/>
    <x v="0"/>
    <x v="8"/>
    <x v="12"/>
    <n v="14.26227170449979"/>
  </r>
  <r>
    <x v="13"/>
    <x v="1"/>
    <x v="1"/>
    <x v="1"/>
    <x v="0"/>
    <x v="4"/>
    <x v="1"/>
    <x v="1"/>
    <x v="1"/>
    <x v="5"/>
    <x v="1"/>
    <x v="1"/>
    <x v="0"/>
    <x v="4"/>
    <x v="4"/>
    <x v="13"/>
    <x v="13"/>
    <n v="40.079070000000002"/>
    <x v="0"/>
    <x v="0"/>
    <x v="1"/>
    <x v="3"/>
    <x v="3"/>
    <x v="13"/>
    <n v="47.694093299999999"/>
  </r>
  <r>
    <x v="13"/>
    <x v="1"/>
    <x v="1"/>
    <x v="1"/>
    <x v="0"/>
    <x v="4"/>
    <x v="1"/>
    <x v="1"/>
    <x v="1"/>
    <x v="5"/>
    <x v="1"/>
    <x v="1"/>
    <x v="0"/>
    <x v="4"/>
    <x v="4"/>
    <x v="16"/>
    <x v="16"/>
    <n v="0.9"/>
    <x v="0"/>
    <x v="0"/>
    <x v="3"/>
    <x v="5"/>
    <x v="9"/>
    <x v="16"/>
    <n v="1.071"/>
  </r>
  <r>
    <x v="13"/>
    <x v="1"/>
    <x v="1"/>
    <x v="1"/>
    <x v="0"/>
    <x v="4"/>
    <x v="1"/>
    <x v="1"/>
    <x v="1"/>
    <x v="5"/>
    <x v="1"/>
    <x v="1"/>
    <x v="0"/>
    <x v="4"/>
    <x v="4"/>
    <x v="21"/>
    <x v="21"/>
    <n v="12.6947310923799"/>
    <x v="0"/>
    <x v="0"/>
    <x v="1"/>
    <x v="4"/>
    <x v="5"/>
    <x v="10"/>
    <n v="15.10672999993208"/>
  </r>
  <r>
    <x v="13"/>
    <x v="1"/>
    <x v="1"/>
    <x v="1"/>
    <x v="0"/>
    <x v="4"/>
    <x v="1"/>
    <x v="1"/>
    <x v="1"/>
    <x v="5"/>
    <x v="1"/>
    <x v="1"/>
    <x v="0"/>
    <x v="4"/>
    <x v="4"/>
    <x v="27"/>
    <x v="27"/>
    <n v="188.97932265852501"/>
    <x v="0"/>
    <x v="0"/>
    <x v="1"/>
    <x v="3"/>
    <x v="3"/>
    <x v="19"/>
    <n v="224.88539396364476"/>
  </r>
  <r>
    <x v="13"/>
    <x v="1"/>
    <x v="1"/>
    <x v="1"/>
    <x v="0"/>
    <x v="4"/>
    <x v="1"/>
    <x v="1"/>
    <x v="1"/>
    <x v="5"/>
    <x v="1"/>
    <x v="1"/>
    <x v="0"/>
    <x v="4"/>
    <x v="4"/>
    <x v="50"/>
    <x v="50"/>
    <n v="5.5909495798067699"/>
    <x v="0"/>
    <x v="0"/>
    <x v="1"/>
    <x v="1"/>
    <x v="1"/>
    <x v="23"/>
    <n v="6.6532299999700557"/>
  </r>
  <r>
    <x v="13"/>
    <x v="1"/>
    <x v="1"/>
    <x v="1"/>
    <x v="0"/>
    <x v="4"/>
    <x v="1"/>
    <x v="1"/>
    <x v="1"/>
    <x v="5"/>
    <x v="1"/>
    <x v="1"/>
    <x v="0"/>
    <x v="4"/>
    <x v="4"/>
    <x v="2"/>
    <x v="2"/>
    <n v="602.96017646787504"/>
    <x v="0"/>
    <x v="1"/>
    <x v="2"/>
    <x v="2"/>
    <x v="13"/>
    <x v="2"/>
    <n v="717.52260999677128"/>
  </r>
  <r>
    <x v="13"/>
    <x v="1"/>
    <x v="1"/>
    <x v="1"/>
    <x v="0"/>
    <x v="4"/>
    <x v="1"/>
    <x v="1"/>
    <x v="1"/>
    <x v="5"/>
    <x v="1"/>
    <x v="1"/>
    <x v="2"/>
    <x v="2"/>
    <x v="2"/>
    <x v="39"/>
    <x v="39"/>
    <n v="0.83116834423353003"/>
    <x v="0"/>
    <x v="0"/>
    <x v="1"/>
    <x v="4"/>
    <x v="5"/>
    <x v="9"/>
    <n v="0.98909032963790067"/>
  </r>
  <r>
    <x v="13"/>
    <x v="1"/>
    <x v="1"/>
    <x v="1"/>
    <x v="0"/>
    <x v="4"/>
    <x v="1"/>
    <x v="1"/>
    <x v="1"/>
    <x v="5"/>
    <x v="1"/>
    <x v="1"/>
    <x v="2"/>
    <x v="2"/>
    <x v="2"/>
    <x v="42"/>
    <x v="42"/>
    <n v="62.804340000000003"/>
    <x v="1"/>
    <x v="2"/>
    <x v="5"/>
    <x v="7"/>
    <x v="11"/>
    <x v="22"/>
    <n v="74.7371646"/>
  </r>
  <r>
    <x v="13"/>
    <x v="1"/>
    <x v="1"/>
    <x v="1"/>
    <x v="0"/>
    <x v="4"/>
    <x v="1"/>
    <x v="1"/>
    <x v="1"/>
    <x v="5"/>
    <x v="1"/>
    <x v="1"/>
    <x v="2"/>
    <x v="2"/>
    <x v="2"/>
    <x v="5"/>
    <x v="5"/>
    <n v="63.092342541972698"/>
    <x v="0"/>
    <x v="0"/>
    <x v="1"/>
    <x v="1"/>
    <x v="1"/>
    <x v="5"/>
    <n v="75.079887624947503"/>
  </r>
  <r>
    <x v="13"/>
    <x v="1"/>
    <x v="1"/>
    <x v="1"/>
    <x v="0"/>
    <x v="4"/>
    <x v="1"/>
    <x v="1"/>
    <x v="1"/>
    <x v="5"/>
    <x v="1"/>
    <x v="1"/>
    <x v="2"/>
    <x v="2"/>
    <x v="2"/>
    <x v="6"/>
    <x v="6"/>
    <n v="22.921411764602698"/>
    <x v="0"/>
    <x v="0"/>
    <x v="0"/>
    <x v="0"/>
    <x v="4"/>
    <x v="6"/>
    <n v="27.276479999877211"/>
  </r>
  <r>
    <x v="13"/>
    <x v="1"/>
    <x v="1"/>
    <x v="1"/>
    <x v="0"/>
    <x v="4"/>
    <x v="1"/>
    <x v="1"/>
    <x v="1"/>
    <x v="5"/>
    <x v="1"/>
    <x v="1"/>
    <x v="2"/>
    <x v="2"/>
    <x v="2"/>
    <x v="7"/>
    <x v="7"/>
    <n v="8.89467018080828"/>
    <x v="0"/>
    <x v="0"/>
    <x v="1"/>
    <x v="4"/>
    <x v="5"/>
    <x v="7"/>
    <n v="10.584657515161853"/>
  </r>
  <r>
    <x v="13"/>
    <x v="1"/>
    <x v="1"/>
    <x v="1"/>
    <x v="0"/>
    <x v="4"/>
    <x v="1"/>
    <x v="1"/>
    <x v="1"/>
    <x v="5"/>
    <x v="1"/>
    <x v="1"/>
    <x v="2"/>
    <x v="2"/>
    <x v="2"/>
    <x v="8"/>
    <x v="8"/>
    <n v="651.34851552547502"/>
    <x v="0"/>
    <x v="1"/>
    <x v="2"/>
    <x v="2"/>
    <x v="6"/>
    <x v="8"/>
    <n v="775.10473347531524"/>
  </r>
  <r>
    <x v="13"/>
    <x v="1"/>
    <x v="1"/>
    <x v="1"/>
    <x v="0"/>
    <x v="4"/>
    <x v="1"/>
    <x v="1"/>
    <x v="1"/>
    <x v="5"/>
    <x v="1"/>
    <x v="1"/>
    <x v="2"/>
    <x v="2"/>
    <x v="2"/>
    <x v="41"/>
    <x v="41"/>
    <n v="44.997802197757203"/>
    <x v="1"/>
    <x v="2"/>
    <x v="5"/>
    <x v="7"/>
    <x v="11"/>
    <x v="22"/>
    <n v="53.547384615331069"/>
  </r>
  <r>
    <x v="13"/>
    <x v="1"/>
    <x v="1"/>
    <x v="1"/>
    <x v="0"/>
    <x v="4"/>
    <x v="1"/>
    <x v="1"/>
    <x v="1"/>
    <x v="5"/>
    <x v="1"/>
    <x v="1"/>
    <x v="2"/>
    <x v="2"/>
    <x v="2"/>
    <x v="28"/>
    <x v="28"/>
    <n v="1.5449999999999999"/>
    <x v="0"/>
    <x v="0"/>
    <x v="1"/>
    <x v="3"/>
    <x v="3"/>
    <x v="13"/>
    <n v="1.8385499999999999"/>
  </r>
  <r>
    <x v="13"/>
    <x v="1"/>
    <x v="1"/>
    <x v="1"/>
    <x v="0"/>
    <x v="4"/>
    <x v="1"/>
    <x v="1"/>
    <x v="1"/>
    <x v="5"/>
    <x v="1"/>
    <x v="1"/>
    <x v="2"/>
    <x v="2"/>
    <x v="2"/>
    <x v="40"/>
    <x v="40"/>
    <n v="448.62358823487301"/>
    <x v="1"/>
    <x v="2"/>
    <x v="5"/>
    <x v="7"/>
    <x v="11"/>
    <x v="22"/>
    <n v="533.86206999949889"/>
  </r>
  <r>
    <x v="13"/>
    <x v="1"/>
    <x v="1"/>
    <x v="1"/>
    <x v="0"/>
    <x v="4"/>
    <x v="1"/>
    <x v="1"/>
    <x v="1"/>
    <x v="5"/>
    <x v="1"/>
    <x v="1"/>
    <x v="2"/>
    <x v="2"/>
    <x v="2"/>
    <x v="38"/>
    <x v="38"/>
    <n v="31.859020000000001"/>
    <x v="1"/>
    <x v="0"/>
    <x v="4"/>
    <x v="6"/>
    <x v="10"/>
    <x v="21"/>
    <n v="37.912233800000003"/>
  </r>
  <r>
    <x v="13"/>
    <x v="1"/>
    <x v="1"/>
    <x v="1"/>
    <x v="0"/>
    <x v="4"/>
    <x v="1"/>
    <x v="1"/>
    <x v="1"/>
    <x v="5"/>
    <x v="1"/>
    <x v="1"/>
    <x v="2"/>
    <x v="2"/>
    <x v="2"/>
    <x v="12"/>
    <x v="12"/>
    <n v="49.495590908932499"/>
    <x v="0"/>
    <x v="0"/>
    <x v="0"/>
    <x v="0"/>
    <x v="8"/>
    <x v="12"/>
    <n v="58.89975318162967"/>
  </r>
  <r>
    <x v="13"/>
    <x v="1"/>
    <x v="1"/>
    <x v="1"/>
    <x v="0"/>
    <x v="4"/>
    <x v="1"/>
    <x v="1"/>
    <x v="1"/>
    <x v="5"/>
    <x v="1"/>
    <x v="1"/>
    <x v="2"/>
    <x v="2"/>
    <x v="2"/>
    <x v="13"/>
    <x v="13"/>
    <n v="63.246000000000002"/>
    <x v="0"/>
    <x v="0"/>
    <x v="1"/>
    <x v="3"/>
    <x v="3"/>
    <x v="13"/>
    <n v="75.262739999999994"/>
  </r>
  <r>
    <x v="13"/>
    <x v="1"/>
    <x v="1"/>
    <x v="1"/>
    <x v="0"/>
    <x v="4"/>
    <x v="1"/>
    <x v="1"/>
    <x v="1"/>
    <x v="5"/>
    <x v="1"/>
    <x v="1"/>
    <x v="2"/>
    <x v="2"/>
    <x v="2"/>
    <x v="16"/>
    <x v="16"/>
    <n v="7.8125400000000003"/>
    <x v="0"/>
    <x v="0"/>
    <x v="3"/>
    <x v="5"/>
    <x v="9"/>
    <x v="16"/>
    <n v="9.2969226000000003"/>
  </r>
  <r>
    <x v="13"/>
    <x v="1"/>
    <x v="1"/>
    <x v="1"/>
    <x v="0"/>
    <x v="4"/>
    <x v="1"/>
    <x v="1"/>
    <x v="1"/>
    <x v="5"/>
    <x v="1"/>
    <x v="1"/>
    <x v="2"/>
    <x v="2"/>
    <x v="2"/>
    <x v="21"/>
    <x v="21"/>
    <n v="19.892521008313899"/>
    <x v="0"/>
    <x v="0"/>
    <x v="1"/>
    <x v="4"/>
    <x v="5"/>
    <x v="10"/>
    <n v="23.67209999989354"/>
  </r>
  <r>
    <x v="13"/>
    <x v="1"/>
    <x v="1"/>
    <x v="1"/>
    <x v="0"/>
    <x v="4"/>
    <x v="1"/>
    <x v="1"/>
    <x v="1"/>
    <x v="5"/>
    <x v="1"/>
    <x v="1"/>
    <x v="2"/>
    <x v="2"/>
    <x v="2"/>
    <x v="27"/>
    <x v="27"/>
    <n v="136.01561327523601"/>
    <x v="0"/>
    <x v="0"/>
    <x v="1"/>
    <x v="3"/>
    <x v="3"/>
    <x v="19"/>
    <n v="161.85857979753084"/>
  </r>
  <r>
    <x v="13"/>
    <x v="1"/>
    <x v="1"/>
    <x v="1"/>
    <x v="0"/>
    <x v="4"/>
    <x v="1"/>
    <x v="1"/>
    <x v="1"/>
    <x v="5"/>
    <x v="1"/>
    <x v="1"/>
    <x v="2"/>
    <x v="2"/>
    <x v="2"/>
    <x v="50"/>
    <x v="50"/>
    <n v="1.6806722689"/>
    <x v="0"/>
    <x v="0"/>
    <x v="1"/>
    <x v="1"/>
    <x v="1"/>
    <x v="23"/>
    <n v="1.9999999999909999"/>
  </r>
  <r>
    <x v="13"/>
    <x v="1"/>
    <x v="1"/>
    <x v="1"/>
    <x v="0"/>
    <x v="4"/>
    <x v="1"/>
    <x v="1"/>
    <x v="1"/>
    <x v="5"/>
    <x v="1"/>
    <x v="1"/>
    <x v="2"/>
    <x v="2"/>
    <x v="2"/>
    <x v="2"/>
    <x v="2"/>
    <n v="1994.5932857053101"/>
    <x v="0"/>
    <x v="1"/>
    <x v="2"/>
    <x v="2"/>
    <x v="13"/>
    <x v="2"/>
    <n v="2373.5660099893189"/>
  </r>
  <r>
    <x v="13"/>
    <x v="1"/>
    <x v="1"/>
    <x v="1"/>
    <x v="0"/>
    <x v="4"/>
    <x v="0"/>
    <x v="0"/>
    <x v="0"/>
    <x v="0"/>
    <x v="0"/>
    <x v="0"/>
    <x v="3"/>
    <x v="3"/>
    <x v="3"/>
    <x v="18"/>
    <x v="18"/>
    <n v="447.97152"/>
    <x v="0"/>
    <x v="0"/>
    <x v="0"/>
    <x v="0"/>
    <x v="4"/>
    <x v="18"/>
    <n v="533.08610879999992"/>
  </r>
  <r>
    <x v="13"/>
    <x v="1"/>
    <x v="1"/>
    <x v="1"/>
    <x v="0"/>
    <x v="4"/>
    <x v="0"/>
    <x v="0"/>
    <x v="0"/>
    <x v="0"/>
    <x v="0"/>
    <x v="0"/>
    <x v="0"/>
    <x v="4"/>
    <x v="4"/>
    <x v="7"/>
    <x v="7"/>
    <n v="-3.8765060241300001E-3"/>
    <x v="0"/>
    <x v="0"/>
    <x v="1"/>
    <x v="4"/>
    <x v="5"/>
    <x v="7"/>
    <n v="-4.6130421687146997E-3"/>
  </r>
  <r>
    <x v="13"/>
    <x v="1"/>
    <x v="1"/>
    <x v="1"/>
    <x v="0"/>
    <x v="4"/>
    <x v="0"/>
    <x v="0"/>
    <x v="0"/>
    <x v="0"/>
    <x v="0"/>
    <x v="0"/>
    <x v="0"/>
    <x v="4"/>
    <x v="4"/>
    <x v="10"/>
    <x v="10"/>
    <n v="9.7899244800000006E-5"/>
    <x v="0"/>
    <x v="0"/>
    <x v="1"/>
    <x v="4"/>
    <x v="5"/>
    <x v="10"/>
    <n v="1.1650010131200001E-4"/>
  </r>
  <r>
    <x v="13"/>
    <x v="1"/>
    <x v="1"/>
    <x v="1"/>
    <x v="0"/>
    <x v="4"/>
    <x v="0"/>
    <x v="0"/>
    <x v="0"/>
    <x v="0"/>
    <x v="0"/>
    <x v="0"/>
    <x v="0"/>
    <x v="0"/>
    <x v="0"/>
    <x v="9"/>
    <x v="9"/>
    <n v="8.8620063593159006"/>
    <x v="0"/>
    <x v="0"/>
    <x v="1"/>
    <x v="4"/>
    <x v="5"/>
    <x v="9"/>
    <n v="10.545787567585922"/>
  </r>
  <r>
    <x v="13"/>
    <x v="1"/>
    <x v="1"/>
    <x v="1"/>
    <x v="0"/>
    <x v="4"/>
    <x v="0"/>
    <x v="0"/>
    <x v="0"/>
    <x v="0"/>
    <x v="0"/>
    <x v="0"/>
    <x v="0"/>
    <x v="0"/>
    <x v="0"/>
    <x v="10"/>
    <x v="10"/>
    <n v="43.994414188490602"/>
    <x v="0"/>
    <x v="0"/>
    <x v="1"/>
    <x v="4"/>
    <x v="5"/>
    <x v="10"/>
    <n v="52.353352884303817"/>
  </r>
  <r>
    <x v="13"/>
    <x v="1"/>
    <x v="1"/>
    <x v="1"/>
    <x v="0"/>
    <x v="4"/>
    <x v="0"/>
    <x v="0"/>
    <x v="0"/>
    <x v="0"/>
    <x v="0"/>
    <x v="0"/>
    <x v="0"/>
    <x v="0"/>
    <x v="0"/>
    <x v="11"/>
    <x v="11"/>
    <n v="13.295400000000001"/>
    <x v="0"/>
    <x v="0"/>
    <x v="3"/>
    <x v="5"/>
    <x v="7"/>
    <x v="11"/>
    <n v="15.821526"/>
  </r>
  <r>
    <x v="13"/>
    <x v="1"/>
    <x v="1"/>
    <x v="1"/>
    <x v="0"/>
    <x v="4"/>
    <x v="0"/>
    <x v="0"/>
    <x v="0"/>
    <x v="0"/>
    <x v="0"/>
    <x v="0"/>
    <x v="0"/>
    <x v="0"/>
    <x v="0"/>
    <x v="33"/>
    <x v="33"/>
    <n v="53.291294117407197"/>
    <x v="0"/>
    <x v="0"/>
    <x v="1"/>
    <x v="3"/>
    <x v="3"/>
    <x v="4"/>
    <n v="63.416639999714562"/>
  </r>
  <r>
    <x v="13"/>
    <x v="1"/>
    <x v="1"/>
    <x v="1"/>
    <x v="0"/>
    <x v="4"/>
    <x v="0"/>
    <x v="0"/>
    <x v="0"/>
    <x v="0"/>
    <x v="0"/>
    <x v="0"/>
    <x v="0"/>
    <x v="0"/>
    <x v="0"/>
    <x v="23"/>
    <x v="23"/>
    <n v="32.432571428425497"/>
    <x v="0"/>
    <x v="0"/>
    <x v="1"/>
    <x v="3"/>
    <x v="3"/>
    <x v="15"/>
    <n v="38.594759999826337"/>
  </r>
  <r>
    <x v="13"/>
    <x v="1"/>
    <x v="1"/>
    <x v="1"/>
    <x v="0"/>
    <x v="4"/>
    <x v="0"/>
    <x v="0"/>
    <x v="0"/>
    <x v="0"/>
    <x v="0"/>
    <x v="0"/>
    <x v="0"/>
    <x v="0"/>
    <x v="0"/>
    <x v="26"/>
    <x v="26"/>
    <n v="16.579462184799301"/>
    <x v="0"/>
    <x v="0"/>
    <x v="1"/>
    <x v="3"/>
    <x v="3"/>
    <x v="15"/>
    <n v="19.729559999911167"/>
  </r>
  <r>
    <x v="13"/>
    <x v="1"/>
    <x v="1"/>
    <x v="1"/>
    <x v="0"/>
    <x v="4"/>
    <x v="0"/>
    <x v="0"/>
    <x v="0"/>
    <x v="0"/>
    <x v="0"/>
    <x v="0"/>
    <x v="0"/>
    <x v="0"/>
    <x v="0"/>
    <x v="85"/>
    <x v="85"/>
    <n v="17.1468907562254"/>
    <x v="0"/>
    <x v="0"/>
    <x v="1"/>
    <x v="3"/>
    <x v="3"/>
    <x v="4"/>
    <n v="20.404799999908224"/>
  </r>
  <r>
    <x v="13"/>
    <x v="1"/>
    <x v="1"/>
    <x v="1"/>
    <x v="0"/>
    <x v="4"/>
    <x v="0"/>
    <x v="0"/>
    <x v="0"/>
    <x v="0"/>
    <x v="0"/>
    <x v="0"/>
    <x v="0"/>
    <x v="0"/>
    <x v="0"/>
    <x v="3"/>
    <x v="3"/>
    <n v="4.9871846078154896"/>
    <x v="0"/>
    <x v="0"/>
    <x v="1"/>
    <x v="3"/>
    <x v="3"/>
    <x v="3"/>
    <n v="5.9347496833004323"/>
  </r>
  <r>
    <x v="13"/>
    <x v="1"/>
    <x v="1"/>
    <x v="1"/>
    <x v="0"/>
    <x v="4"/>
    <x v="0"/>
    <x v="0"/>
    <x v="0"/>
    <x v="0"/>
    <x v="0"/>
    <x v="0"/>
    <x v="1"/>
    <x v="1"/>
    <x v="1"/>
    <x v="11"/>
    <x v="11"/>
    <n v="12.03912"/>
    <x v="0"/>
    <x v="0"/>
    <x v="3"/>
    <x v="5"/>
    <x v="7"/>
    <x v="11"/>
    <n v="14.3265528"/>
  </r>
  <r>
    <x v="13"/>
    <x v="1"/>
    <x v="1"/>
    <x v="1"/>
    <x v="0"/>
    <x v="4"/>
    <x v="0"/>
    <x v="0"/>
    <x v="0"/>
    <x v="0"/>
    <x v="0"/>
    <x v="0"/>
    <x v="1"/>
    <x v="1"/>
    <x v="1"/>
    <x v="33"/>
    <x v="33"/>
    <n v="52.0390588232952"/>
    <x v="0"/>
    <x v="0"/>
    <x v="1"/>
    <x v="3"/>
    <x v="3"/>
    <x v="4"/>
    <n v="61.926479999721288"/>
  </r>
  <r>
    <x v="13"/>
    <x v="1"/>
    <x v="1"/>
    <x v="1"/>
    <x v="0"/>
    <x v="4"/>
    <x v="0"/>
    <x v="0"/>
    <x v="0"/>
    <x v="0"/>
    <x v="0"/>
    <x v="0"/>
    <x v="1"/>
    <x v="1"/>
    <x v="1"/>
    <x v="23"/>
    <x v="23"/>
    <n v="122.134084033064"/>
    <x v="0"/>
    <x v="0"/>
    <x v="1"/>
    <x v="3"/>
    <x v="3"/>
    <x v="15"/>
    <n v="145.33955999934616"/>
  </r>
  <r>
    <x v="13"/>
    <x v="1"/>
    <x v="1"/>
    <x v="1"/>
    <x v="0"/>
    <x v="4"/>
    <x v="0"/>
    <x v="0"/>
    <x v="0"/>
    <x v="0"/>
    <x v="0"/>
    <x v="0"/>
    <x v="1"/>
    <x v="1"/>
    <x v="1"/>
    <x v="26"/>
    <x v="26"/>
    <n v="108.799159663376"/>
    <x v="0"/>
    <x v="0"/>
    <x v="1"/>
    <x v="3"/>
    <x v="3"/>
    <x v="15"/>
    <n v="129.47099999941744"/>
  </r>
  <r>
    <x v="13"/>
    <x v="1"/>
    <x v="1"/>
    <x v="1"/>
    <x v="0"/>
    <x v="4"/>
    <x v="0"/>
    <x v="0"/>
    <x v="0"/>
    <x v="0"/>
    <x v="0"/>
    <x v="0"/>
    <x v="1"/>
    <x v="1"/>
    <x v="1"/>
    <x v="85"/>
    <x v="85"/>
    <n v="71.352605041695696"/>
    <x v="0"/>
    <x v="0"/>
    <x v="1"/>
    <x v="3"/>
    <x v="3"/>
    <x v="4"/>
    <n v="84.909599999617882"/>
  </r>
  <r>
    <x v="13"/>
    <x v="1"/>
    <x v="1"/>
    <x v="1"/>
    <x v="0"/>
    <x v="4"/>
    <x v="0"/>
    <x v="0"/>
    <x v="0"/>
    <x v="0"/>
    <x v="0"/>
    <x v="0"/>
    <x v="1"/>
    <x v="1"/>
    <x v="1"/>
    <x v="3"/>
    <x v="3"/>
    <n v="13.7026807131796"/>
    <x v="0"/>
    <x v="0"/>
    <x v="1"/>
    <x v="3"/>
    <x v="3"/>
    <x v="3"/>
    <n v="16.306190048683725"/>
  </r>
  <r>
    <x v="13"/>
    <x v="1"/>
    <x v="1"/>
    <x v="1"/>
    <x v="0"/>
    <x v="4"/>
    <x v="0"/>
    <x v="0"/>
    <x v="0"/>
    <x v="0"/>
    <x v="0"/>
    <x v="0"/>
    <x v="2"/>
    <x v="2"/>
    <x v="2"/>
    <x v="7"/>
    <x v="7"/>
    <n v="-1.3648425635359999E-2"/>
    <x v="0"/>
    <x v="0"/>
    <x v="1"/>
    <x v="4"/>
    <x v="5"/>
    <x v="7"/>
    <n v="-1.62416265060784E-2"/>
  </r>
  <r>
    <x v="13"/>
    <x v="1"/>
    <x v="1"/>
    <x v="1"/>
    <x v="0"/>
    <x v="4"/>
    <x v="0"/>
    <x v="0"/>
    <x v="0"/>
    <x v="0"/>
    <x v="0"/>
    <x v="0"/>
    <x v="2"/>
    <x v="2"/>
    <x v="2"/>
    <x v="9"/>
    <x v="9"/>
    <n v="34.820042566462"/>
    <x v="0"/>
    <x v="0"/>
    <x v="1"/>
    <x v="4"/>
    <x v="5"/>
    <x v="9"/>
    <n v="41.435850654089776"/>
  </r>
  <r>
    <x v="13"/>
    <x v="1"/>
    <x v="1"/>
    <x v="1"/>
    <x v="0"/>
    <x v="4"/>
    <x v="0"/>
    <x v="0"/>
    <x v="0"/>
    <x v="0"/>
    <x v="0"/>
    <x v="0"/>
    <x v="1"/>
    <x v="6"/>
    <x v="6"/>
    <x v="7"/>
    <x v="7"/>
    <n v="-1.4503012048299999E-3"/>
    <x v="0"/>
    <x v="0"/>
    <x v="1"/>
    <x v="4"/>
    <x v="5"/>
    <x v="7"/>
    <n v="-1.7258584337476999E-3"/>
  </r>
  <r>
    <x v="13"/>
    <x v="1"/>
    <x v="1"/>
    <x v="1"/>
    <x v="0"/>
    <x v="4"/>
    <x v="0"/>
    <x v="0"/>
    <x v="0"/>
    <x v="0"/>
    <x v="0"/>
    <x v="0"/>
    <x v="1"/>
    <x v="6"/>
    <x v="6"/>
    <x v="10"/>
    <x v="10"/>
    <n v="2.4474811200000002E-5"/>
    <x v="0"/>
    <x v="0"/>
    <x v="1"/>
    <x v="4"/>
    <x v="5"/>
    <x v="10"/>
    <n v="2.9125025328000002E-5"/>
  </r>
  <r>
    <x v="13"/>
    <x v="1"/>
    <x v="1"/>
    <x v="1"/>
    <x v="0"/>
    <x v="4"/>
    <x v="0"/>
    <x v="0"/>
    <x v="0"/>
    <x v="0"/>
    <x v="0"/>
    <x v="0"/>
    <x v="4"/>
    <x v="5"/>
    <x v="5"/>
    <x v="7"/>
    <x v="7"/>
    <n v="-8.5843373490000007E-5"/>
    <x v="0"/>
    <x v="0"/>
    <x v="1"/>
    <x v="4"/>
    <x v="5"/>
    <x v="7"/>
    <n v="-1.0215361445310001E-4"/>
  </r>
  <r>
    <x v="13"/>
    <x v="1"/>
    <x v="1"/>
    <x v="1"/>
    <x v="0"/>
    <x v="4"/>
    <x v="0"/>
    <x v="0"/>
    <x v="0"/>
    <x v="0"/>
    <x v="0"/>
    <x v="0"/>
    <x v="4"/>
    <x v="5"/>
    <x v="5"/>
    <x v="9"/>
    <x v="9"/>
    <n v="376.71"/>
    <x v="0"/>
    <x v="0"/>
    <x v="1"/>
    <x v="4"/>
    <x v="5"/>
    <x v="9"/>
    <n v="448.28489999999994"/>
  </r>
  <r>
    <x v="13"/>
    <x v="1"/>
    <x v="1"/>
    <x v="1"/>
    <x v="0"/>
    <x v="4"/>
    <x v="0"/>
    <x v="0"/>
    <x v="0"/>
    <x v="0"/>
    <x v="0"/>
    <x v="0"/>
    <x v="4"/>
    <x v="5"/>
    <x v="5"/>
    <x v="33"/>
    <x v="33"/>
    <n v="26.956336134332499"/>
    <x v="0"/>
    <x v="0"/>
    <x v="1"/>
    <x v="3"/>
    <x v="3"/>
    <x v="4"/>
    <n v="32.078039999855676"/>
  </r>
  <r>
    <x v="13"/>
    <x v="1"/>
    <x v="1"/>
    <x v="1"/>
    <x v="0"/>
    <x v="4"/>
    <x v="0"/>
    <x v="0"/>
    <x v="0"/>
    <x v="0"/>
    <x v="0"/>
    <x v="0"/>
    <x v="4"/>
    <x v="5"/>
    <x v="5"/>
    <x v="23"/>
    <x v="23"/>
    <n v="49.468941176248002"/>
    <x v="0"/>
    <x v="0"/>
    <x v="1"/>
    <x v="3"/>
    <x v="3"/>
    <x v="15"/>
    <n v="58.868039999735117"/>
  </r>
  <r>
    <x v="13"/>
    <x v="1"/>
    <x v="1"/>
    <x v="1"/>
    <x v="0"/>
    <x v="4"/>
    <x v="0"/>
    <x v="0"/>
    <x v="0"/>
    <x v="0"/>
    <x v="0"/>
    <x v="0"/>
    <x v="4"/>
    <x v="5"/>
    <x v="5"/>
    <x v="26"/>
    <x v="26"/>
    <n v="11.6371764705359"/>
    <x v="0"/>
    <x v="0"/>
    <x v="1"/>
    <x v="3"/>
    <x v="3"/>
    <x v="15"/>
    <n v="13.848239999937721"/>
  </r>
  <r>
    <x v="13"/>
    <x v="1"/>
    <x v="1"/>
    <x v="1"/>
    <x v="0"/>
    <x v="4"/>
    <x v="0"/>
    <x v="0"/>
    <x v="0"/>
    <x v="0"/>
    <x v="0"/>
    <x v="0"/>
    <x v="4"/>
    <x v="5"/>
    <x v="5"/>
    <x v="85"/>
    <x v="85"/>
    <n v="15.6141176469886"/>
    <x v="0"/>
    <x v="0"/>
    <x v="1"/>
    <x v="3"/>
    <x v="3"/>
    <x v="4"/>
    <n v="18.580799999916433"/>
  </r>
  <r>
    <x v="13"/>
    <x v="1"/>
    <x v="1"/>
    <x v="1"/>
    <x v="0"/>
    <x v="4"/>
    <x v="0"/>
    <x v="0"/>
    <x v="0"/>
    <x v="0"/>
    <x v="0"/>
    <x v="0"/>
    <x v="4"/>
    <x v="5"/>
    <x v="5"/>
    <x v="3"/>
    <x v="3"/>
    <n v="8.2088575346429593"/>
    <x v="0"/>
    <x v="0"/>
    <x v="1"/>
    <x v="3"/>
    <x v="3"/>
    <x v="3"/>
    <n v="9.7685404662251205"/>
  </r>
  <r>
    <x v="13"/>
    <x v="1"/>
    <x v="1"/>
    <x v="1"/>
    <x v="0"/>
    <x v="4"/>
    <x v="0"/>
    <x v="0"/>
    <x v="0"/>
    <x v="0"/>
    <x v="3"/>
    <x v="3"/>
    <x v="3"/>
    <x v="3"/>
    <x v="3"/>
    <x v="7"/>
    <x v="7"/>
    <n v="-3.6219879518400002E-3"/>
    <x v="0"/>
    <x v="0"/>
    <x v="1"/>
    <x v="4"/>
    <x v="5"/>
    <x v="7"/>
    <n v="-4.3101656626895997E-3"/>
  </r>
  <r>
    <x v="13"/>
    <x v="1"/>
    <x v="1"/>
    <x v="1"/>
    <x v="0"/>
    <x v="4"/>
    <x v="0"/>
    <x v="0"/>
    <x v="2"/>
    <x v="2"/>
    <x v="3"/>
    <x v="3"/>
    <x v="0"/>
    <x v="4"/>
    <x v="4"/>
    <x v="40"/>
    <x v="40"/>
    <n v="8.8770000000000007"/>
    <x v="1"/>
    <x v="2"/>
    <x v="5"/>
    <x v="7"/>
    <x v="11"/>
    <x v="22"/>
    <n v="10.56363"/>
  </r>
  <r>
    <x v="13"/>
    <x v="1"/>
    <x v="1"/>
    <x v="1"/>
    <x v="0"/>
    <x v="4"/>
    <x v="0"/>
    <x v="0"/>
    <x v="0"/>
    <x v="0"/>
    <x v="3"/>
    <x v="3"/>
    <x v="2"/>
    <x v="2"/>
    <x v="2"/>
    <x v="7"/>
    <x v="7"/>
    <n v="-4.0840336134300003E-3"/>
    <x v="0"/>
    <x v="0"/>
    <x v="1"/>
    <x v="4"/>
    <x v="5"/>
    <x v="7"/>
    <n v="-4.8599999999817001E-3"/>
  </r>
  <r>
    <x v="13"/>
    <x v="1"/>
    <x v="1"/>
    <x v="1"/>
    <x v="0"/>
    <x v="4"/>
    <x v="0"/>
    <x v="0"/>
    <x v="0"/>
    <x v="0"/>
    <x v="3"/>
    <x v="3"/>
    <x v="2"/>
    <x v="2"/>
    <x v="2"/>
    <x v="51"/>
    <x v="51"/>
    <n v="0.99"/>
    <x v="0"/>
    <x v="0"/>
    <x v="0"/>
    <x v="0"/>
    <x v="0"/>
    <x v="0"/>
    <n v="1.1780999999999999"/>
  </r>
  <r>
    <x v="13"/>
    <x v="1"/>
    <x v="1"/>
    <x v="1"/>
    <x v="0"/>
    <x v="4"/>
    <x v="0"/>
    <x v="0"/>
    <x v="0"/>
    <x v="0"/>
    <x v="3"/>
    <x v="3"/>
    <x v="1"/>
    <x v="6"/>
    <x v="6"/>
    <x v="7"/>
    <x v="7"/>
    <n v="-2.1536144579000001E-4"/>
    <x v="0"/>
    <x v="0"/>
    <x v="1"/>
    <x v="4"/>
    <x v="5"/>
    <x v="7"/>
    <n v="-2.562801204901E-4"/>
  </r>
  <r>
    <x v="13"/>
    <x v="1"/>
    <x v="1"/>
    <x v="1"/>
    <x v="0"/>
    <x v="4"/>
    <x v="0"/>
    <x v="0"/>
    <x v="2"/>
    <x v="2"/>
    <x v="3"/>
    <x v="3"/>
    <x v="1"/>
    <x v="8"/>
    <x v="8"/>
    <x v="40"/>
    <x v="40"/>
    <n v="123.1998"/>
    <x v="1"/>
    <x v="2"/>
    <x v="5"/>
    <x v="7"/>
    <x v="11"/>
    <x v="22"/>
    <n v="146.60776199999998"/>
  </r>
  <r>
    <x v="13"/>
    <x v="1"/>
    <x v="1"/>
    <x v="1"/>
    <x v="0"/>
    <x v="4"/>
    <x v="0"/>
    <x v="0"/>
    <x v="2"/>
    <x v="2"/>
    <x v="3"/>
    <x v="3"/>
    <x v="4"/>
    <x v="5"/>
    <x v="5"/>
    <x v="40"/>
    <x v="40"/>
    <n v="6.1799999999999997E-3"/>
    <x v="1"/>
    <x v="2"/>
    <x v="5"/>
    <x v="7"/>
    <x v="11"/>
    <x v="22"/>
    <n v="7.3541999999999991E-3"/>
  </r>
  <r>
    <x v="13"/>
    <x v="1"/>
    <x v="1"/>
    <x v="1"/>
    <x v="0"/>
    <x v="4"/>
    <x v="0"/>
    <x v="0"/>
    <x v="2"/>
    <x v="2"/>
    <x v="18"/>
    <x v="18"/>
    <x v="4"/>
    <x v="5"/>
    <x v="5"/>
    <x v="40"/>
    <x v="40"/>
    <n v="2.1216900000000001"/>
    <x v="1"/>
    <x v="2"/>
    <x v="5"/>
    <x v="7"/>
    <x v="11"/>
    <x v="22"/>
    <n v="2.5248111"/>
  </r>
  <r>
    <x v="13"/>
    <x v="1"/>
    <x v="1"/>
    <x v="1"/>
    <x v="0"/>
    <x v="4"/>
    <x v="0"/>
    <x v="0"/>
    <x v="2"/>
    <x v="2"/>
    <x v="5"/>
    <x v="5"/>
    <x v="0"/>
    <x v="4"/>
    <x v="4"/>
    <x v="42"/>
    <x v="42"/>
    <n v="3.4830000000000001"/>
    <x v="1"/>
    <x v="2"/>
    <x v="5"/>
    <x v="7"/>
    <x v="11"/>
    <x v="22"/>
    <n v="4.1447700000000003"/>
  </r>
  <r>
    <x v="13"/>
    <x v="1"/>
    <x v="1"/>
    <x v="1"/>
    <x v="0"/>
    <x v="4"/>
    <x v="0"/>
    <x v="0"/>
    <x v="2"/>
    <x v="2"/>
    <x v="5"/>
    <x v="5"/>
    <x v="2"/>
    <x v="2"/>
    <x v="2"/>
    <x v="40"/>
    <x v="40"/>
    <n v="0.65"/>
    <x v="1"/>
    <x v="2"/>
    <x v="5"/>
    <x v="7"/>
    <x v="11"/>
    <x v="22"/>
    <n v="0.77349999999999997"/>
  </r>
  <r>
    <x v="13"/>
    <x v="1"/>
    <x v="1"/>
    <x v="1"/>
    <x v="0"/>
    <x v="4"/>
    <x v="0"/>
    <x v="0"/>
    <x v="2"/>
    <x v="2"/>
    <x v="5"/>
    <x v="5"/>
    <x v="4"/>
    <x v="5"/>
    <x v="5"/>
    <x v="40"/>
    <x v="40"/>
    <n v="3.67916"/>
    <x v="1"/>
    <x v="2"/>
    <x v="5"/>
    <x v="7"/>
    <x v="11"/>
    <x v="22"/>
    <n v="4.3782003999999999"/>
  </r>
  <r>
    <x v="13"/>
    <x v="1"/>
    <x v="1"/>
    <x v="1"/>
    <x v="0"/>
    <x v="4"/>
    <x v="0"/>
    <x v="0"/>
    <x v="2"/>
    <x v="2"/>
    <x v="6"/>
    <x v="6"/>
    <x v="2"/>
    <x v="2"/>
    <x v="2"/>
    <x v="42"/>
    <x v="42"/>
    <n v="45.7408"/>
    <x v="1"/>
    <x v="2"/>
    <x v="5"/>
    <x v="7"/>
    <x v="11"/>
    <x v="22"/>
    <n v="54.431551999999996"/>
  </r>
  <r>
    <x v="13"/>
    <x v="1"/>
    <x v="1"/>
    <x v="1"/>
    <x v="0"/>
    <x v="4"/>
    <x v="0"/>
    <x v="0"/>
    <x v="2"/>
    <x v="2"/>
    <x v="7"/>
    <x v="7"/>
    <x v="4"/>
    <x v="5"/>
    <x v="5"/>
    <x v="40"/>
    <x v="40"/>
    <n v="10.93563"/>
    <x v="1"/>
    <x v="2"/>
    <x v="5"/>
    <x v="7"/>
    <x v="11"/>
    <x v="22"/>
    <n v="13.013399699999999"/>
  </r>
  <r>
    <x v="13"/>
    <x v="1"/>
    <x v="1"/>
    <x v="1"/>
    <x v="0"/>
    <x v="4"/>
    <x v="0"/>
    <x v="0"/>
    <x v="2"/>
    <x v="2"/>
    <x v="8"/>
    <x v="8"/>
    <x v="3"/>
    <x v="3"/>
    <x v="3"/>
    <x v="40"/>
    <x v="40"/>
    <n v="17.805060000000001"/>
    <x v="1"/>
    <x v="2"/>
    <x v="5"/>
    <x v="7"/>
    <x v="11"/>
    <x v="22"/>
    <n v="21.1880214"/>
  </r>
  <r>
    <x v="13"/>
    <x v="1"/>
    <x v="1"/>
    <x v="1"/>
    <x v="0"/>
    <x v="4"/>
    <x v="0"/>
    <x v="0"/>
    <x v="2"/>
    <x v="2"/>
    <x v="8"/>
    <x v="8"/>
    <x v="2"/>
    <x v="2"/>
    <x v="2"/>
    <x v="40"/>
    <x v="40"/>
    <n v="1.3062499999999999"/>
    <x v="1"/>
    <x v="2"/>
    <x v="5"/>
    <x v="7"/>
    <x v="11"/>
    <x v="22"/>
    <n v="1.5544374999999999"/>
  </r>
  <r>
    <x v="13"/>
    <x v="1"/>
    <x v="1"/>
    <x v="1"/>
    <x v="0"/>
    <x v="4"/>
    <x v="0"/>
    <x v="0"/>
    <x v="2"/>
    <x v="2"/>
    <x v="8"/>
    <x v="8"/>
    <x v="4"/>
    <x v="5"/>
    <x v="5"/>
    <x v="40"/>
    <x v="40"/>
    <n v="1.1731100000000001"/>
    <x v="1"/>
    <x v="2"/>
    <x v="5"/>
    <x v="7"/>
    <x v="11"/>
    <x v="22"/>
    <n v="1.3960009"/>
  </r>
  <r>
    <x v="13"/>
    <x v="1"/>
    <x v="1"/>
    <x v="1"/>
    <x v="0"/>
    <x v="4"/>
    <x v="0"/>
    <x v="0"/>
    <x v="2"/>
    <x v="2"/>
    <x v="9"/>
    <x v="9"/>
    <x v="2"/>
    <x v="2"/>
    <x v="2"/>
    <x v="40"/>
    <x v="40"/>
    <n v="0.45"/>
    <x v="1"/>
    <x v="2"/>
    <x v="5"/>
    <x v="7"/>
    <x v="11"/>
    <x v="22"/>
    <n v="0.53549999999999998"/>
  </r>
  <r>
    <x v="13"/>
    <x v="1"/>
    <x v="1"/>
    <x v="1"/>
    <x v="0"/>
    <x v="4"/>
    <x v="0"/>
    <x v="0"/>
    <x v="2"/>
    <x v="2"/>
    <x v="9"/>
    <x v="9"/>
    <x v="1"/>
    <x v="6"/>
    <x v="6"/>
    <x v="40"/>
    <x v="40"/>
    <n v="-0.13245000000000001"/>
    <x v="1"/>
    <x v="2"/>
    <x v="5"/>
    <x v="7"/>
    <x v="11"/>
    <x v="22"/>
    <n v="-0.15761550000000002"/>
  </r>
  <r>
    <x v="13"/>
    <x v="1"/>
    <x v="1"/>
    <x v="1"/>
    <x v="0"/>
    <x v="4"/>
    <x v="0"/>
    <x v="0"/>
    <x v="2"/>
    <x v="2"/>
    <x v="9"/>
    <x v="9"/>
    <x v="1"/>
    <x v="8"/>
    <x v="8"/>
    <x v="40"/>
    <x v="40"/>
    <n v="130.41497000000001"/>
    <x v="1"/>
    <x v="2"/>
    <x v="5"/>
    <x v="7"/>
    <x v="11"/>
    <x v="22"/>
    <n v="155.19381430000001"/>
  </r>
  <r>
    <x v="13"/>
    <x v="1"/>
    <x v="1"/>
    <x v="1"/>
    <x v="0"/>
    <x v="4"/>
    <x v="0"/>
    <x v="0"/>
    <x v="2"/>
    <x v="2"/>
    <x v="9"/>
    <x v="9"/>
    <x v="4"/>
    <x v="5"/>
    <x v="5"/>
    <x v="40"/>
    <x v="40"/>
    <n v="48.258069999999996"/>
    <x v="1"/>
    <x v="2"/>
    <x v="5"/>
    <x v="7"/>
    <x v="11"/>
    <x v="22"/>
    <n v="57.427103299999992"/>
  </r>
  <r>
    <x v="13"/>
    <x v="1"/>
    <x v="1"/>
    <x v="1"/>
    <x v="0"/>
    <x v="4"/>
    <x v="0"/>
    <x v="0"/>
    <x v="2"/>
    <x v="2"/>
    <x v="10"/>
    <x v="10"/>
    <x v="2"/>
    <x v="2"/>
    <x v="2"/>
    <x v="42"/>
    <x v="42"/>
    <n v="-0.8"/>
    <x v="1"/>
    <x v="2"/>
    <x v="5"/>
    <x v="7"/>
    <x v="11"/>
    <x v="22"/>
    <n v="-0.95199999999999996"/>
  </r>
  <r>
    <x v="13"/>
    <x v="1"/>
    <x v="1"/>
    <x v="1"/>
    <x v="0"/>
    <x v="4"/>
    <x v="0"/>
    <x v="0"/>
    <x v="2"/>
    <x v="2"/>
    <x v="10"/>
    <x v="10"/>
    <x v="2"/>
    <x v="2"/>
    <x v="2"/>
    <x v="41"/>
    <x v="41"/>
    <n v="9.3832197802103998"/>
    <x v="1"/>
    <x v="2"/>
    <x v="5"/>
    <x v="7"/>
    <x v="11"/>
    <x v="22"/>
    <n v="11.166031538450376"/>
  </r>
  <r>
    <x v="13"/>
    <x v="1"/>
    <x v="1"/>
    <x v="1"/>
    <x v="0"/>
    <x v="4"/>
    <x v="0"/>
    <x v="0"/>
    <x v="2"/>
    <x v="2"/>
    <x v="10"/>
    <x v="10"/>
    <x v="2"/>
    <x v="2"/>
    <x v="2"/>
    <x v="40"/>
    <x v="40"/>
    <n v="-75.664060000000006"/>
    <x v="1"/>
    <x v="2"/>
    <x v="5"/>
    <x v="7"/>
    <x v="11"/>
    <x v="22"/>
    <n v="-90.04023140000001"/>
  </r>
  <r>
    <x v="13"/>
    <x v="1"/>
    <x v="1"/>
    <x v="1"/>
    <x v="0"/>
    <x v="4"/>
    <x v="0"/>
    <x v="0"/>
    <x v="0"/>
    <x v="0"/>
    <x v="10"/>
    <x v="10"/>
    <x v="1"/>
    <x v="6"/>
    <x v="6"/>
    <x v="7"/>
    <x v="7"/>
    <n v="1.446283132544"/>
    <x v="0"/>
    <x v="0"/>
    <x v="1"/>
    <x v="4"/>
    <x v="5"/>
    <x v="7"/>
    <n v="1.7210769277273599"/>
  </r>
  <r>
    <x v="13"/>
    <x v="1"/>
    <x v="1"/>
    <x v="1"/>
    <x v="0"/>
    <x v="4"/>
    <x v="0"/>
    <x v="0"/>
    <x v="0"/>
    <x v="0"/>
    <x v="11"/>
    <x v="11"/>
    <x v="2"/>
    <x v="2"/>
    <x v="2"/>
    <x v="7"/>
    <x v="7"/>
    <n v="-2.98343373497E-3"/>
    <x v="0"/>
    <x v="0"/>
    <x v="1"/>
    <x v="4"/>
    <x v="5"/>
    <x v="7"/>
    <n v="-3.5502861446142999E-3"/>
  </r>
  <r>
    <x v="13"/>
    <x v="1"/>
    <x v="1"/>
    <x v="1"/>
    <x v="0"/>
    <x v="4"/>
    <x v="0"/>
    <x v="0"/>
    <x v="0"/>
    <x v="0"/>
    <x v="11"/>
    <x v="11"/>
    <x v="1"/>
    <x v="6"/>
    <x v="6"/>
    <x v="7"/>
    <x v="7"/>
    <n v="-1.82379518074E-3"/>
    <x v="0"/>
    <x v="0"/>
    <x v="1"/>
    <x v="4"/>
    <x v="5"/>
    <x v="7"/>
    <n v="-2.1703162650806001E-3"/>
  </r>
  <r>
    <x v="13"/>
    <x v="1"/>
    <x v="1"/>
    <x v="1"/>
    <x v="0"/>
    <x v="4"/>
    <x v="0"/>
    <x v="0"/>
    <x v="3"/>
    <x v="3"/>
    <x v="13"/>
    <x v="13"/>
    <x v="0"/>
    <x v="4"/>
    <x v="4"/>
    <x v="40"/>
    <x v="40"/>
    <n v="-1.3680000000000001"/>
    <x v="1"/>
    <x v="2"/>
    <x v="5"/>
    <x v="7"/>
    <x v="11"/>
    <x v="22"/>
    <n v="-1.62792"/>
  </r>
  <r>
    <x v="13"/>
    <x v="1"/>
    <x v="1"/>
    <x v="1"/>
    <x v="0"/>
    <x v="4"/>
    <x v="0"/>
    <x v="0"/>
    <x v="3"/>
    <x v="3"/>
    <x v="13"/>
    <x v="13"/>
    <x v="4"/>
    <x v="5"/>
    <x v="5"/>
    <x v="40"/>
    <x v="40"/>
    <n v="12.54236"/>
    <x v="1"/>
    <x v="2"/>
    <x v="5"/>
    <x v="7"/>
    <x v="11"/>
    <x v="22"/>
    <n v="14.9254084"/>
  </r>
  <r>
    <x v="13"/>
    <x v="1"/>
    <x v="1"/>
    <x v="1"/>
    <x v="0"/>
    <x v="4"/>
    <x v="0"/>
    <x v="0"/>
    <x v="4"/>
    <x v="4"/>
    <x v="20"/>
    <x v="20"/>
    <x v="1"/>
    <x v="8"/>
    <x v="8"/>
    <x v="38"/>
    <x v="38"/>
    <n v="59.022010000000002"/>
    <x v="1"/>
    <x v="0"/>
    <x v="4"/>
    <x v="6"/>
    <x v="10"/>
    <x v="21"/>
    <n v="70.236191899999994"/>
  </r>
  <r>
    <x v="13"/>
    <x v="1"/>
    <x v="1"/>
    <x v="1"/>
    <x v="0"/>
    <x v="4"/>
    <x v="0"/>
    <x v="0"/>
    <x v="2"/>
    <x v="2"/>
    <x v="16"/>
    <x v="16"/>
    <x v="1"/>
    <x v="6"/>
    <x v="6"/>
    <x v="7"/>
    <x v="7"/>
    <n v="-1.37036802673E-3"/>
    <x v="0"/>
    <x v="0"/>
    <x v="1"/>
    <x v="4"/>
    <x v="5"/>
    <x v="7"/>
    <n v="-1.6307379518086999E-3"/>
  </r>
  <r>
    <x v="13"/>
    <x v="1"/>
    <x v="1"/>
    <x v="1"/>
    <x v="0"/>
    <x v="4"/>
    <x v="0"/>
    <x v="0"/>
    <x v="2"/>
    <x v="2"/>
    <x v="17"/>
    <x v="17"/>
    <x v="3"/>
    <x v="3"/>
    <x v="3"/>
    <x v="7"/>
    <x v="7"/>
    <n v="-2.7487394957860001E-2"/>
    <x v="0"/>
    <x v="0"/>
    <x v="1"/>
    <x v="4"/>
    <x v="5"/>
    <x v="7"/>
    <n v="-3.2709999999853398E-2"/>
  </r>
  <r>
    <x v="13"/>
    <x v="1"/>
    <x v="1"/>
    <x v="1"/>
    <x v="0"/>
    <x v="4"/>
    <x v="0"/>
    <x v="0"/>
    <x v="2"/>
    <x v="2"/>
    <x v="17"/>
    <x v="17"/>
    <x v="3"/>
    <x v="3"/>
    <x v="3"/>
    <x v="40"/>
    <x v="40"/>
    <n v="12.891"/>
    <x v="1"/>
    <x v="2"/>
    <x v="5"/>
    <x v="7"/>
    <x v="11"/>
    <x v="22"/>
    <n v="15.34029"/>
  </r>
  <r>
    <x v="13"/>
    <x v="1"/>
    <x v="1"/>
    <x v="1"/>
    <x v="0"/>
    <x v="4"/>
    <x v="0"/>
    <x v="0"/>
    <x v="2"/>
    <x v="2"/>
    <x v="17"/>
    <x v="17"/>
    <x v="0"/>
    <x v="4"/>
    <x v="4"/>
    <x v="7"/>
    <x v="7"/>
    <n v="-2.1691429583809999E-2"/>
    <x v="0"/>
    <x v="0"/>
    <x v="1"/>
    <x v="4"/>
    <x v="5"/>
    <x v="7"/>
    <n v="-2.5812801204733896E-2"/>
  </r>
  <r>
    <x v="13"/>
    <x v="1"/>
    <x v="1"/>
    <x v="1"/>
    <x v="0"/>
    <x v="4"/>
    <x v="0"/>
    <x v="0"/>
    <x v="2"/>
    <x v="2"/>
    <x v="17"/>
    <x v="17"/>
    <x v="2"/>
    <x v="2"/>
    <x v="2"/>
    <x v="7"/>
    <x v="7"/>
    <n v="-6.2378948567100002E-2"/>
    <x v="0"/>
    <x v="0"/>
    <x v="1"/>
    <x v="4"/>
    <x v="5"/>
    <x v="7"/>
    <n v="-7.4230948794848997E-2"/>
  </r>
  <r>
    <x v="13"/>
    <x v="1"/>
    <x v="1"/>
    <x v="1"/>
    <x v="0"/>
    <x v="4"/>
    <x v="0"/>
    <x v="0"/>
    <x v="2"/>
    <x v="2"/>
    <x v="17"/>
    <x v="17"/>
    <x v="2"/>
    <x v="2"/>
    <x v="2"/>
    <x v="40"/>
    <x v="40"/>
    <n v="61.1"/>
    <x v="1"/>
    <x v="2"/>
    <x v="5"/>
    <x v="7"/>
    <x v="11"/>
    <x v="22"/>
    <n v="72.709000000000003"/>
  </r>
  <r>
    <x v="13"/>
    <x v="1"/>
    <x v="1"/>
    <x v="1"/>
    <x v="0"/>
    <x v="4"/>
    <x v="0"/>
    <x v="0"/>
    <x v="2"/>
    <x v="2"/>
    <x v="17"/>
    <x v="17"/>
    <x v="1"/>
    <x v="6"/>
    <x v="6"/>
    <x v="7"/>
    <x v="7"/>
    <n v="-2.9853042421670001E-2"/>
    <x v="0"/>
    <x v="0"/>
    <x v="1"/>
    <x v="4"/>
    <x v="5"/>
    <x v="7"/>
    <n v="-3.5525120481787298E-2"/>
  </r>
  <r>
    <x v="13"/>
    <x v="1"/>
    <x v="1"/>
    <x v="1"/>
    <x v="0"/>
    <x v="4"/>
    <x v="0"/>
    <x v="0"/>
    <x v="2"/>
    <x v="2"/>
    <x v="17"/>
    <x v="17"/>
    <x v="1"/>
    <x v="8"/>
    <x v="8"/>
    <x v="40"/>
    <x v="40"/>
    <n v="2.9745599999999999"/>
    <x v="1"/>
    <x v="2"/>
    <x v="5"/>
    <x v="7"/>
    <x v="11"/>
    <x v="22"/>
    <n v="3.5397263999999997"/>
  </r>
  <r>
    <x v="13"/>
    <x v="1"/>
    <x v="1"/>
    <x v="1"/>
    <x v="0"/>
    <x v="4"/>
    <x v="0"/>
    <x v="0"/>
    <x v="2"/>
    <x v="2"/>
    <x v="17"/>
    <x v="17"/>
    <x v="4"/>
    <x v="5"/>
    <x v="5"/>
    <x v="7"/>
    <x v="7"/>
    <n v="-3.0509137389800002E-3"/>
    <x v="0"/>
    <x v="0"/>
    <x v="1"/>
    <x v="4"/>
    <x v="5"/>
    <x v="7"/>
    <n v="-3.6305873493861999E-3"/>
  </r>
  <r>
    <x v="13"/>
    <x v="1"/>
    <x v="1"/>
    <x v="1"/>
    <x v="1"/>
    <x v="6"/>
    <x v="1"/>
    <x v="1"/>
    <x v="7"/>
    <x v="5"/>
    <x v="25"/>
    <x v="25"/>
    <x v="3"/>
    <x v="3"/>
    <x v="3"/>
    <x v="54"/>
    <x v="54"/>
    <n v="6.98"/>
    <x v="0"/>
    <x v="0"/>
    <x v="1"/>
    <x v="3"/>
    <x v="3"/>
    <x v="4"/>
    <n v="8.3062000000000005"/>
  </r>
  <r>
    <x v="13"/>
    <x v="1"/>
    <x v="1"/>
    <x v="1"/>
    <x v="1"/>
    <x v="6"/>
    <x v="1"/>
    <x v="1"/>
    <x v="7"/>
    <x v="5"/>
    <x v="25"/>
    <x v="25"/>
    <x v="3"/>
    <x v="3"/>
    <x v="3"/>
    <x v="55"/>
    <x v="55"/>
    <n v="1.2098991596584201"/>
    <x v="0"/>
    <x v="0"/>
    <x v="1"/>
    <x v="3"/>
    <x v="3"/>
    <x v="15"/>
    <n v="1.4397799999935199"/>
  </r>
  <r>
    <x v="13"/>
    <x v="1"/>
    <x v="1"/>
    <x v="1"/>
    <x v="1"/>
    <x v="6"/>
    <x v="1"/>
    <x v="1"/>
    <x v="7"/>
    <x v="5"/>
    <x v="25"/>
    <x v="25"/>
    <x v="3"/>
    <x v="3"/>
    <x v="3"/>
    <x v="56"/>
    <x v="56"/>
    <n v="2.2359499999999999"/>
    <x v="0"/>
    <x v="0"/>
    <x v="1"/>
    <x v="3"/>
    <x v="3"/>
    <x v="4"/>
    <n v="2.6607804999999995"/>
  </r>
  <r>
    <x v="13"/>
    <x v="1"/>
    <x v="1"/>
    <x v="1"/>
    <x v="1"/>
    <x v="6"/>
    <x v="1"/>
    <x v="1"/>
    <x v="6"/>
    <x v="5"/>
    <x v="24"/>
    <x v="24"/>
    <x v="3"/>
    <x v="3"/>
    <x v="3"/>
    <x v="5"/>
    <x v="5"/>
    <n v="57.734806630324996"/>
    <x v="0"/>
    <x v="0"/>
    <x v="1"/>
    <x v="1"/>
    <x v="1"/>
    <x v="5"/>
    <n v="68.70441989008674"/>
  </r>
  <r>
    <x v="13"/>
    <x v="1"/>
    <x v="1"/>
    <x v="1"/>
    <x v="1"/>
    <x v="6"/>
    <x v="1"/>
    <x v="1"/>
    <x v="6"/>
    <x v="5"/>
    <x v="24"/>
    <x v="24"/>
    <x v="3"/>
    <x v="3"/>
    <x v="3"/>
    <x v="57"/>
    <x v="57"/>
    <n v="12.430939226625"/>
    <x v="0"/>
    <x v="0"/>
    <x v="1"/>
    <x v="1"/>
    <x v="1"/>
    <x v="5"/>
    <n v="14.792817679683749"/>
  </r>
  <r>
    <x v="13"/>
    <x v="1"/>
    <x v="1"/>
    <x v="1"/>
    <x v="1"/>
    <x v="6"/>
    <x v="1"/>
    <x v="1"/>
    <x v="1"/>
    <x v="5"/>
    <x v="21"/>
    <x v="21"/>
    <x v="3"/>
    <x v="3"/>
    <x v="3"/>
    <x v="40"/>
    <x v="40"/>
    <n v="48"/>
    <x v="1"/>
    <x v="2"/>
    <x v="5"/>
    <x v="7"/>
    <x v="11"/>
    <x v="22"/>
    <n v="57.12"/>
  </r>
  <r>
    <x v="13"/>
    <x v="1"/>
    <x v="1"/>
    <x v="1"/>
    <x v="1"/>
    <x v="6"/>
    <x v="1"/>
    <x v="1"/>
    <x v="1"/>
    <x v="5"/>
    <x v="21"/>
    <x v="21"/>
    <x v="3"/>
    <x v="3"/>
    <x v="3"/>
    <x v="49"/>
    <x v="49"/>
    <n v="2.1202745101007601"/>
    <x v="0"/>
    <x v="0"/>
    <x v="1"/>
    <x v="1"/>
    <x v="1"/>
    <x v="23"/>
    <n v="2.5231266670199042"/>
  </r>
  <r>
    <x v="13"/>
    <x v="1"/>
    <x v="1"/>
    <x v="1"/>
    <x v="1"/>
    <x v="6"/>
    <x v="1"/>
    <x v="1"/>
    <x v="1"/>
    <x v="5"/>
    <x v="21"/>
    <x v="21"/>
    <x v="3"/>
    <x v="3"/>
    <x v="3"/>
    <x v="2"/>
    <x v="2"/>
    <n v="7.1190588234973804"/>
    <x v="0"/>
    <x v="1"/>
    <x v="2"/>
    <x v="2"/>
    <x v="13"/>
    <x v="2"/>
    <n v="8.4716799999618821"/>
  </r>
  <r>
    <x v="13"/>
    <x v="1"/>
    <x v="1"/>
    <x v="1"/>
    <x v="1"/>
    <x v="6"/>
    <x v="1"/>
    <x v="1"/>
    <x v="1"/>
    <x v="5"/>
    <x v="1"/>
    <x v="1"/>
    <x v="3"/>
    <x v="3"/>
    <x v="3"/>
    <x v="4"/>
    <x v="4"/>
    <n v="0.60609999999999997"/>
    <x v="0"/>
    <x v="0"/>
    <x v="1"/>
    <x v="3"/>
    <x v="3"/>
    <x v="4"/>
    <n v="0.72125899999999998"/>
  </r>
  <r>
    <x v="13"/>
    <x v="1"/>
    <x v="1"/>
    <x v="1"/>
    <x v="1"/>
    <x v="6"/>
    <x v="1"/>
    <x v="1"/>
    <x v="1"/>
    <x v="5"/>
    <x v="1"/>
    <x v="1"/>
    <x v="3"/>
    <x v="3"/>
    <x v="3"/>
    <x v="58"/>
    <x v="58"/>
    <n v="7.3758900000000001"/>
    <x v="0"/>
    <x v="0"/>
    <x v="1"/>
    <x v="3"/>
    <x v="3"/>
    <x v="4"/>
    <n v="8.7773091000000001"/>
  </r>
  <r>
    <x v="13"/>
    <x v="1"/>
    <x v="1"/>
    <x v="1"/>
    <x v="1"/>
    <x v="6"/>
    <x v="1"/>
    <x v="1"/>
    <x v="1"/>
    <x v="5"/>
    <x v="1"/>
    <x v="1"/>
    <x v="3"/>
    <x v="3"/>
    <x v="3"/>
    <x v="39"/>
    <x v="39"/>
    <n v="3.08414434831128"/>
    <x v="0"/>
    <x v="0"/>
    <x v="1"/>
    <x v="4"/>
    <x v="5"/>
    <x v="9"/>
    <n v="3.6701317744904229"/>
  </r>
  <r>
    <x v="13"/>
    <x v="1"/>
    <x v="1"/>
    <x v="1"/>
    <x v="1"/>
    <x v="6"/>
    <x v="1"/>
    <x v="1"/>
    <x v="1"/>
    <x v="5"/>
    <x v="1"/>
    <x v="1"/>
    <x v="3"/>
    <x v="3"/>
    <x v="3"/>
    <x v="5"/>
    <x v="5"/>
    <n v="132.977060774611"/>
    <x v="0"/>
    <x v="0"/>
    <x v="1"/>
    <x v="1"/>
    <x v="1"/>
    <x v="5"/>
    <n v="158.24270232178708"/>
  </r>
  <r>
    <x v="13"/>
    <x v="1"/>
    <x v="1"/>
    <x v="1"/>
    <x v="1"/>
    <x v="6"/>
    <x v="1"/>
    <x v="1"/>
    <x v="1"/>
    <x v="5"/>
    <x v="1"/>
    <x v="1"/>
    <x v="3"/>
    <x v="3"/>
    <x v="3"/>
    <x v="59"/>
    <x v="59"/>
    <n v="79.20299"/>
    <x v="0"/>
    <x v="0"/>
    <x v="1"/>
    <x v="3"/>
    <x v="3"/>
    <x v="13"/>
    <n v="94.251558099999997"/>
  </r>
  <r>
    <x v="13"/>
    <x v="1"/>
    <x v="1"/>
    <x v="1"/>
    <x v="1"/>
    <x v="6"/>
    <x v="1"/>
    <x v="1"/>
    <x v="1"/>
    <x v="5"/>
    <x v="1"/>
    <x v="1"/>
    <x v="3"/>
    <x v="3"/>
    <x v="3"/>
    <x v="60"/>
    <x v="60"/>
    <n v="41.552"/>
    <x v="0"/>
    <x v="0"/>
    <x v="1"/>
    <x v="3"/>
    <x v="3"/>
    <x v="13"/>
    <n v="49.44688"/>
  </r>
  <r>
    <x v="13"/>
    <x v="1"/>
    <x v="1"/>
    <x v="1"/>
    <x v="1"/>
    <x v="6"/>
    <x v="1"/>
    <x v="1"/>
    <x v="1"/>
    <x v="5"/>
    <x v="1"/>
    <x v="1"/>
    <x v="3"/>
    <x v="3"/>
    <x v="3"/>
    <x v="6"/>
    <x v="6"/>
    <n v="58.838000000000001"/>
    <x v="0"/>
    <x v="0"/>
    <x v="0"/>
    <x v="0"/>
    <x v="4"/>
    <x v="6"/>
    <n v="70.017219999999995"/>
  </r>
  <r>
    <x v="13"/>
    <x v="1"/>
    <x v="1"/>
    <x v="1"/>
    <x v="1"/>
    <x v="6"/>
    <x v="1"/>
    <x v="1"/>
    <x v="1"/>
    <x v="5"/>
    <x v="1"/>
    <x v="1"/>
    <x v="3"/>
    <x v="3"/>
    <x v="3"/>
    <x v="7"/>
    <x v="7"/>
    <n v="-2.7731189759302399"/>
    <x v="0"/>
    <x v="0"/>
    <x v="1"/>
    <x v="4"/>
    <x v="5"/>
    <x v="7"/>
    <n v="-3.3000115813569852"/>
  </r>
  <r>
    <x v="13"/>
    <x v="1"/>
    <x v="1"/>
    <x v="1"/>
    <x v="1"/>
    <x v="6"/>
    <x v="1"/>
    <x v="1"/>
    <x v="1"/>
    <x v="5"/>
    <x v="1"/>
    <x v="1"/>
    <x v="3"/>
    <x v="3"/>
    <x v="3"/>
    <x v="61"/>
    <x v="61"/>
    <n v="421.54426000000001"/>
    <x v="0"/>
    <x v="0"/>
    <x v="1"/>
    <x v="3"/>
    <x v="3"/>
    <x v="4"/>
    <n v="501.63766939999999"/>
  </r>
  <r>
    <x v="13"/>
    <x v="1"/>
    <x v="1"/>
    <x v="1"/>
    <x v="1"/>
    <x v="6"/>
    <x v="1"/>
    <x v="1"/>
    <x v="1"/>
    <x v="5"/>
    <x v="1"/>
    <x v="1"/>
    <x v="3"/>
    <x v="3"/>
    <x v="3"/>
    <x v="62"/>
    <x v="62"/>
    <n v="1.98"/>
    <x v="0"/>
    <x v="0"/>
    <x v="1"/>
    <x v="3"/>
    <x v="3"/>
    <x v="13"/>
    <n v="2.3561999999999999"/>
  </r>
  <r>
    <x v="13"/>
    <x v="1"/>
    <x v="1"/>
    <x v="1"/>
    <x v="1"/>
    <x v="6"/>
    <x v="1"/>
    <x v="1"/>
    <x v="1"/>
    <x v="5"/>
    <x v="1"/>
    <x v="1"/>
    <x v="3"/>
    <x v="3"/>
    <x v="3"/>
    <x v="8"/>
    <x v="8"/>
    <n v="1.13478260869134"/>
    <x v="0"/>
    <x v="1"/>
    <x v="2"/>
    <x v="2"/>
    <x v="6"/>
    <x v="8"/>
    <n v="1.3503913043426945"/>
  </r>
  <r>
    <x v="13"/>
    <x v="1"/>
    <x v="1"/>
    <x v="1"/>
    <x v="1"/>
    <x v="6"/>
    <x v="1"/>
    <x v="1"/>
    <x v="1"/>
    <x v="5"/>
    <x v="1"/>
    <x v="1"/>
    <x v="3"/>
    <x v="3"/>
    <x v="3"/>
    <x v="63"/>
    <x v="63"/>
    <n v="1.1859999999999999"/>
    <x v="0"/>
    <x v="0"/>
    <x v="1"/>
    <x v="3"/>
    <x v="3"/>
    <x v="4"/>
    <n v="1.4113399999999998"/>
  </r>
  <r>
    <x v="13"/>
    <x v="1"/>
    <x v="1"/>
    <x v="1"/>
    <x v="1"/>
    <x v="6"/>
    <x v="1"/>
    <x v="1"/>
    <x v="1"/>
    <x v="5"/>
    <x v="1"/>
    <x v="1"/>
    <x v="3"/>
    <x v="3"/>
    <x v="3"/>
    <x v="41"/>
    <x v="41"/>
    <n v="38.378999999999998"/>
    <x v="1"/>
    <x v="2"/>
    <x v="5"/>
    <x v="7"/>
    <x v="11"/>
    <x v="22"/>
    <n v="45.671009999999995"/>
  </r>
  <r>
    <x v="13"/>
    <x v="1"/>
    <x v="1"/>
    <x v="1"/>
    <x v="1"/>
    <x v="6"/>
    <x v="1"/>
    <x v="1"/>
    <x v="1"/>
    <x v="5"/>
    <x v="1"/>
    <x v="1"/>
    <x v="3"/>
    <x v="3"/>
    <x v="3"/>
    <x v="40"/>
    <x v="40"/>
    <n v="286.28652"/>
    <x v="1"/>
    <x v="2"/>
    <x v="5"/>
    <x v="7"/>
    <x v="11"/>
    <x v="22"/>
    <n v="340.68095879999998"/>
  </r>
  <r>
    <x v="13"/>
    <x v="1"/>
    <x v="1"/>
    <x v="1"/>
    <x v="1"/>
    <x v="6"/>
    <x v="1"/>
    <x v="1"/>
    <x v="1"/>
    <x v="5"/>
    <x v="1"/>
    <x v="1"/>
    <x v="3"/>
    <x v="3"/>
    <x v="3"/>
    <x v="30"/>
    <x v="30"/>
    <n v="1.5851021505312901"/>
    <x v="0"/>
    <x v="0"/>
    <x v="0"/>
    <x v="0"/>
    <x v="0"/>
    <x v="0"/>
    <n v="1.8862715591322352"/>
  </r>
  <r>
    <x v="13"/>
    <x v="1"/>
    <x v="1"/>
    <x v="1"/>
    <x v="1"/>
    <x v="6"/>
    <x v="1"/>
    <x v="1"/>
    <x v="1"/>
    <x v="5"/>
    <x v="1"/>
    <x v="1"/>
    <x v="3"/>
    <x v="3"/>
    <x v="3"/>
    <x v="54"/>
    <x v="54"/>
    <n v="151.09694999999999"/>
    <x v="0"/>
    <x v="0"/>
    <x v="1"/>
    <x v="3"/>
    <x v="3"/>
    <x v="4"/>
    <n v="179.80537049999998"/>
  </r>
  <r>
    <x v="13"/>
    <x v="1"/>
    <x v="1"/>
    <x v="1"/>
    <x v="1"/>
    <x v="6"/>
    <x v="1"/>
    <x v="1"/>
    <x v="1"/>
    <x v="5"/>
    <x v="1"/>
    <x v="1"/>
    <x v="3"/>
    <x v="3"/>
    <x v="3"/>
    <x v="55"/>
    <x v="55"/>
    <n v="26.792999999999999"/>
    <x v="0"/>
    <x v="0"/>
    <x v="1"/>
    <x v="3"/>
    <x v="3"/>
    <x v="15"/>
    <n v="31.883669999999999"/>
  </r>
  <r>
    <x v="13"/>
    <x v="1"/>
    <x v="1"/>
    <x v="1"/>
    <x v="1"/>
    <x v="6"/>
    <x v="1"/>
    <x v="1"/>
    <x v="1"/>
    <x v="5"/>
    <x v="1"/>
    <x v="1"/>
    <x v="3"/>
    <x v="3"/>
    <x v="3"/>
    <x v="11"/>
    <x v="11"/>
    <n v="321.15830999999997"/>
    <x v="0"/>
    <x v="0"/>
    <x v="3"/>
    <x v="5"/>
    <x v="7"/>
    <x v="11"/>
    <n v="382.17838889999996"/>
  </r>
  <r>
    <x v="13"/>
    <x v="1"/>
    <x v="1"/>
    <x v="1"/>
    <x v="1"/>
    <x v="6"/>
    <x v="1"/>
    <x v="1"/>
    <x v="1"/>
    <x v="5"/>
    <x v="1"/>
    <x v="1"/>
    <x v="3"/>
    <x v="3"/>
    <x v="3"/>
    <x v="56"/>
    <x v="56"/>
    <n v="2.2682600000000002"/>
    <x v="0"/>
    <x v="0"/>
    <x v="1"/>
    <x v="3"/>
    <x v="3"/>
    <x v="4"/>
    <n v="2.6992294000000001"/>
  </r>
  <r>
    <x v="13"/>
    <x v="1"/>
    <x v="1"/>
    <x v="1"/>
    <x v="1"/>
    <x v="6"/>
    <x v="1"/>
    <x v="1"/>
    <x v="1"/>
    <x v="5"/>
    <x v="1"/>
    <x v="1"/>
    <x v="3"/>
    <x v="3"/>
    <x v="3"/>
    <x v="51"/>
    <x v="51"/>
    <n v="28.528770000000002"/>
    <x v="0"/>
    <x v="0"/>
    <x v="0"/>
    <x v="0"/>
    <x v="0"/>
    <x v="0"/>
    <n v="33.949236300000003"/>
  </r>
  <r>
    <x v="13"/>
    <x v="1"/>
    <x v="1"/>
    <x v="1"/>
    <x v="1"/>
    <x v="6"/>
    <x v="1"/>
    <x v="1"/>
    <x v="1"/>
    <x v="5"/>
    <x v="1"/>
    <x v="1"/>
    <x v="3"/>
    <x v="3"/>
    <x v="3"/>
    <x v="38"/>
    <x v="38"/>
    <n v="42.252000000000002"/>
    <x v="1"/>
    <x v="0"/>
    <x v="4"/>
    <x v="6"/>
    <x v="10"/>
    <x v="21"/>
    <n v="50.279879999999999"/>
  </r>
  <r>
    <x v="13"/>
    <x v="1"/>
    <x v="1"/>
    <x v="1"/>
    <x v="1"/>
    <x v="6"/>
    <x v="1"/>
    <x v="1"/>
    <x v="1"/>
    <x v="5"/>
    <x v="1"/>
    <x v="1"/>
    <x v="3"/>
    <x v="3"/>
    <x v="3"/>
    <x v="12"/>
    <x v="12"/>
    <n v="356.28274999886003"/>
    <x v="0"/>
    <x v="0"/>
    <x v="0"/>
    <x v="0"/>
    <x v="8"/>
    <x v="12"/>
    <n v="423.97647249864343"/>
  </r>
  <r>
    <x v="13"/>
    <x v="1"/>
    <x v="1"/>
    <x v="1"/>
    <x v="1"/>
    <x v="6"/>
    <x v="1"/>
    <x v="1"/>
    <x v="1"/>
    <x v="5"/>
    <x v="1"/>
    <x v="1"/>
    <x v="3"/>
    <x v="3"/>
    <x v="3"/>
    <x v="64"/>
    <x v="64"/>
    <n v="17.25"/>
    <x v="0"/>
    <x v="0"/>
    <x v="1"/>
    <x v="3"/>
    <x v="3"/>
    <x v="13"/>
    <n v="20.5275"/>
  </r>
  <r>
    <x v="13"/>
    <x v="1"/>
    <x v="1"/>
    <x v="1"/>
    <x v="1"/>
    <x v="6"/>
    <x v="1"/>
    <x v="1"/>
    <x v="1"/>
    <x v="5"/>
    <x v="1"/>
    <x v="1"/>
    <x v="3"/>
    <x v="3"/>
    <x v="3"/>
    <x v="65"/>
    <x v="65"/>
    <n v="14.666"/>
    <x v="0"/>
    <x v="0"/>
    <x v="1"/>
    <x v="3"/>
    <x v="3"/>
    <x v="13"/>
    <n v="17.452539999999999"/>
  </r>
  <r>
    <x v="13"/>
    <x v="1"/>
    <x v="1"/>
    <x v="1"/>
    <x v="1"/>
    <x v="6"/>
    <x v="1"/>
    <x v="1"/>
    <x v="1"/>
    <x v="5"/>
    <x v="1"/>
    <x v="1"/>
    <x v="3"/>
    <x v="3"/>
    <x v="3"/>
    <x v="49"/>
    <x v="49"/>
    <n v="53.921568635"/>
    <x v="0"/>
    <x v="0"/>
    <x v="1"/>
    <x v="1"/>
    <x v="1"/>
    <x v="23"/>
    <n v="64.166666675649992"/>
  </r>
  <r>
    <x v="13"/>
    <x v="1"/>
    <x v="1"/>
    <x v="1"/>
    <x v="1"/>
    <x v="6"/>
    <x v="1"/>
    <x v="1"/>
    <x v="1"/>
    <x v="5"/>
    <x v="1"/>
    <x v="1"/>
    <x v="3"/>
    <x v="3"/>
    <x v="3"/>
    <x v="66"/>
    <x v="66"/>
    <n v="46.036999999999999"/>
    <x v="0"/>
    <x v="0"/>
    <x v="1"/>
    <x v="3"/>
    <x v="3"/>
    <x v="4"/>
    <n v="54.784029999999994"/>
  </r>
  <r>
    <x v="13"/>
    <x v="1"/>
    <x v="1"/>
    <x v="1"/>
    <x v="1"/>
    <x v="6"/>
    <x v="1"/>
    <x v="1"/>
    <x v="1"/>
    <x v="5"/>
    <x v="1"/>
    <x v="1"/>
    <x v="3"/>
    <x v="3"/>
    <x v="3"/>
    <x v="16"/>
    <x v="16"/>
    <n v="272.55374"/>
    <x v="0"/>
    <x v="0"/>
    <x v="3"/>
    <x v="5"/>
    <x v="9"/>
    <x v="16"/>
    <n v="324.33895059999998"/>
  </r>
  <r>
    <x v="13"/>
    <x v="1"/>
    <x v="1"/>
    <x v="1"/>
    <x v="1"/>
    <x v="6"/>
    <x v="1"/>
    <x v="1"/>
    <x v="1"/>
    <x v="5"/>
    <x v="1"/>
    <x v="1"/>
    <x v="3"/>
    <x v="3"/>
    <x v="3"/>
    <x v="33"/>
    <x v="33"/>
    <n v="2.1339999999999999"/>
    <x v="0"/>
    <x v="0"/>
    <x v="1"/>
    <x v="3"/>
    <x v="3"/>
    <x v="4"/>
    <n v="2.5394599999999996"/>
  </r>
  <r>
    <x v="13"/>
    <x v="1"/>
    <x v="1"/>
    <x v="1"/>
    <x v="1"/>
    <x v="6"/>
    <x v="1"/>
    <x v="1"/>
    <x v="1"/>
    <x v="5"/>
    <x v="1"/>
    <x v="1"/>
    <x v="3"/>
    <x v="3"/>
    <x v="3"/>
    <x v="36"/>
    <x v="36"/>
    <n v="0.86395999999999995"/>
    <x v="0"/>
    <x v="0"/>
    <x v="1"/>
    <x v="3"/>
    <x v="3"/>
    <x v="4"/>
    <n v="1.0281123999999999"/>
  </r>
  <r>
    <x v="13"/>
    <x v="1"/>
    <x v="1"/>
    <x v="1"/>
    <x v="1"/>
    <x v="6"/>
    <x v="1"/>
    <x v="1"/>
    <x v="1"/>
    <x v="5"/>
    <x v="1"/>
    <x v="1"/>
    <x v="3"/>
    <x v="3"/>
    <x v="3"/>
    <x v="23"/>
    <x v="23"/>
    <n v="19.286000000000001"/>
    <x v="0"/>
    <x v="0"/>
    <x v="1"/>
    <x v="3"/>
    <x v="3"/>
    <x v="15"/>
    <n v="22.950340000000001"/>
  </r>
  <r>
    <x v="13"/>
    <x v="1"/>
    <x v="1"/>
    <x v="1"/>
    <x v="1"/>
    <x v="6"/>
    <x v="1"/>
    <x v="1"/>
    <x v="1"/>
    <x v="5"/>
    <x v="1"/>
    <x v="1"/>
    <x v="3"/>
    <x v="3"/>
    <x v="3"/>
    <x v="67"/>
    <x v="67"/>
    <n v="177.52623"/>
    <x v="0"/>
    <x v="0"/>
    <x v="1"/>
    <x v="3"/>
    <x v="3"/>
    <x v="13"/>
    <n v="211.25621369999999"/>
  </r>
  <r>
    <x v="13"/>
    <x v="1"/>
    <x v="1"/>
    <x v="1"/>
    <x v="1"/>
    <x v="6"/>
    <x v="1"/>
    <x v="1"/>
    <x v="1"/>
    <x v="5"/>
    <x v="1"/>
    <x v="1"/>
    <x v="3"/>
    <x v="3"/>
    <x v="3"/>
    <x v="24"/>
    <x v="24"/>
    <n v="4.2630252100648498"/>
    <x v="0"/>
    <x v="0"/>
    <x v="1"/>
    <x v="3"/>
    <x v="3"/>
    <x v="4"/>
    <n v="5.0729999999771707"/>
  </r>
  <r>
    <x v="13"/>
    <x v="1"/>
    <x v="1"/>
    <x v="1"/>
    <x v="1"/>
    <x v="6"/>
    <x v="1"/>
    <x v="1"/>
    <x v="1"/>
    <x v="5"/>
    <x v="1"/>
    <x v="1"/>
    <x v="3"/>
    <x v="3"/>
    <x v="3"/>
    <x v="68"/>
    <x v="68"/>
    <n v="4.2647000000000004"/>
    <x v="0"/>
    <x v="0"/>
    <x v="1"/>
    <x v="3"/>
    <x v="3"/>
    <x v="3"/>
    <n v="5.0749930000000001"/>
  </r>
  <r>
    <x v="13"/>
    <x v="1"/>
    <x v="1"/>
    <x v="1"/>
    <x v="1"/>
    <x v="6"/>
    <x v="1"/>
    <x v="1"/>
    <x v="1"/>
    <x v="5"/>
    <x v="1"/>
    <x v="1"/>
    <x v="3"/>
    <x v="3"/>
    <x v="3"/>
    <x v="69"/>
    <x v="69"/>
    <n v="4.3207300000000002"/>
    <x v="0"/>
    <x v="0"/>
    <x v="1"/>
    <x v="3"/>
    <x v="3"/>
    <x v="4"/>
    <n v="5.1416687000000003"/>
  </r>
  <r>
    <x v="13"/>
    <x v="1"/>
    <x v="1"/>
    <x v="1"/>
    <x v="1"/>
    <x v="6"/>
    <x v="1"/>
    <x v="1"/>
    <x v="1"/>
    <x v="5"/>
    <x v="1"/>
    <x v="1"/>
    <x v="3"/>
    <x v="3"/>
    <x v="3"/>
    <x v="70"/>
    <x v="70"/>
    <n v="1.0669999999999999"/>
    <x v="0"/>
    <x v="0"/>
    <x v="1"/>
    <x v="3"/>
    <x v="3"/>
    <x v="13"/>
    <n v="1.2697299999999998"/>
  </r>
  <r>
    <x v="13"/>
    <x v="1"/>
    <x v="1"/>
    <x v="1"/>
    <x v="1"/>
    <x v="6"/>
    <x v="1"/>
    <x v="1"/>
    <x v="1"/>
    <x v="5"/>
    <x v="1"/>
    <x v="1"/>
    <x v="3"/>
    <x v="3"/>
    <x v="3"/>
    <x v="21"/>
    <x v="21"/>
    <n v="57.638039495869499"/>
    <x v="0"/>
    <x v="0"/>
    <x v="1"/>
    <x v="4"/>
    <x v="5"/>
    <x v="10"/>
    <n v="68.589267000084703"/>
  </r>
  <r>
    <x v="13"/>
    <x v="1"/>
    <x v="1"/>
    <x v="1"/>
    <x v="1"/>
    <x v="6"/>
    <x v="1"/>
    <x v="1"/>
    <x v="1"/>
    <x v="5"/>
    <x v="1"/>
    <x v="1"/>
    <x v="3"/>
    <x v="3"/>
    <x v="3"/>
    <x v="71"/>
    <x v="71"/>
    <n v="0.53532295014555997"/>
    <x v="0"/>
    <x v="0"/>
    <x v="1"/>
    <x v="3"/>
    <x v="3"/>
    <x v="4"/>
    <n v="0.63703431067321636"/>
  </r>
  <r>
    <x v="13"/>
    <x v="1"/>
    <x v="1"/>
    <x v="1"/>
    <x v="1"/>
    <x v="6"/>
    <x v="1"/>
    <x v="1"/>
    <x v="1"/>
    <x v="5"/>
    <x v="1"/>
    <x v="1"/>
    <x v="3"/>
    <x v="3"/>
    <x v="3"/>
    <x v="72"/>
    <x v="72"/>
    <n v="3.8676699999999999"/>
    <x v="0"/>
    <x v="0"/>
    <x v="1"/>
    <x v="3"/>
    <x v="3"/>
    <x v="4"/>
    <n v="4.6025272999999993"/>
  </r>
  <r>
    <x v="13"/>
    <x v="1"/>
    <x v="1"/>
    <x v="1"/>
    <x v="1"/>
    <x v="6"/>
    <x v="1"/>
    <x v="1"/>
    <x v="1"/>
    <x v="5"/>
    <x v="1"/>
    <x v="1"/>
    <x v="3"/>
    <x v="3"/>
    <x v="3"/>
    <x v="73"/>
    <x v="73"/>
    <n v="3.24119"/>
    <x v="0"/>
    <x v="0"/>
    <x v="1"/>
    <x v="3"/>
    <x v="3"/>
    <x v="4"/>
    <n v="3.8570161000000001"/>
  </r>
  <r>
    <x v="13"/>
    <x v="1"/>
    <x v="1"/>
    <x v="1"/>
    <x v="1"/>
    <x v="6"/>
    <x v="1"/>
    <x v="1"/>
    <x v="1"/>
    <x v="5"/>
    <x v="1"/>
    <x v="1"/>
    <x v="3"/>
    <x v="3"/>
    <x v="3"/>
    <x v="19"/>
    <x v="19"/>
    <n v="16.315000000000001"/>
    <x v="0"/>
    <x v="0"/>
    <x v="1"/>
    <x v="3"/>
    <x v="3"/>
    <x v="13"/>
    <n v="19.414850000000001"/>
  </r>
  <r>
    <x v="13"/>
    <x v="1"/>
    <x v="1"/>
    <x v="1"/>
    <x v="1"/>
    <x v="6"/>
    <x v="1"/>
    <x v="1"/>
    <x v="1"/>
    <x v="5"/>
    <x v="1"/>
    <x v="1"/>
    <x v="3"/>
    <x v="3"/>
    <x v="3"/>
    <x v="26"/>
    <x v="26"/>
    <n v="1.76912"/>
    <x v="0"/>
    <x v="0"/>
    <x v="1"/>
    <x v="3"/>
    <x v="3"/>
    <x v="15"/>
    <n v="2.1052528000000001"/>
  </r>
  <r>
    <x v="13"/>
    <x v="1"/>
    <x v="1"/>
    <x v="1"/>
    <x v="1"/>
    <x v="6"/>
    <x v="1"/>
    <x v="1"/>
    <x v="1"/>
    <x v="5"/>
    <x v="1"/>
    <x v="1"/>
    <x v="3"/>
    <x v="3"/>
    <x v="3"/>
    <x v="74"/>
    <x v="74"/>
    <n v="18.923490000000001"/>
    <x v="0"/>
    <x v="0"/>
    <x v="1"/>
    <x v="3"/>
    <x v="3"/>
    <x v="4"/>
    <n v="22.518953100000001"/>
  </r>
  <r>
    <x v="13"/>
    <x v="1"/>
    <x v="1"/>
    <x v="1"/>
    <x v="1"/>
    <x v="6"/>
    <x v="1"/>
    <x v="1"/>
    <x v="1"/>
    <x v="5"/>
    <x v="1"/>
    <x v="1"/>
    <x v="3"/>
    <x v="3"/>
    <x v="3"/>
    <x v="75"/>
    <x v="75"/>
    <n v="1.1192599999999999"/>
    <x v="0"/>
    <x v="0"/>
    <x v="1"/>
    <x v="3"/>
    <x v="3"/>
    <x v="4"/>
    <n v="1.3319193999999999"/>
  </r>
  <r>
    <x v="13"/>
    <x v="1"/>
    <x v="1"/>
    <x v="1"/>
    <x v="1"/>
    <x v="6"/>
    <x v="1"/>
    <x v="1"/>
    <x v="1"/>
    <x v="5"/>
    <x v="1"/>
    <x v="1"/>
    <x v="3"/>
    <x v="3"/>
    <x v="3"/>
    <x v="2"/>
    <x v="2"/>
    <n v="1356.35890755692"/>
    <x v="0"/>
    <x v="1"/>
    <x v="2"/>
    <x v="2"/>
    <x v="13"/>
    <x v="2"/>
    <n v="1614.0670999927347"/>
  </r>
  <r>
    <x v="13"/>
    <x v="1"/>
    <x v="1"/>
    <x v="1"/>
    <x v="1"/>
    <x v="6"/>
    <x v="1"/>
    <x v="1"/>
    <x v="1"/>
    <x v="5"/>
    <x v="1"/>
    <x v="1"/>
    <x v="3"/>
    <x v="3"/>
    <x v="3"/>
    <x v="76"/>
    <x v="76"/>
    <n v="56.1"/>
    <x v="0"/>
    <x v="0"/>
    <x v="1"/>
    <x v="3"/>
    <x v="3"/>
    <x v="15"/>
    <n v="66.759"/>
  </r>
  <r>
    <x v="13"/>
    <x v="1"/>
    <x v="1"/>
    <x v="1"/>
    <x v="1"/>
    <x v="6"/>
    <x v="1"/>
    <x v="1"/>
    <x v="1"/>
    <x v="5"/>
    <x v="1"/>
    <x v="1"/>
    <x v="3"/>
    <x v="3"/>
    <x v="3"/>
    <x v="3"/>
    <x v="3"/>
    <n v="118.14902884700901"/>
    <x v="0"/>
    <x v="0"/>
    <x v="1"/>
    <x v="3"/>
    <x v="3"/>
    <x v="3"/>
    <n v="140.5973443279407"/>
  </r>
  <r>
    <x v="13"/>
    <x v="1"/>
    <x v="1"/>
    <x v="1"/>
    <x v="1"/>
    <x v="6"/>
    <x v="1"/>
    <x v="1"/>
    <x v="1"/>
    <x v="5"/>
    <x v="1"/>
    <x v="1"/>
    <x v="0"/>
    <x v="4"/>
    <x v="4"/>
    <x v="39"/>
    <x v="39"/>
    <n v="0.18424741120393001"/>
    <x v="0"/>
    <x v="0"/>
    <x v="1"/>
    <x v="4"/>
    <x v="5"/>
    <x v="9"/>
    <n v="0.2192544193326767"/>
  </r>
  <r>
    <x v="13"/>
    <x v="1"/>
    <x v="1"/>
    <x v="1"/>
    <x v="1"/>
    <x v="6"/>
    <x v="1"/>
    <x v="1"/>
    <x v="1"/>
    <x v="5"/>
    <x v="1"/>
    <x v="1"/>
    <x v="0"/>
    <x v="4"/>
    <x v="4"/>
    <x v="5"/>
    <x v="5"/>
    <n v="0.69613259669100003"/>
    <x v="0"/>
    <x v="0"/>
    <x v="1"/>
    <x v="1"/>
    <x v="1"/>
    <x v="5"/>
    <n v="0.82839779006228997"/>
  </r>
  <r>
    <x v="13"/>
    <x v="1"/>
    <x v="1"/>
    <x v="1"/>
    <x v="1"/>
    <x v="6"/>
    <x v="1"/>
    <x v="1"/>
    <x v="1"/>
    <x v="5"/>
    <x v="1"/>
    <x v="1"/>
    <x v="0"/>
    <x v="4"/>
    <x v="4"/>
    <x v="59"/>
    <x v="59"/>
    <n v="4.1026199999999999"/>
    <x v="0"/>
    <x v="0"/>
    <x v="1"/>
    <x v="3"/>
    <x v="3"/>
    <x v="13"/>
    <n v="4.8821177999999996"/>
  </r>
  <r>
    <x v="13"/>
    <x v="1"/>
    <x v="1"/>
    <x v="1"/>
    <x v="1"/>
    <x v="6"/>
    <x v="1"/>
    <x v="1"/>
    <x v="1"/>
    <x v="5"/>
    <x v="1"/>
    <x v="1"/>
    <x v="0"/>
    <x v="4"/>
    <x v="4"/>
    <x v="60"/>
    <x v="60"/>
    <n v="1.5"/>
    <x v="0"/>
    <x v="0"/>
    <x v="1"/>
    <x v="3"/>
    <x v="3"/>
    <x v="13"/>
    <n v="1.7849999999999999"/>
  </r>
  <r>
    <x v="13"/>
    <x v="1"/>
    <x v="1"/>
    <x v="1"/>
    <x v="1"/>
    <x v="6"/>
    <x v="1"/>
    <x v="1"/>
    <x v="1"/>
    <x v="5"/>
    <x v="1"/>
    <x v="1"/>
    <x v="0"/>
    <x v="4"/>
    <x v="4"/>
    <x v="6"/>
    <x v="6"/>
    <n v="4.0819999999999999"/>
    <x v="0"/>
    <x v="0"/>
    <x v="0"/>
    <x v="0"/>
    <x v="4"/>
    <x v="6"/>
    <n v="4.8575799999999996"/>
  </r>
  <r>
    <x v="13"/>
    <x v="1"/>
    <x v="1"/>
    <x v="1"/>
    <x v="1"/>
    <x v="6"/>
    <x v="1"/>
    <x v="1"/>
    <x v="1"/>
    <x v="5"/>
    <x v="1"/>
    <x v="1"/>
    <x v="0"/>
    <x v="4"/>
    <x v="4"/>
    <x v="7"/>
    <x v="7"/>
    <n v="-0.84301506024906003"/>
    <x v="0"/>
    <x v="0"/>
    <x v="1"/>
    <x v="4"/>
    <x v="5"/>
    <x v="7"/>
    <n v="-1.0031879216963815"/>
  </r>
  <r>
    <x v="13"/>
    <x v="1"/>
    <x v="1"/>
    <x v="1"/>
    <x v="1"/>
    <x v="6"/>
    <x v="1"/>
    <x v="1"/>
    <x v="1"/>
    <x v="5"/>
    <x v="1"/>
    <x v="1"/>
    <x v="0"/>
    <x v="4"/>
    <x v="4"/>
    <x v="61"/>
    <x v="61"/>
    <n v="18.052"/>
    <x v="0"/>
    <x v="0"/>
    <x v="1"/>
    <x v="3"/>
    <x v="3"/>
    <x v="4"/>
    <n v="21.48188"/>
  </r>
  <r>
    <x v="13"/>
    <x v="1"/>
    <x v="1"/>
    <x v="1"/>
    <x v="1"/>
    <x v="6"/>
    <x v="1"/>
    <x v="1"/>
    <x v="1"/>
    <x v="5"/>
    <x v="1"/>
    <x v="1"/>
    <x v="0"/>
    <x v="4"/>
    <x v="4"/>
    <x v="41"/>
    <x v="41"/>
    <n v="2.2000000000000002"/>
    <x v="1"/>
    <x v="2"/>
    <x v="5"/>
    <x v="7"/>
    <x v="11"/>
    <x v="22"/>
    <n v="2.6179999999999999"/>
  </r>
  <r>
    <x v="13"/>
    <x v="1"/>
    <x v="1"/>
    <x v="1"/>
    <x v="1"/>
    <x v="6"/>
    <x v="1"/>
    <x v="1"/>
    <x v="1"/>
    <x v="5"/>
    <x v="1"/>
    <x v="1"/>
    <x v="0"/>
    <x v="4"/>
    <x v="4"/>
    <x v="29"/>
    <x v="29"/>
    <n v="2"/>
    <x v="0"/>
    <x v="0"/>
    <x v="1"/>
    <x v="3"/>
    <x v="3"/>
    <x v="13"/>
    <n v="2.38"/>
  </r>
  <r>
    <x v="13"/>
    <x v="1"/>
    <x v="1"/>
    <x v="1"/>
    <x v="1"/>
    <x v="6"/>
    <x v="1"/>
    <x v="1"/>
    <x v="1"/>
    <x v="5"/>
    <x v="1"/>
    <x v="1"/>
    <x v="0"/>
    <x v="4"/>
    <x v="4"/>
    <x v="40"/>
    <x v="40"/>
    <n v="44.04128"/>
    <x v="1"/>
    <x v="2"/>
    <x v="5"/>
    <x v="7"/>
    <x v="11"/>
    <x v="22"/>
    <n v="52.409123199999996"/>
  </r>
  <r>
    <x v="13"/>
    <x v="1"/>
    <x v="1"/>
    <x v="1"/>
    <x v="1"/>
    <x v="6"/>
    <x v="1"/>
    <x v="1"/>
    <x v="1"/>
    <x v="5"/>
    <x v="1"/>
    <x v="1"/>
    <x v="0"/>
    <x v="4"/>
    <x v="4"/>
    <x v="55"/>
    <x v="55"/>
    <n v="1.26"/>
    <x v="0"/>
    <x v="0"/>
    <x v="1"/>
    <x v="3"/>
    <x v="3"/>
    <x v="15"/>
    <n v="1.4993999999999998"/>
  </r>
  <r>
    <x v="13"/>
    <x v="1"/>
    <x v="1"/>
    <x v="1"/>
    <x v="1"/>
    <x v="6"/>
    <x v="1"/>
    <x v="1"/>
    <x v="1"/>
    <x v="5"/>
    <x v="1"/>
    <x v="1"/>
    <x v="0"/>
    <x v="4"/>
    <x v="4"/>
    <x v="11"/>
    <x v="11"/>
    <n v="15.543570000000001"/>
    <x v="0"/>
    <x v="0"/>
    <x v="3"/>
    <x v="5"/>
    <x v="7"/>
    <x v="11"/>
    <n v="18.4968483"/>
  </r>
  <r>
    <x v="13"/>
    <x v="1"/>
    <x v="1"/>
    <x v="1"/>
    <x v="1"/>
    <x v="6"/>
    <x v="1"/>
    <x v="1"/>
    <x v="1"/>
    <x v="5"/>
    <x v="1"/>
    <x v="1"/>
    <x v="0"/>
    <x v="4"/>
    <x v="4"/>
    <x v="51"/>
    <x v="51"/>
    <n v="3.26"/>
    <x v="0"/>
    <x v="0"/>
    <x v="0"/>
    <x v="0"/>
    <x v="0"/>
    <x v="0"/>
    <n v="3.8793999999999995"/>
  </r>
  <r>
    <x v="13"/>
    <x v="1"/>
    <x v="1"/>
    <x v="1"/>
    <x v="1"/>
    <x v="6"/>
    <x v="1"/>
    <x v="1"/>
    <x v="1"/>
    <x v="5"/>
    <x v="1"/>
    <x v="1"/>
    <x v="0"/>
    <x v="4"/>
    <x v="4"/>
    <x v="38"/>
    <x v="38"/>
    <n v="4.41"/>
    <x v="1"/>
    <x v="0"/>
    <x v="4"/>
    <x v="6"/>
    <x v="10"/>
    <x v="21"/>
    <n v="5.2478999999999996"/>
  </r>
  <r>
    <x v="13"/>
    <x v="1"/>
    <x v="1"/>
    <x v="1"/>
    <x v="1"/>
    <x v="6"/>
    <x v="1"/>
    <x v="1"/>
    <x v="1"/>
    <x v="5"/>
    <x v="1"/>
    <x v="1"/>
    <x v="0"/>
    <x v="4"/>
    <x v="4"/>
    <x v="12"/>
    <x v="12"/>
    <n v="11.710806818144301"/>
    <x v="0"/>
    <x v="0"/>
    <x v="0"/>
    <x v="0"/>
    <x v="8"/>
    <x v="12"/>
    <n v="13.935860113591717"/>
  </r>
  <r>
    <x v="13"/>
    <x v="1"/>
    <x v="1"/>
    <x v="1"/>
    <x v="1"/>
    <x v="6"/>
    <x v="1"/>
    <x v="1"/>
    <x v="1"/>
    <x v="5"/>
    <x v="1"/>
    <x v="1"/>
    <x v="0"/>
    <x v="4"/>
    <x v="4"/>
    <x v="65"/>
    <x v="65"/>
    <n v="0.83399999999999996"/>
    <x v="0"/>
    <x v="0"/>
    <x v="1"/>
    <x v="3"/>
    <x v="3"/>
    <x v="13"/>
    <n v="0.9924599999999999"/>
  </r>
  <r>
    <x v="13"/>
    <x v="1"/>
    <x v="1"/>
    <x v="1"/>
    <x v="1"/>
    <x v="6"/>
    <x v="1"/>
    <x v="1"/>
    <x v="1"/>
    <x v="5"/>
    <x v="1"/>
    <x v="1"/>
    <x v="0"/>
    <x v="4"/>
    <x v="4"/>
    <x v="49"/>
    <x v="49"/>
    <n v="19.60784314"/>
    <x v="0"/>
    <x v="0"/>
    <x v="1"/>
    <x v="1"/>
    <x v="1"/>
    <x v="23"/>
    <n v="23.333333336599999"/>
  </r>
  <r>
    <x v="13"/>
    <x v="1"/>
    <x v="1"/>
    <x v="1"/>
    <x v="1"/>
    <x v="6"/>
    <x v="1"/>
    <x v="1"/>
    <x v="1"/>
    <x v="5"/>
    <x v="1"/>
    <x v="1"/>
    <x v="0"/>
    <x v="4"/>
    <x v="4"/>
    <x v="66"/>
    <x v="66"/>
    <n v="4.41"/>
    <x v="0"/>
    <x v="0"/>
    <x v="1"/>
    <x v="3"/>
    <x v="3"/>
    <x v="4"/>
    <n v="5.2478999999999996"/>
  </r>
  <r>
    <x v="13"/>
    <x v="1"/>
    <x v="1"/>
    <x v="1"/>
    <x v="1"/>
    <x v="6"/>
    <x v="1"/>
    <x v="1"/>
    <x v="1"/>
    <x v="5"/>
    <x v="1"/>
    <x v="1"/>
    <x v="0"/>
    <x v="4"/>
    <x v="4"/>
    <x v="16"/>
    <x v="16"/>
    <n v="18.24258"/>
    <x v="0"/>
    <x v="0"/>
    <x v="3"/>
    <x v="5"/>
    <x v="9"/>
    <x v="16"/>
    <n v="21.7086702"/>
  </r>
  <r>
    <x v="13"/>
    <x v="1"/>
    <x v="1"/>
    <x v="1"/>
    <x v="1"/>
    <x v="6"/>
    <x v="1"/>
    <x v="1"/>
    <x v="1"/>
    <x v="5"/>
    <x v="1"/>
    <x v="1"/>
    <x v="0"/>
    <x v="4"/>
    <x v="4"/>
    <x v="23"/>
    <x v="23"/>
    <n v="2.5710000000000002"/>
    <x v="0"/>
    <x v="0"/>
    <x v="1"/>
    <x v="3"/>
    <x v="3"/>
    <x v="15"/>
    <n v="3.0594900000000003"/>
  </r>
  <r>
    <x v="13"/>
    <x v="1"/>
    <x v="1"/>
    <x v="1"/>
    <x v="1"/>
    <x v="6"/>
    <x v="1"/>
    <x v="1"/>
    <x v="1"/>
    <x v="5"/>
    <x v="1"/>
    <x v="1"/>
    <x v="0"/>
    <x v="4"/>
    <x v="4"/>
    <x v="67"/>
    <x v="67"/>
    <n v="4.0280800000000001"/>
    <x v="0"/>
    <x v="0"/>
    <x v="1"/>
    <x v="3"/>
    <x v="3"/>
    <x v="13"/>
    <n v="4.7934152000000001"/>
  </r>
  <r>
    <x v="13"/>
    <x v="1"/>
    <x v="1"/>
    <x v="1"/>
    <x v="1"/>
    <x v="6"/>
    <x v="1"/>
    <x v="1"/>
    <x v="1"/>
    <x v="5"/>
    <x v="1"/>
    <x v="1"/>
    <x v="0"/>
    <x v="4"/>
    <x v="4"/>
    <x v="24"/>
    <x v="24"/>
    <n v="5.2705700000000002"/>
    <x v="0"/>
    <x v="0"/>
    <x v="1"/>
    <x v="3"/>
    <x v="3"/>
    <x v="4"/>
    <n v="6.2719782999999998"/>
  </r>
  <r>
    <x v="13"/>
    <x v="1"/>
    <x v="1"/>
    <x v="1"/>
    <x v="1"/>
    <x v="6"/>
    <x v="1"/>
    <x v="1"/>
    <x v="1"/>
    <x v="5"/>
    <x v="1"/>
    <x v="1"/>
    <x v="0"/>
    <x v="4"/>
    <x v="4"/>
    <x v="21"/>
    <x v="21"/>
    <n v="1.41944142993078"/>
    <x v="0"/>
    <x v="0"/>
    <x v="1"/>
    <x v="4"/>
    <x v="5"/>
    <x v="10"/>
    <n v="1.6891353016176283"/>
  </r>
  <r>
    <x v="13"/>
    <x v="1"/>
    <x v="1"/>
    <x v="1"/>
    <x v="1"/>
    <x v="6"/>
    <x v="1"/>
    <x v="1"/>
    <x v="1"/>
    <x v="5"/>
    <x v="1"/>
    <x v="1"/>
    <x v="0"/>
    <x v="4"/>
    <x v="4"/>
    <x v="27"/>
    <x v="27"/>
    <n v="1.56041418767657"/>
    <x v="0"/>
    <x v="0"/>
    <x v="1"/>
    <x v="3"/>
    <x v="3"/>
    <x v="19"/>
    <n v="1.8568928833351181"/>
  </r>
  <r>
    <x v="13"/>
    <x v="1"/>
    <x v="1"/>
    <x v="1"/>
    <x v="1"/>
    <x v="6"/>
    <x v="1"/>
    <x v="1"/>
    <x v="1"/>
    <x v="5"/>
    <x v="1"/>
    <x v="1"/>
    <x v="0"/>
    <x v="4"/>
    <x v="4"/>
    <x v="19"/>
    <x v="19"/>
    <n v="1.1000000000000001"/>
    <x v="0"/>
    <x v="0"/>
    <x v="1"/>
    <x v="3"/>
    <x v="3"/>
    <x v="13"/>
    <n v="1.3089999999999999"/>
  </r>
  <r>
    <x v="13"/>
    <x v="1"/>
    <x v="1"/>
    <x v="1"/>
    <x v="1"/>
    <x v="6"/>
    <x v="1"/>
    <x v="1"/>
    <x v="1"/>
    <x v="5"/>
    <x v="1"/>
    <x v="1"/>
    <x v="0"/>
    <x v="4"/>
    <x v="4"/>
    <x v="74"/>
    <x v="74"/>
    <n v="1.26901"/>
    <x v="0"/>
    <x v="0"/>
    <x v="1"/>
    <x v="3"/>
    <x v="3"/>
    <x v="4"/>
    <n v="1.5101218999999999"/>
  </r>
  <r>
    <x v="13"/>
    <x v="1"/>
    <x v="1"/>
    <x v="1"/>
    <x v="1"/>
    <x v="6"/>
    <x v="1"/>
    <x v="1"/>
    <x v="1"/>
    <x v="5"/>
    <x v="1"/>
    <x v="1"/>
    <x v="0"/>
    <x v="4"/>
    <x v="4"/>
    <x v="2"/>
    <x v="2"/>
    <n v="247.356890755189"/>
    <x v="0"/>
    <x v="1"/>
    <x v="2"/>
    <x v="2"/>
    <x v="13"/>
    <x v="2"/>
    <n v="294.3546999986749"/>
  </r>
  <r>
    <x v="13"/>
    <x v="1"/>
    <x v="1"/>
    <x v="1"/>
    <x v="1"/>
    <x v="6"/>
    <x v="1"/>
    <x v="1"/>
    <x v="1"/>
    <x v="5"/>
    <x v="1"/>
    <x v="1"/>
    <x v="0"/>
    <x v="4"/>
    <x v="4"/>
    <x v="76"/>
    <x v="76"/>
    <n v="2.4"/>
    <x v="0"/>
    <x v="0"/>
    <x v="1"/>
    <x v="3"/>
    <x v="3"/>
    <x v="15"/>
    <n v="2.8559999999999999"/>
  </r>
  <r>
    <x v="13"/>
    <x v="1"/>
    <x v="1"/>
    <x v="1"/>
    <x v="1"/>
    <x v="6"/>
    <x v="1"/>
    <x v="1"/>
    <x v="1"/>
    <x v="5"/>
    <x v="1"/>
    <x v="1"/>
    <x v="0"/>
    <x v="4"/>
    <x v="4"/>
    <x v="3"/>
    <x v="3"/>
    <n v="2.84237288105862"/>
    <x v="0"/>
    <x v="0"/>
    <x v="1"/>
    <x v="3"/>
    <x v="3"/>
    <x v="3"/>
    <n v="3.3824237284597576"/>
  </r>
  <r>
    <x v="13"/>
    <x v="1"/>
    <x v="1"/>
    <x v="1"/>
    <x v="1"/>
    <x v="6"/>
    <x v="1"/>
    <x v="1"/>
    <x v="1"/>
    <x v="5"/>
    <x v="1"/>
    <x v="1"/>
    <x v="2"/>
    <x v="2"/>
    <x v="2"/>
    <x v="39"/>
    <x v="39"/>
    <n v="0.19283834681636999"/>
    <x v="0"/>
    <x v="0"/>
    <x v="1"/>
    <x v="4"/>
    <x v="5"/>
    <x v="9"/>
    <n v="0.22947763271148028"/>
  </r>
  <r>
    <x v="13"/>
    <x v="1"/>
    <x v="1"/>
    <x v="1"/>
    <x v="1"/>
    <x v="6"/>
    <x v="1"/>
    <x v="1"/>
    <x v="1"/>
    <x v="5"/>
    <x v="1"/>
    <x v="1"/>
    <x v="2"/>
    <x v="2"/>
    <x v="2"/>
    <x v="59"/>
    <x v="59"/>
    <n v="3.0247099999999998"/>
    <x v="0"/>
    <x v="0"/>
    <x v="1"/>
    <x v="3"/>
    <x v="3"/>
    <x v="13"/>
    <n v="3.5994048999999997"/>
  </r>
  <r>
    <x v="13"/>
    <x v="1"/>
    <x v="1"/>
    <x v="1"/>
    <x v="1"/>
    <x v="6"/>
    <x v="1"/>
    <x v="1"/>
    <x v="1"/>
    <x v="5"/>
    <x v="1"/>
    <x v="1"/>
    <x v="2"/>
    <x v="2"/>
    <x v="2"/>
    <x v="6"/>
    <x v="6"/>
    <n v="12.33"/>
    <x v="0"/>
    <x v="0"/>
    <x v="0"/>
    <x v="0"/>
    <x v="4"/>
    <x v="6"/>
    <n v="14.672699999999999"/>
  </r>
  <r>
    <x v="13"/>
    <x v="1"/>
    <x v="1"/>
    <x v="1"/>
    <x v="1"/>
    <x v="6"/>
    <x v="1"/>
    <x v="1"/>
    <x v="1"/>
    <x v="5"/>
    <x v="1"/>
    <x v="1"/>
    <x v="2"/>
    <x v="2"/>
    <x v="2"/>
    <x v="7"/>
    <x v="7"/>
    <n v="1.63294117646324"/>
    <x v="0"/>
    <x v="0"/>
    <x v="1"/>
    <x v="4"/>
    <x v="5"/>
    <x v="7"/>
    <n v="1.9431999999912555"/>
  </r>
  <r>
    <x v="13"/>
    <x v="1"/>
    <x v="1"/>
    <x v="1"/>
    <x v="1"/>
    <x v="6"/>
    <x v="1"/>
    <x v="1"/>
    <x v="1"/>
    <x v="5"/>
    <x v="1"/>
    <x v="1"/>
    <x v="2"/>
    <x v="2"/>
    <x v="2"/>
    <x v="61"/>
    <x v="61"/>
    <n v="17.96"/>
    <x v="0"/>
    <x v="0"/>
    <x v="1"/>
    <x v="3"/>
    <x v="3"/>
    <x v="4"/>
    <n v="21.372399999999999"/>
  </r>
  <r>
    <x v="13"/>
    <x v="1"/>
    <x v="1"/>
    <x v="1"/>
    <x v="1"/>
    <x v="6"/>
    <x v="1"/>
    <x v="1"/>
    <x v="1"/>
    <x v="5"/>
    <x v="1"/>
    <x v="1"/>
    <x v="2"/>
    <x v="2"/>
    <x v="2"/>
    <x v="40"/>
    <x v="40"/>
    <n v="88.906940000000006"/>
    <x v="1"/>
    <x v="2"/>
    <x v="5"/>
    <x v="7"/>
    <x v="11"/>
    <x v="22"/>
    <n v="105.7992586"/>
  </r>
  <r>
    <x v="13"/>
    <x v="1"/>
    <x v="1"/>
    <x v="1"/>
    <x v="1"/>
    <x v="6"/>
    <x v="1"/>
    <x v="1"/>
    <x v="1"/>
    <x v="5"/>
    <x v="1"/>
    <x v="1"/>
    <x v="2"/>
    <x v="2"/>
    <x v="2"/>
    <x v="11"/>
    <x v="11"/>
    <n v="38.997999999999998"/>
    <x v="0"/>
    <x v="0"/>
    <x v="3"/>
    <x v="5"/>
    <x v="7"/>
    <x v="11"/>
    <n v="46.407619999999994"/>
  </r>
  <r>
    <x v="13"/>
    <x v="1"/>
    <x v="1"/>
    <x v="1"/>
    <x v="1"/>
    <x v="6"/>
    <x v="1"/>
    <x v="1"/>
    <x v="1"/>
    <x v="5"/>
    <x v="1"/>
    <x v="1"/>
    <x v="2"/>
    <x v="2"/>
    <x v="2"/>
    <x v="51"/>
    <x v="51"/>
    <n v="10.43"/>
    <x v="0"/>
    <x v="0"/>
    <x v="0"/>
    <x v="0"/>
    <x v="0"/>
    <x v="0"/>
    <n v="12.4117"/>
  </r>
  <r>
    <x v="13"/>
    <x v="1"/>
    <x v="1"/>
    <x v="1"/>
    <x v="1"/>
    <x v="6"/>
    <x v="1"/>
    <x v="1"/>
    <x v="1"/>
    <x v="5"/>
    <x v="1"/>
    <x v="1"/>
    <x v="2"/>
    <x v="2"/>
    <x v="2"/>
    <x v="38"/>
    <x v="38"/>
    <n v="3.4"/>
    <x v="1"/>
    <x v="0"/>
    <x v="4"/>
    <x v="6"/>
    <x v="10"/>
    <x v="21"/>
    <n v="4.0459999999999994"/>
  </r>
  <r>
    <x v="13"/>
    <x v="1"/>
    <x v="1"/>
    <x v="1"/>
    <x v="1"/>
    <x v="6"/>
    <x v="1"/>
    <x v="1"/>
    <x v="1"/>
    <x v="5"/>
    <x v="1"/>
    <x v="1"/>
    <x v="2"/>
    <x v="2"/>
    <x v="2"/>
    <x v="12"/>
    <x v="12"/>
    <n v="9.6545454545145599"/>
    <x v="0"/>
    <x v="0"/>
    <x v="0"/>
    <x v="0"/>
    <x v="8"/>
    <x v="12"/>
    <n v="11.488909090872326"/>
  </r>
  <r>
    <x v="13"/>
    <x v="1"/>
    <x v="1"/>
    <x v="1"/>
    <x v="1"/>
    <x v="6"/>
    <x v="1"/>
    <x v="1"/>
    <x v="1"/>
    <x v="5"/>
    <x v="1"/>
    <x v="1"/>
    <x v="2"/>
    <x v="2"/>
    <x v="2"/>
    <x v="49"/>
    <x v="49"/>
    <n v="132.78480903819801"/>
    <x v="0"/>
    <x v="0"/>
    <x v="1"/>
    <x v="1"/>
    <x v="1"/>
    <x v="23"/>
    <n v="158.01392275545561"/>
  </r>
  <r>
    <x v="13"/>
    <x v="1"/>
    <x v="1"/>
    <x v="1"/>
    <x v="1"/>
    <x v="6"/>
    <x v="1"/>
    <x v="1"/>
    <x v="1"/>
    <x v="5"/>
    <x v="1"/>
    <x v="1"/>
    <x v="2"/>
    <x v="2"/>
    <x v="2"/>
    <x v="16"/>
    <x v="16"/>
    <n v="28.861599999999999"/>
    <x v="0"/>
    <x v="0"/>
    <x v="3"/>
    <x v="5"/>
    <x v="9"/>
    <x v="16"/>
    <n v="34.345303999999999"/>
  </r>
  <r>
    <x v="13"/>
    <x v="1"/>
    <x v="1"/>
    <x v="1"/>
    <x v="1"/>
    <x v="6"/>
    <x v="1"/>
    <x v="1"/>
    <x v="1"/>
    <x v="5"/>
    <x v="1"/>
    <x v="1"/>
    <x v="2"/>
    <x v="2"/>
    <x v="2"/>
    <x v="67"/>
    <x v="67"/>
    <n v="11.55"/>
    <x v="0"/>
    <x v="0"/>
    <x v="1"/>
    <x v="3"/>
    <x v="3"/>
    <x v="13"/>
    <n v="13.7445"/>
  </r>
  <r>
    <x v="13"/>
    <x v="1"/>
    <x v="1"/>
    <x v="1"/>
    <x v="1"/>
    <x v="6"/>
    <x v="1"/>
    <x v="1"/>
    <x v="1"/>
    <x v="5"/>
    <x v="1"/>
    <x v="1"/>
    <x v="2"/>
    <x v="2"/>
    <x v="2"/>
    <x v="27"/>
    <x v="27"/>
    <n v="2.5720640732818398"/>
    <x v="0"/>
    <x v="0"/>
    <x v="1"/>
    <x v="3"/>
    <x v="3"/>
    <x v="19"/>
    <n v="3.0607562472053891"/>
  </r>
  <r>
    <x v="13"/>
    <x v="1"/>
    <x v="1"/>
    <x v="1"/>
    <x v="1"/>
    <x v="6"/>
    <x v="1"/>
    <x v="1"/>
    <x v="1"/>
    <x v="5"/>
    <x v="1"/>
    <x v="1"/>
    <x v="2"/>
    <x v="2"/>
    <x v="2"/>
    <x v="26"/>
    <x v="26"/>
    <n v="2.5"/>
    <x v="0"/>
    <x v="0"/>
    <x v="1"/>
    <x v="3"/>
    <x v="3"/>
    <x v="15"/>
    <n v="2.9749999999999996"/>
  </r>
  <r>
    <x v="13"/>
    <x v="1"/>
    <x v="1"/>
    <x v="1"/>
    <x v="1"/>
    <x v="6"/>
    <x v="1"/>
    <x v="1"/>
    <x v="1"/>
    <x v="5"/>
    <x v="1"/>
    <x v="1"/>
    <x v="2"/>
    <x v="2"/>
    <x v="2"/>
    <x v="2"/>
    <x v="2"/>
    <n v="98.454831932330094"/>
    <x v="0"/>
    <x v="1"/>
    <x v="2"/>
    <x v="2"/>
    <x v="13"/>
    <x v="2"/>
    <n v="117.1612499994728"/>
  </r>
  <r>
    <x v="13"/>
    <x v="1"/>
    <x v="1"/>
    <x v="1"/>
    <x v="1"/>
    <x v="6"/>
    <x v="0"/>
    <x v="0"/>
    <x v="0"/>
    <x v="0"/>
    <x v="2"/>
    <x v="2"/>
    <x v="3"/>
    <x v="3"/>
    <x v="3"/>
    <x v="77"/>
    <x v="77"/>
    <n v="62.673159663583498"/>
    <x v="0"/>
    <x v="2"/>
    <x v="5"/>
    <x v="7"/>
    <x v="12"/>
    <x v="24"/>
    <n v="74.581059999664362"/>
  </r>
  <r>
    <x v="13"/>
    <x v="1"/>
    <x v="1"/>
    <x v="1"/>
    <x v="1"/>
    <x v="6"/>
    <x v="0"/>
    <x v="0"/>
    <x v="0"/>
    <x v="0"/>
    <x v="2"/>
    <x v="2"/>
    <x v="2"/>
    <x v="2"/>
    <x v="2"/>
    <x v="8"/>
    <x v="8"/>
    <n v="15.250881987519699"/>
    <x v="0"/>
    <x v="1"/>
    <x v="2"/>
    <x v="2"/>
    <x v="6"/>
    <x v="8"/>
    <n v="18.148549565148443"/>
  </r>
  <r>
    <x v="13"/>
    <x v="1"/>
    <x v="1"/>
    <x v="1"/>
    <x v="1"/>
    <x v="6"/>
    <x v="0"/>
    <x v="0"/>
    <x v="0"/>
    <x v="0"/>
    <x v="2"/>
    <x v="2"/>
    <x v="1"/>
    <x v="6"/>
    <x v="6"/>
    <x v="77"/>
    <x v="77"/>
    <n v="0.47725210083818997"/>
    <x v="0"/>
    <x v="2"/>
    <x v="5"/>
    <x v="7"/>
    <x v="12"/>
    <x v="24"/>
    <n v="0.56792999999744609"/>
  </r>
  <r>
    <x v="13"/>
    <x v="1"/>
    <x v="1"/>
    <x v="1"/>
    <x v="1"/>
    <x v="6"/>
    <x v="0"/>
    <x v="0"/>
    <x v="0"/>
    <x v="0"/>
    <x v="0"/>
    <x v="0"/>
    <x v="3"/>
    <x v="3"/>
    <x v="3"/>
    <x v="5"/>
    <x v="5"/>
    <n v="30.819889503024399"/>
    <x v="0"/>
    <x v="0"/>
    <x v="1"/>
    <x v="1"/>
    <x v="1"/>
    <x v="5"/>
    <n v="36.675668508599031"/>
  </r>
  <r>
    <x v="13"/>
    <x v="1"/>
    <x v="1"/>
    <x v="1"/>
    <x v="1"/>
    <x v="6"/>
    <x v="0"/>
    <x v="0"/>
    <x v="0"/>
    <x v="0"/>
    <x v="0"/>
    <x v="0"/>
    <x v="3"/>
    <x v="3"/>
    <x v="3"/>
    <x v="29"/>
    <x v="29"/>
    <n v="9.7640000000000005E-2"/>
    <x v="0"/>
    <x v="0"/>
    <x v="1"/>
    <x v="3"/>
    <x v="3"/>
    <x v="13"/>
    <n v="0.11619160000000001"/>
  </r>
  <r>
    <x v="13"/>
    <x v="1"/>
    <x v="1"/>
    <x v="1"/>
    <x v="1"/>
    <x v="6"/>
    <x v="0"/>
    <x v="0"/>
    <x v="0"/>
    <x v="0"/>
    <x v="0"/>
    <x v="0"/>
    <x v="3"/>
    <x v="3"/>
    <x v="3"/>
    <x v="26"/>
    <x v="26"/>
    <n v="72.321243697153506"/>
    <x v="0"/>
    <x v="0"/>
    <x v="1"/>
    <x v="3"/>
    <x v="3"/>
    <x v="15"/>
    <n v="86.06227999961267"/>
  </r>
  <r>
    <x v="13"/>
    <x v="1"/>
    <x v="1"/>
    <x v="1"/>
    <x v="1"/>
    <x v="6"/>
    <x v="0"/>
    <x v="0"/>
    <x v="0"/>
    <x v="0"/>
    <x v="0"/>
    <x v="0"/>
    <x v="3"/>
    <x v="12"/>
    <x v="3"/>
    <x v="8"/>
    <x v="8"/>
    <n v="1960.52638508572"/>
    <x v="0"/>
    <x v="1"/>
    <x v="2"/>
    <x v="2"/>
    <x v="6"/>
    <x v="8"/>
    <n v="2333.0263982520069"/>
  </r>
  <r>
    <x v="13"/>
    <x v="1"/>
    <x v="1"/>
    <x v="1"/>
    <x v="1"/>
    <x v="6"/>
    <x v="0"/>
    <x v="0"/>
    <x v="0"/>
    <x v="0"/>
    <x v="0"/>
    <x v="0"/>
    <x v="0"/>
    <x v="4"/>
    <x v="4"/>
    <x v="7"/>
    <x v="7"/>
    <n v="-1.4307228915800001E-3"/>
    <x v="0"/>
    <x v="0"/>
    <x v="1"/>
    <x v="4"/>
    <x v="5"/>
    <x v="7"/>
    <n v="-1.7025602409802001E-3"/>
  </r>
  <r>
    <x v="13"/>
    <x v="1"/>
    <x v="1"/>
    <x v="1"/>
    <x v="1"/>
    <x v="6"/>
    <x v="0"/>
    <x v="0"/>
    <x v="0"/>
    <x v="0"/>
    <x v="0"/>
    <x v="0"/>
    <x v="0"/>
    <x v="4"/>
    <x v="4"/>
    <x v="9"/>
    <x v="9"/>
    <n v="4.6592362737531801"/>
    <x v="0"/>
    <x v="0"/>
    <x v="1"/>
    <x v="4"/>
    <x v="5"/>
    <x v="9"/>
    <n v="5.5444911657662841"/>
  </r>
  <r>
    <x v="13"/>
    <x v="1"/>
    <x v="1"/>
    <x v="1"/>
    <x v="1"/>
    <x v="6"/>
    <x v="0"/>
    <x v="0"/>
    <x v="0"/>
    <x v="0"/>
    <x v="0"/>
    <x v="0"/>
    <x v="0"/>
    <x v="4"/>
    <x v="4"/>
    <x v="29"/>
    <x v="29"/>
    <n v="62.913580000000003"/>
    <x v="0"/>
    <x v="0"/>
    <x v="1"/>
    <x v="3"/>
    <x v="3"/>
    <x v="13"/>
    <n v="74.867160200000001"/>
  </r>
  <r>
    <x v="13"/>
    <x v="1"/>
    <x v="1"/>
    <x v="1"/>
    <x v="1"/>
    <x v="6"/>
    <x v="0"/>
    <x v="0"/>
    <x v="0"/>
    <x v="0"/>
    <x v="0"/>
    <x v="0"/>
    <x v="0"/>
    <x v="4"/>
    <x v="4"/>
    <x v="31"/>
    <x v="31"/>
    <n v="2.8067899159537602"/>
    <x v="0"/>
    <x v="0"/>
    <x v="1"/>
    <x v="4"/>
    <x v="5"/>
    <x v="10"/>
    <n v="3.3400799999849746"/>
  </r>
  <r>
    <x v="13"/>
    <x v="1"/>
    <x v="1"/>
    <x v="1"/>
    <x v="1"/>
    <x v="6"/>
    <x v="0"/>
    <x v="0"/>
    <x v="0"/>
    <x v="0"/>
    <x v="0"/>
    <x v="0"/>
    <x v="0"/>
    <x v="4"/>
    <x v="4"/>
    <x v="13"/>
    <x v="13"/>
    <n v="2.9580000000000002"/>
    <x v="0"/>
    <x v="0"/>
    <x v="1"/>
    <x v="3"/>
    <x v="3"/>
    <x v="13"/>
    <n v="3.5200200000000001"/>
  </r>
  <r>
    <x v="13"/>
    <x v="1"/>
    <x v="1"/>
    <x v="1"/>
    <x v="1"/>
    <x v="6"/>
    <x v="0"/>
    <x v="0"/>
    <x v="0"/>
    <x v="0"/>
    <x v="0"/>
    <x v="0"/>
    <x v="0"/>
    <x v="4"/>
    <x v="4"/>
    <x v="25"/>
    <x v="25"/>
    <n v="6.8364117646751197"/>
    <x v="0"/>
    <x v="0"/>
    <x v="1"/>
    <x v="4"/>
    <x v="5"/>
    <x v="9"/>
    <n v="8.1353299999633926"/>
  </r>
  <r>
    <x v="13"/>
    <x v="1"/>
    <x v="1"/>
    <x v="1"/>
    <x v="1"/>
    <x v="6"/>
    <x v="0"/>
    <x v="0"/>
    <x v="0"/>
    <x v="0"/>
    <x v="0"/>
    <x v="0"/>
    <x v="0"/>
    <x v="4"/>
    <x v="4"/>
    <x v="37"/>
    <x v="37"/>
    <n v="117.070588234767"/>
    <x v="0"/>
    <x v="0"/>
    <x v="1"/>
    <x v="3"/>
    <x v="3"/>
    <x v="4"/>
    <n v="139.31399999937273"/>
  </r>
  <r>
    <x v="13"/>
    <x v="1"/>
    <x v="1"/>
    <x v="1"/>
    <x v="1"/>
    <x v="6"/>
    <x v="0"/>
    <x v="0"/>
    <x v="0"/>
    <x v="0"/>
    <x v="0"/>
    <x v="0"/>
    <x v="0"/>
    <x v="4"/>
    <x v="4"/>
    <x v="26"/>
    <x v="26"/>
    <n v="28.652907562896299"/>
    <x v="0"/>
    <x v="0"/>
    <x v="1"/>
    <x v="3"/>
    <x v="3"/>
    <x v="15"/>
    <n v="34.096959999846597"/>
  </r>
  <r>
    <x v="13"/>
    <x v="1"/>
    <x v="1"/>
    <x v="1"/>
    <x v="1"/>
    <x v="6"/>
    <x v="0"/>
    <x v="0"/>
    <x v="0"/>
    <x v="0"/>
    <x v="0"/>
    <x v="0"/>
    <x v="0"/>
    <x v="4"/>
    <x v="4"/>
    <x v="2"/>
    <x v="2"/>
    <n v="356.84326050259602"/>
    <x v="0"/>
    <x v="1"/>
    <x v="2"/>
    <x v="2"/>
    <x v="13"/>
    <x v="2"/>
    <n v="424.64347999808928"/>
  </r>
  <r>
    <x v="13"/>
    <x v="1"/>
    <x v="1"/>
    <x v="1"/>
    <x v="1"/>
    <x v="6"/>
    <x v="0"/>
    <x v="0"/>
    <x v="0"/>
    <x v="0"/>
    <x v="0"/>
    <x v="0"/>
    <x v="0"/>
    <x v="4"/>
    <x v="4"/>
    <x v="3"/>
    <x v="3"/>
    <n v="23.064590011330001"/>
    <x v="0"/>
    <x v="0"/>
    <x v="1"/>
    <x v="3"/>
    <x v="3"/>
    <x v="3"/>
    <n v="27.446862113482698"/>
  </r>
  <r>
    <x v="13"/>
    <x v="1"/>
    <x v="1"/>
    <x v="1"/>
    <x v="1"/>
    <x v="6"/>
    <x v="0"/>
    <x v="0"/>
    <x v="0"/>
    <x v="0"/>
    <x v="0"/>
    <x v="0"/>
    <x v="0"/>
    <x v="0"/>
    <x v="0"/>
    <x v="5"/>
    <x v="5"/>
    <n v="21.850276243279701"/>
    <x v="0"/>
    <x v="0"/>
    <x v="1"/>
    <x v="1"/>
    <x v="1"/>
    <x v="5"/>
    <n v="26.001828729502844"/>
  </r>
  <r>
    <x v="13"/>
    <x v="1"/>
    <x v="1"/>
    <x v="1"/>
    <x v="1"/>
    <x v="6"/>
    <x v="0"/>
    <x v="0"/>
    <x v="0"/>
    <x v="0"/>
    <x v="0"/>
    <x v="0"/>
    <x v="0"/>
    <x v="0"/>
    <x v="0"/>
    <x v="7"/>
    <x v="7"/>
    <n v="31.557142857000901"/>
    <x v="0"/>
    <x v="0"/>
    <x v="1"/>
    <x v="4"/>
    <x v="5"/>
    <x v="7"/>
    <n v="37.552999999831073"/>
  </r>
  <r>
    <x v="13"/>
    <x v="1"/>
    <x v="1"/>
    <x v="1"/>
    <x v="1"/>
    <x v="6"/>
    <x v="0"/>
    <x v="0"/>
    <x v="0"/>
    <x v="0"/>
    <x v="0"/>
    <x v="0"/>
    <x v="0"/>
    <x v="0"/>
    <x v="0"/>
    <x v="8"/>
    <x v="8"/>
    <n v="2159.9277018551502"/>
    <x v="0"/>
    <x v="1"/>
    <x v="2"/>
    <x v="2"/>
    <x v="6"/>
    <x v="8"/>
    <n v="2570.3139652076288"/>
  </r>
  <r>
    <x v="13"/>
    <x v="1"/>
    <x v="1"/>
    <x v="1"/>
    <x v="1"/>
    <x v="6"/>
    <x v="0"/>
    <x v="0"/>
    <x v="0"/>
    <x v="0"/>
    <x v="0"/>
    <x v="0"/>
    <x v="0"/>
    <x v="0"/>
    <x v="0"/>
    <x v="9"/>
    <x v="9"/>
    <n v="33.596483497709997"/>
    <x v="0"/>
    <x v="0"/>
    <x v="1"/>
    <x v="4"/>
    <x v="5"/>
    <x v="9"/>
    <n v="39.979815362274891"/>
  </r>
  <r>
    <x v="13"/>
    <x v="1"/>
    <x v="1"/>
    <x v="1"/>
    <x v="1"/>
    <x v="6"/>
    <x v="0"/>
    <x v="0"/>
    <x v="0"/>
    <x v="0"/>
    <x v="0"/>
    <x v="0"/>
    <x v="0"/>
    <x v="0"/>
    <x v="0"/>
    <x v="26"/>
    <x v="26"/>
    <n v="8.3984033613067499"/>
    <x v="0"/>
    <x v="0"/>
    <x v="1"/>
    <x v="3"/>
    <x v="3"/>
    <x v="15"/>
    <n v="9.9940999999550311"/>
  </r>
  <r>
    <x v="13"/>
    <x v="1"/>
    <x v="1"/>
    <x v="1"/>
    <x v="1"/>
    <x v="6"/>
    <x v="0"/>
    <x v="0"/>
    <x v="0"/>
    <x v="0"/>
    <x v="0"/>
    <x v="0"/>
    <x v="0"/>
    <x v="0"/>
    <x v="0"/>
    <x v="1"/>
    <x v="1"/>
    <n v="84.864800000424296"/>
    <x v="0"/>
    <x v="0"/>
    <x v="1"/>
    <x v="1"/>
    <x v="1"/>
    <x v="1"/>
    <n v="100.9891120005049"/>
  </r>
  <r>
    <x v="13"/>
    <x v="1"/>
    <x v="1"/>
    <x v="1"/>
    <x v="1"/>
    <x v="6"/>
    <x v="0"/>
    <x v="0"/>
    <x v="0"/>
    <x v="0"/>
    <x v="0"/>
    <x v="0"/>
    <x v="0"/>
    <x v="0"/>
    <x v="0"/>
    <x v="2"/>
    <x v="2"/>
    <n v="582.49149579569803"/>
    <x v="0"/>
    <x v="1"/>
    <x v="2"/>
    <x v="2"/>
    <x v="13"/>
    <x v="2"/>
    <n v="693.16487999688059"/>
  </r>
  <r>
    <x v="13"/>
    <x v="1"/>
    <x v="1"/>
    <x v="1"/>
    <x v="1"/>
    <x v="6"/>
    <x v="0"/>
    <x v="0"/>
    <x v="0"/>
    <x v="0"/>
    <x v="0"/>
    <x v="0"/>
    <x v="1"/>
    <x v="1"/>
    <x v="1"/>
    <x v="5"/>
    <x v="5"/>
    <n v="286.64638674276802"/>
    <x v="0"/>
    <x v="0"/>
    <x v="1"/>
    <x v="1"/>
    <x v="1"/>
    <x v="5"/>
    <n v="341.10920022389394"/>
  </r>
  <r>
    <x v="13"/>
    <x v="1"/>
    <x v="1"/>
    <x v="1"/>
    <x v="1"/>
    <x v="6"/>
    <x v="0"/>
    <x v="0"/>
    <x v="0"/>
    <x v="0"/>
    <x v="0"/>
    <x v="0"/>
    <x v="1"/>
    <x v="1"/>
    <x v="1"/>
    <x v="7"/>
    <x v="7"/>
    <n v="34.168100840182397"/>
    <x v="0"/>
    <x v="0"/>
    <x v="1"/>
    <x v="4"/>
    <x v="5"/>
    <x v="7"/>
    <n v="40.660039999817052"/>
  </r>
  <r>
    <x v="13"/>
    <x v="1"/>
    <x v="1"/>
    <x v="1"/>
    <x v="1"/>
    <x v="6"/>
    <x v="0"/>
    <x v="0"/>
    <x v="0"/>
    <x v="0"/>
    <x v="0"/>
    <x v="0"/>
    <x v="1"/>
    <x v="1"/>
    <x v="1"/>
    <x v="8"/>
    <x v="8"/>
    <n v="17.534161490616601"/>
    <x v="0"/>
    <x v="1"/>
    <x v="2"/>
    <x v="2"/>
    <x v="6"/>
    <x v="8"/>
    <n v="20.865652173833755"/>
  </r>
  <r>
    <x v="13"/>
    <x v="1"/>
    <x v="1"/>
    <x v="1"/>
    <x v="1"/>
    <x v="6"/>
    <x v="0"/>
    <x v="0"/>
    <x v="0"/>
    <x v="0"/>
    <x v="0"/>
    <x v="0"/>
    <x v="1"/>
    <x v="1"/>
    <x v="1"/>
    <x v="27"/>
    <x v="27"/>
    <n v="5.9813592678631498"/>
    <x v="0"/>
    <x v="0"/>
    <x v="1"/>
    <x v="3"/>
    <x v="3"/>
    <x v="19"/>
    <n v="7.1178175287571479"/>
  </r>
  <r>
    <x v="13"/>
    <x v="1"/>
    <x v="1"/>
    <x v="1"/>
    <x v="1"/>
    <x v="6"/>
    <x v="0"/>
    <x v="0"/>
    <x v="0"/>
    <x v="0"/>
    <x v="0"/>
    <x v="0"/>
    <x v="1"/>
    <x v="1"/>
    <x v="1"/>
    <x v="26"/>
    <x v="26"/>
    <n v="20.888210083939601"/>
    <x v="0"/>
    <x v="0"/>
    <x v="1"/>
    <x v="3"/>
    <x v="3"/>
    <x v="15"/>
    <n v="24.856969999888125"/>
  </r>
  <r>
    <x v="13"/>
    <x v="1"/>
    <x v="1"/>
    <x v="1"/>
    <x v="1"/>
    <x v="6"/>
    <x v="0"/>
    <x v="0"/>
    <x v="0"/>
    <x v="0"/>
    <x v="0"/>
    <x v="0"/>
    <x v="1"/>
    <x v="1"/>
    <x v="1"/>
    <x v="1"/>
    <x v="1"/>
    <n v="76.644800000383199"/>
    <x v="0"/>
    <x v="0"/>
    <x v="1"/>
    <x v="1"/>
    <x v="1"/>
    <x v="1"/>
    <n v="91.207312000456"/>
  </r>
  <r>
    <x v="13"/>
    <x v="1"/>
    <x v="1"/>
    <x v="1"/>
    <x v="1"/>
    <x v="6"/>
    <x v="0"/>
    <x v="0"/>
    <x v="0"/>
    <x v="0"/>
    <x v="0"/>
    <x v="0"/>
    <x v="1"/>
    <x v="1"/>
    <x v="1"/>
    <x v="2"/>
    <x v="2"/>
    <n v="15.0062521007728"/>
    <x v="0"/>
    <x v="1"/>
    <x v="2"/>
    <x v="2"/>
    <x v="13"/>
    <x v="2"/>
    <n v="17.857439999919631"/>
  </r>
  <r>
    <x v="13"/>
    <x v="1"/>
    <x v="1"/>
    <x v="1"/>
    <x v="1"/>
    <x v="6"/>
    <x v="0"/>
    <x v="0"/>
    <x v="0"/>
    <x v="0"/>
    <x v="0"/>
    <x v="0"/>
    <x v="2"/>
    <x v="2"/>
    <x v="2"/>
    <x v="4"/>
    <x v="4"/>
    <n v="109.150168066736"/>
    <x v="0"/>
    <x v="0"/>
    <x v="1"/>
    <x v="3"/>
    <x v="3"/>
    <x v="4"/>
    <n v="129.88869999941585"/>
  </r>
  <r>
    <x v="13"/>
    <x v="1"/>
    <x v="1"/>
    <x v="1"/>
    <x v="1"/>
    <x v="6"/>
    <x v="0"/>
    <x v="0"/>
    <x v="0"/>
    <x v="0"/>
    <x v="0"/>
    <x v="0"/>
    <x v="2"/>
    <x v="2"/>
    <x v="2"/>
    <x v="39"/>
    <x v="39"/>
    <n v="3.7815126050250001"/>
    <x v="0"/>
    <x v="0"/>
    <x v="1"/>
    <x v="4"/>
    <x v="5"/>
    <x v="9"/>
    <n v="4.4999999999797495"/>
  </r>
  <r>
    <x v="13"/>
    <x v="1"/>
    <x v="1"/>
    <x v="1"/>
    <x v="1"/>
    <x v="6"/>
    <x v="0"/>
    <x v="0"/>
    <x v="0"/>
    <x v="0"/>
    <x v="0"/>
    <x v="0"/>
    <x v="2"/>
    <x v="2"/>
    <x v="2"/>
    <x v="5"/>
    <x v="5"/>
    <n v="16.0825193371533"/>
    <x v="0"/>
    <x v="0"/>
    <x v="1"/>
    <x v="1"/>
    <x v="1"/>
    <x v="5"/>
    <n v="19.138198011212427"/>
  </r>
  <r>
    <x v="13"/>
    <x v="1"/>
    <x v="1"/>
    <x v="1"/>
    <x v="1"/>
    <x v="6"/>
    <x v="0"/>
    <x v="0"/>
    <x v="0"/>
    <x v="0"/>
    <x v="0"/>
    <x v="0"/>
    <x v="2"/>
    <x v="2"/>
    <x v="2"/>
    <x v="7"/>
    <x v="7"/>
    <n v="5.0999999999999996"/>
    <x v="0"/>
    <x v="0"/>
    <x v="1"/>
    <x v="4"/>
    <x v="5"/>
    <x v="7"/>
    <n v="6.0689999999999991"/>
  </r>
  <r>
    <x v="13"/>
    <x v="1"/>
    <x v="1"/>
    <x v="1"/>
    <x v="1"/>
    <x v="6"/>
    <x v="0"/>
    <x v="0"/>
    <x v="0"/>
    <x v="0"/>
    <x v="0"/>
    <x v="0"/>
    <x v="2"/>
    <x v="2"/>
    <x v="2"/>
    <x v="8"/>
    <x v="8"/>
    <n v="9.0051801241893799"/>
    <x v="0"/>
    <x v="1"/>
    <x v="2"/>
    <x v="2"/>
    <x v="6"/>
    <x v="8"/>
    <n v="10.716164347785362"/>
  </r>
  <r>
    <x v="13"/>
    <x v="1"/>
    <x v="1"/>
    <x v="1"/>
    <x v="1"/>
    <x v="6"/>
    <x v="0"/>
    <x v="0"/>
    <x v="0"/>
    <x v="0"/>
    <x v="0"/>
    <x v="0"/>
    <x v="2"/>
    <x v="2"/>
    <x v="2"/>
    <x v="9"/>
    <x v="9"/>
    <n v="45.2162788708508"/>
    <x v="0"/>
    <x v="0"/>
    <x v="1"/>
    <x v="4"/>
    <x v="5"/>
    <x v="9"/>
    <n v="53.80737185631245"/>
  </r>
  <r>
    <x v="13"/>
    <x v="1"/>
    <x v="1"/>
    <x v="1"/>
    <x v="1"/>
    <x v="6"/>
    <x v="0"/>
    <x v="0"/>
    <x v="0"/>
    <x v="0"/>
    <x v="0"/>
    <x v="0"/>
    <x v="2"/>
    <x v="2"/>
    <x v="2"/>
    <x v="10"/>
    <x v="10"/>
    <n v="22.804184042515399"/>
    <x v="0"/>
    <x v="0"/>
    <x v="1"/>
    <x v="4"/>
    <x v="5"/>
    <x v="10"/>
    <n v="27.136979010593322"/>
  </r>
  <r>
    <x v="13"/>
    <x v="1"/>
    <x v="1"/>
    <x v="1"/>
    <x v="1"/>
    <x v="6"/>
    <x v="0"/>
    <x v="0"/>
    <x v="0"/>
    <x v="0"/>
    <x v="0"/>
    <x v="0"/>
    <x v="2"/>
    <x v="2"/>
    <x v="2"/>
    <x v="28"/>
    <x v="28"/>
    <n v="7.1999399999999998"/>
    <x v="0"/>
    <x v="0"/>
    <x v="1"/>
    <x v="3"/>
    <x v="3"/>
    <x v="13"/>
    <n v="8.5679286000000001"/>
  </r>
  <r>
    <x v="13"/>
    <x v="1"/>
    <x v="1"/>
    <x v="1"/>
    <x v="1"/>
    <x v="6"/>
    <x v="0"/>
    <x v="0"/>
    <x v="0"/>
    <x v="0"/>
    <x v="0"/>
    <x v="0"/>
    <x v="2"/>
    <x v="2"/>
    <x v="2"/>
    <x v="29"/>
    <x v="29"/>
    <n v="23.986999999999998"/>
    <x v="0"/>
    <x v="0"/>
    <x v="1"/>
    <x v="3"/>
    <x v="3"/>
    <x v="13"/>
    <n v="28.544529999999998"/>
  </r>
  <r>
    <x v="13"/>
    <x v="1"/>
    <x v="1"/>
    <x v="1"/>
    <x v="1"/>
    <x v="6"/>
    <x v="0"/>
    <x v="0"/>
    <x v="0"/>
    <x v="0"/>
    <x v="0"/>
    <x v="0"/>
    <x v="2"/>
    <x v="2"/>
    <x v="2"/>
    <x v="80"/>
    <x v="80"/>
    <n v="6.8832941176160798"/>
    <x v="0"/>
    <x v="0"/>
    <x v="1"/>
    <x v="4"/>
    <x v="5"/>
    <x v="10"/>
    <n v="8.191119999963135"/>
  </r>
  <r>
    <x v="13"/>
    <x v="1"/>
    <x v="1"/>
    <x v="1"/>
    <x v="1"/>
    <x v="6"/>
    <x v="0"/>
    <x v="0"/>
    <x v="0"/>
    <x v="0"/>
    <x v="0"/>
    <x v="0"/>
    <x v="2"/>
    <x v="2"/>
    <x v="2"/>
    <x v="31"/>
    <x v="31"/>
    <n v="1.97480672268019"/>
    <x v="0"/>
    <x v="0"/>
    <x v="1"/>
    <x v="4"/>
    <x v="5"/>
    <x v="10"/>
    <n v="2.350019999989426"/>
  </r>
  <r>
    <x v="13"/>
    <x v="1"/>
    <x v="1"/>
    <x v="1"/>
    <x v="1"/>
    <x v="6"/>
    <x v="0"/>
    <x v="0"/>
    <x v="0"/>
    <x v="0"/>
    <x v="0"/>
    <x v="0"/>
    <x v="2"/>
    <x v="2"/>
    <x v="2"/>
    <x v="11"/>
    <x v="11"/>
    <n v="3.5"/>
    <x v="0"/>
    <x v="0"/>
    <x v="3"/>
    <x v="5"/>
    <x v="7"/>
    <x v="11"/>
    <n v="4.165"/>
  </r>
  <r>
    <x v="13"/>
    <x v="1"/>
    <x v="1"/>
    <x v="1"/>
    <x v="1"/>
    <x v="6"/>
    <x v="0"/>
    <x v="0"/>
    <x v="2"/>
    <x v="2"/>
    <x v="0"/>
    <x v="0"/>
    <x v="2"/>
    <x v="2"/>
    <x v="2"/>
    <x v="38"/>
    <x v="38"/>
    <n v="54.379849999999998"/>
    <x v="1"/>
    <x v="0"/>
    <x v="4"/>
    <x v="6"/>
    <x v="10"/>
    <x v="21"/>
    <n v="64.712021499999992"/>
  </r>
  <r>
    <x v="13"/>
    <x v="1"/>
    <x v="1"/>
    <x v="1"/>
    <x v="1"/>
    <x v="6"/>
    <x v="0"/>
    <x v="0"/>
    <x v="0"/>
    <x v="0"/>
    <x v="0"/>
    <x v="0"/>
    <x v="2"/>
    <x v="2"/>
    <x v="2"/>
    <x v="14"/>
    <x v="14"/>
    <n v="65.474639999999994"/>
    <x v="0"/>
    <x v="0"/>
    <x v="0"/>
    <x v="0"/>
    <x v="8"/>
    <x v="14"/>
    <n v="77.914821599999982"/>
  </r>
  <r>
    <x v="13"/>
    <x v="1"/>
    <x v="1"/>
    <x v="1"/>
    <x v="1"/>
    <x v="6"/>
    <x v="0"/>
    <x v="0"/>
    <x v="0"/>
    <x v="0"/>
    <x v="0"/>
    <x v="0"/>
    <x v="2"/>
    <x v="2"/>
    <x v="2"/>
    <x v="16"/>
    <x v="16"/>
    <n v="1.50817"/>
    <x v="0"/>
    <x v="0"/>
    <x v="3"/>
    <x v="5"/>
    <x v="9"/>
    <x v="16"/>
    <n v="1.7947222999999999"/>
  </r>
  <r>
    <x v="13"/>
    <x v="1"/>
    <x v="1"/>
    <x v="1"/>
    <x v="1"/>
    <x v="6"/>
    <x v="0"/>
    <x v="0"/>
    <x v="0"/>
    <x v="0"/>
    <x v="0"/>
    <x v="0"/>
    <x v="2"/>
    <x v="2"/>
    <x v="2"/>
    <x v="21"/>
    <x v="21"/>
    <n v="23.310336134348901"/>
    <x v="0"/>
    <x v="0"/>
    <x v="1"/>
    <x v="4"/>
    <x v="5"/>
    <x v="10"/>
    <n v="27.73929999987519"/>
  </r>
  <r>
    <x v="13"/>
    <x v="1"/>
    <x v="1"/>
    <x v="1"/>
    <x v="1"/>
    <x v="6"/>
    <x v="0"/>
    <x v="0"/>
    <x v="0"/>
    <x v="0"/>
    <x v="0"/>
    <x v="0"/>
    <x v="2"/>
    <x v="2"/>
    <x v="2"/>
    <x v="79"/>
    <x v="79"/>
    <n v="9.6618571428136608"/>
    <x v="0"/>
    <x v="0"/>
    <x v="1"/>
    <x v="4"/>
    <x v="5"/>
    <x v="10"/>
    <n v="11.497609999948256"/>
  </r>
  <r>
    <x v="13"/>
    <x v="1"/>
    <x v="1"/>
    <x v="1"/>
    <x v="1"/>
    <x v="6"/>
    <x v="0"/>
    <x v="0"/>
    <x v="0"/>
    <x v="0"/>
    <x v="0"/>
    <x v="0"/>
    <x v="2"/>
    <x v="2"/>
    <x v="2"/>
    <x v="25"/>
    <x v="25"/>
    <n v="0.54331932772864999"/>
    <x v="0"/>
    <x v="0"/>
    <x v="1"/>
    <x v="4"/>
    <x v="5"/>
    <x v="9"/>
    <n v="0.64654999999709351"/>
  </r>
  <r>
    <x v="13"/>
    <x v="1"/>
    <x v="1"/>
    <x v="1"/>
    <x v="1"/>
    <x v="6"/>
    <x v="0"/>
    <x v="0"/>
    <x v="0"/>
    <x v="0"/>
    <x v="0"/>
    <x v="0"/>
    <x v="2"/>
    <x v="2"/>
    <x v="2"/>
    <x v="78"/>
    <x v="78"/>
    <n v="2.9780504201546698"/>
    <x v="0"/>
    <x v="0"/>
    <x v="1"/>
    <x v="4"/>
    <x v="5"/>
    <x v="9"/>
    <n v="3.5438799999840569"/>
  </r>
  <r>
    <x v="13"/>
    <x v="1"/>
    <x v="1"/>
    <x v="1"/>
    <x v="1"/>
    <x v="6"/>
    <x v="0"/>
    <x v="0"/>
    <x v="0"/>
    <x v="0"/>
    <x v="0"/>
    <x v="0"/>
    <x v="2"/>
    <x v="2"/>
    <x v="2"/>
    <x v="19"/>
    <x v="19"/>
    <n v="50.249899999999997"/>
    <x v="0"/>
    <x v="0"/>
    <x v="1"/>
    <x v="3"/>
    <x v="3"/>
    <x v="13"/>
    <n v="59.797380999999994"/>
  </r>
  <r>
    <x v="13"/>
    <x v="1"/>
    <x v="1"/>
    <x v="1"/>
    <x v="1"/>
    <x v="6"/>
    <x v="0"/>
    <x v="0"/>
    <x v="0"/>
    <x v="0"/>
    <x v="0"/>
    <x v="0"/>
    <x v="2"/>
    <x v="2"/>
    <x v="2"/>
    <x v="26"/>
    <x v="26"/>
    <n v="57.257865545960797"/>
    <x v="0"/>
    <x v="0"/>
    <x v="1"/>
    <x v="3"/>
    <x v="3"/>
    <x v="15"/>
    <n v="68.136859999693343"/>
  </r>
  <r>
    <x v="13"/>
    <x v="1"/>
    <x v="1"/>
    <x v="1"/>
    <x v="1"/>
    <x v="6"/>
    <x v="0"/>
    <x v="0"/>
    <x v="0"/>
    <x v="0"/>
    <x v="0"/>
    <x v="0"/>
    <x v="2"/>
    <x v="2"/>
    <x v="2"/>
    <x v="0"/>
    <x v="0"/>
    <n v="0.37959822222696998"/>
    <x v="0"/>
    <x v="0"/>
    <x v="0"/>
    <x v="0"/>
    <x v="0"/>
    <x v="0"/>
    <n v="0.45172188445009426"/>
  </r>
  <r>
    <x v="13"/>
    <x v="1"/>
    <x v="1"/>
    <x v="1"/>
    <x v="1"/>
    <x v="6"/>
    <x v="0"/>
    <x v="0"/>
    <x v="0"/>
    <x v="0"/>
    <x v="0"/>
    <x v="0"/>
    <x v="2"/>
    <x v="2"/>
    <x v="2"/>
    <x v="1"/>
    <x v="1"/>
    <n v="47.391240000236998"/>
    <x v="0"/>
    <x v="0"/>
    <x v="1"/>
    <x v="1"/>
    <x v="1"/>
    <x v="1"/>
    <n v="56.395575600282022"/>
  </r>
  <r>
    <x v="13"/>
    <x v="1"/>
    <x v="1"/>
    <x v="1"/>
    <x v="1"/>
    <x v="6"/>
    <x v="0"/>
    <x v="0"/>
    <x v="0"/>
    <x v="0"/>
    <x v="0"/>
    <x v="0"/>
    <x v="2"/>
    <x v="2"/>
    <x v="2"/>
    <x v="2"/>
    <x v="2"/>
    <n v="180.06940336053401"/>
    <x v="0"/>
    <x v="1"/>
    <x v="2"/>
    <x v="2"/>
    <x v="13"/>
    <x v="2"/>
    <n v="214.28258999903545"/>
  </r>
  <r>
    <x v="13"/>
    <x v="1"/>
    <x v="1"/>
    <x v="1"/>
    <x v="1"/>
    <x v="6"/>
    <x v="0"/>
    <x v="0"/>
    <x v="0"/>
    <x v="0"/>
    <x v="0"/>
    <x v="0"/>
    <x v="1"/>
    <x v="6"/>
    <x v="6"/>
    <x v="29"/>
    <x v="29"/>
    <n v="13.172940000000001"/>
    <x v="0"/>
    <x v="0"/>
    <x v="1"/>
    <x v="3"/>
    <x v="3"/>
    <x v="13"/>
    <n v="15.6757986"/>
  </r>
  <r>
    <x v="13"/>
    <x v="1"/>
    <x v="1"/>
    <x v="1"/>
    <x v="1"/>
    <x v="6"/>
    <x v="0"/>
    <x v="0"/>
    <x v="2"/>
    <x v="2"/>
    <x v="0"/>
    <x v="0"/>
    <x v="1"/>
    <x v="6"/>
    <x v="6"/>
    <x v="38"/>
    <x v="38"/>
    <n v="71.705039999999997"/>
    <x v="1"/>
    <x v="0"/>
    <x v="4"/>
    <x v="6"/>
    <x v="10"/>
    <x v="21"/>
    <n v="85.328997599999994"/>
  </r>
  <r>
    <x v="13"/>
    <x v="1"/>
    <x v="1"/>
    <x v="1"/>
    <x v="1"/>
    <x v="6"/>
    <x v="0"/>
    <x v="0"/>
    <x v="0"/>
    <x v="0"/>
    <x v="0"/>
    <x v="0"/>
    <x v="1"/>
    <x v="6"/>
    <x v="6"/>
    <x v="21"/>
    <x v="21"/>
    <n v="3.48693277309355"/>
    <x v="0"/>
    <x v="0"/>
    <x v="1"/>
    <x v="4"/>
    <x v="5"/>
    <x v="10"/>
    <n v="4.1494499999813241"/>
  </r>
  <r>
    <x v="13"/>
    <x v="1"/>
    <x v="1"/>
    <x v="1"/>
    <x v="1"/>
    <x v="6"/>
    <x v="0"/>
    <x v="0"/>
    <x v="0"/>
    <x v="0"/>
    <x v="0"/>
    <x v="0"/>
    <x v="1"/>
    <x v="6"/>
    <x v="6"/>
    <x v="25"/>
    <x v="25"/>
    <n v="2.1217899159568399"/>
    <x v="0"/>
    <x v="0"/>
    <x v="1"/>
    <x v="4"/>
    <x v="5"/>
    <x v="9"/>
    <n v="2.5249299999886392"/>
  </r>
  <r>
    <x v="13"/>
    <x v="1"/>
    <x v="1"/>
    <x v="1"/>
    <x v="1"/>
    <x v="6"/>
    <x v="0"/>
    <x v="0"/>
    <x v="2"/>
    <x v="2"/>
    <x v="0"/>
    <x v="0"/>
    <x v="1"/>
    <x v="6"/>
    <x v="6"/>
    <x v="46"/>
    <x v="46"/>
    <n v="5.1576199999999996"/>
    <x v="1"/>
    <x v="0"/>
    <x v="4"/>
    <x v="6"/>
    <x v="10"/>
    <x v="21"/>
    <n v="6.1375677999999994"/>
  </r>
  <r>
    <x v="13"/>
    <x v="1"/>
    <x v="1"/>
    <x v="1"/>
    <x v="1"/>
    <x v="6"/>
    <x v="0"/>
    <x v="0"/>
    <x v="0"/>
    <x v="0"/>
    <x v="0"/>
    <x v="0"/>
    <x v="1"/>
    <x v="6"/>
    <x v="6"/>
    <x v="19"/>
    <x v="19"/>
    <n v="1.1476200000000001"/>
    <x v="0"/>
    <x v="0"/>
    <x v="1"/>
    <x v="3"/>
    <x v="3"/>
    <x v="13"/>
    <n v="1.3656678"/>
  </r>
  <r>
    <x v="13"/>
    <x v="1"/>
    <x v="1"/>
    <x v="1"/>
    <x v="1"/>
    <x v="6"/>
    <x v="0"/>
    <x v="0"/>
    <x v="0"/>
    <x v="0"/>
    <x v="0"/>
    <x v="0"/>
    <x v="1"/>
    <x v="6"/>
    <x v="6"/>
    <x v="26"/>
    <x v="26"/>
    <n v="8.3773361344160797"/>
    <x v="0"/>
    <x v="0"/>
    <x v="1"/>
    <x v="3"/>
    <x v="3"/>
    <x v="15"/>
    <n v="9.9690299999551346"/>
  </r>
  <r>
    <x v="13"/>
    <x v="1"/>
    <x v="1"/>
    <x v="1"/>
    <x v="1"/>
    <x v="6"/>
    <x v="0"/>
    <x v="0"/>
    <x v="0"/>
    <x v="0"/>
    <x v="0"/>
    <x v="0"/>
    <x v="1"/>
    <x v="6"/>
    <x v="6"/>
    <x v="2"/>
    <x v="2"/>
    <n v="366.25859663700697"/>
    <x v="0"/>
    <x v="1"/>
    <x v="2"/>
    <x v="2"/>
    <x v="13"/>
    <x v="2"/>
    <n v="435.84772999803829"/>
  </r>
  <r>
    <x v="13"/>
    <x v="1"/>
    <x v="1"/>
    <x v="1"/>
    <x v="1"/>
    <x v="6"/>
    <x v="0"/>
    <x v="0"/>
    <x v="0"/>
    <x v="0"/>
    <x v="0"/>
    <x v="0"/>
    <x v="3"/>
    <x v="7"/>
    <x v="7"/>
    <x v="7"/>
    <x v="7"/>
    <n v="390.08571428395902"/>
    <x v="0"/>
    <x v="0"/>
    <x v="1"/>
    <x v="4"/>
    <x v="5"/>
    <x v="7"/>
    <n v="464.20199999791123"/>
  </r>
  <r>
    <x v="13"/>
    <x v="1"/>
    <x v="1"/>
    <x v="1"/>
    <x v="1"/>
    <x v="6"/>
    <x v="0"/>
    <x v="0"/>
    <x v="0"/>
    <x v="0"/>
    <x v="0"/>
    <x v="0"/>
    <x v="3"/>
    <x v="7"/>
    <x v="7"/>
    <x v="9"/>
    <x v="9"/>
    <n v="5.82059245669062"/>
    <x v="0"/>
    <x v="0"/>
    <x v="1"/>
    <x v="4"/>
    <x v="5"/>
    <x v="9"/>
    <n v="6.9265050234618375"/>
  </r>
  <r>
    <x v="13"/>
    <x v="1"/>
    <x v="1"/>
    <x v="1"/>
    <x v="1"/>
    <x v="6"/>
    <x v="0"/>
    <x v="0"/>
    <x v="0"/>
    <x v="0"/>
    <x v="0"/>
    <x v="0"/>
    <x v="3"/>
    <x v="7"/>
    <x v="7"/>
    <x v="10"/>
    <x v="10"/>
    <n v="8.1664286704000004E-4"/>
    <x v="0"/>
    <x v="0"/>
    <x v="1"/>
    <x v="4"/>
    <x v="5"/>
    <x v="10"/>
    <n v="9.7180501177760001E-4"/>
  </r>
  <r>
    <x v="13"/>
    <x v="1"/>
    <x v="1"/>
    <x v="1"/>
    <x v="1"/>
    <x v="6"/>
    <x v="0"/>
    <x v="0"/>
    <x v="2"/>
    <x v="2"/>
    <x v="0"/>
    <x v="0"/>
    <x v="3"/>
    <x v="7"/>
    <x v="7"/>
    <x v="38"/>
    <x v="38"/>
    <n v="98.5137"/>
    <x v="1"/>
    <x v="0"/>
    <x v="4"/>
    <x v="6"/>
    <x v="10"/>
    <x v="21"/>
    <n v="117.231303"/>
  </r>
  <r>
    <x v="13"/>
    <x v="1"/>
    <x v="1"/>
    <x v="1"/>
    <x v="1"/>
    <x v="6"/>
    <x v="0"/>
    <x v="0"/>
    <x v="0"/>
    <x v="0"/>
    <x v="0"/>
    <x v="0"/>
    <x v="3"/>
    <x v="7"/>
    <x v="7"/>
    <x v="24"/>
    <x v="24"/>
    <n v="99.8951260499706"/>
    <x v="0"/>
    <x v="0"/>
    <x v="1"/>
    <x v="3"/>
    <x v="3"/>
    <x v="4"/>
    <n v="118.87519999946501"/>
  </r>
  <r>
    <x v="13"/>
    <x v="1"/>
    <x v="1"/>
    <x v="1"/>
    <x v="1"/>
    <x v="6"/>
    <x v="0"/>
    <x v="0"/>
    <x v="0"/>
    <x v="0"/>
    <x v="0"/>
    <x v="0"/>
    <x v="3"/>
    <x v="7"/>
    <x v="7"/>
    <x v="34"/>
    <x v="34"/>
    <n v="2.3426919899700001E-3"/>
    <x v="0"/>
    <x v="0"/>
    <x v="0"/>
    <x v="0"/>
    <x v="0"/>
    <x v="0"/>
    <n v="2.7878034680643001E-3"/>
  </r>
  <r>
    <x v="13"/>
    <x v="1"/>
    <x v="1"/>
    <x v="1"/>
    <x v="1"/>
    <x v="6"/>
    <x v="0"/>
    <x v="0"/>
    <x v="0"/>
    <x v="0"/>
    <x v="0"/>
    <x v="0"/>
    <x v="3"/>
    <x v="7"/>
    <x v="7"/>
    <x v="26"/>
    <x v="26"/>
    <n v="8.4033613400000007E-6"/>
    <x v="0"/>
    <x v="0"/>
    <x v="1"/>
    <x v="3"/>
    <x v="3"/>
    <x v="15"/>
    <n v="9.9999999945999998E-6"/>
  </r>
  <r>
    <x v="13"/>
    <x v="1"/>
    <x v="1"/>
    <x v="1"/>
    <x v="1"/>
    <x v="6"/>
    <x v="0"/>
    <x v="0"/>
    <x v="0"/>
    <x v="0"/>
    <x v="0"/>
    <x v="0"/>
    <x v="1"/>
    <x v="8"/>
    <x v="8"/>
    <x v="7"/>
    <x v="7"/>
    <n v="36.191931051824199"/>
    <x v="0"/>
    <x v="0"/>
    <x v="1"/>
    <x v="4"/>
    <x v="5"/>
    <x v="7"/>
    <n v="43.068397951670796"/>
  </r>
  <r>
    <x v="13"/>
    <x v="1"/>
    <x v="1"/>
    <x v="1"/>
    <x v="1"/>
    <x v="6"/>
    <x v="0"/>
    <x v="0"/>
    <x v="0"/>
    <x v="0"/>
    <x v="0"/>
    <x v="0"/>
    <x v="1"/>
    <x v="8"/>
    <x v="8"/>
    <x v="9"/>
    <x v="9"/>
    <n v="75.019621681037606"/>
    <x v="0"/>
    <x v="0"/>
    <x v="1"/>
    <x v="4"/>
    <x v="5"/>
    <x v="9"/>
    <n v="89.273349800434744"/>
  </r>
  <r>
    <x v="13"/>
    <x v="1"/>
    <x v="1"/>
    <x v="1"/>
    <x v="1"/>
    <x v="6"/>
    <x v="0"/>
    <x v="0"/>
    <x v="0"/>
    <x v="0"/>
    <x v="0"/>
    <x v="0"/>
    <x v="1"/>
    <x v="8"/>
    <x v="8"/>
    <x v="10"/>
    <x v="10"/>
    <n v="7.1325194370726797"/>
    <x v="0"/>
    <x v="0"/>
    <x v="1"/>
    <x v="4"/>
    <x v="5"/>
    <x v="10"/>
    <n v="8.4876981301164882"/>
  </r>
  <r>
    <x v="13"/>
    <x v="1"/>
    <x v="1"/>
    <x v="1"/>
    <x v="1"/>
    <x v="6"/>
    <x v="0"/>
    <x v="0"/>
    <x v="2"/>
    <x v="2"/>
    <x v="0"/>
    <x v="0"/>
    <x v="1"/>
    <x v="8"/>
    <x v="8"/>
    <x v="38"/>
    <x v="38"/>
    <n v="26.05255"/>
    <x v="1"/>
    <x v="0"/>
    <x v="4"/>
    <x v="6"/>
    <x v="10"/>
    <x v="21"/>
    <n v="31.002534499999999"/>
  </r>
  <r>
    <x v="13"/>
    <x v="1"/>
    <x v="1"/>
    <x v="1"/>
    <x v="1"/>
    <x v="6"/>
    <x v="0"/>
    <x v="0"/>
    <x v="0"/>
    <x v="0"/>
    <x v="0"/>
    <x v="0"/>
    <x v="1"/>
    <x v="8"/>
    <x v="8"/>
    <x v="24"/>
    <x v="24"/>
    <n v="54.170420167823501"/>
    <x v="0"/>
    <x v="0"/>
    <x v="1"/>
    <x v="3"/>
    <x v="3"/>
    <x v="4"/>
    <n v="64.462799999709958"/>
  </r>
  <r>
    <x v="13"/>
    <x v="1"/>
    <x v="1"/>
    <x v="1"/>
    <x v="1"/>
    <x v="6"/>
    <x v="0"/>
    <x v="0"/>
    <x v="0"/>
    <x v="0"/>
    <x v="0"/>
    <x v="0"/>
    <x v="1"/>
    <x v="8"/>
    <x v="8"/>
    <x v="34"/>
    <x v="34"/>
    <n v="3.2865400494000002E-4"/>
    <x v="0"/>
    <x v="0"/>
    <x v="0"/>
    <x v="0"/>
    <x v="0"/>
    <x v="0"/>
    <n v="3.9109826587859999E-4"/>
  </r>
  <r>
    <x v="13"/>
    <x v="1"/>
    <x v="1"/>
    <x v="1"/>
    <x v="1"/>
    <x v="6"/>
    <x v="0"/>
    <x v="0"/>
    <x v="0"/>
    <x v="0"/>
    <x v="0"/>
    <x v="0"/>
    <x v="0"/>
    <x v="9"/>
    <x v="9"/>
    <x v="7"/>
    <x v="7"/>
    <n v="921.85391001443998"/>
    <x v="0"/>
    <x v="0"/>
    <x v="1"/>
    <x v="4"/>
    <x v="5"/>
    <x v="7"/>
    <n v="1097.0061529171835"/>
  </r>
  <r>
    <x v="13"/>
    <x v="1"/>
    <x v="1"/>
    <x v="1"/>
    <x v="1"/>
    <x v="6"/>
    <x v="0"/>
    <x v="0"/>
    <x v="0"/>
    <x v="0"/>
    <x v="0"/>
    <x v="0"/>
    <x v="0"/>
    <x v="9"/>
    <x v="9"/>
    <x v="9"/>
    <x v="9"/>
    <n v="180.06281971717101"/>
    <x v="0"/>
    <x v="0"/>
    <x v="1"/>
    <x v="4"/>
    <x v="5"/>
    <x v="9"/>
    <n v="214.27475546343348"/>
  </r>
  <r>
    <x v="13"/>
    <x v="1"/>
    <x v="1"/>
    <x v="1"/>
    <x v="1"/>
    <x v="6"/>
    <x v="0"/>
    <x v="0"/>
    <x v="0"/>
    <x v="0"/>
    <x v="0"/>
    <x v="0"/>
    <x v="0"/>
    <x v="9"/>
    <x v="9"/>
    <x v="10"/>
    <x v="10"/>
    <n v="4.4038606723420397"/>
    <x v="0"/>
    <x v="0"/>
    <x v="1"/>
    <x v="4"/>
    <x v="5"/>
    <x v="10"/>
    <n v="5.2405942000870267"/>
  </r>
  <r>
    <x v="13"/>
    <x v="1"/>
    <x v="1"/>
    <x v="1"/>
    <x v="1"/>
    <x v="6"/>
    <x v="0"/>
    <x v="0"/>
    <x v="2"/>
    <x v="2"/>
    <x v="0"/>
    <x v="0"/>
    <x v="0"/>
    <x v="9"/>
    <x v="9"/>
    <x v="38"/>
    <x v="38"/>
    <n v="156.35714999999999"/>
    <x v="1"/>
    <x v="0"/>
    <x v="4"/>
    <x v="6"/>
    <x v="10"/>
    <x v="21"/>
    <n v="186.06500849999998"/>
  </r>
  <r>
    <x v="13"/>
    <x v="1"/>
    <x v="1"/>
    <x v="1"/>
    <x v="1"/>
    <x v="6"/>
    <x v="0"/>
    <x v="0"/>
    <x v="0"/>
    <x v="0"/>
    <x v="0"/>
    <x v="0"/>
    <x v="0"/>
    <x v="9"/>
    <x v="9"/>
    <x v="24"/>
    <x v="24"/>
    <n v="37.0073949578167"/>
    <x v="0"/>
    <x v="0"/>
    <x v="1"/>
    <x v="3"/>
    <x v="3"/>
    <x v="4"/>
    <n v="44.038799999801874"/>
  </r>
  <r>
    <x v="13"/>
    <x v="1"/>
    <x v="1"/>
    <x v="1"/>
    <x v="1"/>
    <x v="6"/>
    <x v="0"/>
    <x v="0"/>
    <x v="0"/>
    <x v="0"/>
    <x v="0"/>
    <x v="0"/>
    <x v="0"/>
    <x v="9"/>
    <x v="9"/>
    <x v="34"/>
    <x v="34"/>
    <n v="1.3303055325499999E-3"/>
    <x v="0"/>
    <x v="0"/>
    <x v="0"/>
    <x v="0"/>
    <x v="0"/>
    <x v="0"/>
    <n v="1.5830635837344998E-3"/>
  </r>
  <r>
    <x v="13"/>
    <x v="1"/>
    <x v="1"/>
    <x v="1"/>
    <x v="1"/>
    <x v="6"/>
    <x v="0"/>
    <x v="0"/>
    <x v="0"/>
    <x v="0"/>
    <x v="0"/>
    <x v="0"/>
    <x v="2"/>
    <x v="10"/>
    <x v="10"/>
    <x v="7"/>
    <x v="7"/>
    <n v="181.504293927031"/>
    <x v="0"/>
    <x v="0"/>
    <x v="1"/>
    <x v="4"/>
    <x v="5"/>
    <x v="7"/>
    <n v="215.99010977316689"/>
  </r>
  <r>
    <x v="13"/>
    <x v="1"/>
    <x v="1"/>
    <x v="1"/>
    <x v="1"/>
    <x v="6"/>
    <x v="0"/>
    <x v="0"/>
    <x v="0"/>
    <x v="0"/>
    <x v="0"/>
    <x v="0"/>
    <x v="2"/>
    <x v="10"/>
    <x v="10"/>
    <x v="9"/>
    <x v="9"/>
    <n v="60.830756862257303"/>
    <x v="0"/>
    <x v="0"/>
    <x v="1"/>
    <x v="4"/>
    <x v="5"/>
    <x v="9"/>
    <n v="72.388600666086191"/>
  </r>
  <r>
    <x v="13"/>
    <x v="1"/>
    <x v="1"/>
    <x v="1"/>
    <x v="1"/>
    <x v="6"/>
    <x v="0"/>
    <x v="0"/>
    <x v="0"/>
    <x v="0"/>
    <x v="0"/>
    <x v="0"/>
    <x v="2"/>
    <x v="10"/>
    <x v="10"/>
    <x v="10"/>
    <x v="10"/>
    <n v="1.60452783092E-3"/>
    <x v="0"/>
    <x v="0"/>
    <x v="1"/>
    <x v="4"/>
    <x v="5"/>
    <x v="10"/>
    <n v="1.9093881187947999E-3"/>
  </r>
  <r>
    <x v="13"/>
    <x v="1"/>
    <x v="1"/>
    <x v="1"/>
    <x v="1"/>
    <x v="6"/>
    <x v="0"/>
    <x v="0"/>
    <x v="2"/>
    <x v="2"/>
    <x v="0"/>
    <x v="0"/>
    <x v="2"/>
    <x v="10"/>
    <x v="10"/>
    <x v="38"/>
    <x v="38"/>
    <n v="88.743020000000001"/>
    <x v="1"/>
    <x v="0"/>
    <x v="4"/>
    <x v="6"/>
    <x v="10"/>
    <x v="21"/>
    <n v="105.60419379999999"/>
  </r>
  <r>
    <x v="13"/>
    <x v="1"/>
    <x v="1"/>
    <x v="1"/>
    <x v="1"/>
    <x v="6"/>
    <x v="0"/>
    <x v="0"/>
    <x v="0"/>
    <x v="0"/>
    <x v="0"/>
    <x v="0"/>
    <x v="2"/>
    <x v="10"/>
    <x v="10"/>
    <x v="24"/>
    <x v="24"/>
    <n v="55.432436974540501"/>
    <x v="0"/>
    <x v="0"/>
    <x v="1"/>
    <x v="3"/>
    <x v="3"/>
    <x v="4"/>
    <n v="65.964599999703196"/>
  </r>
  <r>
    <x v="13"/>
    <x v="1"/>
    <x v="1"/>
    <x v="1"/>
    <x v="1"/>
    <x v="6"/>
    <x v="0"/>
    <x v="0"/>
    <x v="0"/>
    <x v="0"/>
    <x v="0"/>
    <x v="0"/>
    <x v="2"/>
    <x v="10"/>
    <x v="10"/>
    <x v="34"/>
    <x v="34"/>
    <n v="2.77126341851E-3"/>
    <x v="0"/>
    <x v="0"/>
    <x v="0"/>
    <x v="0"/>
    <x v="0"/>
    <x v="0"/>
    <n v="3.2978034680269E-3"/>
  </r>
  <r>
    <x v="13"/>
    <x v="1"/>
    <x v="1"/>
    <x v="1"/>
    <x v="1"/>
    <x v="6"/>
    <x v="0"/>
    <x v="0"/>
    <x v="0"/>
    <x v="0"/>
    <x v="0"/>
    <x v="0"/>
    <x v="2"/>
    <x v="10"/>
    <x v="10"/>
    <x v="26"/>
    <x v="26"/>
    <n v="8.4033613400000007E-6"/>
    <x v="0"/>
    <x v="0"/>
    <x v="1"/>
    <x v="3"/>
    <x v="3"/>
    <x v="15"/>
    <n v="9.9999999945999998E-6"/>
  </r>
  <r>
    <x v="13"/>
    <x v="1"/>
    <x v="1"/>
    <x v="1"/>
    <x v="1"/>
    <x v="6"/>
    <x v="0"/>
    <x v="0"/>
    <x v="0"/>
    <x v="0"/>
    <x v="0"/>
    <x v="0"/>
    <x v="4"/>
    <x v="5"/>
    <x v="5"/>
    <x v="5"/>
    <x v="5"/>
    <n v="205.563314918874"/>
    <x v="0"/>
    <x v="0"/>
    <x v="1"/>
    <x v="1"/>
    <x v="1"/>
    <x v="5"/>
    <n v="244.62034475346005"/>
  </r>
  <r>
    <x v="13"/>
    <x v="1"/>
    <x v="1"/>
    <x v="1"/>
    <x v="1"/>
    <x v="6"/>
    <x v="0"/>
    <x v="0"/>
    <x v="0"/>
    <x v="0"/>
    <x v="0"/>
    <x v="0"/>
    <x v="4"/>
    <x v="5"/>
    <x v="5"/>
    <x v="7"/>
    <x v="7"/>
    <n v="549.37831709833097"/>
    <x v="0"/>
    <x v="0"/>
    <x v="1"/>
    <x v="4"/>
    <x v="5"/>
    <x v="7"/>
    <n v="653.76019734701379"/>
  </r>
  <r>
    <x v="13"/>
    <x v="1"/>
    <x v="1"/>
    <x v="1"/>
    <x v="1"/>
    <x v="6"/>
    <x v="0"/>
    <x v="0"/>
    <x v="0"/>
    <x v="0"/>
    <x v="0"/>
    <x v="0"/>
    <x v="4"/>
    <x v="5"/>
    <x v="5"/>
    <x v="9"/>
    <x v="9"/>
    <n v="218.751281600954"/>
    <x v="0"/>
    <x v="0"/>
    <x v="1"/>
    <x v="4"/>
    <x v="5"/>
    <x v="9"/>
    <n v="260.31402510513527"/>
  </r>
  <r>
    <x v="13"/>
    <x v="1"/>
    <x v="1"/>
    <x v="1"/>
    <x v="1"/>
    <x v="6"/>
    <x v="0"/>
    <x v="0"/>
    <x v="0"/>
    <x v="0"/>
    <x v="0"/>
    <x v="0"/>
    <x v="4"/>
    <x v="5"/>
    <x v="5"/>
    <x v="10"/>
    <x v="10"/>
    <n v="49.511842670086203"/>
    <x v="0"/>
    <x v="0"/>
    <x v="1"/>
    <x v="4"/>
    <x v="5"/>
    <x v="10"/>
    <n v="58.919092777402582"/>
  </r>
  <r>
    <x v="13"/>
    <x v="1"/>
    <x v="1"/>
    <x v="1"/>
    <x v="1"/>
    <x v="6"/>
    <x v="0"/>
    <x v="0"/>
    <x v="0"/>
    <x v="0"/>
    <x v="0"/>
    <x v="0"/>
    <x v="4"/>
    <x v="5"/>
    <x v="5"/>
    <x v="29"/>
    <x v="29"/>
    <n v="2.4708000000000001"/>
    <x v="0"/>
    <x v="0"/>
    <x v="1"/>
    <x v="3"/>
    <x v="3"/>
    <x v="13"/>
    <n v="2.9402520000000001"/>
  </r>
  <r>
    <x v="13"/>
    <x v="1"/>
    <x v="1"/>
    <x v="1"/>
    <x v="1"/>
    <x v="6"/>
    <x v="0"/>
    <x v="0"/>
    <x v="2"/>
    <x v="2"/>
    <x v="0"/>
    <x v="0"/>
    <x v="4"/>
    <x v="5"/>
    <x v="5"/>
    <x v="38"/>
    <x v="38"/>
    <n v="261.72417000000002"/>
    <x v="1"/>
    <x v="0"/>
    <x v="4"/>
    <x v="6"/>
    <x v="10"/>
    <x v="21"/>
    <n v="311.45176229999998"/>
  </r>
  <r>
    <x v="13"/>
    <x v="1"/>
    <x v="1"/>
    <x v="1"/>
    <x v="1"/>
    <x v="6"/>
    <x v="0"/>
    <x v="0"/>
    <x v="0"/>
    <x v="0"/>
    <x v="0"/>
    <x v="0"/>
    <x v="4"/>
    <x v="5"/>
    <x v="5"/>
    <x v="12"/>
    <x v="12"/>
    <n v="21.106465909023399"/>
    <x v="0"/>
    <x v="0"/>
    <x v="0"/>
    <x v="0"/>
    <x v="8"/>
    <x v="12"/>
    <n v="25.116694431737844"/>
  </r>
  <r>
    <x v="13"/>
    <x v="1"/>
    <x v="1"/>
    <x v="1"/>
    <x v="1"/>
    <x v="6"/>
    <x v="0"/>
    <x v="0"/>
    <x v="0"/>
    <x v="0"/>
    <x v="0"/>
    <x v="0"/>
    <x v="4"/>
    <x v="5"/>
    <x v="5"/>
    <x v="24"/>
    <x v="24"/>
    <n v="3.9512605041839"/>
    <x v="0"/>
    <x v="0"/>
    <x v="1"/>
    <x v="3"/>
    <x v="3"/>
    <x v="4"/>
    <n v="4.7019999999788409"/>
  </r>
  <r>
    <x v="13"/>
    <x v="1"/>
    <x v="1"/>
    <x v="1"/>
    <x v="1"/>
    <x v="6"/>
    <x v="0"/>
    <x v="0"/>
    <x v="0"/>
    <x v="0"/>
    <x v="0"/>
    <x v="0"/>
    <x v="4"/>
    <x v="5"/>
    <x v="5"/>
    <x v="34"/>
    <x v="34"/>
    <n v="1.017671345941E-2"/>
    <x v="0"/>
    <x v="0"/>
    <x v="0"/>
    <x v="0"/>
    <x v="0"/>
    <x v="0"/>
    <n v="1.21102890166979E-2"/>
  </r>
  <r>
    <x v="13"/>
    <x v="1"/>
    <x v="1"/>
    <x v="1"/>
    <x v="1"/>
    <x v="6"/>
    <x v="0"/>
    <x v="0"/>
    <x v="0"/>
    <x v="0"/>
    <x v="0"/>
    <x v="0"/>
    <x v="4"/>
    <x v="5"/>
    <x v="5"/>
    <x v="27"/>
    <x v="27"/>
    <n v="6.2456132724454898"/>
    <x v="0"/>
    <x v="0"/>
    <x v="1"/>
    <x v="3"/>
    <x v="3"/>
    <x v="19"/>
    <n v="7.4322797942101326"/>
  </r>
  <r>
    <x v="13"/>
    <x v="1"/>
    <x v="1"/>
    <x v="1"/>
    <x v="1"/>
    <x v="6"/>
    <x v="0"/>
    <x v="0"/>
    <x v="2"/>
    <x v="2"/>
    <x v="0"/>
    <x v="0"/>
    <x v="4"/>
    <x v="5"/>
    <x v="5"/>
    <x v="46"/>
    <x v="46"/>
    <n v="44.673650000000002"/>
    <x v="1"/>
    <x v="0"/>
    <x v="4"/>
    <x v="6"/>
    <x v="10"/>
    <x v="21"/>
    <n v="53.161643499999997"/>
  </r>
  <r>
    <x v="13"/>
    <x v="1"/>
    <x v="1"/>
    <x v="1"/>
    <x v="1"/>
    <x v="6"/>
    <x v="0"/>
    <x v="0"/>
    <x v="0"/>
    <x v="0"/>
    <x v="0"/>
    <x v="0"/>
    <x v="4"/>
    <x v="5"/>
    <x v="5"/>
    <x v="26"/>
    <x v="26"/>
    <n v="3.2722773109096401"/>
    <x v="0"/>
    <x v="0"/>
    <x v="1"/>
    <x v="3"/>
    <x v="3"/>
    <x v="15"/>
    <n v="3.8940099999824715"/>
  </r>
  <r>
    <x v="13"/>
    <x v="1"/>
    <x v="1"/>
    <x v="1"/>
    <x v="1"/>
    <x v="6"/>
    <x v="0"/>
    <x v="0"/>
    <x v="2"/>
    <x v="2"/>
    <x v="3"/>
    <x v="3"/>
    <x v="3"/>
    <x v="3"/>
    <x v="3"/>
    <x v="42"/>
    <x v="42"/>
    <n v="283.93997000000002"/>
    <x v="1"/>
    <x v="2"/>
    <x v="5"/>
    <x v="7"/>
    <x v="11"/>
    <x v="22"/>
    <n v="337.88856429999998"/>
  </r>
  <r>
    <x v="13"/>
    <x v="1"/>
    <x v="1"/>
    <x v="1"/>
    <x v="1"/>
    <x v="6"/>
    <x v="0"/>
    <x v="0"/>
    <x v="0"/>
    <x v="0"/>
    <x v="3"/>
    <x v="3"/>
    <x v="3"/>
    <x v="3"/>
    <x v="3"/>
    <x v="5"/>
    <x v="5"/>
    <n v="71.546961326575001"/>
    <x v="0"/>
    <x v="0"/>
    <x v="1"/>
    <x v="1"/>
    <x v="1"/>
    <x v="5"/>
    <n v="85.140883978624245"/>
  </r>
  <r>
    <x v="13"/>
    <x v="1"/>
    <x v="1"/>
    <x v="1"/>
    <x v="1"/>
    <x v="6"/>
    <x v="0"/>
    <x v="0"/>
    <x v="0"/>
    <x v="0"/>
    <x v="3"/>
    <x v="3"/>
    <x v="3"/>
    <x v="3"/>
    <x v="3"/>
    <x v="7"/>
    <x v="7"/>
    <n v="-2.08192771086336"/>
    <x v="0"/>
    <x v="0"/>
    <x v="1"/>
    <x v="4"/>
    <x v="5"/>
    <x v="7"/>
    <n v="-2.4774939759273984"/>
  </r>
  <r>
    <x v="13"/>
    <x v="1"/>
    <x v="1"/>
    <x v="1"/>
    <x v="1"/>
    <x v="6"/>
    <x v="0"/>
    <x v="0"/>
    <x v="2"/>
    <x v="2"/>
    <x v="3"/>
    <x v="3"/>
    <x v="3"/>
    <x v="3"/>
    <x v="3"/>
    <x v="41"/>
    <x v="41"/>
    <n v="20.988945054924098"/>
    <x v="1"/>
    <x v="2"/>
    <x v="5"/>
    <x v="7"/>
    <x v="11"/>
    <x v="22"/>
    <n v="24.976844615359674"/>
  </r>
  <r>
    <x v="13"/>
    <x v="1"/>
    <x v="1"/>
    <x v="1"/>
    <x v="1"/>
    <x v="6"/>
    <x v="0"/>
    <x v="0"/>
    <x v="2"/>
    <x v="2"/>
    <x v="3"/>
    <x v="3"/>
    <x v="3"/>
    <x v="3"/>
    <x v="3"/>
    <x v="40"/>
    <x v="40"/>
    <n v="110.82626999999999"/>
    <x v="1"/>
    <x v="2"/>
    <x v="5"/>
    <x v="7"/>
    <x v="11"/>
    <x v="22"/>
    <n v="131.88326129999999"/>
  </r>
  <r>
    <x v="13"/>
    <x v="1"/>
    <x v="1"/>
    <x v="1"/>
    <x v="1"/>
    <x v="6"/>
    <x v="0"/>
    <x v="0"/>
    <x v="2"/>
    <x v="2"/>
    <x v="3"/>
    <x v="3"/>
    <x v="3"/>
    <x v="3"/>
    <x v="3"/>
    <x v="38"/>
    <x v="38"/>
    <n v="109.42891"/>
    <x v="1"/>
    <x v="0"/>
    <x v="4"/>
    <x v="6"/>
    <x v="10"/>
    <x v="21"/>
    <n v="130.22040290000001"/>
  </r>
  <r>
    <x v="13"/>
    <x v="1"/>
    <x v="1"/>
    <x v="1"/>
    <x v="1"/>
    <x v="6"/>
    <x v="0"/>
    <x v="0"/>
    <x v="0"/>
    <x v="0"/>
    <x v="3"/>
    <x v="3"/>
    <x v="3"/>
    <x v="3"/>
    <x v="3"/>
    <x v="17"/>
    <x v="17"/>
    <n v="-2.0099999999999998"/>
    <x v="0"/>
    <x v="0"/>
    <x v="0"/>
    <x v="0"/>
    <x v="4"/>
    <x v="17"/>
    <n v="-2.3918999999999997"/>
  </r>
  <r>
    <x v="13"/>
    <x v="1"/>
    <x v="1"/>
    <x v="1"/>
    <x v="1"/>
    <x v="6"/>
    <x v="0"/>
    <x v="0"/>
    <x v="0"/>
    <x v="0"/>
    <x v="3"/>
    <x v="3"/>
    <x v="3"/>
    <x v="3"/>
    <x v="3"/>
    <x v="2"/>
    <x v="2"/>
    <n v="23.553134453675501"/>
    <x v="0"/>
    <x v="1"/>
    <x v="2"/>
    <x v="2"/>
    <x v="13"/>
    <x v="2"/>
    <n v="28.028229999873844"/>
  </r>
  <r>
    <x v="13"/>
    <x v="1"/>
    <x v="1"/>
    <x v="1"/>
    <x v="1"/>
    <x v="6"/>
    <x v="0"/>
    <x v="0"/>
    <x v="0"/>
    <x v="0"/>
    <x v="3"/>
    <x v="3"/>
    <x v="3"/>
    <x v="3"/>
    <x v="3"/>
    <x v="77"/>
    <x v="77"/>
    <n v="12.479840336078301"/>
    <x v="0"/>
    <x v="2"/>
    <x v="5"/>
    <x v="7"/>
    <x v="12"/>
    <x v="24"/>
    <n v="14.851009999933177"/>
  </r>
  <r>
    <x v="13"/>
    <x v="1"/>
    <x v="1"/>
    <x v="1"/>
    <x v="1"/>
    <x v="6"/>
    <x v="0"/>
    <x v="0"/>
    <x v="2"/>
    <x v="2"/>
    <x v="3"/>
    <x v="3"/>
    <x v="0"/>
    <x v="4"/>
    <x v="4"/>
    <x v="42"/>
    <x v="42"/>
    <n v="-484.31403"/>
    <x v="1"/>
    <x v="2"/>
    <x v="5"/>
    <x v="7"/>
    <x v="11"/>
    <x v="22"/>
    <n v="-576.33369570000002"/>
  </r>
  <r>
    <x v="13"/>
    <x v="1"/>
    <x v="1"/>
    <x v="1"/>
    <x v="1"/>
    <x v="6"/>
    <x v="0"/>
    <x v="0"/>
    <x v="0"/>
    <x v="0"/>
    <x v="3"/>
    <x v="3"/>
    <x v="0"/>
    <x v="4"/>
    <x v="4"/>
    <x v="5"/>
    <x v="5"/>
    <n v="2.4861878453249999"/>
    <x v="0"/>
    <x v="0"/>
    <x v="1"/>
    <x v="1"/>
    <x v="1"/>
    <x v="5"/>
    <n v="2.9585635359367499"/>
  </r>
  <r>
    <x v="13"/>
    <x v="1"/>
    <x v="1"/>
    <x v="1"/>
    <x v="1"/>
    <x v="6"/>
    <x v="0"/>
    <x v="0"/>
    <x v="2"/>
    <x v="2"/>
    <x v="3"/>
    <x v="3"/>
    <x v="0"/>
    <x v="4"/>
    <x v="4"/>
    <x v="40"/>
    <x v="40"/>
    <n v="8.6959999999999997"/>
    <x v="1"/>
    <x v="2"/>
    <x v="5"/>
    <x v="7"/>
    <x v="11"/>
    <x v="22"/>
    <n v="10.348239999999999"/>
  </r>
  <r>
    <x v="13"/>
    <x v="1"/>
    <x v="1"/>
    <x v="1"/>
    <x v="1"/>
    <x v="6"/>
    <x v="0"/>
    <x v="0"/>
    <x v="2"/>
    <x v="2"/>
    <x v="3"/>
    <x v="3"/>
    <x v="0"/>
    <x v="4"/>
    <x v="4"/>
    <x v="38"/>
    <x v="38"/>
    <n v="0.2"/>
    <x v="1"/>
    <x v="0"/>
    <x v="4"/>
    <x v="6"/>
    <x v="10"/>
    <x v="21"/>
    <n v="0.23799999999999999"/>
  </r>
  <r>
    <x v="13"/>
    <x v="1"/>
    <x v="1"/>
    <x v="1"/>
    <x v="1"/>
    <x v="6"/>
    <x v="0"/>
    <x v="0"/>
    <x v="0"/>
    <x v="0"/>
    <x v="3"/>
    <x v="3"/>
    <x v="0"/>
    <x v="4"/>
    <x v="4"/>
    <x v="1"/>
    <x v="1"/>
    <n v="5.8133266666957297"/>
    <x v="0"/>
    <x v="0"/>
    <x v="1"/>
    <x v="1"/>
    <x v="1"/>
    <x v="1"/>
    <n v="6.9178587333679182"/>
  </r>
  <r>
    <x v="13"/>
    <x v="1"/>
    <x v="1"/>
    <x v="1"/>
    <x v="1"/>
    <x v="6"/>
    <x v="0"/>
    <x v="0"/>
    <x v="2"/>
    <x v="2"/>
    <x v="3"/>
    <x v="3"/>
    <x v="2"/>
    <x v="2"/>
    <x v="2"/>
    <x v="42"/>
    <x v="42"/>
    <n v="-173.22945999999999"/>
    <x v="1"/>
    <x v="2"/>
    <x v="5"/>
    <x v="7"/>
    <x v="11"/>
    <x v="22"/>
    <n v="-206.14305739999998"/>
  </r>
  <r>
    <x v="13"/>
    <x v="1"/>
    <x v="1"/>
    <x v="1"/>
    <x v="1"/>
    <x v="6"/>
    <x v="0"/>
    <x v="0"/>
    <x v="0"/>
    <x v="0"/>
    <x v="3"/>
    <x v="3"/>
    <x v="2"/>
    <x v="2"/>
    <x v="2"/>
    <x v="5"/>
    <x v="5"/>
    <n v="21.748977900737401"/>
    <x v="0"/>
    <x v="0"/>
    <x v="1"/>
    <x v="1"/>
    <x v="1"/>
    <x v="5"/>
    <n v="25.881283701877507"/>
  </r>
  <r>
    <x v="13"/>
    <x v="1"/>
    <x v="1"/>
    <x v="1"/>
    <x v="1"/>
    <x v="6"/>
    <x v="0"/>
    <x v="0"/>
    <x v="2"/>
    <x v="2"/>
    <x v="3"/>
    <x v="3"/>
    <x v="2"/>
    <x v="2"/>
    <x v="2"/>
    <x v="41"/>
    <x v="41"/>
    <n v="0.71428571428499998"/>
    <x v="1"/>
    <x v="2"/>
    <x v="5"/>
    <x v="7"/>
    <x v="11"/>
    <x v="22"/>
    <n v="0.84999999999914999"/>
  </r>
  <r>
    <x v="13"/>
    <x v="1"/>
    <x v="1"/>
    <x v="1"/>
    <x v="1"/>
    <x v="6"/>
    <x v="0"/>
    <x v="0"/>
    <x v="0"/>
    <x v="0"/>
    <x v="3"/>
    <x v="3"/>
    <x v="2"/>
    <x v="2"/>
    <x v="2"/>
    <x v="9"/>
    <x v="9"/>
    <n v="2.8088007363696001"/>
    <x v="0"/>
    <x v="0"/>
    <x v="1"/>
    <x v="4"/>
    <x v="5"/>
    <x v="9"/>
    <n v="3.3424728762798241"/>
  </r>
  <r>
    <x v="13"/>
    <x v="1"/>
    <x v="1"/>
    <x v="1"/>
    <x v="1"/>
    <x v="6"/>
    <x v="0"/>
    <x v="0"/>
    <x v="2"/>
    <x v="2"/>
    <x v="3"/>
    <x v="3"/>
    <x v="2"/>
    <x v="2"/>
    <x v="2"/>
    <x v="40"/>
    <x v="40"/>
    <n v="29.846109999999999"/>
    <x v="1"/>
    <x v="2"/>
    <x v="5"/>
    <x v="7"/>
    <x v="11"/>
    <x v="22"/>
    <n v="35.516870900000001"/>
  </r>
  <r>
    <x v="13"/>
    <x v="1"/>
    <x v="1"/>
    <x v="1"/>
    <x v="1"/>
    <x v="6"/>
    <x v="0"/>
    <x v="0"/>
    <x v="0"/>
    <x v="0"/>
    <x v="3"/>
    <x v="3"/>
    <x v="2"/>
    <x v="2"/>
    <x v="2"/>
    <x v="31"/>
    <x v="31"/>
    <n v="8.4033613400000007E-6"/>
    <x v="0"/>
    <x v="0"/>
    <x v="1"/>
    <x v="4"/>
    <x v="5"/>
    <x v="10"/>
    <n v="9.9999999945999998E-6"/>
  </r>
  <r>
    <x v="13"/>
    <x v="1"/>
    <x v="1"/>
    <x v="1"/>
    <x v="1"/>
    <x v="6"/>
    <x v="0"/>
    <x v="0"/>
    <x v="2"/>
    <x v="2"/>
    <x v="3"/>
    <x v="3"/>
    <x v="2"/>
    <x v="2"/>
    <x v="2"/>
    <x v="38"/>
    <x v="38"/>
    <n v="6.16"/>
    <x v="1"/>
    <x v="0"/>
    <x v="4"/>
    <x v="6"/>
    <x v="10"/>
    <x v="21"/>
    <n v="7.3304"/>
  </r>
  <r>
    <x v="13"/>
    <x v="1"/>
    <x v="1"/>
    <x v="1"/>
    <x v="1"/>
    <x v="6"/>
    <x v="0"/>
    <x v="0"/>
    <x v="0"/>
    <x v="0"/>
    <x v="3"/>
    <x v="3"/>
    <x v="2"/>
    <x v="2"/>
    <x v="2"/>
    <x v="32"/>
    <x v="32"/>
    <n v="10.261255411719199"/>
    <x v="0"/>
    <x v="0"/>
    <x v="1"/>
    <x v="1"/>
    <x v="1"/>
    <x v="20"/>
    <n v="12.210893939945846"/>
  </r>
  <r>
    <x v="13"/>
    <x v="1"/>
    <x v="1"/>
    <x v="1"/>
    <x v="1"/>
    <x v="6"/>
    <x v="0"/>
    <x v="0"/>
    <x v="0"/>
    <x v="0"/>
    <x v="3"/>
    <x v="3"/>
    <x v="2"/>
    <x v="2"/>
    <x v="2"/>
    <x v="14"/>
    <x v="14"/>
    <n v="3.5"/>
    <x v="0"/>
    <x v="0"/>
    <x v="0"/>
    <x v="0"/>
    <x v="8"/>
    <x v="14"/>
    <n v="4.165"/>
  </r>
  <r>
    <x v="13"/>
    <x v="1"/>
    <x v="1"/>
    <x v="1"/>
    <x v="1"/>
    <x v="6"/>
    <x v="0"/>
    <x v="0"/>
    <x v="0"/>
    <x v="0"/>
    <x v="3"/>
    <x v="3"/>
    <x v="2"/>
    <x v="2"/>
    <x v="2"/>
    <x v="17"/>
    <x v="17"/>
    <n v="2.4500000000000002"/>
    <x v="0"/>
    <x v="0"/>
    <x v="0"/>
    <x v="0"/>
    <x v="4"/>
    <x v="17"/>
    <n v="2.9155000000000002"/>
  </r>
  <r>
    <x v="13"/>
    <x v="1"/>
    <x v="1"/>
    <x v="1"/>
    <x v="1"/>
    <x v="6"/>
    <x v="0"/>
    <x v="0"/>
    <x v="0"/>
    <x v="0"/>
    <x v="3"/>
    <x v="3"/>
    <x v="2"/>
    <x v="2"/>
    <x v="2"/>
    <x v="79"/>
    <x v="79"/>
    <n v="0.9400252100798"/>
    <x v="0"/>
    <x v="0"/>
    <x v="1"/>
    <x v="4"/>
    <x v="5"/>
    <x v="10"/>
    <n v="1.118629999994962"/>
  </r>
  <r>
    <x v="13"/>
    <x v="1"/>
    <x v="1"/>
    <x v="1"/>
    <x v="1"/>
    <x v="6"/>
    <x v="0"/>
    <x v="0"/>
    <x v="0"/>
    <x v="0"/>
    <x v="3"/>
    <x v="3"/>
    <x v="2"/>
    <x v="2"/>
    <x v="2"/>
    <x v="27"/>
    <x v="27"/>
    <n v="0.27459954234"/>
    <x v="0"/>
    <x v="0"/>
    <x v="1"/>
    <x v="3"/>
    <x v="3"/>
    <x v="19"/>
    <n v="0.32677345538460001"/>
  </r>
  <r>
    <x v="13"/>
    <x v="1"/>
    <x v="1"/>
    <x v="1"/>
    <x v="1"/>
    <x v="6"/>
    <x v="0"/>
    <x v="0"/>
    <x v="0"/>
    <x v="0"/>
    <x v="3"/>
    <x v="3"/>
    <x v="2"/>
    <x v="2"/>
    <x v="2"/>
    <x v="78"/>
    <x v="78"/>
    <n v="5.0420168067000004"/>
    <x v="0"/>
    <x v="0"/>
    <x v="1"/>
    <x v="4"/>
    <x v="5"/>
    <x v="9"/>
    <n v="5.9999999999730003"/>
  </r>
  <r>
    <x v="13"/>
    <x v="1"/>
    <x v="1"/>
    <x v="1"/>
    <x v="1"/>
    <x v="6"/>
    <x v="0"/>
    <x v="0"/>
    <x v="0"/>
    <x v="0"/>
    <x v="3"/>
    <x v="3"/>
    <x v="2"/>
    <x v="2"/>
    <x v="2"/>
    <x v="0"/>
    <x v="0"/>
    <n v="90.682889778911303"/>
    <x v="0"/>
    <x v="0"/>
    <x v="0"/>
    <x v="0"/>
    <x v="0"/>
    <x v="0"/>
    <n v="107.91263883690445"/>
  </r>
  <r>
    <x v="13"/>
    <x v="1"/>
    <x v="1"/>
    <x v="1"/>
    <x v="1"/>
    <x v="6"/>
    <x v="0"/>
    <x v="0"/>
    <x v="0"/>
    <x v="0"/>
    <x v="3"/>
    <x v="3"/>
    <x v="2"/>
    <x v="2"/>
    <x v="2"/>
    <x v="2"/>
    <x v="2"/>
    <n v="13.0400840335548"/>
    <x v="0"/>
    <x v="1"/>
    <x v="2"/>
    <x v="2"/>
    <x v="13"/>
    <x v="2"/>
    <n v="15.517699999930212"/>
  </r>
  <r>
    <x v="13"/>
    <x v="1"/>
    <x v="1"/>
    <x v="1"/>
    <x v="1"/>
    <x v="6"/>
    <x v="0"/>
    <x v="0"/>
    <x v="2"/>
    <x v="2"/>
    <x v="3"/>
    <x v="3"/>
    <x v="1"/>
    <x v="6"/>
    <x v="6"/>
    <x v="42"/>
    <x v="42"/>
    <n v="9.1291100000000007"/>
    <x v="1"/>
    <x v="2"/>
    <x v="5"/>
    <x v="7"/>
    <x v="11"/>
    <x v="22"/>
    <n v="10.8636409"/>
  </r>
  <r>
    <x v="13"/>
    <x v="1"/>
    <x v="1"/>
    <x v="1"/>
    <x v="1"/>
    <x v="6"/>
    <x v="0"/>
    <x v="0"/>
    <x v="0"/>
    <x v="0"/>
    <x v="3"/>
    <x v="3"/>
    <x v="1"/>
    <x v="6"/>
    <x v="6"/>
    <x v="8"/>
    <x v="8"/>
    <n v="4.028571428556E-2"/>
    <x v="0"/>
    <x v="1"/>
    <x v="2"/>
    <x v="2"/>
    <x v="6"/>
    <x v="8"/>
    <n v="4.79399999998164E-2"/>
  </r>
  <r>
    <x v="13"/>
    <x v="1"/>
    <x v="1"/>
    <x v="1"/>
    <x v="1"/>
    <x v="6"/>
    <x v="0"/>
    <x v="0"/>
    <x v="2"/>
    <x v="2"/>
    <x v="3"/>
    <x v="3"/>
    <x v="1"/>
    <x v="6"/>
    <x v="6"/>
    <x v="40"/>
    <x v="40"/>
    <n v="22.66497"/>
    <x v="1"/>
    <x v="2"/>
    <x v="5"/>
    <x v="7"/>
    <x v="11"/>
    <x v="22"/>
    <n v="26.9713143"/>
  </r>
  <r>
    <x v="13"/>
    <x v="1"/>
    <x v="1"/>
    <x v="1"/>
    <x v="1"/>
    <x v="6"/>
    <x v="0"/>
    <x v="0"/>
    <x v="2"/>
    <x v="2"/>
    <x v="3"/>
    <x v="3"/>
    <x v="1"/>
    <x v="6"/>
    <x v="6"/>
    <x v="38"/>
    <x v="38"/>
    <n v="41.636429999999997"/>
    <x v="1"/>
    <x v="0"/>
    <x v="4"/>
    <x v="6"/>
    <x v="10"/>
    <x v="21"/>
    <n v="49.547351699999993"/>
  </r>
  <r>
    <x v="13"/>
    <x v="1"/>
    <x v="1"/>
    <x v="1"/>
    <x v="1"/>
    <x v="6"/>
    <x v="0"/>
    <x v="0"/>
    <x v="0"/>
    <x v="0"/>
    <x v="3"/>
    <x v="3"/>
    <x v="1"/>
    <x v="6"/>
    <x v="6"/>
    <x v="57"/>
    <x v="57"/>
    <n v="12.1546961327"/>
    <x v="0"/>
    <x v="0"/>
    <x v="1"/>
    <x v="1"/>
    <x v="1"/>
    <x v="5"/>
    <n v="14.464088397912999"/>
  </r>
  <r>
    <x v="13"/>
    <x v="1"/>
    <x v="1"/>
    <x v="1"/>
    <x v="1"/>
    <x v="6"/>
    <x v="0"/>
    <x v="0"/>
    <x v="2"/>
    <x v="2"/>
    <x v="3"/>
    <x v="3"/>
    <x v="1"/>
    <x v="6"/>
    <x v="6"/>
    <x v="46"/>
    <x v="46"/>
    <n v="1.33"/>
    <x v="1"/>
    <x v="0"/>
    <x v="4"/>
    <x v="6"/>
    <x v="10"/>
    <x v="21"/>
    <n v="1.5827"/>
  </r>
  <r>
    <x v="13"/>
    <x v="1"/>
    <x v="1"/>
    <x v="1"/>
    <x v="1"/>
    <x v="6"/>
    <x v="0"/>
    <x v="0"/>
    <x v="0"/>
    <x v="0"/>
    <x v="3"/>
    <x v="3"/>
    <x v="1"/>
    <x v="6"/>
    <x v="6"/>
    <x v="19"/>
    <x v="19"/>
    <n v="4.1314299999999999"/>
    <x v="0"/>
    <x v="0"/>
    <x v="1"/>
    <x v="3"/>
    <x v="3"/>
    <x v="13"/>
    <n v="4.9164016999999998"/>
  </r>
  <r>
    <x v="13"/>
    <x v="1"/>
    <x v="1"/>
    <x v="1"/>
    <x v="1"/>
    <x v="6"/>
    <x v="0"/>
    <x v="0"/>
    <x v="0"/>
    <x v="0"/>
    <x v="3"/>
    <x v="3"/>
    <x v="1"/>
    <x v="6"/>
    <x v="6"/>
    <x v="2"/>
    <x v="2"/>
    <n v="9.3512605041595993"/>
    <x v="0"/>
    <x v="1"/>
    <x v="2"/>
    <x v="2"/>
    <x v="13"/>
    <x v="2"/>
    <n v="11.127999999949923"/>
  </r>
  <r>
    <x v="13"/>
    <x v="1"/>
    <x v="1"/>
    <x v="1"/>
    <x v="1"/>
    <x v="6"/>
    <x v="0"/>
    <x v="0"/>
    <x v="2"/>
    <x v="2"/>
    <x v="18"/>
    <x v="18"/>
    <x v="0"/>
    <x v="4"/>
    <x v="4"/>
    <x v="38"/>
    <x v="38"/>
    <n v="17"/>
    <x v="1"/>
    <x v="0"/>
    <x v="4"/>
    <x v="6"/>
    <x v="10"/>
    <x v="21"/>
    <n v="20.23"/>
  </r>
  <r>
    <x v="13"/>
    <x v="1"/>
    <x v="1"/>
    <x v="1"/>
    <x v="1"/>
    <x v="6"/>
    <x v="0"/>
    <x v="0"/>
    <x v="0"/>
    <x v="0"/>
    <x v="18"/>
    <x v="18"/>
    <x v="0"/>
    <x v="4"/>
    <x v="4"/>
    <x v="26"/>
    <x v="26"/>
    <n v="0.89008403360944"/>
    <x v="0"/>
    <x v="0"/>
    <x v="1"/>
    <x v="3"/>
    <x v="3"/>
    <x v="15"/>
    <n v="1.0591999999952335"/>
  </r>
  <r>
    <x v="13"/>
    <x v="1"/>
    <x v="1"/>
    <x v="1"/>
    <x v="1"/>
    <x v="6"/>
    <x v="0"/>
    <x v="0"/>
    <x v="2"/>
    <x v="2"/>
    <x v="18"/>
    <x v="18"/>
    <x v="1"/>
    <x v="6"/>
    <x v="6"/>
    <x v="38"/>
    <x v="38"/>
    <n v="92.714619999999996"/>
    <x v="1"/>
    <x v="0"/>
    <x v="4"/>
    <x v="6"/>
    <x v="10"/>
    <x v="21"/>
    <n v="110.33039779999999"/>
  </r>
  <r>
    <x v="13"/>
    <x v="1"/>
    <x v="1"/>
    <x v="1"/>
    <x v="1"/>
    <x v="6"/>
    <x v="0"/>
    <x v="0"/>
    <x v="0"/>
    <x v="0"/>
    <x v="26"/>
    <x v="26"/>
    <x v="2"/>
    <x v="2"/>
    <x v="2"/>
    <x v="1"/>
    <x v="1"/>
    <n v="5.0784266666920601"/>
    <x v="0"/>
    <x v="0"/>
    <x v="1"/>
    <x v="1"/>
    <x v="1"/>
    <x v="1"/>
    <n v="6.0433277333635509"/>
  </r>
  <r>
    <x v="13"/>
    <x v="1"/>
    <x v="1"/>
    <x v="1"/>
    <x v="1"/>
    <x v="6"/>
    <x v="0"/>
    <x v="0"/>
    <x v="2"/>
    <x v="2"/>
    <x v="26"/>
    <x v="26"/>
    <x v="1"/>
    <x v="6"/>
    <x v="6"/>
    <x v="41"/>
    <x v="41"/>
    <n v="1.45881318681173"/>
    <x v="1"/>
    <x v="2"/>
    <x v="5"/>
    <x v="7"/>
    <x v="11"/>
    <x v="22"/>
    <n v="1.7359876923059587"/>
  </r>
  <r>
    <x v="13"/>
    <x v="1"/>
    <x v="1"/>
    <x v="1"/>
    <x v="1"/>
    <x v="6"/>
    <x v="0"/>
    <x v="0"/>
    <x v="0"/>
    <x v="0"/>
    <x v="4"/>
    <x v="4"/>
    <x v="3"/>
    <x v="3"/>
    <x v="3"/>
    <x v="2"/>
    <x v="2"/>
    <n v="0.20694117646966001"/>
    <x v="0"/>
    <x v="1"/>
    <x v="2"/>
    <x v="2"/>
    <x v="13"/>
    <x v="2"/>
    <n v="0.24625999999889539"/>
  </r>
  <r>
    <x v="13"/>
    <x v="1"/>
    <x v="1"/>
    <x v="1"/>
    <x v="1"/>
    <x v="6"/>
    <x v="0"/>
    <x v="0"/>
    <x v="0"/>
    <x v="0"/>
    <x v="4"/>
    <x v="4"/>
    <x v="2"/>
    <x v="2"/>
    <x v="2"/>
    <x v="5"/>
    <x v="5"/>
    <n v="1.122651933711E-2"/>
    <x v="0"/>
    <x v="0"/>
    <x v="1"/>
    <x v="1"/>
    <x v="1"/>
    <x v="5"/>
    <n v="1.3359558011160899E-2"/>
  </r>
  <r>
    <x v="13"/>
    <x v="1"/>
    <x v="1"/>
    <x v="1"/>
    <x v="1"/>
    <x v="6"/>
    <x v="0"/>
    <x v="0"/>
    <x v="0"/>
    <x v="0"/>
    <x v="4"/>
    <x v="4"/>
    <x v="2"/>
    <x v="2"/>
    <x v="2"/>
    <x v="7"/>
    <x v="7"/>
    <n v="0.285714285713"/>
    <x v="0"/>
    <x v="0"/>
    <x v="1"/>
    <x v="4"/>
    <x v="5"/>
    <x v="7"/>
    <n v="0.33999999999846997"/>
  </r>
  <r>
    <x v="13"/>
    <x v="1"/>
    <x v="1"/>
    <x v="1"/>
    <x v="1"/>
    <x v="6"/>
    <x v="0"/>
    <x v="0"/>
    <x v="0"/>
    <x v="0"/>
    <x v="4"/>
    <x v="4"/>
    <x v="2"/>
    <x v="2"/>
    <x v="2"/>
    <x v="8"/>
    <x v="8"/>
    <n v="1.0496521739090501"/>
    <x v="0"/>
    <x v="1"/>
    <x v="2"/>
    <x v="2"/>
    <x v="6"/>
    <x v="8"/>
    <n v="1.2490860869517695"/>
  </r>
  <r>
    <x v="13"/>
    <x v="1"/>
    <x v="1"/>
    <x v="1"/>
    <x v="1"/>
    <x v="6"/>
    <x v="0"/>
    <x v="0"/>
    <x v="2"/>
    <x v="2"/>
    <x v="4"/>
    <x v="4"/>
    <x v="2"/>
    <x v="2"/>
    <x v="2"/>
    <x v="41"/>
    <x v="41"/>
    <n v="0.63736263736200005"/>
    <x v="1"/>
    <x v="2"/>
    <x v="5"/>
    <x v="7"/>
    <x v="11"/>
    <x v="22"/>
    <n v="0.75846153846078002"/>
  </r>
  <r>
    <x v="13"/>
    <x v="1"/>
    <x v="1"/>
    <x v="1"/>
    <x v="1"/>
    <x v="6"/>
    <x v="0"/>
    <x v="0"/>
    <x v="2"/>
    <x v="2"/>
    <x v="4"/>
    <x v="4"/>
    <x v="2"/>
    <x v="2"/>
    <x v="2"/>
    <x v="40"/>
    <x v="40"/>
    <n v="-0.51"/>
    <x v="1"/>
    <x v="2"/>
    <x v="5"/>
    <x v="7"/>
    <x v="11"/>
    <x v="22"/>
    <n v="-0.6069"/>
  </r>
  <r>
    <x v="13"/>
    <x v="1"/>
    <x v="1"/>
    <x v="1"/>
    <x v="1"/>
    <x v="6"/>
    <x v="0"/>
    <x v="0"/>
    <x v="0"/>
    <x v="0"/>
    <x v="4"/>
    <x v="4"/>
    <x v="2"/>
    <x v="2"/>
    <x v="2"/>
    <x v="21"/>
    <x v="21"/>
    <n v="0.89526050419765002"/>
    <x v="0"/>
    <x v="0"/>
    <x v="1"/>
    <x v="4"/>
    <x v="5"/>
    <x v="10"/>
    <n v="1.0653599999952035"/>
  </r>
  <r>
    <x v="13"/>
    <x v="1"/>
    <x v="1"/>
    <x v="1"/>
    <x v="1"/>
    <x v="6"/>
    <x v="0"/>
    <x v="0"/>
    <x v="0"/>
    <x v="0"/>
    <x v="4"/>
    <x v="4"/>
    <x v="2"/>
    <x v="2"/>
    <x v="2"/>
    <x v="79"/>
    <x v="79"/>
    <n v="0.26890756302399998"/>
    <x v="0"/>
    <x v="0"/>
    <x v="1"/>
    <x v="4"/>
    <x v="5"/>
    <x v="10"/>
    <n v="0.31999999999855999"/>
  </r>
  <r>
    <x v="13"/>
    <x v="1"/>
    <x v="1"/>
    <x v="1"/>
    <x v="1"/>
    <x v="6"/>
    <x v="0"/>
    <x v="0"/>
    <x v="0"/>
    <x v="0"/>
    <x v="4"/>
    <x v="4"/>
    <x v="2"/>
    <x v="2"/>
    <x v="2"/>
    <x v="78"/>
    <x v="78"/>
    <n v="1.82082352940357"/>
    <x v="0"/>
    <x v="0"/>
    <x v="1"/>
    <x v="4"/>
    <x v="5"/>
    <x v="9"/>
    <n v="2.166779999990248"/>
  </r>
  <r>
    <x v="13"/>
    <x v="1"/>
    <x v="1"/>
    <x v="1"/>
    <x v="1"/>
    <x v="6"/>
    <x v="0"/>
    <x v="0"/>
    <x v="0"/>
    <x v="0"/>
    <x v="4"/>
    <x v="4"/>
    <x v="2"/>
    <x v="2"/>
    <x v="2"/>
    <x v="26"/>
    <x v="26"/>
    <n v="0.48326050419951"/>
    <x v="0"/>
    <x v="0"/>
    <x v="1"/>
    <x v="3"/>
    <x v="3"/>
    <x v="15"/>
    <n v="0.57507999999741688"/>
  </r>
  <r>
    <x v="13"/>
    <x v="1"/>
    <x v="1"/>
    <x v="1"/>
    <x v="1"/>
    <x v="6"/>
    <x v="0"/>
    <x v="0"/>
    <x v="2"/>
    <x v="2"/>
    <x v="4"/>
    <x v="4"/>
    <x v="1"/>
    <x v="6"/>
    <x v="6"/>
    <x v="40"/>
    <x v="40"/>
    <n v="6"/>
    <x v="1"/>
    <x v="2"/>
    <x v="5"/>
    <x v="7"/>
    <x v="11"/>
    <x v="22"/>
    <n v="7.14"/>
  </r>
  <r>
    <x v="13"/>
    <x v="1"/>
    <x v="1"/>
    <x v="1"/>
    <x v="1"/>
    <x v="6"/>
    <x v="0"/>
    <x v="0"/>
    <x v="0"/>
    <x v="0"/>
    <x v="4"/>
    <x v="4"/>
    <x v="4"/>
    <x v="5"/>
    <x v="5"/>
    <x v="20"/>
    <x v="20"/>
    <n v="19.864039999999999"/>
    <x v="0"/>
    <x v="0"/>
    <x v="1"/>
    <x v="3"/>
    <x v="3"/>
    <x v="13"/>
    <n v="23.638207599999998"/>
  </r>
  <r>
    <x v="13"/>
    <x v="1"/>
    <x v="1"/>
    <x v="1"/>
    <x v="1"/>
    <x v="6"/>
    <x v="0"/>
    <x v="0"/>
    <x v="2"/>
    <x v="2"/>
    <x v="5"/>
    <x v="5"/>
    <x v="3"/>
    <x v="3"/>
    <x v="3"/>
    <x v="41"/>
    <x v="41"/>
    <n v="3.73541758241385"/>
    <x v="1"/>
    <x v="2"/>
    <x v="5"/>
    <x v="7"/>
    <x v="11"/>
    <x v="22"/>
    <n v="4.4451469230724809"/>
  </r>
  <r>
    <x v="13"/>
    <x v="1"/>
    <x v="1"/>
    <x v="1"/>
    <x v="1"/>
    <x v="6"/>
    <x v="0"/>
    <x v="0"/>
    <x v="2"/>
    <x v="2"/>
    <x v="5"/>
    <x v="5"/>
    <x v="3"/>
    <x v="3"/>
    <x v="3"/>
    <x v="40"/>
    <x v="40"/>
    <n v="38.288499999999999"/>
    <x v="1"/>
    <x v="2"/>
    <x v="5"/>
    <x v="7"/>
    <x v="11"/>
    <x v="22"/>
    <n v="45.563314999999996"/>
  </r>
  <r>
    <x v="13"/>
    <x v="1"/>
    <x v="1"/>
    <x v="1"/>
    <x v="1"/>
    <x v="6"/>
    <x v="0"/>
    <x v="0"/>
    <x v="2"/>
    <x v="2"/>
    <x v="5"/>
    <x v="5"/>
    <x v="2"/>
    <x v="2"/>
    <x v="2"/>
    <x v="42"/>
    <x v="42"/>
    <n v="3.93"/>
    <x v="1"/>
    <x v="2"/>
    <x v="5"/>
    <x v="7"/>
    <x v="11"/>
    <x v="22"/>
    <n v="4.6767000000000003"/>
  </r>
  <r>
    <x v="13"/>
    <x v="1"/>
    <x v="1"/>
    <x v="1"/>
    <x v="1"/>
    <x v="6"/>
    <x v="0"/>
    <x v="0"/>
    <x v="0"/>
    <x v="0"/>
    <x v="5"/>
    <x v="5"/>
    <x v="2"/>
    <x v="2"/>
    <x v="2"/>
    <x v="7"/>
    <x v="7"/>
    <n v="7.4695346386259196"/>
    <x v="0"/>
    <x v="0"/>
    <x v="1"/>
    <x v="4"/>
    <x v="5"/>
    <x v="7"/>
    <n v="8.8887462199648439"/>
  </r>
  <r>
    <x v="13"/>
    <x v="1"/>
    <x v="1"/>
    <x v="1"/>
    <x v="1"/>
    <x v="6"/>
    <x v="0"/>
    <x v="0"/>
    <x v="2"/>
    <x v="2"/>
    <x v="5"/>
    <x v="5"/>
    <x v="2"/>
    <x v="2"/>
    <x v="2"/>
    <x v="41"/>
    <x v="41"/>
    <n v="103.749010988907"/>
    <x v="1"/>
    <x v="2"/>
    <x v="5"/>
    <x v="7"/>
    <x v="11"/>
    <x v="22"/>
    <n v="123.46132307679933"/>
  </r>
  <r>
    <x v="13"/>
    <x v="1"/>
    <x v="1"/>
    <x v="1"/>
    <x v="1"/>
    <x v="6"/>
    <x v="0"/>
    <x v="0"/>
    <x v="2"/>
    <x v="2"/>
    <x v="5"/>
    <x v="5"/>
    <x v="2"/>
    <x v="2"/>
    <x v="2"/>
    <x v="40"/>
    <x v="40"/>
    <n v="10133.64013"/>
    <x v="1"/>
    <x v="2"/>
    <x v="5"/>
    <x v="7"/>
    <x v="11"/>
    <x v="22"/>
    <n v="12059.0317547"/>
  </r>
  <r>
    <x v="13"/>
    <x v="1"/>
    <x v="1"/>
    <x v="1"/>
    <x v="1"/>
    <x v="6"/>
    <x v="0"/>
    <x v="0"/>
    <x v="2"/>
    <x v="2"/>
    <x v="5"/>
    <x v="5"/>
    <x v="2"/>
    <x v="2"/>
    <x v="2"/>
    <x v="38"/>
    <x v="38"/>
    <n v="174.07477"/>
    <x v="1"/>
    <x v="0"/>
    <x v="4"/>
    <x v="6"/>
    <x v="10"/>
    <x v="21"/>
    <n v="207.14897629999999"/>
  </r>
  <r>
    <x v="13"/>
    <x v="1"/>
    <x v="1"/>
    <x v="1"/>
    <x v="1"/>
    <x v="6"/>
    <x v="0"/>
    <x v="0"/>
    <x v="0"/>
    <x v="0"/>
    <x v="5"/>
    <x v="5"/>
    <x v="2"/>
    <x v="2"/>
    <x v="2"/>
    <x v="17"/>
    <x v="17"/>
    <n v="1.677"/>
    <x v="0"/>
    <x v="0"/>
    <x v="0"/>
    <x v="0"/>
    <x v="4"/>
    <x v="17"/>
    <n v="1.99563"/>
  </r>
  <r>
    <x v="13"/>
    <x v="1"/>
    <x v="1"/>
    <x v="1"/>
    <x v="1"/>
    <x v="6"/>
    <x v="0"/>
    <x v="0"/>
    <x v="2"/>
    <x v="2"/>
    <x v="5"/>
    <x v="5"/>
    <x v="2"/>
    <x v="2"/>
    <x v="2"/>
    <x v="48"/>
    <x v="48"/>
    <n v="11.704000000000001"/>
    <x v="1"/>
    <x v="0"/>
    <x v="4"/>
    <x v="6"/>
    <x v="10"/>
    <x v="21"/>
    <n v="13.927759999999999"/>
  </r>
  <r>
    <x v="13"/>
    <x v="1"/>
    <x v="1"/>
    <x v="1"/>
    <x v="1"/>
    <x v="6"/>
    <x v="0"/>
    <x v="0"/>
    <x v="2"/>
    <x v="2"/>
    <x v="5"/>
    <x v="5"/>
    <x v="1"/>
    <x v="6"/>
    <x v="6"/>
    <x v="42"/>
    <x v="42"/>
    <n v="132.83959999999999"/>
    <x v="1"/>
    <x v="2"/>
    <x v="5"/>
    <x v="7"/>
    <x v="11"/>
    <x v="22"/>
    <n v="158.07912399999998"/>
  </r>
  <r>
    <x v="13"/>
    <x v="1"/>
    <x v="1"/>
    <x v="1"/>
    <x v="1"/>
    <x v="6"/>
    <x v="0"/>
    <x v="0"/>
    <x v="0"/>
    <x v="0"/>
    <x v="5"/>
    <x v="5"/>
    <x v="1"/>
    <x v="6"/>
    <x v="6"/>
    <x v="7"/>
    <x v="7"/>
    <n v="1.5338855421833999"/>
    <x v="0"/>
    <x v="0"/>
    <x v="1"/>
    <x v="4"/>
    <x v="5"/>
    <x v="7"/>
    <n v="1.8253237951982457"/>
  </r>
  <r>
    <x v="13"/>
    <x v="1"/>
    <x v="1"/>
    <x v="1"/>
    <x v="1"/>
    <x v="6"/>
    <x v="0"/>
    <x v="0"/>
    <x v="2"/>
    <x v="2"/>
    <x v="5"/>
    <x v="5"/>
    <x v="1"/>
    <x v="6"/>
    <x v="6"/>
    <x v="41"/>
    <x v="41"/>
    <n v="109.055637362528"/>
    <x v="1"/>
    <x v="2"/>
    <x v="5"/>
    <x v="7"/>
    <x v="11"/>
    <x v="22"/>
    <n v="129.77620846140832"/>
  </r>
  <r>
    <x v="13"/>
    <x v="1"/>
    <x v="1"/>
    <x v="1"/>
    <x v="1"/>
    <x v="6"/>
    <x v="0"/>
    <x v="0"/>
    <x v="2"/>
    <x v="2"/>
    <x v="5"/>
    <x v="5"/>
    <x v="1"/>
    <x v="6"/>
    <x v="6"/>
    <x v="40"/>
    <x v="40"/>
    <n v="3219.1868599999998"/>
    <x v="1"/>
    <x v="2"/>
    <x v="5"/>
    <x v="7"/>
    <x v="11"/>
    <x v="22"/>
    <n v="3830.8323633999994"/>
  </r>
  <r>
    <x v="13"/>
    <x v="1"/>
    <x v="1"/>
    <x v="1"/>
    <x v="1"/>
    <x v="6"/>
    <x v="0"/>
    <x v="0"/>
    <x v="2"/>
    <x v="2"/>
    <x v="5"/>
    <x v="5"/>
    <x v="1"/>
    <x v="6"/>
    <x v="6"/>
    <x v="38"/>
    <x v="38"/>
    <n v="258.53140000000002"/>
    <x v="1"/>
    <x v="0"/>
    <x v="4"/>
    <x v="6"/>
    <x v="10"/>
    <x v="21"/>
    <n v="307.65236600000003"/>
  </r>
  <r>
    <x v="13"/>
    <x v="1"/>
    <x v="1"/>
    <x v="1"/>
    <x v="1"/>
    <x v="6"/>
    <x v="0"/>
    <x v="0"/>
    <x v="2"/>
    <x v="2"/>
    <x v="5"/>
    <x v="5"/>
    <x v="1"/>
    <x v="6"/>
    <x v="6"/>
    <x v="48"/>
    <x v="48"/>
    <n v="9.8000000000000007"/>
    <x v="1"/>
    <x v="0"/>
    <x v="4"/>
    <x v="6"/>
    <x v="10"/>
    <x v="21"/>
    <n v="11.662000000000001"/>
  </r>
  <r>
    <x v="13"/>
    <x v="1"/>
    <x v="1"/>
    <x v="1"/>
    <x v="1"/>
    <x v="6"/>
    <x v="0"/>
    <x v="0"/>
    <x v="2"/>
    <x v="2"/>
    <x v="5"/>
    <x v="5"/>
    <x v="3"/>
    <x v="7"/>
    <x v="7"/>
    <x v="40"/>
    <x v="40"/>
    <n v="630.17291"/>
    <x v="1"/>
    <x v="2"/>
    <x v="5"/>
    <x v="7"/>
    <x v="11"/>
    <x v="22"/>
    <n v="749.90576290000001"/>
  </r>
  <r>
    <x v="13"/>
    <x v="1"/>
    <x v="1"/>
    <x v="1"/>
    <x v="1"/>
    <x v="6"/>
    <x v="0"/>
    <x v="0"/>
    <x v="0"/>
    <x v="0"/>
    <x v="5"/>
    <x v="5"/>
    <x v="1"/>
    <x v="8"/>
    <x v="8"/>
    <x v="7"/>
    <x v="7"/>
    <n v="8.6028765061066803"/>
    <x v="0"/>
    <x v="0"/>
    <x v="1"/>
    <x v="4"/>
    <x v="5"/>
    <x v="7"/>
    <n v="10.237423042266949"/>
  </r>
  <r>
    <x v="13"/>
    <x v="1"/>
    <x v="1"/>
    <x v="1"/>
    <x v="1"/>
    <x v="6"/>
    <x v="0"/>
    <x v="0"/>
    <x v="2"/>
    <x v="2"/>
    <x v="5"/>
    <x v="5"/>
    <x v="1"/>
    <x v="8"/>
    <x v="8"/>
    <x v="40"/>
    <x v="40"/>
    <n v="179.76364000000001"/>
    <x v="1"/>
    <x v="2"/>
    <x v="5"/>
    <x v="7"/>
    <x v="11"/>
    <x v="22"/>
    <n v="213.9187316"/>
  </r>
  <r>
    <x v="13"/>
    <x v="1"/>
    <x v="1"/>
    <x v="1"/>
    <x v="1"/>
    <x v="6"/>
    <x v="0"/>
    <x v="0"/>
    <x v="0"/>
    <x v="0"/>
    <x v="5"/>
    <x v="5"/>
    <x v="2"/>
    <x v="10"/>
    <x v="10"/>
    <x v="7"/>
    <x v="7"/>
    <n v="3.7359608434093601"/>
    <x v="0"/>
    <x v="0"/>
    <x v="1"/>
    <x v="4"/>
    <x v="5"/>
    <x v="7"/>
    <n v="4.445793403657138"/>
  </r>
  <r>
    <x v="13"/>
    <x v="1"/>
    <x v="1"/>
    <x v="1"/>
    <x v="1"/>
    <x v="6"/>
    <x v="0"/>
    <x v="0"/>
    <x v="2"/>
    <x v="2"/>
    <x v="5"/>
    <x v="5"/>
    <x v="2"/>
    <x v="10"/>
    <x v="10"/>
    <x v="40"/>
    <x v="40"/>
    <n v="73.172430000000006"/>
    <x v="1"/>
    <x v="2"/>
    <x v="5"/>
    <x v="7"/>
    <x v="11"/>
    <x v="22"/>
    <n v="87.075191700000005"/>
  </r>
  <r>
    <x v="13"/>
    <x v="1"/>
    <x v="1"/>
    <x v="1"/>
    <x v="1"/>
    <x v="6"/>
    <x v="0"/>
    <x v="0"/>
    <x v="0"/>
    <x v="0"/>
    <x v="5"/>
    <x v="5"/>
    <x v="4"/>
    <x v="5"/>
    <x v="5"/>
    <x v="7"/>
    <x v="7"/>
    <n v="6.4220798193387596"/>
    <x v="0"/>
    <x v="0"/>
    <x v="1"/>
    <x v="4"/>
    <x v="5"/>
    <x v="7"/>
    <n v="7.642274985013124"/>
  </r>
  <r>
    <x v="13"/>
    <x v="1"/>
    <x v="1"/>
    <x v="1"/>
    <x v="1"/>
    <x v="6"/>
    <x v="0"/>
    <x v="0"/>
    <x v="2"/>
    <x v="2"/>
    <x v="5"/>
    <x v="5"/>
    <x v="4"/>
    <x v="5"/>
    <x v="5"/>
    <x v="41"/>
    <x v="41"/>
    <n v="98.386142857044504"/>
    <x v="1"/>
    <x v="2"/>
    <x v="5"/>
    <x v="7"/>
    <x v="11"/>
    <x v="22"/>
    <n v="117.07950999988296"/>
  </r>
  <r>
    <x v="13"/>
    <x v="1"/>
    <x v="1"/>
    <x v="1"/>
    <x v="1"/>
    <x v="6"/>
    <x v="0"/>
    <x v="0"/>
    <x v="2"/>
    <x v="2"/>
    <x v="5"/>
    <x v="5"/>
    <x v="4"/>
    <x v="5"/>
    <x v="5"/>
    <x v="40"/>
    <x v="40"/>
    <n v="1173.0724499999999"/>
    <x v="1"/>
    <x v="2"/>
    <x v="5"/>
    <x v="7"/>
    <x v="11"/>
    <x v="22"/>
    <n v="1395.9562154999999"/>
  </r>
  <r>
    <x v="13"/>
    <x v="1"/>
    <x v="1"/>
    <x v="1"/>
    <x v="1"/>
    <x v="6"/>
    <x v="0"/>
    <x v="0"/>
    <x v="0"/>
    <x v="0"/>
    <x v="6"/>
    <x v="6"/>
    <x v="3"/>
    <x v="3"/>
    <x v="3"/>
    <x v="54"/>
    <x v="54"/>
    <n v="9.9860000000000007"/>
    <x v="0"/>
    <x v="0"/>
    <x v="1"/>
    <x v="3"/>
    <x v="3"/>
    <x v="4"/>
    <n v="11.88334"/>
  </r>
  <r>
    <x v="13"/>
    <x v="1"/>
    <x v="1"/>
    <x v="1"/>
    <x v="1"/>
    <x v="6"/>
    <x v="0"/>
    <x v="0"/>
    <x v="2"/>
    <x v="2"/>
    <x v="6"/>
    <x v="6"/>
    <x v="3"/>
    <x v="3"/>
    <x v="3"/>
    <x v="38"/>
    <x v="38"/>
    <n v="373.09588000000002"/>
    <x v="1"/>
    <x v="0"/>
    <x v="4"/>
    <x v="6"/>
    <x v="10"/>
    <x v="21"/>
    <n v="443.98409720000001"/>
  </r>
  <r>
    <x v="13"/>
    <x v="1"/>
    <x v="1"/>
    <x v="1"/>
    <x v="1"/>
    <x v="6"/>
    <x v="0"/>
    <x v="0"/>
    <x v="2"/>
    <x v="2"/>
    <x v="6"/>
    <x v="6"/>
    <x v="3"/>
    <x v="3"/>
    <x v="3"/>
    <x v="43"/>
    <x v="43"/>
    <n v="43.2256"/>
    <x v="1"/>
    <x v="0"/>
    <x v="4"/>
    <x v="6"/>
    <x v="10"/>
    <x v="21"/>
    <n v="51.438463999999996"/>
  </r>
  <r>
    <x v="13"/>
    <x v="1"/>
    <x v="1"/>
    <x v="1"/>
    <x v="1"/>
    <x v="6"/>
    <x v="0"/>
    <x v="0"/>
    <x v="0"/>
    <x v="0"/>
    <x v="6"/>
    <x v="6"/>
    <x v="3"/>
    <x v="3"/>
    <x v="3"/>
    <x v="52"/>
    <x v="52"/>
    <n v="0.80400000000000005"/>
    <x v="0"/>
    <x v="0"/>
    <x v="1"/>
    <x v="3"/>
    <x v="3"/>
    <x v="13"/>
    <n v="0.95676000000000005"/>
  </r>
  <r>
    <x v="13"/>
    <x v="1"/>
    <x v="1"/>
    <x v="1"/>
    <x v="1"/>
    <x v="6"/>
    <x v="0"/>
    <x v="0"/>
    <x v="2"/>
    <x v="2"/>
    <x v="6"/>
    <x v="6"/>
    <x v="3"/>
    <x v="3"/>
    <x v="3"/>
    <x v="46"/>
    <x v="46"/>
    <n v="0.43919999999999998"/>
    <x v="1"/>
    <x v="0"/>
    <x v="4"/>
    <x v="6"/>
    <x v="10"/>
    <x v="21"/>
    <n v="0.522648"/>
  </r>
  <r>
    <x v="13"/>
    <x v="1"/>
    <x v="1"/>
    <x v="1"/>
    <x v="1"/>
    <x v="6"/>
    <x v="0"/>
    <x v="0"/>
    <x v="2"/>
    <x v="2"/>
    <x v="6"/>
    <x v="6"/>
    <x v="2"/>
    <x v="2"/>
    <x v="2"/>
    <x v="42"/>
    <x v="42"/>
    <n v="11.775"/>
    <x v="1"/>
    <x v="2"/>
    <x v="5"/>
    <x v="7"/>
    <x v="11"/>
    <x v="22"/>
    <n v="14.01225"/>
  </r>
  <r>
    <x v="13"/>
    <x v="1"/>
    <x v="1"/>
    <x v="1"/>
    <x v="1"/>
    <x v="6"/>
    <x v="0"/>
    <x v="0"/>
    <x v="2"/>
    <x v="2"/>
    <x v="6"/>
    <x v="6"/>
    <x v="2"/>
    <x v="2"/>
    <x v="2"/>
    <x v="41"/>
    <x v="41"/>
    <n v="4.4702197802153103"/>
    <x v="1"/>
    <x v="2"/>
    <x v="5"/>
    <x v="7"/>
    <x v="11"/>
    <x v="22"/>
    <n v="5.3195615384562194"/>
  </r>
  <r>
    <x v="13"/>
    <x v="1"/>
    <x v="1"/>
    <x v="1"/>
    <x v="1"/>
    <x v="6"/>
    <x v="0"/>
    <x v="0"/>
    <x v="2"/>
    <x v="2"/>
    <x v="6"/>
    <x v="6"/>
    <x v="2"/>
    <x v="2"/>
    <x v="2"/>
    <x v="40"/>
    <x v="40"/>
    <n v="388.87052999999997"/>
    <x v="1"/>
    <x v="2"/>
    <x v="5"/>
    <x v="7"/>
    <x v="11"/>
    <x v="22"/>
    <n v="462.75593069999996"/>
  </r>
  <r>
    <x v="13"/>
    <x v="1"/>
    <x v="1"/>
    <x v="1"/>
    <x v="1"/>
    <x v="6"/>
    <x v="0"/>
    <x v="0"/>
    <x v="0"/>
    <x v="0"/>
    <x v="6"/>
    <x v="6"/>
    <x v="2"/>
    <x v="2"/>
    <x v="2"/>
    <x v="54"/>
    <x v="54"/>
    <n v="31.906400000000001"/>
    <x v="0"/>
    <x v="0"/>
    <x v="1"/>
    <x v="3"/>
    <x v="3"/>
    <x v="4"/>
    <n v="37.968615999999997"/>
  </r>
  <r>
    <x v="13"/>
    <x v="1"/>
    <x v="1"/>
    <x v="1"/>
    <x v="1"/>
    <x v="6"/>
    <x v="0"/>
    <x v="0"/>
    <x v="2"/>
    <x v="2"/>
    <x v="6"/>
    <x v="6"/>
    <x v="2"/>
    <x v="2"/>
    <x v="2"/>
    <x v="38"/>
    <x v="38"/>
    <n v="3442.8818299999998"/>
    <x v="1"/>
    <x v="0"/>
    <x v="4"/>
    <x v="6"/>
    <x v="10"/>
    <x v="21"/>
    <n v="4097.0293776999997"/>
  </r>
  <r>
    <x v="13"/>
    <x v="1"/>
    <x v="1"/>
    <x v="1"/>
    <x v="1"/>
    <x v="6"/>
    <x v="0"/>
    <x v="0"/>
    <x v="2"/>
    <x v="2"/>
    <x v="6"/>
    <x v="6"/>
    <x v="2"/>
    <x v="2"/>
    <x v="2"/>
    <x v="43"/>
    <x v="43"/>
    <n v="55.445"/>
    <x v="1"/>
    <x v="0"/>
    <x v="4"/>
    <x v="6"/>
    <x v="10"/>
    <x v="21"/>
    <n v="65.979550000000003"/>
  </r>
  <r>
    <x v="13"/>
    <x v="1"/>
    <x v="1"/>
    <x v="1"/>
    <x v="1"/>
    <x v="6"/>
    <x v="0"/>
    <x v="0"/>
    <x v="2"/>
    <x v="2"/>
    <x v="6"/>
    <x v="6"/>
    <x v="2"/>
    <x v="2"/>
    <x v="2"/>
    <x v="44"/>
    <x v="44"/>
    <n v="61.804000000000002"/>
    <x v="1"/>
    <x v="0"/>
    <x v="4"/>
    <x v="6"/>
    <x v="10"/>
    <x v="21"/>
    <n v="73.546760000000006"/>
  </r>
  <r>
    <x v="13"/>
    <x v="1"/>
    <x v="1"/>
    <x v="1"/>
    <x v="1"/>
    <x v="6"/>
    <x v="0"/>
    <x v="0"/>
    <x v="2"/>
    <x v="2"/>
    <x v="6"/>
    <x v="6"/>
    <x v="2"/>
    <x v="2"/>
    <x v="2"/>
    <x v="45"/>
    <x v="45"/>
    <n v="2.9"/>
    <x v="1"/>
    <x v="0"/>
    <x v="4"/>
    <x v="6"/>
    <x v="10"/>
    <x v="21"/>
    <n v="3.4509999999999996"/>
  </r>
  <r>
    <x v="13"/>
    <x v="1"/>
    <x v="1"/>
    <x v="1"/>
    <x v="1"/>
    <x v="6"/>
    <x v="0"/>
    <x v="0"/>
    <x v="0"/>
    <x v="0"/>
    <x v="6"/>
    <x v="6"/>
    <x v="2"/>
    <x v="2"/>
    <x v="2"/>
    <x v="52"/>
    <x v="52"/>
    <n v="28.602"/>
    <x v="0"/>
    <x v="0"/>
    <x v="1"/>
    <x v="3"/>
    <x v="3"/>
    <x v="13"/>
    <n v="34.036380000000001"/>
  </r>
  <r>
    <x v="13"/>
    <x v="1"/>
    <x v="1"/>
    <x v="1"/>
    <x v="1"/>
    <x v="6"/>
    <x v="0"/>
    <x v="0"/>
    <x v="2"/>
    <x v="2"/>
    <x v="6"/>
    <x v="6"/>
    <x v="2"/>
    <x v="2"/>
    <x v="2"/>
    <x v="81"/>
    <x v="81"/>
    <n v="-5.96E-2"/>
    <x v="1"/>
    <x v="0"/>
    <x v="4"/>
    <x v="6"/>
    <x v="10"/>
    <x v="21"/>
    <n v="-7.0924000000000001E-2"/>
  </r>
  <r>
    <x v="13"/>
    <x v="1"/>
    <x v="1"/>
    <x v="1"/>
    <x v="1"/>
    <x v="6"/>
    <x v="0"/>
    <x v="0"/>
    <x v="2"/>
    <x v="2"/>
    <x v="6"/>
    <x v="6"/>
    <x v="2"/>
    <x v="2"/>
    <x v="2"/>
    <x v="46"/>
    <x v="46"/>
    <n v="92.996279999999999"/>
    <x v="1"/>
    <x v="0"/>
    <x v="4"/>
    <x v="6"/>
    <x v="10"/>
    <x v="21"/>
    <n v="110.6655732"/>
  </r>
  <r>
    <x v="13"/>
    <x v="1"/>
    <x v="1"/>
    <x v="1"/>
    <x v="1"/>
    <x v="6"/>
    <x v="0"/>
    <x v="0"/>
    <x v="2"/>
    <x v="2"/>
    <x v="6"/>
    <x v="6"/>
    <x v="1"/>
    <x v="6"/>
    <x v="6"/>
    <x v="42"/>
    <x v="42"/>
    <n v="18.891999999999999"/>
    <x v="1"/>
    <x v="2"/>
    <x v="5"/>
    <x v="7"/>
    <x v="11"/>
    <x v="22"/>
    <n v="22.481479999999998"/>
  </r>
  <r>
    <x v="13"/>
    <x v="1"/>
    <x v="1"/>
    <x v="1"/>
    <x v="1"/>
    <x v="6"/>
    <x v="0"/>
    <x v="0"/>
    <x v="2"/>
    <x v="2"/>
    <x v="6"/>
    <x v="6"/>
    <x v="1"/>
    <x v="6"/>
    <x v="6"/>
    <x v="41"/>
    <x v="41"/>
    <n v="7.1772527472455696"/>
    <x v="1"/>
    <x v="2"/>
    <x v="5"/>
    <x v="7"/>
    <x v="11"/>
    <x v="22"/>
    <n v="8.5409307692222267"/>
  </r>
  <r>
    <x v="13"/>
    <x v="1"/>
    <x v="1"/>
    <x v="1"/>
    <x v="1"/>
    <x v="6"/>
    <x v="0"/>
    <x v="0"/>
    <x v="2"/>
    <x v="2"/>
    <x v="6"/>
    <x v="6"/>
    <x v="1"/>
    <x v="6"/>
    <x v="6"/>
    <x v="40"/>
    <x v="40"/>
    <n v="440.77381000000003"/>
    <x v="1"/>
    <x v="2"/>
    <x v="5"/>
    <x v="7"/>
    <x v="11"/>
    <x v="22"/>
    <n v="524.52083389999996"/>
  </r>
  <r>
    <x v="13"/>
    <x v="1"/>
    <x v="1"/>
    <x v="1"/>
    <x v="1"/>
    <x v="6"/>
    <x v="0"/>
    <x v="0"/>
    <x v="0"/>
    <x v="0"/>
    <x v="6"/>
    <x v="6"/>
    <x v="1"/>
    <x v="6"/>
    <x v="6"/>
    <x v="54"/>
    <x v="54"/>
    <n v="12.990589999999999"/>
    <x v="0"/>
    <x v="0"/>
    <x v="1"/>
    <x v="3"/>
    <x v="3"/>
    <x v="4"/>
    <n v="15.458802099999998"/>
  </r>
  <r>
    <x v="13"/>
    <x v="1"/>
    <x v="1"/>
    <x v="1"/>
    <x v="1"/>
    <x v="6"/>
    <x v="0"/>
    <x v="0"/>
    <x v="2"/>
    <x v="2"/>
    <x v="6"/>
    <x v="6"/>
    <x v="1"/>
    <x v="6"/>
    <x v="6"/>
    <x v="38"/>
    <x v="38"/>
    <n v="1512.81034"/>
    <x v="1"/>
    <x v="0"/>
    <x v="4"/>
    <x v="6"/>
    <x v="10"/>
    <x v="21"/>
    <n v="1800.2443045999999"/>
  </r>
  <r>
    <x v="13"/>
    <x v="1"/>
    <x v="1"/>
    <x v="1"/>
    <x v="1"/>
    <x v="6"/>
    <x v="0"/>
    <x v="0"/>
    <x v="2"/>
    <x v="2"/>
    <x v="6"/>
    <x v="6"/>
    <x v="1"/>
    <x v="6"/>
    <x v="6"/>
    <x v="43"/>
    <x v="43"/>
    <n v="41.143459999999997"/>
    <x v="1"/>
    <x v="0"/>
    <x v="4"/>
    <x v="6"/>
    <x v="10"/>
    <x v="21"/>
    <n v="48.960717399999993"/>
  </r>
  <r>
    <x v="13"/>
    <x v="1"/>
    <x v="1"/>
    <x v="1"/>
    <x v="1"/>
    <x v="6"/>
    <x v="0"/>
    <x v="0"/>
    <x v="2"/>
    <x v="2"/>
    <x v="6"/>
    <x v="6"/>
    <x v="1"/>
    <x v="6"/>
    <x v="6"/>
    <x v="44"/>
    <x v="44"/>
    <n v="77.233999999999995"/>
    <x v="1"/>
    <x v="0"/>
    <x v="4"/>
    <x v="6"/>
    <x v="10"/>
    <x v="21"/>
    <n v="91.908459999999991"/>
  </r>
  <r>
    <x v="13"/>
    <x v="1"/>
    <x v="1"/>
    <x v="1"/>
    <x v="1"/>
    <x v="6"/>
    <x v="0"/>
    <x v="0"/>
    <x v="0"/>
    <x v="0"/>
    <x v="6"/>
    <x v="6"/>
    <x v="1"/>
    <x v="6"/>
    <x v="6"/>
    <x v="52"/>
    <x v="52"/>
    <n v="8.6757000000000009"/>
    <x v="0"/>
    <x v="0"/>
    <x v="1"/>
    <x v="3"/>
    <x v="3"/>
    <x v="13"/>
    <n v="10.324083"/>
  </r>
  <r>
    <x v="13"/>
    <x v="1"/>
    <x v="1"/>
    <x v="1"/>
    <x v="1"/>
    <x v="6"/>
    <x v="0"/>
    <x v="0"/>
    <x v="2"/>
    <x v="2"/>
    <x v="6"/>
    <x v="6"/>
    <x v="1"/>
    <x v="6"/>
    <x v="6"/>
    <x v="46"/>
    <x v="46"/>
    <n v="45.122500000000002"/>
    <x v="1"/>
    <x v="0"/>
    <x v="4"/>
    <x v="6"/>
    <x v="10"/>
    <x v="21"/>
    <n v="53.695774999999998"/>
  </r>
  <r>
    <x v="13"/>
    <x v="1"/>
    <x v="1"/>
    <x v="1"/>
    <x v="1"/>
    <x v="6"/>
    <x v="0"/>
    <x v="0"/>
    <x v="2"/>
    <x v="2"/>
    <x v="6"/>
    <x v="6"/>
    <x v="1"/>
    <x v="8"/>
    <x v="8"/>
    <x v="38"/>
    <x v="38"/>
    <n v="42.091259999999998"/>
    <x v="1"/>
    <x v="0"/>
    <x v="4"/>
    <x v="6"/>
    <x v="10"/>
    <x v="21"/>
    <n v="50.088599399999993"/>
  </r>
  <r>
    <x v="13"/>
    <x v="1"/>
    <x v="1"/>
    <x v="1"/>
    <x v="1"/>
    <x v="6"/>
    <x v="0"/>
    <x v="0"/>
    <x v="2"/>
    <x v="2"/>
    <x v="6"/>
    <x v="6"/>
    <x v="2"/>
    <x v="10"/>
    <x v="10"/>
    <x v="40"/>
    <x v="40"/>
    <n v="14.64035"/>
    <x v="1"/>
    <x v="2"/>
    <x v="5"/>
    <x v="7"/>
    <x v="11"/>
    <x v="22"/>
    <n v="17.422016499999998"/>
  </r>
  <r>
    <x v="13"/>
    <x v="1"/>
    <x v="1"/>
    <x v="1"/>
    <x v="1"/>
    <x v="6"/>
    <x v="0"/>
    <x v="0"/>
    <x v="2"/>
    <x v="2"/>
    <x v="7"/>
    <x v="7"/>
    <x v="3"/>
    <x v="3"/>
    <x v="3"/>
    <x v="43"/>
    <x v="43"/>
    <n v="0.83499999999999996"/>
    <x v="1"/>
    <x v="0"/>
    <x v="4"/>
    <x v="6"/>
    <x v="10"/>
    <x v="21"/>
    <n v="0.99364999999999992"/>
  </r>
  <r>
    <x v="13"/>
    <x v="1"/>
    <x v="1"/>
    <x v="1"/>
    <x v="1"/>
    <x v="6"/>
    <x v="0"/>
    <x v="0"/>
    <x v="2"/>
    <x v="2"/>
    <x v="7"/>
    <x v="7"/>
    <x v="3"/>
    <x v="3"/>
    <x v="3"/>
    <x v="48"/>
    <x v="48"/>
    <n v="0.96499000000000001"/>
    <x v="1"/>
    <x v="0"/>
    <x v="4"/>
    <x v="6"/>
    <x v="10"/>
    <x v="21"/>
    <n v="1.1483380999999999"/>
  </r>
  <r>
    <x v="13"/>
    <x v="1"/>
    <x v="1"/>
    <x v="1"/>
    <x v="1"/>
    <x v="6"/>
    <x v="0"/>
    <x v="0"/>
    <x v="2"/>
    <x v="2"/>
    <x v="7"/>
    <x v="7"/>
    <x v="2"/>
    <x v="2"/>
    <x v="2"/>
    <x v="42"/>
    <x v="42"/>
    <n v="4.3"/>
    <x v="1"/>
    <x v="2"/>
    <x v="5"/>
    <x v="7"/>
    <x v="11"/>
    <x v="22"/>
    <n v="5.117"/>
  </r>
  <r>
    <x v="13"/>
    <x v="1"/>
    <x v="1"/>
    <x v="1"/>
    <x v="1"/>
    <x v="6"/>
    <x v="0"/>
    <x v="0"/>
    <x v="0"/>
    <x v="0"/>
    <x v="7"/>
    <x v="7"/>
    <x v="2"/>
    <x v="2"/>
    <x v="2"/>
    <x v="6"/>
    <x v="6"/>
    <n v="39.119999999999997"/>
    <x v="0"/>
    <x v="0"/>
    <x v="0"/>
    <x v="0"/>
    <x v="4"/>
    <x v="6"/>
    <n v="46.552799999999998"/>
  </r>
  <r>
    <x v="13"/>
    <x v="1"/>
    <x v="1"/>
    <x v="1"/>
    <x v="1"/>
    <x v="6"/>
    <x v="0"/>
    <x v="0"/>
    <x v="2"/>
    <x v="2"/>
    <x v="7"/>
    <x v="7"/>
    <x v="2"/>
    <x v="2"/>
    <x v="2"/>
    <x v="47"/>
    <x v="47"/>
    <n v="12.750400000000001"/>
    <x v="1"/>
    <x v="0"/>
    <x v="4"/>
    <x v="6"/>
    <x v="10"/>
    <x v="21"/>
    <n v="15.172976"/>
  </r>
  <r>
    <x v="13"/>
    <x v="1"/>
    <x v="1"/>
    <x v="1"/>
    <x v="1"/>
    <x v="6"/>
    <x v="0"/>
    <x v="0"/>
    <x v="0"/>
    <x v="0"/>
    <x v="7"/>
    <x v="7"/>
    <x v="2"/>
    <x v="2"/>
    <x v="2"/>
    <x v="7"/>
    <x v="7"/>
    <n v="208.745096387546"/>
    <x v="0"/>
    <x v="0"/>
    <x v="1"/>
    <x v="4"/>
    <x v="5"/>
    <x v="7"/>
    <n v="248.40666470117972"/>
  </r>
  <r>
    <x v="13"/>
    <x v="1"/>
    <x v="1"/>
    <x v="1"/>
    <x v="1"/>
    <x v="6"/>
    <x v="0"/>
    <x v="0"/>
    <x v="2"/>
    <x v="2"/>
    <x v="7"/>
    <x v="7"/>
    <x v="2"/>
    <x v="2"/>
    <x v="2"/>
    <x v="41"/>
    <x v="41"/>
    <n v="80.002758241678194"/>
    <x v="1"/>
    <x v="2"/>
    <x v="5"/>
    <x v="7"/>
    <x v="11"/>
    <x v="22"/>
    <n v="95.20328230759705"/>
  </r>
  <r>
    <x v="13"/>
    <x v="1"/>
    <x v="1"/>
    <x v="1"/>
    <x v="1"/>
    <x v="6"/>
    <x v="0"/>
    <x v="0"/>
    <x v="2"/>
    <x v="2"/>
    <x v="7"/>
    <x v="7"/>
    <x v="2"/>
    <x v="2"/>
    <x v="2"/>
    <x v="40"/>
    <x v="40"/>
    <n v="2520.83482"/>
    <x v="1"/>
    <x v="2"/>
    <x v="5"/>
    <x v="7"/>
    <x v="11"/>
    <x v="22"/>
    <n v="2999.7934357999998"/>
  </r>
  <r>
    <x v="13"/>
    <x v="1"/>
    <x v="1"/>
    <x v="1"/>
    <x v="1"/>
    <x v="6"/>
    <x v="0"/>
    <x v="0"/>
    <x v="2"/>
    <x v="2"/>
    <x v="7"/>
    <x v="7"/>
    <x v="2"/>
    <x v="2"/>
    <x v="2"/>
    <x v="38"/>
    <x v="38"/>
    <n v="4080.2636499999999"/>
    <x v="1"/>
    <x v="0"/>
    <x v="4"/>
    <x v="6"/>
    <x v="10"/>
    <x v="21"/>
    <n v="4855.5137434999997"/>
  </r>
  <r>
    <x v="13"/>
    <x v="1"/>
    <x v="1"/>
    <x v="1"/>
    <x v="1"/>
    <x v="6"/>
    <x v="0"/>
    <x v="0"/>
    <x v="2"/>
    <x v="2"/>
    <x v="7"/>
    <x v="7"/>
    <x v="2"/>
    <x v="2"/>
    <x v="2"/>
    <x v="43"/>
    <x v="43"/>
    <n v="323.98181"/>
    <x v="1"/>
    <x v="0"/>
    <x v="4"/>
    <x v="6"/>
    <x v="10"/>
    <x v="21"/>
    <n v="385.5383539"/>
  </r>
  <r>
    <x v="13"/>
    <x v="1"/>
    <x v="1"/>
    <x v="1"/>
    <x v="1"/>
    <x v="6"/>
    <x v="0"/>
    <x v="0"/>
    <x v="2"/>
    <x v="2"/>
    <x v="7"/>
    <x v="7"/>
    <x v="2"/>
    <x v="2"/>
    <x v="2"/>
    <x v="44"/>
    <x v="44"/>
    <n v="210.2133"/>
    <x v="1"/>
    <x v="0"/>
    <x v="4"/>
    <x v="6"/>
    <x v="10"/>
    <x v="21"/>
    <n v="250.15382700000001"/>
  </r>
  <r>
    <x v="13"/>
    <x v="1"/>
    <x v="1"/>
    <x v="1"/>
    <x v="1"/>
    <x v="6"/>
    <x v="0"/>
    <x v="0"/>
    <x v="0"/>
    <x v="0"/>
    <x v="7"/>
    <x v="7"/>
    <x v="2"/>
    <x v="2"/>
    <x v="2"/>
    <x v="17"/>
    <x v="17"/>
    <n v="16.387499999999999"/>
    <x v="0"/>
    <x v="0"/>
    <x v="0"/>
    <x v="0"/>
    <x v="4"/>
    <x v="17"/>
    <n v="19.501124999999998"/>
  </r>
  <r>
    <x v="13"/>
    <x v="1"/>
    <x v="1"/>
    <x v="1"/>
    <x v="1"/>
    <x v="6"/>
    <x v="0"/>
    <x v="0"/>
    <x v="2"/>
    <x v="2"/>
    <x v="7"/>
    <x v="7"/>
    <x v="2"/>
    <x v="2"/>
    <x v="2"/>
    <x v="48"/>
    <x v="48"/>
    <n v="83.799949999999995"/>
    <x v="1"/>
    <x v="0"/>
    <x v="4"/>
    <x v="6"/>
    <x v="10"/>
    <x v="21"/>
    <n v="99.721940499999988"/>
  </r>
  <r>
    <x v="13"/>
    <x v="1"/>
    <x v="1"/>
    <x v="1"/>
    <x v="1"/>
    <x v="6"/>
    <x v="0"/>
    <x v="0"/>
    <x v="2"/>
    <x v="2"/>
    <x v="7"/>
    <x v="7"/>
    <x v="2"/>
    <x v="2"/>
    <x v="2"/>
    <x v="45"/>
    <x v="45"/>
    <n v="79.095579999999998"/>
    <x v="1"/>
    <x v="0"/>
    <x v="4"/>
    <x v="6"/>
    <x v="10"/>
    <x v="21"/>
    <n v="94.1237402"/>
  </r>
  <r>
    <x v="13"/>
    <x v="1"/>
    <x v="1"/>
    <x v="1"/>
    <x v="1"/>
    <x v="6"/>
    <x v="0"/>
    <x v="0"/>
    <x v="2"/>
    <x v="2"/>
    <x v="7"/>
    <x v="7"/>
    <x v="2"/>
    <x v="2"/>
    <x v="2"/>
    <x v="46"/>
    <x v="46"/>
    <n v="263.02"/>
    <x v="1"/>
    <x v="0"/>
    <x v="4"/>
    <x v="6"/>
    <x v="10"/>
    <x v="21"/>
    <n v="312.99379999999996"/>
  </r>
  <r>
    <x v="13"/>
    <x v="1"/>
    <x v="1"/>
    <x v="1"/>
    <x v="1"/>
    <x v="6"/>
    <x v="0"/>
    <x v="0"/>
    <x v="2"/>
    <x v="2"/>
    <x v="7"/>
    <x v="7"/>
    <x v="2"/>
    <x v="2"/>
    <x v="2"/>
    <x v="53"/>
    <x v="53"/>
    <n v="169.43"/>
    <x v="1"/>
    <x v="0"/>
    <x v="4"/>
    <x v="6"/>
    <x v="10"/>
    <x v="21"/>
    <n v="201.6217"/>
  </r>
  <r>
    <x v="13"/>
    <x v="1"/>
    <x v="1"/>
    <x v="1"/>
    <x v="1"/>
    <x v="6"/>
    <x v="0"/>
    <x v="0"/>
    <x v="2"/>
    <x v="2"/>
    <x v="7"/>
    <x v="7"/>
    <x v="1"/>
    <x v="6"/>
    <x v="6"/>
    <x v="42"/>
    <x v="42"/>
    <n v="12.9"/>
    <x v="1"/>
    <x v="2"/>
    <x v="5"/>
    <x v="7"/>
    <x v="11"/>
    <x v="22"/>
    <n v="15.350999999999999"/>
  </r>
  <r>
    <x v="13"/>
    <x v="1"/>
    <x v="1"/>
    <x v="1"/>
    <x v="1"/>
    <x v="6"/>
    <x v="0"/>
    <x v="0"/>
    <x v="0"/>
    <x v="0"/>
    <x v="7"/>
    <x v="7"/>
    <x v="1"/>
    <x v="6"/>
    <x v="6"/>
    <x v="6"/>
    <x v="6"/>
    <n v="9.9749999999999996"/>
    <x v="0"/>
    <x v="0"/>
    <x v="0"/>
    <x v="0"/>
    <x v="4"/>
    <x v="6"/>
    <n v="11.870249999999999"/>
  </r>
  <r>
    <x v="13"/>
    <x v="1"/>
    <x v="1"/>
    <x v="1"/>
    <x v="1"/>
    <x v="6"/>
    <x v="0"/>
    <x v="0"/>
    <x v="2"/>
    <x v="2"/>
    <x v="7"/>
    <x v="7"/>
    <x v="1"/>
    <x v="6"/>
    <x v="6"/>
    <x v="47"/>
    <x v="47"/>
    <n v="1.5"/>
    <x v="1"/>
    <x v="0"/>
    <x v="4"/>
    <x v="6"/>
    <x v="10"/>
    <x v="21"/>
    <n v="1.7849999999999999"/>
  </r>
  <r>
    <x v="13"/>
    <x v="1"/>
    <x v="1"/>
    <x v="1"/>
    <x v="1"/>
    <x v="6"/>
    <x v="0"/>
    <x v="0"/>
    <x v="2"/>
    <x v="2"/>
    <x v="7"/>
    <x v="7"/>
    <x v="1"/>
    <x v="6"/>
    <x v="6"/>
    <x v="41"/>
    <x v="41"/>
    <n v="38.2376263735881"/>
    <x v="1"/>
    <x v="2"/>
    <x v="5"/>
    <x v="7"/>
    <x v="11"/>
    <x v="22"/>
    <n v="45.502775384569837"/>
  </r>
  <r>
    <x v="13"/>
    <x v="1"/>
    <x v="1"/>
    <x v="1"/>
    <x v="1"/>
    <x v="6"/>
    <x v="0"/>
    <x v="0"/>
    <x v="2"/>
    <x v="2"/>
    <x v="7"/>
    <x v="7"/>
    <x v="1"/>
    <x v="6"/>
    <x v="6"/>
    <x v="40"/>
    <x v="40"/>
    <n v="1735.0172299999999"/>
    <x v="1"/>
    <x v="2"/>
    <x v="5"/>
    <x v="7"/>
    <x v="11"/>
    <x v="22"/>
    <n v="2064.6705036999997"/>
  </r>
  <r>
    <x v="13"/>
    <x v="1"/>
    <x v="1"/>
    <x v="1"/>
    <x v="1"/>
    <x v="6"/>
    <x v="0"/>
    <x v="0"/>
    <x v="2"/>
    <x v="2"/>
    <x v="7"/>
    <x v="7"/>
    <x v="1"/>
    <x v="6"/>
    <x v="6"/>
    <x v="38"/>
    <x v="38"/>
    <n v="617.58582000000001"/>
    <x v="1"/>
    <x v="0"/>
    <x v="4"/>
    <x v="6"/>
    <x v="10"/>
    <x v="21"/>
    <n v="734.9271258"/>
  </r>
  <r>
    <x v="13"/>
    <x v="1"/>
    <x v="1"/>
    <x v="1"/>
    <x v="1"/>
    <x v="6"/>
    <x v="0"/>
    <x v="0"/>
    <x v="2"/>
    <x v="2"/>
    <x v="7"/>
    <x v="7"/>
    <x v="1"/>
    <x v="6"/>
    <x v="6"/>
    <x v="43"/>
    <x v="43"/>
    <n v="6.15"/>
    <x v="1"/>
    <x v="0"/>
    <x v="4"/>
    <x v="6"/>
    <x v="10"/>
    <x v="21"/>
    <n v="7.3185000000000002"/>
  </r>
  <r>
    <x v="13"/>
    <x v="1"/>
    <x v="1"/>
    <x v="1"/>
    <x v="1"/>
    <x v="6"/>
    <x v="0"/>
    <x v="0"/>
    <x v="2"/>
    <x v="2"/>
    <x v="7"/>
    <x v="7"/>
    <x v="1"/>
    <x v="6"/>
    <x v="6"/>
    <x v="44"/>
    <x v="44"/>
    <n v="16"/>
    <x v="1"/>
    <x v="0"/>
    <x v="4"/>
    <x v="6"/>
    <x v="10"/>
    <x v="21"/>
    <n v="19.04"/>
  </r>
  <r>
    <x v="13"/>
    <x v="1"/>
    <x v="1"/>
    <x v="1"/>
    <x v="1"/>
    <x v="6"/>
    <x v="0"/>
    <x v="0"/>
    <x v="2"/>
    <x v="2"/>
    <x v="7"/>
    <x v="7"/>
    <x v="1"/>
    <x v="6"/>
    <x v="6"/>
    <x v="48"/>
    <x v="48"/>
    <n v="18.441400000000002"/>
    <x v="1"/>
    <x v="0"/>
    <x v="4"/>
    <x v="6"/>
    <x v="10"/>
    <x v="21"/>
    <n v="21.945266"/>
  </r>
  <r>
    <x v="13"/>
    <x v="1"/>
    <x v="1"/>
    <x v="1"/>
    <x v="1"/>
    <x v="6"/>
    <x v="0"/>
    <x v="0"/>
    <x v="2"/>
    <x v="2"/>
    <x v="7"/>
    <x v="7"/>
    <x v="1"/>
    <x v="6"/>
    <x v="6"/>
    <x v="45"/>
    <x v="45"/>
    <n v="0.40699999999999997"/>
    <x v="1"/>
    <x v="0"/>
    <x v="4"/>
    <x v="6"/>
    <x v="10"/>
    <x v="21"/>
    <n v="0.48432999999999993"/>
  </r>
  <r>
    <x v="13"/>
    <x v="1"/>
    <x v="1"/>
    <x v="1"/>
    <x v="1"/>
    <x v="6"/>
    <x v="0"/>
    <x v="0"/>
    <x v="2"/>
    <x v="2"/>
    <x v="7"/>
    <x v="7"/>
    <x v="1"/>
    <x v="6"/>
    <x v="6"/>
    <x v="46"/>
    <x v="46"/>
    <n v="5.1840000000000002"/>
    <x v="1"/>
    <x v="0"/>
    <x v="4"/>
    <x v="6"/>
    <x v="10"/>
    <x v="21"/>
    <n v="6.1689600000000002"/>
  </r>
  <r>
    <x v="13"/>
    <x v="1"/>
    <x v="1"/>
    <x v="1"/>
    <x v="1"/>
    <x v="6"/>
    <x v="0"/>
    <x v="0"/>
    <x v="2"/>
    <x v="2"/>
    <x v="7"/>
    <x v="7"/>
    <x v="1"/>
    <x v="6"/>
    <x v="6"/>
    <x v="53"/>
    <x v="53"/>
    <n v="16.45"/>
    <x v="1"/>
    <x v="0"/>
    <x v="4"/>
    <x v="6"/>
    <x v="10"/>
    <x v="21"/>
    <n v="19.575499999999998"/>
  </r>
  <r>
    <x v="13"/>
    <x v="1"/>
    <x v="1"/>
    <x v="1"/>
    <x v="1"/>
    <x v="6"/>
    <x v="0"/>
    <x v="0"/>
    <x v="2"/>
    <x v="2"/>
    <x v="7"/>
    <x v="7"/>
    <x v="3"/>
    <x v="7"/>
    <x v="7"/>
    <x v="40"/>
    <x v="40"/>
    <n v="178.00751"/>
    <x v="1"/>
    <x v="2"/>
    <x v="5"/>
    <x v="7"/>
    <x v="11"/>
    <x v="22"/>
    <n v="211.82893689999997"/>
  </r>
  <r>
    <x v="13"/>
    <x v="1"/>
    <x v="1"/>
    <x v="1"/>
    <x v="1"/>
    <x v="6"/>
    <x v="0"/>
    <x v="0"/>
    <x v="2"/>
    <x v="2"/>
    <x v="7"/>
    <x v="7"/>
    <x v="1"/>
    <x v="8"/>
    <x v="8"/>
    <x v="40"/>
    <x v="40"/>
    <n v="222.66556"/>
    <x v="1"/>
    <x v="2"/>
    <x v="5"/>
    <x v="7"/>
    <x v="11"/>
    <x v="22"/>
    <n v="264.97201639999997"/>
  </r>
  <r>
    <x v="13"/>
    <x v="1"/>
    <x v="1"/>
    <x v="1"/>
    <x v="1"/>
    <x v="6"/>
    <x v="0"/>
    <x v="0"/>
    <x v="2"/>
    <x v="2"/>
    <x v="7"/>
    <x v="7"/>
    <x v="2"/>
    <x v="10"/>
    <x v="10"/>
    <x v="40"/>
    <x v="40"/>
    <n v="1.45021"/>
    <x v="1"/>
    <x v="2"/>
    <x v="5"/>
    <x v="7"/>
    <x v="11"/>
    <x v="22"/>
    <n v="1.7257498999999998"/>
  </r>
  <r>
    <x v="13"/>
    <x v="1"/>
    <x v="1"/>
    <x v="1"/>
    <x v="1"/>
    <x v="6"/>
    <x v="0"/>
    <x v="0"/>
    <x v="2"/>
    <x v="2"/>
    <x v="7"/>
    <x v="7"/>
    <x v="4"/>
    <x v="5"/>
    <x v="5"/>
    <x v="40"/>
    <x v="40"/>
    <n v="183.48287999999999"/>
    <x v="1"/>
    <x v="2"/>
    <x v="5"/>
    <x v="7"/>
    <x v="11"/>
    <x v="22"/>
    <n v="218.34462719999999"/>
  </r>
  <r>
    <x v="13"/>
    <x v="1"/>
    <x v="1"/>
    <x v="1"/>
    <x v="1"/>
    <x v="6"/>
    <x v="0"/>
    <x v="0"/>
    <x v="2"/>
    <x v="2"/>
    <x v="7"/>
    <x v="7"/>
    <x v="4"/>
    <x v="5"/>
    <x v="5"/>
    <x v="38"/>
    <x v="38"/>
    <n v="308.12520000000001"/>
    <x v="1"/>
    <x v="0"/>
    <x v="4"/>
    <x v="6"/>
    <x v="10"/>
    <x v="21"/>
    <n v="366.66898800000001"/>
  </r>
  <r>
    <x v="13"/>
    <x v="1"/>
    <x v="1"/>
    <x v="1"/>
    <x v="1"/>
    <x v="6"/>
    <x v="0"/>
    <x v="0"/>
    <x v="2"/>
    <x v="2"/>
    <x v="8"/>
    <x v="8"/>
    <x v="3"/>
    <x v="3"/>
    <x v="3"/>
    <x v="42"/>
    <x v="42"/>
    <n v="46.780119999999997"/>
    <x v="1"/>
    <x v="2"/>
    <x v="5"/>
    <x v="7"/>
    <x v="11"/>
    <x v="22"/>
    <n v="55.668342799999991"/>
  </r>
  <r>
    <x v="13"/>
    <x v="1"/>
    <x v="1"/>
    <x v="1"/>
    <x v="1"/>
    <x v="6"/>
    <x v="0"/>
    <x v="0"/>
    <x v="2"/>
    <x v="2"/>
    <x v="8"/>
    <x v="8"/>
    <x v="3"/>
    <x v="3"/>
    <x v="3"/>
    <x v="41"/>
    <x v="41"/>
    <n v="1.5728351648335901"/>
    <x v="1"/>
    <x v="2"/>
    <x v="5"/>
    <x v="7"/>
    <x v="11"/>
    <x v="22"/>
    <n v="1.8716738461519722"/>
  </r>
  <r>
    <x v="13"/>
    <x v="1"/>
    <x v="1"/>
    <x v="1"/>
    <x v="1"/>
    <x v="6"/>
    <x v="0"/>
    <x v="0"/>
    <x v="2"/>
    <x v="2"/>
    <x v="8"/>
    <x v="8"/>
    <x v="3"/>
    <x v="3"/>
    <x v="3"/>
    <x v="40"/>
    <x v="40"/>
    <n v="2156.1495100000002"/>
    <x v="1"/>
    <x v="2"/>
    <x v="5"/>
    <x v="7"/>
    <x v="11"/>
    <x v="22"/>
    <n v="2565.8179169"/>
  </r>
  <r>
    <x v="13"/>
    <x v="1"/>
    <x v="1"/>
    <x v="1"/>
    <x v="1"/>
    <x v="6"/>
    <x v="0"/>
    <x v="0"/>
    <x v="0"/>
    <x v="0"/>
    <x v="8"/>
    <x v="8"/>
    <x v="3"/>
    <x v="3"/>
    <x v="3"/>
    <x v="17"/>
    <x v="17"/>
    <n v="5.3479999999999999"/>
    <x v="0"/>
    <x v="0"/>
    <x v="0"/>
    <x v="0"/>
    <x v="4"/>
    <x v="17"/>
    <n v="6.3641199999999998"/>
  </r>
  <r>
    <x v="13"/>
    <x v="1"/>
    <x v="1"/>
    <x v="1"/>
    <x v="1"/>
    <x v="6"/>
    <x v="0"/>
    <x v="0"/>
    <x v="2"/>
    <x v="2"/>
    <x v="8"/>
    <x v="8"/>
    <x v="2"/>
    <x v="2"/>
    <x v="2"/>
    <x v="42"/>
    <x v="42"/>
    <n v="11.9956"/>
    <x v="1"/>
    <x v="2"/>
    <x v="5"/>
    <x v="7"/>
    <x v="11"/>
    <x v="22"/>
    <n v="14.274763999999999"/>
  </r>
  <r>
    <x v="13"/>
    <x v="1"/>
    <x v="1"/>
    <x v="1"/>
    <x v="1"/>
    <x v="6"/>
    <x v="0"/>
    <x v="0"/>
    <x v="2"/>
    <x v="2"/>
    <x v="8"/>
    <x v="8"/>
    <x v="2"/>
    <x v="2"/>
    <x v="2"/>
    <x v="41"/>
    <x v="41"/>
    <n v="62.154120879058702"/>
    <x v="1"/>
    <x v="2"/>
    <x v="5"/>
    <x v="7"/>
    <x v="11"/>
    <x v="22"/>
    <n v="73.963403846079856"/>
  </r>
  <r>
    <x v="13"/>
    <x v="1"/>
    <x v="1"/>
    <x v="1"/>
    <x v="1"/>
    <x v="6"/>
    <x v="0"/>
    <x v="0"/>
    <x v="2"/>
    <x v="2"/>
    <x v="8"/>
    <x v="8"/>
    <x v="2"/>
    <x v="2"/>
    <x v="2"/>
    <x v="40"/>
    <x v="40"/>
    <n v="1977.4833599999999"/>
    <x v="1"/>
    <x v="2"/>
    <x v="5"/>
    <x v="7"/>
    <x v="11"/>
    <x v="22"/>
    <n v="2353.2051984"/>
  </r>
  <r>
    <x v="13"/>
    <x v="1"/>
    <x v="1"/>
    <x v="1"/>
    <x v="1"/>
    <x v="6"/>
    <x v="0"/>
    <x v="0"/>
    <x v="0"/>
    <x v="0"/>
    <x v="8"/>
    <x v="8"/>
    <x v="2"/>
    <x v="2"/>
    <x v="2"/>
    <x v="17"/>
    <x v="17"/>
    <n v="7.2120300000000004"/>
    <x v="0"/>
    <x v="0"/>
    <x v="0"/>
    <x v="0"/>
    <x v="4"/>
    <x v="17"/>
    <n v="8.5823157000000005"/>
  </r>
  <r>
    <x v="13"/>
    <x v="1"/>
    <x v="1"/>
    <x v="1"/>
    <x v="1"/>
    <x v="6"/>
    <x v="0"/>
    <x v="0"/>
    <x v="2"/>
    <x v="2"/>
    <x v="8"/>
    <x v="8"/>
    <x v="1"/>
    <x v="6"/>
    <x v="6"/>
    <x v="42"/>
    <x v="42"/>
    <n v="13.46"/>
    <x v="1"/>
    <x v="2"/>
    <x v="5"/>
    <x v="7"/>
    <x v="11"/>
    <x v="22"/>
    <n v="16.017399999999999"/>
  </r>
  <r>
    <x v="13"/>
    <x v="1"/>
    <x v="1"/>
    <x v="1"/>
    <x v="1"/>
    <x v="6"/>
    <x v="0"/>
    <x v="0"/>
    <x v="2"/>
    <x v="2"/>
    <x v="8"/>
    <x v="8"/>
    <x v="1"/>
    <x v="6"/>
    <x v="6"/>
    <x v="41"/>
    <x v="41"/>
    <n v="23.759362637338899"/>
    <x v="1"/>
    <x v="2"/>
    <x v="5"/>
    <x v="7"/>
    <x v="11"/>
    <x v="22"/>
    <n v="28.273641538433289"/>
  </r>
  <r>
    <x v="13"/>
    <x v="1"/>
    <x v="1"/>
    <x v="1"/>
    <x v="1"/>
    <x v="6"/>
    <x v="0"/>
    <x v="0"/>
    <x v="2"/>
    <x v="2"/>
    <x v="8"/>
    <x v="8"/>
    <x v="1"/>
    <x v="6"/>
    <x v="6"/>
    <x v="40"/>
    <x v="40"/>
    <n v="2954.6690100000001"/>
    <x v="1"/>
    <x v="2"/>
    <x v="5"/>
    <x v="7"/>
    <x v="11"/>
    <x v="22"/>
    <n v="3516.0561219000001"/>
  </r>
  <r>
    <x v="13"/>
    <x v="1"/>
    <x v="1"/>
    <x v="1"/>
    <x v="1"/>
    <x v="6"/>
    <x v="0"/>
    <x v="0"/>
    <x v="2"/>
    <x v="2"/>
    <x v="8"/>
    <x v="8"/>
    <x v="3"/>
    <x v="7"/>
    <x v="7"/>
    <x v="40"/>
    <x v="40"/>
    <n v="123.01048"/>
    <x v="1"/>
    <x v="2"/>
    <x v="5"/>
    <x v="7"/>
    <x v="11"/>
    <x v="22"/>
    <n v="146.3824712"/>
  </r>
  <r>
    <x v="13"/>
    <x v="1"/>
    <x v="1"/>
    <x v="1"/>
    <x v="1"/>
    <x v="6"/>
    <x v="0"/>
    <x v="0"/>
    <x v="2"/>
    <x v="2"/>
    <x v="8"/>
    <x v="8"/>
    <x v="1"/>
    <x v="8"/>
    <x v="8"/>
    <x v="40"/>
    <x v="40"/>
    <n v="2650.4438"/>
    <x v="1"/>
    <x v="2"/>
    <x v="5"/>
    <x v="7"/>
    <x v="11"/>
    <x v="22"/>
    <n v="3154.0281219999997"/>
  </r>
  <r>
    <x v="13"/>
    <x v="1"/>
    <x v="1"/>
    <x v="1"/>
    <x v="1"/>
    <x v="6"/>
    <x v="0"/>
    <x v="0"/>
    <x v="2"/>
    <x v="2"/>
    <x v="8"/>
    <x v="8"/>
    <x v="2"/>
    <x v="10"/>
    <x v="10"/>
    <x v="40"/>
    <x v="40"/>
    <n v="10.987360000000001"/>
    <x v="1"/>
    <x v="2"/>
    <x v="5"/>
    <x v="7"/>
    <x v="11"/>
    <x v="22"/>
    <n v="13.0749584"/>
  </r>
  <r>
    <x v="13"/>
    <x v="1"/>
    <x v="1"/>
    <x v="1"/>
    <x v="1"/>
    <x v="6"/>
    <x v="0"/>
    <x v="0"/>
    <x v="2"/>
    <x v="2"/>
    <x v="8"/>
    <x v="8"/>
    <x v="4"/>
    <x v="5"/>
    <x v="5"/>
    <x v="40"/>
    <x v="40"/>
    <n v="140.11528999999999"/>
    <x v="1"/>
    <x v="2"/>
    <x v="5"/>
    <x v="7"/>
    <x v="11"/>
    <x v="22"/>
    <n v="166.73719509999998"/>
  </r>
  <r>
    <x v="13"/>
    <x v="1"/>
    <x v="1"/>
    <x v="1"/>
    <x v="1"/>
    <x v="6"/>
    <x v="0"/>
    <x v="0"/>
    <x v="2"/>
    <x v="2"/>
    <x v="9"/>
    <x v="9"/>
    <x v="3"/>
    <x v="3"/>
    <x v="3"/>
    <x v="40"/>
    <x v="40"/>
    <n v="17.7394"/>
    <x v="1"/>
    <x v="2"/>
    <x v="5"/>
    <x v="7"/>
    <x v="11"/>
    <x v="22"/>
    <n v="21.109885999999999"/>
  </r>
  <r>
    <x v="13"/>
    <x v="1"/>
    <x v="1"/>
    <x v="1"/>
    <x v="1"/>
    <x v="6"/>
    <x v="0"/>
    <x v="0"/>
    <x v="2"/>
    <x v="2"/>
    <x v="9"/>
    <x v="9"/>
    <x v="3"/>
    <x v="3"/>
    <x v="3"/>
    <x v="38"/>
    <x v="38"/>
    <n v="23.417629999999999"/>
    <x v="1"/>
    <x v="0"/>
    <x v="4"/>
    <x v="6"/>
    <x v="10"/>
    <x v="21"/>
    <n v="27.866979699999998"/>
  </r>
  <r>
    <x v="13"/>
    <x v="1"/>
    <x v="1"/>
    <x v="1"/>
    <x v="1"/>
    <x v="6"/>
    <x v="0"/>
    <x v="0"/>
    <x v="2"/>
    <x v="2"/>
    <x v="9"/>
    <x v="9"/>
    <x v="2"/>
    <x v="2"/>
    <x v="2"/>
    <x v="42"/>
    <x v="42"/>
    <n v="1123.92869"/>
    <x v="1"/>
    <x v="2"/>
    <x v="5"/>
    <x v="7"/>
    <x v="11"/>
    <x v="22"/>
    <n v="1337.4751411"/>
  </r>
  <r>
    <x v="13"/>
    <x v="1"/>
    <x v="1"/>
    <x v="1"/>
    <x v="1"/>
    <x v="6"/>
    <x v="0"/>
    <x v="0"/>
    <x v="0"/>
    <x v="0"/>
    <x v="9"/>
    <x v="9"/>
    <x v="2"/>
    <x v="2"/>
    <x v="2"/>
    <x v="7"/>
    <x v="7"/>
    <n v="91.845957832207006"/>
    <x v="0"/>
    <x v="0"/>
    <x v="1"/>
    <x v="4"/>
    <x v="5"/>
    <x v="7"/>
    <n v="109.29668982032634"/>
  </r>
  <r>
    <x v="13"/>
    <x v="1"/>
    <x v="1"/>
    <x v="1"/>
    <x v="1"/>
    <x v="6"/>
    <x v="0"/>
    <x v="0"/>
    <x v="2"/>
    <x v="2"/>
    <x v="9"/>
    <x v="9"/>
    <x v="2"/>
    <x v="2"/>
    <x v="2"/>
    <x v="41"/>
    <x v="41"/>
    <n v="527.33487912035196"/>
    <x v="1"/>
    <x v="2"/>
    <x v="5"/>
    <x v="7"/>
    <x v="11"/>
    <x v="22"/>
    <n v="627.52850615321881"/>
  </r>
  <r>
    <x v="13"/>
    <x v="1"/>
    <x v="1"/>
    <x v="1"/>
    <x v="1"/>
    <x v="6"/>
    <x v="0"/>
    <x v="0"/>
    <x v="2"/>
    <x v="2"/>
    <x v="9"/>
    <x v="9"/>
    <x v="2"/>
    <x v="2"/>
    <x v="2"/>
    <x v="40"/>
    <x v="40"/>
    <n v="13259.07926"/>
    <x v="1"/>
    <x v="2"/>
    <x v="5"/>
    <x v="7"/>
    <x v="11"/>
    <x v="22"/>
    <n v="15778.3043194"/>
  </r>
  <r>
    <x v="13"/>
    <x v="1"/>
    <x v="1"/>
    <x v="1"/>
    <x v="1"/>
    <x v="6"/>
    <x v="0"/>
    <x v="0"/>
    <x v="2"/>
    <x v="2"/>
    <x v="9"/>
    <x v="9"/>
    <x v="2"/>
    <x v="2"/>
    <x v="2"/>
    <x v="38"/>
    <x v="38"/>
    <n v="4784.4833600000002"/>
    <x v="1"/>
    <x v="0"/>
    <x v="4"/>
    <x v="6"/>
    <x v="10"/>
    <x v="21"/>
    <n v="5693.5351983999999"/>
  </r>
  <r>
    <x v="13"/>
    <x v="1"/>
    <x v="1"/>
    <x v="1"/>
    <x v="1"/>
    <x v="6"/>
    <x v="0"/>
    <x v="0"/>
    <x v="0"/>
    <x v="0"/>
    <x v="9"/>
    <x v="9"/>
    <x v="2"/>
    <x v="2"/>
    <x v="2"/>
    <x v="17"/>
    <x v="17"/>
    <n v="178.12026"/>
    <x v="0"/>
    <x v="0"/>
    <x v="0"/>
    <x v="0"/>
    <x v="4"/>
    <x v="17"/>
    <n v="211.96310939999998"/>
  </r>
  <r>
    <x v="13"/>
    <x v="1"/>
    <x v="1"/>
    <x v="1"/>
    <x v="1"/>
    <x v="6"/>
    <x v="0"/>
    <x v="0"/>
    <x v="2"/>
    <x v="2"/>
    <x v="9"/>
    <x v="9"/>
    <x v="2"/>
    <x v="2"/>
    <x v="2"/>
    <x v="48"/>
    <x v="48"/>
    <n v="32.1"/>
    <x v="1"/>
    <x v="0"/>
    <x v="4"/>
    <x v="6"/>
    <x v="10"/>
    <x v="21"/>
    <n v="38.198999999999998"/>
  </r>
  <r>
    <x v="13"/>
    <x v="1"/>
    <x v="1"/>
    <x v="1"/>
    <x v="1"/>
    <x v="6"/>
    <x v="0"/>
    <x v="0"/>
    <x v="0"/>
    <x v="0"/>
    <x v="9"/>
    <x v="9"/>
    <x v="2"/>
    <x v="2"/>
    <x v="2"/>
    <x v="18"/>
    <x v="18"/>
    <n v="1.4"/>
    <x v="0"/>
    <x v="0"/>
    <x v="0"/>
    <x v="0"/>
    <x v="4"/>
    <x v="18"/>
    <n v="1.6659999999999999"/>
  </r>
  <r>
    <x v="13"/>
    <x v="1"/>
    <x v="1"/>
    <x v="1"/>
    <x v="1"/>
    <x v="6"/>
    <x v="0"/>
    <x v="0"/>
    <x v="2"/>
    <x v="2"/>
    <x v="9"/>
    <x v="9"/>
    <x v="2"/>
    <x v="2"/>
    <x v="2"/>
    <x v="53"/>
    <x v="53"/>
    <n v="2.2000000000000002"/>
    <x v="1"/>
    <x v="0"/>
    <x v="4"/>
    <x v="6"/>
    <x v="10"/>
    <x v="21"/>
    <n v="2.6179999999999999"/>
  </r>
  <r>
    <x v="13"/>
    <x v="1"/>
    <x v="1"/>
    <x v="1"/>
    <x v="1"/>
    <x v="6"/>
    <x v="0"/>
    <x v="0"/>
    <x v="2"/>
    <x v="2"/>
    <x v="9"/>
    <x v="9"/>
    <x v="1"/>
    <x v="6"/>
    <x v="6"/>
    <x v="42"/>
    <x v="42"/>
    <n v="2490.88994"/>
    <x v="1"/>
    <x v="2"/>
    <x v="5"/>
    <x v="7"/>
    <x v="11"/>
    <x v="22"/>
    <n v="2964.1590286000001"/>
  </r>
  <r>
    <x v="13"/>
    <x v="1"/>
    <x v="1"/>
    <x v="1"/>
    <x v="1"/>
    <x v="6"/>
    <x v="0"/>
    <x v="0"/>
    <x v="2"/>
    <x v="2"/>
    <x v="9"/>
    <x v="9"/>
    <x v="1"/>
    <x v="6"/>
    <x v="6"/>
    <x v="41"/>
    <x v="41"/>
    <n v="148.913626373477"/>
    <x v="1"/>
    <x v="2"/>
    <x v="5"/>
    <x v="7"/>
    <x v="11"/>
    <x v="22"/>
    <n v="177.20721538443763"/>
  </r>
  <r>
    <x v="13"/>
    <x v="1"/>
    <x v="1"/>
    <x v="1"/>
    <x v="1"/>
    <x v="6"/>
    <x v="0"/>
    <x v="0"/>
    <x v="2"/>
    <x v="2"/>
    <x v="9"/>
    <x v="9"/>
    <x v="1"/>
    <x v="6"/>
    <x v="6"/>
    <x v="40"/>
    <x v="40"/>
    <n v="25735.1309"/>
    <x v="1"/>
    <x v="2"/>
    <x v="5"/>
    <x v="7"/>
    <x v="11"/>
    <x v="22"/>
    <n v="30624.805770999999"/>
  </r>
  <r>
    <x v="13"/>
    <x v="1"/>
    <x v="1"/>
    <x v="1"/>
    <x v="1"/>
    <x v="6"/>
    <x v="0"/>
    <x v="0"/>
    <x v="2"/>
    <x v="2"/>
    <x v="9"/>
    <x v="9"/>
    <x v="1"/>
    <x v="6"/>
    <x v="6"/>
    <x v="38"/>
    <x v="38"/>
    <n v="1460.11077"/>
    <x v="1"/>
    <x v="0"/>
    <x v="4"/>
    <x v="6"/>
    <x v="10"/>
    <x v="21"/>
    <n v="1737.5318162999999"/>
  </r>
  <r>
    <x v="13"/>
    <x v="1"/>
    <x v="1"/>
    <x v="1"/>
    <x v="1"/>
    <x v="6"/>
    <x v="0"/>
    <x v="0"/>
    <x v="0"/>
    <x v="0"/>
    <x v="9"/>
    <x v="9"/>
    <x v="1"/>
    <x v="6"/>
    <x v="6"/>
    <x v="17"/>
    <x v="17"/>
    <n v="617.92875000000004"/>
    <x v="0"/>
    <x v="0"/>
    <x v="0"/>
    <x v="0"/>
    <x v="4"/>
    <x v="17"/>
    <n v="735.33521250000001"/>
  </r>
  <r>
    <x v="13"/>
    <x v="1"/>
    <x v="1"/>
    <x v="1"/>
    <x v="1"/>
    <x v="6"/>
    <x v="0"/>
    <x v="0"/>
    <x v="2"/>
    <x v="2"/>
    <x v="9"/>
    <x v="9"/>
    <x v="1"/>
    <x v="6"/>
    <x v="6"/>
    <x v="48"/>
    <x v="48"/>
    <n v="3.6659999999999999"/>
    <x v="1"/>
    <x v="0"/>
    <x v="4"/>
    <x v="6"/>
    <x v="10"/>
    <x v="21"/>
    <n v="4.3625400000000001"/>
  </r>
  <r>
    <x v="13"/>
    <x v="1"/>
    <x v="1"/>
    <x v="1"/>
    <x v="1"/>
    <x v="6"/>
    <x v="0"/>
    <x v="0"/>
    <x v="2"/>
    <x v="2"/>
    <x v="9"/>
    <x v="9"/>
    <x v="3"/>
    <x v="7"/>
    <x v="7"/>
    <x v="40"/>
    <x v="40"/>
    <n v="751.09121000000005"/>
    <x v="1"/>
    <x v="2"/>
    <x v="5"/>
    <x v="7"/>
    <x v="11"/>
    <x v="22"/>
    <n v="893.79853990000004"/>
  </r>
  <r>
    <x v="13"/>
    <x v="1"/>
    <x v="1"/>
    <x v="1"/>
    <x v="1"/>
    <x v="6"/>
    <x v="0"/>
    <x v="0"/>
    <x v="2"/>
    <x v="2"/>
    <x v="9"/>
    <x v="9"/>
    <x v="1"/>
    <x v="8"/>
    <x v="8"/>
    <x v="40"/>
    <x v="40"/>
    <n v="12526.8838"/>
    <x v="1"/>
    <x v="2"/>
    <x v="5"/>
    <x v="7"/>
    <x v="11"/>
    <x v="22"/>
    <n v="14906.991721999999"/>
  </r>
  <r>
    <x v="13"/>
    <x v="1"/>
    <x v="1"/>
    <x v="1"/>
    <x v="1"/>
    <x v="6"/>
    <x v="0"/>
    <x v="0"/>
    <x v="2"/>
    <x v="2"/>
    <x v="9"/>
    <x v="9"/>
    <x v="2"/>
    <x v="10"/>
    <x v="10"/>
    <x v="40"/>
    <x v="40"/>
    <n v="196.56697"/>
    <x v="1"/>
    <x v="2"/>
    <x v="5"/>
    <x v="7"/>
    <x v="11"/>
    <x v="22"/>
    <n v="233.91469429999998"/>
  </r>
  <r>
    <x v="13"/>
    <x v="1"/>
    <x v="1"/>
    <x v="1"/>
    <x v="1"/>
    <x v="6"/>
    <x v="0"/>
    <x v="0"/>
    <x v="2"/>
    <x v="2"/>
    <x v="9"/>
    <x v="9"/>
    <x v="4"/>
    <x v="5"/>
    <x v="5"/>
    <x v="41"/>
    <x v="41"/>
    <n v="341.59451648317503"/>
    <x v="1"/>
    <x v="2"/>
    <x v="5"/>
    <x v="7"/>
    <x v="11"/>
    <x v="22"/>
    <n v="406.49747461497827"/>
  </r>
  <r>
    <x v="13"/>
    <x v="1"/>
    <x v="1"/>
    <x v="1"/>
    <x v="1"/>
    <x v="6"/>
    <x v="0"/>
    <x v="0"/>
    <x v="2"/>
    <x v="2"/>
    <x v="9"/>
    <x v="9"/>
    <x v="4"/>
    <x v="5"/>
    <x v="5"/>
    <x v="40"/>
    <x v="40"/>
    <n v="3316.4558200000001"/>
    <x v="1"/>
    <x v="2"/>
    <x v="5"/>
    <x v="7"/>
    <x v="11"/>
    <x v="22"/>
    <n v="3946.5824257999998"/>
  </r>
  <r>
    <x v="13"/>
    <x v="1"/>
    <x v="1"/>
    <x v="1"/>
    <x v="1"/>
    <x v="6"/>
    <x v="0"/>
    <x v="0"/>
    <x v="2"/>
    <x v="2"/>
    <x v="10"/>
    <x v="10"/>
    <x v="2"/>
    <x v="2"/>
    <x v="2"/>
    <x v="42"/>
    <x v="42"/>
    <n v="655.92254000000003"/>
    <x v="1"/>
    <x v="2"/>
    <x v="5"/>
    <x v="7"/>
    <x v="11"/>
    <x v="22"/>
    <n v="780.54782260000002"/>
  </r>
  <r>
    <x v="13"/>
    <x v="1"/>
    <x v="1"/>
    <x v="1"/>
    <x v="1"/>
    <x v="6"/>
    <x v="0"/>
    <x v="0"/>
    <x v="2"/>
    <x v="2"/>
    <x v="10"/>
    <x v="10"/>
    <x v="2"/>
    <x v="2"/>
    <x v="2"/>
    <x v="41"/>
    <x v="41"/>
    <n v="555.43360439504897"/>
    <x v="1"/>
    <x v="2"/>
    <x v="5"/>
    <x v="7"/>
    <x v="11"/>
    <x v="22"/>
    <n v="660.96598923010822"/>
  </r>
  <r>
    <x v="13"/>
    <x v="1"/>
    <x v="1"/>
    <x v="1"/>
    <x v="1"/>
    <x v="6"/>
    <x v="0"/>
    <x v="0"/>
    <x v="2"/>
    <x v="2"/>
    <x v="10"/>
    <x v="10"/>
    <x v="2"/>
    <x v="2"/>
    <x v="2"/>
    <x v="40"/>
    <x v="40"/>
    <n v="4563.14048"/>
    <x v="1"/>
    <x v="2"/>
    <x v="5"/>
    <x v="7"/>
    <x v="11"/>
    <x v="22"/>
    <n v="5430.1371712"/>
  </r>
  <r>
    <x v="13"/>
    <x v="1"/>
    <x v="1"/>
    <x v="1"/>
    <x v="1"/>
    <x v="6"/>
    <x v="0"/>
    <x v="0"/>
    <x v="0"/>
    <x v="0"/>
    <x v="10"/>
    <x v="10"/>
    <x v="2"/>
    <x v="2"/>
    <x v="2"/>
    <x v="17"/>
    <x v="17"/>
    <n v="64.04325"/>
    <x v="0"/>
    <x v="0"/>
    <x v="0"/>
    <x v="0"/>
    <x v="4"/>
    <x v="17"/>
    <n v="76.211467499999998"/>
  </r>
  <r>
    <x v="13"/>
    <x v="1"/>
    <x v="1"/>
    <x v="1"/>
    <x v="1"/>
    <x v="6"/>
    <x v="0"/>
    <x v="0"/>
    <x v="0"/>
    <x v="0"/>
    <x v="10"/>
    <x v="10"/>
    <x v="2"/>
    <x v="2"/>
    <x v="2"/>
    <x v="18"/>
    <x v="18"/>
    <n v="0.35"/>
    <x v="0"/>
    <x v="0"/>
    <x v="0"/>
    <x v="0"/>
    <x v="4"/>
    <x v="18"/>
    <n v="0.41649999999999998"/>
  </r>
  <r>
    <x v="13"/>
    <x v="1"/>
    <x v="1"/>
    <x v="1"/>
    <x v="1"/>
    <x v="6"/>
    <x v="0"/>
    <x v="0"/>
    <x v="2"/>
    <x v="2"/>
    <x v="10"/>
    <x v="10"/>
    <x v="1"/>
    <x v="6"/>
    <x v="6"/>
    <x v="42"/>
    <x v="42"/>
    <n v="0.71599999999999997"/>
    <x v="1"/>
    <x v="2"/>
    <x v="5"/>
    <x v="7"/>
    <x v="11"/>
    <x v="22"/>
    <n v="0.85203999999999991"/>
  </r>
  <r>
    <x v="13"/>
    <x v="1"/>
    <x v="1"/>
    <x v="1"/>
    <x v="1"/>
    <x v="6"/>
    <x v="0"/>
    <x v="0"/>
    <x v="0"/>
    <x v="0"/>
    <x v="10"/>
    <x v="10"/>
    <x v="1"/>
    <x v="6"/>
    <x v="6"/>
    <x v="7"/>
    <x v="7"/>
    <n v="9.8210903615400706"/>
    <x v="0"/>
    <x v="0"/>
    <x v="1"/>
    <x v="4"/>
    <x v="5"/>
    <x v="7"/>
    <n v="11.687097530232684"/>
  </r>
  <r>
    <x v="13"/>
    <x v="1"/>
    <x v="1"/>
    <x v="1"/>
    <x v="1"/>
    <x v="6"/>
    <x v="0"/>
    <x v="0"/>
    <x v="2"/>
    <x v="2"/>
    <x v="10"/>
    <x v="10"/>
    <x v="1"/>
    <x v="6"/>
    <x v="6"/>
    <x v="40"/>
    <x v="40"/>
    <n v="312.47498999999999"/>
    <x v="1"/>
    <x v="2"/>
    <x v="5"/>
    <x v="7"/>
    <x v="11"/>
    <x v="22"/>
    <n v="371.84523809999996"/>
  </r>
  <r>
    <x v="13"/>
    <x v="1"/>
    <x v="1"/>
    <x v="1"/>
    <x v="1"/>
    <x v="6"/>
    <x v="0"/>
    <x v="0"/>
    <x v="2"/>
    <x v="2"/>
    <x v="10"/>
    <x v="10"/>
    <x v="1"/>
    <x v="8"/>
    <x v="8"/>
    <x v="40"/>
    <x v="40"/>
    <n v="138.93755999999999"/>
    <x v="1"/>
    <x v="2"/>
    <x v="5"/>
    <x v="7"/>
    <x v="11"/>
    <x v="22"/>
    <n v="165.33569639999999"/>
  </r>
  <r>
    <x v="13"/>
    <x v="1"/>
    <x v="1"/>
    <x v="1"/>
    <x v="1"/>
    <x v="6"/>
    <x v="0"/>
    <x v="0"/>
    <x v="2"/>
    <x v="2"/>
    <x v="11"/>
    <x v="11"/>
    <x v="3"/>
    <x v="3"/>
    <x v="3"/>
    <x v="40"/>
    <x v="40"/>
    <n v="9.5489999999999995"/>
    <x v="1"/>
    <x v="2"/>
    <x v="5"/>
    <x v="7"/>
    <x v="11"/>
    <x v="22"/>
    <n v="11.363309999999998"/>
  </r>
  <r>
    <x v="13"/>
    <x v="1"/>
    <x v="1"/>
    <x v="1"/>
    <x v="1"/>
    <x v="6"/>
    <x v="0"/>
    <x v="0"/>
    <x v="0"/>
    <x v="0"/>
    <x v="11"/>
    <x v="11"/>
    <x v="2"/>
    <x v="2"/>
    <x v="2"/>
    <x v="7"/>
    <x v="7"/>
    <n v="8.7142590362282402"/>
    <x v="0"/>
    <x v="0"/>
    <x v="1"/>
    <x v="4"/>
    <x v="5"/>
    <x v="7"/>
    <n v="10.369968253111605"/>
  </r>
  <r>
    <x v="13"/>
    <x v="1"/>
    <x v="1"/>
    <x v="1"/>
    <x v="1"/>
    <x v="6"/>
    <x v="0"/>
    <x v="0"/>
    <x v="2"/>
    <x v="2"/>
    <x v="11"/>
    <x v="11"/>
    <x v="2"/>
    <x v="2"/>
    <x v="2"/>
    <x v="40"/>
    <x v="40"/>
    <n v="173.38471999999999"/>
    <x v="1"/>
    <x v="2"/>
    <x v="5"/>
    <x v="7"/>
    <x v="11"/>
    <x v="22"/>
    <n v="206.32781679999997"/>
  </r>
  <r>
    <x v="13"/>
    <x v="1"/>
    <x v="1"/>
    <x v="1"/>
    <x v="1"/>
    <x v="6"/>
    <x v="0"/>
    <x v="0"/>
    <x v="2"/>
    <x v="2"/>
    <x v="11"/>
    <x v="11"/>
    <x v="2"/>
    <x v="2"/>
    <x v="2"/>
    <x v="38"/>
    <x v="38"/>
    <n v="49.572429999999997"/>
    <x v="1"/>
    <x v="0"/>
    <x v="4"/>
    <x v="6"/>
    <x v="10"/>
    <x v="21"/>
    <n v="58.991191699999995"/>
  </r>
  <r>
    <x v="13"/>
    <x v="1"/>
    <x v="1"/>
    <x v="1"/>
    <x v="1"/>
    <x v="6"/>
    <x v="0"/>
    <x v="0"/>
    <x v="0"/>
    <x v="0"/>
    <x v="11"/>
    <x v="11"/>
    <x v="2"/>
    <x v="2"/>
    <x v="2"/>
    <x v="2"/>
    <x v="2"/>
    <n v="29.0484705881046"/>
    <x v="0"/>
    <x v="1"/>
    <x v="2"/>
    <x v="2"/>
    <x v="13"/>
    <x v="2"/>
    <n v="34.567679999844472"/>
  </r>
  <r>
    <x v="13"/>
    <x v="1"/>
    <x v="1"/>
    <x v="1"/>
    <x v="1"/>
    <x v="6"/>
    <x v="0"/>
    <x v="0"/>
    <x v="0"/>
    <x v="0"/>
    <x v="11"/>
    <x v="11"/>
    <x v="1"/>
    <x v="6"/>
    <x v="6"/>
    <x v="7"/>
    <x v="7"/>
    <n v="9.9592771085293403"/>
    <x v="0"/>
    <x v="0"/>
    <x v="1"/>
    <x v="4"/>
    <x v="5"/>
    <x v="7"/>
    <n v="11.851539759149915"/>
  </r>
  <r>
    <x v="13"/>
    <x v="1"/>
    <x v="1"/>
    <x v="1"/>
    <x v="1"/>
    <x v="6"/>
    <x v="0"/>
    <x v="0"/>
    <x v="2"/>
    <x v="2"/>
    <x v="11"/>
    <x v="11"/>
    <x v="1"/>
    <x v="6"/>
    <x v="6"/>
    <x v="40"/>
    <x v="40"/>
    <n v="267.54185000000001"/>
    <x v="1"/>
    <x v="2"/>
    <x v="5"/>
    <x v="7"/>
    <x v="11"/>
    <x v="22"/>
    <n v="318.37480149999999"/>
  </r>
  <r>
    <x v="13"/>
    <x v="1"/>
    <x v="1"/>
    <x v="1"/>
    <x v="1"/>
    <x v="6"/>
    <x v="0"/>
    <x v="0"/>
    <x v="2"/>
    <x v="2"/>
    <x v="11"/>
    <x v="11"/>
    <x v="1"/>
    <x v="6"/>
    <x v="6"/>
    <x v="38"/>
    <x v="38"/>
    <n v="58.628799999999998"/>
    <x v="1"/>
    <x v="0"/>
    <x v="4"/>
    <x v="6"/>
    <x v="10"/>
    <x v="21"/>
    <n v="69.768271999999996"/>
  </r>
  <r>
    <x v="13"/>
    <x v="1"/>
    <x v="1"/>
    <x v="1"/>
    <x v="1"/>
    <x v="6"/>
    <x v="0"/>
    <x v="0"/>
    <x v="0"/>
    <x v="0"/>
    <x v="11"/>
    <x v="11"/>
    <x v="4"/>
    <x v="5"/>
    <x v="5"/>
    <x v="7"/>
    <x v="7"/>
    <n v="117.883052711975"/>
    <x v="0"/>
    <x v="0"/>
    <x v="1"/>
    <x v="4"/>
    <x v="5"/>
    <x v="7"/>
    <n v="140.28083272725024"/>
  </r>
  <r>
    <x v="13"/>
    <x v="1"/>
    <x v="1"/>
    <x v="1"/>
    <x v="1"/>
    <x v="6"/>
    <x v="0"/>
    <x v="0"/>
    <x v="0"/>
    <x v="0"/>
    <x v="11"/>
    <x v="11"/>
    <x v="4"/>
    <x v="5"/>
    <x v="5"/>
    <x v="10"/>
    <x v="10"/>
    <n v="6.3070737962710801"/>
    <x v="0"/>
    <x v="0"/>
    <x v="1"/>
    <x v="4"/>
    <x v="5"/>
    <x v="10"/>
    <n v="7.5054178175625852"/>
  </r>
  <r>
    <x v="13"/>
    <x v="1"/>
    <x v="1"/>
    <x v="1"/>
    <x v="1"/>
    <x v="6"/>
    <x v="0"/>
    <x v="0"/>
    <x v="3"/>
    <x v="3"/>
    <x v="12"/>
    <x v="12"/>
    <x v="3"/>
    <x v="3"/>
    <x v="3"/>
    <x v="41"/>
    <x v="41"/>
    <n v="27.767054945027201"/>
    <x v="1"/>
    <x v="2"/>
    <x v="5"/>
    <x v="7"/>
    <x v="11"/>
    <x v="22"/>
    <n v="33.042795384582369"/>
  </r>
  <r>
    <x v="13"/>
    <x v="1"/>
    <x v="1"/>
    <x v="1"/>
    <x v="1"/>
    <x v="6"/>
    <x v="0"/>
    <x v="0"/>
    <x v="3"/>
    <x v="3"/>
    <x v="12"/>
    <x v="12"/>
    <x v="3"/>
    <x v="3"/>
    <x v="3"/>
    <x v="40"/>
    <x v="40"/>
    <n v="30.853850000000001"/>
    <x v="1"/>
    <x v="2"/>
    <x v="5"/>
    <x v="7"/>
    <x v="11"/>
    <x v="22"/>
    <n v="36.716081500000001"/>
  </r>
  <r>
    <x v="13"/>
    <x v="1"/>
    <x v="1"/>
    <x v="1"/>
    <x v="1"/>
    <x v="6"/>
    <x v="0"/>
    <x v="0"/>
    <x v="3"/>
    <x v="3"/>
    <x v="12"/>
    <x v="12"/>
    <x v="2"/>
    <x v="2"/>
    <x v="2"/>
    <x v="42"/>
    <x v="42"/>
    <n v="169.1"/>
    <x v="1"/>
    <x v="2"/>
    <x v="5"/>
    <x v="7"/>
    <x v="11"/>
    <x v="22"/>
    <n v="201.22899999999998"/>
  </r>
  <r>
    <x v="13"/>
    <x v="1"/>
    <x v="1"/>
    <x v="1"/>
    <x v="1"/>
    <x v="6"/>
    <x v="0"/>
    <x v="0"/>
    <x v="3"/>
    <x v="3"/>
    <x v="12"/>
    <x v="12"/>
    <x v="2"/>
    <x v="2"/>
    <x v="2"/>
    <x v="41"/>
    <x v="41"/>
    <n v="1617.92446153684"/>
    <x v="1"/>
    <x v="2"/>
    <x v="5"/>
    <x v="7"/>
    <x v="11"/>
    <x v="22"/>
    <n v="1925.3301092288395"/>
  </r>
  <r>
    <x v="13"/>
    <x v="1"/>
    <x v="1"/>
    <x v="1"/>
    <x v="1"/>
    <x v="6"/>
    <x v="0"/>
    <x v="0"/>
    <x v="3"/>
    <x v="3"/>
    <x v="12"/>
    <x v="12"/>
    <x v="2"/>
    <x v="2"/>
    <x v="2"/>
    <x v="40"/>
    <x v="40"/>
    <n v="2117.0588400000001"/>
    <x v="1"/>
    <x v="2"/>
    <x v="5"/>
    <x v="7"/>
    <x v="11"/>
    <x v="22"/>
    <n v="2519.3000196000003"/>
  </r>
  <r>
    <x v="13"/>
    <x v="1"/>
    <x v="1"/>
    <x v="1"/>
    <x v="1"/>
    <x v="6"/>
    <x v="0"/>
    <x v="0"/>
    <x v="3"/>
    <x v="3"/>
    <x v="12"/>
    <x v="12"/>
    <x v="1"/>
    <x v="6"/>
    <x v="6"/>
    <x v="42"/>
    <x v="42"/>
    <n v="267.16399999999999"/>
    <x v="1"/>
    <x v="2"/>
    <x v="5"/>
    <x v="7"/>
    <x v="11"/>
    <x v="22"/>
    <n v="317.92515999999995"/>
  </r>
  <r>
    <x v="13"/>
    <x v="1"/>
    <x v="1"/>
    <x v="1"/>
    <x v="1"/>
    <x v="6"/>
    <x v="0"/>
    <x v="0"/>
    <x v="3"/>
    <x v="3"/>
    <x v="12"/>
    <x v="12"/>
    <x v="1"/>
    <x v="6"/>
    <x v="6"/>
    <x v="41"/>
    <x v="41"/>
    <n v="716.19890109818505"/>
    <x v="1"/>
    <x v="2"/>
    <x v="5"/>
    <x v="7"/>
    <x v="11"/>
    <x v="22"/>
    <n v="852.27669230684012"/>
  </r>
  <r>
    <x v="13"/>
    <x v="1"/>
    <x v="1"/>
    <x v="1"/>
    <x v="1"/>
    <x v="6"/>
    <x v="0"/>
    <x v="0"/>
    <x v="3"/>
    <x v="3"/>
    <x v="12"/>
    <x v="12"/>
    <x v="1"/>
    <x v="6"/>
    <x v="6"/>
    <x v="40"/>
    <x v="40"/>
    <n v="2450.5820800000001"/>
    <x v="1"/>
    <x v="2"/>
    <x v="5"/>
    <x v="7"/>
    <x v="11"/>
    <x v="22"/>
    <n v="2916.1926751999999"/>
  </r>
  <r>
    <x v="13"/>
    <x v="1"/>
    <x v="1"/>
    <x v="1"/>
    <x v="1"/>
    <x v="6"/>
    <x v="0"/>
    <x v="0"/>
    <x v="3"/>
    <x v="3"/>
    <x v="12"/>
    <x v="12"/>
    <x v="3"/>
    <x v="7"/>
    <x v="7"/>
    <x v="41"/>
    <x v="41"/>
    <n v="16.837945054928198"/>
    <x v="1"/>
    <x v="2"/>
    <x v="5"/>
    <x v="7"/>
    <x v="11"/>
    <x v="22"/>
    <n v="20.037154615364557"/>
  </r>
  <r>
    <x v="13"/>
    <x v="1"/>
    <x v="1"/>
    <x v="1"/>
    <x v="1"/>
    <x v="6"/>
    <x v="0"/>
    <x v="0"/>
    <x v="3"/>
    <x v="3"/>
    <x v="12"/>
    <x v="12"/>
    <x v="3"/>
    <x v="7"/>
    <x v="7"/>
    <x v="40"/>
    <x v="40"/>
    <n v="181.13209000000001"/>
    <x v="1"/>
    <x v="2"/>
    <x v="5"/>
    <x v="7"/>
    <x v="11"/>
    <x v="22"/>
    <n v="215.5471871"/>
  </r>
  <r>
    <x v="13"/>
    <x v="1"/>
    <x v="1"/>
    <x v="1"/>
    <x v="1"/>
    <x v="6"/>
    <x v="0"/>
    <x v="0"/>
    <x v="3"/>
    <x v="3"/>
    <x v="12"/>
    <x v="12"/>
    <x v="1"/>
    <x v="8"/>
    <x v="8"/>
    <x v="40"/>
    <x v="40"/>
    <n v="82.918040000000005"/>
    <x v="1"/>
    <x v="2"/>
    <x v="5"/>
    <x v="7"/>
    <x v="11"/>
    <x v="22"/>
    <n v="98.672467600000004"/>
  </r>
  <r>
    <x v="13"/>
    <x v="1"/>
    <x v="1"/>
    <x v="1"/>
    <x v="1"/>
    <x v="6"/>
    <x v="0"/>
    <x v="0"/>
    <x v="3"/>
    <x v="3"/>
    <x v="12"/>
    <x v="12"/>
    <x v="2"/>
    <x v="10"/>
    <x v="10"/>
    <x v="41"/>
    <x v="41"/>
    <n v="5.9664615384555697"/>
    <x v="1"/>
    <x v="2"/>
    <x v="5"/>
    <x v="7"/>
    <x v="11"/>
    <x v="22"/>
    <n v="7.1000892307621273"/>
  </r>
  <r>
    <x v="13"/>
    <x v="1"/>
    <x v="1"/>
    <x v="1"/>
    <x v="1"/>
    <x v="6"/>
    <x v="0"/>
    <x v="0"/>
    <x v="3"/>
    <x v="3"/>
    <x v="12"/>
    <x v="12"/>
    <x v="2"/>
    <x v="10"/>
    <x v="10"/>
    <x v="40"/>
    <x v="40"/>
    <n v="17.974589999999999"/>
    <x v="1"/>
    <x v="2"/>
    <x v="5"/>
    <x v="7"/>
    <x v="11"/>
    <x v="22"/>
    <n v="21.389762099999999"/>
  </r>
  <r>
    <x v="13"/>
    <x v="1"/>
    <x v="1"/>
    <x v="1"/>
    <x v="1"/>
    <x v="6"/>
    <x v="0"/>
    <x v="0"/>
    <x v="3"/>
    <x v="3"/>
    <x v="12"/>
    <x v="12"/>
    <x v="4"/>
    <x v="5"/>
    <x v="5"/>
    <x v="41"/>
    <x v="41"/>
    <n v="22.594439560417001"/>
    <x v="1"/>
    <x v="2"/>
    <x v="5"/>
    <x v="7"/>
    <x v="11"/>
    <x v="22"/>
    <n v="26.887383076896231"/>
  </r>
  <r>
    <x v="13"/>
    <x v="1"/>
    <x v="1"/>
    <x v="1"/>
    <x v="1"/>
    <x v="6"/>
    <x v="0"/>
    <x v="0"/>
    <x v="3"/>
    <x v="3"/>
    <x v="12"/>
    <x v="12"/>
    <x v="4"/>
    <x v="5"/>
    <x v="5"/>
    <x v="40"/>
    <x v="40"/>
    <n v="237.52191999999999"/>
    <x v="1"/>
    <x v="2"/>
    <x v="5"/>
    <x v="7"/>
    <x v="11"/>
    <x v="22"/>
    <n v="282.65108479999998"/>
  </r>
  <r>
    <x v="13"/>
    <x v="1"/>
    <x v="1"/>
    <x v="1"/>
    <x v="1"/>
    <x v="6"/>
    <x v="0"/>
    <x v="0"/>
    <x v="3"/>
    <x v="3"/>
    <x v="13"/>
    <x v="13"/>
    <x v="2"/>
    <x v="2"/>
    <x v="2"/>
    <x v="42"/>
    <x v="42"/>
    <n v="65.233369999999994"/>
    <x v="1"/>
    <x v="2"/>
    <x v="5"/>
    <x v="7"/>
    <x v="11"/>
    <x v="22"/>
    <n v="77.62771029999999"/>
  </r>
  <r>
    <x v="13"/>
    <x v="1"/>
    <x v="1"/>
    <x v="1"/>
    <x v="1"/>
    <x v="6"/>
    <x v="0"/>
    <x v="0"/>
    <x v="3"/>
    <x v="3"/>
    <x v="13"/>
    <x v="13"/>
    <x v="2"/>
    <x v="2"/>
    <x v="2"/>
    <x v="7"/>
    <x v="7"/>
    <n v="4.7227409639010003E-2"/>
    <x v="0"/>
    <x v="0"/>
    <x v="1"/>
    <x v="4"/>
    <x v="5"/>
    <x v="7"/>
    <n v="5.6200617470421897E-2"/>
  </r>
  <r>
    <x v="13"/>
    <x v="1"/>
    <x v="1"/>
    <x v="1"/>
    <x v="1"/>
    <x v="6"/>
    <x v="0"/>
    <x v="0"/>
    <x v="3"/>
    <x v="3"/>
    <x v="13"/>
    <x v="13"/>
    <x v="2"/>
    <x v="2"/>
    <x v="2"/>
    <x v="41"/>
    <x v="41"/>
    <n v="311.11828571397501"/>
    <x v="1"/>
    <x v="2"/>
    <x v="5"/>
    <x v="7"/>
    <x v="11"/>
    <x v="22"/>
    <n v="370.23075999963027"/>
  </r>
  <r>
    <x v="13"/>
    <x v="1"/>
    <x v="1"/>
    <x v="1"/>
    <x v="1"/>
    <x v="6"/>
    <x v="0"/>
    <x v="0"/>
    <x v="3"/>
    <x v="3"/>
    <x v="13"/>
    <x v="13"/>
    <x v="2"/>
    <x v="2"/>
    <x v="2"/>
    <x v="40"/>
    <x v="40"/>
    <n v="2156.0938700000002"/>
    <x v="1"/>
    <x v="2"/>
    <x v="5"/>
    <x v="7"/>
    <x v="11"/>
    <x v="22"/>
    <n v="2565.7517053000001"/>
  </r>
  <r>
    <x v="13"/>
    <x v="1"/>
    <x v="1"/>
    <x v="1"/>
    <x v="1"/>
    <x v="6"/>
    <x v="0"/>
    <x v="0"/>
    <x v="3"/>
    <x v="3"/>
    <x v="13"/>
    <x v="13"/>
    <x v="1"/>
    <x v="6"/>
    <x v="6"/>
    <x v="42"/>
    <x v="42"/>
    <n v="226.58500000000001"/>
    <x v="1"/>
    <x v="2"/>
    <x v="5"/>
    <x v="7"/>
    <x v="11"/>
    <x v="22"/>
    <n v="269.63614999999999"/>
  </r>
  <r>
    <x v="13"/>
    <x v="1"/>
    <x v="1"/>
    <x v="1"/>
    <x v="1"/>
    <x v="6"/>
    <x v="0"/>
    <x v="0"/>
    <x v="3"/>
    <x v="3"/>
    <x v="13"/>
    <x v="13"/>
    <x v="1"/>
    <x v="6"/>
    <x v="6"/>
    <x v="41"/>
    <x v="41"/>
    <n v="193.12781318661999"/>
    <x v="1"/>
    <x v="2"/>
    <x v="5"/>
    <x v="7"/>
    <x v="11"/>
    <x v="22"/>
    <n v="229.82209769207779"/>
  </r>
  <r>
    <x v="13"/>
    <x v="1"/>
    <x v="1"/>
    <x v="1"/>
    <x v="1"/>
    <x v="6"/>
    <x v="0"/>
    <x v="0"/>
    <x v="3"/>
    <x v="3"/>
    <x v="13"/>
    <x v="13"/>
    <x v="1"/>
    <x v="6"/>
    <x v="6"/>
    <x v="40"/>
    <x v="40"/>
    <n v="2159.2516500000002"/>
    <x v="1"/>
    <x v="2"/>
    <x v="5"/>
    <x v="7"/>
    <x v="11"/>
    <x v="22"/>
    <n v="2569.5094635"/>
  </r>
  <r>
    <x v="13"/>
    <x v="1"/>
    <x v="1"/>
    <x v="1"/>
    <x v="1"/>
    <x v="6"/>
    <x v="0"/>
    <x v="0"/>
    <x v="3"/>
    <x v="3"/>
    <x v="13"/>
    <x v="13"/>
    <x v="1"/>
    <x v="8"/>
    <x v="8"/>
    <x v="40"/>
    <x v="40"/>
    <n v="119.55851"/>
    <x v="1"/>
    <x v="2"/>
    <x v="5"/>
    <x v="7"/>
    <x v="11"/>
    <x v="22"/>
    <n v="142.27462689999999"/>
  </r>
  <r>
    <x v="13"/>
    <x v="1"/>
    <x v="1"/>
    <x v="1"/>
    <x v="1"/>
    <x v="6"/>
    <x v="0"/>
    <x v="0"/>
    <x v="3"/>
    <x v="3"/>
    <x v="13"/>
    <x v="13"/>
    <x v="4"/>
    <x v="5"/>
    <x v="5"/>
    <x v="40"/>
    <x v="40"/>
    <n v="52.920099999999998"/>
    <x v="1"/>
    <x v="2"/>
    <x v="5"/>
    <x v="7"/>
    <x v="11"/>
    <x v="22"/>
    <n v="62.974918999999993"/>
  </r>
  <r>
    <x v="13"/>
    <x v="1"/>
    <x v="1"/>
    <x v="1"/>
    <x v="1"/>
    <x v="6"/>
    <x v="0"/>
    <x v="0"/>
    <x v="3"/>
    <x v="3"/>
    <x v="19"/>
    <x v="19"/>
    <x v="3"/>
    <x v="7"/>
    <x v="7"/>
    <x v="42"/>
    <x v="42"/>
    <n v="161.0616"/>
    <x v="1"/>
    <x v="2"/>
    <x v="5"/>
    <x v="7"/>
    <x v="11"/>
    <x v="22"/>
    <n v="191.66330399999998"/>
  </r>
  <r>
    <x v="13"/>
    <x v="1"/>
    <x v="1"/>
    <x v="1"/>
    <x v="1"/>
    <x v="6"/>
    <x v="0"/>
    <x v="0"/>
    <x v="3"/>
    <x v="3"/>
    <x v="19"/>
    <x v="19"/>
    <x v="3"/>
    <x v="7"/>
    <x v="7"/>
    <x v="41"/>
    <x v="41"/>
    <n v="159.69651648335699"/>
    <x v="1"/>
    <x v="2"/>
    <x v="5"/>
    <x v="7"/>
    <x v="11"/>
    <x v="22"/>
    <n v="190.03885461519479"/>
  </r>
  <r>
    <x v="13"/>
    <x v="1"/>
    <x v="1"/>
    <x v="1"/>
    <x v="1"/>
    <x v="6"/>
    <x v="0"/>
    <x v="0"/>
    <x v="3"/>
    <x v="3"/>
    <x v="19"/>
    <x v="19"/>
    <x v="3"/>
    <x v="7"/>
    <x v="7"/>
    <x v="40"/>
    <x v="40"/>
    <n v="6678.4062899999999"/>
    <x v="1"/>
    <x v="2"/>
    <x v="5"/>
    <x v="7"/>
    <x v="11"/>
    <x v="22"/>
    <n v="7947.3034850999993"/>
  </r>
  <r>
    <x v="13"/>
    <x v="1"/>
    <x v="1"/>
    <x v="1"/>
    <x v="1"/>
    <x v="6"/>
    <x v="0"/>
    <x v="0"/>
    <x v="3"/>
    <x v="3"/>
    <x v="19"/>
    <x v="19"/>
    <x v="1"/>
    <x v="8"/>
    <x v="8"/>
    <x v="42"/>
    <x v="42"/>
    <n v="30.128399999999999"/>
    <x v="1"/>
    <x v="2"/>
    <x v="5"/>
    <x v="7"/>
    <x v="11"/>
    <x v="22"/>
    <n v="35.852795999999998"/>
  </r>
  <r>
    <x v="13"/>
    <x v="1"/>
    <x v="1"/>
    <x v="1"/>
    <x v="1"/>
    <x v="6"/>
    <x v="0"/>
    <x v="0"/>
    <x v="3"/>
    <x v="3"/>
    <x v="19"/>
    <x v="19"/>
    <x v="1"/>
    <x v="8"/>
    <x v="8"/>
    <x v="41"/>
    <x v="41"/>
    <n v="21.407780219758799"/>
    <x v="1"/>
    <x v="2"/>
    <x v="5"/>
    <x v="7"/>
    <x v="11"/>
    <x v="22"/>
    <n v="25.475258461512968"/>
  </r>
  <r>
    <x v="13"/>
    <x v="1"/>
    <x v="1"/>
    <x v="1"/>
    <x v="1"/>
    <x v="6"/>
    <x v="0"/>
    <x v="0"/>
    <x v="3"/>
    <x v="3"/>
    <x v="19"/>
    <x v="19"/>
    <x v="1"/>
    <x v="8"/>
    <x v="8"/>
    <x v="40"/>
    <x v="40"/>
    <n v="2090.3256799999999"/>
    <x v="1"/>
    <x v="2"/>
    <x v="5"/>
    <x v="7"/>
    <x v="11"/>
    <x v="22"/>
    <n v="2487.4875591999999"/>
  </r>
  <r>
    <x v="13"/>
    <x v="1"/>
    <x v="1"/>
    <x v="1"/>
    <x v="1"/>
    <x v="6"/>
    <x v="0"/>
    <x v="0"/>
    <x v="3"/>
    <x v="3"/>
    <x v="19"/>
    <x v="19"/>
    <x v="2"/>
    <x v="10"/>
    <x v="10"/>
    <x v="42"/>
    <x v="42"/>
    <n v="24.375599999999999"/>
    <x v="1"/>
    <x v="2"/>
    <x v="5"/>
    <x v="7"/>
    <x v="11"/>
    <x v="22"/>
    <n v="29.006963999999996"/>
  </r>
  <r>
    <x v="13"/>
    <x v="1"/>
    <x v="1"/>
    <x v="1"/>
    <x v="1"/>
    <x v="6"/>
    <x v="0"/>
    <x v="0"/>
    <x v="3"/>
    <x v="3"/>
    <x v="19"/>
    <x v="19"/>
    <x v="2"/>
    <x v="10"/>
    <x v="10"/>
    <x v="41"/>
    <x v="41"/>
    <n v="26.6901098900832"/>
    <x v="1"/>
    <x v="2"/>
    <x v="5"/>
    <x v="7"/>
    <x v="11"/>
    <x v="22"/>
    <n v="31.761230769199006"/>
  </r>
  <r>
    <x v="13"/>
    <x v="1"/>
    <x v="1"/>
    <x v="1"/>
    <x v="1"/>
    <x v="6"/>
    <x v="0"/>
    <x v="0"/>
    <x v="3"/>
    <x v="3"/>
    <x v="19"/>
    <x v="19"/>
    <x v="2"/>
    <x v="10"/>
    <x v="10"/>
    <x v="40"/>
    <x v="40"/>
    <n v="891.26963999999998"/>
    <x v="1"/>
    <x v="2"/>
    <x v="5"/>
    <x v="7"/>
    <x v="11"/>
    <x v="22"/>
    <n v="1060.6108715999999"/>
  </r>
  <r>
    <x v="13"/>
    <x v="1"/>
    <x v="1"/>
    <x v="1"/>
    <x v="1"/>
    <x v="6"/>
    <x v="0"/>
    <x v="0"/>
    <x v="3"/>
    <x v="3"/>
    <x v="19"/>
    <x v="19"/>
    <x v="4"/>
    <x v="5"/>
    <x v="5"/>
    <x v="42"/>
    <x v="42"/>
    <n v="186.64439999999999"/>
    <x v="1"/>
    <x v="2"/>
    <x v="5"/>
    <x v="7"/>
    <x v="11"/>
    <x v="22"/>
    <n v="222.10683599999999"/>
  </r>
  <r>
    <x v="13"/>
    <x v="1"/>
    <x v="1"/>
    <x v="1"/>
    <x v="1"/>
    <x v="6"/>
    <x v="0"/>
    <x v="0"/>
    <x v="3"/>
    <x v="3"/>
    <x v="19"/>
    <x v="19"/>
    <x v="4"/>
    <x v="5"/>
    <x v="5"/>
    <x v="7"/>
    <x v="7"/>
    <n v="312.97787801505302"/>
    <x v="0"/>
    <x v="0"/>
    <x v="1"/>
    <x v="4"/>
    <x v="5"/>
    <x v="7"/>
    <n v="372.44367483791308"/>
  </r>
  <r>
    <x v="13"/>
    <x v="1"/>
    <x v="1"/>
    <x v="1"/>
    <x v="1"/>
    <x v="6"/>
    <x v="0"/>
    <x v="0"/>
    <x v="3"/>
    <x v="3"/>
    <x v="19"/>
    <x v="19"/>
    <x v="4"/>
    <x v="5"/>
    <x v="5"/>
    <x v="41"/>
    <x v="41"/>
    <n v="678.43064835097005"/>
    <x v="1"/>
    <x v="2"/>
    <x v="5"/>
    <x v="7"/>
    <x v="11"/>
    <x v="22"/>
    <n v="807.33247153765433"/>
  </r>
  <r>
    <x v="13"/>
    <x v="1"/>
    <x v="1"/>
    <x v="1"/>
    <x v="1"/>
    <x v="6"/>
    <x v="0"/>
    <x v="0"/>
    <x v="3"/>
    <x v="3"/>
    <x v="19"/>
    <x v="19"/>
    <x v="4"/>
    <x v="5"/>
    <x v="5"/>
    <x v="40"/>
    <x v="40"/>
    <n v="9232.62075"/>
    <x v="1"/>
    <x v="2"/>
    <x v="5"/>
    <x v="7"/>
    <x v="11"/>
    <x v="22"/>
    <n v="10986.818692499999"/>
  </r>
  <r>
    <x v="13"/>
    <x v="1"/>
    <x v="1"/>
    <x v="1"/>
    <x v="1"/>
    <x v="6"/>
    <x v="0"/>
    <x v="0"/>
    <x v="3"/>
    <x v="3"/>
    <x v="19"/>
    <x v="19"/>
    <x v="4"/>
    <x v="5"/>
    <x v="5"/>
    <x v="38"/>
    <x v="38"/>
    <n v="766.26832999999999"/>
    <x v="1"/>
    <x v="0"/>
    <x v="4"/>
    <x v="6"/>
    <x v="10"/>
    <x v="21"/>
    <n v="911.85931269999992"/>
  </r>
  <r>
    <x v="13"/>
    <x v="1"/>
    <x v="1"/>
    <x v="1"/>
    <x v="1"/>
    <x v="6"/>
    <x v="0"/>
    <x v="0"/>
    <x v="3"/>
    <x v="3"/>
    <x v="19"/>
    <x v="19"/>
    <x v="4"/>
    <x v="5"/>
    <x v="5"/>
    <x v="17"/>
    <x v="17"/>
    <n v="44.099969999999999"/>
    <x v="1"/>
    <x v="0"/>
    <x v="0"/>
    <x v="0"/>
    <x v="4"/>
    <x v="17"/>
    <n v="52.478964299999994"/>
  </r>
  <r>
    <x v="13"/>
    <x v="1"/>
    <x v="1"/>
    <x v="1"/>
    <x v="1"/>
    <x v="6"/>
    <x v="0"/>
    <x v="0"/>
    <x v="4"/>
    <x v="4"/>
    <x v="20"/>
    <x v="20"/>
    <x v="2"/>
    <x v="2"/>
    <x v="2"/>
    <x v="38"/>
    <x v="38"/>
    <n v="183.85"/>
    <x v="1"/>
    <x v="0"/>
    <x v="4"/>
    <x v="6"/>
    <x v="10"/>
    <x v="21"/>
    <n v="218.78149999999999"/>
  </r>
  <r>
    <x v="13"/>
    <x v="1"/>
    <x v="1"/>
    <x v="1"/>
    <x v="1"/>
    <x v="6"/>
    <x v="0"/>
    <x v="0"/>
    <x v="4"/>
    <x v="4"/>
    <x v="20"/>
    <x v="20"/>
    <x v="2"/>
    <x v="2"/>
    <x v="2"/>
    <x v="44"/>
    <x v="44"/>
    <n v="32.5"/>
    <x v="1"/>
    <x v="0"/>
    <x v="4"/>
    <x v="6"/>
    <x v="10"/>
    <x v="21"/>
    <n v="38.674999999999997"/>
  </r>
  <r>
    <x v="13"/>
    <x v="1"/>
    <x v="1"/>
    <x v="1"/>
    <x v="1"/>
    <x v="6"/>
    <x v="0"/>
    <x v="0"/>
    <x v="4"/>
    <x v="4"/>
    <x v="20"/>
    <x v="20"/>
    <x v="1"/>
    <x v="8"/>
    <x v="8"/>
    <x v="38"/>
    <x v="38"/>
    <n v="374.40010999999998"/>
    <x v="1"/>
    <x v="0"/>
    <x v="4"/>
    <x v="6"/>
    <x v="10"/>
    <x v="21"/>
    <n v="445.53613089999993"/>
  </r>
  <r>
    <x v="13"/>
    <x v="1"/>
    <x v="1"/>
    <x v="1"/>
    <x v="1"/>
    <x v="6"/>
    <x v="0"/>
    <x v="0"/>
    <x v="4"/>
    <x v="4"/>
    <x v="27"/>
    <x v="27"/>
    <x v="2"/>
    <x v="2"/>
    <x v="2"/>
    <x v="38"/>
    <x v="38"/>
    <n v="59.971339999999998"/>
    <x v="1"/>
    <x v="0"/>
    <x v="4"/>
    <x v="6"/>
    <x v="10"/>
    <x v="21"/>
    <n v="71.36589459999999"/>
  </r>
  <r>
    <x v="13"/>
    <x v="1"/>
    <x v="1"/>
    <x v="1"/>
    <x v="1"/>
    <x v="6"/>
    <x v="0"/>
    <x v="0"/>
    <x v="2"/>
    <x v="2"/>
    <x v="14"/>
    <x v="14"/>
    <x v="0"/>
    <x v="4"/>
    <x v="4"/>
    <x v="41"/>
    <x v="41"/>
    <n v="21.881879120857199"/>
    <x v="1"/>
    <x v="2"/>
    <x v="5"/>
    <x v="7"/>
    <x v="11"/>
    <x v="22"/>
    <n v="26.039436153820066"/>
  </r>
  <r>
    <x v="13"/>
    <x v="1"/>
    <x v="1"/>
    <x v="1"/>
    <x v="1"/>
    <x v="6"/>
    <x v="0"/>
    <x v="0"/>
    <x v="2"/>
    <x v="2"/>
    <x v="14"/>
    <x v="14"/>
    <x v="0"/>
    <x v="4"/>
    <x v="4"/>
    <x v="40"/>
    <x v="40"/>
    <n v="1075.9355499999999"/>
    <x v="1"/>
    <x v="2"/>
    <x v="5"/>
    <x v="7"/>
    <x v="11"/>
    <x v="22"/>
    <n v="1280.3633044999999"/>
  </r>
  <r>
    <x v="13"/>
    <x v="1"/>
    <x v="1"/>
    <x v="1"/>
    <x v="1"/>
    <x v="6"/>
    <x v="0"/>
    <x v="0"/>
    <x v="2"/>
    <x v="2"/>
    <x v="14"/>
    <x v="14"/>
    <x v="2"/>
    <x v="2"/>
    <x v="2"/>
    <x v="42"/>
    <x v="42"/>
    <n v="11.127000000000001"/>
    <x v="1"/>
    <x v="2"/>
    <x v="5"/>
    <x v="7"/>
    <x v="11"/>
    <x v="22"/>
    <n v="13.24113"/>
  </r>
  <r>
    <x v="13"/>
    <x v="1"/>
    <x v="1"/>
    <x v="1"/>
    <x v="1"/>
    <x v="6"/>
    <x v="0"/>
    <x v="0"/>
    <x v="2"/>
    <x v="2"/>
    <x v="14"/>
    <x v="14"/>
    <x v="2"/>
    <x v="2"/>
    <x v="2"/>
    <x v="40"/>
    <x v="40"/>
    <n v="1674.0382099999999"/>
    <x v="1"/>
    <x v="2"/>
    <x v="5"/>
    <x v="7"/>
    <x v="11"/>
    <x v="22"/>
    <n v="1992.1054698999999"/>
  </r>
  <r>
    <x v="13"/>
    <x v="1"/>
    <x v="1"/>
    <x v="1"/>
    <x v="1"/>
    <x v="6"/>
    <x v="0"/>
    <x v="0"/>
    <x v="2"/>
    <x v="2"/>
    <x v="14"/>
    <x v="14"/>
    <x v="2"/>
    <x v="2"/>
    <x v="2"/>
    <x v="38"/>
    <x v="38"/>
    <n v="0.495"/>
    <x v="1"/>
    <x v="0"/>
    <x v="4"/>
    <x v="6"/>
    <x v="10"/>
    <x v="21"/>
    <n v="0.58904999999999996"/>
  </r>
  <r>
    <x v="13"/>
    <x v="1"/>
    <x v="1"/>
    <x v="1"/>
    <x v="1"/>
    <x v="6"/>
    <x v="0"/>
    <x v="0"/>
    <x v="2"/>
    <x v="2"/>
    <x v="14"/>
    <x v="14"/>
    <x v="1"/>
    <x v="6"/>
    <x v="6"/>
    <x v="40"/>
    <x v="40"/>
    <n v="42.075000000000003"/>
    <x v="1"/>
    <x v="2"/>
    <x v="5"/>
    <x v="7"/>
    <x v="11"/>
    <x v="22"/>
    <n v="50.069250000000004"/>
  </r>
  <r>
    <x v="13"/>
    <x v="1"/>
    <x v="1"/>
    <x v="1"/>
    <x v="1"/>
    <x v="6"/>
    <x v="0"/>
    <x v="0"/>
    <x v="2"/>
    <x v="2"/>
    <x v="14"/>
    <x v="14"/>
    <x v="3"/>
    <x v="7"/>
    <x v="7"/>
    <x v="40"/>
    <x v="40"/>
    <n v="2.2259999999999999E-2"/>
    <x v="1"/>
    <x v="2"/>
    <x v="5"/>
    <x v="7"/>
    <x v="11"/>
    <x v="22"/>
    <n v="2.6489399999999996E-2"/>
  </r>
  <r>
    <x v="13"/>
    <x v="1"/>
    <x v="1"/>
    <x v="1"/>
    <x v="1"/>
    <x v="6"/>
    <x v="0"/>
    <x v="0"/>
    <x v="2"/>
    <x v="2"/>
    <x v="14"/>
    <x v="14"/>
    <x v="1"/>
    <x v="8"/>
    <x v="8"/>
    <x v="40"/>
    <x v="40"/>
    <n v="5.5799999999999999E-3"/>
    <x v="1"/>
    <x v="2"/>
    <x v="5"/>
    <x v="7"/>
    <x v="11"/>
    <x v="22"/>
    <n v="6.6401999999999997E-3"/>
  </r>
  <r>
    <x v="13"/>
    <x v="1"/>
    <x v="1"/>
    <x v="1"/>
    <x v="1"/>
    <x v="6"/>
    <x v="0"/>
    <x v="0"/>
    <x v="2"/>
    <x v="2"/>
    <x v="14"/>
    <x v="14"/>
    <x v="4"/>
    <x v="5"/>
    <x v="5"/>
    <x v="40"/>
    <x v="40"/>
    <n v="289.10766000000001"/>
    <x v="1"/>
    <x v="2"/>
    <x v="5"/>
    <x v="7"/>
    <x v="11"/>
    <x v="22"/>
    <n v="344.03811539999998"/>
  </r>
  <r>
    <x v="13"/>
    <x v="1"/>
    <x v="1"/>
    <x v="1"/>
    <x v="1"/>
    <x v="6"/>
    <x v="0"/>
    <x v="0"/>
    <x v="2"/>
    <x v="2"/>
    <x v="15"/>
    <x v="15"/>
    <x v="3"/>
    <x v="3"/>
    <x v="3"/>
    <x v="42"/>
    <x v="42"/>
    <n v="152.38300000000001"/>
    <x v="1"/>
    <x v="2"/>
    <x v="5"/>
    <x v="7"/>
    <x v="11"/>
    <x v="22"/>
    <n v="181.33577"/>
  </r>
  <r>
    <x v="13"/>
    <x v="1"/>
    <x v="1"/>
    <x v="1"/>
    <x v="1"/>
    <x v="6"/>
    <x v="0"/>
    <x v="0"/>
    <x v="2"/>
    <x v="2"/>
    <x v="15"/>
    <x v="15"/>
    <x v="3"/>
    <x v="3"/>
    <x v="3"/>
    <x v="41"/>
    <x v="41"/>
    <n v="10.6528901098795"/>
    <x v="1"/>
    <x v="2"/>
    <x v="5"/>
    <x v="7"/>
    <x v="11"/>
    <x v="22"/>
    <n v="12.676939230756604"/>
  </r>
  <r>
    <x v="13"/>
    <x v="1"/>
    <x v="1"/>
    <x v="1"/>
    <x v="1"/>
    <x v="6"/>
    <x v="0"/>
    <x v="0"/>
    <x v="2"/>
    <x v="2"/>
    <x v="15"/>
    <x v="15"/>
    <x v="3"/>
    <x v="3"/>
    <x v="3"/>
    <x v="40"/>
    <x v="40"/>
    <n v="1132.72074"/>
    <x v="1"/>
    <x v="2"/>
    <x v="5"/>
    <x v="7"/>
    <x v="11"/>
    <x v="22"/>
    <n v="1347.9376806"/>
  </r>
  <r>
    <x v="13"/>
    <x v="1"/>
    <x v="1"/>
    <x v="1"/>
    <x v="1"/>
    <x v="6"/>
    <x v="0"/>
    <x v="0"/>
    <x v="2"/>
    <x v="2"/>
    <x v="15"/>
    <x v="15"/>
    <x v="0"/>
    <x v="4"/>
    <x v="4"/>
    <x v="42"/>
    <x v="42"/>
    <n v="748.03080999999997"/>
    <x v="1"/>
    <x v="2"/>
    <x v="5"/>
    <x v="7"/>
    <x v="11"/>
    <x v="22"/>
    <n v="890.1566638999999"/>
  </r>
  <r>
    <x v="13"/>
    <x v="1"/>
    <x v="1"/>
    <x v="1"/>
    <x v="1"/>
    <x v="6"/>
    <x v="0"/>
    <x v="0"/>
    <x v="2"/>
    <x v="2"/>
    <x v="15"/>
    <x v="15"/>
    <x v="0"/>
    <x v="4"/>
    <x v="4"/>
    <x v="41"/>
    <x v="41"/>
    <n v="123.586857142734"/>
    <x v="1"/>
    <x v="2"/>
    <x v="5"/>
    <x v="7"/>
    <x v="11"/>
    <x v="22"/>
    <n v="147.06835999985347"/>
  </r>
  <r>
    <x v="13"/>
    <x v="1"/>
    <x v="1"/>
    <x v="1"/>
    <x v="1"/>
    <x v="6"/>
    <x v="0"/>
    <x v="0"/>
    <x v="2"/>
    <x v="2"/>
    <x v="15"/>
    <x v="15"/>
    <x v="0"/>
    <x v="4"/>
    <x v="4"/>
    <x v="40"/>
    <x v="40"/>
    <n v="2157.4922299999998"/>
    <x v="1"/>
    <x v="2"/>
    <x v="5"/>
    <x v="7"/>
    <x v="11"/>
    <x v="22"/>
    <n v="2567.4157536999996"/>
  </r>
  <r>
    <x v="13"/>
    <x v="1"/>
    <x v="1"/>
    <x v="1"/>
    <x v="1"/>
    <x v="6"/>
    <x v="0"/>
    <x v="0"/>
    <x v="2"/>
    <x v="2"/>
    <x v="15"/>
    <x v="15"/>
    <x v="2"/>
    <x v="2"/>
    <x v="2"/>
    <x v="42"/>
    <x v="42"/>
    <n v="197.34004999999999"/>
    <x v="1"/>
    <x v="2"/>
    <x v="5"/>
    <x v="7"/>
    <x v="11"/>
    <x v="22"/>
    <n v="234.83465949999999"/>
  </r>
  <r>
    <x v="13"/>
    <x v="1"/>
    <x v="1"/>
    <x v="1"/>
    <x v="1"/>
    <x v="6"/>
    <x v="0"/>
    <x v="0"/>
    <x v="2"/>
    <x v="2"/>
    <x v="15"/>
    <x v="15"/>
    <x v="2"/>
    <x v="2"/>
    <x v="2"/>
    <x v="41"/>
    <x v="41"/>
    <n v="43.173999999956798"/>
    <x v="1"/>
    <x v="2"/>
    <x v="5"/>
    <x v="7"/>
    <x v="11"/>
    <x v="22"/>
    <n v="51.377059999948585"/>
  </r>
  <r>
    <x v="13"/>
    <x v="1"/>
    <x v="1"/>
    <x v="1"/>
    <x v="1"/>
    <x v="6"/>
    <x v="0"/>
    <x v="0"/>
    <x v="2"/>
    <x v="2"/>
    <x v="15"/>
    <x v="15"/>
    <x v="2"/>
    <x v="2"/>
    <x v="2"/>
    <x v="40"/>
    <x v="40"/>
    <n v="1090.63752"/>
    <x v="1"/>
    <x v="2"/>
    <x v="5"/>
    <x v="7"/>
    <x v="11"/>
    <x v="22"/>
    <n v="1297.8586487999999"/>
  </r>
  <r>
    <x v="13"/>
    <x v="1"/>
    <x v="1"/>
    <x v="1"/>
    <x v="1"/>
    <x v="6"/>
    <x v="0"/>
    <x v="0"/>
    <x v="2"/>
    <x v="2"/>
    <x v="15"/>
    <x v="15"/>
    <x v="2"/>
    <x v="2"/>
    <x v="2"/>
    <x v="38"/>
    <x v="38"/>
    <n v="34.967149999999997"/>
    <x v="1"/>
    <x v="0"/>
    <x v="4"/>
    <x v="6"/>
    <x v="10"/>
    <x v="21"/>
    <n v="41.610908499999994"/>
  </r>
  <r>
    <x v="13"/>
    <x v="1"/>
    <x v="1"/>
    <x v="1"/>
    <x v="1"/>
    <x v="6"/>
    <x v="0"/>
    <x v="0"/>
    <x v="2"/>
    <x v="2"/>
    <x v="15"/>
    <x v="15"/>
    <x v="1"/>
    <x v="6"/>
    <x v="6"/>
    <x v="42"/>
    <x v="42"/>
    <n v="4.1420000000000003"/>
    <x v="1"/>
    <x v="2"/>
    <x v="5"/>
    <x v="7"/>
    <x v="11"/>
    <x v="22"/>
    <n v="4.9289800000000001"/>
  </r>
  <r>
    <x v="13"/>
    <x v="1"/>
    <x v="1"/>
    <x v="1"/>
    <x v="1"/>
    <x v="6"/>
    <x v="0"/>
    <x v="0"/>
    <x v="2"/>
    <x v="2"/>
    <x v="15"/>
    <x v="15"/>
    <x v="1"/>
    <x v="6"/>
    <x v="6"/>
    <x v="41"/>
    <x v="41"/>
    <n v="26.729890109863401"/>
    <x v="1"/>
    <x v="2"/>
    <x v="5"/>
    <x v="7"/>
    <x v="11"/>
    <x v="22"/>
    <n v="31.808569230737447"/>
  </r>
  <r>
    <x v="13"/>
    <x v="1"/>
    <x v="1"/>
    <x v="1"/>
    <x v="1"/>
    <x v="6"/>
    <x v="0"/>
    <x v="0"/>
    <x v="2"/>
    <x v="2"/>
    <x v="15"/>
    <x v="15"/>
    <x v="1"/>
    <x v="6"/>
    <x v="6"/>
    <x v="40"/>
    <x v="40"/>
    <n v="252.10828000000001"/>
    <x v="1"/>
    <x v="2"/>
    <x v="5"/>
    <x v="7"/>
    <x v="11"/>
    <x v="22"/>
    <n v="300.00885319999998"/>
  </r>
  <r>
    <x v="13"/>
    <x v="1"/>
    <x v="1"/>
    <x v="1"/>
    <x v="1"/>
    <x v="6"/>
    <x v="0"/>
    <x v="0"/>
    <x v="2"/>
    <x v="2"/>
    <x v="15"/>
    <x v="15"/>
    <x v="3"/>
    <x v="7"/>
    <x v="7"/>
    <x v="42"/>
    <x v="42"/>
    <n v="198.00479999999999"/>
    <x v="1"/>
    <x v="2"/>
    <x v="5"/>
    <x v="7"/>
    <x v="11"/>
    <x v="22"/>
    <n v="235.62571199999996"/>
  </r>
  <r>
    <x v="13"/>
    <x v="1"/>
    <x v="1"/>
    <x v="1"/>
    <x v="1"/>
    <x v="6"/>
    <x v="0"/>
    <x v="0"/>
    <x v="2"/>
    <x v="2"/>
    <x v="15"/>
    <x v="15"/>
    <x v="3"/>
    <x v="7"/>
    <x v="7"/>
    <x v="40"/>
    <x v="40"/>
    <n v="12.01599"/>
    <x v="1"/>
    <x v="2"/>
    <x v="5"/>
    <x v="7"/>
    <x v="11"/>
    <x v="22"/>
    <n v="14.299028099999999"/>
  </r>
  <r>
    <x v="13"/>
    <x v="1"/>
    <x v="1"/>
    <x v="1"/>
    <x v="1"/>
    <x v="6"/>
    <x v="0"/>
    <x v="0"/>
    <x v="2"/>
    <x v="2"/>
    <x v="15"/>
    <x v="15"/>
    <x v="1"/>
    <x v="8"/>
    <x v="8"/>
    <x v="42"/>
    <x v="42"/>
    <n v="3.1080000000000001"/>
    <x v="1"/>
    <x v="2"/>
    <x v="5"/>
    <x v="7"/>
    <x v="11"/>
    <x v="22"/>
    <n v="3.6985199999999998"/>
  </r>
  <r>
    <x v="13"/>
    <x v="1"/>
    <x v="1"/>
    <x v="1"/>
    <x v="1"/>
    <x v="6"/>
    <x v="0"/>
    <x v="0"/>
    <x v="2"/>
    <x v="2"/>
    <x v="15"/>
    <x v="15"/>
    <x v="1"/>
    <x v="8"/>
    <x v="8"/>
    <x v="40"/>
    <x v="40"/>
    <n v="25.54935"/>
    <x v="1"/>
    <x v="2"/>
    <x v="5"/>
    <x v="7"/>
    <x v="11"/>
    <x v="22"/>
    <n v="30.403726499999998"/>
  </r>
  <r>
    <x v="13"/>
    <x v="1"/>
    <x v="1"/>
    <x v="1"/>
    <x v="1"/>
    <x v="6"/>
    <x v="0"/>
    <x v="0"/>
    <x v="2"/>
    <x v="2"/>
    <x v="15"/>
    <x v="15"/>
    <x v="2"/>
    <x v="10"/>
    <x v="10"/>
    <x v="42"/>
    <x v="42"/>
    <n v="54.308999999999997"/>
    <x v="1"/>
    <x v="2"/>
    <x v="5"/>
    <x v="7"/>
    <x v="11"/>
    <x v="22"/>
    <n v="64.627709999999993"/>
  </r>
  <r>
    <x v="13"/>
    <x v="1"/>
    <x v="1"/>
    <x v="1"/>
    <x v="1"/>
    <x v="6"/>
    <x v="0"/>
    <x v="0"/>
    <x v="2"/>
    <x v="2"/>
    <x v="15"/>
    <x v="15"/>
    <x v="2"/>
    <x v="10"/>
    <x v="10"/>
    <x v="40"/>
    <x v="40"/>
    <n v="2.919"/>
    <x v="1"/>
    <x v="2"/>
    <x v="5"/>
    <x v="7"/>
    <x v="11"/>
    <x v="22"/>
    <n v="3.4736099999999999"/>
  </r>
  <r>
    <x v="13"/>
    <x v="1"/>
    <x v="1"/>
    <x v="1"/>
    <x v="1"/>
    <x v="6"/>
    <x v="0"/>
    <x v="0"/>
    <x v="2"/>
    <x v="2"/>
    <x v="15"/>
    <x v="15"/>
    <x v="4"/>
    <x v="5"/>
    <x v="5"/>
    <x v="40"/>
    <x v="40"/>
    <n v="285.21755000000002"/>
    <x v="1"/>
    <x v="2"/>
    <x v="5"/>
    <x v="7"/>
    <x v="11"/>
    <x v="22"/>
    <n v="339.4088845"/>
  </r>
  <r>
    <x v="13"/>
    <x v="1"/>
    <x v="1"/>
    <x v="1"/>
    <x v="1"/>
    <x v="6"/>
    <x v="0"/>
    <x v="0"/>
    <x v="2"/>
    <x v="2"/>
    <x v="16"/>
    <x v="16"/>
    <x v="3"/>
    <x v="3"/>
    <x v="3"/>
    <x v="40"/>
    <x v="40"/>
    <n v="0.53800000000000003"/>
    <x v="1"/>
    <x v="2"/>
    <x v="5"/>
    <x v="7"/>
    <x v="11"/>
    <x v="22"/>
    <n v="0.64022000000000001"/>
  </r>
  <r>
    <x v="13"/>
    <x v="1"/>
    <x v="1"/>
    <x v="1"/>
    <x v="1"/>
    <x v="6"/>
    <x v="0"/>
    <x v="0"/>
    <x v="2"/>
    <x v="2"/>
    <x v="16"/>
    <x v="16"/>
    <x v="0"/>
    <x v="4"/>
    <x v="4"/>
    <x v="42"/>
    <x v="42"/>
    <n v="162.31956"/>
    <x v="1"/>
    <x v="2"/>
    <x v="5"/>
    <x v="7"/>
    <x v="11"/>
    <x v="22"/>
    <n v="193.16027639999999"/>
  </r>
  <r>
    <x v="13"/>
    <x v="1"/>
    <x v="1"/>
    <x v="1"/>
    <x v="1"/>
    <x v="6"/>
    <x v="0"/>
    <x v="0"/>
    <x v="2"/>
    <x v="2"/>
    <x v="16"/>
    <x v="16"/>
    <x v="0"/>
    <x v="4"/>
    <x v="4"/>
    <x v="41"/>
    <x v="41"/>
    <n v="3.5164835164800001"/>
    <x v="1"/>
    <x v="2"/>
    <x v="5"/>
    <x v="7"/>
    <x v="11"/>
    <x v="22"/>
    <n v="4.1846153846111998"/>
  </r>
  <r>
    <x v="13"/>
    <x v="1"/>
    <x v="1"/>
    <x v="1"/>
    <x v="1"/>
    <x v="6"/>
    <x v="0"/>
    <x v="0"/>
    <x v="2"/>
    <x v="2"/>
    <x v="16"/>
    <x v="16"/>
    <x v="0"/>
    <x v="4"/>
    <x v="4"/>
    <x v="40"/>
    <x v="40"/>
    <n v="506.89440999999999"/>
    <x v="1"/>
    <x v="2"/>
    <x v="5"/>
    <x v="7"/>
    <x v="11"/>
    <x v="22"/>
    <n v="603.20434790000002"/>
  </r>
  <r>
    <x v="13"/>
    <x v="1"/>
    <x v="1"/>
    <x v="1"/>
    <x v="1"/>
    <x v="6"/>
    <x v="0"/>
    <x v="0"/>
    <x v="2"/>
    <x v="2"/>
    <x v="16"/>
    <x v="16"/>
    <x v="0"/>
    <x v="4"/>
    <x v="4"/>
    <x v="38"/>
    <x v="38"/>
    <n v="12.93967"/>
    <x v="1"/>
    <x v="0"/>
    <x v="4"/>
    <x v="6"/>
    <x v="10"/>
    <x v="21"/>
    <n v="15.398207299999999"/>
  </r>
  <r>
    <x v="13"/>
    <x v="1"/>
    <x v="1"/>
    <x v="1"/>
    <x v="1"/>
    <x v="6"/>
    <x v="0"/>
    <x v="0"/>
    <x v="2"/>
    <x v="2"/>
    <x v="16"/>
    <x v="16"/>
    <x v="2"/>
    <x v="2"/>
    <x v="2"/>
    <x v="42"/>
    <x v="42"/>
    <n v="99.995000000000005"/>
    <x v="1"/>
    <x v="2"/>
    <x v="5"/>
    <x v="7"/>
    <x v="11"/>
    <x v="22"/>
    <n v="118.99405"/>
  </r>
  <r>
    <x v="13"/>
    <x v="1"/>
    <x v="1"/>
    <x v="1"/>
    <x v="1"/>
    <x v="6"/>
    <x v="0"/>
    <x v="0"/>
    <x v="2"/>
    <x v="2"/>
    <x v="16"/>
    <x v="16"/>
    <x v="2"/>
    <x v="2"/>
    <x v="2"/>
    <x v="40"/>
    <x v="40"/>
    <n v="619.59312"/>
    <x v="1"/>
    <x v="2"/>
    <x v="5"/>
    <x v="7"/>
    <x v="11"/>
    <x v="22"/>
    <n v="737.3158128"/>
  </r>
  <r>
    <x v="13"/>
    <x v="1"/>
    <x v="1"/>
    <x v="1"/>
    <x v="1"/>
    <x v="6"/>
    <x v="0"/>
    <x v="0"/>
    <x v="2"/>
    <x v="2"/>
    <x v="16"/>
    <x v="16"/>
    <x v="2"/>
    <x v="2"/>
    <x v="2"/>
    <x v="38"/>
    <x v="38"/>
    <n v="17.13"/>
    <x v="1"/>
    <x v="0"/>
    <x v="4"/>
    <x v="6"/>
    <x v="10"/>
    <x v="21"/>
    <n v="20.384699999999999"/>
  </r>
  <r>
    <x v="13"/>
    <x v="1"/>
    <x v="1"/>
    <x v="1"/>
    <x v="1"/>
    <x v="6"/>
    <x v="0"/>
    <x v="0"/>
    <x v="2"/>
    <x v="2"/>
    <x v="16"/>
    <x v="16"/>
    <x v="1"/>
    <x v="6"/>
    <x v="6"/>
    <x v="42"/>
    <x v="42"/>
    <n v="2.5"/>
    <x v="1"/>
    <x v="2"/>
    <x v="5"/>
    <x v="7"/>
    <x v="11"/>
    <x v="22"/>
    <n v="2.9749999999999996"/>
  </r>
  <r>
    <x v="13"/>
    <x v="1"/>
    <x v="1"/>
    <x v="1"/>
    <x v="1"/>
    <x v="6"/>
    <x v="0"/>
    <x v="0"/>
    <x v="2"/>
    <x v="2"/>
    <x v="16"/>
    <x v="16"/>
    <x v="1"/>
    <x v="6"/>
    <x v="6"/>
    <x v="7"/>
    <x v="7"/>
    <n v="1.3804518072421701"/>
    <x v="0"/>
    <x v="0"/>
    <x v="1"/>
    <x v="4"/>
    <x v="5"/>
    <x v="7"/>
    <n v="1.6427376506181823"/>
  </r>
  <r>
    <x v="13"/>
    <x v="1"/>
    <x v="1"/>
    <x v="1"/>
    <x v="1"/>
    <x v="6"/>
    <x v="0"/>
    <x v="0"/>
    <x v="2"/>
    <x v="2"/>
    <x v="16"/>
    <x v="16"/>
    <x v="1"/>
    <x v="6"/>
    <x v="6"/>
    <x v="40"/>
    <x v="40"/>
    <n v="469.77841000000001"/>
    <x v="1"/>
    <x v="2"/>
    <x v="5"/>
    <x v="7"/>
    <x v="11"/>
    <x v="22"/>
    <n v="559.0363079"/>
  </r>
  <r>
    <x v="13"/>
    <x v="1"/>
    <x v="1"/>
    <x v="1"/>
    <x v="1"/>
    <x v="6"/>
    <x v="0"/>
    <x v="0"/>
    <x v="2"/>
    <x v="2"/>
    <x v="16"/>
    <x v="16"/>
    <x v="1"/>
    <x v="6"/>
    <x v="6"/>
    <x v="38"/>
    <x v="38"/>
    <n v="12.000299999999999"/>
    <x v="1"/>
    <x v="0"/>
    <x v="4"/>
    <x v="6"/>
    <x v="10"/>
    <x v="21"/>
    <n v="14.280356999999999"/>
  </r>
  <r>
    <x v="13"/>
    <x v="1"/>
    <x v="1"/>
    <x v="1"/>
    <x v="1"/>
    <x v="6"/>
    <x v="0"/>
    <x v="0"/>
    <x v="2"/>
    <x v="2"/>
    <x v="16"/>
    <x v="16"/>
    <x v="3"/>
    <x v="7"/>
    <x v="7"/>
    <x v="42"/>
    <x v="42"/>
    <n v="21.999600000000001"/>
    <x v="1"/>
    <x v="2"/>
    <x v="5"/>
    <x v="7"/>
    <x v="11"/>
    <x v="22"/>
    <n v="26.179524000000001"/>
  </r>
  <r>
    <x v="13"/>
    <x v="1"/>
    <x v="1"/>
    <x v="1"/>
    <x v="1"/>
    <x v="6"/>
    <x v="0"/>
    <x v="0"/>
    <x v="2"/>
    <x v="2"/>
    <x v="16"/>
    <x v="16"/>
    <x v="3"/>
    <x v="7"/>
    <x v="7"/>
    <x v="40"/>
    <x v="40"/>
    <n v="15.442769999999999"/>
    <x v="1"/>
    <x v="2"/>
    <x v="5"/>
    <x v="7"/>
    <x v="11"/>
    <x v="22"/>
    <n v="18.376896299999999"/>
  </r>
  <r>
    <x v="13"/>
    <x v="1"/>
    <x v="1"/>
    <x v="1"/>
    <x v="1"/>
    <x v="6"/>
    <x v="0"/>
    <x v="0"/>
    <x v="2"/>
    <x v="2"/>
    <x v="16"/>
    <x v="16"/>
    <x v="1"/>
    <x v="8"/>
    <x v="8"/>
    <x v="42"/>
    <x v="42"/>
    <n v="0.34499999999999997"/>
    <x v="1"/>
    <x v="2"/>
    <x v="5"/>
    <x v="7"/>
    <x v="11"/>
    <x v="22"/>
    <n v="0.41054999999999997"/>
  </r>
  <r>
    <x v="13"/>
    <x v="1"/>
    <x v="1"/>
    <x v="1"/>
    <x v="1"/>
    <x v="6"/>
    <x v="0"/>
    <x v="0"/>
    <x v="2"/>
    <x v="2"/>
    <x v="16"/>
    <x v="16"/>
    <x v="1"/>
    <x v="8"/>
    <x v="8"/>
    <x v="40"/>
    <x v="40"/>
    <n v="13.75587"/>
    <x v="1"/>
    <x v="2"/>
    <x v="5"/>
    <x v="7"/>
    <x v="11"/>
    <x v="22"/>
    <n v="16.369485299999997"/>
  </r>
  <r>
    <x v="13"/>
    <x v="1"/>
    <x v="1"/>
    <x v="1"/>
    <x v="1"/>
    <x v="6"/>
    <x v="0"/>
    <x v="0"/>
    <x v="2"/>
    <x v="2"/>
    <x v="16"/>
    <x v="16"/>
    <x v="2"/>
    <x v="10"/>
    <x v="10"/>
    <x v="42"/>
    <x v="42"/>
    <n v="6.0335999999999999"/>
    <x v="1"/>
    <x v="2"/>
    <x v="5"/>
    <x v="7"/>
    <x v="11"/>
    <x v="22"/>
    <n v="7.1799839999999993"/>
  </r>
  <r>
    <x v="13"/>
    <x v="1"/>
    <x v="1"/>
    <x v="1"/>
    <x v="1"/>
    <x v="6"/>
    <x v="0"/>
    <x v="0"/>
    <x v="2"/>
    <x v="2"/>
    <x v="16"/>
    <x v="16"/>
    <x v="2"/>
    <x v="10"/>
    <x v="10"/>
    <x v="40"/>
    <x v="40"/>
    <n v="2.0855700000000001"/>
    <x v="1"/>
    <x v="2"/>
    <x v="5"/>
    <x v="7"/>
    <x v="11"/>
    <x v="22"/>
    <n v="2.4818283000000001"/>
  </r>
  <r>
    <x v="13"/>
    <x v="1"/>
    <x v="1"/>
    <x v="1"/>
    <x v="1"/>
    <x v="6"/>
    <x v="0"/>
    <x v="0"/>
    <x v="2"/>
    <x v="2"/>
    <x v="16"/>
    <x v="16"/>
    <x v="4"/>
    <x v="5"/>
    <x v="5"/>
    <x v="40"/>
    <x v="40"/>
    <n v="36.626049999999999"/>
    <x v="1"/>
    <x v="2"/>
    <x v="5"/>
    <x v="7"/>
    <x v="11"/>
    <x v="22"/>
    <n v="43.584999499999995"/>
  </r>
  <r>
    <x v="13"/>
    <x v="1"/>
    <x v="1"/>
    <x v="1"/>
    <x v="1"/>
    <x v="6"/>
    <x v="0"/>
    <x v="0"/>
    <x v="2"/>
    <x v="2"/>
    <x v="17"/>
    <x v="17"/>
    <x v="3"/>
    <x v="3"/>
    <x v="3"/>
    <x v="42"/>
    <x v="42"/>
    <n v="211.9025"/>
    <x v="1"/>
    <x v="2"/>
    <x v="5"/>
    <x v="7"/>
    <x v="11"/>
    <x v="22"/>
    <n v="252.16397499999999"/>
  </r>
  <r>
    <x v="13"/>
    <x v="1"/>
    <x v="1"/>
    <x v="1"/>
    <x v="1"/>
    <x v="6"/>
    <x v="0"/>
    <x v="0"/>
    <x v="2"/>
    <x v="2"/>
    <x v="17"/>
    <x v="17"/>
    <x v="3"/>
    <x v="3"/>
    <x v="3"/>
    <x v="41"/>
    <x v="41"/>
    <n v="1.4964505494490501"/>
    <x v="1"/>
    <x v="2"/>
    <x v="5"/>
    <x v="7"/>
    <x v="11"/>
    <x v="22"/>
    <n v="1.7807761538443696"/>
  </r>
  <r>
    <x v="13"/>
    <x v="1"/>
    <x v="1"/>
    <x v="1"/>
    <x v="1"/>
    <x v="6"/>
    <x v="0"/>
    <x v="0"/>
    <x v="2"/>
    <x v="2"/>
    <x v="17"/>
    <x v="17"/>
    <x v="3"/>
    <x v="3"/>
    <x v="3"/>
    <x v="40"/>
    <x v="40"/>
    <n v="332.18720999999999"/>
    <x v="1"/>
    <x v="2"/>
    <x v="5"/>
    <x v="7"/>
    <x v="11"/>
    <x v="22"/>
    <n v="395.30277989999996"/>
  </r>
  <r>
    <x v="13"/>
    <x v="1"/>
    <x v="1"/>
    <x v="1"/>
    <x v="1"/>
    <x v="6"/>
    <x v="0"/>
    <x v="0"/>
    <x v="2"/>
    <x v="2"/>
    <x v="17"/>
    <x v="17"/>
    <x v="3"/>
    <x v="3"/>
    <x v="3"/>
    <x v="38"/>
    <x v="38"/>
    <n v="12.504759999999999"/>
    <x v="1"/>
    <x v="0"/>
    <x v="4"/>
    <x v="6"/>
    <x v="10"/>
    <x v="21"/>
    <n v="14.880664399999999"/>
  </r>
  <r>
    <x v="13"/>
    <x v="1"/>
    <x v="1"/>
    <x v="1"/>
    <x v="1"/>
    <x v="6"/>
    <x v="0"/>
    <x v="0"/>
    <x v="2"/>
    <x v="2"/>
    <x v="17"/>
    <x v="17"/>
    <x v="3"/>
    <x v="3"/>
    <x v="3"/>
    <x v="17"/>
    <x v="17"/>
    <n v="3.77"/>
    <x v="0"/>
    <x v="0"/>
    <x v="0"/>
    <x v="0"/>
    <x v="4"/>
    <x v="17"/>
    <n v="4.4863"/>
  </r>
  <r>
    <x v="13"/>
    <x v="1"/>
    <x v="1"/>
    <x v="1"/>
    <x v="1"/>
    <x v="6"/>
    <x v="0"/>
    <x v="0"/>
    <x v="2"/>
    <x v="2"/>
    <x v="17"/>
    <x v="17"/>
    <x v="0"/>
    <x v="4"/>
    <x v="4"/>
    <x v="42"/>
    <x v="42"/>
    <n v="91.111000000000004"/>
    <x v="1"/>
    <x v="2"/>
    <x v="5"/>
    <x v="7"/>
    <x v="11"/>
    <x v="22"/>
    <n v="108.42209"/>
  </r>
  <r>
    <x v="13"/>
    <x v="1"/>
    <x v="1"/>
    <x v="1"/>
    <x v="1"/>
    <x v="6"/>
    <x v="0"/>
    <x v="0"/>
    <x v="2"/>
    <x v="2"/>
    <x v="17"/>
    <x v="17"/>
    <x v="0"/>
    <x v="4"/>
    <x v="4"/>
    <x v="7"/>
    <x v="7"/>
    <n v="78.980462350155804"/>
    <x v="0"/>
    <x v="0"/>
    <x v="1"/>
    <x v="4"/>
    <x v="5"/>
    <x v="7"/>
    <n v="93.986750196685406"/>
  </r>
  <r>
    <x v="13"/>
    <x v="1"/>
    <x v="1"/>
    <x v="1"/>
    <x v="1"/>
    <x v="6"/>
    <x v="0"/>
    <x v="0"/>
    <x v="2"/>
    <x v="2"/>
    <x v="17"/>
    <x v="17"/>
    <x v="0"/>
    <x v="4"/>
    <x v="4"/>
    <x v="41"/>
    <x v="41"/>
    <n v="86.309714285628004"/>
    <x v="1"/>
    <x v="2"/>
    <x v="5"/>
    <x v="7"/>
    <x v="11"/>
    <x v="22"/>
    <n v="102.70855999989732"/>
  </r>
  <r>
    <x v="13"/>
    <x v="1"/>
    <x v="1"/>
    <x v="1"/>
    <x v="1"/>
    <x v="6"/>
    <x v="0"/>
    <x v="0"/>
    <x v="2"/>
    <x v="2"/>
    <x v="17"/>
    <x v="17"/>
    <x v="0"/>
    <x v="4"/>
    <x v="4"/>
    <x v="40"/>
    <x v="40"/>
    <n v="231.75747000000001"/>
    <x v="1"/>
    <x v="2"/>
    <x v="5"/>
    <x v="7"/>
    <x v="11"/>
    <x v="22"/>
    <n v="275.79138929999999"/>
  </r>
  <r>
    <x v="13"/>
    <x v="1"/>
    <x v="1"/>
    <x v="1"/>
    <x v="1"/>
    <x v="6"/>
    <x v="0"/>
    <x v="0"/>
    <x v="2"/>
    <x v="2"/>
    <x v="17"/>
    <x v="17"/>
    <x v="0"/>
    <x v="4"/>
    <x v="4"/>
    <x v="38"/>
    <x v="38"/>
    <n v="646.15588000000002"/>
    <x v="1"/>
    <x v="0"/>
    <x v="4"/>
    <x v="6"/>
    <x v="10"/>
    <x v="21"/>
    <n v="768.9254972"/>
  </r>
  <r>
    <x v="13"/>
    <x v="1"/>
    <x v="1"/>
    <x v="1"/>
    <x v="1"/>
    <x v="6"/>
    <x v="0"/>
    <x v="0"/>
    <x v="2"/>
    <x v="2"/>
    <x v="17"/>
    <x v="17"/>
    <x v="0"/>
    <x v="4"/>
    <x v="4"/>
    <x v="46"/>
    <x v="46"/>
    <n v="145.31711999999999"/>
    <x v="1"/>
    <x v="0"/>
    <x v="4"/>
    <x v="6"/>
    <x v="10"/>
    <x v="21"/>
    <n v="172.92737279999997"/>
  </r>
  <r>
    <x v="13"/>
    <x v="1"/>
    <x v="1"/>
    <x v="1"/>
    <x v="1"/>
    <x v="6"/>
    <x v="0"/>
    <x v="0"/>
    <x v="2"/>
    <x v="2"/>
    <x v="17"/>
    <x v="17"/>
    <x v="2"/>
    <x v="2"/>
    <x v="2"/>
    <x v="42"/>
    <x v="42"/>
    <n v="731.69694000000004"/>
    <x v="1"/>
    <x v="2"/>
    <x v="5"/>
    <x v="7"/>
    <x v="11"/>
    <x v="22"/>
    <n v="870.71935859999996"/>
  </r>
  <r>
    <x v="13"/>
    <x v="1"/>
    <x v="1"/>
    <x v="1"/>
    <x v="1"/>
    <x v="6"/>
    <x v="0"/>
    <x v="0"/>
    <x v="2"/>
    <x v="2"/>
    <x v="17"/>
    <x v="17"/>
    <x v="2"/>
    <x v="2"/>
    <x v="2"/>
    <x v="7"/>
    <x v="7"/>
    <n v="1.06777108435E-3"/>
    <x v="0"/>
    <x v="0"/>
    <x v="1"/>
    <x v="4"/>
    <x v="5"/>
    <x v="7"/>
    <n v="1.2706475903764998E-3"/>
  </r>
  <r>
    <x v="13"/>
    <x v="1"/>
    <x v="1"/>
    <x v="1"/>
    <x v="1"/>
    <x v="6"/>
    <x v="0"/>
    <x v="0"/>
    <x v="2"/>
    <x v="2"/>
    <x v="17"/>
    <x v="17"/>
    <x v="2"/>
    <x v="2"/>
    <x v="2"/>
    <x v="41"/>
    <x v="41"/>
    <n v="526.87204395551703"/>
    <x v="1"/>
    <x v="2"/>
    <x v="5"/>
    <x v="7"/>
    <x v="11"/>
    <x v="22"/>
    <n v="626.97773230706525"/>
  </r>
  <r>
    <x v="13"/>
    <x v="1"/>
    <x v="1"/>
    <x v="1"/>
    <x v="1"/>
    <x v="6"/>
    <x v="0"/>
    <x v="0"/>
    <x v="2"/>
    <x v="2"/>
    <x v="17"/>
    <x v="17"/>
    <x v="2"/>
    <x v="2"/>
    <x v="2"/>
    <x v="40"/>
    <x v="40"/>
    <n v="3645.7185100000002"/>
    <x v="1"/>
    <x v="2"/>
    <x v="5"/>
    <x v="7"/>
    <x v="11"/>
    <x v="22"/>
    <n v="4338.4050268999999"/>
  </r>
  <r>
    <x v="13"/>
    <x v="1"/>
    <x v="1"/>
    <x v="1"/>
    <x v="1"/>
    <x v="6"/>
    <x v="0"/>
    <x v="0"/>
    <x v="2"/>
    <x v="2"/>
    <x v="17"/>
    <x v="17"/>
    <x v="2"/>
    <x v="2"/>
    <x v="2"/>
    <x v="38"/>
    <x v="38"/>
    <n v="1583.3668700000001"/>
    <x v="1"/>
    <x v="0"/>
    <x v="4"/>
    <x v="6"/>
    <x v="10"/>
    <x v="21"/>
    <n v="1884.2065752999999"/>
  </r>
  <r>
    <x v="13"/>
    <x v="1"/>
    <x v="1"/>
    <x v="1"/>
    <x v="1"/>
    <x v="6"/>
    <x v="0"/>
    <x v="0"/>
    <x v="2"/>
    <x v="2"/>
    <x v="17"/>
    <x v="17"/>
    <x v="2"/>
    <x v="2"/>
    <x v="2"/>
    <x v="17"/>
    <x v="17"/>
    <n v="0.7"/>
    <x v="0"/>
    <x v="0"/>
    <x v="0"/>
    <x v="0"/>
    <x v="4"/>
    <x v="17"/>
    <n v="0.83299999999999996"/>
  </r>
  <r>
    <x v="13"/>
    <x v="1"/>
    <x v="1"/>
    <x v="1"/>
    <x v="1"/>
    <x v="6"/>
    <x v="0"/>
    <x v="0"/>
    <x v="2"/>
    <x v="2"/>
    <x v="17"/>
    <x v="17"/>
    <x v="2"/>
    <x v="2"/>
    <x v="2"/>
    <x v="46"/>
    <x v="46"/>
    <n v="176.48410999999999"/>
    <x v="1"/>
    <x v="0"/>
    <x v="4"/>
    <x v="6"/>
    <x v="10"/>
    <x v="21"/>
    <n v="210.01609089999997"/>
  </r>
  <r>
    <x v="13"/>
    <x v="1"/>
    <x v="1"/>
    <x v="1"/>
    <x v="1"/>
    <x v="6"/>
    <x v="0"/>
    <x v="0"/>
    <x v="2"/>
    <x v="2"/>
    <x v="17"/>
    <x v="17"/>
    <x v="1"/>
    <x v="6"/>
    <x v="6"/>
    <x v="42"/>
    <x v="42"/>
    <n v="272.99489999999997"/>
    <x v="1"/>
    <x v="2"/>
    <x v="5"/>
    <x v="7"/>
    <x v="11"/>
    <x v="22"/>
    <n v="324.86393099999998"/>
  </r>
  <r>
    <x v="13"/>
    <x v="1"/>
    <x v="1"/>
    <x v="1"/>
    <x v="1"/>
    <x v="6"/>
    <x v="0"/>
    <x v="0"/>
    <x v="2"/>
    <x v="2"/>
    <x v="17"/>
    <x v="17"/>
    <x v="1"/>
    <x v="6"/>
    <x v="6"/>
    <x v="6"/>
    <x v="6"/>
    <n v="8.9994999999999994"/>
    <x v="0"/>
    <x v="0"/>
    <x v="0"/>
    <x v="0"/>
    <x v="4"/>
    <x v="6"/>
    <n v="10.709404999999999"/>
  </r>
  <r>
    <x v="13"/>
    <x v="1"/>
    <x v="1"/>
    <x v="1"/>
    <x v="1"/>
    <x v="6"/>
    <x v="0"/>
    <x v="0"/>
    <x v="2"/>
    <x v="2"/>
    <x v="17"/>
    <x v="17"/>
    <x v="1"/>
    <x v="6"/>
    <x v="6"/>
    <x v="7"/>
    <x v="7"/>
    <n v="9.1211927711719003"/>
    <x v="0"/>
    <x v="0"/>
    <x v="1"/>
    <x v="4"/>
    <x v="5"/>
    <x v="7"/>
    <n v="10.85421939769456"/>
  </r>
  <r>
    <x v="13"/>
    <x v="1"/>
    <x v="1"/>
    <x v="1"/>
    <x v="1"/>
    <x v="6"/>
    <x v="0"/>
    <x v="0"/>
    <x v="2"/>
    <x v="2"/>
    <x v="17"/>
    <x v="17"/>
    <x v="1"/>
    <x v="6"/>
    <x v="6"/>
    <x v="41"/>
    <x v="41"/>
    <n v="61.622758241696602"/>
    <x v="1"/>
    <x v="2"/>
    <x v="5"/>
    <x v="7"/>
    <x v="11"/>
    <x v="22"/>
    <n v="73.331082307618956"/>
  </r>
  <r>
    <x v="13"/>
    <x v="1"/>
    <x v="1"/>
    <x v="1"/>
    <x v="1"/>
    <x v="6"/>
    <x v="0"/>
    <x v="0"/>
    <x v="2"/>
    <x v="2"/>
    <x v="17"/>
    <x v="17"/>
    <x v="1"/>
    <x v="6"/>
    <x v="6"/>
    <x v="40"/>
    <x v="40"/>
    <n v="2160.54207"/>
    <x v="1"/>
    <x v="2"/>
    <x v="5"/>
    <x v="7"/>
    <x v="11"/>
    <x v="22"/>
    <n v="2571.0450633"/>
  </r>
  <r>
    <x v="13"/>
    <x v="1"/>
    <x v="1"/>
    <x v="1"/>
    <x v="1"/>
    <x v="6"/>
    <x v="0"/>
    <x v="0"/>
    <x v="2"/>
    <x v="2"/>
    <x v="17"/>
    <x v="17"/>
    <x v="1"/>
    <x v="6"/>
    <x v="6"/>
    <x v="54"/>
    <x v="54"/>
    <n v="1.23414"/>
    <x v="0"/>
    <x v="0"/>
    <x v="1"/>
    <x v="3"/>
    <x v="3"/>
    <x v="4"/>
    <n v="1.4686265999999999"/>
  </r>
  <r>
    <x v="13"/>
    <x v="1"/>
    <x v="1"/>
    <x v="1"/>
    <x v="1"/>
    <x v="6"/>
    <x v="0"/>
    <x v="0"/>
    <x v="2"/>
    <x v="2"/>
    <x v="17"/>
    <x v="17"/>
    <x v="1"/>
    <x v="6"/>
    <x v="6"/>
    <x v="38"/>
    <x v="38"/>
    <n v="49.741590000000002"/>
    <x v="1"/>
    <x v="0"/>
    <x v="4"/>
    <x v="6"/>
    <x v="10"/>
    <x v="21"/>
    <n v="59.192492100000003"/>
  </r>
  <r>
    <x v="13"/>
    <x v="1"/>
    <x v="1"/>
    <x v="1"/>
    <x v="1"/>
    <x v="6"/>
    <x v="0"/>
    <x v="0"/>
    <x v="2"/>
    <x v="2"/>
    <x v="17"/>
    <x v="17"/>
    <x v="1"/>
    <x v="6"/>
    <x v="6"/>
    <x v="43"/>
    <x v="43"/>
    <n v="6.8079999999999998"/>
    <x v="1"/>
    <x v="0"/>
    <x v="4"/>
    <x v="6"/>
    <x v="10"/>
    <x v="21"/>
    <n v="8.1015199999999989"/>
  </r>
  <r>
    <x v="13"/>
    <x v="1"/>
    <x v="1"/>
    <x v="1"/>
    <x v="1"/>
    <x v="6"/>
    <x v="0"/>
    <x v="0"/>
    <x v="2"/>
    <x v="2"/>
    <x v="17"/>
    <x v="17"/>
    <x v="1"/>
    <x v="6"/>
    <x v="6"/>
    <x v="17"/>
    <x v="17"/>
    <n v="7.3239999999999998"/>
    <x v="0"/>
    <x v="0"/>
    <x v="0"/>
    <x v="0"/>
    <x v="4"/>
    <x v="17"/>
    <n v="8.71556"/>
  </r>
  <r>
    <x v="13"/>
    <x v="1"/>
    <x v="1"/>
    <x v="1"/>
    <x v="1"/>
    <x v="6"/>
    <x v="0"/>
    <x v="0"/>
    <x v="2"/>
    <x v="2"/>
    <x v="17"/>
    <x v="17"/>
    <x v="1"/>
    <x v="6"/>
    <x v="6"/>
    <x v="46"/>
    <x v="46"/>
    <n v="12.535489999999999"/>
    <x v="1"/>
    <x v="0"/>
    <x v="4"/>
    <x v="6"/>
    <x v="10"/>
    <x v="21"/>
    <n v="14.917233099999999"/>
  </r>
  <r>
    <x v="13"/>
    <x v="1"/>
    <x v="1"/>
    <x v="1"/>
    <x v="1"/>
    <x v="6"/>
    <x v="0"/>
    <x v="0"/>
    <x v="2"/>
    <x v="2"/>
    <x v="17"/>
    <x v="17"/>
    <x v="3"/>
    <x v="7"/>
    <x v="7"/>
    <x v="42"/>
    <x v="42"/>
    <n v="9.8561599999999991"/>
    <x v="1"/>
    <x v="2"/>
    <x v="5"/>
    <x v="7"/>
    <x v="11"/>
    <x v="22"/>
    <n v="11.728830399999998"/>
  </r>
  <r>
    <x v="13"/>
    <x v="1"/>
    <x v="1"/>
    <x v="1"/>
    <x v="1"/>
    <x v="6"/>
    <x v="0"/>
    <x v="0"/>
    <x v="2"/>
    <x v="2"/>
    <x v="17"/>
    <x v="17"/>
    <x v="3"/>
    <x v="7"/>
    <x v="7"/>
    <x v="7"/>
    <x v="7"/>
    <n v="1253.8635692891501"/>
    <x v="0"/>
    <x v="0"/>
    <x v="1"/>
    <x v="4"/>
    <x v="5"/>
    <x v="7"/>
    <n v="1492.0976474540885"/>
  </r>
  <r>
    <x v="13"/>
    <x v="1"/>
    <x v="1"/>
    <x v="1"/>
    <x v="1"/>
    <x v="6"/>
    <x v="0"/>
    <x v="0"/>
    <x v="2"/>
    <x v="2"/>
    <x v="17"/>
    <x v="17"/>
    <x v="3"/>
    <x v="7"/>
    <x v="7"/>
    <x v="40"/>
    <x v="40"/>
    <n v="1545.8777600000001"/>
    <x v="1"/>
    <x v="2"/>
    <x v="5"/>
    <x v="7"/>
    <x v="11"/>
    <x v="22"/>
    <n v="1839.5945343999999"/>
  </r>
  <r>
    <x v="13"/>
    <x v="1"/>
    <x v="1"/>
    <x v="1"/>
    <x v="1"/>
    <x v="6"/>
    <x v="0"/>
    <x v="0"/>
    <x v="2"/>
    <x v="2"/>
    <x v="17"/>
    <x v="17"/>
    <x v="1"/>
    <x v="8"/>
    <x v="8"/>
    <x v="7"/>
    <x v="7"/>
    <n v="135.41063403744499"/>
    <x v="0"/>
    <x v="0"/>
    <x v="1"/>
    <x v="4"/>
    <x v="5"/>
    <x v="7"/>
    <n v="161.13865450455953"/>
  </r>
  <r>
    <x v="13"/>
    <x v="1"/>
    <x v="1"/>
    <x v="1"/>
    <x v="1"/>
    <x v="6"/>
    <x v="0"/>
    <x v="0"/>
    <x v="2"/>
    <x v="2"/>
    <x v="17"/>
    <x v="17"/>
    <x v="1"/>
    <x v="8"/>
    <x v="8"/>
    <x v="40"/>
    <x v="40"/>
    <n v="356.11225000000002"/>
    <x v="1"/>
    <x v="2"/>
    <x v="5"/>
    <x v="7"/>
    <x v="11"/>
    <x v="22"/>
    <n v="423.77357749999999"/>
  </r>
  <r>
    <x v="13"/>
    <x v="1"/>
    <x v="1"/>
    <x v="1"/>
    <x v="1"/>
    <x v="6"/>
    <x v="0"/>
    <x v="0"/>
    <x v="2"/>
    <x v="2"/>
    <x v="17"/>
    <x v="17"/>
    <x v="0"/>
    <x v="9"/>
    <x v="9"/>
    <x v="7"/>
    <x v="7"/>
    <n v="1040.59189609433"/>
    <x v="0"/>
    <x v="0"/>
    <x v="1"/>
    <x v="4"/>
    <x v="5"/>
    <x v="7"/>
    <n v="1238.3043563522526"/>
  </r>
  <r>
    <x v="13"/>
    <x v="1"/>
    <x v="1"/>
    <x v="1"/>
    <x v="1"/>
    <x v="6"/>
    <x v="0"/>
    <x v="0"/>
    <x v="2"/>
    <x v="2"/>
    <x v="17"/>
    <x v="17"/>
    <x v="0"/>
    <x v="9"/>
    <x v="9"/>
    <x v="38"/>
    <x v="38"/>
    <n v="46.49295"/>
    <x v="1"/>
    <x v="0"/>
    <x v="4"/>
    <x v="6"/>
    <x v="10"/>
    <x v="21"/>
    <n v="55.326610500000001"/>
  </r>
  <r>
    <x v="13"/>
    <x v="1"/>
    <x v="1"/>
    <x v="1"/>
    <x v="1"/>
    <x v="6"/>
    <x v="0"/>
    <x v="0"/>
    <x v="2"/>
    <x v="2"/>
    <x v="17"/>
    <x v="17"/>
    <x v="2"/>
    <x v="10"/>
    <x v="10"/>
    <x v="7"/>
    <x v="7"/>
    <n v="323.59198042479301"/>
    <x v="0"/>
    <x v="0"/>
    <x v="1"/>
    <x v="4"/>
    <x v="5"/>
    <x v="7"/>
    <n v="385.07445670550368"/>
  </r>
  <r>
    <x v="13"/>
    <x v="1"/>
    <x v="1"/>
    <x v="1"/>
    <x v="1"/>
    <x v="6"/>
    <x v="0"/>
    <x v="0"/>
    <x v="2"/>
    <x v="2"/>
    <x v="17"/>
    <x v="17"/>
    <x v="2"/>
    <x v="10"/>
    <x v="10"/>
    <x v="41"/>
    <x v="41"/>
    <n v="2.24861538461314"/>
    <x v="1"/>
    <x v="2"/>
    <x v="5"/>
    <x v="7"/>
    <x v="11"/>
    <x v="22"/>
    <n v="2.6758523076896363"/>
  </r>
  <r>
    <x v="13"/>
    <x v="1"/>
    <x v="1"/>
    <x v="1"/>
    <x v="1"/>
    <x v="6"/>
    <x v="0"/>
    <x v="0"/>
    <x v="2"/>
    <x v="2"/>
    <x v="17"/>
    <x v="17"/>
    <x v="2"/>
    <x v="10"/>
    <x v="10"/>
    <x v="40"/>
    <x v="40"/>
    <n v="243.19744"/>
    <x v="1"/>
    <x v="2"/>
    <x v="5"/>
    <x v="7"/>
    <x v="11"/>
    <x v="22"/>
    <n v="289.4049536"/>
  </r>
  <r>
    <x v="13"/>
    <x v="1"/>
    <x v="1"/>
    <x v="1"/>
    <x v="1"/>
    <x v="6"/>
    <x v="0"/>
    <x v="0"/>
    <x v="2"/>
    <x v="2"/>
    <x v="17"/>
    <x v="17"/>
    <x v="2"/>
    <x v="10"/>
    <x v="10"/>
    <x v="38"/>
    <x v="38"/>
    <n v="56.506129999999999"/>
    <x v="1"/>
    <x v="0"/>
    <x v="4"/>
    <x v="6"/>
    <x v="10"/>
    <x v="21"/>
    <n v="67.242294700000002"/>
  </r>
  <r>
    <x v="13"/>
    <x v="1"/>
    <x v="1"/>
    <x v="1"/>
    <x v="1"/>
    <x v="6"/>
    <x v="0"/>
    <x v="0"/>
    <x v="2"/>
    <x v="2"/>
    <x v="17"/>
    <x v="17"/>
    <x v="4"/>
    <x v="5"/>
    <x v="5"/>
    <x v="42"/>
    <x v="42"/>
    <n v="55.509869999999999"/>
    <x v="1"/>
    <x v="2"/>
    <x v="5"/>
    <x v="7"/>
    <x v="11"/>
    <x v="22"/>
    <n v="66.056745300000003"/>
  </r>
  <r>
    <x v="13"/>
    <x v="1"/>
    <x v="1"/>
    <x v="1"/>
    <x v="1"/>
    <x v="6"/>
    <x v="0"/>
    <x v="0"/>
    <x v="2"/>
    <x v="2"/>
    <x v="17"/>
    <x v="17"/>
    <x v="4"/>
    <x v="5"/>
    <x v="5"/>
    <x v="7"/>
    <x v="7"/>
    <n v="517.59898193267998"/>
    <x v="0"/>
    <x v="0"/>
    <x v="1"/>
    <x v="4"/>
    <x v="5"/>
    <x v="7"/>
    <n v="615.94278849988916"/>
  </r>
  <r>
    <x v="13"/>
    <x v="1"/>
    <x v="1"/>
    <x v="1"/>
    <x v="1"/>
    <x v="6"/>
    <x v="0"/>
    <x v="0"/>
    <x v="2"/>
    <x v="2"/>
    <x v="17"/>
    <x v="17"/>
    <x v="4"/>
    <x v="5"/>
    <x v="5"/>
    <x v="41"/>
    <x v="41"/>
    <n v="229.66354945032001"/>
    <x v="1"/>
    <x v="2"/>
    <x v="5"/>
    <x v="7"/>
    <x v="11"/>
    <x v="22"/>
    <n v="273.29962384588077"/>
  </r>
  <r>
    <x v="13"/>
    <x v="1"/>
    <x v="1"/>
    <x v="1"/>
    <x v="1"/>
    <x v="6"/>
    <x v="0"/>
    <x v="0"/>
    <x v="2"/>
    <x v="2"/>
    <x v="17"/>
    <x v="17"/>
    <x v="4"/>
    <x v="5"/>
    <x v="5"/>
    <x v="40"/>
    <x v="40"/>
    <n v="2972.4847799999998"/>
    <x v="1"/>
    <x v="2"/>
    <x v="5"/>
    <x v="7"/>
    <x v="11"/>
    <x v="22"/>
    <n v="3537.2568881999996"/>
  </r>
  <r>
    <x v="13"/>
    <x v="1"/>
    <x v="1"/>
    <x v="1"/>
    <x v="1"/>
    <x v="6"/>
    <x v="0"/>
    <x v="0"/>
    <x v="2"/>
    <x v="2"/>
    <x v="17"/>
    <x v="17"/>
    <x v="4"/>
    <x v="5"/>
    <x v="5"/>
    <x v="38"/>
    <x v="38"/>
    <n v="84.759169999999997"/>
    <x v="1"/>
    <x v="0"/>
    <x v="4"/>
    <x v="6"/>
    <x v="10"/>
    <x v="21"/>
    <n v="100.86341229999999"/>
  </r>
  <r>
    <x v="13"/>
    <x v="1"/>
    <x v="1"/>
    <x v="1"/>
    <x v="1"/>
    <x v="6"/>
    <x v="2"/>
    <x v="2"/>
    <x v="8"/>
    <x v="5"/>
    <x v="28"/>
    <x v="28"/>
    <x v="3"/>
    <x v="3"/>
    <x v="3"/>
    <x v="82"/>
    <x v="82"/>
    <n v="0.22"/>
    <x v="0"/>
    <x v="0"/>
    <x v="1"/>
    <x v="3"/>
    <x v="3"/>
    <x v="15"/>
    <n v="0.26179999999999998"/>
  </r>
  <r>
    <x v="13"/>
    <x v="1"/>
    <x v="1"/>
    <x v="1"/>
    <x v="1"/>
    <x v="6"/>
    <x v="2"/>
    <x v="2"/>
    <x v="8"/>
    <x v="5"/>
    <x v="28"/>
    <x v="28"/>
    <x v="3"/>
    <x v="3"/>
    <x v="3"/>
    <x v="19"/>
    <x v="19"/>
    <n v="9.5000000000000001E-2"/>
    <x v="0"/>
    <x v="0"/>
    <x v="1"/>
    <x v="3"/>
    <x v="3"/>
    <x v="13"/>
    <n v="0.11305"/>
  </r>
  <r>
    <x v="13"/>
    <x v="1"/>
    <x v="1"/>
    <x v="1"/>
    <x v="1"/>
    <x v="6"/>
    <x v="2"/>
    <x v="2"/>
    <x v="8"/>
    <x v="5"/>
    <x v="28"/>
    <x v="28"/>
    <x v="2"/>
    <x v="2"/>
    <x v="2"/>
    <x v="82"/>
    <x v="82"/>
    <n v="13.6593"/>
    <x v="0"/>
    <x v="0"/>
    <x v="1"/>
    <x v="3"/>
    <x v="3"/>
    <x v="15"/>
    <n v="16.254566999999998"/>
  </r>
  <r>
    <x v="13"/>
    <x v="1"/>
    <x v="1"/>
    <x v="1"/>
    <x v="1"/>
    <x v="6"/>
    <x v="2"/>
    <x v="2"/>
    <x v="8"/>
    <x v="5"/>
    <x v="28"/>
    <x v="28"/>
    <x v="2"/>
    <x v="2"/>
    <x v="2"/>
    <x v="40"/>
    <x v="40"/>
    <n v="1.75"/>
    <x v="1"/>
    <x v="2"/>
    <x v="5"/>
    <x v="7"/>
    <x v="11"/>
    <x v="22"/>
    <n v="2.0825"/>
  </r>
  <r>
    <x v="13"/>
    <x v="1"/>
    <x v="1"/>
    <x v="1"/>
    <x v="1"/>
    <x v="6"/>
    <x v="2"/>
    <x v="2"/>
    <x v="8"/>
    <x v="5"/>
    <x v="28"/>
    <x v="28"/>
    <x v="2"/>
    <x v="2"/>
    <x v="2"/>
    <x v="19"/>
    <x v="19"/>
    <n v="12.74607"/>
    <x v="0"/>
    <x v="0"/>
    <x v="1"/>
    <x v="3"/>
    <x v="3"/>
    <x v="13"/>
    <n v="15.167823299999998"/>
  </r>
  <r>
    <x v="13"/>
    <x v="1"/>
    <x v="1"/>
    <x v="1"/>
    <x v="1"/>
    <x v="7"/>
    <x v="0"/>
    <x v="0"/>
    <x v="0"/>
    <x v="0"/>
    <x v="0"/>
    <x v="0"/>
    <x v="3"/>
    <x v="3"/>
    <x v="3"/>
    <x v="10"/>
    <x v="10"/>
    <n v="0.2274957983183"/>
    <x v="0"/>
    <x v="0"/>
    <x v="1"/>
    <x v="4"/>
    <x v="5"/>
    <x v="10"/>
    <n v="0.27071999999877699"/>
  </r>
  <r>
    <x v="13"/>
    <x v="1"/>
    <x v="1"/>
    <x v="1"/>
    <x v="1"/>
    <x v="7"/>
    <x v="0"/>
    <x v="0"/>
    <x v="0"/>
    <x v="0"/>
    <x v="0"/>
    <x v="0"/>
    <x v="3"/>
    <x v="3"/>
    <x v="3"/>
    <x v="11"/>
    <x v="11"/>
    <n v="38.344439999999999"/>
    <x v="0"/>
    <x v="0"/>
    <x v="3"/>
    <x v="5"/>
    <x v="7"/>
    <x v="11"/>
    <n v="45.629883599999999"/>
  </r>
  <r>
    <x v="13"/>
    <x v="1"/>
    <x v="1"/>
    <x v="1"/>
    <x v="1"/>
    <x v="7"/>
    <x v="0"/>
    <x v="0"/>
    <x v="0"/>
    <x v="0"/>
    <x v="0"/>
    <x v="0"/>
    <x v="3"/>
    <x v="3"/>
    <x v="3"/>
    <x v="16"/>
    <x v="16"/>
    <n v="30"/>
    <x v="0"/>
    <x v="0"/>
    <x v="3"/>
    <x v="5"/>
    <x v="9"/>
    <x v="16"/>
    <n v="35.699999999999996"/>
  </r>
  <r>
    <x v="13"/>
    <x v="1"/>
    <x v="1"/>
    <x v="1"/>
    <x v="1"/>
    <x v="7"/>
    <x v="0"/>
    <x v="0"/>
    <x v="0"/>
    <x v="0"/>
    <x v="0"/>
    <x v="0"/>
    <x v="3"/>
    <x v="3"/>
    <x v="3"/>
    <x v="26"/>
    <x v="26"/>
    <n v="18.487394957900001"/>
    <x v="0"/>
    <x v="0"/>
    <x v="1"/>
    <x v="3"/>
    <x v="3"/>
    <x v="15"/>
    <n v="21.999999999901"/>
  </r>
  <r>
    <x v="13"/>
    <x v="1"/>
    <x v="1"/>
    <x v="1"/>
    <x v="1"/>
    <x v="7"/>
    <x v="0"/>
    <x v="0"/>
    <x v="0"/>
    <x v="0"/>
    <x v="0"/>
    <x v="0"/>
    <x v="0"/>
    <x v="4"/>
    <x v="4"/>
    <x v="10"/>
    <x v="10"/>
    <n v="88.910084033213394"/>
    <x v="0"/>
    <x v="0"/>
    <x v="1"/>
    <x v="4"/>
    <x v="5"/>
    <x v="10"/>
    <n v="105.80299999952393"/>
  </r>
  <r>
    <x v="13"/>
    <x v="1"/>
    <x v="1"/>
    <x v="1"/>
    <x v="1"/>
    <x v="7"/>
    <x v="0"/>
    <x v="0"/>
    <x v="0"/>
    <x v="0"/>
    <x v="0"/>
    <x v="0"/>
    <x v="0"/>
    <x v="4"/>
    <x v="4"/>
    <x v="11"/>
    <x v="11"/>
    <n v="126.31263"/>
    <x v="0"/>
    <x v="0"/>
    <x v="3"/>
    <x v="5"/>
    <x v="7"/>
    <x v="11"/>
    <n v="150.31202969999998"/>
  </r>
  <r>
    <x v="13"/>
    <x v="1"/>
    <x v="1"/>
    <x v="1"/>
    <x v="1"/>
    <x v="7"/>
    <x v="0"/>
    <x v="0"/>
    <x v="0"/>
    <x v="0"/>
    <x v="0"/>
    <x v="0"/>
    <x v="0"/>
    <x v="4"/>
    <x v="4"/>
    <x v="16"/>
    <x v="16"/>
    <n v="44.2"/>
    <x v="0"/>
    <x v="0"/>
    <x v="3"/>
    <x v="5"/>
    <x v="9"/>
    <x v="16"/>
    <n v="52.597999999999999"/>
  </r>
  <r>
    <x v="13"/>
    <x v="1"/>
    <x v="1"/>
    <x v="1"/>
    <x v="1"/>
    <x v="7"/>
    <x v="0"/>
    <x v="0"/>
    <x v="0"/>
    <x v="0"/>
    <x v="0"/>
    <x v="0"/>
    <x v="0"/>
    <x v="4"/>
    <x v="4"/>
    <x v="18"/>
    <x v="18"/>
    <n v="4.8239999999999998"/>
    <x v="0"/>
    <x v="0"/>
    <x v="0"/>
    <x v="0"/>
    <x v="4"/>
    <x v="18"/>
    <n v="5.7405599999999994"/>
  </r>
  <r>
    <x v="13"/>
    <x v="1"/>
    <x v="1"/>
    <x v="1"/>
    <x v="1"/>
    <x v="7"/>
    <x v="0"/>
    <x v="0"/>
    <x v="0"/>
    <x v="0"/>
    <x v="0"/>
    <x v="0"/>
    <x v="1"/>
    <x v="1"/>
    <x v="1"/>
    <x v="16"/>
    <x v="16"/>
    <n v="4.5223100000000001"/>
    <x v="0"/>
    <x v="0"/>
    <x v="3"/>
    <x v="5"/>
    <x v="9"/>
    <x v="16"/>
    <n v="5.3815488999999994"/>
  </r>
  <r>
    <x v="13"/>
    <x v="1"/>
    <x v="1"/>
    <x v="1"/>
    <x v="1"/>
    <x v="7"/>
    <x v="0"/>
    <x v="0"/>
    <x v="0"/>
    <x v="0"/>
    <x v="0"/>
    <x v="0"/>
    <x v="2"/>
    <x v="2"/>
    <x v="2"/>
    <x v="5"/>
    <x v="5"/>
    <n v="4.1851270718587799"/>
    <x v="0"/>
    <x v="0"/>
    <x v="1"/>
    <x v="1"/>
    <x v="1"/>
    <x v="5"/>
    <n v="4.9803012155119477"/>
  </r>
  <r>
    <x v="13"/>
    <x v="1"/>
    <x v="1"/>
    <x v="1"/>
    <x v="1"/>
    <x v="7"/>
    <x v="0"/>
    <x v="0"/>
    <x v="0"/>
    <x v="0"/>
    <x v="0"/>
    <x v="0"/>
    <x v="2"/>
    <x v="2"/>
    <x v="2"/>
    <x v="6"/>
    <x v="6"/>
    <n v="15"/>
    <x v="0"/>
    <x v="0"/>
    <x v="0"/>
    <x v="0"/>
    <x v="4"/>
    <x v="6"/>
    <n v="17.849999999999998"/>
  </r>
  <r>
    <x v="13"/>
    <x v="1"/>
    <x v="1"/>
    <x v="1"/>
    <x v="1"/>
    <x v="7"/>
    <x v="0"/>
    <x v="0"/>
    <x v="0"/>
    <x v="0"/>
    <x v="0"/>
    <x v="0"/>
    <x v="2"/>
    <x v="2"/>
    <x v="2"/>
    <x v="9"/>
    <x v="9"/>
    <n v="0.57142857142600001"/>
    <x v="0"/>
    <x v="0"/>
    <x v="1"/>
    <x v="4"/>
    <x v="5"/>
    <x v="9"/>
    <n v="0.67999999999693994"/>
  </r>
  <r>
    <x v="13"/>
    <x v="1"/>
    <x v="1"/>
    <x v="1"/>
    <x v="1"/>
    <x v="7"/>
    <x v="0"/>
    <x v="0"/>
    <x v="0"/>
    <x v="0"/>
    <x v="0"/>
    <x v="0"/>
    <x v="2"/>
    <x v="2"/>
    <x v="2"/>
    <x v="10"/>
    <x v="10"/>
    <n v="19.726890756213699"/>
    <x v="0"/>
    <x v="0"/>
    <x v="1"/>
    <x v="4"/>
    <x v="5"/>
    <x v="10"/>
    <n v="23.474999999894301"/>
  </r>
  <r>
    <x v="13"/>
    <x v="1"/>
    <x v="1"/>
    <x v="1"/>
    <x v="1"/>
    <x v="7"/>
    <x v="0"/>
    <x v="0"/>
    <x v="0"/>
    <x v="0"/>
    <x v="0"/>
    <x v="0"/>
    <x v="2"/>
    <x v="2"/>
    <x v="2"/>
    <x v="11"/>
    <x v="11"/>
    <n v="88.313850000000002"/>
    <x v="0"/>
    <x v="0"/>
    <x v="3"/>
    <x v="5"/>
    <x v="7"/>
    <x v="11"/>
    <n v="105.0934815"/>
  </r>
  <r>
    <x v="13"/>
    <x v="1"/>
    <x v="1"/>
    <x v="1"/>
    <x v="1"/>
    <x v="7"/>
    <x v="0"/>
    <x v="0"/>
    <x v="0"/>
    <x v="0"/>
    <x v="0"/>
    <x v="0"/>
    <x v="2"/>
    <x v="2"/>
    <x v="2"/>
    <x v="83"/>
    <x v="83"/>
    <n v="6.6"/>
    <x v="0"/>
    <x v="0"/>
    <x v="3"/>
    <x v="5"/>
    <x v="7"/>
    <x v="11"/>
    <n v="7.8539999999999992"/>
  </r>
  <r>
    <x v="13"/>
    <x v="1"/>
    <x v="1"/>
    <x v="1"/>
    <x v="1"/>
    <x v="7"/>
    <x v="0"/>
    <x v="0"/>
    <x v="0"/>
    <x v="0"/>
    <x v="0"/>
    <x v="0"/>
    <x v="2"/>
    <x v="2"/>
    <x v="2"/>
    <x v="16"/>
    <x v="16"/>
    <n v="18.635999999999999"/>
    <x v="0"/>
    <x v="0"/>
    <x v="3"/>
    <x v="5"/>
    <x v="9"/>
    <x v="16"/>
    <n v="22.176839999999999"/>
  </r>
  <r>
    <x v="13"/>
    <x v="1"/>
    <x v="1"/>
    <x v="1"/>
    <x v="1"/>
    <x v="7"/>
    <x v="0"/>
    <x v="0"/>
    <x v="0"/>
    <x v="0"/>
    <x v="0"/>
    <x v="0"/>
    <x v="2"/>
    <x v="2"/>
    <x v="2"/>
    <x v="21"/>
    <x v="21"/>
    <n v="0.60504201680400005"/>
    <x v="0"/>
    <x v="0"/>
    <x v="1"/>
    <x v="4"/>
    <x v="5"/>
    <x v="10"/>
    <n v="0.71999999999676001"/>
  </r>
  <r>
    <x v="13"/>
    <x v="1"/>
    <x v="1"/>
    <x v="1"/>
    <x v="1"/>
    <x v="7"/>
    <x v="0"/>
    <x v="0"/>
    <x v="0"/>
    <x v="0"/>
    <x v="0"/>
    <x v="0"/>
    <x v="2"/>
    <x v="2"/>
    <x v="2"/>
    <x v="18"/>
    <x v="18"/>
    <n v="9.7759999999999998"/>
    <x v="0"/>
    <x v="0"/>
    <x v="0"/>
    <x v="0"/>
    <x v="4"/>
    <x v="18"/>
    <n v="11.633439999999998"/>
  </r>
  <r>
    <x v="13"/>
    <x v="1"/>
    <x v="1"/>
    <x v="1"/>
    <x v="1"/>
    <x v="7"/>
    <x v="0"/>
    <x v="0"/>
    <x v="0"/>
    <x v="0"/>
    <x v="0"/>
    <x v="0"/>
    <x v="2"/>
    <x v="2"/>
    <x v="2"/>
    <x v="26"/>
    <x v="26"/>
    <n v="58.235294117385003"/>
    <x v="0"/>
    <x v="0"/>
    <x v="1"/>
    <x v="3"/>
    <x v="3"/>
    <x v="15"/>
    <n v="69.299999999688154"/>
  </r>
  <r>
    <x v="13"/>
    <x v="1"/>
    <x v="1"/>
    <x v="1"/>
    <x v="1"/>
    <x v="7"/>
    <x v="0"/>
    <x v="0"/>
    <x v="0"/>
    <x v="0"/>
    <x v="0"/>
    <x v="0"/>
    <x v="1"/>
    <x v="6"/>
    <x v="6"/>
    <x v="11"/>
    <x v="11"/>
    <n v="11.541650000000001"/>
    <x v="0"/>
    <x v="0"/>
    <x v="3"/>
    <x v="5"/>
    <x v="7"/>
    <x v="11"/>
    <n v="13.7345635"/>
  </r>
  <r>
    <x v="13"/>
    <x v="1"/>
    <x v="1"/>
    <x v="1"/>
    <x v="1"/>
    <x v="7"/>
    <x v="0"/>
    <x v="0"/>
    <x v="0"/>
    <x v="0"/>
    <x v="0"/>
    <x v="0"/>
    <x v="1"/>
    <x v="6"/>
    <x v="6"/>
    <x v="16"/>
    <x v="16"/>
    <n v="25.922999999999998"/>
    <x v="0"/>
    <x v="0"/>
    <x v="3"/>
    <x v="5"/>
    <x v="9"/>
    <x v="16"/>
    <n v="30.848369999999996"/>
  </r>
  <r>
    <x v="13"/>
    <x v="1"/>
    <x v="1"/>
    <x v="1"/>
    <x v="1"/>
    <x v="7"/>
    <x v="0"/>
    <x v="0"/>
    <x v="0"/>
    <x v="0"/>
    <x v="0"/>
    <x v="0"/>
    <x v="1"/>
    <x v="6"/>
    <x v="6"/>
    <x v="18"/>
    <x v="18"/>
    <n v="5"/>
    <x v="0"/>
    <x v="0"/>
    <x v="0"/>
    <x v="0"/>
    <x v="4"/>
    <x v="18"/>
    <n v="5.9499999999999993"/>
  </r>
  <r>
    <x v="13"/>
    <x v="1"/>
    <x v="1"/>
    <x v="1"/>
    <x v="1"/>
    <x v="7"/>
    <x v="0"/>
    <x v="0"/>
    <x v="0"/>
    <x v="0"/>
    <x v="0"/>
    <x v="0"/>
    <x v="4"/>
    <x v="5"/>
    <x v="5"/>
    <x v="18"/>
    <x v="18"/>
    <n v="340"/>
    <x v="0"/>
    <x v="0"/>
    <x v="0"/>
    <x v="0"/>
    <x v="4"/>
    <x v="18"/>
    <n v="404.59999999999997"/>
  </r>
  <r>
    <x v="13"/>
    <x v="1"/>
    <x v="1"/>
    <x v="1"/>
    <x v="1"/>
    <x v="7"/>
    <x v="0"/>
    <x v="0"/>
    <x v="0"/>
    <x v="0"/>
    <x v="0"/>
    <x v="0"/>
    <x v="3"/>
    <x v="14"/>
    <x v="3"/>
    <x v="11"/>
    <x v="11"/>
    <n v="5.3607500000000003"/>
    <x v="0"/>
    <x v="0"/>
    <x v="3"/>
    <x v="5"/>
    <x v="7"/>
    <x v="11"/>
    <n v="6.3792925"/>
  </r>
  <r>
    <x v="13"/>
    <x v="1"/>
    <x v="1"/>
    <x v="1"/>
    <x v="1"/>
    <x v="7"/>
    <x v="0"/>
    <x v="0"/>
    <x v="0"/>
    <x v="0"/>
    <x v="3"/>
    <x v="3"/>
    <x v="2"/>
    <x v="2"/>
    <x v="2"/>
    <x v="16"/>
    <x v="16"/>
    <n v="4.5"/>
    <x v="0"/>
    <x v="0"/>
    <x v="3"/>
    <x v="5"/>
    <x v="9"/>
    <x v="16"/>
    <n v="5.354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4:C26" firstHeaderRow="1" firstDataRow="2" firstDataCol="1" rowPageCount="22" colPageCount="1"/>
  <pivotFields count="27">
    <pivotField axis="axisPage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Col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multipleItemSelectionAllowed="1" showAll="0" includeNewItemsInFilter="1">
      <items count="10">
        <item h="1" x="8"/>
        <item h="1" x="5"/>
        <item h="1" x="6"/>
        <item h="1" x="1"/>
        <item x="0"/>
        <item x="3"/>
        <item x="4"/>
        <item x="2"/>
        <item h="1"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Items count="1">
    <i/>
  </rowItems>
  <colFields count="1">
    <field x="3"/>
  </colFields>
  <colItems count="2">
    <i>
      <x/>
    </i>
    <i>
      <x v="1"/>
    </i>
  </colItems>
  <pageFields count="22">
    <pageField fld="1" item="1" hier="0"/>
    <pageField fld="0" hier="0"/>
    <pageField fld="2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hier="0"/>
    <pageField fld="9" hier="0"/>
    <pageField fld="10" hier="0"/>
    <pageField fld="11" hier="0"/>
    <pageField fld="12" hier="0"/>
    <pageField fld="13" hier="0"/>
    <pageField fld="14" hier="0"/>
    <pageField fld="4" item="0" hier="-1"/>
    <pageField fld="5" hier="-1"/>
  </pageFields>
  <dataFields count="1">
    <dataField name="Value" fld="17" baseField="0" baseItem="0" numFmtId="3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0" cacheId="77" dataOnRows="1" applyNumberFormats="0" applyBorderFormats="0" applyFontFormats="0" applyPatternFormats="0" applyAlignmentFormats="0" applyWidthHeightFormats="1" dataCaption="Data" updatedVersion="7" minRefreshableVersion="3" showMemberPropertyTips="0" colGrandTotals="0" itemPrintTitles="1" createdVersion="5" indent="0" compact="0" compactData="0" gridDropZones="1" fieldListSortAscending="1">
  <location ref="A23:N30" firstHeaderRow="1" firstDataRow="3" firstDataCol="1" rowPageCount="21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multipleItemSelectionAllowed="1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1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hier="-1"/>
    <pageField fld="6" item="1" hier="0"/>
    <pageField fld="9" hier="-1"/>
    <pageField fld="7" hier="0"/>
    <pageField fld="8" item="4" hier="0"/>
    <pageField fld="10" hier="0"/>
    <pageField fld="11" hier="0"/>
    <pageField fld="12" hier="0"/>
    <pageField fld="13" hier="0"/>
    <pageField fld="14" hier="0"/>
    <pageField fld="4" item="0" hier="0"/>
    <pageField fld="5" hier="0"/>
  </pageFields>
  <dataFields count="1">
    <dataField name="Value" fld="17" baseField="25" baseItem="0" numFmtId="165"/>
  </dataFields>
  <formats count="16">
    <format dxfId="377">
      <pivotArea dataOnly="0" labelOnly="1" outline="0" fieldPosition="0">
        <references count="1">
          <reference field="0" count="0"/>
        </references>
      </pivotArea>
    </format>
    <format dxfId="376">
      <pivotArea dataOnly="0" labelOnly="1" outline="0" fieldPosition="0">
        <references count="1">
          <reference field="9" count="0"/>
        </references>
      </pivotArea>
    </format>
    <format dxfId="375">
      <pivotArea dataOnly="0" outline="0" fieldPosition="0">
        <references count="1">
          <reference field="9" count="0" defaultSubtotal="1"/>
        </references>
      </pivotArea>
    </format>
    <format dxfId="374">
      <pivotArea dataOnly="0" grandRow="1" outline="0" fieldPosition="0"/>
    </format>
    <format dxfId="373">
      <pivotArea dataOnly="0" outline="0" fieldPosition="0">
        <references count="1">
          <reference field="9" count="0" defaultSubtotal="1"/>
        </references>
      </pivotArea>
    </format>
    <format dxfId="372">
      <pivotArea field="6" dataOnly="0" grandRow="1" outline="0" axis="axisPage" fieldPosition="1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1">
      <pivotArea field="9" type="button" dataOnly="0" labelOnly="1" outline="0" axis="axisPage" fieldPosition="11"/>
    </format>
    <format dxfId="370">
      <pivotArea dataOnly="0" labelOnly="1" outline="0" fieldPosition="0">
        <references count="1">
          <reference field="0" count="0"/>
        </references>
      </pivotArea>
    </format>
    <format dxfId="369">
      <pivotArea dataOnly="0" labelOnly="1" outline="0" fieldPosition="0">
        <references count="1">
          <reference field="0" count="0"/>
        </references>
      </pivotArea>
    </format>
    <format dxfId="368">
      <pivotArea dataOnly="0" labelOnly="1" outline="0" fieldPosition="0">
        <references count="1">
          <reference field="1" count="0"/>
        </references>
      </pivotArea>
    </format>
    <format dxfId="367">
      <pivotArea field="25" type="button" dataOnly="0" labelOnly="1" outline="0" axis="axisRow" fieldPosition="0"/>
    </format>
    <format dxfId="366">
      <pivotArea field="25" type="button" dataOnly="0" labelOnly="1" outline="0" axis="axisRow" fieldPosition="0"/>
    </format>
    <format dxfId="365">
      <pivotArea outline="0" fieldPosition="0">
        <references count="1">
          <reference field="4294967294" count="1">
            <x v="0"/>
          </reference>
        </references>
      </pivotArea>
    </format>
    <format dxfId="364">
      <pivotArea field="25" type="button" dataOnly="0" labelOnly="1" outline="0" axis="axisRow" fieldPosition="0"/>
    </format>
    <format dxfId="363">
      <pivotArea field="25" type="button" dataOnly="0" labelOnly="1" outline="0" axis="axisRow" fieldPosition="0"/>
    </format>
    <format dxfId="362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9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2:P58" firstHeaderRow="1" firstDataRow="3" firstDataCol="3" rowPageCount="19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multipleItemSelectionAllowed="1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3">
    <field x="20"/>
    <field x="21"/>
    <field x="25"/>
  </rowFields>
  <rowItems count="34"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1"/>
    </i>
    <i>
      <x v="2"/>
      <x v="6"/>
      <x/>
    </i>
    <i r="2">
      <x v="1"/>
    </i>
    <i r="2">
      <x v="2"/>
    </i>
    <i t="default" r="1">
      <x v="6"/>
    </i>
    <i t="default">
      <x v="2"/>
    </i>
    <i>
      <x v="4"/>
      <x v="5"/>
      <x/>
    </i>
    <i r="2">
      <x v="1"/>
    </i>
    <i r="2">
      <x v="2"/>
    </i>
    <i r="2">
      <x v="3"/>
    </i>
    <i t="default" r="1">
      <x v="5"/>
    </i>
    <i t="default">
      <x v="4"/>
    </i>
    <i>
      <x v="5"/>
      <x v="7"/>
      <x/>
    </i>
    <i r="2">
      <x v="1"/>
    </i>
    <i r="2">
      <x v="2"/>
    </i>
    <i r="2">
      <x v="3"/>
    </i>
    <i t="default" r="1">
      <x v="7"/>
    </i>
    <i t="default">
      <x v="5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9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4" hier="0"/>
    <pageField fld="9" hier="0"/>
    <pageField fld="10" hier="0"/>
    <pageField fld="11" hier="0"/>
    <pageField fld="12" hier="0"/>
    <pageField fld="13" hier="0"/>
    <pageField fld="14" hier="0"/>
    <pageField fld="4" item="0" hier="-1"/>
    <pageField fld="5" hier="-1"/>
  </pageFields>
  <dataFields count="1">
    <dataField name="Value" fld="17" baseField="25" baseItem="0" numFmtId="165"/>
  </dataFields>
  <formats count="19">
    <format dxfId="361">
      <pivotArea dataOnly="0" labelOnly="1" outline="0" fieldPosition="0">
        <references count="1">
          <reference field="0" count="0"/>
        </references>
      </pivotArea>
    </format>
    <format dxfId="360">
      <pivotArea dataOnly="0" labelOnly="1" outline="0" fieldPosition="0">
        <references count="1">
          <reference field="9" count="0"/>
        </references>
      </pivotArea>
    </format>
    <format dxfId="359">
      <pivotArea dataOnly="0" outline="0" fieldPosition="0">
        <references count="1">
          <reference field="9" count="0" defaultSubtotal="1"/>
        </references>
      </pivotArea>
    </format>
    <format dxfId="358">
      <pivotArea dataOnly="0" grandRow="1" outline="0" fieldPosition="0"/>
    </format>
    <format dxfId="357">
      <pivotArea dataOnly="0" outline="0" fieldPosition="0">
        <references count="1">
          <reference field="9" count="0" defaultSubtotal="1"/>
        </references>
      </pivotArea>
    </format>
    <format dxfId="356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55">
      <pivotArea field="9" type="button" dataOnly="0" labelOnly="1" outline="0" axis="axisPage" fieldPosition="11"/>
    </format>
    <format dxfId="354">
      <pivotArea dataOnly="0" labelOnly="1" outline="0" fieldPosition="0">
        <references count="1">
          <reference field="0" count="0"/>
        </references>
      </pivotArea>
    </format>
    <format dxfId="353">
      <pivotArea dataOnly="0" labelOnly="1" outline="0" fieldPosition="0">
        <references count="1">
          <reference field="0" count="0"/>
        </references>
      </pivotArea>
    </format>
    <format dxfId="352">
      <pivotArea dataOnly="0" labelOnly="1" outline="0" fieldPosition="0">
        <references count="1">
          <reference field="1" count="0"/>
        </references>
      </pivotArea>
    </format>
    <format dxfId="351">
      <pivotArea dataOnly="0" outline="0" fieldPosition="0">
        <references count="1">
          <reference field="20" count="0" defaultSubtotal="1"/>
        </references>
      </pivotArea>
    </format>
    <format dxfId="350">
      <pivotArea field="25" type="button" dataOnly="0" labelOnly="1" outline="0" axis="axisRow" fieldPosition="2"/>
    </format>
    <format dxfId="349">
      <pivotArea field="20" type="button" dataOnly="0" labelOnly="1" outline="0" axis="axisRow" fieldPosition="0"/>
    </format>
    <format dxfId="348">
      <pivotArea field="20" type="button" dataOnly="0" labelOnly="1" outline="0" axis="axisRow" fieldPosition="0"/>
    </format>
    <format dxfId="347">
      <pivotArea field="25" type="button" dataOnly="0" labelOnly="1" outline="0" axis="axisRow" fieldPosition="2"/>
    </format>
    <format dxfId="346">
      <pivotArea field="21" type="button" dataOnly="0" labelOnly="1" outline="0" axis="axisRow" fieldPosition="1"/>
    </format>
    <format dxfId="345">
      <pivotArea outline="0" fieldPosition="0">
        <references count="1">
          <reference field="4294967294" count="1">
            <x v="0"/>
          </reference>
        </references>
      </pivotArea>
    </format>
    <format dxfId="344">
      <pivotArea dataOnly="0" labelOnly="1" outline="0" fieldPosition="0">
        <references count="1">
          <reference field="1" count="1">
            <x v="0"/>
          </reference>
        </references>
      </pivotArea>
    </format>
    <format dxfId="343">
      <pivotArea dataOnly="0" labelOnly="1" outline="0" fieldPosition="0">
        <references count="1">
          <reference field="1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2:P47" firstHeaderRow="1" firstDataRow="3" firstDataCol="3" rowPageCount="20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Page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axis="axisRow" compact="0" outline="0" showAll="0">
      <items count="4">
        <item n="HW &amp; 3rdP SW" x="1"/>
        <item n="Own SW &amp; All Services" x="2"/>
        <item x="0"/>
        <item t="default"/>
      </items>
    </pivotField>
  </pivotFields>
  <rowFields count="3">
    <field x="20"/>
    <field x="21"/>
    <field x="26"/>
  </rowFields>
  <rowItems count="23"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 v="6"/>
      <x/>
    </i>
    <i r="2">
      <x v="1"/>
    </i>
    <i t="default" r="1">
      <x v="6"/>
    </i>
    <i t="default">
      <x v="2"/>
    </i>
    <i>
      <x v="4"/>
      <x v="5"/>
      <x/>
    </i>
    <i r="2">
      <x v="1"/>
    </i>
    <i t="default" r="1">
      <x v="5"/>
    </i>
    <i t="default">
      <x v="4"/>
    </i>
    <i>
      <x v="5"/>
      <x v="7"/>
      <x/>
    </i>
    <i r="2">
      <x v="1"/>
    </i>
    <i t="default" r="1">
      <x v="7"/>
    </i>
    <i t="default">
      <x v="5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0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4" hier="0"/>
    <pageField fld="9" hier="0"/>
    <pageField fld="10" hier="0"/>
    <pageField fld="11" hier="0"/>
    <pageField fld="13" hier="0"/>
    <pageField fld="14" hier="0"/>
    <pageField fld="4" item="0" hier="-1"/>
    <pageField fld="5" hier="-1"/>
    <pageField fld="25" hier="-1"/>
    <pageField fld="12" hier="-1"/>
  </pageFields>
  <dataFields count="1">
    <dataField name="Value" fld="17" baseField="26" baseItem="0" numFmtId="165"/>
  </dataFields>
  <formats count="17">
    <format dxfId="342">
      <pivotArea dataOnly="0" labelOnly="1" outline="0" fieldPosition="0">
        <references count="1">
          <reference field="0" count="0"/>
        </references>
      </pivotArea>
    </format>
    <format dxfId="341">
      <pivotArea dataOnly="0" labelOnly="1" outline="0" fieldPosition="0">
        <references count="1">
          <reference field="9" count="0"/>
        </references>
      </pivotArea>
    </format>
    <format dxfId="340">
      <pivotArea dataOnly="0" outline="0" fieldPosition="0">
        <references count="1">
          <reference field="9" count="0" defaultSubtotal="1"/>
        </references>
      </pivotArea>
    </format>
    <format dxfId="339">
      <pivotArea dataOnly="0" grandRow="1" outline="0" fieldPosition="0"/>
    </format>
    <format dxfId="338">
      <pivotArea dataOnly="0" outline="0" fieldPosition="0">
        <references count="1">
          <reference field="9" count="0" defaultSubtotal="1"/>
        </references>
      </pivotArea>
    </format>
    <format dxfId="337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36">
      <pivotArea field="9" type="button" dataOnly="0" labelOnly="1" outline="0" axis="axisPage" fieldPosition="11"/>
    </format>
    <format dxfId="335">
      <pivotArea dataOnly="0" labelOnly="1" outline="0" fieldPosition="0">
        <references count="1">
          <reference field="0" count="0"/>
        </references>
      </pivotArea>
    </format>
    <format dxfId="334">
      <pivotArea dataOnly="0" labelOnly="1" outline="0" fieldPosition="0">
        <references count="1">
          <reference field="0" count="0"/>
        </references>
      </pivotArea>
    </format>
    <format dxfId="333">
      <pivotArea dataOnly="0" labelOnly="1" outline="0" fieldPosition="0">
        <references count="1">
          <reference field="1" count="0"/>
        </references>
      </pivotArea>
    </format>
    <format dxfId="332">
      <pivotArea dataOnly="0" outline="0" fieldPosition="0">
        <references count="1">
          <reference field="20" count="0" defaultSubtotal="1"/>
        </references>
      </pivotArea>
    </format>
    <format dxfId="331">
      <pivotArea field="21" type="button" dataOnly="0" labelOnly="1" outline="0" axis="axisRow" fieldPosition="1"/>
    </format>
    <format dxfId="330">
      <pivotArea field="12" type="button" dataOnly="0" labelOnly="1" outline="0" axis="axisPage" fieldPosition="19"/>
    </format>
    <format dxfId="329">
      <pivotArea outline="0" fieldPosition="0">
        <references count="1">
          <reference field="4294967294" count="1">
            <x v="0"/>
          </reference>
        </references>
      </pivotArea>
    </format>
    <format dxfId="328">
      <pivotArea dataOnly="0" labelOnly="1" outline="0" fieldPosition="0">
        <references count="1">
          <reference field="1" count="1">
            <x v="0"/>
          </reference>
        </references>
      </pivotArea>
    </format>
    <format dxfId="327">
      <pivotArea field="20" type="button" dataOnly="0" labelOnly="1" outline="0" axis="axisRow" fieldPosition="0"/>
    </format>
    <format dxfId="326">
      <pivotArea field="26" type="button" dataOnly="0" labelOnly="1" outline="0" axis="axisRow" fieldPosition="2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3:P66" firstHeaderRow="1" firstDataRow="3" firstDataCol="3" rowPageCount="20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Page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axis="axisPage" compact="0" outline="0" showAll="0">
      <items count="4">
        <item n="HW &amp; 3rdP SW" x="1"/>
        <item n="Own SW &amp; All Services" x="2"/>
        <item x="0"/>
        <item t="default"/>
      </items>
    </pivotField>
  </pivotFields>
  <rowFields count="3">
    <field x="20"/>
    <field x="21"/>
    <field x="12"/>
  </rowFields>
  <rowItems count="41">
    <i>
      <x v="1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t="default">
      <x v="1"/>
    </i>
    <i>
      <x v="2"/>
      <x v="6"/>
      <x/>
    </i>
    <i r="2">
      <x v="1"/>
    </i>
    <i r="2">
      <x v="2"/>
    </i>
    <i r="2">
      <x v="3"/>
    </i>
    <i r="2">
      <x v="4"/>
    </i>
    <i t="default" r="1">
      <x v="6"/>
    </i>
    <i t="default">
      <x v="2"/>
    </i>
    <i>
      <x v="4"/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4"/>
    </i>
    <i>
      <x v="5"/>
      <x v="7"/>
      <x/>
    </i>
    <i r="2">
      <x v="1"/>
    </i>
    <i r="2">
      <x v="2"/>
    </i>
    <i r="2">
      <x v="3"/>
    </i>
    <i r="2">
      <x v="4"/>
    </i>
    <i t="default" r="1">
      <x v="7"/>
    </i>
    <i t="default">
      <x v="5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0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4" hier="0"/>
    <pageField fld="9" hier="0"/>
    <pageField fld="10" hier="0"/>
    <pageField fld="11" hier="0"/>
    <pageField fld="13" hier="0"/>
    <pageField fld="14" hier="0"/>
    <pageField fld="4" item="0" hier="-1"/>
    <pageField fld="5" hier="-1"/>
    <pageField fld="25" hier="-1"/>
    <pageField fld="26" hier="-1"/>
  </pageFields>
  <dataFields count="1">
    <dataField name="Value" fld="17" baseField="12" baseItem="0" numFmtId="165"/>
  </dataFields>
  <formats count="16">
    <format dxfId="325">
      <pivotArea dataOnly="0" labelOnly="1" outline="0" fieldPosition="0">
        <references count="1">
          <reference field="0" count="0"/>
        </references>
      </pivotArea>
    </format>
    <format dxfId="324">
      <pivotArea dataOnly="0" labelOnly="1" outline="0" fieldPosition="0">
        <references count="1">
          <reference field="9" count="0"/>
        </references>
      </pivotArea>
    </format>
    <format dxfId="323">
      <pivotArea dataOnly="0" outline="0" fieldPosition="0">
        <references count="1">
          <reference field="9" count="0" defaultSubtotal="1"/>
        </references>
      </pivotArea>
    </format>
    <format dxfId="322">
      <pivotArea dataOnly="0" grandRow="1" outline="0" fieldPosition="0"/>
    </format>
    <format dxfId="321">
      <pivotArea dataOnly="0" outline="0" fieldPosition="0">
        <references count="1">
          <reference field="9" count="0" defaultSubtotal="1"/>
        </references>
      </pivotArea>
    </format>
    <format dxfId="320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19">
      <pivotArea field="9" type="button" dataOnly="0" labelOnly="1" outline="0" axis="axisPage" fieldPosition="11"/>
    </format>
    <format dxfId="318">
      <pivotArea dataOnly="0" labelOnly="1" outline="0" fieldPosition="0">
        <references count="1">
          <reference field="0" count="0"/>
        </references>
      </pivotArea>
    </format>
    <format dxfId="317">
      <pivotArea dataOnly="0" labelOnly="1" outline="0" fieldPosition="0">
        <references count="1">
          <reference field="0" count="0"/>
        </references>
      </pivotArea>
    </format>
    <format dxfId="316">
      <pivotArea dataOnly="0" labelOnly="1" outline="0" fieldPosition="0">
        <references count="1">
          <reference field="1" count="0"/>
        </references>
      </pivotArea>
    </format>
    <format dxfId="315">
      <pivotArea dataOnly="0" outline="0" fieldPosition="0">
        <references count="1">
          <reference field="20" count="0" defaultSubtotal="1"/>
        </references>
      </pivotArea>
    </format>
    <format dxfId="314">
      <pivotArea field="21" type="button" dataOnly="0" labelOnly="1" outline="0" axis="axisRow" fieldPosition="1"/>
    </format>
    <format dxfId="313">
      <pivotArea field="12" type="button" dataOnly="0" labelOnly="1" outline="0" axis="axisRow" fieldPosition="2"/>
    </format>
    <format dxfId="312">
      <pivotArea outline="0" fieldPosition="0">
        <references count="1">
          <reference field="4294967294" count="1">
            <x v="0"/>
          </reference>
        </references>
      </pivotArea>
    </format>
    <format dxfId="311">
      <pivotArea dataOnly="0" labelOnly="1" outline="0" fieldPosition="0">
        <references count="1">
          <reference field="1" count="1">
            <x v="0"/>
          </reference>
        </references>
      </pivotArea>
    </format>
    <format dxfId="310">
      <pivotArea field="2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P34" firstHeaderRow="1" firstDataRow="3" firstDataCol="3" rowPageCount="19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3">
    <field x="20"/>
    <field x="21"/>
    <field x="25"/>
  </rowFields>
  <rowItems count="11">
    <i>
      <x v="3"/>
      <x v="4"/>
      <x/>
    </i>
    <i r="2">
      <x v="1"/>
    </i>
    <i r="2">
      <x v="2"/>
    </i>
    <i r="2">
      <x v="3"/>
    </i>
    <i t="default" r="1">
      <x v="4"/>
    </i>
    <i t="default">
      <x v="3"/>
    </i>
    <i>
      <x v="4"/>
      <x v="5"/>
      <x/>
    </i>
    <i r="2">
      <x v="1"/>
    </i>
    <i t="default" r="1">
      <x v="5"/>
    </i>
    <i t="default">
      <x v="4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9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5" hier="0"/>
    <pageField fld="9" hier="0"/>
    <pageField fld="10" hier="0"/>
    <pageField fld="11" hier="0"/>
    <pageField fld="12" hier="0"/>
    <pageField fld="13" hier="0"/>
    <pageField fld="14" hier="0"/>
    <pageField fld="4" item="0" hier="-1"/>
    <pageField fld="5" hier="-1"/>
  </pageFields>
  <dataFields count="1">
    <dataField name="Value" fld="17" baseField="0" baseItem="0" numFmtId="3"/>
  </dataFields>
  <formats count="16">
    <format dxfId="309">
      <pivotArea dataOnly="0" labelOnly="1" outline="0" fieldPosition="0">
        <references count="1">
          <reference field="0" count="0"/>
        </references>
      </pivotArea>
    </format>
    <format dxfId="308">
      <pivotArea dataOnly="0" labelOnly="1" outline="0" fieldPosition="0">
        <references count="1">
          <reference field="9" count="0"/>
        </references>
      </pivotArea>
    </format>
    <format dxfId="307">
      <pivotArea dataOnly="0" outline="0" fieldPosition="0">
        <references count="1">
          <reference field="9" count="0" defaultSubtotal="1"/>
        </references>
      </pivotArea>
    </format>
    <format dxfId="306">
      <pivotArea dataOnly="0" grandRow="1" outline="0" fieldPosition="0"/>
    </format>
    <format dxfId="305">
      <pivotArea dataOnly="0" outline="0" fieldPosition="0">
        <references count="1">
          <reference field="9" count="0" defaultSubtotal="1"/>
        </references>
      </pivotArea>
    </format>
    <format dxfId="304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03">
      <pivotArea field="9" type="button" dataOnly="0" labelOnly="1" outline="0" axis="axisPage" fieldPosition="11"/>
    </format>
    <format dxfId="302">
      <pivotArea dataOnly="0" labelOnly="1" outline="0" fieldPosition="0">
        <references count="1">
          <reference field="0" count="0"/>
        </references>
      </pivotArea>
    </format>
    <format dxfId="301">
      <pivotArea dataOnly="0" labelOnly="1" outline="0" fieldPosition="0">
        <references count="1">
          <reference field="0" count="0"/>
        </references>
      </pivotArea>
    </format>
    <format dxfId="300">
      <pivotArea dataOnly="0" labelOnly="1" outline="0" fieldPosition="0">
        <references count="1">
          <reference field="1" count="0"/>
        </references>
      </pivotArea>
    </format>
    <format dxfId="299">
      <pivotArea dataOnly="0" outline="0" fieldPosition="0">
        <references count="1">
          <reference field="20" count="0" defaultSubtotal="1"/>
        </references>
      </pivotArea>
    </format>
    <format dxfId="298">
      <pivotArea field="21" type="button" dataOnly="0" labelOnly="1" outline="0" axis="axisRow" fieldPosition="1"/>
    </format>
    <format dxfId="297">
      <pivotArea field="21" type="button" dataOnly="0" labelOnly="1" outline="0" axis="axisRow" fieldPosition="1"/>
    </format>
    <format dxfId="296">
      <pivotArea field="20" type="button" dataOnly="0" labelOnly="1" outline="0" axis="axisRow" fieldPosition="0"/>
    </format>
    <format dxfId="295">
      <pivotArea field="25" type="button" dataOnly="0" labelOnly="1" outline="0" axis="axisRow" fieldPosition="2"/>
    </format>
    <format dxfId="294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7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Q37" firstHeaderRow="1" firstDataRow="3" firstDataCol="4" rowPageCount="19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Page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4">
    <field x="20"/>
    <field x="21"/>
    <field x="26"/>
    <field x="12"/>
  </rowFields>
  <rowItems count="14">
    <i>
      <x v="3"/>
      <x v="4"/>
      <x/>
      <x/>
    </i>
    <i r="3">
      <x v="2"/>
    </i>
    <i t="default" r="2">
      <x/>
    </i>
    <i r="2">
      <x v="1"/>
      <x v="1"/>
    </i>
    <i r="3">
      <x v="3"/>
    </i>
    <i r="3">
      <x v="4"/>
    </i>
    <i t="default" r="2">
      <x v="1"/>
    </i>
    <i t="default" r="1">
      <x v="4"/>
    </i>
    <i t="default">
      <x v="3"/>
    </i>
    <i>
      <x v="4"/>
      <x v="5"/>
      <x v="1"/>
      <x v="3"/>
    </i>
    <i t="default" r="2">
      <x v="1"/>
    </i>
    <i t="default" r="1">
      <x v="5"/>
    </i>
    <i t="default">
      <x v="4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9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5" hier="0"/>
    <pageField fld="9" hier="0"/>
    <pageField fld="10" hier="0"/>
    <pageField fld="11" hier="0"/>
    <pageField fld="13" hier="0"/>
    <pageField fld="14" hier="0"/>
    <pageField fld="4" item="0" hier="-1"/>
    <pageField fld="5" hier="-1"/>
    <pageField fld="25" hier="-1"/>
  </pageFields>
  <dataFields count="1">
    <dataField name="Value" fld="17" baseField="0" baseItem="0" numFmtId="3"/>
  </dataFields>
  <formats count="17">
    <format dxfId="293">
      <pivotArea dataOnly="0" labelOnly="1" outline="0" fieldPosition="0">
        <references count="1">
          <reference field="0" count="0"/>
        </references>
      </pivotArea>
    </format>
    <format dxfId="292">
      <pivotArea dataOnly="0" labelOnly="1" outline="0" fieldPosition="0">
        <references count="1">
          <reference field="9" count="0"/>
        </references>
      </pivotArea>
    </format>
    <format dxfId="291">
      <pivotArea dataOnly="0" outline="0" fieldPosition="0">
        <references count="1">
          <reference field="9" count="0" defaultSubtotal="1"/>
        </references>
      </pivotArea>
    </format>
    <format dxfId="290">
      <pivotArea dataOnly="0" grandRow="1" outline="0" fieldPosition="0"/>
    </format>
    <format dxfId="289">
      <pivotArea dataOnly="0" outline="0" fieldPosition="0">
        <references count="1">
          <reference field="9" count="0" defaultSubtotal="1"/>
        </references>
      </pivotArea>
    </format>
    <format dxfId="288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287">
      <pivotArea field="9" type="button" dataOnly="0" labelOnly="1" outline="0" axis="axisPage" fieldPosition="11"/>
    </format>
    <format dxfId="286">
      <pivotArea dataOnly="0" labelOnly="1" outline="0" fieldPosition="0">
        <references count="1">
          <reference field="0" count="0"/>
        </references>
      </pivotArea>
    </format>
    <format dxfId="285">
      <pivotArea dataOnly="0" labelOnly="1" outline="0" fieldPosition="0">
        <references count="1">
          <reference field="0" count="0"/>
        </references>
      </pivotArea>
    </format>
    <format dxfId="284">
      <pivotArea dataOnly="0" labelOnly="1" outline="0" fieldPosition="0">
        <references count="1">
          <reference field="1" count="0"/>
        </references>
      </pivotArea>
    </format>
    <format dxfId="283">
      <pivotArea dataOnly="0" outline="0" fieldPosition="0">
        <references count="1">
          <reference field="20" count="0" defaultSubtotal="1"/>
        </references>
      </pivotArea>
    </format>
    <format dxfId="282">
      <pivotArea field="20" type="button" dataOnly="0" labelOnly="1" outline="0" axis="axisRow" fieldPosition="0"/>
    </format>
    <format dxfId="281">
      <pivotArea field="20" type="button" dataOnly="0" labelOnly="1" outline="0" axis="axisRow" fieldPosition="0"/>
    </format>
    <format dxfId="280">
      <pivotArea field="21" type="button" dataOnly="0" labelOnly="1" outline="0" axis="axisRow" fieldPosition="1"/>
    </format>
    <format dxfId="279">
      <pivotArea field="12" type="button" dataOnly="0" labelOnly="1" outline="0" axis="axisRow" fieldPosition="3"/>
    </format>
    <format dxfId="278">
      <pivotArea field="26" type="button" dataOnly="0" labelOnly="1" outline="0" axis="axisRow" fieldPosition="2"/>
    </format>
    <format dxfId="277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2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P40" firstHeaderRow="1" firstDataRow="3" firstDataCol="3" rowPageCount="19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3">
    <field x="20"/>
    <field x="21"/>
    <field x="25"/>
  </rowFields>
  <rowItems count="17">
    <i>
      <x/>
      <x v="3"/>
      <x/>
    </i>
    <i r="2">
      <x v="1"/>
    </i>
    <i r="2">
      <x v="2"/>
    </i>
    <i t="default" r="1">
      <x v="3"/>
    </i>
    <i t="default">
      <x/>
    </i>
    <i>
      <x v="1"/>
      <x v="1"/>
      <x/>
    </i>
    <i r="2">
      <x v="2"/>
    </i>
    <i r="2">
      <x v="3"/>
    </i>
    <i t="default" r="1">
      <x v="1"/>
    </i>
    <i t="default">
      <x v="1"/>
    </i>
    <i>
      <x v="3"/>
      <x v="4"/>
      <x/>
    </i>
    <i r="2">
      <x v="1"/>
    </i>
    <i r="2">
      <x v="2"/>
    </i>
    <i r="2">
      <x v="3"/>
    </i>
    <i t="default" r="1">
      <x v="4"/>
    </i>
    <i t="default">
      <x v="3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9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7" hier="0"/>
    <pageField fld="9" hier="0"/>
    <pageField fld="10" hier="0"/>
    <pageField fld="11" hier="0"/>
    <pageField fld="12" hier="0"/>
    <pageField fld="13" hier="0"/>
    <pageField fld="14" hier="0"/>
    <pageField fld="4" item="0" hier="-1"/>
    <pageField fld="5" hier="-1"/>
  </pageFields>
  <dataFields count="1">
    <dataField name="Value" fld="17" baseField="0" baseItem="0" numFmtId="3"/>
  </dataFields>
  <formats count="17">
    <format dxfId="276">
      <pivotArea dataOnly="0" labelOnly="1" outline="0" fieldPosition="0">
        <references count="1">
          <reference field="0" count="0"/>
        </references>
      </pivotArea>
    </format>
    <format dxfId="275">
      <pivotArea dataOnly="0" labelOnly="1" outline="0" fieldPosition="0">
        <references count="1">
          <reference field="9" count="0"/>
        </references>
      </pivotArea>
    </format>
    <format dxfId="274">
      <pivotArea dataOnly="0" outline="0" fieldPosition="0">
        <references count="1">
          <reference field="9" count="0" defaultSubtotal="1"/>
        </references>
      </pivotArea>
    </format>
    <format dxfId="273">
      <pivotArea dataOnly="0" grandRow="1" outline="0" fieldPosition="0"/>
    </format>
    <format dxfId="272">
      <pivotArea dataOnly="0" outline="0" fieldPosition="0">
        <references count="1">
          <reference field="9" count="0" defaultSubtotal="1"/>
        </references>
      </pivotArea>
    </format>
    <format dxfId="271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270">
      <pivotArea field="9" type="button" dataOnly="0" labelOnly="1" outline="0" axis="axisPage" fieldPosition="11"/>
    </format>
    <format dxfId="269">
      <pivotArea dataOnly="0" labelOnly="1" outline="0" fieldPosition="0">
        <references count="1">
          <reference field="0" count="0"/>
        </references>
      </pivotArea>
    </format>
    <format dxfId="268">
      <pivotArea dataOnly="0" labelOnly="1" outline="0" fieldPosition="0">
        <references count="1">
          <reference field="0" count="0"/>
        </references>
      </pivotArea>
    </format>
    <format dxfId="267">
      <pivotArea dataOnly="0" labelOnly="1" outline="0" fieldPosition="0">
        <references count="1">
          <reference field="1" count="0"/>
        </references>
      </pivotArea>
    </format>
    <format dxfId="266">
      <pivotArea dataOnly="0" outline="0" fieldPosition="0">
        <references count="1">
          <reference field="20" count="0" defaultSubtotal="1"/>
        </references>
      </pivotArea>
    </format>
    <format dxfId="265">
      <pivotArea field="25" type="button" dataOnly="0" labelOnly="1" outline="0" axis="axisRow" fieldPosition="2"/>
    </format>
    <format dxfId="264">
      <pivotArea field="20" type="button" dataOnly="0" labelOnly="1" outline="0" axis="axisRow" fieldPosition="0"/>
    </format>
    <format dxfId="263">
      <pivotArea field="20" type="button" dataOnly="0" labelOnly="1" outline="0" axis="axisRow" fieldPosition="0"/>
    </format>
    <format dxfId="262">
      <pivotArea field="25" type="button" dataOnly="0" labelOnly="1" outline="0" axis="axisRow" fieldPosition="2"/>
    </format>
    <format dxfId="261">
      <pivotArea field="21" type="button" dataOnly="0" labelOnly="1" outline="0" axis="axisRow" fieldPosition="1"/>
    </format>
    <format dxfId="260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4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Q51" firstHeaderRow="1" firstDataRow="3" firstDataCol="4" rowPageCount="19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Row" compact="0" outline="0" showAll="0">
      <items count="9">
        <item x="1"/>
        <item x="4"/>
        <item x="3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Page" compact="0" outline="0" showAll="0">
      <items count="7">
        <item x="4"/>
        <item x="3"/>
        <item x="0"/>
        <item n="Not Planned yet" x="5"/>
        <item x="2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4">
    <field x="20"/>
    <field x="21"/>
    <field x="26"/>
    <field x="12"/>
  </rowFields>
  <rowItems count="28">
    <i>
      <x/>
      <x v="3"/>
      <x/>
      <x/>
    </i>
    <i r="3">
      <x v="2"/>
    </i>
    <i t="default" r="2">
      <x/>
    </i>
    <i r="2">
      <x v="1"/>
      <x v="1"/>
    </i>
    <i r="3">
      <x v="3"/>
    </i>
    <i r="3">
      <x v="4"/>
    </i>
    <i t="default" r="2">
      <x v="1"/>
    </i>
    <i t="default" r="1">
      <x v="3"/>
    </i>
    <i t="default">
      <x/>
    </i>
    <i>
      <x v="1"/>
      <x v="1"/>
      <x/>
      <x/>
    </i>
    <i r="3">
      <x v="2"/>
    </i>
    <i t="default" r="2">
      <x/>
    </i>
    <i r="2">
      <x v="1"/>
      <x v="1"/>
    </i>
    <i r="3">
      <x v="3"/>
    </i>
    <i r="3">
      <x v="4"/>
    </i>
    <i t="default" r="2">
      <x v="1"/>
    </i>
    <i t="default" r="1">
      <x v="1"/>
    </i>
    <i t="default">
      <x v="1"/>
    </i>
    <i>
      <x v="3"/>
      <x v="4"/>
      <x/>
      <x/>
    </i>
    <i r="3">
      <x v="2"/>
    </i>
    <i t="default" r="2">
      <x/>
    </i>
    <i r="2">
      <x v="1"/>
      <x v="1"/>
    </i>
    <i r="3">
      <x v="3"/>
    </i>
    <i r="3">
      <x v="4"/>
    </i>
    <i t="default" r="2">
      <x v="1"/>
    </i>
    <i t="default" r="1">
      <x v="4"/>
    </i>
    <i t="default">
      <x v="3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9">
    <pageField fld="2" hier="0"/>
    <pageField fld="3" hier="0"/>
    <pageField fld="19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7" hier="0"/>
    <pageField fld="9" hier="0"/>
    <pageField fld="10" hier="0"/>
    <pageField fld="11" hier="0"/>
    <pageField fld="13" hier="0"/>
    <pageField fld="14" hier="0"/>
    <pageField fld="4" item="0" hier="-1"/>
    <pageField fld="5" hier="-1"/>
    <pageField fld="25" hier="-1"/>
  </pageFields>
  <dataFields count="1">
    <dataField name="Value" fld="17" baseField="0" baseItem="0" numFmtId="3"/>
  </dataFields>
  <formats count="16">
    <format dxfId="259">
      <pivotArea dataOnly="0" labelOnly="1" outline="0" fieldPosition="0">
        <references count="1">
          <reference field="0" count="0"/>
        </references>
      </pivotArea>
    </format>
    <format dxfId="258">
      <pivotArea dataOnly="0" labelOnly="1" outline="0" fieldPosition="0">
        <references count="1">
          <reference field="9" count="0"/>
        </references>
      </pivotArea>
    </format>
    <format dxfId="257">
      <pivotArea dataOnly="0" outline="0" fieldPosition="0">
        <references count="1">
          <reference field="9" count="0" defaultSubtotal="1"/>
        </references>
      </pivotArea>
    </format>
    <format dxfId="256">
      <pivotArea dataOnly="0" grandRow="1" outline="0" fieldPosition="0"/>
    </format>
    <format dxfId="255">
      <pivotArea dataOnly="0" outline="0" fieldPosition="0">
        <references count="1">
          <reference field="9" count="0" defaultSubtotal="1"/>
        </references>
      </pivotArea>
    </format>
    <format dxfId="254">
      <pivotArea field="6" dataOnly="0" grandRow="1" outline="0" axis="axisPage" fieldPosition="8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253">
      <pivotArea field="9" type="button" dataOnly="0" labelOnly="1" outline="0" axis="axisPage" fieldPosition="11"/>
    </format>
    <format dxfId="252">
      <pivotArea dataOnly="0" labelOnly="1" outline="0" fieldPosition="0">
        <references count="1">
          <reference field="0" count="0"/>
        </references>
      </pivotArea>
    </format>
    <format dxfId="251">
      <pivotArea dataOnly="0" labelOnly="1" outline="0" fieldPosition="0">
        <references count="1">
          <reference field="0" count="0"/>
        </references>
      </pivotArea>
    </format>
    <format dxfId="250">
      <pivotArea dataOnly="0" labelOnly="1" outline="0" fieldPosition="0">
        <references count="1">
          <reference field="1" count="0"/>
        </references>
      </pivotArea>
    </format>
    <format dxfId="249">
      <pivotArea dataOnly="0" outline="0" fieldPosition="0">
        <references count="1">
          <reference field="20" count="0" defaultSubtotal="1"/>
        </references>
      </pivotArea>
    </format>
    <format dxfId="248">
      <pivotArea field="21" type="button" dataOnly="0" labelOnly="1" outline="0" axis="axisRow" fieldPosition="1"/>
    </format>
    <format dxfId="247">
      <pivotArea field="12" type="button" dataOnly="0" labelOnly="1" outline="0" axis="axisRow" fieldPosition="3"/>
    </format>
    <format dxfId="246">
      <pivotArea dataOnly="0" labelOnly="1" outline="0" fieldPosition="0">
        <references count="1">
          <reference field="1" count="1">
            <x v="0"/>
          </reference>
        </references>
      </pivotArea>
    </format>
    <format dxfId="245">
      <pivotArea field="20" type="button" dataOnly="0" labelOnly="1" outline="0" axis="axisRow" fieldPosition="0"/>
    </format>
    <format dxfId="244">
      <pivotArea field="26" type="button" dataOnly="0" labelOnly="1" outline="0" axis="axisRow" fieldPosition="2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6" cacheId="77" dataOnRows="1" applyNumberFormats="0" applyBorderFormats="0" applyFontFormats="0" applyPatternFormats="0" applyAlignmentFormats="0" applyWidthHeightFormats="1" dataCaption="Data" updatedVersion="7" minRefreshableVersion="3" asteriskTotals="1" showMemberPropertyTips="0" colGrandTotals="0" itemPrintTitles="1" createdVersion="5" indent="0" compact="0" compactData="0" gridDropZones="1" fieldListSortAscending="1">
  <location ref="A23:O37" firstHeaderRow="1" firstDataRow="3" firstDataCol="2" rowPageCount="21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h="1" x="1"/>
        <item x="0"/>
        <item h="1"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multipleItemSelectionAllowed="1" showAll="0" includeNewItemsInFilter="1">
      <items count="7">
        <item x="0"/>
        <item x="3"/>
        <item x="4"/>
        <item x="2"/>
        <item h="1"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</pivotFields>
  <rowFields count="2">
    <field x="-2"/>
    <field x="12"/>
  </rowFields>
  <row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1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hier="-1"/>
    <pageField fld="9" hier="-1"/>
    <pageField fld="6" item="1" hier="0"/>
    <pageField fld="7" hier="0"/>
    <pageField fld="8" item="4" hier="0"/>
    <pageField fld="10" hier="0"/>
    <pageField fld="11" hier="0"/>
    <pageField fld="13" hier="0"/>
    <pageField fld="14" hier="-1"/>
    <pageField fld="4" item="0" hier="0"/>
    <pageField fld="5" hier="0"/>
    <pageField fld="26" hier="-1"/>
  </pageFields>
  <dataFields count="2">
    <dataField name="Value" fld="17" baseField="0" baseItem="0" numFmtId="165"/>
    <dataField name="% of total (100%)" fld="17" baseField="2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50">
    <format dxfId="243">
      <pivotArea dataOnly="0" labelOnly="1" outline="0" fieldPosition="0">
        <references count="1">
          <reference field="0" count="0"/>
        </references>
      </pivotArea>
    </format>
    <format dxfId="242">
      <pivotArea dataOnly="0" labelOnly="1" outline="0" fieldPosition="0">
        <references count="1">
          <reference field="9" count="0"/>
        </references>
      </pivotArea>
    </format>
    <format dxfId="241">
      <pivotArea dataOnly="0" outline="0" fieldPosition="0">
        <references count="1">
          <reference field="9" count="0" defaultSubtotal="1"/>
        </references>
      </pivotArea>
    </format>
    <format dxfId="240">
      <pivotArea dataOnly="0" grandRow="1" outline="0" fieldPosition="0"/>
    </format>
    <format dxfId="239">
      <pivotArea dataOnly="0" outline="0" fieldPosition="0">
        <references count="1">
          <reference field="9" count="0" defaultSubtotal="1"/>
        </references>
      </pivotArea>
    </format>
    <format dxfId="238">
      <pivotArea field="6" dataOnly="0" grandRow="1" outline="0" axis="axisPage" fieldPosition="11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237">
      <pivotArea field="9" type="button" dataOnly="0" labelOnly="1" outline="0" axis="axisPage" fieldPosition="10"/>
    </format>
    <format dxfId="236">
      <pivotArea dataOnly="0" labelOnly="1" outline="0" fieldPosition="0">
        <references count="1">
          <reference field="0" count="0"/>
        </references>
      </pivotArea>
    </format>
    <format dxfId="235">
      <pivotArea dataOnly="0" labelOnly="1" outline="0" fieldPosition="0">
        <references count="1">
          <reference field="0" count="0"/>
        </references>
      </pivotArea>
    </format>
    <format dxfId="234">
      <pivotArea outline="0" fieldPosition="0">
        <references count="1">
          <reference field="4294967294" count="1">
            <x v="1"/>
          </reference>
        </references>
      </pivotArea>
    </format>
    <format dxfId="233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232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23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23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2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22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2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226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25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224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223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22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22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22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1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218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217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16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215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214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13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212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211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10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209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20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0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206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205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204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203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3"/>
          </reference>
        </references>
      </pivotArea>
    </format>
    <format dxfId="202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201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3"/>
          </reference>
        </references>
      </pivotArea>
    </format>
    <format dxfId="200">
      <pivotArea outline="0" fieldPosition="0">
        <references count="1">
          <reference field="4294967294" count="1">
            <x v="0"/>
          </reference>
        </references>
      </pivotArea>
    </format>
    <format dxfId="199">
      <pivotArea field="-2" type="button" dataOnly="0" labelOnly="1" outline="0" axis="axisRow" fieldPosition="0"/>
    </format>
    <format dxfId="198">
      <pivotArea field="12" type="button" dataOnly="0" labelOnly="1" outline="0" axis="axisRow" fieldPosition="1"/>
    </format>
    <format dxfId="197">
      <pivotArea field="-2" type="button" dataOnly="0" labelOnly="1" outline="0" axis="axisRow" fieldPosition="0"/>
    </format>
    <format dxfId="196">
      <pivotArea field="12" type="button" dataOnly="0" labelOnly="1" outline="0" axis="axisRow" fieldPosition="1"/>
    </format>
    <format dxfId="195">
      <pivotArea dataOnly="0" labelOnly="1" outline="0" fieldPosition="0">
        <references count="1">
          <reference field="1" count="1">
            <x v="0"/>
          </reference>
        </references>
      </pivotArea>
    </format>
    <format dxfId="194">
      <pivotArea dataOnly="0" labelOnly="1" outline="0" fieldPosition="0">
        <references count="1">
          <reference field="1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9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O24" firstHeaderRow="1" firstDataRow="3" firstDataCol="1" rowPageCount="15" colPageCount="1"/>
  <pivotFields count="27">
    <pivotField axis="axisCol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h="1" x="8"/>
        <item h="1" x="5"/>
        <item h="1" x="6"/>
        <item h="1" x="1"/>
        <item x="0"/>
        <item h="1" x="3"/>
        <item h="1"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Items count="1">
    <i/>
  </rowItems>
  <colFields count="2">
    <field x="1"/>
    <field x="0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5">
    <pageField fld="2" hier="0"/>
    <pageField fld="3" hier="0"/>
    <pageField fld="15" hier="0"/>
    <pageField fld="16" hier="0"/>
    <pageField fld="6" hier="0"/>
    <pageField fld="7" hier="0"/>
    <pageField fld="8" item="4" hier="0"/>
    <pageField fld="9" hier="0"/>
    <pageField fld="10" hier="0"/>
    <pageField fld="11" hier="0"/>
    <pageField fld="12" hier="0"/>
    <pageField fld="13" hier="0"/>
    <pageField fld="14" hier="0"/>
    <pageField fld="4" item="0" hier="0"/>
    <pageField fld="5" hier="0"/>
  </pageFields>
  <dataFields count="1">
    <dataField name="Value" fld="17" baseField="0" baseItem="0" numFmtId="3"/>
  </dataFields>
  <formats count="10">
    <format dxfId="191">
      <pivotArea dataOnly="0" labelOnly="1" outline="0" fieldPosition="0">
        <references count="1">
          <reference field="0" count="0"/>
        </references>
      </pivotArea>
    </format>
    <format dxfId="190">
      <pivotArea dataOnly="0" labelOnly="1" outline="0" fieldPosition="0">
        <references count="1">
          <reference field="9" count="0"/>
        </references>
      </pivotArea>
    </format>
    <format dxfId="189">
      <pivotArea dataOnly="0" outline="0" fieldPosition="0">
        <references count="1">
          <reference field="9" count="0" defaultSubtotal="1"/>
        </references>
      </pivotArea>
    </format>
    <format dxfId="188">
      <pivotArea dataOnly="0" grandRow="1" outline="0" fieldPosition="0"/>
    </format>
    <format dxfId="187">
      <pivotArea dataOnly="0" outline="0" fieldPosition="0">
        <references count="1">
          <reference field="9" count="0" defaultSubtotal="1"/>
        </references>
      </pivotArea>
    </format>
    <format dxfId="186">
      <pivotArea field="6" dataOnly="0" grandRow="1" outline="0" axis="axisPage" fieldPosition="4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185">
      <pivotArea field="9" type="button" dataOnly="0" labelOnly="1" outline="0" axis="axisPage" fieldPosition="7"/>
    </format>
    <format dxfId="184">
      <pivotArea dataOnly="0" labelOnly="1" outline="0" fieldPosition="0">
        <references count="1">
          <reference field="0" count="0"/>
        </references>
      </pivotArea>
    </format>
    <format dxfId="183">
      <pivotArea dataOnly="0" labelOnly="1" outline="0" fieldPosition="0">
        <references count="1">
          <reference field="0" count="0"/>
        </references>
      </pivotArea>
    </format>
    <format dxfId="182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9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1:O24" firstHeaderRow="1" firstDataRow="3" firstDataCol="1" rowPageCount="15" colPageCount="1"/>
  <pivotFields count="27">
    <pivotField axis="axisCol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h="1" x="8"/>
        <item h="1" x="5"/>
        <item h="1" x="6"/>
        <item h="1" x="1"/>
        <item h="1" x="0"/>
        <item x="3"/>
        <item h="1"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Items count="1">
    <i/>
  </rowItems>
  <colFields count="2">
    <field x="1"/>
    <field x="0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15">
    <pageField fld="2" hier="0"/>
    <pageField fld="3" hier="0"/>
    <pageField fld="15" hier="0"/>
    <pageField fld="16" hier="0"/>
    <pageField fld="6" hier="0"/>
    <pageField fld="7" hier="0"/>
    <pageField fld="8" item="5" hier="0"/>
    <pageField fld="9" hier="0"/>
    <pageField fld="10" hier="0"/>
    <pageField fld="11" hier="0"/>
    <pageField fld="12" hier="0"/>
    <pageField fld="13" hier="0"/>
    <pageField fld="14" hier="0"/>
    <pageField fld="4" item="0" hier="0"/>
    <pageField fld="5" hier="0"/>
  </pageFields>
  <dataFields count="1">
    <dataField name="Value" fld="17" baseField="0" baseItem="0" numFmtId="3"/>
  </dataFields>
  <formats count="10">
    <format dxfId="179">
      <pivotArea dataOnly="0" labelOnly="1" outline="0" fieldPosition="0">
        <references count="1">
          <reference field="0" count="0"/>
        </references>
      </pivotArea>
    </format>
    <format dxfId="178">
      <pivotArea dataOnly="0" labelOnly="1" outline="0" fieldPosition="0">
        <references count="1">
          <reference field="9" count="0"/>
        </references>
      </pivotArea>
    </format>
    <format dxfId="177">
      <pivotArea dataOnly="0" outline="0" fieldPosition="0">
        <references count="1">
          <reference field="9" count="0" defaultSubtotal="1"/>
        </references>
      </pivotArea>
    </format>
    <format dxfId="176">
      <pivotArea dataOnly="0" grandRow="1" outline="0" fieldPosition="0"/>
    </format>
    <format dxfId="175">
      <pivotArea dataOnly="0" outline="0" fieldPosition="0">
        <references count="1">
          <reference field="9" count="0" defaultSubtotal="1"/>
        </references>
      </pivotArea>
    </format>
    <format dxfId="174">
      <pivotArea field="6" dataOnly="0" grandRow="1" outline="0" axis="axisPage" fieldPosition="4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173">
      <pivotArea field="9" type="button" dataOnly="0" labelOnly="1" outline="0" axis="axisPage" fieldPosition="7"/>
    </format>
    <format dxfId="172">
      <pivotArea dataOnly="0" labelOnly="1" outline="0" fieldPosition="0">
        <references count="1">
          <reference field="0" count="0"/>
        </references>
      </pivotArea>
    </format>
    <format dxfId="171">
      <pivotArea dataOnly="0" labelOnly="1" outline="0" fieldPosition="0">
        <references count="1">
          <reference field="0" count="0"/>
        </references>
      </pivotArea>
    </format>
    <format dxfId="170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6" cacheId="77" dataOnRows="1" applyNumberFormats="0" applyBorderFormats="0" applyFontFormats="0" applyPatternFormats="0" applyAlignmentFormats="0" applyWidthHeightFormats="1" dataCaption="Data" updatedVersion="7" minRefreshableVersion="3" asteriskTotals="1" showMemberPropertyTips="0" useAutoFormatting="1" colGrandTotals="0" itemPrintTitles="1" createdVersion="5" indent="0" compact="0" compactData="0" gridDropZones="1" fieldListSortAscending="1">
  <location ref="A23:P41" firstHeaderRow="1" firstDataRow="3" firstDataCol="3" rowPageCount="20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h="1" x="1"/>
        <item x="0"/>
        <item h="1"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1"/>
        <item x="0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axis="axisRow" compact="0" outline="0" showAll="0">
      <items count="4">
        <item n="HW &amp; 3rdP SW" x="1"/>
        <item n="Own SW &amp; All Services" x="2"/>
        <item x="0"/>
        <item t="default"/>
      </items>
    </pivotField>
  </pivotFields>
  <rowFields count="3">
    <field x="-2"/>
    <field x="26"/>
    <field x="12"/>
  </rowFields>
  <rowItems count="16">
    <i>
      <x/>
      <x/>
      <x/>
    </i>
    <i r="2">
      <x v="1"/>
    </i>
    <i t="default" r="1">
      <x/>
    </i>
    <i r="1">
      <x v="1"/>
      <x v="2"/>
    </i>
    <i r="2">
      <x v="3"/>
    </i>
    <i r="2">
      <x v="4"/>
    </i>
    <i t="default" r="1">
      <x v="1"/>
    </i>
    <i i="1">
      <x v="1"/>
      <x/>
      <x/>
    </i>
    <i r="2" i="1">
      <x v="1"/>
    </i>
    <i t="default" r="1" i="1">
      <x/>
    </i>
    <i r="1" i="1">
      <x v="1"/>
      <x v="2"/>
    </i>
    <i r="2" i="1">
      <x v="3"/>
    </i>
    <i r="2" i="1">
      <x v="4"/>
    </i>
    <i t="default" r="1" i="1">
      <x v="1"/>
    </i>
    <i t="grand">
      <x/>
    </i>
    <i t="grand" i="1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0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hier="-1"/>
    <pageField fld="6" item="1" hier="0"/>
    <pageField fld="7" hier="0"/>
    <pageField fld="8" item="4" hier="0"/>
    <pageField fld="9" hier="-1"/>
    <pageField fld="10" hier="0"/>
    <pageField fld="11" hier="0"/>
    <pageField fld="13" hier="0"/>
    <pageField fld="14" hier="-1"/>
    <pageField fld="4" item="0" hier="0"/>
    <pageField fld="5" hier="0"/>
  </pageFields>
  <dataFields count="2">
    <dataField name="Value" fld="17" baseField="0" baseItem="0" numFmtId="165"/>
    <dataField name="% of total (100%)" fld="17" baseField="2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54">
    <format dxfId="169">
      <pivotArea dataOnly="0" labelOnly="1" outline="0" fieldPosition="0">
        <references count="1">
          <reference field="0" count="0"/>
        </references>
      </pivotArea>
    </format>
    <format dxfId="168">
      <pivotArea dataOnly="0" labelOnly="1" outline="0" fieldPosition="0">
        <references count="1">
          <reference field="9" count="0"/>
        </references>
      </pivotArea>
    </format>
    <format dxfId="167">
      <pivotArea dataOnly="0" outline="0" fieldPosition="0">
        <references count="1">
          <reference field="9" count="0" defaultSubtotal="1"/>
        </references>
      </pivotArea>
    </format>
    <format dxfId="166">
      <pivotArea dataOnly="0" grandRow="1" outline="0" fieldPosition="0"/>
    </format>
    <format dxfId="165">
      <pivotArea dataOnly="0" outline="0" fieldPosition="0">
        <references count="1">
          <reference field="9" count="0" defaultSubtotal="1"/>
        </references>
      </pivotArea>
    </format>
    <format dxfId="164">
      <pivotArea field="6" dataOnly="0" grandRow="1" outline="0" axis="axisPage" fieldPosition="1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163">
      <pivotArea field="9" type="button" dataOnly="0" labelOnly="1" outline="0" axis="axisPage" fieldPosition="13"/>
    </format>
    <format dxfId="162">
      <pivotArea dataOnly="0" labelOnly="1" outline="0" fieldPosition="0">
        <references count="1">
          <reference field="0" count="0"/>
        </references>
      </pivotArea>
    </format>
    <format dxfId="161">
      <pivotArea dataOnly="0" labelOnly="1" outline="0" fieldPosition="0">
        <references count="1">
          <reference field="0" count="0"/>
        </references>
      </pivotArea>
    </format>
    <format dxfId="160">
      <pivotArea outline="0" fieldPosition="0">
        <references count="1">
          <reference field="4294967294" count="1">
            <x v="1"/>
          </reference>
        </references>
      </pivotArea>
    </format>
    <format dxfId="159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158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157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156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55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154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53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152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51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150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149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48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147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146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45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144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143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42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14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14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3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138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137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36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135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134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33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132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131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130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129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3"/>
          </reference>
        </references>
      </pivotArea>
    </format>
    <format dxfId="12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2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3"/>
          </reference>
        </references>
      </pivotArea>
    </format>
    <format dxfId="126">
      <pivotArea outline="0" fieldPosition="0">
        <references count="3">
          <reference field="4294967294" count="1" selected="0">
            <x v="1"/>
          </reference>
          <reference field="9" count="1" selected="0">
            <x v="0"/>
          </reference>
          <reference field="26" count="1" selected="0" defaultSubtotal="1">
            <x v="0"/>
          </reference>
        </references>
      </pivotArea>
    </format>
    <format dxfId="125">
      <pivotArea outline="0" fieldPosition="0">
        <references count="3">
          <reference field="4294967294" count="1" selected="0">
            <x v="1"/>
          </reference>
          <reference field="9" count="1" selected="0">
            <x v="0"/>
          </reference>
          <reference field="26" count="1" selected="0" defaultSubtotal="1">
            <x v="1"/>
          </reference>
        </references>
      </pivotArea>
    </format>
    <format dxfId="124">
      <pivotArea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26" count="1" selected="0" defaultSubtotal="1">
            <x v="0"/>
          </reference>
        </references>
      </pivotArea>
    </format>
    <format dxfId="123">
      <pivotArea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26" count="1" selected="0" defaultSubtotal="1">
            <x v="1"/>
          </reference>
        </references>
      </pivotArea>
    </format>
    <format dxfId="122">
      <pivotArea dataOnly="0" labelOnly="1" outline="0" fieldPosition="0">
        <references count="3">
          <reference field="4294967294" count="2" selected="0">
            <x v="0"/>
            <x v="1"/>
          </reference>
          <reference field="9" count="1" selected="0">
            <x v="0"/>
          </reference>
          <reference field="26" count="0" defaultSubtotal="1"/>
        </references>
      </pivotArea>
    </format>
    <format dxfId="121">
      <pivotArea outline="0" fieldPosition="0">
        <references count="1">
          <reference field="4294967294" count="1">
            <x v="0"/>
          </reference>
        </references>
      </pivotArea>
    </format>
    <format dxfId="120">
      <pivotArea field="12" type="button" dataOnly="0" labelOnly="1" outline="0" axis="axisRow" fieldPosition="2"/>
    </format>
    <format dxfId="119">
      <pivotArea field="12" type="button" dataOnly="0" labelOnly="1" outline="0" axis="axisRow" fieldPosition="2"/>
    </format>
    <format dxfId="118">
      <pivotArea field="-2" type="button" dataOnly="0" labelOnly="1" outline="0" axis="axisRow" fieldPosition="0"/>
    </format>
    <format dxfId="117">
      <pivotArea field="26" type="button" dataOnly="0" labelOnly="1" outline="0" axis="axisRow" fieldPosition="1"/>
    </format>
    <format dxfId="116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6" cacheId="77" dataOnRows="1" applyNumberFormats="0" applyBorderFormats="0" applyFontFormats="0" applyPatternFormats="0" applyAlignmentFormats="0" applyWidthHeightFormats="1" dataCaption="Data" updatedVersion="7" minRefreshableVersion="3" asteriskTotals="1" showMemberPropertyTips="0" useAutoFormatting="1" colGrandTotals="0" itemPrintTitles="1" createdVersion="5" indent="0" compact="0" compactData="0" gridDropZones="1" fieldListSortAscending="1">
  <location ref="A23:F33" firstHeaderRow="1" firstDataRow="3" firstDataCol="4" rowPageCount="19" colPageCount="1"/>
  <pivotFields count="27">
    <pivotField axis="axisCol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h="1" x="1"/>
        <item x="0"/>
        <item h="1"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Row" compact="0" outline="0" subtotalTop="0" showAll="0" includeNewItemsInFilter="1">
      <items count="7">
        <item x="0"/>
        <item x="3"/>
        <item x="4"/>
        <item x="2"/>
        <item h="1"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axis="axisRow" compact="0" outline="0" showAll="0">
      <items count="4">
        <item n="HW &amp; 3rdP SW" x="1"/>
        <item n="Own SW &amp; All Services" x="2"/>
        <item x="0"/>
        <item t="default"/>
      </items>
    </pivotField>
  </pivotFields>
  <rowFields count="4">
    <field x="-2"/>
    <field x="9"/>
    <field x="26"/>
    <field x="12"/>
  </rowFields>
  <rowItems count="8">
    <i>
      <x/>
      <x v="1"/>
      <x v="1"/>
      <x v="3"/>
    </i>
    <i t="default" r="2">
      <x v="1"/>
    </i>
    <i t="default" r="1">
      <x v="1"/>
    </i>
    <i i="1">
      <x v="1"/>
      <x v="1"/>
      <x v="1"/>
      <x v="3"/>
    </i>
    <i t="default" r="2" i="1">
      <x v="1"/>
    </i>
    <i t="default" r="1" i="1">
      <x v="1"/>
    </i>
    <i t="grand">
      <x/>
    </i>
    <i t="grand" i="1">
      <x/>
    </i>
  </rowItems>
  <colFields count="2">
    <field x="1"/>
    <field x="0"/>
  </colFields>
  <colItems count="2">
    <i>
      <x/>
      <x v="8"/>
    </i>
    <i r="1">
      <x v="9"/>
    </i>
  </colItems>
  <pageFields count="19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item="1" hier="-1"/>
    <pageField fld="6" item="1" hier="0"/>
    <pageField fld="7" hier="0"/>
    <pageField fld="8" item="5" hier="0"/>
    <pageField fld="10" hier="0"/>
    <pageField fld="11" hier="0"/>
    <pageField fld="13" hier="0"/>
    <pageField fld="14" hier="-1"/>
    <pageField fld="4" item="0" hier="0"/>
    <pageField fld="5" hier="0"/>
  </pageFields>
  <dataFields count="2">
    <dataField name="Value" fld="17" baseField="0" baseItem="0" numFmtId="3"/>
    <dataField name="% of total (100%)" fld="17" baseField="2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3">
    <format dxfId="115">
      <pivotArea dataOnly="0" labelOnly="1" outline="0" fieldPosition="0">
        <references count="1">
          <reference field="0" count="0"/>
        </references>
      </pivotArea>
    </format>
    <format dxfId="114">
      <pivotArea dataOnly="0" labelOnly="1" outline="0" fieldPosition="0">
        <references count="1">
          <reference field="9" count="0"/>
        </references>
      </pivotArea>
    </format>
    <format dxfId="113">
      <pivotArea dataOnly="0" outline="0" fieldPosition="0">
        <references count="1">
          <reference field="9" count="0" defaultSubtotal="1"/>
        </references>
      </pivotArea>
    </format>
    <format dxfId="112">
      <pivotArea dataOnly="0" grandRow="1" outline="0" fieldPosition="0"/>
    </format>
    <format dxfId="111">
      <pivotArea dataOnly="0" outline="0" fieldPosition="0">
        <references count="1">
          <reference field="9" count="0" defaultSubtotal="1"/>
        </references>
      </pivotArea>
    </format>
    <format dxfId="110">
      <pivotArea field="6" dataOnly="0" grandRow="1" outline="0" axis="axisPage" fieldPosition="1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109">
      <pivotArea field="9" type="button" dataOnly="0" labelOnly="1" outline="0" axis="axisRow" fieldPosition="1"/>
    </format>
    <format dxfId="108">
      <pivotArea dataOnly="0" labelOnly="1" outline="0" fieldPosition="0">
        <references count="1">
          <reference field="0" count="0"/>
        </references>
      </pivotArea>
    </format>
    <format dxfId="107">
      <pivotArea dataOnly="0" labelOnly="1" outline="0" fieldPosition="0">
        <references count="1">
          <reference field="0" count="0"/>
        </references>
      </pivotArea>
    </format>
    <format dxfId="106">
      <pivotArea outline="0" fieldPosition="0">
        <references count="1">
          <reference field="4294967294" count="1">
            <x v="1"/>
          </reference>
        </references>
      </pivotArea>
    </format>
    <format dxfId="105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104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103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102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101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10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9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9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9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96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95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94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93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91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90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89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88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87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86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85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84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82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8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8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7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78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77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76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75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3"/>
          </reference>
        </references>
      </pivotArea>
    </format>
    <format dxfId="74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73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6" cacheId="77" dataOnRows="1" applyNumberFormats="0" applyBorderFormats="0" applyFontFormats="0" applyPatternFormats="0" applyAlignmentFormats="0" applyWidthHeightFormats="1" dataCaption="Data" updatedVersion="7" minRefreshableVersion="3" asteriskTotals="1" showMemberPropertyTips="0" useAutoFormatting="1" colGrandTotals="0" itemPrintTitles="1" createdVersion="5" indent="0" compact="0" compactData="0" gridDropZones="1" fieldListSortAscending="1">
  <location ref="A23:F27" firstHeaderRow="1" firstDataRow="3" firstDataCol="4" rowPageCount="19" colPageCount="1"/>
  <pivotFields count="27">
    <pivotField axis="axisCol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h="1" x="1"/>
        <item x="0"/>
        <item h="1"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Row" compact="0" outline="0" subtotalTop="0" showAll="0" includeNewItemsInFilter="1">
      <items count="7">
        <item x="0"/>
        <item x="3"/>
        <item x="4"/>
        <item x="2"/>
        <item h="1" x="5"/>
        <item x="1"/>
        <item t="default"/>
      </items>
    </pivotField>
    <pivotField axis="axisPage" compact="0" outline="0" subtotalTop="0" showAll="0" includeNewItemsInFilter="1">
      <items count="30">
        <item x="2"/>
        <item x="28"/>
        <item x="22"/>
        <item x="23"/>
        <item x="21"/>
        <item x="1"/>
        <item x="24"/>
        <item x="0"/>
        <item x="3"/>
        <item x="18"/>
        <item x="4"/>
        <item x="5"/>
        <item x="6"/>
        <item x="7"/>
        <item x="8"/>
        <item x="9"/>
        <item x="13"/>
        <item x="10"/>
        <item x="11"/>
        <item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Row" compact="0" outline="0" subtotalTop="0" showAll="0" includeNewItemsInFilter="1">
      <items count="7">
        <item x="3"/>
        <item x="0"/>
        <item x="1"/>
        <item x="2"/>
        <item x="4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compact="0" outline="0" showAll="0">
      <items count="7">
        <item x="4"/>
        <item x="3"/>
        <item x="0"/>
        <item x="5"/>
        <item x="2"/>
        <item x="1"/>
        <item t="default"/>
      </items>
    </pivotField>
    <pivotField axis="axisRow" compact="0" outline="0" showAll="0">
      <items count="4">
        <item n="HW &amp; 3rdP SW" x="1"/>
        <item n="Own SW &amp; All Services" x="2"/>
        <item x="0"/>
        <item t="default"/>
      </items>
    </pivotField>
  </pivotFields>
  <rowFields count="4">
    <field x="-2"/>
    <field x="9"/>
    <field x="26"/>
    <field x="12"/>
  </rowFields>
  <rowItems count="2">
    <i t="grand">
      <x/>
    </i>
    <i t="grand" i="1">
      <x v="1"/>
    </i>
  </rowItems>
  <colFields count="2">
    <field x="1"/>
    <field x="0"/>
  </colFields>
  <pageFields count="19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item="1" hier="-1"/>
    <pageField fld="6" item="1" hier="0"/>
    <pageField fld="7" hier="0"/>
    <pageField fld="8" item="6" hier="0"/>
    <pageField fld="10" hier="0"/>
    <pageField fld="11" hier="0"/>
    <pageField fld="13" hier="0"/>
    <pageField fld="14" hier="-1"/>
    <pageField fld="4" item="0" hier="0"/>
    <pageField fld="5" hier="0"/>
  </pageFields>
  <dataFields count="2">
    <dataField name="Value" fld="17" baseField="0" baseItem="0" numFmtId="3"/>
    <dataField name="% of total (100%)" fld="17" baseField="2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6">
    <format dxfId="72">
      <pivotArea dataOnly="0" labelOnly="1" outline="0" fieldPosition="0">
        <references count="1">
          <reference field="0" count="0"/>
        </references>
      </pivotArea>
    </format>
    <format dxfId="71">
      <pivotArea dataOnly="0" labelOnly="1" outline="0" fieldPosition="0">
        <references count="1">
          <reference field="9" count="0"/>
        </references>
      </pivotArea>
    </format>
    <format dxfId="70">
      <pivotArea dataOnly="0" outline="0" fieldPosition="0">
        <references count="1">
          <reference field="9" count="0" defaultSubtotal="1"/>
        </references>
      </pivotArea>
    </format>
    <format dxfId="69">
      <pivotArea dataOnly="0" grandRow="1" outline="0" fieldPosition="0"/>
    </format>
    <format dxfId="68">
      <pivotArea dataOnly="0" outline="0" fieldPosition="0">
        <references count="1">
          <reference field="9" count="0" defaultSubtotal="1"/>
        </references>
      </pivotArea>
    </format>
    <format dxfId="67">
      <pivotArea field="6" dataOnly="0" grandRow="1" outline="0" axis="axisPage" fieldPosition="1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1">
          <reference field="0" count="0"/>
        </references>
      </pivotArea>
    </format>
    <format dxfId="64">
      <pivotArea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62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6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6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5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5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56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55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54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53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52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51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50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49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48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47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46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45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44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43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0"/>
          </reference>
        </references>
      </pivotArea>
    </format>
    <format dxfId="42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41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40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1"/>
          </reference>
        </references>
      </pivotArea>
    </format>
    <format dxfId="39">
      <pivotArea outline="0" collapsedLevelsAreSubtotals="1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38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37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2"/>
          </reference>
        </references>
      </pivotArea>
    </format>
    <format dxfId="36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0"/>
          </reference>
        </references>
      </pivotArea>
    </format>
    <format dxfId="35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1"/>
          </reference>
        </references>
      </pivotArea>
    </format>
    <format dxfId="34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2"/>
          </reference>
        </references>
      </pivotArea>
    </format>
    <format dxfId="33">
      <pivotArea outline="0" fieldPosition="0">
        <references count="2">
          <reference field="4294967294" count="1" selected="0">
            <x v="1"/>
          </reference>
          <reference field="9" count="1" selected="0" defaultSubtotal="1">
            <x v="3"/>
          </reference>
        </references>
      </pivotArea>
    </format>
    <format dxfId="32">
      <pivotArea dataOnly="0" labelOnly="1" outline="0" fieldPosition="0">
        <references count="2">
          <reference field="4294967294" count="2" selected="0">
            <x v="0"/>
            <x v="1"/>
          </reference>
          <reference field="9" count="0" defaultSubtotal="1"/>
        </references>
      </pivotArea>
    </format>
    <format dxfId="31">
      <pivotArea dataOnly="0" labelOnly="1" outline="0" fieldPosition="0">
        <references count="2">
          <reference field="4294967294" count="1" selected="0">
            <x v="1"/>
          </reference>
          <reference field="9" count="1" defaultSubtotal="1">
            <x v="3"/>
          </reference>
        </references>
      </pivotArea>
    </format>
    <format dxfId="30">
      <pivotArea field="-2" type="button" dataOnly="0" labelOnly="1" outline="0" axis="axisRow" fieldPosition="0"/>
    </format>
    <format dxfId="29">
      <pivotArea field="9" type="button" dataOnly="0" labelOnly="1" outline="0" axis="axisRow" fieldPosition="1"/>
    </format>
    <format dxfId="28">
      <pivotArea field="26" type="button" dataOnly="0" labelOnly="1" outline="0" axis="axisRow" fieldPosition="2"/>
    </format>
    <format dxfId="27">
      <pivotArea field="12" type="button" dataOnly="0" labelOnly="1" outline="0" axis="axisRow" fieldPosition="3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5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2:O30" firstHeaderRow="1" firstDataRow="3" firstDataCol="2" rowPageCount="20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h="1"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Row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multipleItemSelectionAllowed="1" showAll="0" includeNewItemsInFilter="1">
      <items count="30">
        <item h="1" x="2"/>
        <item x="28"/>
        <item x="22"/>
        <item x="23"/>
        <item h="1" x="21"/>
        <item h="1" x="1"/>
        <item x="24"/>
        <item x="0"/>
        <item h="1" x="3"/>
        <item h="1" x="18"/>
        <item h="1" x="4"/>
        <item h="1" x="5"/>
        <item h="1" x="6"/>
        <item h="1" x="7"/>
        <item h="1" x="8"/>
        <item h="1" x="9"/>
        <item h="1" x="13"/>
        <item h="1" x="10"/>
        <item h="1" x="11"/>
        <item h="1"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2">
    <field x="9"/>
    <field x="25"/>
  </rowFields>
  <rowItems count="6">
    <i>
      <x/>
      <x/>
    </i>
    <i r="1">
      <x v="1"/>
    </i>
    <i r="1">
      <x v="2"/>
    </i>
    <i r="1">
      <x v="3"/>
    </i>
    <i t="default">
      <x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0">
    <pageField fld="2" hier="0"/>
    <pageField fld="3" hier="0"/>
    <pageField fld="19" hier="-1"/>
    <pageField fld="20" hier="-1"/>
    <pageField fld="21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4" hier="0"/>
    <pageField fld="10" hier="-1"/>
    <pageField fld="11" hier="0"/>
    <pageField fld="12" hier="0"/>
    <pageField fld="13" hier="0"/>
    <pageField fld="14" hier="0"/>
    <pageField fld="4" item="0" hier="0"/>
    <pageField fld="5" hier="0"/>
  </pageFields>
  <dataFields count="1">
    <dataField name="Value" fld="17" baseField="0" baseItem="0" numFmtId="3"/>
  </dataFields>
  <formats count="12"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outline="0" fieldPosition="0">
        <references count="1">
          <reference field="9" count="0"/>
        </references>
      </pivotArea>
    </format>
    <format dxfId="24">
      <pivotArea dataOnly="0" outline="0" fieldPosition="0">
        <references count="1">
          <reference field="9" count="0" defaultSubtotal="1"/>
        </references>
      </pivotArea>
    </format>
    <format dxfId="23">
      <pivotArea dataOnly="0" grandRow="1" outline="0" fieldPosition="0"/>
    </format>
    <format dxfId="22">
      <pivotArea dataOnly="0" outline="0" fieldPosition="0">
        <references count="1">
          <reference field="9" count="0" defaultSubtotal="1"/>
        </references>
      </pivotArea>
    </format>
    <format dxfId="21">
      <pivotArea field="6" dataOnly="0" grandRow="1" outline="0" axis="axisPage" fieldPosition="1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20">
      <pivotArea field="9" type="button" dataOnly="0" labelOnly="1" outline="0" axis="axisRow" fieldPosition="0"/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dataOnly="0" labelOnly="1" outline="0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1" count="1">
            <x v="0"/>
          </reference>
        </references>
      </pivotArea>
    </format>
    <format dxfId="15">
      <pivotArea field="25" type="button" dataOnly="0" labelOnly="1" outline="0" axis="axisRow" fieldPosition="1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PivotTable9" cacheId="77" dataOnRows="1" applyNumberFormats="0" applyBorderFormats="0" applyFontFormats="0" applyPatternFormats="0" applyAlignmentFormats="0" applyWidthHeightFormats="1" dataCaption="Data" updatedVersion="7" minRefreshableVersion="3" showMemberPropertyTips="0" useAutoFormatting="1" colGrandTotals="0" itemPrintTitles="1" createdVersion="5" indent="0" compact="0" compactData="0" gridDropZones="1" fieldListSortAscending="1">
  <location ref="A22:O44" firstHeaderRow="1" firstDataRow="3" firstDataCol="2" rowPageCount="20" colPageCount="1"/>
  <pivotFields count="27">
    <pivotField axis="axisCol" compact="0" outline="0" subtotalTop="0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Page" compact="0" outline="0" subtotalTop="0" showAll="0" includeNewItemsInFilter="1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t="default"/>
      </items>
    </pivotField>
    <pivotField axis="axisPage" compact="0" outline="0" subtotalTop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showAll="0" includeNewItemsInFilter="1">
      <items count="9">
        <item x="0"/>
        <item x="1"/>
        <item x="2"/>
        <item x="3"/>
        <item x="5"/>
        <item x="6"/>
        <item x="4"/>
        <item x="7"/>
        <item t="default"/>
      </items>
    </pivotField>
    <pivotField axis="axisPage" compact="0" outline="0" subtotalTop="0" showAll="0" includeNewItemsInFilter="1">
      <items count="4">
        <item x="1"/>
        <item x="0"/>
        <item x="2"/>
        <item t="default"/>
      </items>
    </pivotField>
    <pivotField axis="axisPage" compact="0" outline="0" subtotalTop="0" showAll="0" includeNewItemsInFilter="1">
      <items count="4">
        <item x="2"/>
        <item x="1"/>
        <item x="0"/>
        <item t="default"/>
      </items>
    </pivotField>
    <pivotField axis="axisPage" compact="0" outline="0" subtotalTop="0" showAll="0" includeNewItemsInFilter="1">
      <items count="10">
        <item x="8"/>
        <item x="5"/>
        <item x="6"/>
        <item x="1"/>
        <item x="0"/>
        <item x="3"/>
        <item x="4"/>
        <item x="2"/>
        <item x="7"/>
        <item t="default"/>
      </items>
    </pivotField>
    <pivotField axis="axisPage" compact="0" outline="0" subtotalTop="0" showAll="0" includeNewItemsInFilter="1">
      <items count="7">
        <item x="0"/>
        <item x="3"/>
        <item x="4"/>
        <item x="2"/>
        <item x="5"/>
        <item x="1"/>
        <item t="default"/>
      </items>
    </pivotField>
    <pivotField axis="axisPage" compact="0" outline="0" subtotalTop="0" multipleItemSelectionAllowed="1" showAll="0" includeNewItemsInFilter="1">
      <items count="30">
        <item h="1" x="2"/>
        <item x="28"/>
        <item x="22"/>
        <item x="23"/>
        <item h="1" x="21"/>
        <item h="1" x="1"/>
        <item x="24"/>
        <item x="0"/>
        <item h="1" x="3"/>
        <item h="1" x="18"/>
        <item h="1" x="4"/>
        <item h="1" x="5"/>
        <item h="1" x="6"/>
        <item h="1" x="7"/>
        <item h="1" x="8"/>
        <item h="1" x="9"/>
        <item h="1" x="13"/>
        <item h="1" x="10"/>
        <item h="1" x="11"/>
        <item h="1" x="19"/>
        <item x="26"/>
        <item x="12"/>
        <item x="20"/>
        <item x="27"/>
        <item x="17"/>
        <item x="14"/>
        <item x="15"/>
        <item x="16"/>
        <item x="25"/>
        <item t="default"/>
      </items>
    </pivotField>
    <pivotField axis="axisPage" compact="0" outline="0" subtotalTop="0" showAll="0" includeNewItemsInFilter="1">
      <items count="30">
        <item x="24"/>
        <item x="21"/>
        <item x="22"/>
        <item x="23"/>
        <item x="1"/>
        <item x="2"/>
        <item x="3"/>
        <item x="4"/>
        <item x="6"/>
        <item x="10"/>
        <item x="26"/>
        <item x="7"/>
        <item x="8"/>
        <item x="9"/>
        <item x="19"/>
        <item x="18"/>
        <item x="0"/>
        <item x="5"/>
        <item x="11"/>
        <item x="16"/>
        <item x="25"/>
        <item x="28"/>
        <item x="13"/>
        <item x="14"/>
        <item x="15"/>
        <item x="20"/>
        <item x="12"/>
        <item x="27"/>
        <item x="17"/>
        <item t="default"/>
      </items>
    </pivotField>
    <pivotField axis="axisPage" compact="0" outline="0" subtotalTop="0" showAll="0" includeNewItemsInFilter="1">
      <items count="7">
        <item x="1"/>
        <item x="3"/>
        <item x="2"/>
        <item x="4"/>
        <item x="0"/>
        <item x="5"/>
        <item t="default"/>
      </items>
    </pivotField>
    <pivotField axis="axisPage" compact="0" outline="0" subtotalTop="0" showAll="0" includeNewItemsInFilter="1" defaultSubtotal="0">
      <items count="15">
        <item x="11"/>
        <item x="3"/>
        <item x="4"/>
        <item x="2"/>
        <item x="6"/>
        <item x="7"/>
        <item x="8"/>
        <item x="9"/>
        <item x="10"/>
        <item x="5"/>
        <item x="0"/>
        <item x="1"/>
        <item x="12"/>
        <item x="13"/>
        <item x="14"/>
      </items>
    </pivotField>
    <pivotField axis="axisPage" compact="0" outline="0" subtotalTop="0" showAll="0" includeNewItemsInFilter="1">
      <items count="13">
        <item x="11"/>
        <item x="3"/>
        <item x="4"/>
        <item x="2"/>
        <item x="5"/>
        <item x="10"/>
        <item x="9"/>
        <item x="7"/>
        <item x="6"/>
        <item x="8"/>
        <item x="0"/>
        <item x="1"/>
        <item t="default"/>
      </items>
    </pivotField>
    <pivotField axis="axisPage" compact="0" outline="0" subtotalTop="0" showAll="0" includeNewItemsInFilter="1">
      <items count="91">
        <item x="69"/>
        <item x="80"/>
        <item x="3"/>
        <item x="4"/>
        <item x="58"/>
        <item x="39"/>
        <item x="42"/>
        <item x="5"/>
        <item x="59"/>
        <item x="60"/>
        <item x="6"/>
        <item x="82"/>
        <item x="47"/>
        <item x="7"/>
        <item x="61"/>
        <item x="62"/>
        <item x="8"/>
        <item x="63"/>
        <item x="41"/>
        <item x="9"/>
        <item x="10"/>
        <item x="29"/>
        <item x="40"/>
        <item x="30"/>
        <item x="54"/>
        <item x="31"/>
        <item x="55"/>
        <item x="11"/>
        <item x="56"/>
        <item x="51"/>
        <item x="38"/>
        <item x="12"/>
        <item x="64"/>
        <item x="43"/>
        <item x="44"/>
        <item x="13"/>
        <item x="32"/>
        <item x="14"/>
        <item x="65"/>
        <item x="49"/>
        <item x="66"/>
        <item x="22"/>
        <item x="16"/>
        <item x="33"/>
        <item x="36"/>
        <item x="23"/>
        <item x="67"/>
        <item x="24"/>
        <item x="68"/>
        <item x="17"/>
        <item x="48"/>
        <item x="45"/>
        <item x="70"/>
        <item x="21"/>
        <item x="71"/>
        <item x="72"/>
        <item x="18"/>
        <item x="34"/>
        <item x="79"/>
        <item x="25"/>
        <item x="27"/>
        <item x="81"/>
        <item x="46"/>
        <item x="86"/>
        <item x="19"/>
        <item x="26"/>
        <item x="0"/>
        <item x="1"/>
        <item x="20"/>
        <item x="74"/>
        <item x="50"/>
        <item x="75"/>
        <item x="2"/>
        <item x="77"/>
        <item x="76"/>
        <item x="53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axis="axisPage" compact="0" outline="0" subtotalTop="0" showAll="0" includeNewItemsInFilter="1">
      <items count="91">
        <item x="54"/>
        <item x="58"/>
        <item x="39"/>
        <item x="5"/>
        <item x="42"/>
        <item x="59"/>
        <item x="82"/>
        <item x="62"/>
        <item x="6"/>
        <item x="60"/>
        <item x="61"/>
        <item x="7"/>
        <item x="8"/>
        <item x="9"/>
        <item x="10"/>
        <item x="29"/>
        <item x="63"/>
        <item x="30"/>
        <item x="80"/>
        <item x="31"/>
        <item x="55"/>
        <item x="56"/>
        <item x="51"/>
        <item x="38"/>
        <item x="43"/>
        <item x="64"/>
        <item x="40"/>
        <item x="13"/>
        <item x="44"/>
        <item x="32"/>
        <item x="22"/>
        <item x="49"/>
        <item x="66"/>
        <item x="14"/>
        <item x="65"/>
        <item x="16"/>
        <item x="33"/>
        <item x="67"/>
        <item x="36"/>
        <item x="23"/>
        <item x="24"/>
        <item x="68"/>
        <item x="17"/>
        <item x="45"/>
        <item x="70"/>
        <item x="53"/>
        <item x="21"/>
        <item x="69"/>
        <item x="71"/>
        <item x="18"/>
        <item x="72"/>
        <item x="34"/>
        <item x="79"/>
        <item x="25"/>
        <item x="27"/>
        <item x="46"/>
        <item x="86"/>
        <item x="19"/>
        <item x="47"/>
        <item x="48"/>
        <item x="26"/>
        <item x="74"/>
        <item x="1"/>
        <item x="20"/>
        <item x="3"/>
        <item x="11"/>
        <item x="81"/>
        <item x="0"/>
        <item x="41"/>
        <item x="50"/>
        <item x="75"/>
        <item x="12"/>
        <item x="77"/>
        <item x="2"/>
        <item x="4"/>
        <item x="76"/>
        <item x="57"/>
        <item x="52"/>
        <item x="28"/>
        <item x="73"/>
        <item x="78"/>
        <item x="35"/>
        <item x="37"/>
        <item x="84"/>
        <item x="15"/>
        <item x="85"/>
        <item x="83"/>
        <item x="87"/>
        <item x="88"/>
        <item x="89"/>
        <item t="default"/>
      </items>
    </pivotField>
    <pivotField dataField="1" compact="0" outline="0" subtotalTop="0" showAll="0" includeNewItemsInFilter="1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>
      <items count="7">
        <item x="4"/>
        <item x="1"/>
        <item x="2"/>
        <item x="5"/>
        <item x="0"/>
        <item x="3"/>
        <item t="default"/>
      </items>
    </pivotField>
    <pivotField axis="axisPage" compact="0" outline="0" showAll="0">
      <items count="9">
        <item x="1"/>
        <item x="3"/>
        <item x="4"/>
        <item x="6"/>
        <item x="7"/>
        <item x="0"/>
        <item x="2"/>
        <item x="5"/>
        <item t="default"/>
      </items>
    </pivotField>
    <pivotField axis="axisPage" compact="0" outline="0" showAll="0">
      <items count="15">
        <item x="1"/>
        <item x="6"/>
        <item x="11"/>
        <item x="3"/>
        <item x="10"/>
        <item x="7"/>
        <item x="9"/>
        <item x="5"/>
        <item x="8"/>
        <item x="13"/>
        <item x="12"/>
        <item x="4"/>
        <item x="0"/>
        <item x="2"/>
        <item t="default"/>
      </items>
    </pivotField>
    <pivotField axis="axisPage" compact="0" outline="0" showAll="0">
      <items count="26">
        <item x="6"/>
        <item x="7"/>
        <item x="8"/>
        <item x="22"/>
        <item x="21"/>
        <item x="4"/>
        <item x="20"/>
        <item x="11"/>
        <item x="14"/>
        <item x="16"/>
        <item x="17"/>
        <item x="18"/>
        <item x="10"/>
        <item x="0"/>
        <item x="5"/>
        <item x="23"/>
        <item x="13"/>
        <item x="19"/>
        <item x="15"/>
        <item x="1"/>
        <item x="9"/>
        <item x="3"/>
        <item x="12"/>
        <item x="2"/>
        <item x="24"/>
        <item t="default"/>
      </items>
    </pivotField>
    <pivotField compact="0" outline="0" showAll="0"/>
    <pivotField axis="axisRow" compact="0" outline="0" showAll="0">
      <items count="7">
        <item x="4"/>
        <item x="3"/>
        <item x="0"/>
        <item n="Not Planned  yet" x="5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2">
    <field x="20"/>
    <field x="25"/>
  </rowFields>
  <rowItems count="20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t="default">
      <x v="2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 t="grand">
      <x/>
    </i>
  </rowItems>
  <colFields count="2">
    <field x="1"/>
    <field x="0"/>
  </colFields>
  <colItems count="1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 v="12"/>
    </i>
    <i r="1">
      <x v="13"/>
    </i>
  </colItems>
  <pageFields count="20">
    <pageField fld="2" hier="0"/>
    <pageField fld="3" hier="0"/>
    <pageField fld="19" hier="-1"/>
    <pageField fld="21" hier="-1"/>
    <pageField fld="22" hier="-1"/>
    <pageField fld="23" hier="-1"/>
    <pageField fld="15" hier="0"/>
    <pageField fld="16" hier="0"/>
    <pageField fld="18" hier="-1"/>
    <pageField fld="6" hier="0"/>
    <pageField fld="7" hier="0"/>
    <pageField fld="8" item="4" hier="0"/>
    <pageField fld="9" hier="-1"/>
    <pageField fld="10" hier="-1"/>
    <pageField fld="11" hier="0"/>
    <pageField fld="12" hier="0"/>
    <pageField fld="13" hier="0"/>
    <pageField fld="14" hier="0"/>
    <pageField fld="4" item="0" hier="0"/>
    <pageField fld="5" hier="0"/>
  </pageFields>
  <dataFields count="1">
    <dataField name="Value" fld="17" baseField="0" baseItem="0" numFmtId="3"/>
  </dataFields>
  <formats count="15"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outline="0" fieldPosition="0">
        <references count="1">
          <reference field="9" count="0"/>
        </references>
      </pivotArea>
    </format>
    <format dxfId="12">
      <pivotArea dataOnly="0" outline="0" fieldPosition="0">
        <references count="1">
          <reference field="9" count="0" defaultSubtotal="1"/>
        </references>
      </pivotArea>
    </format>
    <format dxfId="11">
      <pivotArea dataOnly="0" grandRow="1" outline="0" fieldPosition="0"/>
    </format>
    <format dxfId="10">
      <pivotArea dataOnly="0" outline="0" fieldPosition="0">
        <references count="1">
          <reference field="9" count="0" defaultSubtotal="1"/>
        </references>
      </pivotArea>
    </format>
    <format dxfId="9">
      <pivotArea field="6" dataOnly="0" grandRow="1" outline="0" axis="axisPage" fieldPosition="9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8">
      <pivotArea field="9" type="button" dataOnly="0" labelOnly="1" outline="0" axis="axisPage" fieldPosition="12"/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dataOnly="0" outline="0" fieldPosition="0">
        <references count="1">
          <reference field="20" count="0" defaultSubtotal="1"/>
        </references>
      </pivotArea>
    </format>
    <format dxfId="3">
      <pivotArea dataOnly="0" labelOnly="1" outline="0" fieldPosition="0">
        <references count="1">
          <reference field="1" count="1">
            <x v="0"/>
          </reference>
        </references>
      </pivotArea>
    </format>
    <format dxfId="2">
      <pivotArea field="25" type="button" dataOnly="0" labelOnly="1" outline="0" axis="axisRow" fieldPosition="1"/>
    </format>
    <format dxfId="1">
      <pivotArea field="25" type="button" dataOnly="0" labelOnly="1" outline="0" axis="axisRow" fieldPosition="1"/>
    </format>
    <format dxfId="0">
      <pivotArea field="2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7"/>
  <sheetViews>
    <sheetView tabSelected="1" zoomScale="80" zoomScaleNormal="80" workbookViewId="0">
      <selection activeCell="C26" sqref="C26"/>
    </sheetView>
  </sheetViews>
  <sheetFormatPr defaultRowHeight="12.5" x14ac:dyDescent="0.25"/>
  <cols>
    <col min="1" max="1" width="12.26953125" bestFit="1" customWidth="1"/>
    <col min="2" max="2" width="17.453125" bestFit="1" customWidth="1"/>
    <col min="3" max="13" width="7.6328125" bestFit="1" customWidth="1"/>
    <col min="14" max="14" width="13.1796875" bestFit="1" customWidth="1"/>
    <col min="15" max="16" width="8.54296875" bestFit="1" customWidth="1"/>
  </cols>
  <sheetData>
    <row r="1" spans="1:2" x14ac:dyDescent="0.25">
      <c r="A1" s="46" t="s">
        <v>1</v>
      </c>
      <c r="B1" s="47" t="s">
        <v>155</v>
      </c>
    </row>
    <row r="2" spans="1:2" x14ac:dyDescent="0.25">
      <c r="A2" s="46" t="s">
        <v>3</v>
      </c>
      <c r="B2" s="47" t="s">
        <v>2</v>
      </c>
    </row>
    <row r="3" spans="1:2" x14ac:dyDescent="0.25">
      <c r="A3" s="46" t="s">
        <v>4</v>
      </c>
      <c r="B3" s="47" t="s">
        <v>2</v>
      </c>
    </row>
    <row r="4" spans="1:2" x14ac:dyDescent="0.25">
      <c r="A4" s="46" t="s">
        <v>105</v>
      </c>
      <c r="B4" s="47" t="s">
        <v>2</v>
      </c>
    </row>
    <row r="5" spans="1:2" x14ac:dyDescent="0.25">
      <c r="A5" s="46" t="s">
        <v>106</v>
      </c>
      <c r="B5" s="47" t="s">
        <v>2</v>
      </c>
    </row>
    <row r="6" spans="1:2" x14ac:dyDescent="0.25">
      <c r="A6" s="46" t="s">
        <v>107</v>
      </c>
      <c r="B6" s="47" t="s">
        <v>2</v>
      </c>
    </row>
    <row r="7" spans="1:2" x14ac:dyDescent="0.25">
      <c r="A7" s="46" t="s">
        <v>108</v>
      </c>
      <c r="B7" s="47" t="s">
        <v>2</v>
      </c>
    </row>
    <row r="8" spans="1:2" x14ac:dyDescent="0.25">
      <c r="A8" s="46" t="s">
        <v>109</v>
      </c>
      <c r="B8" s="47" t="s">
        <v>2</v>
      </c>
    </row>
    <row r="9" spans="1:2" x14ac:dyDescent="0.25">
      <c r="A9" s="46" t="s">
        <v>18</v>
      </c>
      <c r="B9" s="47" t="s">
        <v>2</v>
      </c>
    </row>
    <row r="10" spans="1:2" x14ac:dyDescent="0.25">
      <c r="A10" s="46" t="s">
        <v>19</v>
      </c>
      <c r="B10" s="47" t="s">
        <v>2</v>
      </c>
    </row>
    <row r="11" spans="1:2" x14ac:dyDescent="0.25">
      <c r="A11" s="46" t="s">
        <v>121</v>
      </c>
      <c r="B11" s="47" t="s">
        <v>2</v>
      </c>
    </row>
    <row r="12" spans="1:2" x14ac:dyDescent="0.25">
      <c r="A12" s="46" t="s">
        <v>8</v>
      </c>
      <c r="B12" s="47" t="s">
        <v>2</v>
      </c>
    </row>
    <row r="13" spans="1:2" x14ac:dyDescent="0.25">
      <c r="A13" s="46" t="s">
        <v>9</v>
      </c>
      <c r="B13" s="47" t="s">
        <v>2</v>
      </c>
    </row>
    <row r="14" spans="1:2" x14ac:dyDescent="0.25">
      <c r="A14" s="46" t="s">
        <v>10</v>
      </c>
      <c r="B14" s="47" t="s">
        <v>103</v>
      </c>
    </row>
    <row r="15" spans="1:2" x14ac:dyDescent="0.25">
      <c r="A15" s="46" t="s">
        <v>11</v>
      </c>
      <c r="B15" s="47" t="s">
        <v>2</v>
      </c>
    </row>
    <row r="16" spans="1:2" x14ac:dyDescent="0.25">
      <c r="A16" s="46" t="s">
        <v>12</v>
      </c>
      <c r="B16" s="47" t="s">
        <v>2</v>
      </c>
    </row>
    <row r="17" spans="1:14" x14ac:dyDescent="0.25">
      <c r="A17" s="46" t="s">
        <v>13</v>
      </c>
      <c r="B17" s="47" t="s">
        <v>2</v>
      </c>
    </row>
    <row r="18" spans="1:14" x14ac:dyDescent="0.25">
      <c r="A18" s="46" t="s">
        <v>22</v>
      </c>
      <c r="B18" s="47" t="s">
        <v>2</v>
      </c>
    </row>
    <row r="19" spans="1:14" x14ac:dyDescent="0.25">
      <c r="A19" s="46" t="s">
        <v>14</v>
      </c>
      <c r="B19" s="47" t="s">
        <v>2</v>
      </c>
    </row>
    <row r="20" spans="1:14" x14ac:dyDescent="0.25">
      <c r="A20" s="46" t="s">
        <v>15</v>
      </c>
      <c r="B20" s="47" t="s">
        <v>2</v>
      </c>
    </row>
    <row r="21" spans="1:14" x14ac:dyDescent="0.25">
      <c r="A21" s="46" t="s">
        <v>6</v>
      </c>
      <c r="B21" s="47" t="s">
        <v>21</v>
      </c>
    </row>
    <row r="22" spans="1:14" x14ac:dyDescent="0.25">
      <c r="A22" s="46" t="s">
        <v>7</v>
      </c>
      <c r="B22" s="47" t="s">
        <v>2</v>
      </c>
    </row>
    <row r="24" spans="1:14" x14ac:dyDescent="0.25">
      <c r="A24" s="39" t="s">
        <v>0</v>
      </c>
      <c r="B24" s="39" t="s">
        <v>5</v>
      </c>
      <c r="C24" s="41"/>
    </row>
    <row r="25" spans="1:14" x14ac:dyDescent="0.25">
      <c r="A25" s="42"/>
      <c r="B25" s="43" t="s">
        <v>29</v>
      </c>
      <c r="C25" s="44" t="s">
        <v>157</v>
      </c>
    </row>
    <row r="26" spans="1:14" x14ac:dyDescent="0.25">
      <c r="A26" s="45" t="s">
        <v>24</v>
      </c>
      <c r="B26" s="115">
        <v>208101.32947730034</v>
      </c>
      <c r="C26" s="116">
        <v>203529.38471496996</v>
      </c>
      <c r="N26" s="37"/>
    </row>
    <row r="27" spans="1:14" x14ac:dyDescent="0.25">
      <c r="M27" s="36"/>
      <c r="N27" s="3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V30"/>
  <sheetViews>
    <sheetView showGridLines="0" topLeftCell="A7" zoomScale="80" zoomScaleNormal="80" workbookViewId="0">
      <selection activeCell="B25" sqref="B25"/>
    </sheetView>
  </sheetViews>
  <sheetFormatPr defaultRowHeight="12.5" x14ac:dyDescent="0.25"/>
  <cols>
    <col min="1" max="1" width="19" customWidth="1"/>
    <col min="2" max="14" width="9.6328125" customWidth="1"/>
    <col min="15" max="16" width="8.81640625" customWidth="1"/>
    <col min="17" max="26" width="8.6328125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106</v>
      </c>
      <c r="B4" s="47" t="s">
        <v>2</v>
      </c>
    </row>
    <row r="5" spans="1:2" x14ac:dyDescent="0.25">
      <c r="A5" s="46" t="s">
        <v>107</v>
      </c>
      <c r="B5" s="47" t="s">
        <v>2</v>
      </c>
    </row>
    <row r="6" spans="1:2" x14ac:dyDescent="0.25">
      <c r="A6" s="46" t="s">
        <v>108</v>
      </c>
      <c r="B6" s="47" t="s">
        <v>2</v>
      </c>
    </row>
    <row r="7" spans="1:2" x14ac:dyDescent="0.25">
      <c r="A7" s="46" t="s">
        <v>109</v>
      </c>
      <c r="B7" s="47" t="s">
        <v>2</v>
      </c>
    </row>
    <row r="8" spans="1:2" x14ac:dyDescent="0.25">
      <c r="A8" s="46" t="s">
        <v>18</v>
      </c>
      <c r="B8" s="47" t="s">
        <v>2</v>
      </c>
    </row>
    <row r="9" spans="1:2" x14ac:dyDescent="0.25">
      <c r="A9" s="46" t="s">
        <v>19</v>
      </c>
      <c r="B9" s="47" t="s">
        <v>2</v>
      </c>
    </row>
    <row r="10" spans="1:2" x14ac:dyDescent="0.25">
      <c r="A10" s="46" t="s">
        <v>121</v>
      </c>
      <c r="B10" s="47" t="s">
        <v>2</v>
      </c>
    </row>
    <row r="11" spans="1:2" x14ac:dyDescent="0.25">
      <c r="A11" s="46" t="s">
        <v>8</v>
      </c>
      <c r="B11" s="47" t="s">
        <v>25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9</v>
      </c>
      <c r="B13" s="47" t="s">
        <v>2</v>
      </c>
    </row>
    <row r="14" spans="1:2" x14ac:dyDescent="0.25">
      <c r="A14" s="46" t="s">
        <v>10</v>
      </c>
      <c r="B14" s="47" t="s">
        <v>68</v>
      </c>
    </row>
    <row r="15" spans="1:2" x14ac:dyDescent="0.25">
      <c r="A15" s="46" t="s">
        <v>12</v>
      </c>
      <c r="B15" s="47" t="s">
        <v>2</v>
      </c>
    </row>
    <row r="16" spans="1:2" x14ac:dyDescent="0.25">
      <c r="A16" s="46" t="s">
        <v>13</v>
      </c>
      <c r="B16" s="47" t="s">
        <v>2</v>
      </c>
    </row>
    <row r="17" spans="1:256" x14ac:dyDescent="0.25">
      <c r="A17" s="46" t="s">
        <v>22</v>
      </c>
      <c r="B17" s="47" t="s">
        <v>2</v>
      </c>
    </row>
    <row r="18" spans="1:256" x14ac:dyDescent="0.25">
      <c r="A18" s="46" t="s">
        <v>14</v>
      </c>
      <c r="B18" s="47" t="s">
        <v>2</v>
      </c>
    </row>
    <row r="19" spans="1:256" x14ac:dyDescent="0.25">
      <c r="A19" s="46" t="s">
        <v>15</v>
      </c>
      <c r="B19" s="47" t="s">
        <v>2</v>
      </c>
    </row>
    <row r="20" spans="1:256" x14ac:dyDescent="0.25">
      <c r="A20" s="46" t="s">
        <v>6</v>
      </c>
      <c r="B20" s="47" t="s">
        <v>21</v>
      </c>
    </row>
    <row r="21" spans="1:256" x14ac:dyDescent="0.25">
      <c r="A21" s="46" t="s">
        <v>7</v>
      </c>
      <c r="B21" s="47" t="s">
        <v>2</v>
      </c>
    </row>
    <row r="23" spans="1:256" x14ac:dyDescent="0.25">
      <c r="A23" s="39" t="s">
        <v>0</v>
      </c>
      <c r="B23" s="39" t="s">
        <v>1</v>
      </c>
      <c r="C23" s="48" t="s">
        <v>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1"/>
    </row>
    <row r="24" spans="1:256" s="11" customFormat="1" x14ac:dyDescent="0.25">
      <c r="A24" s="42"/>
      <c r="B24" s="68" t="s">
        <v>135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5" t="s">
        <v>155</v>
      </c>
      <c r="N24" s="121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13" x14ac:dyDescent="0.3">
      <c r="A25" s="67" t="s">
        <v>104</v>
      </c>
      <c r="B25" s="62" t="s">
        <v>137</v>
      </c>
      <c r="C25" s="63" t="s">
        <v>144</v>
      </c>
      <c r="D25" s="63" t="s">
        <v>145</v>
      </c>
      <c r="E25" s="63" t="s">
        <v>146</v>
      </c>
      <c r="F25" s="63" t="s">
        <v>147</v>
      </c>
      <c r="G25" s="63" t="s">
        <v>148</v>
      </c>
      <c r="H25" s="63" t="s">
        <v>149</v>
      </c>
      <c r="I25" s="63" t="s">
        <v>150</v>
      </c>
      <c r="J25" s="63" t="s">
        <v>152</v>
      </c>
      <c r="K25" s="63" t="s">
        <v>153</v>
      </c>
      <c r="L25" s="63" t="s">
        <v>154</v>
      </c>
      <c r="M25" s="62" t="s">
        <v>156</v>
      </c>
      <c r="N25" s="64" t="s">
        <v>158</v>
      </c>
    </row>
    <row r="26" spans="1:256" x14ac:dyDescent="0.25">
      <c r="A26" s="43" t="s">
        <v>27</v>
      </c>
      <c r="B26" s="49">
        <v>49814.806733931167</v>
      </c>
      <c r="C26" s="50">
        <v>49066.16986298652</v>
      </c>
      <c r="D26" s="50">
        <v>50151.465896882517</v>
      </c>
      <c r="E26" s="50">
        <v>47071.443350172827</v>
      </c>
      <c r="F26" s="50">
        <v>39441.077271350128</v>
      </c>
      <c r="G26" s="50">
        <v>37846.232929600017</v>
      </c>
      <c r="H26" s="50">
        <v>27808.765746226069</v>
      </c>
      <c r="I26" s="50">
        <v>19184.20181307599</v>
      </c>
      <c r="J26" s="50">
        <v>21413.893498302492</v>
      </c>
      <c r="K26" s="50">
        <v>14689.259218036503</v>
      </c>
      <c r="L26" s="50">
        <v>12331.958065187429</v>
      </c>
      <c r="M26" s="49">
        <v>76450.123519784232</v>
      </c>
      <c r="N26" s="117">
        <v>76076.538742998673</v>
      </c>
    </row>
    <row r="27" spans="1:256" x14ac:dyDescent="0.25">
      <c r="A27" s="51" t="s">
        <v>31</v>
      </c>
      <c r="B27" s="52">
        <v>80899.881640517124</v>
      </c>
      <c r="C27" s="35">
        <v>97497.148154125345</v>
      </c>
      <c r="D27" s="35">
        <v>91302.930999817836</v>
      </c>
      <c r="E27" s="35">
        <v>91172.917839584814</v>
      </c>
      <c r="F27" s="35">
        <v>90792.319341090537</v>
      </c>
      <c r="G27" s="35">
        <v>91355.314688629907</v>
      </c>
      <c r="H27" s="35">
        <v>98020.549684320737</v>
      </c>
      <c r="I27" s="35">
        <v>132144.7340019173</v>
      </c>
      <c r="J27" s="35">
        <v>146564.73307616988</v>
      </c>
      <c r="K27" s="35">
        <v>151419.08159682524</v>
      </c>
      <c r="L27" s="35">
        <v>171776.98949512982</v>
      </c>
      <c r="M27" s="52">
        <v>91373.180011356613</v>
      </c>
      <c r="N27" s="118">
        <v>98347.452693392843</v>
      </c>
    </row>
    <row r="28" spans="1:256" x14ac:dyDescent="0.25">
      <c r="A28" s="51" t="s">
        <v>28</v>
      </c>
      <c r="B28" s="52">
        <v>7706.7197141314564</v>
      </c>
      <c r="C28" s="35">
        <v>7172.808587661515</v>
      </c>
      <c r="D28" s="35">
        <v>7986.7749724479327</v>
      </c>
      <c r="E28" s="35">
        <v>5232.0168315718238</v>
      </c>
      <c r="F28" s="35">
        <v>6961.1521394958636</v>
      </c>
      <c r="G28" s="35">
        <v>6244.4096204392436</v>
      </c>
      <c r="H28" s="35">
        <v>11001.384574703576</v>
      </c>
      <c r="I28" s="35">
        <v>9296.223706092871</v>
      </c>
      <c r="J28" s="35">
        <v>9068.6727980085161</v>
      </c>
      <c r="K28" s="35">
        <v>8050.0134460244481</v>
      </c>
      <c r="L28" s="35">
        <v>20864.242394582048</v>
      </c>
      <c r="M28" s="52">
        <v>25095.931601510089</v>
      </c>
      <c r="N28" s="118">
        <v>13530.344488770364</v>
      </c>
    </row>
    <row r="29" spans="1:256" x14ac:dyDescent="0.25">
      <c r="A29" s="51" t="s">
        <v>58</v>
      </c>
      <c r="B29" s="52">
        <v>5968.0653171570657</v>
      </c>
      <c r="C29" s="35">
        <v>4670.7909534483615</v>
      </c>
      <c r="D29" s="35">
        <v>3695.789273329211</v>
      </c>
      <c r="E29" s="35">
        <v>3702.9212624462716</v>
      </c>
      <c r="F29" s="35">
        <v>5217.5647833625362</v>
      </c>
      <c r="G29" s="35">
        <v>5032.9794368752382</v>
      </c>
      <c r="H29" s="35">
        <v>7501.7606712419165</v>
      </c>
      <c r="I29" s="35">
        <v>6312.7491520946178</v>
      </c>
      <c r="J29" s="35">
        <v>2277.2635117856853</v>
      </c>
      <c r="K29" s="35">
        <v>2384.9292247213998</v>
      </c>
      <c r="L29" s="35">
        <v>2388.1436676571766</v>
      </c>
      <c r="M29" s="52">
        <v>1299.4458583968556</v>
      </c>
      <c r="N29" s="118">
        <v>1676.8795166325165</v>
      </c>
    </row>
    <row r="30" spans="1:256" ht="13" x14ac:dyDescent="0.3">
      <c r="A30" s="58" t="s">
        <v>20</v>
      </c>
      <c r="B30" s="59">
        <v>144389.47340573682</v>
      </c>
      <c r="C30" s="60">
        <v>158406.91755822173</v>
      </c>
      <c r="D30" s="60">
        <v>153136.96114247749</v>
      </c>
      <c r="E30" s="60">
        <v>147179.29928377573</v>
      </c>
      <c r="F30" s="60">
        <v>142412.11353529905</v>
      </c>
      <c r="G30" s="60">
        <v>140478.93667554442</v>
      </c>
      <c r="H30" s="60">
        <v>144332.46067649228</v>
      </c>
      <c r="I30" s="60">
        <v>166937.90867318076</v>
      </c>
      <c r="J30" s="60">
        <v>179324.56288426658</v>
      </c>
      <c r="K30" s="60">
        <v>176543.28348560759</v>
      </c>
      <c r="L30" s="60">
        <v>207361.3336225565</v>
      </c>
      <c r="M30" s="59">
        <v>194218.68099104779</v>
      </c>
      <c r="N30" s="120">
        <v>189631.2154417944</v>
      </c>
    </row>
  </sheetData>
  <phoneticPr fontId="0" type="noConversion"/>
  <pageMargins left="0.75" right="0.75" top="1" bottom="1" header="0.5" footer="0.5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58"/>
  <sheetViews>
    <sheetView showGridLines="0" topLeftCell="A14" zoomScale="80" zoomScaleNormal="80" workbookViewId="0">
      <selection activeCell="D24" sqref="D24"/>
    </sheetView>
  </sheetViews>
  <sheetFormatPr defaultRowHeight="12.5" x14ac:dyDescent="0.25"/>
  <cols>
    <col min="1" max="1" width="27.1796875" customWidth="1"/>
    <col min="2" max="2" width="20.26953125" customWidth="1"/>
    <col min="3" max="3" width="20.08984375" customWidth="1"/>
    <col min="4" max="17" width="9.1796875" bestFit="1" customWidth="1"/>
    <col min="18" max="26" width="7.1796875" bestFit="1" customWidth="1"/>
  </cols>
  <sheetData>
    <row r="2" spans="1:2" x14ac:dyDescent="0.25">
      <c r="A2" s="46" t="s">
        <v>4</v>
      </c>
      <c r="B2" s="47" t="s">
        <v>2</v>
      </c>
    </row>
    <row r="3" spans="1:2" x14ac:dyDescent="0.25">
      <c r="A3" s="46" t="s">
        <v>5</v>
      </c>
      <c r="B3" s="47" t="s">
        <v>2</v>
      </c>
    </row>
    <row r="4" spans="1:2" x14ac:dyDescent="0.25">
      <c r="A4" s="46" t="s">
        <v>105</v>
      </c>
      <c r="B4" s="47" t="s">
        <v>2</v>
      </c>
    </row>
    <row r="5" spans="1:2" x14ac:dyDescent="0.25">
      <c r="A5" s="46" t="s">
        <v>108</v>
      </c>
      <c r="B5" s="47" t="s">
        <v>2</v>
      </c>
    </row>
    <row r="6" spans="1:2" x14ac:dyDescent="0.25">
      <c r="A6" s="46" t="s">
        <v>109</v>
      </c>
      <c r="B6" s="47" t="s">
        <v>2</v>
      </c>
    </row>
    <row r="7" spans="1:2" x14ac:dyDescent="0.25">
      <c r="A7" s="46" t="s">
        <v>18</v>
      </c>
      <c r="B7" s="47" t="s">
        <v>2</v>
      </c>
    </row>
    <row r="8" spans="1:2" x14ac:dyDescent="0.25">
      <c r="A8" s="46" t="s">
        <v>19</v>
      </c>
      <c r="B8" s="47" t="s">
        <v>2</v>
      </c>
    </row>
    <row r="9" spans="1:2" x14ac:dyDescent="0.25">
      <c r="A9" s="46" t="s">
        <v>121</v>
      </c>
      <c r="B9" s="47" t="s">
        <v>2</v>
      </c>
    </row>
    <row r="10" spans="1:2" x14ac:dyDescent="0.25">
      <c r="A10" s="46" t="s">
        <v>8</v>
      </c>
      <c r="B10" s="47" t="s">
        <v>2</v>
      </c>
    </row>
    <row r="11" spans="1:2" x14ac:dyDescent="0.25">
      <c r="A11" s="46" t="s">
        <v>9</v>
      </c>
      <c r="B11" s="47" t="s">
        <v>2</v>
      </c>
    </row>
    <row r="12" spans="1:2" x14ac:dyDescent="0.25">
      <c r="A12" s="46" t="s">
        <v>10</v>
      </c>
      <c r="B12" s="47" t="s">
        <v>68</v>
      </c>
    </row>
    <row r="13" spans="1:2" ht="13" x14ac:dyDescent="0.3">
      <c r="A13" s="61" t="s">
        <v>11</v>
      </c>
      <c r="B13" s="54" t="s">
        <v>2</v>
      </c>
    </row>
    <row r="14" spans="1:2" x14ac:dyDescent="0.25">
      <c r="A14" s="46" t="s">
        <v>12</v>
      </c>
      <c r="B14" s="47" t="s">
        <v>2</v>
      </c>
    </row>
    <row r="15" spans="1:2" x14ac:dyDescent="0.25">
      <c r="A15" s="46" t="s">
        <v>13</v>
      </c>
      <c r="B15" s="47" t="s">
        <v>2</v>
      </c>
    </row>
    <row r="16" spans="1:2" x14ac:dyDescent="0.25">
      <c r="A16" s="46" t="s">
        <v>22</v>
      </c>
      <c r="B16" s="47" t="s">
        <v>2</v>
      </c>
    </row>
    <row r="17" spans="1:16" x14ac:dyDescent="0.25">
      <c r="A17" s="46" t="s">
        <v>14</v>
      </c>
      <c r="B17" s="47" t="s">
        <v>2</v>
      </c>
    </row>
    <row r="18" spans="1:16" x14ac:dyDescent="0.25">
      <c r="A18" s="46" t="s">
        <v>15</v>
      </c>
      <c r="B18" s="47" t="s">
        <v>2</v>
      </c>
    </row>
    <row r="19" spans="1:16" x14ac:dyDescent="0.25">
      <c r="A19" s="46" t="s">
        <v>6</v>
      </c>
      <c r="B19" s="47" t="s">
        <v>21</v>
      </c>
    </row>
    <row r="20" spans="1:16" x14ac:dyDescent="0.25">
      <c r="A20" s="46" t="s">
        <v>7</v>
      </c>
      <c r="B20" s="47" t="s">
        <v>2</v>
      </c>
    </row>
    <row r="22" spans="1:16" x14ac:dyDescent="0.25">
      <c r="A22" s="39" t="s">
        <v>0</v>
      </c>
      <c r="B22" s="40"/>
      <c r="C22" s="40"/>
      <c r="D22" s="39" t="s">
        <v>1</v>
      </c>
      <c r="E22" s="48" t="s">
        <v>3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</row>
    <row r="23" spans="1:16" x14ac:dyDescent="0.25">
      <c r="A23" s="42"/>
      <c r="B23" s="12"/>
      <c r="C23" s="12"/>
      <c r="D23" s="68" t="s">
        <v>135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5" t="s">
        <v>155</v>
      </c>
      <c r="P23" s="121"/>
    </row>
    <row r="24" spans="1:16" ht="13" x14ac:dyDescent="0.3">
      <c r="A24" s="67" t="s">
        <v>106</v>
      </c>
      <c r="B24" s="67" t="s">
        <v>107</v>
      </c>
      <c r="C24" s="67" t="s">
        <v>104</v>
      </c>
      <c r="D24" s="62" t="s">
        <v>137</v>
      </c>
      <c r="E24" s="63" t="s">
        <v>144</v>
      </c>
      <c r="F24" s="63" t="s">
        <v>145</v>
      </c>
      <c r="G24" s="63" t="s">
        <v>146</v>
      </c>
      <c r="H24" s="63" t="s">
        <v>147</v>
      </c>
      <c r="I24" s="63" t="s">
        <v>148</v>
      </c>
      <c r="J24" s="63" t="s">
        <v>149</v>
      </c>
      <c r="K24" s="63" t="s">
        <v>150</v>
      </c>
      <c r="L24" s="63" t="s">
        <v>152</v>
      </c>
      <c r="M24" s="63" t="s">
        <v>153</v>
      </c>
      <c r="N24" s="63" t="s">
        <v>154</v>
      </c>
      <c r="O24" s="62" t="s">
        <v>156</v>
      </c>
      <c r="P24" s="64" t="s">
        <v>158</v>
      </c>
    </row>
    <row r="25" spans="1:16" x14ac:dyDescent="0.25">
      <c r="A25" s="43" t="s">
        <v>110</v>
      </c>
      <c r="B25" s="43" t="s">
        <v>59</v>
      </c>
      <c r="C25" s="43" t="s">
        <v>27</v>
      </c>
      <c r="D25" s="49">
        <v>1932.0750639176222</v>
      </c>
      <c r="E25" s="50">
        <v>2323.4679132341034</v>
      </c>
      <c r="F25" s="50">
        <v>2108.0248488109382</v>
      </c>
      <c r="G25" s="50">
        <v>2344.2190674853491</v>
      </c>
      <c r="H25" s="50">
        <v>2138.6032892703652</v>
      </c>
      <c r="I25" s="50">
        <v>1675.5212127625571</v>
      </c>
      <c r="J25" s="50">
        <v>1338.2767633645908</v>
      </c>
      <c r="K25" s="50">
        <v>649.10491824880955</v>
      </c>
      <c r="L25" s="50">
        <v>376.47842477681769</v>
      </c>
      <c r="M25" s="50">
        <v>107.72285022332871</v>
      </c>
      <c r="N25" s="50">
        <v>119.20735978311299</v>
      </c>
      <c r="O25" s="49">
        <v>872.06854866895867</v>
      </c>
      <c r="P25" s="117">
        <v>1130.5694637726695</v>
      </c>
    </row>
    <row r="26" spans="1:16" x14ac:dyDescent="0.25">
      <c r="A26" s="42"/>
      <c r="B26" s="42"/>
      <c r="C26" s="51" t="s">
        <v>31</v>
      </c>
      <c r="D26" s="52">
        <v>103.5444049087624</v>
      </c>
      <c r="E26" s="35">
        <v>103.5444049087624</v>
      </c>
      <c r="F26" s="35">
        <v>103.5444049087624</v>
      </c>
      <c r="G26" s="35">
        <v>242.28935583006279</v>
      </c>
      <c r="H26" s="35">
        <v>247.74715337611579</v>
      </c>
      <c r="I26" s="35">
        <v>246.83317178101711</v>
      </c>
      <c r="J26" s="35">
        <v>251.71250306939802</v>
      </c>
      <c r="K26" s="35">
        <v>246.78545398960571</v>
      </c>
      <c r="L26" s="35">
        <v>1136.7766731506958</v>
      </c>
      <c r="M26" s="35">
        <v>1258.2737342548271</v>
      </c>
      <c r="N26" s="35">
        <v>1137.7842518406528</v>
      </c>
      <c r="O26" s="52">
        <v>259.45146895189458</v>
      </c>
      <c r="P26" s="118">
        <v>258.17228895188759</v>
      </c>
    </row>
    <row r="27" spans="1:16" x14ac:dyDescent="0.25">
      <c r="A27" s="42"/>
      <c r="B27" s="42"/>
      <c r="C27" s="51" t="s">
        <v>28</v>
      </c>
      <c r="D27" s="52">
        <v>364.19090920068373</v>
      </c>
      <c r="E27" s="35">
        <v>843.22278578578562</v>
      </c>
      <c r="F27" s="35">
        <v>1011.1140325397976</v>
      </c>
      <c r="G27" s="35">
        <v>1126.0463854400527</v>
      </c>
      <c r="H27" s="35">
        <v>1203.9469118288112</v>
      </c>
      <c r="I27" s="35">
        <v>1384.6952213273776</v>
      </c>
      <c r="J27" s="35">
        <v>1164.9024199233488</v>
      </c>
      <c r="K27" s="35">
        <v>488.70609075952876</v>
      </c>
      <c r="L27" s="35">
        <v>360.37377423420668</v>
      </c>
      <c r="M27" s="35">
        <v>438.91483518937554</v>
      </c>
      <c r="N27" s="35">
        <v>411.47413687525898</v>
      </c>
      <c r="O27" s="52">
        <v>247.90319804517938</v>
      </c>
      <c r="P27" s="118">
        <v>205.24538283303056</v>
      </c>
    </row>
    <row r="28" spans="1:16" x14ac:dyDescent="0.25">
      <c r="A28" s="42"/>
      <c r="B28" s="42"/>
      <c r="C28" s="51" t="s">
        <v>58</v>
      </c>
      <c r="D28" s="52">
        <v>115.95868965453465</v>
      </c>
      <c r="E28" s="35">
        <v>120.60597799812825</v>
      </c>
      <c r="F28" s="35">
        <v>120.60597799812825</v>
      </c>
      <c r="G28" s="35">
        <v>120.60597799812825</v>
      </c>
      <c r="H28" s="35">
        <v>120.60597799812825</v>
      </c>
      <c r="I28" s="35">
        <v>4.6472883435936003</v>
      </c>
      <c r="J28" s="35">
        <v>4.6472883435936003</v>
      </c>
      <c r="K28" s="35"/>
      <c r="L28" s="35"/>
      <c r="M28" s="35"/>
      <c r="N28" s="35"/>
      <c r="O28" s="52"/>
      <c r="P28" s="118"/>
    </row>
    <row r="29" spans="1:16" x14ac:dyDescent="0.25">
      <c r="A29" s="42"/>
      <c r="B29" s="43" t="s">
        <v>60</v>
      </c>
      <c r="C29" s="40"/>
      <c r="D29" s="49">
        <v>2515.7690676816028</v>
      </c>
      <c r="E29" s="50">
        <v>3390.8410819267797</v>
      </c>
      <c r="F29" s="50">
        <v>3343.2892642576267</v>
      </c>
      <c r="G29" s="50">
        <v>3833.1607867535931</v>
      </c>
      <c r="H29" s="50">
        <v>3710.9033324734205</v>
      </c>
      <c r="I29" s="50">
        <v>3311.6968942145454</v>
      </c>
      <c r="J29" s="50">
        <v>2759.5389747009312</v>
      </c>
      <c r="K29" s="50">
        <v>1384.5964629979439</v>
      </c>
      <c r="L29" s="50">
        <v>1873.6288721617202</v>
      </c>
      <c r="M29" s="50">
        <v>1804.9114196675314</v>
      </c>
      <c r="N29" s="50">
        <v>1668.4657484990248</v>
      </c>
      <c r="O29" s="49">
        <v>1379.4232156660325</v>
      </c>
      <c r="P29" s="117">
        <v>1593.9871355575876</v>
      </c>
    </row>
    <row r="30" spans="1:16" x14ac:dyDescent="0.25">
      <c r="A30" s="42"/>
      <c r="B30" s="43" t="s">
        <v>63</v>
      </c>
      <c r="C30" s="43" t="s">
        <v>27</v>
      </c>
      <c r="D30" s="49">
        <v>4530.134301570446</v>
      </c>
      <c r="E30" s="50">
        <v>4381.2573412712818</v>
      </c>
      <c r="F30" s="50">
        <v>3713.5565425218451</v>
      </c>
      <c r="G30" s="50">
        <v>3317.4978293390859</v>
      </c>
      <c r="H30" s="50">
        <v>2940.4517493599601</v>
      </c>
      <c r="I30" s="50">
        <v>2865.3448032366719</v>
      </c>
      <c r="J30" s="50">
        <v>2063.6288651864465</v>
      </c>
      <c r="K30" s="50">
        <v>1582.0688259107533</v>
      </c>
      <c r="L30" s="50">
        <v>1243.883579984371</v>
      </c>
      <c r="M30" s="50">
        <v>596.49127172517365</v>
      </c>
      <c r="N30" s="50">
        <v>575.65071144444028</v>
      </c>
      <c r="O30" s="49">
        <v>6473.2364702591731</v>
      </c>
      <c r="P30" s="117">
        <v>6130.0918882439537</v>
      </c>
    </row>
    <row r="31" spans="1:16" x14ac:dyDescent="0.25">
      <c r="A31" s="42"/>
      <c r="B31" s="42"/>
      <c r="C31" s="51" t="s">
        <v>31</v>
      </c>
      <c r="D31" s="52">
        <v>7338.9765158397222</v>
      </c>
      <c r="E31" s="35">
        <v>7378.8488079527833</v>
      </c>
      <c r="F31" s="35">
        <v>7472.8467566998224</v>
      </c>
      <c r="G31" s="35">
        <v>8458.6957340878998</v>
      </c>
      <c r="H31" s="35">
        <v>8032.0838470694525</v>
      </c>
      <c r="I31" s="35">
        <v>7862.8659401494342</v>
      </c>
      <c r="J31" s="35">
        <v>7836.5755081978368</v>
      </c>
      <c r="K31" s="35">
        <v>16845.407594470114</v>
      </c>
      <c r="L31" s="35">
        <v>22272.937932431207</v>
      </c>
      <c r="M31" s="35">
        <v>22538.726119853731</v>
      </c>
      <c r="N31" s="35">
        <v>22642.601909460591</v>
      </c>
      <c r="O31" s="52">
        <v>15511.360968144383</v>
      </c>
      <c r="P31" s="118">
        <v>15594.642669160554</v>
      </c>
    </row>
    <row r="32" spans="1:16" x14ac:dyDescent="0.25">
      <c r="A32" s="42"/>
      <c r="B32" s="42"/>
      <c r="C32" s="51" t="s">
        <v>28</v>
      </c>
      <c r="D32" s="52">
        <v>3906.1028629156322</v>
      </c>
      <c r="E32" s="35">
        <v>3745.1488527262877</v>
      </c>
      <c r="F32" s="35">
        <v>4674.7630349668452</v>
      </c>
      <c r="G32" s="35">
        <v>516.60002413760913</v>
      </c>
      <c r="H32" s="35">
        <v>508.56465360563107</v>
      </c>
      <c r="I32" s="35">
        <v>426.07971239222945</v>
      </c>
      <c r="J32" s="35">
        <v>632.01233023389761</v>
      </c>
      <c r="K32" s="35">
        <v>275.41961095369743</v>
      </c>
      <c r="L32" s="35">
        <v>291.88834049333826</v>
      </c>
      <c r="M32" s="35">
        <v>474.7216629350296</v>
      </c>
      <c r="N32" s="35">
        <v>8148.6576232040834</v>
      </c>
      <c r="O32" s="52">
        <v>7533.6244244463951</v>
      </c>
      <c r="P32" s="118">
        <v>307.58887699711403</v>
      </c>
    </row>
    <row r="33" spans="1:16" x14ac:dyDescent="0.25">
      <c r="A33" s="42"/>
      <c r="B33" s="42"/>
      <c r="C33" s="51" t="s">
        <v>58</v>
      </c>
      <c r="D33" s="52">
        <v>1613.5241876986452</v>
      </c>
      <c r="E33" s="35">
        <v>2637.3939124686749</v>
      </c>
      <c r="F33" s="35">
        <v>1614.5333620105712</v>
      </c>
      <c r="G33" s="35">
        <v>1580.592077606922</v>
      </c>
      <c r="H33" s="35">
        <v>3503.5500317342085</v>
      </c>
      <c r="I33" s="35">
        <v>3635.7657289818339</v>
      </c>
      <c r="J33" s="35">
        <v>4092.3683895322465</v>
      </c>
      <c r="K33" s="35">
        <v>4406.8387014586624</v>
      </c>
      <c r="L33" s="35">
        <v>1152.213298308503</v>
      </c>
      <c r="M33" s="35">
        <v>1223.41049096901</v>
      </c>
      <c r="N33" s="35">
        <v>843.43261023529385</v>
      </c>
      <c r="O33" s="52">
        <v>588.75907052878927</v>
      </c>
      <c r="P33" s="118">
        <v>499.60108733591306</v>
      </c>
    </row>
    <row r="34" spans="1:16" x14ac:dyDescent="0.25">
      <c r="A34" s="42"/>
      <c r="B34" s="43" t="s">
        <v>64</v>
      </c>
      <c r="C34" s="40"/>
      <c r="D34" s="49">
        <v>17388.737868024444</v>
      </c>
      <c r="E34" s="50">
        <v>18142.648914419027</v>
      </c>
      <c r="F34" s="50">
        <v>17475.699696199084</v>
      </c>
      <c r="G34" s="50">
        <v>13873.385665171518</v>
      </c>
      <c r="H34" s="50">
        <v>14984.650281769253</v>
      </c>
      <c r="I34" s="50">
        <v>14790.056184760169</v>
      </c>
      <c r="J34" s="50">
        <v>14624.585093150428</v>
      </c>
      <c r="K34" s="50">
        <v>23109.734732793226</v>
      </c>
      <c r="L34" s="50">
        <v>24960.923151217416</v>
      </c>
      <c r="M34" s="50">
        <v>24833.349545482943</v>
      </c>
      <c r="N34" s="50">
        <v>32210.342854344406</v>
      </c>
      <c r="O34" s="49">
        <v>30106.980933378742</v>
      </c>
      <c r="P34" s="117">
        <v>22531.924521737532</v>
      </c>
    </row>
    <row r="35" spans="1:16" x14ac:dyDescent="0.25">
      <c r="A35" s="42"/>
      <c r="B35" s="43" t="s">
        <v>116</v>
      </c>
      <c r="C35" s="43" t="s">
        <v>27</v>
      </c>
      <c r="D35" s="49">
        <v>2414.5573613362908</v>
      </c>
      <c r="E35" s="50">
        <v>2160.5689201896525</v>
      </c>
      <c r="F35" s="50">
        <v>2498.9723240601211</v>
      </c>
      <c r="G35" s="50">
        <v>1479.7321857744114</v>
      </c>
      <c r="H35" s="50">
        <v>2029.9891268489314</v>
      </c>
      <c r="I35" s="50">
        <v>1949.4332676586369</v>
      </c>
      <c r="J35" s="50">
        <v>1200.812494631595</v>
      </c>
      <c r="K35" s="50">
        <v>966.98443250813796</v>
      </c>
      <c r="L35" s="50">
        <v>722.08979309948495</v>
      </c>
      <c r="M35" s="50">
        <v>436.793463356811</v>
      </c>
      <c r="N35" s="50">
        <v>452.70058567879005</v>
      </c>
      <c r="O35" s="49">
        <v>2808.4572750198736</v>
      </c>
      <c r="P35" s="117">
        <v>3103.3305982370916</v>
      </c>
    </row>
    <row r="36" spans="1:16" x14ac:dyDescent="0.25">
      <c r="A36" s="42"/>
      <c r="B36" s="42"/>
      <c r="C36" s="51" t="s">
        <v>31</v>
      </c>
      <c r="D36" s="52">
        <v>3102.8606849180887</v>
      </c>
      <c r="E36" s="35">
        <v>4842.8148723287368</v>
      </c>
      <c r="F36" s="35">
        <v>5830.7698215515611</v>
      </c>
      <c r="G36" s="35">
        <v>4908.2622201819377</v>
      </c>
      <c r="H36" s="35">
        <v>4983.2793124436757</v>
      </c>
      <c r="I36" s="35">
        <v>5243.0519892721468</v>
      </c>
      <c r="J36" s="35">
        <v>5733.5900134319163</v>
      </c>
      <c r="K36" s="35">
        <v>6726.8267895162471</v>
      </c>
      <c r="L36" s="35">
        <v>6964.924756843885</v>
      </c>
      <c r="M36" s="35">
        <v>8485.710089093056</v>
      </c>
      <c r="N36" s="35">
        <v>5220.4062898206357</v>
      </c>
      <c r="O36" s="52">
        <v>2465.482647092555</v>
      </c>
      <c r="P36" s="118">
        <v>2878.5497741490249</v>
      </c>
    </row>
    <row r="37" spans="1:16" x14ac:dyDescent="0.25">
      <c r="A37" s="42"/>
      <c r="B37" s="42"/>
      <c r="C37" s="51" t="s">
        <v>28</v>
      </c>
      <c r="D37" s="52">
        <v>197.97629605477312</v>
      </c>
      <c r="E37" s="35">
        <v>188.52718047661858</v>
      </c>
      <c r="F37" s="35">
        <v>310.96255493687505</v>
      </c>
      <c r="G37" s="35">
        <v>1243.8930393978176</v>
      </c>
      <c r="H37" s="35">
        <v>277.72533678889636</v>
      </c>
      <c r="I37" s="35">
        <v>279.42600590567383</v>
      </c>
      <c r="J37" s="35">
        <v>366.2996215969734</v>
      </c>
      <c r="K37" s="35">
        <v>391.69813589525398</v>
      </c>
      <c r="L37" s="35">
        <v>129.1306154957434</v>
      </c>
      <c r="M37" s="35">
        <v>52.467072457881258</v>
      </c>
      <c r="N37" s="35">
        <v>207.75057378197346</v>
      </c>
      <c r="O37" s="52">
        <v>258.75978697609867</v>
      </c>
      <c r="P37" s="118">
        <v>217.04989458514896</v>
      </c>
    </row>
    <row r="38" spans="1:16" x14ac:dyDescent="0.25">
      <c r="A38" s="42"/>
      <c r="B38" s="42"/>
      <c r="C38" s="51" t="s">
        <v>58</v>
      </c>
      <c r="D38" s="52">
        <v>2587.4249972473872</v>
      </c>
      <c r="E38" s="35">
        <v>887.26042042505753</v>
      </c>
      <c r="F38" s="35">
        <v>903.44191401985461</v>
      </c>
      <c r="G38" s="35">
        <v>916.18648544743166</v>
      </c>
      <c r="H38" s="35">
        <v>921.06455223640978</v>
      </c>
      <c r="I38" s="35">
        <v>755.43052373753528</v>
      </c>
      <c r="J38" s="35">
        <v>2800.7073677730054</v>
      </c>
      <c r="K38" s="35">
        <v>664.54963924216713</v>
      </c>
      <c r="L38" s="35">
        <v>703.66690905866722</v>
      </c>
      <c r="M38" s="35">
        <v>742.763239333873</v>
      </c>
      <c r="N38" s="35">
        <v>1126.817643003367</v>
      </c>
      <c r="O38" s="52">
        <v>644.18403377723018</v>
      </c>
      <c r="P38" s="118">
        <v>647.3206052057875</v>
      </c>
    </row>
    <row r="39" spans="1:16" x14ac:dyDescent="0.25">
      <c r="A39" s="42"/>
      <c r="B39" s="43" t="s">
        <v>118</v>
      </c>
      <c r="C39" s="40"/>
      <c r="D39" s="49">
        <v>8302.8193395565395</v>
      </c>
      <c r="E39" s="50">
        <v>8079.1713934200652</v>
      </c>
      <c r="F39" s="50">
        <v>9544.1466145684135</v>
      </c>
      <c r="G39" s="50">
        <v>8548.0739308015982</v>
      </c>
      <c r="H39" s="50">
        <v>8212.058328317913</v>
      </c>
      <c r="I39" s="50">
        <v>8227.3417865739939</v>
      </c>
      <c r="J39" s="50">
        <v>10101.409497433489</v>
      </c>
      <c r="K39" s="50">
        <v>8750.0589971618065</v>
      </c>
      <c r="L39" s="50">
        <v>8519.8120744977805</v>
      </c>
      <c r="M39" s="50">
        <v>9717.7338642416216</v>
      </c>
      <c r="N39" s="50">
        <v>7007.6750922847668</v>
      </c>
      <c r="O39" s="49">
        <v>6176.8837428657571</v>
      </c>
      <c r="P39" s="117">
        <v>6846.2508721770528</v>
      </c>
    </row>
    <row r="40" spans="1:16" ht="13" x14ac:dyDescent="0.3">
      <c r="A40" s="71" t="s">
        <v>112</v>
      </c>
      <c r="B40" s="72"/>
      <c r="C40" s="72"/>
      <c r="D40" s="73">
        <v>28207.326275262585</v>
      </c>
      <c r="E40" s="74">
        <v>29612.661389765875</v>
      </c>
      <c r="F40" s="74">
        <v>30363.135575025124</v>
      </c>
      <c r="G40" s="74">
        <v>26254.620382726713</v>
      </c>
      <c r="H40" s="74">
        <v>26907.611942560583</v>
      </c>
      <c r="I40" s="74">
        <v>26329.094865548705</v>
      </c>
      <c r="J40" s="74">
        <v>27485.533565284844</v>
      </c>
      <c r="K40" s="74">
        <v>33244.390192952982</v>
      </c>
      <c r="L40" s="74">
        <v>35354.364097876918</v>
      </c>
      <c r="M40" s="74">
        <v>36355.994829392097</v>
      </c>
      <c r="N40" s="74">
        <v>40886.48369512819</v>
      </c>
      <c r="O40" s="73">
        <v>37663.287891910528</v>
      </c>
      <c r="P40" s="122">
        <v>30972.162529472174</v>
      </c>
    </row>
    <row r="41" spans="1:16" x14ac:dyDescent="0.25">
      <c r="A41" s="43" t="s">
        <v>111</v>
      </c>
      <c r="B41" s="43" t="s">
        <v>111</v>
      </c>
      <c r="C41" s="43" t="s">
        <v>27</v>
      </c>
      <c r="D41" s="49">
        <v>26067.33110273891</v>
      </c>
      <c r="E41" s="50">
        <v>25928.506453404767</v>
      </c>
      <c r="F41" s="50">
        <v>27964.672983440432</v>
      </c>
      <c r="G41" s="50">
        <v>25741.613789659554</v>
      </c>
      <c r="H41" s="50">
        <v>18965.846064573954</v>
      </c>
      <c r="I41" s="50">
        <v>18598.294219546406</v>
      </c>
      <c r="J41" s="50">
        <v>12186.276306547124</v>
      </c>
      <c r="K41" s="50">
        <v>8106.24047905519</v>
      </c>
      <c r="L41" s="50">
        <v>12020.953008120796</v>
      </c>
      <c r="M41" s="50">
        <v>9966.2866332108697</v>
      </c>
      <c r="N41" s="50">
        <v>9811.0190058065691</v>
      </c>
      <c r="O41" s="49">
        <v>40319.440436797639</v>
      </c>
      <c r="P41" s="117">
        <v>39979.468571983765</v>
      </c>
    </row>
    <row r="42" spans="1:16" x14ac:dyDescent="0.25">
      <c r="A42" s="42"/>
      <c r="B42" s="42"/>
      <c r="C42" s="51" t="s">
        <v>31</v>
      </c>
      <c r="D42" s="52">
        <v>55267.386573436524</v>
      </c>
      <c r="E42" s="35">
        <v>67858.883510108135</v>
      </c>
      <c r="F42" s="35">
        <v>60011.10291666221</v>
      </c>
      <c r="G42" s="35">
        <v>60005.987108141722</v>
      </c>
      <c r="H42" s="35">
        <v>59377.434506666679</v>
      </c>
      <c r="I42" s="35">
        <v>59473.156137952741</v>
      </c>
      <c r="J42" s="35">
        <v>64568.066654377391</v>
      </c>
      <c r="K42" s="35">
        <v>81723.928825376744</v>
      </c>
      <c r="L42" s="35">
        <v>87860.746141647396</v>
      </c>
      <c r="M42" s="35">
        <v>89890.88336902071</v>
      </c>
      <c r="N42" s="35">
        <v>109279.58929076043</v>
      </c>
      <c r="O42" s="52">
        <v>56040.903080138145</v>
      </c>
      <c r="P42" s="118">
        <v>60863.26523284171</v>
      </c>
    </row>
    <row r="43" spans="1:16" x14ac:dyDescent="0.25">
      <c r="A43" s="42"/>
      <c r="B43" s="42"/>
      <c r="C43" s="51" t="s">
        <v>28</v>
      </c>
      <c r="D43" s="52">
        <v>1234.692194209556</v>
      </c>
      <c r="E43" s="35">
        <v>770.89164071383311</v>
      </c>
      <c r="F43" s="35">
        <v>738.28796231065905</v>
      </c>
      <c r="G43" s="35">
        <v>1053.5944478670854</v>
      </c>
      <c r="H43" s="35">
        <v>3593.6587883689631</v>
      </c>
      <c r="I43" s="35">
        <v>2923.8107672314686</v>
      </c>
      <c r="J43" s="35">
        <v>7333.5054921549126</v>
      </c>
      <c r="K43" s="35">
        <v>7172.9132585818033</v>
      </c>
      <c r="L43" s="35">
        <v>7295.0094167144689</v>
      </c>
      <c r="M43" s="35">
        <v>5494.4829387841819</v>
      </c>
      <c r="N43" s="35">
        <v>11325.769408778413</v>
      </c>
      <c r="O43" s="52">
        <v>16001.61559584293</v>
      </c>
      <c r="P43" s="118">
        <v>11863.142362391356</v>
      </c>
    </row>
    <row r="44" spans="1:16" x14ac:dyDescent="0.25">
      <c r="A44" s="42"/>
      <c r="B44" s="43" t="s">
        <v>113</v>
      </c>
      <c r="C44" s="40"/>
      <c r="D44" s="49">
        <v>82569.409870384989</v>
      </c>
      <c r="E44" s="50">
        <v>94558.281604226737</v>
      </c>
      <c r="F44" s="50">
        <v>88714.063862413299</v>
      </c>
      <c r="G44" s="50">
        <v>86801.19534566837</v>
      </c>
      <c r="H44" s="50">
        <v>81936.939359609605</v>
      </c>
      <c r="I44" s="50">
        <v>80995.261124730619</v>
      </c>
      <c r="J44" s="50">
        <v>84087.848453079438</v>
      </c>
      <c r="K44" s="50">
        <v>97003.082563013741</v>
      </c>
      <c r="L44" s="50">
        <v>107176.70856648266</v>
      </c>
      <c r="M44" s="50">
        <v>105351.65294101575</v>
      </c>
      <c r="N44" s="50">
        <v>130416.37770534541</v>
      </c>
      <c r="O44" s="49">
        <v>112361.95911277871</v>
      </c>
      <c r="P44" s="117">
        <v>112705.87616721683</v>
      </c>
    </row>
    <row r="45" spans="1:16" ht="13" x14ac:dyDescent="0.3">
      <c r="A45" s="71" t="s">
        <v>113</v>
      </c>
      <c r="B45" s="72"/>
      <c r="C45" s="72"/>
      <c r="D45" s="73">
        <v>82569.409870384989</v>
      </c>
      <c r="E45" s="74">
        <v>94558.281604226737</v>
      </c>
      <c r="F45" s="74">
        <v>88714.063862413299</v>
      </c>
      <c r="G45" s="74">
        <v>86801.19534566837</v>
      </c>
      <c r="H45" s="74">
        <v>81936.939359609605</v>
      </c>
      <c r="I45" s="74">
        <v>80995.261124730619</v>
      </c>
      <c r="J45" s="74">
        <v>84087.848453079438</v>
      </c>
      <c r="K45" s="74">
        <v>97003.082563013741</v>
      </c>
      <c r="L45" s="74">
        <v>107176.70856648266</v>
      </c>
      <c r="M45" s="74">
        <v>105351.65294101575</v>
      </c>
      <c r="N45" s="74">
        <v>130416.37770534541</v>
      </c>
      <c r="O45" s="73">
        <v>112361.95911277871</v>
      </c>
      <c r="P45" s="122">
        <v>112705.87616721683</v>
      </c>
    </row>
    <row r="46" spans="1:16" x14ac:dyDescent="0.25">
      <c r="A46" s="43" t="s">
        <v>138</v>
      </c>
      <c r="B46" s="43" t="s">
        <v>138</v>
      </c>
      <c r="C46" s="43" t="s">
        <v>27</v>
      </c>
      <c r="D46" s="49">
        <v>11741.037374367899</v>
      </c>
      <c r="E46" s="50">
        <v>11186.364744886741</v>
      </c>
      <c r="F46" s="50">
        <v>11216.819118049141</v>
      </c>
      <c r="G46" s="50">
        <v>11794.803487914432</v>
      </c>
      <c r="H46" s="50">
        <v>11646.443461296933</v>
      </c>
      <c r="I46" s="50">
        <v>11283.847656395732</v>
      </c>
      <c r="J46" s="50">
        <v>9850.7684164963175</v>
      </c>
      <c r="K46" s="50">
        <v>6956.0022473530989</v>
      </c>
      <c r="L46" s="50">
        <v>6454.0709423210355</v>
      </c>
      <c r="M46" s="50">
        <v>3272.8684995203175</v>
      </c>
      <c r="N46" s="50">
        <v>1110.6090624745177</v>
      </c>
      <c r="O46" s="49">
        <v>20869.499649038571</v>
      </c>
      <c r="P46" s="117">
        <v>21193.477820761196</v>
      </c>
    </row>
    <row r="47" spans="1:16" x14ac:dyDescent="0.25">
      <c r="A47" s="42"/>
      <c r="B47" s="42"/>
      <c r="C47" s="51" t="s">
        <v>31</v>
      </c>
      <c r="D47" s="52">
        <v>13540.007461414014</v>
      </c>
      <c r="E47" s="35">
        <v>14335.721108826943</v>
      </c>
      <c r="F47" s="35">
        <v>14836.907199995514</v>
      </c>
      <c r="G47" s="35">
        <v>14690.539781343206</v>
      </c>
      <c r="H47" s="35">
        <v>15070.198651534574</v>
      </c>
      <c r="I47" s="35">
        <v>14914.134849474576</v>
      </c>
      <c r="J47" s="35">
        <v>15981.950435244247</v>
      </c>
      <c r="K47" s="35">
        <v>22016.751828564618</v>
      </c>
      <c r="L47" s="35">
        <v>22796.473732096751</v>
      </c>
      <c r="M47" s="35">
        <v>24784.941594602846</v>
      </c>
      <c r="N47" s="35">
        <v>25998.819143247594</v>
      </c>
      <c r="O47" s="52">
        <v>13245.740057029674</v>
      </c>
      <c r="P47" s="118">
        <v>15111.624608289712</v>
      </c>
    </row>
    <row r="48" spans="1:16" x14ac:dyDescent="0.25">
      <c r="A48" s="42"/>
      <c r="B48" s="42"/>
      <c r="C48" s="51" t="s">
        <v>28</v>
      </c>
      <c r="D48" s="52">
        <v>1442.7954717508092</v>
      </c>
      <c r="E48" s="35">
        <v>1251.4772679589928</v>
      </c>
      <c r="F48" s="35">
        <v>819.74866769375842</v>
      </c>
      <c r="G48" s="35">
        <v>857.68384472926164</v>
      </c>
      <c r="H48" s="35">
        <v>872.32873890356313</v>
      </c>
      <c r="I48" s="35">
        <v>824.99979358249516</v>
      </c>
      <c r="J48" s="35">
        <v>901.07964079444616</v>
      </c>
      <c r="K48" s="35">
        <v>699.39747990258854</v>
      </c>
      <c r="L48" s="35">
        <v>941.71881107075887</v>
      </c>
      <c r="M48" s="35">
        <v>1460.1723766579787</v>
      </c>
      <c r="N48" s="35">
        <v>538.33765194231898</v>
      </c>
      <c r="O48" s="52">
        <v>738.050946199485</v>
      </c>
      <c r="P48" s="118">
        <v>462.92681196371103</v>
      </c>
    </row>
    <row r="49" spans="1:16" x14ac:dyDescent="0.25">
      <c r="A49" s="42"/>
      <c r="B49" s="42"/>
      <c r="C49" s="51" t="s">
        <v>58</v>
      </c>
      <c r="D49" s="52">
        <v>807.10623255649966</v>
      </c>
      <c r="E49" s="35">
        <v>813.19880255649969</v>
      </c>
      <c r="F49" s="35">
        <v>826.7057793006569</v>
      </c>
      <c r="G49" s="35">
        <v>843.84415139379007</v>
      </c>
      <c r="H49" s="35">
        <v>503.84512139379001</v>
      </c>
      <c r="I49" s="35">
        <v>468.63679581227382</v>
      </c>
      <c r="J49" s="35">
        <v>439.82234559306994</v>
      </c>
      <c r="K49" s="35">
        <v>411.15158139379002</v>
      </c>
      <c r="L49" s="35">
        <v>24.327174418516002</v>
      </c>
      <c r="M49" s="35">
        <v>24.327174418516002</v>
      </c>
      <c r="N49" s="35">
        <v>24.327174418515998</v>
      </c>
      <c r="O49" s="52">
        <v>34.8967840908361</v>
      </c>
      <c r="P49" s="118">
        <v>504.12330409081574</v>
      </c>
    </row>
    <row r="50" spans="1:16" x14ac:dyDescent="0.25">
      <c r="A50" s="42"/>
      <c r="B50" s="43" t="s">
        <v>139</v>
      </c>
      <c r="C50" s="40"/>
      <c r="D50" s="49">
        <v>27530.946540089222</v>
      </c>
      <c r="E50" s="50">
        <v>27586.761924229177</v>
      </c>
      <c r="F50" s="50">
        <v>27700.180765039069</v>
      </c>
      <c r="G50" s="50">
        <v>28186.871265380691</v>
      </c>
      <c r="H50" s="50">
        <v>28092.815973128858</v>
      </c>
      <c r="I50" s="50">
        <v>27491.619095265076</v>
      </c>
      <c r="J50" s="50">
        <v>27173.620838128085</v>
      </c>
      <c r="K50" s="50">
        <v>30083.303137214098</v>
      </c>
      <c r="L50" s="50">
        <v>30216.590659907059</v>
      </c>
      <c r="M50" s="50">
        <v>29542.309645199657</v>
      </c>
      <c r="N50" s="50">
        <v>27672.093032082947</v>
      </c>
      <c r="O50" s="49">
        <v>34888.187436358567</v>
      </c>
      <c r="P50" s="117">
        <v>37272.15254510544</v>
      </c>
    </row>
    <row r="51" spans="1:16" ht="13" x14ac:dyDescent="0.3">
      <c r="A51" s="71" t="s">
        <v>139</v>
      </c>
      <c r="B51" s="72"/>
      <c r="C51" s="72"/>
      <c r="D51" s="73">
        <v>27530.946540089222</v>
      </c>
      <c r="E51" s="74">
        <v>27586.761924229177</v>
      </c>
      <c r="F51" s="74">
        <v>27700.180765039069</v>
      </c>
      <c r="G51" s="74">
        <v>28186.871265380691</v>
      </c>
      <c r="H51" s="74">
        <v>28092.815973128858</v>
      </c>
      <c r="I51" s="74">
        <v>27491.619095265076</v>
      </c>
      <c r="J51" s="74">
        <v>27173.620838128085</v>
      </c>
      <c r="K51" s="74">
        <v>30083.303137214098</v>
      </c>
      <c r="L51" s="74">
        <v>30216.590659907059</v>
      </c>
      <c r="M51" s="74">
        <v>29542.309645199657</v>
      </c>
      <c r="N51" s="74">
        <v>27672.093032082947</v>
      </c>
      <c r="O51" s="73">
        <v>34888.187436358567</v>
      </c>
      <c r="P51" s="122">
        <v>37272.15254510544</v>
      </c>
    </row>
    <row r="52" spans="1:16" x14ac:dyDescent="0.25">
      <c r="A52" s="43" t="s">
        <v>140</v>
      </c>
      <c r="B52" s="43" t="s">
        <v>140</v>
      </c>
      <c r="C52" s="43" t="s">
        <v>27</v>
      </c>
      <c r="D52" s="49">
        <v>3129.6715300000001</v>
      </c>
      <c r="E52" s="50">
        <v>3086.0044900000003</v>
      </c>
      <c r="F52" s="50">
        <v>2649.4200800000003</v>
      </c>
      <c r="G52" s="50">
        <v>2393.5769899999996</v>
      </c>
      <c r="H52" s="50">
        <v>1719.7435800000001</v>
      </c>
      <c r="I52" s="50">
        <v>1473.79177</v>
      </c>
      <c r="J52" s="50">
        <v>1169.0029</v>
      </c>
      <c r="K52" s="50">
        <v>923.80091000000004</v>
      </c>
      <c r="L52" s="50">
        <v>596.41775000000007</v>
      </c>
      <c r="M52" s="50">
        <v>309.09649999999999</v>
      </c>
      <c r="N52" s="50">
        <v>262.77134000000001</v>
      </c>
      <c r="O52" s="49">
        <v>5107.4211399999995</v>
      </c>
      <c r="P52" s="117">
        <v>4539.6003999999994</v>
      </c>
    </row>
    <row r="53" spans="1:16" x14ac:dyDescent="0.25">
      <c r="A53" s="42"/>
      <c r="B53" s="42"/>
      <c r="C53" s="51" t="s">
        <v>31</v>
      </c>
      <c r="D53" s="52">
        <v>1547.1060000000002</v>
      </c>
      <c r="E53" s="35">
        <v>2977.3354500000005</v>
      </c>
      <c r="F53" s="35">
        <v>3047.7599000000005</v>
      </c>
      <c r="G53" s="35">
        <v>2867.1436400000002</v>
      </c>
      <c r="H53" s="35">
        <v>3081.5758700000001</v>
      </c>
      <c r="I53" s="35">
        <v>3615.2725999999998</v>
      </c>
      <c r="J53" s="35">
        <v>3648.6545700000001</v>
      </c>
      <c r="K53" s="35">
        <v>4585.0335100000002</v>
      </c>
      <c r="L53" s="35">
        <v>5532.8738400000002</v>
      </c>
      <c r="M53" s="35">
        <v>4460.5466900000001</v>
      </c>
      <c r="N53" s="35">
        <v>7497.7886099999996</v>
      </c>
      <c r="O53" s="52">
        <v>3850.24179</v>
      </c>
      <c r="P53" s="118">
        <v>3641.1981199999996</v>
      </c>
    </row>
    <row r="54" spans="1:16" x14ac:dyDescent="0.25">
      <c r="A54" s="42"/>
      <c r="B54" s="42"/>
      <c r="C54" s="51" t="s">
        <v>28</v>
      </c>
      <c r="D54" s="52">
        <v>560.96198000000004</v>
      </c>
      <c r="E54" s="35">
        <v>373.54086000000001</v>
      </c>
      <c r="F54" s="35">
        <v>431.89872000000003</v>
      </c>
      <c r="G54" s="35">
        <v>434.19909000000007</v>
      </c>
      <c r="H54" s="35">
        <v>504.92770999999999</v>
      </c>
      <c r="I54" s="35">
        <v>405.39811999999995</v>
      </c>
      <c r="J54" s="35">
        <v>603.58506999999997</v>
      </c>
      <c r="K54" s="35">
        <v>268.08913000000001</v>
      </c>
      <c r="L54" s="35">
        <v>50.551839999999991</v>
      </c>
      <c r="M54" s="35">
        <v>129.25456</v>
      </c>
      <c r="N54" s="35">
        <v>232.25300000000001</v>
      </c>
      <c r="O54" s="52">
        <v>315.97764999999998</v>
      </c>
      <c r="P54" s="118">
        <v>474.39116000000001</v>
      </c>
    </row>
    <row r="55" spans="1:16" x14ac:dyDescent="0.25">
      <c r="A55" s="42"/>
      <c r="B55" s="42"/>
      <c r="C55" s="51" t="s">
        <v>58</v>
      </c>
      <c r="D55" s="52">
        <v>844.05121000000008</v>
      </c>
      <c r="E55" s="35">
        <v>212.33183999999997</v>
      </c>
      <c r="F55" s="35">
        <v>230.50224</v>
      </c>
      <c r="G55" s="35">
        <v>241.69256999999999</v>
      </c>
      <c r="H55" s="35">
        <v>168.49910000000003</v>
      </c>
      <c r="I55" s="35">
        <v>168.49910000000003</v>
      </c>
      <c r="J55" s="35">
        <v>164.21528000000001</v>
      </c>
      <c r="K55" s="35">
        <v>830.20922999999993</v>
      </c>
      <c r="L55" s="35">
        <v>397.05613</v>
      </c>
      <c r="M55" s="35">
        <v>394.42831999999999</v>
      </c>
      <c r="N55" s="35">
        <v>393.56623999999999</v>
      </c>
      <c r="O55" s="52">
        <v>31.605969999999999</v>
      </c>
      <c r="P55" s="118">
        <v>25.834520000000001</v>
      </c>
    </row>
    <row r="56" spans="1:16" x14ac:dyDescent="0.25">
      <c r="A56" s="42"/>
      <c r="B56" s="43" t="s">
        <v>141</v>
      </c>
      <c r="C56" s="40"/>
      <c r="D56" s="49">
        <v>6081.7907200000009</v>
      </c>
      <c r="E56" s="50">
        <v>6649.2126400000006</v>
      </c>
      <c r="F56" s="50">
        <v>6359.5809400000007</v>
      </c>
      <c r="G56" s="50">
        <v>5936.61229</v>
      </c>
      <c r="H56" s="50">
        <v>5474.7462599999999</v>
      </c>
      <c r="I56" s="50">
        <v>5662.9615899999999</v>
      </c>
      <c r="J56" s="50">
        <v>5585.4578200000005</v>
      </c>
      <c r="K56" s="50">
        <v>6607.1327799999999</v>
      </c>
      <c r="L56" s="50">
        <v>6576.8995600000007</v>
      </c>
      <c r="M56" s="50">
        <v>5293.3260700000001</v>
      </c>
      <c r="N56" s="50">
        <v>8386.3791899999997</v>
      </c>
      <c r="O56" s="49">
        <v>9305.2465499999998</v>
      </c>
      <c r="P56" s="117">
        <v>8681.024199999998</v>
      </c>
    </row>
    <row r="57" spans="1:16" ht="13" x14ac:dyDescent="0.3">
      <c r="A57" s="71" t="s">
        <v>141</v>
      </c>
      <c r="B57" s="72"/>
      <c r="C57" s="72"/>
      <c r="D57" s="73">
        <v>6081.7907200000009</v>
      </c>
      <c r="E57" s="74">
        <v>6649.2126400000006</v>
      </c>
      <c r="F57" s="74">
        <v>6359.5809400000007</v>
      </c>
      <c r="G57" s="74">
        <v>5936.61229</v>
      </c>
      <c r="H57" s="74">
        <v>5474.7462599999999</v>
      </c>
      <c r="I57" s="74">
        <v>5662.9615899999999</v>
      </c>
      <c r="J57" s="74">
        <v>5585.4578200000005</v>
      </c>
      <c r="K57" s="74">
        <v>6607.1327799999999</v>
      </c>
      <c r="L57" s="74">
        <v>6576.8995600000007</v>
      </c>
      <c r="M57" s="74">
        <v>5293.3260700000001</v>
      </c>
      <c r="N57" s="74">
        <v>8386.3791899999997</v>
      </c>
      <c r="O57" s="73">
        <v>9305.2465499999998</v>
      </c>
      <c r="P57" s="122">
        <v>8681.024199999998</v>
      </c>
    </row>
    <row r="58" spans="1:16" ht="13" x14ac:dyDescent="0.3">
      <c r="A58" s="55" t="s">
        <v>20</v>
      </c>
      <c r="B58" s="70"/>
      <c r="C58" s="70"/>
      <c r="D58" s="56">
        <v>144389.47340573676</v>
      </c>
      <c r="E58" s="57">
        <v>158406.91755822179</v>
      </c>
      <c r="F58" s="57">
        <v>153136.96114247749</v>
      </c>
      <c r="G58" s="57">
        <v>147179.29928377579</v>
      </c>
      <c r="H58" s="57">
        <v>142412.11353529905</v>
      </c>
      <c r="I58" s="57">
        <v>140478.93667554442</v>
      </c>
      <c r="J58" s="57">
        <v>144332.46067649237</v>
      </c>
      <c r="K58" s="57">
        <v>166937.90867318079</v>
      </c>
      <c r="L58" s="57">
        <v>179324.5628842666</v>
      </c>
      <c r="M58" s="57">
        <v>176543.28348560754</v>
      </c>
      <c r="N58" s="57">
        <v>207361.33362255653</v>
      </c>
      <c r="O58" s="56">
        <v>194218.68099104779</v>
      </c>
      <c r="P58" s="119">
        <v>189631.21544179443</v>
      </c>
    </row>
  </sheetData>
  <phoneticPr fontId="0" type="noConversion"/>
  <pageMargins left="0.75" right="0.75" top="1" bottom="1" header="0.5" footer="0.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showGridLines="0" topLeftCell="A21" zoomScale="80" zoomScaleNormal="80" workbookViewId="0">
      <selection activeCell="D24" sqref="D24"/>
    </sheetView>
  </sheetViews>
  <sheetFormatPr defaultRowHeight="12.5" x14ac:dyDescent="0.25"/>
  <cols>
    <col min="1" max="1" width="13.6328125" customWidth="1"/>
    <col min="2" max="2" width="20.6328125" customWidth="1"/>
    <col min="3" max="3" width="19.7265625" bestFit="1" customWidth="1"/>
    <col min="4" max="17" width="9.1796875" bestFit="1" customWidth="1"/>
    <col min="18" max="18" width="7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108</v>
      </c>
      <c r="B4" s="47" t="s">
        <v>2</v>
      </c>
    </row>
    <row r="5" spans="1:2" x14ac:dyDescent="0.25">
      <c r="A5" s="46" t="s">
        <v>109</v>
      </c>
      <c r="B5" s="47" t="s">
        <v>2</v>
      </c>
    </row>
    <row r="6" spans="1:2" x14ac:dyDescent="0.25">
      <c r="A6" s="46" t="s">
        <v>18</v>
      </c>
      <c r="B6" s="47" t="s">
        <v>2</v>
      </c>
    </row>
    <row r="7" spans="1:2" x14ac:dyDescent="0.25">
      <c r="A7" s="46" t="s">
        <v>19</v>
      </c>
      <c r="B7" s="47" t="s">
        <v>2</v>
      </c>
    </row>
    <row r="8" spans="1:2" x14ac:dyDescent="0.25">
      <c r="A8" s="46" t="s">
        <v>121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68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14</v>
      </c>
      <c r="B15" s="47" t="s">
        <v>2</v>
      </c>
    </row>
    <row r="16" spans="1:2" x14ac:dyDescent="0.25">
      <c r="A16" s="46" t="s">
        <v>15</v>
      </c>
      <c r="B16" s="47" t="s">
        <v>2</v>
      </c>
    </row>
    <row r="17" spans="1:16" x14ac:dyDescent="0.25">
      <c r="A17" s="46" t="s">
        <v>6</v>
      </c>
      <c r="B17" s="47" t="s">
        <v>21</v>
      </c>
    </row>
    <row r="18" spans="1:16" x14ac:dyDescent="0.25">
      <c r="A18" s="46" t="s">
        <v>7</v>
      </c>
      <c r="B18" s="47" t="s">
        <v>2</v>
      </c>
    </row>
    <row r="19" spans="1:16" x14ac:dyDescent="0.25">
      <c r="A19" s="46" t="s">
        <v>104</v>
      </c>
      <c r="B19" s="47" t="s">
        <v>2</v>
      </c>
    </row>
    <row r="20" spans="1:16" ht="13" x14ac:dyDescent="0.3">
      <c r="A20" s="75" t="s">
        <v>22</v>
      </c>
      <c r="B20" s="47" t="s">
        <v>2</v>
      </c>
    </row>
    <row r="22" spans="1:16" x14ac:dyDescent="0.25">
      <c r="A22" s="39" t="s">
        <v>0</v>
      </c>
      <c r="B22" s="40"/>
      <c r="C22" s="40"/>
      <c r="D22" s="39" t="s">
        <v>1</v>
      </c>
      <c r="E22" s="48" t="s">
        <v>3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</row>
    <row r="23" spans="1:16" x14ac:dyDescent="0.25">
      <c r="A23" s="42"/>
      <c r="B23" s="12"/>
      <c r="C23" s="12"/>
      <c r="D23" s="68" t="s">
        <v>135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5" t="s">
        <v>155</v>
      </c>
      <c r="P23" s="121"/>
    </row>
    <row r="24" spans="1:16" ht="13" x14ac:dyDescent="0.3">
      <c r="A24" s="67" t="s">
        <v>106</v>
      </c>
      <c r="B24" s="67" t="s">
        <v>107</v>
      </c>
      <c r="C24" s="67" t="s">
        <v>125</v>
      </c>
      <c r="D24" s="62" t="s">
        <v>137</v>
      </c>
      <c r="E24" s="63" t="s">
        <v>144</v>
      </c>
      <c r="F24" s="63" t="s">
        <v>145</v>
      </c>
      <c r="G24" s="63" t="s">
        <v>146</v>
      </c>
      <c r="H24" s="63" t="s">
        <v>147</v>
      </c>
      <c r="I24" s="63" t="s">
        <v>148</v>
      </c>
      <c r="J24" s="63" t="s">
        <v>149</v>
      </c>
      <c r="K24" s="63" t="s">
        <v>150</v>
      </c>
      <c r="L24" s="63" t="s">
        <v>152</v>
      </c>
      <c r="M24" s="63" t="s">
        <v>153</v>
      </c>
      <c r="N24" s="63" t="s">
        <v>154</v>
      </c>
      <c r="O24" s="62" t="s">
        <v>156</v>
      </c>
      <c r="P24" s="64" t="s">
        <v>158</v>
      </c>
    </row>
    <row r="25" spans="1:16" x14ac:dyDescent="0.25">
      <c r="A25" s="43" t="s">
        <v>110</v>
      </c>
      <c r="B25" s="43" t="s">
        <v>59</v>
      </c>
      <c r="C25" s="43" t="s">
        <v>130</v>
      </c>
      <c r="D25" s="49">
        <v>849.93190687952949</v>
      </c>
      <c r="E25" s="50">
        <v>929.45961853657536</v>
      </c>
      <c r="F25" s="50">
        <v>944.62083037401567</v>
      </c>
      <c r="G25" s="50">
        <v>1084.8797615268891</v>
      </c>
      <c r="H25" s="50">
        <v>1012.2206867163665</v>
      </c>
      <c r="I25" s="50">
        <v>809.93130507848139</v>
      </c>
      <c r="J25" s="50">
        <v>674.78429237268767</v>
      </c>
      <c r="K25" s="50">
        <v>192.40373619778137</v>
      </c>
      <c r="L25" s="50">
        <v>305.05370897766028</v>
      </c>
      <c r="M25" s="50">
        <v>315.76460840092125</v>
      </c>
      <c r="N25" s="50">
        <v>248.19196502754494</v>
      </c>
      <c r="O25" s="49">
        <v>245.57824850704878</v>
      </c>
      <c r="P25" s="117">
        <v>322.40618084588664</v>
      </c>
    </row>
    <row r="26" spans="1:16" x14ac:dyDescent="0.25">
      <c r="A26" s="42"/>
      <c r="B26" s="42"/>
      <c r="C26" s="51" t="s">
        <v>131</v>
      </c>
      <c r="D26" s="52">
        <v>1665.837160802073</v>
      </c>
      <c r="E26" s="35">
        <v>2461.3814633902052</v>
      </c>
      <c r="F26" s="35">
        <v>2398.6684338836117</v>
      </c>
      <c r="G26" s="35">
        <v>2748.2810252267041</v>
      </c>
      <c r="H26" s="35">
        <v>2698.6826457570542</v>
      </c>
      <c r="I26" s="35">
        <v>2501.7655891360641</v>
      </c>
      <c r="J26" s="35">
        <v>2084.7546823282437</v>
      </c>
      <c r="K26" s="35">
        <v>1192.1927268001627</v>
      </c>
      <c r="L26" s="35">
        <v>1568.5751631840596</v>
      </c>
      <c r="M26" s="35">
        <v>1489.14681126661</v>
      </c>
      <c r="N26" s="35">
        <v>1420.2737834714799</v>
      </c>
      <c r="O26" s="52">
        <v>1133.8449671589838</v>
      </c>
      <c r="P26" s="118">
        <v>1271.5809547117008</v>
      </c>
    </row>
    <row r="27" spans="1:16" x14ac:dyDescent="0.25">
      <c r="A27" s="42"/>
      <c r="B27" s="43" t="s">
        <v>60</v>
      </c>
      <c r="C27" s="40"/>
      <c r="D27" s="49">
        <v>2515.7690676816023</v>
      </c>
      <c r="E27" s="50">
        <v>3390.8410819267806</v>
      </c>
      <c r="F27" s="50">
        <v>3343.2892642576271</v>
      </c>
      <c r="G27" s="50">
        <v>3833.1607867535931</v>
      </c>
      <c r="H27" s="50">
        <v>3710.9033324734205</v>
      </c>
      <c r="I27" s="50">
        <v>3311.6968942145454</v>
      </c>
      <c r="J27" s="50">
        <v>2759.5389747009312</v>
      </c>
      <c r="K27" s="50">
        <v>1384.5964629979442</v>
      </c>
      <c r="L27" s="50">
        <v>1873.62887216172</v>
      </c>
      <c r="M27" s="50">
        <v>1804.9114196675314</v>
      </c>
      <c r="N27" s="50">
        <v>1668.4657484990248</v>
      </c>
      <c r="O27" s="49">
        <v>1379.4232156660325</v>
      </c>
      <c r="P27" s="117">
        <v>1593.9871355575874</v>
      </c>
    </row>
    <row r="28" spans="1:16" x14ac:dyDescent="0.25">
      <c r="A28" s="42"/>
      <c r="B28" s="43" t="s">
        <v>63</v>
      </c>
      <c r="C28" s="43" t="s">
        <v>130</v>
      </c>
      <c r="D28" s="49">
        <v>2562.8088977645621</v>
      </c>
      <c r="E28" s="50">
        <v>2915.7468690645342</v>
      </c>
      <c r="F28" s="50">
        <v>2692.7143994740491</v>
      </c>
      <c r="G28" s="50">
        <v>2033.9359063715442</v>
      </c>
      <c r="H28" s="50">
        <v>2467.4601340498098</v>
      </c>
      <c r="I28" s="50">
        <v>2375.971346841307</v>
      </c>
      <c r="J28" s="50">
        <v>2213.8551740099892</v>
      </c>
      <c r="K28" s="50">
        <v>2312.3254426500143</v>
      </c>
      <c r="L28" s="50">
        <v>2615.6874559921753</v>
      </c>
      <c r="M28" s="50">
        <v>2639.03740320514</v>
      </c>
      <c r="N28" s="50">
        <v>9463.69984629176</v>
      </c>
      <c r="O28" s="49">
        <v>8713.150064074367</v>
      </c>
      <c r="P28" s="117">
        <v>5575.460664035425</v>
      </c>
    </row>
    <row r="29" spans="1:16" x14ac:dyDescent="0.25">
      <c r="A29" s="42"/>
      <c r="B29" s="42"/>
      <c r="C29" s="51" t="s">
        <v>131</v>
      </c>
      <c r="D29" s="52">
        <v>14825.92897025988</v>
      </c>
      <c r="E29" s="35">
        <v>15226.902045354493</v>
      </c>
      <c r="F29" s="35">
        <v>14782.98529672503</v>
      </c>
      <c r="G29" s="35">
        <v>11839.449758799972</v>
      </c>
      <c r="H29" s="35">
        <v>12517.190147719442</v>
      </c>
      <c r="I29" s="35">
        <v>12414.084837918861</v>
      </c>
      <c r="J29" s="35">
        <v>12410.729919140438</v>
      </c>
      <c r="K29" s="35">
        <v>20797.409290143216</v>
      </c>
      <c r="L29" s="35">
        <v>22345.235695225238</v>
      </c>
      <c r="M29" s="35">
        <v>22194.312142277802</v>
      </c>
      <c r="N29" s="35">
        <v>22746.643008052644</v>
      </c>
      <c r="O29" s="52">
        <v>21393.830869304373</v>
      </c>
      <c r="P29" s="118">
        <v>16956.463857702114</v>
      </c>
    </row>
    <row r="30" spans="1:16" x14ac:dyDescent="0.25">
      <c r="A30" s="42"/>
      <c r="B30" s="43" t="s">
        <v>64</v>
      </c>
      <c r="C30" s="40"/>
      <c r="D30" s="49">
        <v>17388.737868024444</v>
      </c>
      <c r="E30" s="50">
        <v>18142.648914419027</v>
      </c>
      <c r="F30" s="50">
        <v>17475.699696199081</v>
      </c>
      <c r="G30" s="50">
        <v>13873.385665171516</v>
      </c>
      <c r="H30" s="50">
        <v>14984.650281769253</v>
      </c>
      <c r="I30" s="50">
        <v>14790.056184760168</v>
      </c>
      <c r="J30" s="50">
        <v>14624.585093150428</v>
      </c>
      <c r="K30" s="50">
        <v>23109.734732793229</v>
      </c>
      <c r="L30" s="50">
        <v>24960.923151217412</v>
      </c>
      <c r="M30" s="50">
        <v>24833.349545482943</v>
      </c>
      <c r="N30" s="50">
        <v>32210.342854344402</v>
      </c>
      <c r="O30" s="49">
        <v>30106.980933378742</v>
      </c>
      <c r="P30" s="117">
        <v>22531.924521737539</v>
      </c>
    </row>
    <row r="31" spans="1:16" x14ac:dyDescent="0.25">
      <c r="A31" s="42"/>
      <c r="B31" s="43" t="s">
        <v>116</v>
      </c>
      <c r="C31" s="43" t="s">
        <v>130</v>
      </c>
      <c r="D31" s="49">
        <v>3241.8499146089093</v>
      </c>
      <c r="E31" s="50">
        <v>3094.6297633323225</v>
      </c>
      <c r="F31" s="50">
        <v>3849.2919450931422</v>
      </c>
      <c r="G31" s="50">
        <v>3236.6713898120188</v>
      </c>
      <c r="H31" s="50">
        <v>3616.6092832838453</v>
      </c>
      <c r="I31" s="50">
        <v>3687.1915965043486</v>
      </c>
      <c r="J31" s="50">
        <v>4225.5442519665376</v>
      </c>
      <c r="K31" s="50">
        <v>3114.2134709364332</v>
      </c>
      <c r="L31" s="50">
        <v>3177.1133636408263</v>
      </c>
      <c r="M31" s="50">
        <v>3615.173808172548</v>
      </c>
      <c r="N31" s="50">
        <v>2576.3394935273636</v>
      </c>
      <c r="O31" s="49">
        <v>2206.5989349939359</v>
      </c>
      <c r="P31" s="117">
        <v>2601.945772024389</v>
      </c>
    </row>
    <row r="32" spans="1:16" x14ac:dyDescent="0.25">
      <c r="A32" s="42"/>
      <c r="B32" s="42"/>
      <c r="C32" s="51" t="s">
        <v>131</v>
      </c>
      <c r="D32" s="52">
        <v>5060.9694249476306</v>
      </c>
      <c r="E32" s="35">
        <v>4984.5416300877405</v>
      </c>
      <c r="F32" s="35">
        <v>5694.8546694752695</v>
      </c>
      <c r="G32" s="35">
        <v>5311.4025409895785</v>
      </c>
      <c r="H32" s="35">
        <v>4595.4490450340691</v>
      </c>
      <c r="I32" s="35">
        <v>4540.1501900696421</v>
      </c>
      <c r="J32" s="35">
        <v>5875.8652454669536</v>
      </c>
      <c r="K32" s="35">
        <v>5635.8455262253765</v>
      </c>
      <c r="L32" s="35">
        <v>5342.6987108569519</v>
      </c>
      <c r="M32" s="35">
        <v>6102.5600560690782</v>
      </c>
      <c r="N32" s="35">
        <v>4431.3355987574023</v>
      </c>
      <c r="O32" s="52">
        <v>3970.2848078718216</v>
      </c>
      <c r="P32" s="118">
        <v>4244.3051001526655</v>
      </c>
    </row>
    <row r="33" spans="1:16" x14ac:dyDescent="0.25">
      <c r="A33" s="42"/>
      <c r="B33" s="43" t="s">
        <v>118</v>
      </c>
      <c r="C33" s="40"/>
      <c r="D33" s="49">
        <v>8302.8193395565395</v>
      </c>
      <c r="E33" s="50">
        <v>8079.1713934200634</v>
      </c>
      <c r="F33" s="50">
        <v>9544.1466145684117</v>
      </c>
      <c r="G33" s="50">
        <v>8548.0739308015982</v>
      </c>
      <c r="H33" s="50">
        <v>8212.0583283179149</v>
      </c>
      <c r="I33" s="50">
        <v>8227.3417865739902</v>
      </c>
      <c r="J33" s="50">
        <v>10101.409497433491</v>
      </c>
      <c r="K33" s="50">
        <v>8750.0589971618101</v>
      </c>
      <c r="L33" s="50">
        <v>8519.8120744977787</v>
      </c>
      <c r="M33" s="50">
        <v>9717.7338642416253</v>
      </c>
      <c r="N33" s="50">
        <v>7007.6750922847659</v>
      </c>
      <c r="O33" s="49">
        <v>6176.8837428657571</v>
      </c>
      <c r="P33" s="117">
        <v>6846.2508721770546</v>
      </c>
    </row>
    <row r="34" spans="1:16" ht="13" x14ac:dyDescent="0.3">
      <c r="A34" s="71" t="s">
        <v>112</v>
      </c>
      <c r="B34" s="72"/>
      <c r="C34" s="72"/>
      <c r="D34" s="73">
        <v>28207.326275262581</v>
      </c>
      <c r="E34" s="74">
        <v>29612.661389765872</v>
      </c>
      <c r="F34" s="74">
        <v>30363.13557502512</v>
      </c>
      <c r="G34" s="74">
        <v>26254.620382726709</v>
      </c>
      <c r="H34" s="74">
        <v>26907.611942560587</v>
      </c>
      <c r="I34" s="74">
        <v>26329.094865548705</v>
      </c>
      <c r="J34" s="74">
        <v>27485.533565284848</v>
      </c>
      <c r="K34" s="74">
        <v>33244.390192952982</v>
      </c>
      <c r="L34" s="74">
        <v>35354.364097876911</v>
      </c>
      <c r="M34" s="74">
        <v>36355.994829392104</v>
      </c>
      <c r="N34" s="74">
        <v>40886.483695128198</v>
      </c>
      <c r="O34" s="73">
        <v>37663.287891910528</v>
      </c>
      <c r="P34" s="122">
        <v>30972.162529472178</v>
      </c>
    </row>
    <row r="35" spans="1:16" x14ac:dyDescent="0.25">
      <c r="A35" s="43" t="s">
        <v>111</v>
      </c>
      <c r="B35" s="43" t="s">
        <v>111</v>
      </c>
      <c r="C35" s="43" t="s">
        <v>130</v>
      </c>
      <c r="D35" s="49">
        <v>17689.771174800255</v>
      </c>
      <c r="E35" s="50">
        <v>22281.643302004952</v>
      </c>
      <c r="F35" s="50">
        <v>19787.410775164222</v>
      </c>
      <c r="G35" s="50">
        <v>19737.574898395604</v>
      </c>
      <c r="H35" s="50">
        <v>19105.184853515624</v>
      </c>
      <c r="I35" s="50">
        <v>18979.000499188442</v>
      </c>
      <c r="J35" s="50">
        <v>19392.30585326851</v>
      </c>
      <c r="K35" s="50">
        <v>24030.191717337577</v>
      </c>
      <c r="L35" s="50">
        <v>26343.691175990869</v>
      </c>
      <c r="M35" s="50">
        <v>26903.526321477912</v>
      </c>
      <c r="N35" s="50">
        <v>37190.806018670257</v>
      </c>
      <c r="O35" s="49">
        <v>31547.428965157207</v>
      </c>
      <c r="P35" s="117">
        <v>32221.480306038429</v>
      </c>
    </row>
    <row r="36" spans="1:16" x14ac:dyDescent="0.25">
      <c r="A36" s="42"/>
      <c r="B36" s="42"/>
      <c r="C36" s="51" t="s">
        <v>131</v>
      </c>
      <c r="D36" s="52">
        <v>64879.638695584741</v>
      </c>
      <c r="E36" s="35">
        <v>72276.638302221792</v>
      </c>
      <c r="F36" s="35">
        <v>68926.653087249098</v>
      </c>
      <c r="G36" s="35">
        <v>67063.620447272755</v>
      </c>
      <c r="H36" s="35">
        <v>62831.754506093945</v>
      </c>
      <c r="I36" s="35">
        <v>62016.260625542171</v>
      </c>
      <c r="J36" s="35">
        <v>64695.542599810935</v>
      </c>
      <c r="K36" s="35">
        <v>72972.890845676156</v>
      </c>
      <c r="L36" s="35">
        <v>80833.017390491834</v>
      </c>
      <c r="M36" s="35">
        <v>78448.126619537812</v>
      </c>
      <c r="N36" s="35">
        <v>93225.571686675132</v>
      </c>
      <c r="O36" s="52">
        <v>80814.53014762151</v>
      </c>
      <c r="P36" s="118">
        <v>80484.395861178404</v>
      </c>
    </row>
    <row r="37" spans="1:16" x14ac:dyDescent="0.25">
      <c r="A37" s="42"/>
      <c r="B37" s="43" t="s">
        <v>113</v>
      </c>
      <c r="C37" s="40"/>
      <c r="D37" s="49">
        <v>82569.409870384989</v>
      </c>
      <c r="E37" s="50">
        <v>94558.281604226737</v>
      </c>
      <c r="F37" s="50">
        <v>88714.063862413313</v>
      </c>
      <c r="G37" s="50">
        <v>86801.195345668355</v>
      </c>
      <c r="H37" s="50">
        <v>81936.939359609562</v>
      </c>
      <c r="I37" s="50">
        <v>80995.261124730605</v>
      </c>
      <c r="J37" s="50">
        <v>84087.848453079438</v>
      </c>
      <c r="K37" s="50">
        <v>97003.082563013741</v>
      </c>
      <c r="L37" s="50">
        <v>107176.7085664827</v>
      </c>
      <c r="M37" s="50">
        <v>105351.65294101572</v>
      </c>
      <c r="N37" s="50">
        <v>130416.3777053454</v>
      </c>
      <c r="O37" s="49">
        <v>112361.95911277871</v>
      </c>
      <c r="P37" s="117">
        <v>112705.87616721683</v>
      </c>
    </row>
    <row r="38" spans="1:16" ht="13" x14ac:dyDescent="0.3">
      <c r="A38" s="71" t="s">
        <v>113</v>
      </c>
      <c r="B38" s="72"/>
      <c r="C38" s="72"/>
      <c r="D38" s="73">
        <v>82569.409870384989</v>
      </c>
      <c r="E38" s="74">
        <v>94558.281604226737</v>
      </c>
      <c r="F38" s="74">
        <v>88714.063862413313</v>
      </c>
      <c r="G38" s="74">
        <v>86801.195345668355</v>
      </c>
      <c r="H38" s="74">
        <v>81936.939359609562</v>
      </c>
      <c r="I38" s="74">
        <v>80995.261124730605</v>
      </c>
      <c r="J38" s="74">
        <v>84087.848453079438</v>
      </c>
      <c r="K38" s="74">
        <v>97003.082563013741</v>
      </c>
      <c r="L38" s="74">
        <v>107176.7085664827</v>
      </c>
      <c r="M38" s="74">
        <v>105351.65294101572</v>
      </c>
      <c r="N38" s="74">
        <v>130416.3777053454</v>
      </c>
      <c r="O38" s="73">
        <v>112361.95911277871</v>
      </c>
      <c r="P38" s="122">
        <v>112705.87616721683</v>
      </c>
    </row>
    <row r="39" spans="1:16" x14ac:dyDescent="0.25">
      <c r="A39" s="43" t="s">
        <v>138</v>
      </c>
      <c r="B39" s="43" t="s">
        <v>138</v>
      </c>
      <c r="C39" s="43" t="s">
        <v>130</v>
      </c>
      <c r="D39" s="49">
        <v>6596.2187592463588</v>
      </c>
      <c r="E39" s="50">
        <v>6141.772355288359</v>
      </c>
      <c r="F39" s="50">
        <v>6315.3339056602763</v>
      </c>
      <c r="G39" s="50">
        <v>6679.742139478778</v>
      </c>
      <c r="H39" s="50">
        <v>6464.2465004892965</v>
      </c>
      <c r="I39" s="50">
        <v>6708.9095939773069</v>
      </c>
      <c r="J39" s="50">
        <v>6934.3103060107287</v>
      </c>
      <c r="K39" s="50">
        <v>9975.6404449967613</v>
      </c>
      <c r="L39" s="50">
        <v>9598.7430346539622</v>
      </c>
      <c r="M39" s="50">
        <v>9177.5824383751005</v>
      </c>
      <c r="N39" s="50">
        <v>8294.5120768521883</v>
      </c>
      <c r="O39" s="49">
        <v>10882.21445247036</v>
      </c>
      <c r="P39" s="117">
        <v>11452.87522895875</v>
      </c>
    </row>
    <row r="40" spans="1:16" x14ac:dyDescent="0.25">
      <c r="A40" s="42"/>
      <c r="B40" s="42"/>
      <c r="C40" s="51" t="s">
        <v>131</v>
      </c>
      <c r="D40" s="52">
        <v>20934.727780842866</v>
      </c>
      <c r="E40" s="35">
        <v>21444.989568940804</v>
      </c>
      <c r="F40" s="35">
        <v>21384.846859378795</v>
      </c>
      <c r="G40" s="35">
        <v>21507.129125901909</v>
      </c>
      <c r="H40" s="35">
        <v>21628.569472639552</v>
      </c>
      <c r="I40" s="35">
        <v>20782.709501287769</v>
      </c>
      <c r="J40" s="35">
        <v>20239.310532117343</v>
      </c>
      <c r="K40" s="35">
        <v>20107.662692217324</v>
      </c>
      <c r="L40" s="35">
        <v>20617.847625253075</v>
      </c>
      <c r="M40" s="35">
        <v>20364.727206824555</v>
      </c>
      <c r="N40" s="35">
        <v>19377.580955230762</v>
      </c>
      <c r="O40" s="52">
        <v>24005.972983888201</v>
      </c>
      <c r="P40" s="118">
        <v>25819.277316146683</v>
      </c>
    </row>
    <row r="41" spans="1:16" x14ac:dyDescent="0.25">
      <c r="A41" s="42"/>
      <c r="B41" s="43" t="s">
        <v>139</v>
      </c>
      <c r="C41" s="40"/>
      <c r="D41" s="49">
        <v>27530.946540089226</v>
      </c>
      <c r="E41" s="50">
        <v>27586.761924229162</v>
      </c>
      <c r="F41" s="50">
        <v>27700.180765039069</v>
      </c>
      <c r="G41" s="50">
        <v>28186.871265380687</v>
      </c>
      <c r="H41" s="50">
        <v>28092.815973128847</v>
      </c>
      <c r="I41" s="50">
        <v>27491.619095265076</v>
      </c>
      <c r="J41" s="50">
        <v>27173.62083812807</v>
      </c>
      <c r="K41" s="50">
        <v>30083.303137214083</v>
      </c>
      <c r="L41" s="50">
        <v>30216.590659907037</v>
      </c>
      <c r="M41" s="50">
        <v>29542.309645199653</v>
      </c>
      <c r="N41" s="50">
        <v>27672.09303208295</v>
      </c>
      <c r="O41" s="49">
        <v>34888.187436358559</v>
      </c>
      <c r="P41" s="117">
        <v>37272.152545105433</v>
      </c>
    </row>
    <row r="42" spans="1:16" ht="13" x14ac:dyDescent="0.3">
      <c r="A42" s="71" t="s">
        <v>139</v>
      </c>
      <c r="B42" s="72"/>
      <c r="C42" s="72"/>
      <c r="D42" s="73">
        <v>27530.946540089226</v>
      </c>
      <c r="E42" s="74">
        <v>27586.761924229162</v>
      </c>
      <c r="F42" s="74">
        <v>27700.180765039069</v>
      </c>
      <c r="G42" s="74">
        <v>28186.871265380687</v>
      </c>
      <c r="H42" s="74">
        <v>28092.815973128847</v>
      </c>
      <c r="I42" s="74">
        <v>27491.619095265076</v>
      </c>
      <c r="J42" s="74">
        <v>27173.62083812807</v>
      </c>
      <c r="K42" s="74">
        <v>30083.303137214083</v>
      </c>
      <c r="L42" s="74">
        <v>30216.590659907037</v>
      </c>
      <c r="M42" s="74">
        <v>29542.309645199653</v>
      </c>
      <c r="N42" s="74">
        <v>27672.09303208295</v>
      </c>
      <c r="O42" s="73">
        <v>34888.187436358559</v>
      </c>
      <c r="P42" s="122">
        <v>37272.152545105433</v>
      </c>
    </row>
    <row r="43" spans="1:16" x14ac:dyDescent="0.25">
      <c r="A43" s="43" t="s">
        <v>140</v>
      </c>
      <c r="B43" s="43" t="s">
        <v>140</v>
      </c>
      <c r="C43" s="43" t="s">
        <v>130</v>
      </c>
      <c r="D43" s="49">
        <v>1501.5310000000002</v>
      </c>
      <c r="E43" s="50">
        <v>1749.7723699999999</v>
      </c>
      <c r="F43" s="50">
        <v>1651.70885</v>
      </c>
      <c r="G43" s="50">
        <v>1566.5131200000001</v>
      </c>
      <c r="H43" s="50">
        <v>1627.9697100000001</v>
      </c>
      <c r="I43" s="50">
        <v>1682.1346099999998</v>
      </c>
      <c r="J43" s="50">
        <v>1697.91776</v>
      </c>
      <c r="K43" s="50">
        <v>2472.1552500000003</v>
      </c>
      <c r="L43" s="50">
        <v>2946.9572899999998</v>
      </c>
      <c r="M43" s="50">
        <v>2108.3327400000007</v>
      </c>
      <c r="N43" s="50">
        <v>3107.6799300000007</v>
      </c>
      <c r="O43" s="49">
        <v>3700.4680899999998</v>
      </c>
      <c r="P43" s="117">
        <v>3833.5098999999996</v>
      </c>
    </row>
    <row r="44" spans="1:16" x14ac:dyDescent="0.25">
      <c r="A44" s="42"/>
      <c r="B44" s="42"/>
      <c r="C44" s="51" t="s">
        <v>131</v>
      </c>
      <c r="D44" s="52">
        <v>4580.2597199999991</v>
      </c>
      <c r="E44" s="35">
        <v>4899.4402699999991</v>
      </c>
      <c r="F44" s="35">
        <v>4707.872089999998</v>
      </c>
      <c r="G44" s="35">
        <v>4370.0991699999986</v>
      </c>
      <c r="H44" s="35">
        <v>3846.77655</v>
      </c>
      <c r="I44" s="35">
        <v>3980.8269799999998</v>
      </c>
      <c r="J44" s="35">
        <v>3887.5400600000003</v>
      </c>
      <c r="K44" s="35">
        <v>4134.9775300000001</v>
      </c>
      <c r="L44" s="35">
        <v>3629.94227</v>
      </c>
      <c r="M44" s="35">
        <v>3184.9933299999998</v>
      </c>
      <c r="N44" s="35">
        <v>5278.6992599999994</v>
      </c>
      <c r="O44" s="52">
        <v>5604.7784600000005</v>
      </c>
      <c r="P44" s="118">
        <v>4847.5142999999998</v>
      </c>
    </row>
    <row r="45" spans="1:16" x14ac:dyDescent="0.25">
      <c r="A45" s="42"/>
      <c r="B45" s="43" t="s">
        <v>141</v>
      </c>
      <c r="C45" s="40"/>
      <c r="D45" s="49">
        <v>6081.7907199999991</v>
      </c>
      <c r="E45" s="50">
        <v>6649.2126399999988</v>
      </c>
      <c r="F45" s="50">
        <v>6359.580939999998</v>
      </c>
      <c r="G45" s="50">
        <v>5936.6122899999991</v>
      </c>
      <c r="H45" s="50">
        <v>5474.7462599999999</v>
      </c>
      <c r="I45" s="50">
        <v>5662.9615899999999</v>
      </c>
      <c r="J45" s="50">
        <v>5585.4578200000005</v>
      </c>
      <c r="K45" s="50">
        <v>6607.1327799999999</v>
      </c>
      <c r="L45" s="50">
        <v>6576.8995599999998</v>
      </c>
      <c r="M45" s="50">
        <v>5293.326070000001</v>
      </c>
      <c r="N45" s="50">
        <v>8386.3791899999997</v>
      </c>
      <c r="O45" s="49">
        <v>9305.2465499999998</v>
      </c>
      <c r="P45" s="117">
        <v>8681.0241999999998</v>
      </c>
    </row>
    <row r="46" spans="1:16" ht="13" x14ac:dyDescent="0.3">
      <c r="A46" s="71" t="s">
        <v>141</v>
      </c>
      <c r="B46" s="72"/>
      <c r="C46" s="72"/>
      <c r="D46" s="73">
        <v>6081.7907199999991</v>
      </c>
      <c r="E46" s="74">
        <v>6649.2126399999988</v>
      </c>
      <c r="F46" s="74">
        <v>6359.580939999998</v>
      </c>
      <c r="G46" s="74">
        <v>5936.6122899999991</v>
      </c>
      <c r="H46" s="74">
        <v>5474.7462599999999</v>
      </c>
      <c r="I46" s="74">
        <v>5662.9615899999999</v>
      </c>
      <c r="J46" s="74">
        <v>5585.4578200000005</v>
      </c>
      <c r="K46" s="74">
        <v>6607.1327799999999</v>
      </c>
      <c r="L46" s="74">
        <v>6576.8995599999998</v>
      </c>
      <c r="M46" s="74">
        <v>5293.326070000001</v>
      </c>
      <c r="N46" s="74">
        <v>8386.3791899999997</v>
      </c>
      <c r="O46" s="73">
        <v>9305.2465499999998</v>
      </c>
      <c r="P46" s="122">
        <v>8681.0241999999998</v>
      </c>
    </row>
    <row r="47" spans="1:16" ht="13" x14ac:dyDescent="0.3">
      <c r="A47" s="55" t="s">
        <v>20</v>
      </c>
      <c r="B47" s="70"/>
      <c r="C47" s="70"/>
      <c r="D47" s="56">
        <v>144389.47340573679</v>
      </c>
      <c r="E47" s="57">
        <v>158406.91755822176</v>
      </c>
      <c r="F47" s="57">
        <v>153136.96114247749</v>
      </c>
      <c r="G47" s="57">
        <v>147179.29928377576</v>
      </c>
      <c r="H47" s="57">
        <v>142412.11353529902</v>
      </c>
      <c r="I47" s="57">
        <v>140478.93667554442</v>
      </c>
      <c r="J47" s="57">
        <v>144332.46067649237</v>
      </c>
      <c r="K47" s="57">
        <v>166937.90867318082</v>
      </c>
      <c r="L47" s="57">
        <v>179324.56288426666</v>
      </c>
      <c r="M47" s="57">
        <v>176543.28348560751</v>
      </c>
      <c r="N47" s="57">
        <v>207361.33362255653</v>
      </c>
      <c r="O47" s="56">
        <v>194218.68099104782</v>
      </c>
      <c r="P47" s="119">
        <v>189631.21544179445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8"/>
  <dimension ref="A2:P66"/>
  <sheetViews>
    <sheetView showGridLines="0" topLeftCell="A10" zoomScale="80" zoomScaleNormal="80" workbookViewId="0">
      <selection activeCell="D25" sqref="D25"/>
    </sheetView>
  </sheetViews>
  <sheetFormatPr defaultRowHeight="12.5" x14ac:dyDescent="0.25"/>
  <cols>
    <col min="1" max="1" width="13.6328125" customWidth="1"/>
    <col min="2" max="2" width="17" customWidth="1"/>
    <col min="3" max="3" width="20.54296875" bestFit="1" customWidth="1"/>
    <col min="4" max="17" width="9.1796875" bestFit="1" customWidth="1"/>
    <col min="18" max="18" width="7.1796875" bestFit="1" customWidth="1"/>
  </cols>
  <sheetData>
    <row r="2" spans="1:2" x14ac:dyDescent="0.25">
      <c r="A2" s="46" t="s">
        <v>4</v>
      </c>
      <c r="B2" s="47" t="s">
        <v>2</v>
      </c>
    </row>
    <row r="3" spans="1:2" x14ac:dyDescent="0.25">
      <c r="A3" s="46" t="s">
        <v>5</v>
      </c>
      <c r="B3" s="47" t="s">
        <v>2</v>
      </c>
    </row>
    <row r="4" spans="1:2" x14ac:dyDescent="0.25">
      <c r="A4" s="46" t="s">
        <v>105</v>
      </c>
      <c r="B4" s="47" t="s">
        <v>2</v>
      </c>
    </row>
    <row r="5" spans="1:2" x14ac:dyDescent="0.25">
      <c r="A5" s="46" t="s">
        <v>108</v>
      </c>
      <c r="B5" s="47" t="s">
        <v>2</v>
      </c>
    </row>
    <row r="6" spans="1:2" x14ac:dyDescent="0.25">
      <c r="A6" s="46" t="s">
        <v>109</v>
      </c>
      <c r="B6" s="47" t="s">
        <v>2</v>
      </c>
    </row>
    <row r="7" spans="1:2" x14ac:dyDescent="0.25">
      <c r="A7" s="46" t="s">
        <v>18</v>
      </c>
      <c r="B7" s="47" t="s">
        <v>2</v>
      </c>
    </row>
    <row r="8" spans="1:2" x14ac:dyDescent="0.25">
      <c r="A8" s="46" t="s">
        <v>19</v>
      </c>
      <c r="B8" s="47" t="s">
        <v>2</v>
      </c>
    </row>
    <row r="9" spans="1:2" x14ac:dyDescent="0.25">
      <c r="A9" s="46" t="s">
        <v>121</v>
      </c>
      <c r="B9" s="47" t="s">
        <v>2</v>
      </c>
    </row>
    <row r="10" spans="1:2" x14ac:dyDescent="0.25">
      <c r="A10" s="46" t="s">
        <v>8</v>
      </c>
      <c r="B10" s="47" t="s">
        <v>2</v>
      </c>
    </row>
    <row r="11" spans="1:2" x14ac:dyDescent="0.25">
      <c r="A11" s="46" t="s">
        <v>9</v>
      </c>
      <c r="B11" s="47" t="s">
        <v>2</v>
      </c>
    </row>
    <row r="12" spans="1:2" x14ac:dyDescent="0.25">
      <c r="A12" s="46" t="s">
        <v>10</v>
      </c>
      <c r="B12" s="47" t="s">
        <v>68</v>
      </c>
    </row>
    <row r="13" spans="1:2" ht="13" x14ac:dyDescent="0.3">
      <c r="A13" s="61" t="s">
        <v>11</v>
      </c>
      <c r="B13" s="54" t="s">
        <v>2</v>
      </c>
    </row>
    <row r="14" spans="1:2" x14ac:dyDescent="0.25">
      <c r="A14" s="46" t="s">
        <v>12</v>
      </c>
      <c r="B14" s="47" t="s">
        <v>2</v>
      </c>
    </row>
    <row r="15" spans="1:2" x14ac:dyDescent="0.25">
      <c r="A15" s="46" t="s">
        <v>13</v>
      </c>
      <c r="B15" s="47" t="s">
        <v>2</v>
      </c>
    </row>
    <row r="16" spans="1:2" x14ac:dyDescent="0.25">
      <c r="A16" s="46" t="s">
        <v>14</v>
      </c>
      <c r="B16" s="47" t="s">
        <v>2</v>
      </c>
    </row>
    <row r="17" spans="1:16" x14ac:dyDescent="0.25">
      <c r="A17" s="46" t="s">
        <v>15</v>
      </c>
      <c r="B17" s="47" t="s">
        <v>2</v>
      </c>
    </row>
    <row r="18" spans="1:16" x14ac:dyDescent="0.25">
      <c r="A18" s="46" t="s">
        <v>6</v>
      </c>
      <c r="B18" s="47" t="s">
        <v>21</v>
      </c>
    </row>
    <row r="19" spans="1:16" x14ac:dyDescent="0.25">
      <c r="A19" s="46" t="s">
        <v>7</v>
      </c>
      <c r="B19" s="47" t="s">
        <v>2</v>
      </c>
    </row>
    <row r="20" spans="1:16" x14ac:dyDescent="0.25">
      <c r="A20" s="46" t="s">
        <v>104</v>
      </c>
      <c r="B20" s="47" t="s">
        <v>2</v>
      </c>
    </row>
    <row r="21" spans="1:16" x14ac:dyDescent="0.25">
      <c r="A21" s="46" t="s">
        <v>125</v>
      </c>
      <c r="B21" s="47" t="s">
        <v>2</v>
      </c>
    </row>
    <row r="23" spans="1:16" x14ac:dyDescent="0.25">
      <c r="A23" s="39" t="s">
        <v>0</v>
      </c>
      <c r="B23" s="40"/>
      <c r="C23" s="40"/>
      <c r="D23" s="39" t="s">
        <v>1</v>
      </c>
      <c r="E23" s="48" t="s">
        <v>3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/>
    </row>
    <row r="24" spans="1:16" x14ac:dyDescent="0.25">
      <c r="A24" s="42"/>
      <c r="B24" s="12"/>
      <c r="C24" s="12"/>
      <c r="D24" s="68" t="s">
        <v>135</v>
      </c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5" t="s">
        <v>155</v>
      </c>
      <c r="P24" s="121"/>
    </row>
    <row r="25" spans="1:16" ht="13" x14ac:dyDescent="0.3">
      <c r="A25" s="67" t="s">
        <v>106</v>
      </c>
      <c r="B25" s="67" t="s">
        <v>107</v>
      </c>
      <c r="C25" s="67" t="s">
        <v>22</v>
      </c>
      <c r="D25" s="62" t="s">
        <v>137</v>
      </c>
      <c r="E25" s="63" t="s">
        <v>144</v>
      </c>
      <c r="F25" s="63" t="s">
        <v>145</v>
      </c>
      <c r="G25" s="63" t="s">
        <v>146</v>
      </c>
      <c r="H25" s="63" t="s">
        <v>147</v>
      </c>
      <c r="I25" s="63" t="s">
        <v>148</v>
      </c>
      <c r="J25" s="63" t="s">
        <v>149</v>
      </c>
      <c r="K25" s="63" t="s">
        <v>150</v>
      </c>
      <c r="L25" s="63" t="s">
        <v>152</v>
      </c>
      <c r="M25" s="63" t="s">
        <v>153</v>
      </c>
      <c r="N25" s="63" t="s">
        <v>154</v>
      </c>
      <c r="O25" s="62" t="s">
        <v>156</v>
      </c>
      <c r="P25" s="64" t="s">
        <v>158</v>
      </c>
    </row>
    <row r="26" spans="1:16" x14ac:dyDescent="0.25">
      <c r="A26" s="43" t="s">
        <v>110</v>
      </c>
      <c r="B26" s="43" t="s">
        <v>59</v>
      </c>
      <c r="C26" s="43" t="s">
        <v>71</v>
      </c>
      <c r="D26" s="49">
        <v>125.481889571506</v>
      </c>
      <c r="E26" s="50">
        <v>125.4818895715058</v>
      </c>
      <c r="F26" s="50">
        <v>142.4962915930096</v>
      </c>
      <c r="G26" s="50">
        <v>389.3849528080429</v>
      </c>
      <c r="H26" s="50">
        <v>298.4308822113224</v>
      </c>
      <c r="I26" s="50">
        <v>173.53099877479042</v>
      </c>
      <c r="J26" s="50">
        <v>141.94113707337695</v>
      </c>
      <c r="K26" s="50"/>
      <c r="L26" s="50">
        <v>98.94030110708654</v>
      </c>
      <c r="M26" s="50">
        <v>65.325005336549339</v>
      </c>
      <c r="N26" s="50"/>
      <c r="O26" s="49">
        <v>14.882802468571541</v>
      </c>
      <c r="P26" s="117">
        <v>9.5678674033962405</v>
      </c>
    </row>
    <row r="27" spans="1:16" x14ac:dyDescent="0.25">
      <c r="A27" s="42"/>
      <c r="B27" s="42"/>
      <c r="C27" s="51" t="s">
        <v>74</v>
      </c>
      <c r="D27" s="52">
        <v>364.15326414153435</v>
      </c>
      <c r="E27" s="35">
        <v>807.05723347005335</v>
      </c>
      <c r="F27" s="35">
        <v>806.20651567863581</v>
      </c>
      <c r="G27" s="35">
        <v>1092.1874727360241</v>
      </c>
      <c r="H27" s="35">
        <v>1124.1256693658058</v>
      </c>
      <c r="I27" s="35">
        <v>1087.5937266962105</v>
      </c>
      <c r="J27" s="35">
        <v>841.40816596108641</v>
      </c>
      <c r="K27" s="35">
        <v>354.74740491067132</v>
      </c>
      <c r="L27" s="35">
        <v>586.82491770456556</v>
      </c>
      <c r="M27" s="35">
        <v>598.95225978317978</v>
      </c>
      <c r="N27" s="35">
        <v>597.63988555004096</v>
      </c>
      <c r="O27" s="52">
        <v>572.07483569276064</v>
      </c>
      <c r="P27" s="118">
        <v>762.61517271095454</v>
      </c>
    </row>
    <row r="28" spans="1:16" x14ac:dyDescent="0.25">
      <c r="A28" s="42"/>
      <c r="B28" s="42"/>
      <c r="C28" s="51" t="s">
        <v>70</v>
      </c>
      <c r="D28" s="52">
        <v>724.45001730802346</v>
      </c>
      <c r="E28" s="35">
        <v>803.97772896506945</v>
      </c>
      <c r="F28" s="35">
        <v>802.12453878100609</v>
      </c>
      <c r="G28" s="35">
        <v>695.49480871884623</v>
      </c>
      <c r="H28" s="35">
        <v>713.789804505044</v>
      </c>
      <c r="I28" s="35">
        <v>636.40030630369108</v>
      </c>
      <c r="J28" s="35">
        <v>532.84315529931064</v>
      </c>
      <c r="K28" s="35">
        <v>192.40373619778137</v>
      </c>
      <c r="L28" s="35">
        <v>206.11340787057375</v>
      </c>
      <c r="M28" s="35">
        <v>250.43960306437191</v>
      </c>
      <c r="N28" s="35">
        <v>248.19196502754494</v>
      </c>
      <c r="O28" s="52">
        <v>230.69544603847726</v>
      </c>
      <c r="P28" s="118">
        <v>312.8383134424904</v>
      </c>
    </row>
    <row r="29" spans="1:16" x14ac:dyDescent="0.25">
      <c r="A29" s="42"/>
      <c r="B29" s="42"/>
      <c r="C29" s="51" t="s">
        <v>72</v>
      </c>
      <c r="D29" s="52">
        <v>996.83788438828299</v>
      </c>
      <c r="E29" s="35">
        <v>1294.8107084450276</v>
      </c>
      <c r="F29" s="35">
        <v>1232.9483967298513</v>
      </c>
      <c r="G29" s="35">
        <v>1373.1624850038677</v>
      </c>
      <c r="H29" s="35">
        <v>1291.6259089044354</v>
      </c>
      <c r="I29" s="35">
        <v>1131.2407949530407</v>
      </c>
      <c r="J29" s="35">
        <v>960.41544888034468</v>
      </c>
      <c r="K29" s="35">
        <v>696.86002127492634</v>
      </c>
      <c r="L29" s="35">
        <v>841.16494486492945</v>
      </c>
      <c r="M29" s="35">
        <v>749.60925086886539</v>
      </c>
      <c r="N29" s="35">
        <v>682.04859730687406</v>
      </c>
      <c r="O29" s="52">
        <v>512.53917013983801</v>
      </c>
      <c r="P29" s="118">
        <v>459.73482067436095</v>
      </c>
    </row>
    <row r="30" spans="1:16" x14ac:dyDescent="0.25">
      <c r="A30" s="42"/>
      <c r="B30" s="42"/>
      <c r="C30" s="51" t="s">
        <v>73</v>
      </c>
      <c r="D30" s="52">
        <v>304.84601227225602</v>
      </c>
      <c r="E30" s="35">
        <v>359.51352147512398</v>
      </c>
      <c r="F30" s="35">
        <v>359.51352147512398</v>
      </c>
      <c r="G30" s="35">
        <v>282.93106748681203</v>
      </c>
      <c r="H30" s="35">
        <v>282.93106748681203</v>
      </c>
      <c r="I30" s="35">
        <v>282.93106748681254</v>
      </c>
      <c r="J30" s="35">
        <v>282.93106748681254</v>
      </c>
      <c r="K30" s="35">
        <v>140.585300614565</v>
      </c>
      <c r="L30" s="35">
        <v>140.585300614565</v>
      </c>
      <c r="M30" s="35">
        <v>140.585300614565</v>
      </c>
      <c r="N30" s="35">
        <v>140.585300614565</v>
      </c>
      <c r="O30" s="52">
        <v>49.230961326385298</v>
      </c>
      <c r="P30" s="118">
        <v>49.230961326385298</v>
      </c>
    </row>
    <row r="31" spans="1:16" x14ac:dyDescent="0.25">
      <c r="A31" s="42"/>
      <c r="B31" s="43" t="s">
        <v>60</v>
      </c>
      <c r="C31" s="40"/>
      <c r="D31" s="49">
        <v>2515.7690676816028</v>
      </c>
      <c r="E31" s="50">
        <v>3390.8410819267801</v>
      </c>
      <c r="F31" s="50">
        <v>3343.2892642576267</v>
      </c>
      <c r="G31" s="50">
        <v>3833.1607867535931</v>
      </c>
      <c r="H31" s="50">
        <v>3710.9033324734191</v>
      </c>
      <c r="I31" s="50">
        <v>3311.6968942145454</v>
      </c>
      <c r="J31" s="50">
        <v>2759.5389747009312</v>
      </c>
      <c r="K31" s="50">
        <v>1384.5964629979442</v>
      </c>
      <c r="L31" s="50">
        <v>1873.6288721617204</v>
      </c>
      <c r="M31" s="50">
        <v>1804.9114196675316</v>
      </c>
      <c r="N31" s="50">
        <v>1668.465748499025</v>
      </c>
      <c r="O31" s="49">
        <v>1379.4232156660328</v>
      </c>
      <c r="P31" s="117">
        <v>1593.9871355575874</v>
      </c>
    </row>
    <row r="32" spans="1:16" x14ac:dyDescent="0.25">
      <c r="A32" s="42"/>
      <c r="B32" s="43" t="s">
        <v>63</v>
      </c>
      <c r="C32" s="43" t="s">
        <v>71</v>
      </c>
      <c r="D32" s="49">
        <v>891.53901145663485</v>
      </c>
      <c r="E32" s="50">
        <v>958.69332863797229</v>
      </c>
      <c r="F32" s="50">
        <v>901.16458194082441</v>
      </c>
      <c r="G32" s="50">
        <v>747.82063857092146</v>
      </c>
      <c r="H32" s="50">
        <v>744.63922627393549</v>
      </c>
      <c r="I32" s="50">
        <v>685.13193897092378</v>
      </c>
      <c r="J32" s="50">
        <v>660.62310100218849</v>
      </c>
      <c r="K32" s="50">
        <v>800.95492787384114</v>
      </c>
      <c r="L32" s="50">
        <v>792.20347356663888</v>
      </c>
      <c r="M32" s="50">
        <v>788.37392117231911</v>
      </c>
      <c r="N32" s="50">
        <v>715.20508029776499</v>
      </c>
      <c r="O32" s="49">
        <v>640.17823567247865</v>
      </c>
      <c r="P32" s="117">
        <v>700.39755081008207</v>
      </c>
    </row>
    <row r="33" spans="1:16" x14ac:dyDescent="0.25">
      <c r="A33" s="42"/>
      <c r="B33" s="42"/>
      <c r="C33" s="51" t="s">
        <v>74</v>
      </c>
      <c r="D33" s="52">
        <v>6340.3117587589059</v>
      </c>
      <c r="E33" s="35">
        <v>6779.2238805684783</v>
      </c>
      <c r="F33" s="35">
        <v>6571.8880965243134</v>
      </c>
      <c r="G33" s="35">
        <v>5011.9361159943874</v>
      </c>
      <c r="H33" s="35">
        <v>5417.3263054190502</v>
      </c>
      <c r="I33" s="35">
        <v>5038.9058979109986</v>
      </c>
      <c r="J33" s="35">
        <v>4753.7570791642493</v>
      </c>
      <c r="K33" s="35">
        <v>6672.8402679239562</v>
      </c>
      <c r="L33" s="35">
        <v>7563.9233489335093</v>
      </c>
      <c r="M33" s="35">
        <v>7427.1931218512673</v>
      </c>
      <c r="N33" s="35">
        <v>13631.062916902876</v>
      </c>
      <c r="O33" s="52">
        <v>12516.137048299483</v>
      </c>
      <c r="P33" s="118">
        <v>8870.2141678460866</v>
      </c>
    </row>
    <row r="34" spans="1:16" x14ac:dyDescent="0.25">
      <c r="A34" s="42"/>
      <c r="B34" s="42"/>
      <c r="C34" s="51" t="s">
        <v>70</v>
      </c>
      <c r="D34" s="52">
        <v>1671.269886307927</v>
      </c>
      <c r="E34" s="35">
        <v>1957.0535404265604</v>
      </c>
      <c r="F34" s="35">
        <v>1791.5498175332248</v>
      </c>
      <c r="G34" s="35">
        <v>1286.1152678006226</v>
      </c>
      <c r="H34" s="35">
        <v>1722.8209077758745</v>
      </c>
      <c r="I34" s="35">
        <v>1690.8394078703827</v>
      </c>
      <c r="J34" s="35">
        <v>1553.2320730078006</v>
      </c>
      <c r="K34" s="35">
        <v>1511.3705147761734</v>
      </c>
      <c r="L34" s="35">
        <v>1823.4839824255366</v>
      </c>
      <c r="M34" s="35">
        <v>1850.6634820328211</v>
      </c>
      <c r="N34" s="35">
        <v>8748.4947659939953</v>
      </c>
      <c r="O34" s="52">
        <v>8072.9718284018891</v>
      </c>
      <c r="P34" s="118">
        <v>4875.0631132253448</v>
      </c>
    </row>
    <row r="35" spans="1:16" x14ac:dyDescent="0.25">
      <c r="A35" s="42"/>
      <c r="B35" s="42"/>
      <c r="C35" s="51" t="s">
        <v>72</v>
      </c>
      <c r="D35" s="52">
        <v>2337.5857457070588</v>
      </c>
      <c r="E35" s="35">
        <v>2414.1900091882694</v>
      </c>
      <c r="F35" s="35">
        <v>2267.2937422135028</v>
      </c>
      <c r="G35" s="35">
        <v>1962.6382866860026</v>
      </c>
      <c r="H35" s="35">
        <v>2293.5918836975038</v>
      </c>
      <c r="I35" s="35">
        <v>1982.4613007243829</v>
      </c>
      <c r="J35" s="35">
        <v>1896.2081077353566</v>
      </c>
      <c r="K35" s="35">
        <v>2312.9080322040004</v>
      </c>
      <c r="L35" s="35">
        <v>2343.3293940663284</v>
      </c>
      <c r="M35" s="35">
        <v>2451.9218547966129</v>
      </c>
      <c r="N35" s="35">
        <v>2607.1530221310823</v>
      </c>
      <c r="O35" s="52">
        <v>2380.5251782805481</v>
      </c>
      <c r="P35" s="118">
        <v>2030.3209448877985</v>
      </c>
    </row>
    <row r="36" spans="1:16" x14ac:dyDescent="0.25">
      <c r="A36" s="42"/>
      <c r="B36" s="42"/>
      <c r="C36" s="51" t="s">
        <v>73</v>
      </c>
      <c r="D36" s="52">
        <v>6148.0314657939189</v>
      </c>
      <c r="E36" s="35">
        <v>6033.4881555977436</v>
      </c>
      <c r="F36" s="35">
        <v>5943.8034579872174</v>
      </c>
      <c r="G36" s="35">
        <v>4864.8753561195817</v>
      </c>
      <c r="H36" s="35">
        <v>4806.2719586028898</v>
      </c>
      <c r="I36" s="35">
        <v>5392.7176392834845</v>
      </c>
      <c r="J36" s="35">
        <v>5760.7647322408293</v>
      </c>
      <c r="K36" s="35">
        <v>11811.660990015253</v>
      </c>
      <c r="L36" s="35">
        <v>12437.982952225397</v>
      </c>
      <c r="M36" s="35">
        <v>12315.197165629928</v>
      </c>
      <c r="N36" s="35">
        <v>6508.4270690186913</v>
      </c>
      <c r="O36" s="52">
        <v>6497.168642724343</v>
      </c>
      <c r="P36" s="118">
        <v>6055.9287449682251</v>
      </c>
    </row>
    <row r="37" spans="1:16" x14ac:dyDescent="0.25">
      <c r="A37" s="42"/>
      <c r="B37" s="43" t="s">
        <v>64</v>
      </c>
      <c r="C37" s="40"/>
      <c r="D37" s="49">
        <v>17388.737868024447</v>
      </c>
      <c r="E37" s="50">
        <v>18142.648914419024</v>
      </c>
      <c r="F37" s="50">
        <v>17475.699696199084</v>
      </c>
      <c r="G37" s="50">
        <v>13873.385665171518</v>
      </c>
      <c r="H37" s="50">
        <v>14984.650281769253</v>
      </c>
      <c r="I37" s="50">
        <v>14790.056184760171</v>
      </c>
      <c r="J37" s="50">
        <v>14624.585093150425</v>
      </c>
      <c r="K37" s="50">
        <v>23109.734732793222</v>
      </c>
      <c r="L37" s="50">
        <v>24960.923151217408</v>
      </c>
      <c r="M37" s="50">
        <v>24833.34954548295</v>
      </c>
      <c r="N37" s="50">
        <v>32210.34285434441</v>
      </c>
      <c r="O37" s="49">
        <v>30106.980933378745</v>
      </c>
      <c r="P37" s="117">
        <v>22531.924521737536</v>
      </c>
    </row>
    <row r="38" spans="1:16" x14ac:dyDescent="0.25">
      <c r="A38" s="42"/>
      <c r="B38" s="43" t="s">
        <v>116</v>
      </c>
      <c r="C38" s="43" t="s">
        <v>71</v>
      </c>
      <c r="D38" s="49">
        <v>742.39168342847768</v>
      </c>
      <c r="E38" s="50">
        <v>697.63337358039689</v>
      </c>
      <c r="F38" s="50">
        <v>1304.8313712666175</v>
      </c>
      <c r="G38" s="50">
        <v>650.88029031152485</v>
      </c>
      <c r="H38" s="50">
        <v>1149.2870809483525</v>
      </c>
      <c r="I38" s="50">
        <v>1194.7162242890411</v>
      </c>
      <c r="J38" s="50">
        <v>661.9389833455449</v>
      </c>
      <c r="K38" s="50">
        <v>693.7916463013006</v>
      </c>
      <c r="L38" s="50">
        <v>578.87237931883976</v>
      </c>
      <c r="M38" s="50">
        <v>888.22693639545616</v>
      </c>
      <c r="N38" s="50">
        <v>845.86266116612342</v>
      </c>
      <c r="O38" s="49">
        <v>750.25297218115725</v>
      </c>
      <c r="P38" s="117">
        <v>1047.7081437351296</v>
      </c>
    </row>
    <row r="39" spans="1:16" x14ac:dyDescent="0.25">
      <c r="A39" s="42"/>
      <c r="B39" s="42"/>
      <c r="C39" s="51" t="s">
        <v>74</v>
      </c>
      <c r="D39" s="52">
        <v>1750.5594522143272</v>
      </c>
      <c r="E39" s="35">
        <v>1657.0950162833465</v>
      </c>
      <c r="F39" s="35">
        <v>1772.7408967532272</v>
      </c>
      <c r="G39" s="35">
        <v>2025.0425956232727</v>
      </c>
      <c r="H39" s="35">
        <v>1304.6110780476206</v>
      </c>
      <c r="I39" s="35">
        <v>1302.6397825603181</v>
      </c>
      <c r="J39" s="35">
        <v>2441.1347700635938</v>
      </c>
      <c r="K39" s="35">
        <v>2244.998109174715</v>
      </c>
      <c r="L39" s="35">
        <v>2205.5145264163466</v>
      </c>
      <c r="M39" s="35">
        <v>2740.799686630417</v>
      </c>
      <c r="N39" s="35">
        <v>1126.6706756603708</v>
      </c>
      <c r="O39" s="52">
        <v>1076.2052194954172</v>
      </c>
      <c r="P39" s="118">
        <v>1201.4015584695621</v>
      </c>
    </row>
    <row r="40" spans="1:16" x14ac:dyDescent="0.25">
      <c r="A40" s="42"/>
      <c r="B40" s="42"/>
      <c r="C40" s="51" t="s">
        <v>70</v>
      </c>
      <c r="D40" s="52">
        <v>2499.458231180432</v>
      </c>
      <c r="E40" s="35">
        <v>2396.9963897519256</v>
      </c>
      <c r="F40" s="35">
        <v>2544.4605738265254</v>
      </c>
      <c r="G40" s="35">
        <v>2585.7910995004941</v>
      </c>
      <c r="H40" s="35">
        <v>2467.3222023354924</v>
      </c>
      <c r="I40" s="35">
        <v>2492.4753722153077</v>
      </c>
      <c r="J40" s="35">
        <v>3563.6052686209928</v>
      </c>
      <c r="K40" s="35">
        <v>2420.4218246351325</v>
      </c>
      <c r="L40" s="35">
        <v>2598.2409843219862</v>
      </c>
      <c r="M40" s="35">
        <v>2726.9468717770919</v>
      </c>
      <c r="N40" s="35">
        <v>1730.476832361242</v>
      </c>
      <c r="O40" s="52">
        <v>1456.3459628127787</v>
      </c>
      <c r="P40" s="118">
        <v>1554.2376282892596</v>
      </c>
    </row>
    <row r="41" spans="1:16" x14ac:dyDescent="0.25">
      <c r="A41" s="42"/>
      <c r="B41" s="42"/>
      <c r="C41" s="51" t="s">
        <v>72</v>
      </c>
      <c r="D41" s="52">
        <v>1676.4154170926054</v>
      </c>
      <c r="E41" s="35">
        <v>1721.8024068845195</v>
      </c>
      <c r="F41" s="35">
        <v>1937.7244713202501</v>
      </c>
      <c r="G41" s="35">
        <v>1689.1994384324551</v>
      </c>
      <c r="H41" s="35">
        <v>1729.4614890105495</v>
      </c>
      <c r="I41" s="35">
        <v>1650.5646655579897</v>
      </c>
      <c r="J41" s="35">
        <v>1843.1185695084057</v>
      </c>
      <c r="K41" s="35">
        <v>1807.3232290888002</v>
      </c>
      <c r="L41" s="35">
        <v>1615.7036881366316</v>
      </c>
      <c r="M41" s="35">
        <v>1854.8223458753662</v>
      </c>
      <c r="N41" s="35">
        <v>1859.3276417120983</v>
      </c>
      <c r="O41" s="52">
        <v>1618.420914136138</v>
      </c>
      <c r="P41" s="118">
        <v>1768.3218331152918</v>
      </c>
    </row>
    <row r="42" spans="1:16" x14ac:dyDescent="0.25">
      <c r="A42" s="42"/>
      <c r="B42" s="42"/>
      <c r="C42" s="51" t="s">
        <v>73</v>
      </c>
      <c r="D42" s="52">
        <v>1633.9945556406979</v>
      </c>
      <c r="E42" s="35">
        <v>1605.6442069198733</v>
      </c>
      <c r="F42" s="35">
        <v>1984.3893014017908</v>
      </c>
      <c r="G42" s="35">
        <v>1597.1605069338514</v>
      </c>
      <c r="H42" s="35">
        <v>1561.3764779759003</v>
      </c>
      <c r="I42" s="35">
        <v>1586.9457419513342</v>
      </c>
      <c r="J42" s="35">
        <v>1591.6119058949516</v>
      </c>
      <c r="K42" s="35">
        <v>1583.5241879618604</v>
      </c>
      <c r="L42" s="35">
        <v>1521.4804963039746</v>
      </c>
      <c r="M42" s="35">
        <v>1506.9380235632907</v>
      </c>
      <c r="N42" s="35">
        <v>1445.3372813849321</v>
      </c>
      <c r="O42" s="52">
        <v>1275.6586742402644</v>
      </c>
      <c r="P42" s="118">
        <v>1274.5817085678109</v>
      </c>
    </row>
    <row r="43" spans="1:16" x14ac:dyDescent="0.25">
      <c r="A43" s="42"/>
      <c r="B43" s="43" t="s">
        <v>118</v>
      </c>
      <c r="C43" s="40"/>
      <c r="D43" s="49">
        <v>8302.8193395565395</v>
      </c>
      <c r="E43" s="50">
        <v>8079.1713934200616</v>
      </c>
      <c r="F43" s="50">
        <v>9544.1466145684117</v>
      </c>
      <c r="G43" s="50">
        <v>8548.0739308015982</v>
      </c>
      <c r="H43" s="50">
        <v>8212.0583283179149</v>
      </c>
      <c r="I43" s="50">
        <v>8227.3417865739902</v>
      </c>
      <c r="J43" s="50">
        <v>10101.409497433489</v>
      </c>
      <c r="K43" s="50">
        <v>8750.0589971618083</v>
      </c>
      <c r="L43" s="50">
        <v>8519.8120744977787</v>
      </c>
      <c r="M43" s="50">
        <v>9717.7338642416216</v>
      </c>
      <c r="N43" s="50">
        <v>7007.6750922847668</v>
      </c>
      <c r="O43" s="49">
        <v>6176.8837428657553</v>
      </c>
      <c r="P43" s="117">
        <v>6846.2508721770537</v>
      </c>
    </row>
    <row r="44" spans="1:16" ht="13" x14ac:dyDescent="0.3">
      <c r="A44" s="71" t="s">
        <v>112</v>
      </c>
      <c r="B44" s="72"/>
      <c r="C44" s="72"/>
      <c r="D44" s="73">
        <v>28207.326275262589</v>
      </c>
      <c r="E44" s="74">
        <v>29612.661389765868</v>
      </c>
      <c r="F44" s="74">
        <v>30363.135575025124</v>
      </c>
      <c r="G44" s="74">
        <v>26254.620382726702</v>
      </c>
      <c r="H44" s="74">
        <v>26907.611942560587</v>
      </c>
      <c r="I44" s="74">
        <v>26329.094865548712</v>
      </c>
      <c r="J44" s="74">
        <v>27485.533565284841</v>
      </c>
      <c r="K44" s="74">
        <v>33244.390192952975</v>
      </c>
      <c r="L44" s="74">
        <v>35354.364097876904</v>
      </c>
      <c r="M44" s="74">
        <v>36355.994829392097</v>
      </c>
      <c r="N44" s="74">
        <v>40886.483695128212</v>
      </c>
      <c r="O44" s="73">
        <v>37663.287891910535</v>
      </c>
      <c r="P44" s="122">
        <v>30972.162529472178</v>
      </c>
    </row>
    <row r="45" spans="1:16" x14ac:dyDescent="0.25">
      <c r="A45" s="43" t="s">
        <v>111</v>
      </c>
      <c r="B45" s="43" t="s">
        <v>111</v>
      </c>
      <c r="C45" s="43" t="s">
        <v>71</v>
      </c>
      <c r="D45" s="49">
        <v>2690.3176586360087</v>
      </c>
      <c r="E45" s="50">
        <v>4102.26212143456</v>
      </c>
      <c r="F45" s="50">
        <v>1860.5915118397072</v>
      </c>
      <c r="G45" s="50">
        <v>1619.4444272253286</v>
      </c>
      <c r="H45" s="50">
        <v>1843.3482807489131</v>
      </c>
      <c r="I45" s="50">
        <v>1923.2604053465107</v>
      </c>
      <c r="J45" s="50">
        <v>15962.255217196347</v>
      </c>
      <c r="K45" s="50">
        <v>20252.30824764353</v>
      </c>
      <c r="L45" s="50">
        <v>21941.412211752111</v>
      </c>
      <c r="M45" s="50">
        <v>22062.372419908566</v>
      </c>
      <c r="N45" s="50">
        <v>30593.331022445545</v>
      </c>
      <c r="O45" s="49">
        <v>25641.400492037119</v>
      </c>
      <c r="P45" s="117">
        <v>25881.548830362786</v>
      </c>
    </row>
    <row r="46" spans="1:16" x14ac:dyDescent="0.25">
      <c r="A46" s="42"/>
      <c r="B46" s="42"/>
      <c r="C46" s="51" t="s">
        <v>74</v>
      </c>
      <c r="D46" s="52">
        <v>15410.262562112657</v>
      </c>
      <c r="E46" s="35">
        <v>20485.789248835241</v>
      </c>
      <c r="F46" s="35">
        <v>20041.563190013036</v>
      </c>
      <c r="G46" s="35">
        <v>19592.043975902034</v>
      </c>
      <c r="H46" s="35">
        <v>16508.399534168289</v>
      </c>
      <c r="I46" s="35">
        <v>16405.322254909672</v>
      </c>
      <c r="J46" s="35">
        <v>16348.556795946186</v>
      </c>
      <c r="K46" s="35">
        <v>23791.558963273783</v>
      </c>
      <c r="L46" s="35">
        <v>30843.704619364467</v>
      </c>
      <c r="M46" s="35">
        <v>32473.268615830821</v>
      </c>
      <c r="N46" s="35">
        <v>44703.009948532599</v>
      </c>
      <c r="O46" s="52">
        <v>37759.792459098608</v>
      </c>
      <c r="P46" s="118">
        <v>38918.572356792429</v>
      </c>
    </row>
    <row r="47" spans="1:16" x14ac:dyDescent="0.25">
      <c r="A47" s="42"/>
      <c r="B47" s="42"/>
      <c r="C47" s="51" t="s">
        <v>70</v>
      </c>
      <c r="D47" s="52">
        <v>14999.453516164245</v>
      </c>
      <c r="E47" s="35">
        <v>18179.381180570392</v>
      </c>
      <c r="F47" s="35">
        <v>17926.819263324516</v>
      </c>
      <c r="G47" s="35">
        <v>18118.130471170276</v>
      </c>
      <c r="H47" s="35">
        <v>17261.836572766704</v>
      </c>
      <c r="I47" s="35">
        <v>17055.740093841931</v>
      </c>
      <c r="J47" s="35">
        <v>3430.0506360721611</v>
      </c>
      <c r="K47" s="35">
        <v>3777.8834696940467</v>
      </c>
      <c r="L47" s="35">
        <v>4402.2789642387579</v>
      </c>
      <c r="M47" s="35">
        <v>4841.1539015693461</v>
      </c>
      <c r="N47" s="35">
        <v>6597.4749962247142</v>
      </c>
      <c r="O47" s="52">
        <v>5906.0284731200882</v>
      </c>
      <c r="P47" s="118">
        <v>6339.9314756756485</v>
      </c>
    </row>
    <row r="48" spans="1:16" x14ac:dyDescent="0.25">
      <c r="A48" s="42"/>
      <c r="B48" s="42"/>
      <c r="C48" s="51" t="s">
        <v>72</v>
      </c>
      <c r="D48" s="52">
        <v>23905.447863974478</v>
      </c>
      <c r="E48" s="35">
        <v>25470.197542998099</v>
      </c>
      <c r="F48" s="35">
        <v>23864.061086263519</v>
      </c>
      <c r="G48" s="35">
        <v>22889.318833223057</v>
      </c>
      <c r="H48" s="35">
        <v>21962.275403763284</v>
      </c>
      <c r="I48" s="35">
        <v>20265.464092206548</v>
      </c>
      <c r="J48" s="35">
        <v>19974.522988186804</v>
      </c>
      <c r="K48" s="35">
        <v>21421.801782879567</v>
      </c>
      <c r="L48" s="35">
        <v>22701.984318580471</v>
      </c>
      <c r="M48" s="35">
        <v>21104.91608116241</v>
      </c>
      <c r="N48" s="35">
        <v>22486.736170298653</v>
      </c>
      <c r="O48" s="52">
        <v>19709.469900534918</v>
      </c>
      <c r="P48" s="118">
        <v>18026.316592540657</v>
      </c>
    </row>
    <row r="49" spans="1:16" x14ac:dyDescent="0.25">
      <c r="A49" s="42"/>
      <c r="B49" s="42"/>
      <c r="C49" s="51" t="s">
        <v>73</v>
      </c>
      <c r="D49" s="52">
        <v>25563.928269497599</v>
      </c>
      <c r="E49" s="35">
        <v>26320.651510388452</v>
      </c>
      <c r="F49" s="35">
        <v>25021.02881097253</v>
      </c>
      <c r="G49" s="35">
        <v>24582.25763814765</v>
      </c>
      <c r="H49" s="35">
        <v>24361.0795681624</v>
      </c>
      <c r="I49" s="35">
        <v>25345.474278425954</v>
      </c>
      <c r="J49" s="35">
        <v>28372.462815677944</v>
      </c>
      <c r="K49" s="35">
        <v>27759.530099522806</v>
      </c>
      <c r="L49" s="35">
        <v>27287.328452546848</v>
      </c>
      <c r="M49" s="35">
        <v>24869.941922544611</v>
      </c>
      <c r="N49" s="35">
        <v>26035.825567843891</v>
      </c>
      <c r="O49" s="52">
        <v>23345.267787987977</v>
      </c>
      <c r="P49" s="118">
        <v>23539.50691184531</v>
      </c>
    </row>
    <row r="50" spans="1:16" x14ac:dyDescent="0.25">
      <c r="A50" s="42"/>
      <c r="B50" s="43" t="s">
        <v>113</v>
      </c>
      <c r="C50" s="40"/>
      <c r="D50" s="49">
        <v>82569.409870384989</v>
      </c>
      <c r="E50" s="50">
        <v>94558.281604226737</v>
      </c>
      <c r="F50" s="50">
        <v>88714.063862413313</v>
      </c>
      <c r="G50" s="50">
        <v>86801.19534566834</v>
      </c>
      <c r="H50" s="50">
        <v>81936.939359609591</v>
      </c>
      <c r="I50" s="50">
        <v>80995.261124730619</v>
      </c>
      <c r="J50" s="50">
        <v>84087.848453079438</v>
      </c>
      <c r="K50" s="50">
        <v>97003.082563013726</v>
      </c>
      <c r="L50" s="50">
        <v>107176.70856648266</v>
      </c>
      <c r="M50" s="50">
        <v>105351.65294101575</v>
      </c>
      <c r="N50" s="50">
        <v>130416.3777053454</v>
      </c>
      <c r="O50" s="49">
        <v>112361.95911277871</v>
      </c>
      <c r="P50" s="117">
        <v>112705.87616721682</v>
      </c>
    </row>
    <row r="51" spans="1:16" ht="13" x14ac:dyDescent="0.3">
      <c r="A51" s="71" t="s">
        <v>113</v>
      </c>
      <c r="B51" s="72"/>
      <c r="C51" s="72"/>
      <c r="D51" s="73">
        <v>82569.409870384989</v>
      </c>
      <c r="E51" s="74">
        <v>94558.281604226737</v>
      </c>
      <c r="F51" s="74">
        <v>88714.063862413313</v>
      </c>
      <c r="G51" s="74">
        <v>86801.19534566834</v>
      </c>
      <c r="H51" s="74">
        <v>81936.939359609591</v>
      </c>
      <c r="I51" s="74">
        <v>80995.261124730619</v>
      </c>
      <c r="J51" s="74">
        <v>84087.848453079438</v>
      </c>
      <c r="K51" s="74">
        <v>97003.082563013726</v>
      </c>
      <c r="L51" s="74">
        <v>107176.70856648266</v>
      </c>
      <c r="M51" s="74">
        <v>105351.65294101575</v>
      </c>
      <c r="N51" s="74">
        <v>130416.3777053454</v>
      </c>
      <c r="O51" s="73">
        <v>112361.95911277871</v>
      </c>
      <c r="P51" s="122">
        <v>112705.87616721682</v>
      </c>
    </row>
    <row r="52" spans="1:16" x14ac:dyDescent="0.25">
      <c r="A52" s="43" t="s">
        <v>138</v>
      </c>
      <c r="B52" s="43" t="s">
        <v>138</v>
      </c>
      <c r="C52" s="43" t="s">
        <v>71</v>
      </c>
      <c r="D52" s="49">
        <v>2688.9091328968229</v>
      </c>
      <c r="E52" s="50">
        <v>2163.0381492053748</v>
      </c>
      <c r="F52" s="50">
        <v>2283.1219889963513</v>
      </c>
      <c r="G52" s="50">
        <v>2524.2431543110815</v>
      </c>
      <c r="H52" s="50">
        <v>2321.7857870702596</v>
      </c>
      <c r="I52" s="50">
        <v>2618.6205105239969</v>
      </c>
      <c r="J52" s="50">
        <v>2832.330706826488</v>
      </c>
      <c r="K52" s="50">
        <v>5087.5794106389985</v>
      </c>
      <c r="L52" s="50">
        <v>4771.4202738126496</v>
      </c>
      <c r="M52" s="50">
        <v>4145.4120094280997</v>
      </c>
      <c r="N52" s="50">
        <v>3794.4417218860808</v>
      </c>
      <c r="O52" s="49">
        <v>6236.1366468144661</v>
      </c>
      <c r="P52" s="117">
        <v>6719.0486597835697</v>
      </c>
    </row>
    <row r="53" spans="1:16" x14ac:dyDescent="0.25">
      <c r="A53" s="42"/>
      <c r="B53" s="42"/>
      <c r="C53" s="51" t="s">
        <v>74</v>
      </c>
      <c r="D53" s="52">
        <v>4436.5164404981479</v>
      </c>
      <c r="E53" s="35">
        <v>5245.8695318292575</v>
      </c>
      <c r="F53" s="35">
        <v>5275.8325960007232</v>
      </c>
      <c r="G53" s="35">
        <v>5321.6582199363547</v>
      </c>
      <c r="H53" s="35">
        <v>5618.0945595819258</v>
      </c>
      <c r="I53" s="35">
        <v>5520.7435691378296</v>
      </c>
      <c r="J53" s="35">
        <v>5524.9447819128818</v>
      </c>
      <c r="K53" s="35">
        <v>5122.3111196728187</v>
      </c>
      <c r="L53" s="35">
        <v>5450.7137299524247</v>
      </c>
      <c r="M53" s="35">
        <v>4964.6254213217835</v>
      </c>
      <c r="N53" s="35">
        <v>4291.6179873480951</v>
      </c>
      <c r="O53" s="52">
        <v>8246.1052945932661</v>
      </c>
      <c r="P53" s="118">
        <v>8723.0743441451305</v>
      </c>
    </row>
    <row r="54" spans="1:16" x14ac:dyDescent="0.25">
      <c r="A54" s="42"/>
      <c r="B54" s="42"/>
      <c r="C54" s="51" t="s">
        <v>70</v>
      </c>
      <c r="D54" s="52">
        <v>3907.3096263495363</v>
      </c>
      <c r="E54" s="35">
        <v>3978.7342060829869</v>
      </c>
      <c r="F54" s="35">
        <v>4032.2119166639259</v>
      </c>
      <c r="G54" s="35">
        <v>4155.4989851676983</v>
      </c>
      <c r="H54" s="35">
        <v>4142.4607134190364</v>
      </c>
      <c r="I54" s="35">
        <v>4090.2890834533091</v>
      </c>
      <c r="J54" s="35">
        <v>4101.9795991842402</v>
      </c>
      <c r="K54" s="35">
        <v>4888.0610343577637</v>
      </c>
      <c r="L54" s="35">
        <v>4827.3227608413154</v>
      </c>
      <c r="M54" s="35">
        <v>5032.1704289469953</v>
      </c>
      <c r="N54" s="35">
        <v>4500.0703549661066</v>
      </c>
      <c r="O54" s="52">
        <v>4646.0778056558929</v>
      </c>
      <c r="P54" s="118">
        <v>4733.8265691751794</v>
      </c>
    </row>
    <row r="55" spans="1:16" x14ac:dyDescent="0.25">
      <c r="A55" s="42"/>
      <c r="B55" s="42"/>
      <c r="C55" s="51" t="s">
        <v>72</v>
      </c>
      <c r="D55" s="52">
        <v>6024.6932133528835</v>
      </c>
      <c r="E55" s="35">
        <v>6474.3310682594965</v>
      </c>
      <c r="F55" s="35">
        <v>6429.4569643561153</v>
      </c>
      <c r="G55" s="35">
        <v>6868.6718199071975</v>
      </c>
      <c r="H55" s="35">
        <v>6804.4752744175812</v>
      </c>
      <c r="I55" s="35">
        <v>6344.5046316443313</v>
      </c>
      <c r="J55" s="35">
        <v>6109.0664729337077</v>
      </c>
      <c r="K55" s="35">
        <v>5598.4045477789614</v>
      </c>
      <c r="L55" s="35">
        <v>5747.7009156590775</v>
      </c>
      <c r="M55" s="35">
        <v>5790.855610483688</v>
      </c>
      <c r="N55" s="35">
        <v>5373.0295322271368</v>
      </c>
      <c r="O55" s="52">
        <v>5789.5835337968429</v>
      </c>
      <c r="P55" s="118">
        <v>6262.2140450385232</v>
      </c>
    </row>
    <row r="56" spans="1:16" x14ac:dyDescent="0.25">
      <c r="A56" s="42"/>
      <c r="B56" s="42"/>
      <c r="C56" s="51" t="s">
        <v>73</v>
      </c>
      <c r="D56" s="52">
        <v>10473.51812699183</v>
      </c>
      <c r="E56" s="35">
        <v>9724.78896885207</v>
      </c>
      <c r="F56" s="35">
        <v>9679.5572990219516</v>
      </c>
      <c r="G56" s="35">
        <v>9316.7990860583595</v>
      </c>
      <c r="H56" s="35">
        <v>9205.9996386400489</v>
      </c>
      <c r="I56" s="35">
        <v>8917.4613005056071</v>
      </c>
      <c r="J56" s="35">
        <v>8605.2992772707639</v>
      </c>
      <c r="K56" s="35">
        <v>9386.9470247655481</v>
      </c>
      <c r="L56" s="35">
        <v>9419.4329796415841</v>
      </c>
      <c r="M56" s="35">
        <v>9609.2461750190905</v>
      </c>
      <c r="N56" s="35">
        <v>9712.9334356555264</v>
      </c>
      <c r="O56" s="52">
        <v>9970.2841554980987</v>
      </c>
      <c r="P56" s="118">
        <v>10833.988926963022</v>
      </c>
    </row>
    <row r="57" spans="1:16" x14ac:dyDescent="0.25">
      <c r="A57" s="42"/>
      <c r="B57" s="43" t="s">
        <v>139</v>
      </c>
      <c r="C57" s="40"/>
      <c r="D57" s="49">
        <v>27530.946540089222</v>
      </c>
      <c r="E57" s="50">
        <v>27586.761924229188</v>
      </c>
      <c r="F57" s="50">
        <v>27700.180765039069</v>
      </c>
      <c r="G57" s="50">
        <v>28186.871265380691</v>
      </c>
      <c r="H57" s="50">
        <v>28092.815973128854</v>
      </c>
      <c r="I57" s="50">
        <v>27491.619095265072</v>
      </c>
      <c r="J57" s="50">
        <v>27173.620838128081</v>
      </c>
      <c r="K57" s="50">
        <v>30083.30313721409</v>
      </c>
      <c r="L57" s="50">
        <v>30216.590659907051</v>
      </c>
      <c r="M57" s="50">
        <v>29542.309645199661</v>
      </c>
      <c r="N57" s="50">
        <v>27672.093032082947</v>
      </c>
      <c r="O57" s="49">
        <v>34888.187436358567</v>
      </c>
      <c r="P57" s="117">
        <v>37272.152545105426</v>
      </c>
    </row>
    <row r="58" spans="1:16" ht="13" x14ac:dyDescent="0.3">
      <c r="A58" s="71" t="s">
        <v>139</v>
      </c>
      <c r="B58" s="72"/>
      <c r="C58" s="72"/>
      <c r="D58" s="73">
        <v>27530.946540089222</v>
      </c>
      <c r="E58" s="74">
        <v>27586.761924229188</v>
      </c>
      <c r="F58" s="74">
        <v>27700.180765039069</v>
      </c>
      <c r="G58" s="74">
        <v>28186.871265380691</v>
      </c>
      <c r="H58" s="74">
        <v>28092.815973128854</v>
      </c>
      <c r="I58" s="74">
        <v>27491.619095265072</v>
      </c>
      <c r="J58" s="74">
        <v>27173.620838128081</v>
      </c>
      <c r="K58" s="74">
        <v>30083.30313721409</v>
      </c>
      <c r="L58" s="74">
        <v>30216.590659907051</v>
      </c>
      <c r="M58" s="74">
        <v>29542.309645199661</v>
      </c>
      <c r="N58" s="74">
        <v>27672.093032082947</v>
      </c>
      <c r="O58" s="73">
        <v>34888.187436358567</v>
      </c>
      <c r="P58" s="122">
        <v>37272.152545105426</v>
      </c>
    </row>
    <row r="59" spans="1:16" x14ac:dyDescent="0.25">
      <c r="A59" s="43" t="s">
        <v>140</v>
      </c>
      <c r="B59" s="43" t="s">
        <v>140</v>
      </c>
      <c r="C59" s="43" t="s">
        <v>71</v>
      </c>
      <c r="D59" s="49">
        <v>959.59644000000003</v>
      </c>
      <c r="E59" s="50">
        <v>1056.72839</v>
      </c>
      <c r="F59" s="50">
        <v>926.1576500000001</v>
      </c>
      <c r="G59" s="50">
        <v>829.27335000000005</v>
      </c>
      <c r="H59" s="50">
        <v>767.99626999999987</v>
      </c>
      <c r="I59" s="50">
        <v>802.70047999999997</v>
      </c>
      <c r="J59" s="50">
        <v>809.84018000000003</v>
      </c>
      <c r="K59" s="50">
        <v>820.96591000000001</v>
      </c>
      <c r="L59" s="50">
        <v>1287.12427</v>
      </c>
      <c r="M59" s="50">
        <v>877.64778999999999</v>
      </c>
      <c r="N59" s="50">
        <v>836.20497000000012</v>
      </c>
      <c r="O59" s="49">
        <v>1223.70163</v>
      </c>
      <c r="P59" s="117">
        <v>1315.95418</v>
      </c>
    </row>
    <row r="60" spans="1:16" x14ac:dyDescent="0.25">
      <c r="A60" s="42"/>
      <c r="B60" s="42"/>
      <c r="C60" s="51" t="s">
        <v>74</v>
      </c>
      <c r="D60" s="52">
        <v>2625.9220999999998</v>
      </c>
      <c r="E60" s="35">
        <v>2847.6316299999994</v>
      </c>
      <c r="F60" s="35">
        <v>2727.7249099999999</v>
      </c>
      <c r="G60" s="35">
        <v>2485.9129500000004</v>
      </c>
      <c r="H60" s="35">
        <v>2350.4922900000001</v>
      </c>
      <c r="I60" s="35">
        <v>2439.6981700000001</v>
      </c>
      <c r="J60" s="35">
        <v>2412.7277800000002</v>
      </c>
      <c r="K60" s="35">
        <v>2279.4839699999998</v>
      </c>
      <c r="L60" s="35">
        <v>2013.5465200000001</v>
      </c>
      <c r="M60" s="35">
        <v>1816.0464200000001</v>
      </c>
      <c r="N60" s="35">
        <v>2448.1116000000002</v>
      </c>
      <c r="O60" s="52">
        <v>2520.9328099999998</v>
      </c>
      <c r="P60" s="118">
        <v>1845.04153</v>
      </c>
    </row>
    <row r="61" spans="1:16" x14ac:dyDescent="0.25">
      <c r="A61" s="42"/>
      <c r="B61" s="42"/>
      <c r="C61" s="51" t="s">
        <v>70</v>
      </c>
      <c r="D61" s="52">
        <v>541.93455999999992</v>
      </c>
      <c r="E61" s="35">
        <v>693.04398000000003</v>
      </c>
      <c r="F61" s="35">
        <v>725.55119999999999</v>
      </c>
      <c r="G61" s="35">
        <v>737.23977000000002</v>
      </c>
      <c r="H61" s="35">
        <v>859.97343999999998</v>
      </c>
      <c r="I61" s="35">
        <v>879.43412999999987</v>
      </c>
      <c r="J61" s="35">
        <v>888.0775799999999</v>
      </c>
      <c r="K61" s="35">
        <v>1651.1893399999999</v>
      </c>
      <c r="L61" s="35">
        <v>1659.8330199999998</v>
      </c>
      <c r="M61" s="35">
        <v>1230.6849500000001</v>
      </c>
      <c r="N61" s="35">
        <v>2271.4749600000005</v>
      </c>
      <c r="O61" s="52">
        <v>2476.7664599999998</v>
      </c>
      <c r="P61" s="118">
        <v>2517.5557199999994</v>
      </c>
    </row>
    <row r="62" spans="1:16" x14ac:dyDescent="0.25">
      <c r="A62" s="42"/>
      <c r="B62" s="42"/>
      <c r="C62" s="51" t="s">
        <v>72</v>
      </c>
      <c r="D62" s="52">
        <v>1954.3376200000002</v>
      </c>
      <c r="E62" s="35">
        <v>2051.8086400000002</v>
      </c>
      <c r="F62" s="35">
        <v>1980.1471800000002</v>
      </c>
      <c r="G62" s="35">
        <v>1884.1862199999998</v>
      </c>
      <c r="H62" s="35">
        <v>1496.2842599999999</v>
      </c>
      <c r="I62" s="35">
        <v>1541.1288100000002</v>
      </c>
      <c r="J62" s="35">
        <v>1474.8122800000001</v>
      </c>
      <c r="K62" s="35">
        <v>1855.4935600000001</v>
      </c>
      <c r="L62" s="35">
        <v>1616.3957500000001</v>
      </c>
      <c r="M62" s="35">
        <v>1368.9469100000003</v>
      </c>
      <c r="N62" s="35">
        <v>2812.1937200000002</v>
      </c>
      <c r="O62" s="52">
        <v>3042.9517099999998</v>
      </c>
      <c r="P62" s="118">
        <v>2961.5788299999999</v>
      </c>
    </row>
    <row r="63" spans="1:16" x14ac:dyDescent="0.25">
      <c r="A63" s="42"/>
      <c r="B63" s="42"/>
      <c r="C63" s="51" t="s">
        <v>73</v>
      </c>
      <c r="D63" s="52"/>
      <c r="E63" s="35"/>
      <c r="F63" s="35"/>
      <c r="G63" s="35"/>
      <c r="H63" s="35"/>
      <c r="I63" s="35"/>
      <c r="J63" s="35"/>
      <c r="K63" s="35"/>
      <c r="L63" s="35"/>
      <c r="M63" s="35"/>
      <c r="N63" s="35">
        <v>18.393940000000001</v>
      </c>
      <c r="O63" s="52">
        <v>40.893940000000001</v>
      </c>
      <c r="P63" s="118">
        <v>40.893940000000001</v>
      </c>
    </row>
    <row r="64" spans="1:16" x14ac:dyDescent="0.25">
      <c r="A64" s="42"/>
      <c r="B64" s="43" t="s">
        <v>141</v>
      </c>
      <c r="C64" s="40"/>
      <c r="D64" s="49">
        <v>6081.79072</v>
      </c>
      <c r="E64" s="50">
        <v>6649.2126399999997</v>
      </c>
      <c r="F64" s="50">
        <v>6359.5809399999998</v>
      </c>
      <c r="G64" s="50">
        <v>5936.61229</v>
      </c>
      <c r="H64" s="50">
        <v>5474.7462599999999</v>
      </c>
      <c r="I64" s="50">
        <v>5662.9615899999999</v>
      </c>
      <c r="J64" s="50">
        <v>5585.4578200000005</v>
      </c>
      <c r="K64" s="50">
        <v>6607.132779999999</v>
      </c>
      <c r="L64" s="50">
        <v>6576.8995599999998</v>
      </c>
      <c r="M64" s="50">
        <v>5293.326070000001</v>
      </c>
      <c r="N64" s="50">
        <v>8386.3791900000015</v>
      </c>
      <c r="O64" s="49">
        <v>9305.2465499999998</v>
      </c>
      <c r="P64" s="117">
        <v>8681.0241999999998</v>
      </c>
    </row>
    <row r="65" spans="1:16" ht="13" x14ac:dyDescent="0.3">
      <c r="A65" s="71" t="s">
        <v>141</v>
      </c>
      <c r="B65" s="72"/>
      <c r="C65" s="72"/>
      <c r="D65" s="73">
        <v>6081.79072</v>
      </c>
      <c r="E65" s="74">
        <v>6649.2126399999997</v>
      </c>
      <c r="F65" s="74">
        <v>6359.5809399999998</v>
      </c>
      <c r="G65" s="74">
        <v>5936.61229</v>
      </c>
      <c r="H65" s="74">
        <v>5474.7462599999999</v>
      </c>
      <c r="I65" s="74">
        <v>5662.9615899999999</v>
      </c>
      <c r="J65" s="74">
        <v>5585.4578200000005</v>
      </c>
      <c r="K65" s="74">
        <v>6607.132779999999</v>
      </c>
      <c r="L65" s="74">
        <v>6576.8995599999998</v>
      </c>
      <c r="M65" s="74">
        <v>5293.326070000001</v>
      </c>
      <c r="N65" s="74">
        <v>8386.3791900000015</v>
      </c>
      <c r="O65" s="73">
        <v>9305.2465499999998</v>
      </c>
      <c r="P65" s="122">
        <v>8681.0241999999998</v>
      </c>
    </row>
    <row r="66" spans="1:16" ht="13" x14ac:dyDescent="0.3">
      <c r="A66" s="55" t="s">
        <v>20</v>
      </c>
      <c r="B66" s="70"/>
      <c r="C66" s="70"/>
      <c r="D66" s="56">
        <v>144389.47340573679</v>
      </c>
      <c r="E66" s="57">
        <v>158406.91755822176</v>
      </c>
      <c r="F66" s="57">
        <v>153136.96114247749</v>
      </c>
      <c r="G66" s="57">
        <v>147179.29928377573</v>
      </c>
      <c r="H66" s="57">
        <v>142412.11353529899</v>
      </c>
      <c r="I66" s="57">
        <v>140478.93667554439</v>
      </c>
      <c r="J66" s="57">
        <v>144332.4606764924</v>
      </c>
      <c r="K66" s="57">
        <v>166937.90867318079</v>
      </c>
      <c r="L66" s="57">
        <v>179324.5628842666</v>
      </c>
      <c r="M66" s="57">
        <v>176543.28348560748</v>
      </c>
      <c r="N66" s="57">
        <v>207361.33362255653</v>
      </c>
      <c r="O66" s="56">
        <v>194218.68099104779</v>
      </c>
      <c r="P66" s="119">
        <v>189631.21544179445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34"/>
  <sheetViews>
    <sheetView showGridLines="0" topLeftCell="A18" zoomScale="80" zoomScaleNormal="80" workbookViewId="0">
      <selection activeCell="D23" sqref="D23"/>
    </sheetView>
  </sheetViews>
  <sheetFormatPr defaultRowHeight="12.5" x14ac:dyDescent="0.25"/>
  <cols>
    <col min="1" max="1" width="17.81640625" customWidth="1"/>
    <col min="2" max="2" width="20.26953125" customWidth="1"/>
    <col min="3" max="3" width="20.08984375" bestFit="1" customWidth="1"/>
    <col min="4" max="17" width="9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108</v>
      </c>
      <c r="B4" s="47" t="s">
        <v>2</v>
      </c>
    </row>
    <row r="5" spans="1:2" x14ac:dyDescent="0.25">
      <c r="A5" s="46" t="s">
        <v>109</v>
      </c>
      <c r="B5" s="47" t="s">
        <v>2</v>
      </c>
    </row>
    <row r="6" spans="1:2" x14ac:dyDescent="0.25">
      <c r="A6" s="46" t="s">
        <v>18</v>
      </c>
      <c r="B6" s="47" t="s">
        <v>2</v>
      </c>
    </row>
    <row r="7" spans="1:2" x14ac:dyDescent="0.25">
      <c r="A7" s="46" t="s">
        <v>19</v>
      </c>
      <c r="B7" s="47" t="s">
        <v>2</v>
      </c>
    </row>
    <row r="8" spans="1:2" x14ac:dyDescent="0.25">
      <c r="A8" s="46" t="s">
        <v>121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69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22</v>
      </c>
      <c r="B15" s="47" t="s">
        <v>2</v>
      </c>
    </row>
    <row r="16" spans="1:2" x14ac:dyDescent="0.25">
      <c r="A16" s="46" t="s">
        <v>14</v>
      </c>
      <c r="B16" s="47" t="s">
        <v>2</v>
      </c>
    </row>
    <row r="17" spans="1:16" x14ac:dyDescent="0.25">
      <c r="A17" s="46" t="s">
        <v>15</v>
      </c>
      <c r="B17" s="47" t="s">
        <v>2</v>
      </c>
    </row>
    <row r="18" spans="1:16" x14ac:dyDescent="0.25">
      <c r="A18" s="46" t="s">
        <v>6</v>
      </c>
      <c r="B18" s="47" t="s">
        <v>21</v>
      </c>
    </row>
    <row r="19" spans="1:16" x14ac:dyDescent="0.25">
      <c r="A19" s="46" t="s">
        <v>7</v>
      </c>
      <c r="B19" s="47" t="s">
        <v>2</v>
      </c>
    </row>
    <row r="21" spans="1:16" x14ac:dyDescent="0.25">
      <c r="A21" s="39" t="s">
        <v>0</v>
      </c>
      <c r="B21" s="40"/>
      <c r="C21" s="40"/>
      <c r="D21" s="39" t="s">
        <v>1</v>
      </c>
      <c r="E21" s="48" t="s">
        <v>3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</row>
    <row r="22" spans="1:16" x14ac:dyDescent="0.25">
      <c r="A22" s="42"/>
      <c r="B22" s="12"/>
      <c r="C22" s="12"/>
      <c r="D22" s="68" t="s">
        <v>135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5" t="s">
        <v>155</v>
      </c>
      <c r="P22" s="121"/>
    </row>
    <row r="23" spans="1:16" ht="13" x14ac:dyDescent="0.3">
      <c r="A23" s="67" t="s">
        <v>106</v>
      </c>
      <c r="B23" s="67" t="s">
        <v>107</v>
      </c>
      <c r="C23" s="67" t="s">
        <v>104</v>
      </c>
      <c r="D23" s="62" t="s">
        <v>137</v>
      </c>
      <c r="E23" s="63" t="s">
        <v>144</v>
      </c>
      <c r="F23" s="63" t="s">
        <v>145</v>
      </c>
      <c r="G23" s="63" t="s">
        <v>146</v>
      </c>
      <c r="H23" s="63" t="s">
        <v>147</v>
      </c>
      <c r="I23" s="63" t="s">
        <v>148</v>
      </c>
      <c r="J23" s="63" t="s">
        <v>149</v>
      </c>
      <c r="K23" s="63" t="s">
        <v>150</v>
      </c>
      <c r="L23" s="63" t="s">
        <v>152</v>
      </c>
      <c r="M23" s="63" t="s">
        <v>153</v>
      </c>
      <c r="N23" s="63" t="s">
        <v>154</v>
      </c>
      <c r="O23" s="62" t="s">
        <v>156</v>
      </c>
      <c r="P23" s="64" t="s">
        <v>158</v>
      </c>
    </row>
    <row r="24" spans="1:16" x14ac:dyDescent="0.25">
      <c r="A24" s="43" t="s">
        <v>142</v>
      </c>
      <c r="B24" s="43" t="s">
        <v>142</v>
      </c>
      <c r="C24" s="43" t="s">
        <v>27</v>
      </c>
      <c r="D24" s="76">
        <v>2392.6384361701766</v>
      </c>
      <c r="E24" s="77">
        <v>2388.8687819148581</v>
      </c>
      <c r="F24" s="77">
        <v>509.23306361701958</v>
      </c>
      <c r="G24" s="77">
        <v>504.82144829787092</v>
      </c>
      <c r="H24" s="77">
        <v>63.335631914892339</v>
      </c>
      <c r="I24" s="77">
        <v>52.445562127658469</v>
      </c>
      <c r="J24" s="77">
        <v>47.079075106382071</v>
      </c>
      <c r="K24" s="77">
        <v>39.566348085105737</v>
      </c>
      <c r="L24" s="77">
        <v>30.472986382978277</v>
      </c>
      <c r="M24" s="77">
        <v>20.056276170212598</v>
      </c>
      <c r="N24" s="77">
        <v>22.373343617008839</v>
      </c>
      <c r="O24" s="76">
        <v>96.007214725273727</v>
      </c>
      <c r="P24" s="78">
        <v>94.249842197801257</v>
      </c>
    </row>
    <row r="25" spans="1:16" x14ac:dyDescent="0.25">
      <c r="A25" s="42"/>
      <c r="B25" s="42"/>
      <c r="C25" s="51" t="s">
        <v>31</v>
      </c>
      <c r="D25" s="79">
        <v>507.65667319122616</v>
      </c>
      <c r="E25" s="10">
        <v>511.43164297845993</v>
      </c>
      <c r="F25" s="10">
        <v>514.80738702101291</v>
      </c>
      <c r="G25" s="10">
        <v>519.21507510611912</v>
      </c>
      <c r="H25" s="10">
        <v>523.40469361675741</v>
      </c>
      <c r="I25" s="10">
        <v>528.04212999973583</v>
      </c>
      <c r="J25" s="10">
        <v>533.39947787207609</v>
      </c>
      <c r="K25" s="10">
        <v>540.36766148909703</v>
      </c>
      <c r="L25" s="10">
        <v>547.97537297845861</v>
      </c>
      <c r="M25" s="10">
        <v>558.39883382952212</v>
      </c>
      <c r="N25" s="10">
        <v>548.44049468059825</v>
      </c>
      <c r="O25" s="79">
        <v>470.45007197795417</v>
      </c>
      <c r="P25" s="123">
        <v>472.20934230762452</v>
      </c>
    </row>
    <row r="26" spans="1:16" x14ac:dyDescent="0.25">
      <c r="A26" s="42"/>
      <c r="B26" s="42"/>
      <c r="C26" s="51" t="s">
        <v>28</v>
      </c>
      <c r="D26" s="79">
        <v>1162.198298085003</v>
      </c>
      <c r="E26" s="10">
        <v>1161.0582980850031</v>
      </c>
      <c r="F26" s="10">
        <v>3030.2288223402879</v>
      </c>
      <c r="G26" s="10">
        <v>2950.6819523402878</v>
      </c>
      <c r="H26" s="10">
        <v>3331.9794523402879</v>
      </c>
      <c r="I26" s="10">
        <v>3165.9150542552852</v>
      </c>
      <c r="J26" s="10">
        <v>2319.8108242552853</v>
      </c>
      <c r="K26" s="10">
        <v>2320.371824255285</v>
      </c>
      <c r="L26" s="10">
        <v>445.57876999999996</v>
      </c>
      <c r="M26" s="10">
        <v>445.57876999999996</v>
      </c>
      <c r="N26" s="10">
        <v>15.92127</v>
      </c>
      <c r="O26" s="79">
        <v>16.327973296699998</v>
      </c>
      <c r="P26" s="123">
        <v>16.327973296699998</v>
      </c>
    </row>
    <row r="27" spans="1:16" x14ac:dyDescent="0.25">
      <c r="A27" s="42"/>
      <c r="B27" s="42"/>
      <c r="C27" s="51" t="s">
        <v>58</v>
      </c>
      <c r="D27" s="79">
        <v>11.17436</v>
      </c>
      <c r="E27" s="10">
        <v>11.17436</v>
      </c>
      <c r="F27" s="10">
        <v>11.17436</v>
      </c>
      <c r="G27" s="10">
        <v>11.17436</v>
      </c>
      <c r="H27" s="10">
        <v>11.17436</v>
      </c>
      <c r="I27" s="10">
        <v>11.17436</v>
      </c>
      <c r="J27" s="10">
        <v>11.17436</v>
      </c>
      <c r="K27" s="10">
        <v>11.17436</v>
      </c>
      <c r="L27" s="10">
        <v>11.17436</v>
      </c>
      <c r="M27" s="10">
        <v>11.17436</v>
      </c>
      <c r="N27" s="10">
        <v>11.17436</v>
      </c>
      <c r="O27" s="79">
        <v>11.17436</v>
      </c>
      <c r="P27" s="123">
        <v>11.17436</v>
      </c>
    </row>
    <row r="28" spans="1:16" x14ac:dyDescent="0.25">
      <c r="A28" s="42"/>
      <c r="B28" s="43" t="s">
        <v>143</v>
      </c>
      <c r="C28" s="40"/>
      <c r="D28" s="76">
        <v>4073.6677674464058</v>
      </c>
      <c r="E28" s="77">
        <v>4072.5330829783211</v>
      </c>
      <c r="F28" s="77">
        <v>4065.4436329783202</v>
      </c>
      <c r="G28" s="77">
        <v>3985.8928357442778</v>
      </c>
      <c r="H28" s="77">
        <v>3929.8941378719378</v>
      </c>
      <c r="I28" s="77">
        <v>3757.5771063826796</v>
      </c>
      <c r="J28" s="77">
        <v>2911.4637372337434</v>
      </c>
      <c r="K28" s="77">
        <v>2911.4801938294877</v>
      </c>
      <c r="L28" s="77">
        <v>1035.2014893614369</v>
      </c>
      <c r="M28" s="77">
        <v>1035.2082399997348</v>
      </c>
      <c r="N28" s="77">
        <v>597.90946829760708</v>
      </c>
      <c r="O28" s="76">
        <v>593.95961999992778</v>
      </c>
      <c r="P28" s="78">
        <v>593.96151780212574</v>
      </c>
    </row>
    <row r="29" spans="1:16" ht="13" x14ac:dyDescent="0.3">
      <c r="A29" s="71" t="s">
        <v>143</v>
      </c>
      <c r="B29" s="72"/>
      <c r="C29" s="72"/>
      <c r="D29" s="82">
        <v>4073.6677674464058</v>
      </c>
      <c r="E29" s="83">
        <v>4072.5330829783211</v>
      </c>
      <c r="F29" s="83">
        <v>4065.4436329783202</v>
      </c>
      <c r="G29" s="83">
        <v>3985.8928357442778</v>
      </c>
      <c r="H29" s="83">
        <v>3929.8941378719378</v>
      </c>
      <c r="I29" s="83">
        <v>3757.5771063826796</v>
      </c>
      <c r="J29" s="83">
        <v>2911.4637372337434</v>
      </c>
      <c r="K29" s="83">
        <v>2911.4801938294877</v>
      </c>
      <c r="L29" s="83">
        <v>1035.2014893614369</v>
      </c>
      <c r="M29" s="83">
        <v>1035.2082399997348</v>
      </c>
      <c r="N29" s="83">
        <v>597.90946829760708</v>
      </c>
      <c r="O29" s="82">
        <v>593.95961999992778</v>
      </c>
      <c r="P29" s="125">
        <v>593.96151780212574</v>
      </c>
    </row>
    <row r="30" spans="1:16" x14ac:dyDescent="0.25">
      <c r="A30" s="43" t="s">
        <v>138</v>
      </c>
      <c r="B30" s="43" t="s">
        <v>138</v>
      </c>
      <c r="C30" s="43" t="s">
        <v>27</v>
      </c>
      <c r="D30" s="76"/>
      <c r="E30" s="77"/>
      <c r="F30" s="77"/>
      <c r="G30" s="77"/>
      <c r="H30" s="77"/>
      <c r="I30" s="77"/>
      <c r="J30" s="77"/>
      <c r="K30" s="77">
        <v>22.037860465032502</v>
      </c>
      <c r="L30" s="77">
        <v>17.6303255813284</v>
      </c>
      <c r="M30" s="77"/>
      <c r="N30" s="77"/>
      <c r="O30" s="76"/>
      <c r="P30" s="78"/>
    </row>
    <row r="31" spans="1:16" x14ac:dyDescent="0.25">
      <c r="A31" s="42"/>
      <c r="B31" s="42"/>
      <c r="C31" s="51" t="s">
        <v>31</v>
      </c>
      <c r="D31" s="79"/>
      <c r="E31" s="10"/>
      <c r="F31" s="10"/>
      <c r="G31" s="10"/>
      <c r="H31" s="10"/>
      <c r="I31" s="10"/>
      <c r="J31" s="10"/>
      <c r="K31" s="10">
        <v>22.037860465032502</v>
      </c>
      <c r="L31" s="10">
        <v>26.4454883719925</v>
      </c>
      <c r="M31" s="10"/>
      <c r="N31" s="10"/>
      <c r="O31" s="79"/>
      <c r="P31" s="123"/>
    </row>
    <row r="32" spans="1:16" x14ac:dyDescent="0.25">
      <c r="A32" s="42"/>
      <c r="B32" s="43" t="s">
        <v>139</v>
      </c>
      <c r="C32" s="40"/>
      <c r="D32" s="76"/>
      <c r="E32" s="77"/>
      <c r="F32" s="77"/>
      <c r="G32" s="77"/>
      <c r="H32" s="77"/>
      <c r="I32" s="77"/>
      <c r="J32" s="77"/>
      <c r="K32" s="77">
        <v>44.075720930065003</v>
      </c>
      <c r="L32" s="77">
        <v>44.075813953320903</v>
      </c>
      <c r="M32" s="77"/>
      <c r="N32" s="77"/>
      <c r="O32" s="76"/>
      <c r="P32" s="78"/>
    </row>
    <row r="33" spans="1:16" ht="13" x14ac:dyDescent="0.3">
      <c r="A33" s="71" t="s">
        <v>139</v>
      </c>
      <c r="B33" s="72"/>
      <c r="C33" s="72"/>
      <c r="D33" s="82"/>
      <c r="E33" s="83"/>
      <c r="F33" s="83"/>
      <c r="G33" s="83"/>
      <c r="H33" s="83"/>
      <c r="I33" s="83"/>
      <c r="J33" s="83"/>
      <c r="K33" s="83">
        <v>44.075720930065003</v>
      </c>
      <c r="L33" s="83">
        <v>44.075813953320903</v>
      </c>
      <c r="M33" s="83"/>
      <c r="N33" s="83"/>
      <c r="O33" s="82"/>
      <c r="P33" s="125"/>
    </row>
    <row r="34" spans="1:16" ht="13" x14ac:dyDescent="0.3">
      <c r="A34" s="55" t="s">
        <v>20</v>
      </c>
      <c r="B34" s="70"/>
      <c r="C34" s="70"/>
      <c r="D34" s="80">
        <v>4073.6677674464058</v>
      </c>
      <c r="E34" s="81">
        <v>4072.5330829783211</v>
      </c>
      <c r="F34" s="81">
        <v>4065.4436329783202</v>
      </c>
      <c r="G34" s="81">
        <v>3985.8928357442778</v>
      </c>
      <c r="H34" s="81">
        <v>3929.8941378719378</v>
      </c>
      <c r="I34" s="81">
        <v>3757.5771063826796</v>
      </c>
      <c r="J34" s="81">
        <v>2911.4637372337434</v>
      </c>
      <c r="K34" s="81">
        <v>2955.5559147595523</v>
      </c>
      <c r="L34" s="81">
        <v>1079.2773033147578</v>
      </c>
      <c r="M34" s="81">
        <v>1035.2082399997348</v>
      </c>
      <c r="N34" s="81">
        <v>597.90946829760708</v>
      </c>
      <c r="O34" s="80">
        <v>593.95961999992778</v>
      </c>
      <c r="P34" s="124">
        <v>593.96151780212574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Q37"/>
  <sheetViews>
    <sheetView showGridLines="0" topLeftCell="A10" zoomScale="80" zoomScaleNormal="80" workbookViewId="0">
      <selection activeCell="E23" sqref="E23"/>
    </sheetView>
  </sheetViews>
  <sheetFormatPr defaultRowHeight="12.5" x14ac:dyDescent="0.25"/>
  <cols>
    <col min="1" max="1" width="17.81640625" customWidth="1"/>
    <col min="2" max="2" width="20.6328125" customWidth="1"/>
    <col min="3" max="3" width="20" customWidth="1"/>
    <col min="4" max="4" width="20.54296875" bestFit="1" customWidth="1"/>
    <col min="5" max="18" width="9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108</v>
      </c>
      <c r="B4" s="47" t="s">
        <v>2</v>
      </c>
    </row>
    <row r="5" spans="1:2" x14ac:dyDescent="0.25">
      <c r="A5" s="46" t="s">
        <v>109</v>
      </c>
      <c r="B5" s="47" t="s">
        <v>2</v>
      </c>
    </row>
    <row r="6" spans="1:2" x14ac:dyDescent="0.25">
      <c r="A6" s="46" t="s">
        <v>18</v>
      </c>
      <c r="B6" s="47" t="s">
        <v>2</v>
      </c>
    </row>
    <row r="7" spans="1:2" x14ac:dyDescent="0.25">
      <c r="A7" s="46" t="s">
        <v>19</v>
      </c>
      <c r="B7" s="47" t="s">
        <v>2</v>
      </c>
    </row>
    <row r="8" spans="1:2" x14ac:dyDescent="0.25">
      <c r="A8" s="46" t="s">
        <v>121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69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14</v>
      </c>
      <c r="B15" s="47" t="s">
        <v>2</v>
      </c>
    </row>
    <row r="16" spans="1:2" x14ac:dyDescent="0.25">
      <c r="A16" s="46" t="s">
        <v>15</v>
      </c>
      <c r="B16" s="47" t="s">
        <v>2</v>
      </c>
    </row>
    <row r="17" spans="1:17" x14ac:dyDescent="0.25">
      <c r="A17" s="46" t="s">
        <v>6</v>
      </c>
      <c r="B17" s="47" t="s">
        <v>21</v>
      </c>
    </row>
    <row r="18" spans="1:17" x14ac:dyDescent="0.25">
      <c r="A18" s="46" t="s">
        <v>7</v>
      </c>
      <c r="B18" s="47" t="s">
        <v>2</v>
      </c>
    </row>
    <row r="19" spans="1:17" x14ac:dyDescent="0.25">
      <c r="A19" s="46" t="s">
        <v>104</v>
      </c>
      <c r="B19" s="47" t="s">
        <v>2</v>
      </c>
    </row>
    <row r="21" spans="1:17" x14ac:dyDescent="0.25">
      <c r="A21" s="39" t="s">
        <v>0</v>
      </c>
      <c r="B21" s="40"/>
      <c r="C21" s="40"/>
      <c r="D21" s="40"/>
      <c r="E21" s="39" t="s">
        <v>1</v>
      </c>
      <c r="F21" s="48" t="s">
        <v>3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1"/>
    </row>
    <row r="22" spans="1:17" x14ac:dyDescent="0.25">
      <c r="A22" s="42"/>
      <c r="B22" s="12"/>
      <c r="C22" s="12"/>
      <c r="D22" s="12"/>
      <c r="E22" s="68" t="s">
        <v>135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5" t="s">
        <v>155</v>
      </c>
      <c r="Q22" s="121"/>
    </row>
    <row r="23" spans="1:17" ht="13" x14ac:dyDescent="0.3">
      <c r="A23" s="67" t="s">
        <v>106</v>
      </c>
      <c r="B23" s="67" t="s">
        <v>107</v>
      </c>
      <c r="C23" s="67" t="s">
        <v>125</v>
      </c>
      <c r="D23" s="67" t="s">
        <v>22</v>
      </c>
      <c r="E23" s="62" t="s">
        <v>137</v>
      </c>
      <c r="F23" s="63" t="s">
        <v>144</v>
      </c>
      <c r="G23" s="63" t="s">
        <v>145</v>
      </c>
      <c r="H23" s="63" t="s">
        <v>146</v>
      </c>
      <c r="I23" s="63" t="s">
        <v>147</v>
      </c>
      <c r="J23" s="63" t="s">
        <v>148</v>
      </c>
      <c r="K23" s="63" t="s">
        <v>149</v>
      </c>
      <c r="L23" s="63" t="s">
        <v>150</v>
      </c>
      <c r="M23" s="63" t="s">
        <v>152</v>
      </c>
      <c r="N23" s="63" t="s">
        <v>153</v>
      </c>
      <c r="O23" s="63" t="s">
        <v>154</v>
      </c>
      <c r="P23" s="62" t="s">
        <v>156</v>
      </c>
      <c r="Q23" s="64" t="s">
        <v>158</v>
      </c>
    </row>
    <row r="24" spans="1:17" x14ac:dyDescent="0.25">
      <c r="A24" s="43" t="s">
        <v>142</v>
      </c>
      <c r="B24" s="43" t="s">
        <v>142</v>
      </c>
      <c r="C24" s="43" t="s">
        <v>126</v>
      </c>
      <c r="D24" s="43" t="s">
        <v>71</v>
      </c>
      <c r="E24" s="76">
        <v>1336.9425999999999</v>
      </c>
      <c r="F24" s="77">
        <v>1336.9425999999999</v>
      </c>
      <c r="G24" s="77">
        <v>1336.9426000000001</v>
      </c>
      <c r="H24" s="77">
        <v>1310.2272399999999</v>
      </c>
      <c r="I24" s="77">
        <v>1310.2272399999999</v>
      </c>
      <c r="J24" s="77">
        <v>1310.2272399999999</v>
      </c>
      <c r="K24" s="77">
        <v>862.68924000000004</v>
      </c>
      <c r="L24" s="77">
        <v>862.68924000000004</v>
      </c>
      <c r="M24" s="77">
        <v>175.26504</v>
      </c>
      <c r="N24" s="77">
        <v>175.26504</v>
      </c>
      <c r="O24" s="77">
        <v>14.203440000000001</v>
      </c>
      <c r="P24" s="76">
        <v>14.203440000000001</v>
      </c>
      <c r="Q24" s="78">
        <v>14.203440000000001</v>
      </c>
    </row>
    <row r="25" spans="1:17" x14ac:dyDescent="0.25">
      <c r="A25" s="42"/>
      <c r="B25" s="42"/>
      <c r="C25" s="42"/>
      <c r="D25" s="51" t="s">
        <v>70</v>
      </c>
      <c r="E25" s="79">
        <v>1063.346659148727</v>
      </c>
      <c r="F25" s="10">
        <v>1063.3466591487268</v>
      </c>
      <c r="G25" s="10">
        <v>1058.5132591487268</v>
      </c>
      <c r="H25" s="10">
        <v>1056.5689391487267</v>
      </c>
      <c r="I25" s="10">
        <v>1056.5689391487267</v>
      </c>
      <c r="J25" s="10">
        <v>963.29185255300933</v>
      </c>
      <c r="K25" s="10">
        <v>816.8638825530096</v>
      </c>
      <c r="L25" s="10">
        <v>816.86388255300949</v>
      </c>
      <c r="M25" s="10">
        <v>294.93576255300951</v>
      </c>
      <c r="N25" s="10">
        <v>294.93576255300951</v>
      </c>
      <c r="O25" s="10">
        <v>264.80736255300951</v>
      </c>
      <c r="P25" s="79">
        <v>266.38612219775274</v>
      </c>
      <c r="Q25" s="123">
        <v>266.38612219775274</v>
      </c>
    </row>
    <row r="26" spans="1:17" x14ac:dyDescent="0.25">
      <c r="A26" s="42"/>
      <c r="B26" s="42"/>
      <c r="C26" s="43" t="s">
        <v>127</v>
      </c>
      <c r="D26" s="40"/>
      <c r="E26" s="76">
        <v>2400.2892591487271</v>
      </c>
      <c r="F26" s="77">
        <v>2400.2892591487266</v>
      </c>
      <c r="G26" s="77">
        <v>2395.4558591487266</v>
      </c>
      <c r="H26" s="77">
        <v>2366.7961791487269</v>
      </c>
      <c r="I26" s="77">
        <v>2366.7961791487269</v>
      </c>
      <c r="J26" s="77">
        <v>2273.5190925530092</v>
      </c>
      <c r="K26" s="77">
        <v>1679.5531225530096</v>
      </c>
      <c r="L26" s="77">
        <v>1679.5531225530094</v>
      </c>
      <c r="M26" s="77">
        <v>470.20080255300951</v>
      </c>
      <c r="N26" s="77">
        <v>470.20080255300951</v>
      </c>
      <c r="O26" s="77">
        <v>279.01080255300951</v>
      </c>
      <c r="P26" s="76">
        <v>280.58956219775274</v>
      </c>
      <c r="Q26" s="78">
        <v>280.58956219775274</v>
      </c>
    </row>
    <row r="27" spans="1:17" x14ac:dyDescent="0.25">
      <c r="A27" s="42"/>
      <c r="B27" s="42"/>
      <c r="C27" s="43" t="s">
        <v>128</v>
      </c>
      <c r="D27" s="43" t="s">
        <v>74</v>
      </c>
      <c r="E27" s="76">
        <v>-1.3680000000000001</v>
      </c>
      <c r="F27" s="77">
        <v>-1.3680000000000001</v>
      </c>
      <c r="G27" s="77">
        <v>-1.3680000000000001</v>
      </c>
      <c r="H27" s="77">
        <v>-1.3680000000000001</v>
      </c>
      <c r="I27" s="77">
        <v>-1.3680000000000001</v>
      </c>
      <c r="J27" s="77">
        <v>-1.3680000000000001</v>
      </c>
      <c r="K27" s="77">
        <v>-1.3680000000000001</v>
      </c>
      <c r="L27" s="77">
        <v>-1.3680000000000001</v>
      </c>
      <c r="M27" s="77">
        <v>-1.3680000000000001</v>
      </c>
      <c r="N27" s="77">
        <v>-1.3680000000000001</v>
      </c>
      <c r="O27" s="77">
        <v>-1.3680000000000001</v>
      </c>
      <c r="P27" s="76">
        <v>-1.3680000000000001</v>
      </c>
      <c r="Q27" s="78">
        <v>-1.3680000000000001</v>
      </c>
    </row>
    <row r="28" spans="1:17" x14ac:dyDescent="0.25">
      <c r="A28" s="42"/>
      <c r="B28" s="42"/>
      <c r="C28" s="42"/>
      <c r="D28" s="51" t="s">
        <v>72</v>
      </c>
      <c r="E28" s="79">
        <v>596.60470404239402</v>
      </c>
      <c r="F28" s="10">
        <v>595.47001957430871</v>
      </c>
      <c r="G28" s="10">
        <v>595.47336957430889</v>
      </c>
      <c r="H28" s="10">
        <v>591.07960234026632</v>
      </c>
      <c r="I28" s="10">
        <v>535.08090446792596</v>
      </c>
      <c r="J28" s="10">
        <v>456.04095957438471</v>
      </c>
      <c r="K28" s="10">
        <v>409.13390042544847</v>
      </c>
      <c r="L28" s="10">
        <v>409.1503570211932</v>
      </c>
      <c r="M28" s="10">
        <v>332.29297680842728</v>
      </c>
      <c r="N28" s="10">
        <v>332.29972744672511</v>
      </c>
      <c r="O28" s="10">
        <v>272.83535574459745</v>
      </c>
      <c r="P28" s="79">
        <v>267.3067478021751</v>
      </c>
      <c r="Q28" s="123">
        <v>267.30864560437294</v>
      </c>
    </row>
    <row r="29" spans="1:17" x14ac:dyDescent="0.25">
      <c r="A29" s="42"/>
      <c r="B29" s="42"/>
      <c r="C29" s="42"/>
      <c r="D29" s="51" t="s">
        <v>73</v>
      </c>
      <c r="E29" s="79">
        <v>1078.1418042552853</v>
      </c>
      <c r="F29" s="10">
        <v>1078.1418042552853</v>
      </c>
      <c r="G29" s="10">
        <v>1075.8824042552853</v>
      </c>
      <c r="H29" s="10">
        <v>1029.3850542552852</v>
      </c>
      <c r="I29" s="10">
        <v>1029.3850542552852</v>
      </c>
      <c r="J29" s="10">
        <v>1029.3850542552852</v>
      </c>
      <c r="K29" s="10">
        <v>824.14471425528529</v>
      </c>
      <c r="L29" s="10">
        <v>824.14471425528541</v>
      </c>
      <c r="M29" s="10">
        <v>234.07571000000002</v>
      </c>
      <c r="N29" s="10">
        <v>234.07571000000002</v>
      </c>
      <c r="O29" s="10">
        <v>47.431309999999996</v>
      </c>
      <c r="P29" s="79">
        <v>47.431309999999996</v>
      </c>
      <c r="Q29" s="123">
        <v>47.431309999999996</v>
      </c>
    </row>
    <row r="30" spans="1:17" x14ac:dyDescent="0.25">
      <c r="A30" s="42"/>
      <c r="B30" s="42"/>
      <c r="C30" s="43" t="s">
        <v>129</v>
      </c>
      <c r="D30" s="40"/>
      <c r="E30" s="76">
        <v>1673.3785082976792</v>
      </c>
      <c r="F30" s="77">
        <v>1672.243823829594</v>
      </c>
      <c r="G30" s="77">
        <v>1669.9877738295941</v>
      </c>
      <c r="H30" s="77">
        <v>1619.0966565955514</v>
      </c>
      <c r="I30" s="77">
        <v>1563.0979587232111</v>
      </c>
      <c r="J30" s="77">
        <v>1484.05801382967</v>
      </c>
      <c r="K30" s="77">
        <v>1231.9106146807337</v>
      </c>
      <c r="L30" s="77">
        <v>1231.9270712764787</v>
      </c>
      <c r="M30" s="77">
        <v>565.0006868084273</v>
      </c>
      <c r="N30" s="77">
        <v>565.00743744672513</v>
      </c>
      <c r="O30" s="77">
        <v>318.89866574459745</v>
      </c>
      <c r="P30" s="76">
        <v>313.3700578021751</v>
      </c>
      <c r="Q30" s="78">
        <v>313.37195560437294</v>
      </c>
    </row>
    <row r="31" spans="1:17" x14ac:dyDescent="0.25">
      <c r="A31" s="42"/>
      <c r="B31" s="43" t="s">
        <v>143</v>
      </c>
      <c r="C31" s="40"/>
      <c r="D31" s="40"/>
      <c r="E31" s="76">
        <v>4073.6677674464063</v>
      </c>
      <c r="F31" s="77">
        <v>4072.5330829783206</v>
      </c>
      <c r="G31" s="77">
        <v>4065.4436329783211</v>
      </c>
      <c r="H31" s="77">
        <v>3985.8928357442783</v>
      </c>
      <c r="I31" s="77">
        <v>3929.8941378719383</v>
      </c>
      <c r="J31" s="77">
        <v>3757.5771063826796</v>
      </c>
      <c r="K31" s="77">
        <v>2911.4637372337434</v>
      </c>
      <c r="L31" s="77">
        <v>2911.4801938294877</v>
      </c>
      <c r="M31" s="77">
        <v>1035.2014893614369</v>
      </c>
      <c r="N31" s="77">
        <v>1035.2082399997346</v>
      </c>
      <c r="O31" s="77">
        <v>597.90946829760696</v>
      </c>
      <c r="P31" s="76">
        <v>593.95961999992778</v>
      </c>
      <c r="Q31" s="78">
        <v>593.96151780212563</v>
      </c>
    </row>
    <row r="32" spans="1:17" ht="13" x14ac:dyDescent="0.3">
      <c r="A32" s="71" t="s">
        <v>143</v>
      </c>
      <c r="B32" s="72"/>
      <c r="C32" s="72"/>
      <c r="D32" s="72"/>
      <c r="E32" s="82">
        <v>4073.6677674464063</v>
      </c>
      <c r="F32" s="83">
        <v>4072.5330829783206</v>
      </c>
      <c r="G32" s="83">
        <v>4065.4436329783211</v>
      </c>
      <c r="H32" s="83">
        <v>3985.8928357442783</v>
      </c>
      <c r="I32" s="83">
        <v>3929.8941378719383</v>
      </c>
      <c r="J32" s="83">
        <v>3757.5771063826796</v>
      </c>
      <c r="K32" s="83">
        <v>2911.4637372337434</v>
      </c>
      <c r="L32" s="83">
        <v>2911.4801938294877</v>
      </c>
      <c r="M32" s="83">
        <v>1035.2014893614369</v>
      </c>
      <c r="N32" s="83">
        <v>1035.2082399997346</v>
      </c>
      <c r="O32" s="83">
        <v>597.90946829760696</v>
      </c>
      <c r="P32" s="82">
        <v>593.95961999992778</v>
      </c>
      <c r="Q32" s="125">
        <v>593.96151780212563</v>
      </c>
    </row>
    <row r="33" spans="1:17" x14ac:dyDescent="0.25">
      <c r="A33" s="43" t="s">
        <v>138</v>
      </c>
      <c r="B33" s="43" t="s">
        <v>138</v>
      </c>
      <c r="C33" s="43" t="s">
        <v>128</v>
      </c>
      <c r="D33" s="43" t="s">
        <v>72</v>
      </c>
      <c r="E33" s="76"/>
      <c r="F33" s="77"/>
      <c r="G33" s="77"/>
      <c r="H33" s="77"/>
      <c r="I33" s="77"/>
      <c r="J33" s="77"/>
      <c r="K33" s="77"/>
      <c r="L33" s="77">
        <v>44.075720930065003</v>
      </c>
      <c r="M33" s="77">
        <v>44.075813953320903</v>
      </c>
      <c r="N33" s="77"/>
      <c r="O33" s="77"/>
      <c r="P33" s="76"/>
      <c r="Q33" s="78"/>
    </row>
    <row r="34" spans="1:17" x14ac:dyDescent="0.25">
      <c r="A34" s="42"/>
      <c r="B34" s="42"/>
      <c r="C34" s="43" t="s">
        <v>129</v>
      </c>
      <c r="D34" s="40"/>
      <c r="E34" s="76"/>
      <c r="F34" s="77"/>
      <c r="G34" s="77"/>
      <c r="H34" s="77"/>
      <c r="I34" s="77"/>
      <c r="J34" s="77"/>
      <c r="K34" s="77"/>
      <c r="L34" s="77">
        <v>44.075720930065003</v>
      </c>
      <c r="M34" s="77">
        <v>44.075813953320903</v>
      </c>
      <c r="N34" s="77"/>
      <c r="O34" s="77"/>
      <c r="P34" s="76"/>
      <c r="Q34" s="78"/>
    </row>
    <row r="35" spans="1:17" x14ac:dyDescent="0.25">
      <c r="A35" s="42"/>
      <c r="B35" s="43" t="s">
        <v>139</v>
      </c>
      <c r="C35" s="40"/>
      <c r="D35" s="40"/>
      <c r="E35" s="76"/>
      <c r="F35" s="77"/>
      <c r="G35" s="77"/>
      <c r="H35" s="77"/>
      <c r="I35" s="77"/>
      <c r="J35" s="77"/>
      <c r="K35" s="77"/>
      <c r="L35" s="77">
        <v>44.075720930065003</v>
      </c>
      <c r="M35" s="77">
        <v>44.075813953320903</v>
      </c>
      <c r="N35" s="77"/>
      <c r="O35" s="77"/>
      <c r="P35" s="76"/>
      <c r="Q35" s="78"/>
    </row>
    <row r="36" spans="1:17" ht="13" x14ac:dyDescent="0.3">
      <c r="A36" s="71" t="s">
        <v>139</v>
      </c>
      <c r="B36" s="72"/>
      <c r="C36" s="72"/>
      <c r="D36" s="72"/>
      <c r="E36" s="82"/>
      <c r="F36" s="83"/>
      <c r="G36" s="83"/>
      <c r="H36" s="83"/>
      <c r="I36" s="83"/>
      <c r="J36" s="83"/>
      <c r="K36" s="83"/>
      <c r="L36" s="83">
        <v>44.075720930065003</v>
      </c>
      <c r="M36" s="83">
        <v>44.075813953320903</v>
      </c>
      <c r="N36" s="83"/>
      <c r="O36" s="83"/>
      <c r="P36" s="82"/>
      <c r="Q36" s="125"/>
    </row>
    <row r="37" spans="1:17" ht="13" x14ac:dyDescent="0.3">
      <c r="A37" s="55" t="s">
        <v>20</v>
      </c>
      <c r="B37" s="70"/>
      <c r="C37" s="70"/>
      <c r="D37" s="70"/>
      <c r="E37" s="80">
        <v>4073.6677674464063</v>
      </c>
      <c r="F37" s="81">
        <v>4072.5330829783206</v>
      </c>
      <c r="G37" s="81">
        <v>4065.4436329783211</v>
      </c>
      <c r="H37" s="81">
        <v>3985.8928357442783</v>
      </c>
      <c r="I37" s="81">
        <v>3929.8941378719383</v>
      </c>
      <c r="J37" s="81">
        <v>3757.5771063826796</v>
      </c>
      <c r="K37" s="81">
        <v>2911.4637372337434</v>
      </c>
      <c r="L37" s="81">
        <v>2955.5559147595527</v>
      </c>
      <c r="M37" s="81">
        <v>1079.2773033147578</v>
      </c>
      <c r="N37" s="81">
        <v>1035.2082399997346</v>
      </c>
      <c r="O37" s="81">
        <v>597.90946829760696</v>
      </c>
      <c r="P37" s="80">
        <v>593.95961999992778</v>
      </c>
      <c r="Q37" s="124">
        <v>593.96151780212563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P40"/>
  <sheetViews>
    <sheetView showGridLines="0" topLeftCell="A15" zoomScale="80" zoomScaleNormal="80" workbookViewId="0">
      <selection activeCell="D23" sqref="D23"/>
    </sheetView>
  </sheetViews>
  <sheetFormatPr defaultRowHeight="12.5" x14ac:dyDescent="0.25"/>
  <cols>
    <col min="1" max="1" width="16.7265625" bestFit="1" customWidth="1"/>
    <col min="2" max="2" width="17.6328125" customWidth="1"/>
    <col min="3" max="3" width="20.08984375" bestFit="1" customWidth="1"/>
    <col min="4" max="17" width="9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108</v>
      </c>
      <c r="B4" s="47" t="s">
        <v>2</v>
      </c>
    </row>
    <row r="5" spans="1:2" x14ac:dyDescent="0.25">
      <c r="A5" s="46" t="s">
        <v>109</v>
      </c>
      <c r="B5" s="47" t="s">
        <v>2</v>
      </c>
    </row>
    <row r="6" spans="1:2" x14ac:dyDescent="0.25">
      <c r="A6" s="46" t="s">
        <v>18</v>
      </c>
      <c r="B6" s="47" t="s">
        <v>2</v>
      </c>
    </row>
    <row r="7" spans="1:2" x14ac:dyDescent="0.25">
      <c r="A7" s="46" t="s">
        <v>19</v>
      </c>
      <c r="B7" s="47" t="s">
        <v>2</v>
      </c>
    </row>
    <row r="8" spans="1:2" x14ac:dyDescent="0.25">
      <c r="A8" s="46" t="s">
        <v>121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122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22</v>
      </c>
      <c r="B15" s="47" t="s">
        <v>2</v>
      </c>
    </row>
    <row r="16" spans="1:2" x14ac:dyDescent="0.25">
      <c r="A16" s="46" t="s">
        <v>14</v>
      </c>
      <c r="B16" s="47" t="s">
        <v>2</v>
      </c>
    </row>
    <row r="17" spans="1:16" x14ac:dyDescent="0.25">
      <c r="A17" s="46" t="s">
        <v>15</v>
      </c>
      <c r="B17" s="47" t="s">
        <v>2</v>
      </c>
    </row>
    <row r="18" spans="1:16" x14ac:dyDescent="0.25">
      <c r="A18" s="46" t="s">
        <v>6</v>
      </c>
      <c r="B18" s="47" t="s">
        <v>21</v>
      </c>
    </row>
    <row r="19" spans="1:16" x14ac:dyDescent="0.25">
      <c r="A19" s="46" t="s">
        <v>7</v>
      </c>
      <c r="B19" s="47" t="s">
        <v>2</v>
      </c>
    </row>
    <row r="21" spans="1:16" x14ac:dyDescent="0.25">
      <c r="A21" s="39" t="s">
        <v>0</v>
      </c>
      <c r="B21" s="40"/>
      <c r="C21" s="40"/>
      <c r="D21" s="39" t="s">
        <v>1</v>
      </c>
      <c r="E21" s="48" t="s">
        <v>3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</row>
    <row r="22" spans="1:16" x14ac:dyDescent="0.25">
      <c r="A22" s="42"/>
      <c r="B22" s="12"/>
      <c r="C22" s="12"/>
      <c r="D22" s="68" t="s">
        <v>135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5" t="s">
        <v>155</v>
      </c>
      <c r="P22" s="121"/>
    </row>
    <row r="23" spans="1:16" ht="13" x14ac:dyDescent="0.3">
      <c r="A23" s="67" t="s">
        <v>106</v>
      </c>
      <c r="B23" s="67" t="s">
        <v>107</v>
      </c>
      <c r="C23" s="67" t="s">
        <v>104</v>
      </c>
      <c r="D23" s="62" t="s">
        <v>137</v>
      </c>
      <c r="E23" s="63" t="s">
        <v>144</v>
      </c>
      <c r="F23" s="63" t="s">
        <v>145</v>
      </c>
      <c r="G23" s="63" t="s">
        <v>146</v>
      </c>
      <c r="H23" s="63" t="s">
        <v>147</v>
      </c>
      <c r="I23" s="63" t="s">
        <v>148</v>
      </c>
      <c r="J23" s="63" t="s">
        <v>149</v>
      </c>
      <c r="K23" s="63" t="s">
        <v>150</v>
      </c>
      <c r="L23" s="63" t="s">
        <v>152</v>
      </c>
      <c r="M23" s="63" t="s">
        <v>153</v>
      </c>
      <c r="N23" s="63" t="s">
        <v>154</v>
      </c>
      <c r="O23" s="62" t="s">
        <v>156</v>
      </c>
      <c r="P23" s="64" t="s">
        <v>158</v>
      </c>
    </row>
    <row r="24" spans="1:16" x14ac:dyDescent="0.25">
      <c r="A24" s="43" t="s">
        <v>61</v>
      </c>
      <c r="B24" s="43" t="s">
        <v>115</v>
      </c>
      <c r="C24" s="43" t="s">
        <v>27</v>
      </c>
      <c r="D24" s="76">
        <v>1746.9134400000003</v>
      </c>
      <c r="E24" s="77">
        <v>1729.7108799999999</v>
      </c>
      <c r="F24" s="77">
        <v>1743.8949100000002</v>
      </c>
      <c r="G24" s="77">
        <v>1672.9795199999999</v>
      </c>
      <c r="H24" s="77">
        <v>1600.6696400000003</v>
      </c>
      <c r="I24" s="77">
        <v>1615.74683</v>
      </c>
      <c r="J24" s="77">
        <v>1609.5631500000004</v>
      </c>
      <c r="K24" s="77">
        <v>1596.5078999999996</v>
      </c>
      <c r="L24" s="77">
        <v>1577.0760899999998</v>
      </c>
      <c r="M24" s="77">
        <v>1432.1907299999998</v>
      </c>
      <c r="N24" s="77">
        <v>0.72936000000000001</v>
      </c>
      <c r="O24" s="76">
        <v>8.5067799999999991</v>
      </c>
      <c r="P24" s="78">
        <v>8.050889999999999</v>
      </c>
    </row>
    <row r="25" spans="1:16" x14ac:dyDescent="0.25">
      <c r="A25" s="42"/>
      <c r="B25" s="42"/>
      <c r="C25" s="51" t="s">
        <v>31</v>
      </c>
      <c r="D25" s="79">
        <v>581.46470000000011</v>
      </c>
      <c r="E25" s="10">
        <v>591.29117000000008</v>
      </c>
      <c r="F25" s="10">
        <v>580.11065999999994</v>
      </c>
      <c r="G25" s="10">
        <v>600.58903000000009</v>
      </c>
      <c r="H25" s="10">
        <v>606.44798000000003</v>
      </c>
      <c r="I25" s="10">
        <v>591.37198999999998</v>
      </c>
      <c r="J25" s="10">
        <v>597.55538999999999</v>
      </c>
      <c r="K25" s="10">
        <v>610.10527999999999</v>
      </c>
      <c r="L25" s="10">
        <v>629.54232000000013</v>
      </c>
      <c r="M25" s="10">
        <v>774.43590999999992</v>
      </c>
      <c r="N25" s="10">
        <v>569.2890900000001</v>
      </c>
      <c r="O25" s="79">
        <v>561.50842</v>
      </c>
      <c r="P25" s="123">
        <v>577.47811000000013</v>
      </c>
    </row>
    <row r="26" spans="1:16" x14ac:dyDescent="0.25">
      <c r="A26" s="42"/>
      <c r="B26" s="42"/>
      <c r="C26" s="51" t="s">
        <v>28</v>
      </c>
      <c r="D26" s="79">
        <v>383.58492999999999</v>
      </c>
      <c r="E26" s="10">
        <v>383.58492999999993</v>
      </c>
      <c r="F26" s="10">
        <v>383.58492999999993</v>
      </c>
      <c r="G26" s="10">
        <v>428.04492999999997</v>
      </c>
      <c r="H26" s="10">
        <v>362.67798999999997</v>
      </c>
      <c r="I26" s="10">
        <v>130.24536000000001</v>
      </c>
      <c r="J26" s="10">
        <v>113.876</v>
      </c>
      <c r="K26" s="10">
        <v>114.376</v>
      </c>
      <c r="L26" s="10">
        <v>114.376</v>
      </c>
      <c r="M26" s="10">
        <v>66.945999999999998</v>
      </c>
      <c r="N26" s="10">
        <v>1637.1011900000001</v>
      </c>
      <c r="O26" s="79">
        <v>1637.1011900000001</v>
      </c>
      <c r="P26" s="123">
        <v>1637.1011900000001</v>
      </c>
    </row>
    <row r="27" spans="1:16" x14ac:dyDescent="0.25">
      <c r="A27" s="42"/>
      <c r="B27" s="43" t="s">
        <v>117</v>
      </c>
      <c r="C27" s="40"/>
      <c r="D27" s="76">
        <v>2711.9630700000002</v>
      </c>
      <c r="E27" s="77">
        <v>2704.58698</v>
      </c>
      <c r="F27" s="77">
        <v>2707.5905000000002</v>
      </c>
      <c r="G27" s="77">
        <v>2701.61348</v>
      </c>
      <c r="H27" s="77">
        <v>2569.7956100000006</v>
      </c>
      <c r="I27" s="77">
        <v>2337.36418</v>
      </c>
      <c r="J27" s="77">
        <v>2320.9945400000006</v>
      </c>
      <c r="K27" s="77">
        <v>2320.9891799999996</v>
      </c>
      <c r="L27" s="77">
        <v>2320.9944100000002</v>
      </c>
      <c r="M27" s="77">
        <v>2273.5726399999994</v>
      </c>
      <c r="N27" s="77">
        <v>2207.1196400000003</v>
      </c>
      <c r="O27" s="76">
        <v>2207.1163900000001</v>
      </c>
      <c r="P27" s="78">
        <v>2222.6301900000003</v>
      </c>
    </row>
    <row r="28" spans="1:16" ht="13" x14ac:dyDescent="0.3">
      <c r="A28" s="71" t="s">
        <v>62</v>
      </c>
      <c r="B28" s="72"/>
      <c r="C28" s="72"/>
      <c r="D28" s="82">
        <v>2711.9630700000002</v>
      </c>
      <c r="E28" s="83">
        <v>2704.58698</v>
      </c>
      <c r="F28" s="83">
        <v>2707.5905000000002</v>
      </c>
      <c r="G28" s="83">
        <v>2701.61348</v>
      </c>
      <c r="H28" s="83">
        <v>2569.7956100000006</v>
      </c>
      <c r="I28" s="83">
        <v>2337.36418</v>
      </c>
      <c r="J28" s="83">
        <v>2320.9945400000006</v>
      </c>
      <c r="K28" s="83">
        <v>2320.9891799999996</v>
      </c>
      <c r="L28" s="83">
        <v>2320.9944100000002</v>
      </c>
      <c r="M28" s="83">
        <v>2273.5726399999994</v>
      </c>
      <c r="N28" s="83">
        <v>2207.1196400000003</v>
      </c>
      <c r="O28" s="82">
        <v>2207.1163900000001</v>
      </c>
      <c r="P28" s="125">
        <v>2222.6301900000003</v>
      </c>
    </row>
    <row r="29" spans="1:16" x14ac:dyDescent="0.25">
      <c r="A29" s="43" t="s">
        <v>110</v>
      </c>
      <c r="B29" s="43" t="s">
        <v>63</v>
      </c>
      <c r="C29" s="43" t="s">
        <v>27</v>
      </c>
      <c r="D29" s="76">
        <v>479.26277002228642</v>
      </c>
      <c r="E29" s="77">
        <v>479.26277002228642</v>
      </c>
      <c r="F29" s="77">
        <v>479.26277002228642</v>
      </c>
      <c r="G29" s="77">
        <v>479.26277002228642</v>
      </c>
      <c r="H29" s="77">
        <v>479.26277002228642</v>
      </c>
      <c r="I29" s="77">
        <v>90.096491286838045</v>
      </c>
      <c r="J29" s="77">
        <v>90.096491286838045</v>
      </c>
      <c r="K29" s="77">
        <v>90.096491286838045</v>
      </c>
      <c r="L29" s="77">
        <v>69.081012193312006</v>
      </c>
      <c r="M29" s="77">
        <v>69.081012193312006</v>
      </c>
      <c r="N29" s="77"/>
      <c r="O29" s="76"/>
      <c r="P29" s="78"/>
    </row>
    <row r="30" spans="1:16" x14ac:dyDescent="0.25">
      <c r="A30" s="42"/>
      <c r="B30" s="42"/>
      <c r="C30" s="51" t="s">
        <v>28</v>
      </c>
      <c r="D30" s="79">
        <v>679.26492681147204</v>
      </c>
      <c r="E30" s="10">
        <v>679.26492681147204</v>
      </c>
      <c r="F30" s="10">
        <v>679.26492681147204</v>
      </c>
      <c r="G30" s="10">
        <v>543.97507315647965</v>
      </c>
      <c r="H30" s="10"/>
      <c r="I30" s="10">
        <v>389.16627873544803</v>
      </c>
      <c r="J30" s="10">
        <v>389.16627873544803</v>
      </c>
      <c r="K30" s="10">
        <v>389.16627873544803</v>
      </c>
      <c r="L30" s="10">
        <v>410.18175782897436</v>
      </c>
      <c r="M30" s="10">
        <v>410.18175782897436</v>
      </c>
      <c r="N30" s="10">
        <v>479.26277002228642</v>
      </c>
      <c r="O30" s="79">
        <v>77.884617470627205</v>
      </c>
      <c r="P30" s="123">
        <v>77.884617470627205</v>
      </c>
    </row>
    <row r="31" spans="1:16" x14ac:dyDescent="0.25">
      <c r="A31" s="42"/>
      <c r="B31" s="42"/>
      <c r="C31" s="51" t="s">
        <v>58</v>
      </c>
      <c r="D31" s="79">
        <v>-0.159501470447</v>
      </c>
      <c r="E31" s="10">
        <v>-0.159501470447</v>
      </c>
      <c r="F31" s="10">
        <v>-0.159501470447</v>
      </c>
      <c r="G31" s="10">
        <v>-0.159501470447</v>
      </c>
      <c r="H31" s="10">
        <v>-0.159501470447</v>
      </c>
      <c r="I31" s="10">
        <v>-0.159501470447</v>
      </c>
      <c r="J31" s="10">
        <v>-0.159501470447</v>
      </c>
      <c r="K31" s="10">
        <v>-0.159501470447</v>
      </c>
      <c r="L31" s="10">
        <v>-0.159501470447</v>
      </c>
      <c r="M31" s="10">
        <v>-0.159501470447</v>
      </c>
      <c r="N31" s="10">
        <v>-0.159501470447</v>
      </c>
      <c r="O31" s="79">
        <v>-0.14583209729614999</v>
      </c>
      <c r="P31" s="123">
        <v>-0.14583209729614999</v>
      </c>
    </row>
    <row r="32" spans="1:16" x14ac:dyDescent="0.25">
      <c r="A32" s="42"/>
      <c r="B32" s="43" t="s">
        <v>64</v>
      </c>
      <c r="C32" s="40"/>
      <c r="D32" s="76">
        <v>1158.3681953633115</v>
      </c>
      <c r="E32" s="77">
        <v>1158.3681953633115</v>
      </c>
      <c r="F32" s="77">
        <v>1158.3681953633115</v>
      </c>
      <c r="G32" s="77">
        <v>1023.078341708319</v>
      </c>
      <c r="H32" s="77">
        <v>479.10326855183939</v>
      </c>
      <c r="I32" s="77">
        <v>479.10326855183905</v>
      </c>
      <c r="J32" s="77">
        <v>479.10326855183905</v>
      </c>
      <c r="K32" s="77">
        <v>479.10326855183905</v>
      </c>
      <c r="L32" s="77">
        <v>479.10326855183934</v>
      </c>
      <c r="M32" s="77">
        <v>479.10326855183934</v>
      </c>
      <c r="N32" s="77">
        <v>479.10326855183939</v>
      </c>
      <c r="O32" s="76">
        <v>77.738785373331055</v>
      </c>
      <c r="P32" s="78">
        <v>77.738785373331055</v>
      </c>
    </row>
    <row r="33" spans="1:16" ht="13" x14ac:dyDescent="0.3">
      <c r="A33" s="71" t="s">
        <v>112</v>
      </c>
      <c r="B33" s="72"/>
      <c r="C33" s="72"/>
      <c r="D33" s="82">
        <v>1158.3681953633115</v>
      </c>
      <c r="E33" s="83">
        <v>1158.3681953633115</v>
      </c>
      <c r="F33" s="83">
        <v>1158.3681953633115</v>
      </c>
      <c r="G33" s="83">
        <v>1023.078341708319</v>
      </c>
      <c r="H33" s="83">
        <v>479.10326855183939</v>
      </c>
      <c r="I33" s="83">
        <v>479.10326855183905</v>
      </c>
      <c r="J33" s="83">
        <v>479.10326855183905</v>
      </c>
      <c r="K33" s="83">
        <v>479.10326855183905</v>
      </c>
      <c r="L33" s="83">
        <v>479.10326855183934</v>
      </c>
      <c r="M33" s="83">
        <v>479.10326855183934</v>
      </c>
      <c r="N33" s="83">
        <v>479.10326855183939</v>
      </c>
      <c r="O33" s="82">
        <v>77.738785373331055</v>
      </c>
      <c r="P33" s="125">
        <v>77.738785373331055</v>
      </c>
    </row>
    <row r="34" spans="1:16" x14ac:dyDescent="0.25">
      <c r="A34" s="43" t="s">
        <v>142</v>
      </c>
      <c r="B34" s="43" t="s">
        <v>142</v>
      </c>
      <c r="C34" s="43" t="s">
        <v>27</v>
      </c>
      <c r="D34" s="76">
        <v>10659.945955105526</v>
      </c>
      <c r="E34" s="77">
        <v>8929.3939880842772</v>
      </c>
      <c r="F34" s="77">
        <v>6155.0351419148883</v>
      </c>
      <c r="G34" s="77">
        <v>4904.4834029787226</v>
      </c>
      <c r="H34" s="77">
        <v>4130.1042123404222</v>
      </c>
      <c r="I34" s="77">
        <v>3466.7957431914879</v>
      </c>
      <c r="J34" s="77">
        <v>3158.3777457446795</v>
      </c>
      <c r="K34" s="77">
        <v>2515.1938982978709</v>
      </c>
      <c r="L34" s="77">
        <v>1924.5333655319143</v>
      </c>
      <c r="M34" s="77">
        <v>1193.3943382978721</v>
      </c>
      <c r="N34" s="77">
        <v>1592.6650561701815</v>
      </c>
      <c r="O34" s="76">
        <v>5446.2376890109881</v>
      </c>
      <c r="P34" s="78">
        <v>5431.6049910988995</v>
      </c>
    </row>
    <row r="35" spans="1:16" x14ac:dyDescent="0.25">
      <c r="A35" s="42"/>
      <c r="B35" s="42"/>
      <c r="C35" s="51" t="s">
        <v>31</v>
      </c>
      <c r="D35" s="79">
        <v>6133.9001544679495</v>
      </c>
      <c r="E35" s="10">
        <v>6272.6915687232695</v>
      </c>
      <c r="F35" s="10">
        <v>6422.7262868083744</v>
      </c>
      <c r="G35" s="10">
        <v>6606.6074838296536</v>
      </c>
      <c r="H35" s="10">
        <v>6815.4459414892253</v>
      </c>
      <c r="I35" s="10">
        <v>7063.9597661700764</v>
      </c>
      <c r="J35" s="10">
        <v>7372.37479638284</v>
      </c>
      <c r="K35" s="10">
        <v>7769.123159361563</v>
      </c>
      <c r="L35" s="10">
        <v>8282.8527917019892</v>
      </c>
      <c r="M35" s="10">
        <v>9013.9722972339023</v>
      </c>
      <c r="N35" s="10">
        <v>8475.0784912764884</v>
      </c>
      <c r="O35" s="79">
        <v>4273.5264827472238</v>
      </c>
      <c r="P35" s="123">
        <v>4288.1642697801917</v>
      </c>
    </row>
    <row r="36" spans="1:16" x14ac:dyDescent="0.25">
      <c r="A36" s="42"/>
      <c r="B36" s="42"/>
      <c r="C36" s="51" t="s">
        <v>28</v>
      </c>
      <c r="D36" s="79">
        <v>3986.5547621273527</v>
      </c>
      <c r="E36" s="10">
        <v>5566.5925706379639</v>
      </c>
      <c r="F36" s="10">
        <v>8127.3308231903302</v>
      </c>
      <c r="G36" s="10">
        <v>8791.9773431903304</v>
      </c>
      <c r="H36" s="10">
        <v>9047.5750431903307</v>
      </c>
      <c r="I36" s="10">
        <v>6570.4201110629765</v>
      </c>
      <c r="J36" s="10">
        <v>6263.0898810629769</v>
      </c>
      <c r="K36" s="10">
        <v>4917.7869825523676</v>
      </c>
      <c r="L36" s="10">
        <v>2370.3793000000001</v>
      </c>
      <c r="M36" s="10">
        <v>1303.6993</v>
      </c>
      <c r="N36" s="10">
        <v>877.81006000000002</v>
      </c>
      <c r="O36" s="79">
        <v>812.19451934065114</v>
      </c>
      <c r="P36" s="123">
        <v>812.19451934065114</v>
      </c>
    </row>
    <row r="37" spans="1:16" x14ac:dyDescent="0.25">
      <c r="A37" s="42"/>
      <c r="B37" s="42"/>
      <c r="C37" s="51" t="s">
        <v>58</v>
      </c>
      <c r="D37" s="79">
        <v>407.55352531911439</v>
      </c>
      <c r="E37" s="10">
        <v>407.55352531911439</v>
      </c>
      <c r="F37" s="10">
        <v>407.55352531911439</v>
      </c>
      <c r="G37" s="10">
        <v>407.55352531911439</v>
      </c>
      <c r="H37" s="10">
        <v>407.55352531911439</v>
      </c>
      <c r="I37" s="10">
        <v>407.55352531911439</v>
      </c>
      <c r="J37" s="10">
        <v>407.55352531911439</v>
      </c>
      <c r="K37" s="10">
        <v>407.55352531911439</v>
      </c>
      <c r="L37" s="10">
        <v>407.55352531911439</v>
      </c>
      <c r="M37" s="10">
        <v>407.55352531911439</v>
      </c>
      <c r="N37" s="10">
        <v>407.55352531911439</v>
      </c>
      <c r="O37" s="79">
        <v>407.85298978021035</v>
      </c>
      <c r="P37" s="123">
        <v>407.85298978021035</v>
      </c>
    </row>
    <row r="38" spans="1:16" x14ac:dyDescent="0.25">
      <c r="A38" s="42"/>
      <c r="B38" s="43" t="s">
        <v>143</v>
      </c>
      <c r="C38" s="40"/>
      <c r="D38" s="76">
        <v>21187.954397019941</v>
      </c>
      <c r="E38" s="77">
        <v>21176.231652764625</v>
      </c>
      <c r="F38" s="77">
        <v>21112.645777232708</v>
      </c>
      <c r="G38" s="77">
        <v>20710.621755317821</v>
      </c>
      <c r="H38" s="77">
        <v>20400.678722339097</v>
      </c>
      <c r="I38" s="77">
        <v>17508.729145743655</v>
      </c>
      <c r="J38" s="77">
        <v>17201.395948509613</v>
      </c>
      <c r="K38" s="77">
        <v>15609.657565530915</v>
      </c>
      <c r="L38" s="77">
        <v>12985.318982553017</v>
      </c>
      <c r="M38" s="77">
        <v>11918.619460850889</v>
      </c>
      <c r="N38" s="77">
        <v>11353.107132765783</v>
      </c>
      <c r="O38" s="76">
        <v>10939.811680879075</v>
      </c>
      <c r="P38" s="78">
        <v>10939.816769999954</v>
      </c>
    </row>
    <row r="39" spans="1:16" ht="13" x14ac:dyDescent="0.3">
      <c r="A39" s="71" t="s">
        <v>143</v>
      </c>
      <c r="B39" s="72"/>
      <c r="C39" s="72"/>
      <c r="D39" s="82">
        <v>21187.954397019941</v>
      </c>
      <c r="E39" s="83">
        <v>21176.231652764625</v>
      </c>
      <c r="F39" s="83">
        <v>21112.645777232708</v>
      </c>
      <c r="G39" s="83">
        <v>20710.621755317821</v>
      </c>
      <c r="H39" s="83">
        <v>20400.678722339097</v>
      </c>
      <c r="I39" s="83">
        <v>17508.729145743655</v>
      </c>
      <c r="J39" s="83">
        <v>17201.395948509613</v>
      </c>
      <c r="K39" s="83">
        <v>15609.657565530915</v>
      </c>
      <c r="L39" s="83">
        <v>12985.318982553017</v>
      </c>
      <c r="M39" s="83">
        <v>11918.619460850889</v>
      </c>
      <c r="N39" s="83">
        <v>11353.107132765783</v>
      </c>
      <c r="O39" s="82">
        <v>10939.811680879075</v>
      </c>
      <c r="P39" s="125">
        <v>10939.816769999954</v>
      </c>
    </row>
    <row r="40" spans="1:16" ht="13" x14ac:dyDescent="0.3">
      <c r="A40" s="55" t="s">
        <v>20</v>
      </c>
      <c r="B40" s="70"/>
      <c r="C40" s="70"/>
      <c r="D40" s="80">
        <v>25058.285662383252</v>
      </c>
      <c r="E40" s="81">
        <v>25039.186828127938</v>
      </c>
      <c r="F40" s="81">
        <v>24978.60447259602</v>
      </c>
      <c r="G40" s="81">
        <v>24435.31357702614</v>
      </c>
      <c r="H40" s="81">
        <v>23449.577600890934</v>
      </c>
      <c r="I40" s="81">
        <v>20325.196594295496</v>
      </c>
      <c r="J40" s="81">
        <v>20001.493757061453</v>
      </c>
      <c r="K40" s="81">
        <v>18409.750014082754</v>
      </c>
      <c r="L40" s="81">
        <v>15785.416661104857</v>
      </c>
      <c r="M40" s="81">
        <v>14671.295369402726</v>
      </c>
      <c r="N40" s="81">
        <v>14039.330041317624</v>
      </c>
      <c r="O40" s="80">
        <v>13224.666856252406</v>
      </c>
      <c r="P40" s="124">
        <v>13240.185745373286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Q51"/>
  <sheetViews>
    <sheetView showGridLines="0" topLeftCell="A21" zoomScale="80" zoomScaleNormal="80" workbookViewId="0">
      <selection activeCell="E23" sqref="E23"/>
    </sheetView>
  </sheetViews>
  <sheetFormatPr defaultRowHeight="12.5" x14ac:dyDescent="0.25"/>
  <cols>
    <col min="1" max="1" width="16.7265625" bestFit="1" customWidth="1"/>
    <col min="2" max="2" width="15" customWidth="1"/>
    <col min="3" max="3" width="20" customWidth="1"/>
    <col min="4" max="4" width="20.54296875" bestFit="1" customWidth="1"/>
    <col min="5" max="18" width="9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108</v>
      </c>
      <c r="B4" s="47" t="s">
        <v>2</v>
      </c>
    </row>
    <row r="5" spans="1:2" x14ac:dyDescent="0.25">
      <c r="A5" s="46" t="s">
        <v>109</v>
      </c>
      <c r="B5" s="47" t="s">
        <v>2</v>
      </c>
    </row>
    <row r="6" spans="1:2" x14ac:dyDescent="0.25">
      <c r="A6" s="46" t="s">
        <v>18</v>
      </c>
      <c r="B6" s="47" t="s">
        <v>2</v>
      </c>
    </row>
    <row r="7" spans="1:2" x14ac:dyDescent="0.25">
      <c r="A7" s="46" t="s">
        <v>19</v>
      </c>
      <c r="B7" s="47" t="s">
        <v>2</v>
      </c>
    </row>
    <row r="8" spans="1:2" x14ac:dyDescent="0.25">
      <c r="A8" s="46" t="s">
        <v>121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122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14</v>
      </c>
      <c r="B15" s="47" t="s">
        <v>2</v>
      </c>
    </row>
    <row r="16" spans="1:2" x14ac:dyDescent="0.25">
      <c r="A16" s="46" t="s">
        <v>15</v>
      </c>
      <c r="B16" s="47" t="s">
        <v>2</v>
      </c>
    </row>
    <row r="17" spans="1:17" x14ac:dyDescent="0.25">
      <c r="A17" s="46" t="s">
        <v>6</v>
      </c>
      <c r="B17" s="47" t="s">
        <v>21</v>
      </c>
    </row>
    <row r="18" spans="1:17" x14ac:dyDescent="0.25">
      <c r="A18" s="46" t="s">
        <v>7</v>
      </c>
      <c r="B18" s="47" t="s">
        <v>2</v>
      </c>
    </row>
    <row r="19" spans="1:17" x14ac:dyDescent="0.25">
      <c r="A19" s="46" t="s">
        <v>104</v>
      </c>
      <c r="B19" s="47" t="s">
        <v>2</v>
      </c>
    </row>
    <row r="21" spans="1:17" x14ac:dyDescent="0.25">
      <c r="A21" s="39" t="s">
        <v>0</v>
      </c>
      <c r="B21" s="40"/>
      <c r="C21" s="40"/>
      <c r="D21" s="40"/>
      <c r="E21" s="39" t="s">
        <v>1</v>
      </c>
      <c r="F21" s="48" t="s">
        <v>3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1"/>
    </row>
    <row r="22" spans="1:17" x14ac:dyDescent="0.25">
      <c r="A22" s="42"/>
      <c r="B22" s="12"/>
      <c r="C22" s="12"/>
      <c r="D22" s="12"/>
      <c r="E22" s="68" t="s">
        <v>135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5" t="s">
        <v>155</v>
      </c>
      <c r="Q22" s="121"/>
    </row>
    <row r="23" spans="1:17" ht="13" x14ac:dyDescent="0.3">
      <c r="A23" s="67" t="s">
        <v>106</v>
      </c>
      <c r="B23" s="67" t="s">
        <v>107</v>
      </c>
      <c r="C23" s="67" t="s">
        <v>125</v>
      </c>
      <c r="D23" s="67" t="s">
        <v>22</v>
      </c>
      <c r="E23" s="62" t="s">
        <v>137</v>
      </c>
      <c r="F23" s="63" t="s">
        <v>144</v>
      </c>
      <c r="G23" s="63" t="s">
        <v>145</v>
      </c>
      <c r="H23" s="63" t="s">
        <v>146</v>
      </c>
      <c r="I23" s="63" t="s">
        <v>147</v>
      </c>
      <c r="J23" s="63" t="s">
        <v>148</v>
      </c>
      <c r="K23" s="63" t="s">
        <v>149</v>
      </c>
      <c r="L23" s="63" t="s">
        <v>150</v>
      </c>
      <c r="M23" s="63" t="s">
        <v>152</v>
      </c>
      <c r="N23" s="63" t="s">
        <v>153</v>
      </c>
      <c r="O23" s="63" t="s">
        <v>154</v>
      </c>
      <c r="P23" s="62" t="s">
        <v>156</v>
      </c>
      <c r="Q23" s="64" t="s">
        <v>158</v>
      </c>
    </row>
    <row r="24" spans="1:17" x14ac:dyDescent="0.25">
      <c r="A24" s="43" t="s">
        <v>61</v>
      </c>
      <c r="B24" s="43" t="s">
        <v>115</v>
      </c>
      <c r="C24" s="43" t="s">
        <v>126</v>
      </c>
      <c r="D24" s="43" t="s">
        <v>71</v>
      </c>
      <c r="E24" s="76">
        <v>23.417629999999999</v>
      </c>
      <c r="F24" s="77">
        <v>23.417629999999999</v>
      </c>
      <c r="G24" s="77">
        <v>23.417629999999999</v>
      </c>
      <c r="H24" s="77">
        <v>23.417629999999999</v>
      </c>
      <c r="I24" s="77">
        <v>23.417629999999999</v>
      </c>
      <c r="J24" s="77"/>
      <c r="K24" s="77"/>
      <c r="L24" s="77"/>
      <c r="M24" s="77"/>
      <c r="N24" s="77"/>
      <c r="O24" s="77"/>
      <c r="P24" s="76"/>
      <c r="Q24" s="78"/>
    </row>
    <row r="25" spans="1:17" x14ac:dyDescent="0.25">
      <c r="A25" s="42"/>
      <c r="B25" s="42"/>
      <c r="C25" s="42"/>
      <c r="D25" s="51" t="s">
        <v>70</v>
      </c>
      <c r="E25" s="79">
        <v>743.22183999999993</v>
      </c>
      <c r="F25" s="10">
        <v>743.22183999999993</v>
      </c>
      <c r="G25" s="10">
        <v>743.22183999999993</v>
      </c>
      <c r="H25" s="10">
        <v>741.24183999999991</v>
      </c>
      <c r="I25" s="10">
        <v>731.41390000000001</v>
      </c>
      <c r="J25" s="10">
        <v>687.90139999999997</v>
      </c>
      <c r="K25" s="10">
        <v>687.90139999999997</v>
      </c>
      <c r="L25" s="10">
        <v>687.90139999999997</v>
      </c>
      <c r="M25" s="10">
        <v>687.90139999999997</v>
      </c>
      <c r="N25" s="10">
        <v>687.90139999999997</v>
      </c>
      <c r="O25" s="10">
        <v>687.90139999999985</v>
      </c>
      <c r="P25" s="79">
        <v>687.90139999999985</v>
      </c>
      <c r="Q25" s="123">
        <v>697.68989999999985</v>
      </c>
    </row>
    <row r="26" spans="1:17" x14ac:dyDescent="0.25">
      <c r="A26" s="42"/>
      <c r="B26" s="42"/>
      <c r="C26" s="43" t="s">
        <v>127</v>
      </c>
      <c r="D26" s="40"/>
      <c r="E26" s="76">
        <v>766.63946999999996</v>
      </c>
      <c r="F26" s="77">
        <v>766.63946999999996</v>
      </c>
      <c r="G26" s="77">
        <v>766.63946999999996</v>
      </c>
      <c r="H26" s="77">
        <v>764.65946999999994</v>
      </c>
      <c r="I26" s="77">
        <v>754.83153000000004</v>
      </c>
      <c r="J26" s="77">
        <v>687.90139999999997</v>
      </c>
      <c r="K26" s="77">
        <v>687.90139999999997</v>
      </c>
      <c r="L26" s="77">
        <v>687.90139999999997</v>
      </c>
      <c r="M26" s="77">
        <v>687.90139999999997</v>
      </c>
      <c r="N26" s="77">
        <v>687.90139999999997</v>
      </c>
      <c r="O26" s="77">
        <v>687.90139999999985</v>
      </c>
      <c r="P26" s="76">
        <v>687.90139999999985</v>
      </c>
      <c r="Q26" s="78">
        <v>697.68989999999985</v>
      </c>
    </row>
    <row r="27" spans="1:17" x14ac:dyDescent="0.25">
      <c r="A27" s="42"/>
      <c r="B27" s="42"/>
      <c r="C27" s="43" t="s">
        <v>128</v>
      </c>
      <c r="D27" s="43" t="s">
        <v>74</v>
      </c>
      <c r="E27" s="76">
        <v>7.38748</v>
      </c>
      <c r="F27" s="77">
        <v>3.3924799999999999</v>
      </c>
      <c r="G27" s="77">
        <v>3.3924799999999999</v>
      </c>
      <c r="H27" s="77">
        <v>3.3924799999999999</v>
      </c>
      <c r="I27" s="77">
        <v>3.3924799999999999</v>
      </c>
      <c r="J27" s="77">
        <v>3.3924799999999999</v>
      </c>
      <c r="K27" s="77"/>
      <c r="L27" s="77"/>
      <c r="M27" s="77"/>
      <c r="N27" s="77"/>
      <c r="O27" s="77"/>
      <c r="P27" s="76"/>
      <c r="Q27" s="78">
        <v>5.7240000000000002</v>
      </c>
    </row>
    <row r="28" spans="1:17" x14ac:dyDescent="0.25">
      <c r="A28" s="42"/>
      <c r="B28" s="42"/>
      <c r="C28" s="42"/>
      <c r="D28" s="51" t="s">
        <v>72</v>
      </c>
      <c r="E28" s="79">
        <v>1926.9948400000003</v>
      </c>
      <c r="F28" s="10">
        <v>1923.6137500000004</v>
      </c>
      <c r="G28" s="10">
        <v>1926.6172700000002</v>
      </c>
      <c r="H28" s="10">
        <v>1922.6202499999997</v>
      </c>
      <c r="I28" s="10">
        <v>1800.6303200000002</v>
      </c>
      <c r="J28" s="10">
        <v>1635.1290200000001</v>
      </c>
      <c r="K28" s="10">
        <v>1633.0931400000004</v>
      </c>
      <c r="L28" s="10">
        <v>1633.0877799999996</v>
      </c>
      <c r="M28" s="10">
        <v>1633.09301</v>
      </c>
      <c r="N28" s="10">
        <v>1585.6712399999997</v>
      </c>
      <c r="O28" s="10">
        <v>1519.2182399999999</v>
      </c>
      <c r="P28" s="79">
        <v>1519.2149899999999</v>
      </c>
      <c r="Q28" s="123">
        <v>1519.2162899999996</v>
      </c>
    </row>
    <row r="29" spans="1:17" x14ac:dyDescent="0.25">
      <c r="A29" s="42"/>
      <c r="B29" s="42"/>
      <c r="C29" s="42"/>
      <c r="D29" s="51" t="s">
        <v>73</v>
      </c>
      <c r="E29" s="79">
        <v>10.941280000000001</v>
      </c>
      <c r="F29" s="10">
        <v>10.941280000000001</v>
      </c>
      <c r="G29" s="10">
        <v>10.941280000000001</v>
      </c>
      <c r="H29" s="10">
        <v>10.941280000000001</v>
      </c>
      <c r="I29" s="10">
        <v>10.941280000000001</v>
      </c>
      <c r="J29" s="10">
        <v>10.941280000000001</v>
      </c>
      <c r="K29" s="10"/>
      <c r="L29" s="10"/>
      <c r="M29" s="10"/>
      <c r="N29" s="10"/>
      <c r="O29" s="10"/>
      <c r="P29" s="79"/>
      <c r="Q29" s="123"/>
    </row>
    <row r="30" spans="1:17" x14ac:dyDescent="0.25">
      <c r="A30" s="42"/>
      <c r="B30" s="42"/>
      <c r="C30" s="43" t="s">
        <v>129</v>
      </c>
      <c r="D30" s="40"/>
      <c r="E30" s="76">
        <v>1945.3236000000004</v>
      </c>
      <c r="F30" s="77">
        <v>1937.9475100000004</v>
      </c>
      <c r="G30" s="77">
        <v>1940.9510300000002</v>
      </c>
      <c r="H30" s="77">
        <v>1936.9540099999997</v>
      </c>
      <c r="I30" s="77">
        <v>1814.9640800000002</v>
      </c>
      <c r="J30" s="77">
        <v>1649.4627800000001</v>
      </c>
      <c r="K30" s="77">
        <v>1633.0931400000004</v>
      </c>
      <c r="L30" s="77">
        <v>1633.0877799999996</v>
      </c>
      <c r="M30" s="77">
        <v>1633.09301</v>
      </c>
      <c r="N30" s="77">
        <v>1585.6712399999997</v>
      </c>
      <c r="O30" s="77">
        <v>1519.2182399999999</v>
      </c>
      <c r="P30" s="76">
        <v>1519.2149899999999</v>
      </c>
      <c r="Q30" s="78">
        <v>1524.9402899999995</v>
      </c>
    </row>
    <row r="31" spans="1:17" x14ac:dyDescent="0.25">
      <c r="A31" s="42"/>
      <c r="B31" s="43" t="s">
        <v>117</v>
      </c>
      <c r="C31" s="40"/>
      <c r="D31" s="40"/>
      <c r="E31" s="76">
        <v>2711.9630700000002</v>
      </c>
      <c r="F31" s="77">
        <v>2704.5869800000005</v>
      </c>
      <c r="G31" s="77">
        <v>2707.5905000000002</v>
      </c>
      <c r="H31" s="77">
        <v>2701.6134799999995</v>
      </c>
      <c r="I31" s="77">
        <v>2569.7956100000001</v>
      </c>
      <c r="J31" s="77">
        <v>2337.36418</v>
      </c>
      <c r="K31" s="77">
        <v>2320.9945400000006</v>
      </c>
      <c r="L31" s="77">
        <v>2320.9891799999996</v>
      </c>
      <c r="M31" s="77">
        <v>2320.9944100000002</v>
      </c>
      <c r="N31" s="77">
        <v>2273.5726399999994</v>
      </c>
      <c r="O31" s="77">
        <v>2207.1196399999999</v>
      </c>
      <c r="P31" s="76">
        <v>2207.1163899999997</v>
      </c>
      <c r="Q31" s="78">
        <v>2222.6301899999994</v>
      </c>
    </row>
    <row r="32" spans="1:17" ht="13" x14ac:dyDescent="0.3">
      <c r="A32" s="71" t="s">
        <v>62</v>
      </c>
      <c r="B32" s="72"/>
      <c r="C32" s="72"/>
      <c r="D32" s="72"/>
      <c r="E32" s="82">
        <v>2711.9630700000002</v>
      </c>
      <c r="F32" s="83">
        <v>2704.5869800000005</v>
      </c>
      <c r="G32" s="83">
        <v>2707.5905000000002</v>
      </c>
      <c r="H32" s="83">
        <v>2701.6134799999995</v>
      </c>
      <c r="I32" s="83">
        <v>2569.7956100000001</v>
      </c>
      <c r="J32" s="83">
        <v>2337.36418</v>
      </c>
      <c r="K32" s="83">
        <v>2320.9945400000006</v>
      </c>
      <c r="L32" s="83">
        <v>2320.9891799999996</v>
      </c>
      <c r="M32" s="83">
        <v>2320.9944100000002</v>
      </c>
      <c r="N32" s="83">
        <v>2273.5726399999994</v>
      </c>
      <c r="O32" s="83">
        <v>2207.1196399999999</v>
      </c>
      <c r="P32" s="82">
        <v>2207.1163899999997</v>
      </c>
      <c r="Q32" s="125">
        <v>2222.6301899999994</v>
      </c>
    </row>
    <row r="33" spans="1:17" x14ac:dyDescent="0.25">
      <c r="A33" s="43" t="s">
        <v>110</v>
      </c>
      <c r="B33" s="43" t="s">
        <v>63</v>
      </c>
      <c r="C33" s="43" t="s">
        <v>126</v>
      </c>
      <c r="D33" s="43" t="s">
        <v>71</v>
      </c>
      <c r="E33" s="76">
        <v>517.17133053339217</v>
      </c>
      <c r="F33" s="77">
        <v>517.17133053339217</v>
      </c>
      <c r="G33" s="77">
        <v>517.17133053339217</v>
      </c>
      <c r="H33" s="77">
        <v>517.17133053339217</v>
      </c>
      <c r="I33" s="77">
        <v>208.26193681326208</v>
      </c>
      <c r="J33" s="77">
        <v>208.26193681326183</v>
      </c>
      <c r="K33" s="77">
        <v>208.26193681326183</v>
      </c>
      <c r="L33" s="77">
        <v>208.26193681326183</v>
      </c>
      <c r="M33" s="77">
        <v>208.26193681326208</v>
      </c>
      <c r="N33" s="77">
        <v>208.26193681326208</v>
      </c>
      <c r="O33" s="77">
        <v>208.26193681326208</v>
      </c>
      <c r="P33" s="76">
        <v>7.8499629063225802</v>
      </c>
      <c r="Q33" s="78">
        <v>7.8499629063225802</v>
      </c>
    </row>
    <row r="34" spans="1:17" x14ac:dyDescent="0.25">
      <c r="A34" s="42"/>
      <c r="B34" s="42"/>
      <c r="C34" s="42"/>
      <c r="D34" s="51" t="s">
        <v>70</v>
      </c>
      <c r="E34" s="79">
        <v>87.975324678830944</v>
      </c>
      <c r="F34" s="10">
        <v>87.97532467883093</v>
      </c>
      <c r="G34" s="10">
        <v>87.97532467883093</v>
      </c>
      <c r="H34" s="10">
        <v>83.875617361865181</v>
      </c>
      <c r="I34" s="10">
        <v>78.420195759220661</v>
      </c>
      <c r="J34" s="10">
        <v>78.42019575922059</v>
      </c>
      <c r="K34" s="10">
        <v>78.42019575922059</v>
      </c>
      <c r="L34" s="10">
        <v>78.42019575922059</v>
      </c>
      <c r="M34" s="10">
        <v>78.420195759220661</v>
      </c>
      <c r="N34" s="10">
        <v>78.420195759220661</v>
      </c>
      <c r="O34" s="10">
        <v>78.420195759220661</v>
      </c>
      <c r="P34" s="79">
        <v>7.5098895414312192</v>
      </c>
      <c r="Q34" s="123">
        <v>7.5098895414312192</v>
      </c>
    </row>
    <row r="35" spans="1:17" x14ac:dyDescent="0.25">
      <c r="A35" s="42"/>
      <c r="B35" s="42"/>
      <c r="C35" s="43" t="s">
        <v>127</v>
      </c>
      <c r="D35" s="40"/>
      <c r="E35" s="76">
        <v>605.1466552122231</v>
      </c>
      <c r="F35" s="77">
        <v>605.1466552122231</v>
      </c>
      <c r="G35" s="77">
        <v>605.1466552122231</v>
      </c>
      <c r="H35" s="77">
        <v>601.04694789525729</v>
      </c>
      <c r="I35" s="77">
        <v>286.68213257248271</v>
      </c>
      <c r="J35" s="77">
        <v>286.68213257248243</v>
      </c>
      <c r="K35" s="77">
        <v>286.68213257248243</v>
      </c>
      <c r="L35" s="77">
        <v>286.68213257248243</v>
      </c>
      <c r="M35" s="77">
        <v>286.68213257248271</v>
      </c>
      <c r="N35" s="77">
        <v>286.68213257248271</v>
      </c>
      <c r="O35" s="77">
        <v>286.68213257248271</v>
      </c>
      <c r="P35" s="76">
        <v>15.359852447753799</v>
      </c>
      <c r="Q35" s="78">
        <v>15.359852447753799</v>
      </c>
    </row>
    <row r="36" spans="1:17" x14ac:dyDescent="0.25">
      <c r="A36" s="42"/>
      <c r="B36" s="42"/>
      <c r="C36" s="43" t="s">
        <v>128</v>
      </c>
      <c r="D36" s="43" t="s">
        <v>74</v>
      </c>
      <c r="E36" s="76">
        <v>376.43061048145813</v>
      </c>
      <c r="F36" s="77">
        <v>376.43061048145807</v>
      </c>
      <c r="G36" s="77">
        <v>376.43061048145807</v>
      </c>
      <c r="H36" s="77">
        <v>314.2917812147931</v>
      </c>
      <c r="I36" s="77">
        <v>141.1850077001651</v>
      </c>
      <c r="J36" s="77">
        <v>141.1850077001651</v>
      </c>
      <c r="K36" s="77">
        <v>141.1850077001651</v>
      </c>
      <c r="L36" s="77">
        <v>141.1850077001651</v>
      </c>
      <c r="M36" s="77">
        <v>141.1850077001651</v>
      </c>
      <c r="N36" s="77">
        <v>141.1850077001651</v>
      </c>
      <c r="O36" s="77">
        <v>141.1850077001651</v>
      </c>
      <c r="P36" s="76">
        <v>59.695930558941292</v>
      </c>
      <c r="Q36" s="78">
        <v>59.695930558941292</v>
      </c>
    </row>
    <row r="37" spans="1:17" x14ac:dyDescent="0.25">
      <c r="A37" s="42"/>
      <c r="B37" s="42"/>
      <c r="C37" s="42"/>
      <c r="D37" s="51" t="s">
        <v>72</v>
      </c>
      <c r="E37" s="79">
        <v>130.7600417604697</v>
      </c>
      <c r="F37" s="10">
        <v>130.7600417604697</v>
      </c>
      <c r="G37" s="10">
        <v>130.7600417604697</v>
      </c>
      <c r="H37" s="10">
        <v>107.74296859034101</v>
      </c>
      <c r="I37" s="10">
        <v>51.239484271263905</v>
      </c>
      <c r="J37" s="10">
        <v>51.239484271263876</v>
      </c>
      <c r="K37" s="10">
        <v>51.239484271263876</v>
      </c>
      <c r="L37" s="10">
        <v>51.239484271263876</v>
      </c>
      <c r="M37" s="10">
        <v>51.239484271263905</v>
      </c>
      <c r="N37" s="10">
        <v>51.239484271263905</v>
      </c>
      <c r="O37" s="10">
        <v>51.239484271263905</v>
      </c>
      <c r="P37" s="79">
        <v>2.6860532803749502</v>
      </c>
      <c r="Q37" s="123">
        <v>2.6860532803749502</v>
      </c>
    </row>
    <row r="38" spans="1:17" x14ac:dyDescent="0.25">
      <c r="A38" s="42"/>
      <c r="B38" s="42"/>
      <c r="C38" s="42"/>
      <c r="D38" s="51" t="s">
        <v>73</v>
      </c>
      <c r="E38" s="79">
        <v>46.030887909160541</v>
      </c>
      <c r="F38" s="10">
        <v>46.030887909160541</v>
      </c>
      <c r="G38" s="10">
        <v>46.030887909160541</v>
      </c>
      <c r="H38" s="10">
        <v>-3.3559920723599999E-3</v>
      </c>
      <c r="I38" s="10">
        <v>-3.3559920723599999E-3</v>
      </c>
      <c r="J38" s="10">
        <v>-3.3559920723599999E-3</v>
      </c>
      <c r="K38" s="10">
        <v>-3.3559920723599999E-3</v>
      </c>
      <c r="L38" s="10">
        <v>-3.3559920723599999E-3</v>
      </c>
      <c r="M38" s="10">
        <v>-3.3559920723599999E-3</v>
      </c>
      <c r="N38" s="10">
        <v>-3.3559920723599999E-3</v>
      </c>
      <c r="O38" s="10">
        <v>-3.3559920723599999E-3</v>
      </c>
      <c r="P38" s="79">
        <v>-3.0509137389800002E-3</v>
      </c>
      <c r="Q38" s="123">
        <v>-3.0509137389800002E-3</v>
      </c>
    </row>
    <row r="39" spans="1:17" x14ac:dyDescent="0.25">
      <c r="A39" s="42"/>
      <c r="B39" s="42"/>
      <c r="C39" s="43" t="s">
        <v>129</v>
      </c>
      <c r="D39" s="40"/>
      <c r="E39" s="76">
        <v>553.22154015108845</v>
      </c>
      <c r="F39" s="77">
        <v>553.22154015108833</v>
      </c>
      <c r="G39" s="77">
        <v>553.22154015108833</v>
      </c>
      <c r="H39" s="77">
        <v>422.0313938130617</v>
      </c>
      <c r="I39" s="77">
        <v>192.42113597935665</v>
      </c>
      <c r="J39" s="77">
        <v>192.42113597935662</v>
      </c>
      <c r="K39" s="77">
        <v>192.42113597935662</v>
      </c>
      <c r="L39" s="77">
        <v>192.42113597935662</v>
      </c>
      <c r="M39" s="77">
        <v>192.42113597935665</v>
      </c>
      <c r="N39" s="77">
        <v>192.42113597935665</v>
      </c>
      <c r="O39" s="77">
        <v>192.42113597935665</v>
      </c>
      <c r="P39" s="76">
        <v>62.37893292557726</v>
      </c>
      <c r="Q39" s="78">
        <v>62.37893292557726</v>
      </c>
    </row>
    <row r="40" spans="1:17" x14ac:dyDescent="0.25">
      <c r="A40" s="42"/>
      <c r="B40" s="43" t="s">
        <v>64</v>
      </c>
      <c r="C40" s="40"/>
      <c r="D40" s="40"/>
      <c r="E40" s="76">
        <v>1158.3681953633115</v>
      </c>
      <c r="F40" s="77">
        <v>1158.3681953633115</v>
      </c>
      <c r="G40" s="77">
        <v>1158.3681953633115</v>
      </c>
      <c r="H40" s="77">
        <v>1023.078341708319</v>
      </c>
      <c r="I40" s="77">
        <v>479.10326855183934</v>
      </c>
      <c r="J40" s="77">
        <v>479.10326855183899</v>
      </c>
      <c r="K40" s="77">
        <v>479.10326855183899</v>
      </c>
      <c r="L40" s="77">
        <v>479.10326855183899</v>
      </c>
      <c r="M40" s="77">
        <v>479.10326855183934</v>
      </c>
      <c r="N40" s="77">
        <v>479.10326855183934</v>
      </c>
      <c r="O40" s="77">
        <v>479.10326855183934</v>
      </c>
      <c r="P40" s="76">
        <v>77.738785373331069</v>
      </c>
      <c r="Q40" s="78">
        <v>77.738785373331069</v>
      </c>
    </row>
    <row r="41" spans="1:17" ht="13" x14ac:dyDescent="0.3">
      <c r="A41" s="71" t="s">
        <v>112</v>
      </c>
      <c r="B41" s="72"/>
      <c r="C41" s="72"/>
      <c r="D41" s="72"/>
      <c r="E41" s="82">
        <v>1158.3681953633115</v>
      </c>
      <c r="F41" s="83">
        <v>1158.3681953633115</v>
      </c>
      <c r="G41" s="83">
        <v>1158.3681953633115</v>
      </c>
      <c r="H41" s="83">
        <v>1023.078341708319</v>
      </c>
      <c r="I41" s="83">
        <v>479.10326855183934</v>
      </c>
      <c r="J41" s="83">
        <v>479.10326855183899</v>
      </c>
      <c r="K41" s="83">
        <v>479.10326855183899</v>
      </c>
      <c r="L41" s="83">
        <v>479.10326855183899</v>
      </c>
      <c r="M41" s="83">
        <v>479.10326855183934</v>
      </c>
      <c r="N41" s="83">
        <v>479.10326855183934</v>
      </c>
      <c r="O41" s="83">
        <v>479.10326855183934</v>
      </c>
      <c r="P41" s="82">
        <v>77.738785373331069</v>
      </c>
      <c r="Q41" s="125">
        <v>77.738785373331069</v>
      </c>
    </row>
    <row r="42" spans="1:17" x14ac:dyDescent="0.25">
      <c r="A42" s="43" t="s">
        <v>142</v>
      </c>
      <c r="B42" s="43" t="s">
        <v>142</v>
      </c>
      <c r="C42" s="43" t="s">
        <v>126</v>
      </c>
      <c r="D42" s="43" t="s">
        <v>71</v>
      </c>
      <c r="E42" s="76">
        <v>3391.3217899999991</v>
      </c>
      <c r="F42" s="77">
        <v>3386.4077900000007</v>
      </c>
      <c r="G42" s="77">
        <v>3386.4077900000007</v>
      </c>
      <c r="H42" s="77">
        <v>3297.3958000000002</v>
      </c>
      <c r="I42" s="77">
        <v>3297.3958000000002</v>
      </c>
      <c r="J42" s="77">
        <v>3237.2863000000002</v>
      </c>
      <c r="K42" s="77">
        <v>3237.2862999999998</v>
      </c>
      <c r="L42" s="77">
        <v>2438.0880999999999</v>
      </c>
      <c r="M42" s="77">
        <v>2198.5524999999998</v>
      </c>
      <c r="N42" s="77">
        <v>2035.1623000000002</v>
      </c>
      <c r="O42" s="77">
        <v>2035.1622999999997</v>
      </c>
      <c r="P42" s="76">
        <v>1815.1578999999999</v>
      </c>
      <c r="Q42" s="78">
        <v>1815.1578999999999</v>
      </c>
    </row>
    <row r="43" spans="1:17" x14ac:dyDescent="0.25">
      <c r="A43" s="42"/>
      <c r="B43" s="42"/>
      <c r="C43" s="42"/>
      <c r="D43" s="51" t="s">
        <v>70</v>
      </c>
      <c r="E43" s="79">
        <v>6356.6156695742284</v>
      </c>
      <c r="F43" s="10">
        <v>6353.0456695742296</v>
      </c>
      <c r="G43" s="10">
        <v>6311.8198795742273</v>
      </c>
      <c r="H43" s="10">
        <v>6274.3015595742299</v>
      </c>
      <c r="I43" s="10">
        <v>6270.8015595742299</v>
      </c>
      <c r="J43" s="10">
        <v>4226.3090063828822</v>
      </c>
      <c r="K43" s="10">
        <v>4226.3090063828822</v>
      </c>
      <c r="L43" s="10">
        <v>4040.0858063828823</v>
      </c>
      <c r="M43" s="10">
        <v>3929.1584063828827</v>
      </c>
      <c r="N43" s="10">
        <v>3445.680806382883</v>
      </c>
      <c r="O43" s="10">
        <v>3436.3008063828829</v>
      </c>
      <c r="P43" s="79">
        <v>3433.6827989010721</v>
      </c>
      <c r="Q43" s="123">
        <v>3433.6827989010726</v>
      </c>
    </row>
    <row r="44" spans="1:17" x14ac:dyDescent="0.25">
      <c r="A44" s="42"/>
      <c r="B44" s="42"/>
      <c r="C44" s="43" t="s">
        <v>127</v>
      </c>
      <c r="D44" s="40"/>
      <c r="E44" s="76">
        <v>9747.9374595742265</v>
      </c>
      <c r="F44" s="77">
        <v>9739.4534595742298</v>
      </c>
      <c r="G44" s="77">
        <v>9698.2276695742275</v>
      </c>
      <c r="H44" s="77">
        <v>9571.6973595742311</v>
      </c>
      <c r="I44" s="77">
        <v>9568.1973595742311</v>
      </c>
      <c r="J44" s="77">
        <v>7463.595306382882</v>
      </c>
      <c r="K44" s="77">
        <v>7463.595306382882</v>
      </c>
      <c r="L44" s="77">
        <v>6478.1739063828827</v>
      </c>
      <c r="M44" s="77">
        <v>6127.710906382883</v>
      </c>
      <c r="N44" s="77">
        <v>5480.843106382883</v>
      </c>
      <c r="O44" s="77">
        <v>5471.4631063828829</v>
      </c>
      <c r="P44" s="76">
        <v>5248.8406989010718</v>
      </c>
      <c r="Q44" s="78">
        <v>5248.8406989010728</v>
      </c>
    </row>
    <row r="45" spans="1:17" x14ac:dyDescent="0.25">
      <c r="A45" s="42"/>
      <c r="B45" s="42"/>
      <c r="C45" s="43" t="s">
        <v>128</v>
      </c>
      <c r="D45" s="43" t="s">
        <v>74</v>
      </c>
      <c r="E45" s="76">
        <v>353.96453000000002</v>
      </c>
      <c r="F45" s="77">
        <v>352.83953000000002</v>
      </c>
      <c r="G45" s="77">
        <v>352.83953000000002</v>
      </c>
      <c r="H45" s="77">
        <v>352.83953000000002</v>
      </c>
      <c r="I45" s="77">
        <v>352.83953000000002</v>
      </c>
      <c r="J45" s="77">
        <v>155.01320999999999</v>
      </c>
      <c r="K45" s="77">
        <v>155.01320999999999</v>
      </c>
      <c r="L45" s="77">
        <v>155.01320999999999</v>
      </c>
      <c r="M45" s="77">
        <v>155.01320999999999</v>
      </c>
      <c r="N45" s="77">
        <v>155.01320999999999</v>
      </c>
      <c r="O45" s="77">
        <v>155.01320999999999</v>
      </c>
      <c r="P45" s="76">
        <v>155.01320999999999</v>
      </c>
      <c r="Q45" s="78">
        <v>155.01320999999999</v>
      </c>
    </row>
    <row r="46" spans="1:17" x14ac:dyDescent="0.25">
      <c r="A46" s="42"/>
      <c r="B46" s="42"/>
      <c r="C46" s="42"/>
      <c r="D46" s="51" t="s">
        <v>72</v>
      </c>
      <c r="E46" s="79">
        <v>3900.9091248933469</v>
      </c>
      <c r="F46" s="10">
        <v>3898.7953806380283</v>
      </c>
      <c r="G46" s="10">
        <v>3898.8026951061142</v>
      </c>
      <c r="H46" s="10">
        <v>3880.5270331912197</v>
      </c>
      <c r="I46" s="10">
        <v>3574.0840002124964</v>
      </c>
      <c r="J46" s="10">
        <v>3024.5827968084045</v>
      </c>
      <c r="K46" s="10">
        <v>3020.642329574363</v>
      </c>
      <c r="L46" s="10">
        <v>2919.9633465956676</v>
      </c>
      <c r="M46" s="10">
        <v>2836.8572061701352</v>
      </c>
      <c r="N46" s="10">
        <v>2781.424084468008</v>
      </c>
      <c r="O46" s="10">
        <v>2596.6917563829011</v>
      </c>
      <c r="P46" s="79">
        <v>2406.0187119780012</v>
      </c>
      <c r="Q46" s="123">
        <v>2406.0238010988801</v>
      </c>
    </row>
    <row r="47" spans="1:17" x14ac:dyDescent="0.25">
      <c r="A47" s="42"/>
      <c r="B47" s="42"/>
      <c r="C47" s="42"/>
      <c r="D47" s="51" t="s">
        <v>73</v>
      </c>
      <c r="E47" s="79">
        <v>7185.1432825523652</v>
      </c>
      <c r="F47" s="10">
        <v>7185.1432825523661</v>
      </c>
      <c r="G47" s="10">
        <v>7162.7758825523679</v>
      </c>
      <c r="H47" s="10">
        <v>6905.5578325523675</v>
      </c>
      <c r="I47" s="10">
        <v>6905.5578325523675</v>
      </c>
      <c r="J47" s="10">
        <v>6865.537832552367</v>
      </c>
      <c r="K47" s="10">
        <v>6562.1451025523675</v>
      </c>
      <c r="L47" s="10">
        <v>6056.5071025523666</v>
      </c>
      <c r="M47" s="10">
        <v>3865.7376599999998</v>
      </c>
      <c r="N47" s="10">
        <v>3501.3390599999993</v>
      </c>
      <c r="O47" s="10">
        <v>3129.9390599999997</v>
      </c>
      <c r="P47" s="79">
        <v>3129.9390599999997</v>
      </c>
      <c r="Q47" s="123">
        <v>3129.9390599999997</v>
      </c>
    </row>
    <row r="48" spans="1:17" x14ac:dyDescent="0.25">
      <c r="A48" s="42"/>
      <c r="B48" s="42"/>
      <c r="C48" s="43" t="s">
        <v>129</v>
      </c>
      <c r="D48" s="40"/>
      <c r="E48" s="76">
        <v>11440.016937445711</v>
      </c>
      <c r="F48" s="77">
        <v>11436.778193190396</v>
      </c>
      <c r="G48" s="77">
        <v>11414.418107658483</v>
      </c>
      <c r="H48" s="77">
        <v>11138.924395743587</v>
      </c>
      <c r="I48" s="77">
        <v>10832.481362764864</v>
      </c>
      <c r="J48" s="77">
        <v>10045.133839360771</v>
      </c>
      <c r="K48" s="77">
        <v>9737.800642126731</v>
      </c>
      <c r="L48" s="77">
        <v>9131.4836591480343</v>
      </c>
      <c r="M48" s="77">
        <v>6857.6080761701351</v>
      </c>
      <c r="N48" s="77">
        <v>6437.7763544680074</v>
      </c>
      <c r="O48" s="77">
        <v>5881.6440263829008</v>
      </c>
      <c r="P48" s="76">
        <v>5690.970981978001</v>
      </c>
      <c r="Q48" s="78">
        <v>5690.9760710988794</v>
      </c>
    </row>
    <row r="49" spans="1:17" x14ac:dyDescent="0.25">
      <c r="A49" s="42"/>
      <c r="B49" s="43" t="s">
        <v>143</v>
      </c>
      <c r="C49" s="40"/>
      <c r="D49" s="40"/>
      <c r="E49" s="76">
        <v>21187.954397019937</v>
      </c>
      <c r="F49" s="77">
        <v>21176.231652764625</v>
      </c>
      <c r="G49" s="77">
        <v>21112.645777232708</v>
      </c>
      <c r="H49" s="77">
        <v>20710.621755317818</v>
      </c>
      <c r="I49" s="77">
        <v>20400.678722339093</v>
      </c>
      <c r="J49" s="77">
        <v>17508.729145743651</v>
      </c>
      <c r="K49" s="77">
        <v>17201.395948509613</v>
      </c>
      <c r="L49" s="77">
        <v>15609.657565530917</v>
      </c>
      <c r="M49" s="77">
        <v>12985.318982553017</v>
      </c>
      <c r="N49" s="77">
        <v>11918.619460850889</v>
      </c>
      <c r="O49" s="77">
        <v>11353.107132765785</v>
      </c>
      <c r="P49" s="76">
        <v>10939.811680879073</v>
      </c>
      <c r="Q49" s="78">
        <v>10939.816769999954</v>
      </c>
    </row>
    <row r="50" spans="1:17" ht="13" x14ac:dyDescent="0.3">
      <c r="A50" s="71" t="s">
        <v>143</v>
      </c>
      <c r="B50" s="72"/>
      <c r="C50" s="72"/>
      <c r="D50" s="72"/>
      <c r="E50" s="82">
        <v>21187.954397019937</v>
      </c>
      <c r="F50" s="83">
        <v>21176.231652764625</v>
      </c>
      <c r="G50" s="83">
        <v>21112.645777232708</v>
      </c>
      <c r="H50" s="83">
        <v>20710.621755317818</v>
      </c>
      <c r="I50" s="83">
        <v>20400.678722339093</v>
      </c>
      <c r="J50" s="83">
        <v>17508.729145743651</v>
      </c>
      <c r="K50" s="83">
        <v>17201.395948509613</v>
      </c>
      <c r="L50" s="83">
        <v>15609.657565530917</v>
      </c>
      <c r="M50" s="83">
        <v>12985.318982553017</v>
      </c>
      <c r="N50" s="83">
        <v>11918.619460850889</v>
      </c>
      <c r="O50" s="83">
        <v>11353.107132765785</v>
      </c>
      <c r="P50" s="82">
        <v>10939.811680879073</v>
      </c>
      <c r="Q50" s="125">
        <v>10939.816769999954</v>
      </c>
    </row>
    <row r="51" spans="1:17" ht="13" x14ac:dyDescent="0.3">
      <c r="A51" s="55" t="s">
        <v>20</v>
      </c>
      <c r="B51" s="70"/>
      <c r="C51" s="70"/>
      <c r="D51" s="70"/>
      <c r="E51" s="80">
        <v>25058.285662383252</v>
      </c>
      <c r="F51" s="81">
        <v>25039.186828127938</v>
      </c>
      <c r="G51" s="81">
        <v>24978.60447259602</v>
      </c>
      <c r="H51" s="81">
        <v>24435.313577026136</v>
      </c>
      <c r="I51" s="81">
        <v>23449.577600890931</v>
      </c>
      <c r="J51" s="81">
        <v>20325.196594295492</v>
      </c>
      <c r="K51" s="81">
        <v>20001.493757061449</v>
      </c>
      <c r="L51" s="81">
        <v>18409.750014082754</v>
      </c>
      <c r="M51" s="81">
        <v>15785.416661104857</v>
      </c>
      <c r="N51" s="81">
        <v>14671.295369402727</v>
      </c>
      <c r="O51" s="81">
        <v>14039.330041317622</v>
      </c>
      <c r="P51" s="80">
        <v>13224.666856252403</v>
      </c>
      <c r="Q51" s="124">
        <v>13240.185745373281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O39"/>
  <sheetViews>
    <sheetView showGridLines="0" topLeftCell="A12" zoomScale="80" zoomScaleNormal="80" workbookViewId="0">
      <selection activeCell="C25" sqref="C25"/>
    </sheetView>
  </sheetViews>
  <sheetFormatPr defaultRowHeight="12.5" x14ac:dyDescent="0.25"/>
  <cols>
    <col min="1" max="1" width="15.26953125" customWidth="1"/>
    <col min="2" max="2" width="20" customWidth="1"/>
    <col min="3" max="15" width="10.54296875" customWidth="1"/>
    <col min="16" max="16" width="9.54296875" customWidth="1"/>
    <col min="17" max="17" width="7.90625" bestFit="1" customWidth="1"/>
    <col min="18" max="26" width="7.632812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106</v>
      </c>
      <c r="B4" s="47" t="s">
        <v>2</v>
      </c>
    </row>
    <row r="5" spans="1:2" x14ac:dyDescent="0.25">
      <c r="A5" s="46" t="s">
        <v>107</v>
      </c>
      <c r="B5" s="47" t="s">
        <v>2</v>
      </c>
    </row>
    <row r="6" spans="1:2" x14ac:dyDescent="0.25">
      <c r="A6" s="46" t="s">
        <v>108</v>
      </c>
      <c r="B6" s="47" t="s">
        <v>2</v>
      </c>
    </row>
    <row r="7" spans="1:2" x14ac:dyDescent="0.25">
      <c r="A7" s="46" t="s">
        <v>109</v>
      </c>
      <c r="B7" s="47" t="s">
        <v>2</v>
      </c>
    </row>
    <row r="8" spans="1:2" x14ac:dyDescent="0.25">
      <c r="A8" s="46" t="s">
        <v>18</v>
      </c>
      <c r="B8" s="47" t="s">
        <v>2</v>
      </c>
    </row>
    <row r="9" spans="1:2" x14ac:dyDescent="0.25">
      <c r="A9" s="46" t="s">
        <v>19</v>
      </c>
      <c r="B9" s="47" t="s">
        <v>2</v>
      </c>
    </row>
    <row r="10" spans="1:2" x14ac:dyDescent="0.25">
      <c r="A10" s="46" t="s">
        <v>121</v>
      </c>
      <c r="B10" s="47" t="s">
        <v>2</v>
      </c>
    </row>
    <row r="11" spans="1:2" ht="13" x14ac:dyDescent="0.3">
      <c r="A11" s="61" t="s">
        <v>11</v>
      </c>
      <c r="B11" s="54" t="s">
        <v>103</v>
      </c>
    </row>
    <row r="12" spans="1:2" x14ac:dyDescent="0.25">
      <c r="A12" s="46" t="s">
        <v>8</v>
      </c>
      <c r="B12" s="47" t="s">
        <v>25</v>
      </c>
    </row>
    <row r="13" spans="1:2" x14ac:dyDescent="0.25">
      <c r="A13" s="46" t="s">
        <v>9</v>
      </c>
      <c r="B13" s="47" t="s">
        <v>2</v>
      </c>
    </row>
    <row r="14" spans="1:2" x14ac:dyDescent="0.25">
      <c r="A14" s="46" t="s">
        <v>10</v>
      </c>
      <c r="B14" s="47" t="s">
        <v>68</v>
      </c>
    </row>
    <row r="15" spans="1:2" x14ac:dyDescent="0.25">
      <c r="A15" s="46" t="s">
        <v>12</v>
      </c>
      <c r="B15" s="47" t="s">
        <v>2</v>
      </c>
    </row>
    <row r="16" spans="1:2" x14ac:dyDescent="0.25">
      <c r="A16" s="46" t="s">
        <v>13</v>
      </c>
      <c r="B16" s="47" t="s">
        <v>2</v>
      </c>
    </row>
    <row r="17" spans="1:15" x14ac:dyDescent="0.25">
      <c r="A17" s="46" t="s">
        <v>14</v>
      </c>
      <c r="B17" s="47" t="s">
        <v>2</v>
      </c>
    </row>
    <row r="18" spans="1:15" x14ac:dyDescent="0.25">
      <c r="A18" s="46" t="s">
        <v>15</v>
      </c>
      <c r="B18" s="47" t="s">
        <v>2</v>
      </c>
    </row>
    <row r="19" spans="1:15" x14ac:dyDescent="0.25">
      <c r="A19" s="46" t="s">
        <v>6</v>
      </c>
      <c r="B19" s="47" t="s">
        <v>21</v>
      </c>
    </row>
    <row r="20" spans="1:15" x14ac:dyDescent="0.25">
      <c r="A20" s="46" t="s">
        <v>7</v>
      </c>
      <c r="B20" s="47" t="s">
        <v>2</v>
      </c>
    </row>
    <row r="21" spans="1:15" x14ac:dyDescent="0.25">
      <c r="A21" s="46" t="s">
        <v>125</v>
      </c>
      <c r="B21" s="47" t="s">
        <v>2</v>
      </c>
    </row>
    <row r="23" spans="1:15" x14ac:dyDescent="0.25">
      <c r="A23" s="43"/>
      <c r="B23" s="40"/>
      <c r="C23" s="39" t="s">
        <v>1</v>
      </c>
      <c r="D23" s="48" t="s">
        <v>3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/>
    </row>
    <row r="24" spans="1:15" ht="13" x14ac:dyDescent="0.3">
      <c r="A24" s="42"/>
      <c r="B24" s="12"/>
      <c r="C24" s="97" t="s">
        <v>135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7" t="s">
        <v>155</v>
      </c>
      <c r="O24" s="128"/>
    </row>
    <row r="25" spans="1:15" ht="13" x14ac:dyDescent="0.3">
      <c r="A25" s="67" t="s">
        <v>75</v>
      </c>
      <c r="B25" s="67" t="s">
        <v>22</v>
      </c>
      <c r="C25" s="62" t="s">
        <v>137</v>
      </c>
      <c r="D25" s="63" t="s">
        <v>144</v>
      </c>
      <c r="E25" s="63" t="s">
        <v>145</v>
      </c>
      <c r="F25" s="63" t="s">
        <v>146</v>
      </c>
      <c r="G25" s="63" t="s">
        <v>147</v>
      </c>
      <c r="H25" s="63" t="s">
        <v>148</v>
      </c>
      <c r="I25" s="63" t="s">
        <v>149</v>
      </c>
      <c r="J25" s="63" t="s">
        <v>150</v>
      </c>
      <c r="K25" s="63" t="s">
        <v>152</v>
      </c>
      <c r="L25" s="63" t="s">
        <v>153</v>
      </c>
      <c r="M25" s="63" t="s">
        <v>154</v>
      </c>
      <c r="N25" s="62" t="s">
        <v>156</v>
      </c>
      <c r="O25" s="64" t="s">
        <v>158</v>
      </c>
    </row>
    <row r="26" spans="1:15" x14ac:dyDescent="0.25">
      <c r="A26" s="43" t="s">
        <v>0</v>
      </c>
      <c r="B26" s="43" t="s">
        <v>71</v>
      </c>
      <c r="C26" s="49">
        <v>8098.2358159894511</v>
      </c>
      <c r="D26" s="50">
        <v>9103.8372524298084</v>
      </c>
      <c r="E26" s="50">
        <v>7418.3633956365084</v>
      </c>
      <c r="F26" s="50">
        <v>6761.0468132268988</v>
      </c>
      <c r="G26" s="50">
        <v>7125.4875272527825</v>
      </c>
      <c r="H26" s="50">
        <v>7397.9605579052622</v>
      </c>
      <c r="I26" s="50">
        <v>21068.929325443944</v>
      </c>
      <c r="J26" s="50">
        <v>27655.600142457672</v>
      </c>
      <c r="K26" s="50">
        <v>29469.972909557328</v>
      </c>
      <c r="L26" s="50">
        <v>28827.358082240993</v>
      </c>
      <c r="M26" s="50">
        <v>36785.045455795516</v>
      </c>
      <c r="N26" s="49">
        <v>34506.552779173784</v>
      </c>
      <c r="O26" s="117">
        <v>35674.225232094934</v>
      </c>
    </row>
    <row r="27" spans="1:15" x14ac:dyDescent="0.25">
      <c r="A27" s="42"/>
      <c r="B27" s="51" t="s">
        <v>74</v>
      </c>
      <c r="C27" s="52">
        <v>30927.72557772557</v>
      </c>
      <c r="D27" s="35">
        <v>37822.666540986371</v>
      </c>
      <c r="E27" s="35">
        <v>37195.956204969902</v>
      </c>
      <c r="F27" s="35">
        <v>35528.781330192061</v>
      </c>
      <c r="G27" s="35">
        <v>32323.049436582689</v>
      </c>
      <c r="H27" s="35">
        <v>31794.903401215037</v>
      </c>
      <c r="I27" s="35">
        <v>32322.529373048001</v>
      </c>
      <c r="J27" s="35">
        <v>40465.939834955927</v>
      </c>
      <c r="K27" s="35">
        <v>48664.227662371348</v>
      </c>
      <c r="L27" s="35">
        <v>50020.885525417478</v>
      </c>
      <c r="M27" s="35">
        <v>66798.113013993963</v>
      </c>
      <c r="N27" s="52">
        <v>62691.247667179516</v>
      </c>
      <c r="O27" s="118">
        <v>60320.919129964161</v>
      </c>
    </row>
    <row r="28" spans="1:15" x14ac:dyDescent="0.25">
      <c r="A28" s="42"/>
      <c r="B28" s="51" t="s">
        <v>70</v>
      </c>
      <c r="C28" s="52">
        <v>24343.875837310155</v>
      </c>
      <c r="D28" s="35">
        <v>28009.187025796917</v>
      </c>
      <c r="E28" s="35">
        <v>27822.717310129196</v>
      </c>
      <c r="F28" s="35">
        <v>27578.270402357917</v>
      </c>
      <c r="G28" s="35">
        <v>27168.203640802141</v>
      </c>
      <c r="H28" s="35">
        <v>26845.178393684615</v>
      </c>
      <c r="I28" s="35">
        <v>14069.788312184504</v>
      </c>
      <c r="J28" s="35">
        <v>14441.329919660891</v>
      </c>
      <c r="K28" s="35">
        <v>15517.273119698175</v>
      </c>
      <c r="L28" s="35">
        <v>15932.059237390624</v>
      </c>
      <c r="M28" s="35">
        <v>24096.183874573591</v>
      </c>
      <c r="N28" s="52">
        <v>22788.885976029112</v>
      </c>
      <c r="O28" s="118">
        <v>20333.452819807921</v>
      </c>
    </row>
    <row r="29" spans="1:15" x14ac:dyDescent="0.25">
      <c r="A29" s="42"/>
      <c r="B29" s="51" t="s">
        <v>72</v>
      </c>
      <c r="C29" s="52">
        <v>36895.317744515327</v>
      </c>
      <c r="D29" s="35">
        <v>39427.140375775409</v>
      </c>
      <c r="E29" s="35">
        <v>37711.631840883238</v>
      </c>
      <c r="F29" s="35">
        <v>36667.177083252609</v>
      </c>
      <c r="G29" s="35">
        <v>35577.714219793343</v>
      </c>
      <c r="H29" s="35">
        <v>32915.364295086314</v>
      </c>
      <c r="I29" s="35">
        <v>32258.143867244631</v>
      </c>
      <c r="J29" s="35">
        <v>33692.791173226236</v>
      </c>
      <c r="K29" s="35">
        <v>34866.279011307437</v>
      </c>
      <c r="L29" s="35">
        <v>33321.072053186908</v>
      </c>
      <c r="M29" s="35">
        <v>35820.488683675874</v>
      </c>
      <c r="N29" s="52">
        <v>33053.490406888297</v>
      </c>
      <c r="O29" s="118">
        <v>31508.487066256625</v>
      </c>
    </row>
    <row r="30" spans="1:15" x14ac:dyDescent="0.25">
      <c r="A30" s="42"/>
      <c r="B30" s="51" t="s">
        <v>73</v>
      </c>
      <c r="C30" s="52">
        <v>44124.318430196297</v>
      </c>
      <c r="D30" s="35">
        <v>44044.086363233255</v>
      </c>
      <c r="E30" s="35">
        <v>42988.292390858609</v>
      </c>
      <c r="F30" s="35">
        <v>40644.023654746241</v>
      </c>
      <c r="G30" s="35">
        <v>40217.65871086804</v>
      </c>
      <c r="H30" s="35">
        <v>41525.5300276532</v>
      </c>
      <c r="I30" s="35">
        <v>44613.069798571269</v>
      </c>
      <c r="J30" s="35">
        <v>50682.247602880045</v>
      </c>
      <c r="K30" s="35">
        <v>50806.810181332359</v>
      </c>
      <c r="L30" s="35">
        <v>48441.908587371494</v>
      </c>
      <c r="M30" s="35">
        <v>43861.502594517609</v>
      </c>
      <c r="N30" s="52">
        <v>41178.504161777069</v>
      </c>
      <c r="O30" s="118">
        <v>41794.131193670764</v>
      </c>
    </row>
    <row r="31" spans="1:15" x14ac:dyDescent="0.25">
      <c r="A31" s="43" t="s">
        <v>119</v>
      </c>
      <c r="B31" s="43" t="s">
        <v>71</v>
      </c>
      <c r="C31" s="84">
        <v>5.6086054093661492E-2</v>
      </c>
      <c r="D31" s="85">
        <v>5.7471210176687729E-2</v>
      </c>
      <c r="E31" s="85">
        <v>4.8442670798034965E-2</v>
      </c>
      <c r="F31" s="85">
        <v>4.5937484728684266E-2</v>
      </c>
      <c r="G31" s="85">
        <v>5.0034279741846696E-2</v>
      </c>
      <c r="H31" s="85">
        <v>5.2662418530344361E-2</v>
      </c>
      <c r="I31" s="85">
        <v>0.14597498876339379</v>
      </c>
      <c r="J31" s="85">
        <v>0.16566399065535106</v>
      </c>
      <c r="K31" s="85">
        <v>0.16433874108242941</v>
      </c>
      <c r="L31" s="85">
        <v>0.16328776441155923</v>
      </c>
      <c r="M31" s="85">
        <v>0.17739587614126956</v>
      </c>
      <c r="N31" s="84">
        <v>0.17766855692303005</v>
      </c>
      <c r="O31" s="86">
        <v>0.18812422389943925</v>
      </c>
    </row>
    <row r="32" spans="1:15" x14ac:dyDescent="0.25">
      <c r="A32" s="42"/>
      <c r="B32" s="51" t="s">
        <v>74</v>
      </c>
      <c r="C32" s="87">
        <v>0.21419653973540131</v>
      </c>
      <c r="D32" s="13">
        <v>0.23876903309531805</v>
      </c>
      <c r="E32" s="13">
        <v>0.24289339377946167</v>
      </c>
      <c r="F32" s="13">
        <v>0.24139795136331763</v>
      </c>
      <c r="G32" s="13">
        <v>0.22696839920552778</v>
      </c>
      <c r="H32" s="13">
        <v>0.22633217586669077</v>
      </c>
      <c r="I32" s="13">
        <v>0.22394497552075909</v>
      </c>
      <c r="J32" s="13">
        <v>0.24240114277564886</v>
      </c>
      <c r="K32" s="13">
        <v>0.27137513611996644</v>
      </c>
      <c r="L32" s="13">
        <v>0.28333496770776539</v>
      </c>
      <c r="M32" s="13">
        <v>0.32213388989666358</v>
      </c>
      <c r="N32" s="87">
        <v>0.32278690879416067</v>
      </c>
      <c r="O32" s="126">
        <v>0.3180959368394658</v>
      </c>
    </row>
    <row r="33" spans="1:15" x14ac:dyDescent="0.25">
      <c r="A33" s="42"/>
      <c r="B33" s="51" t="s">
        <v>70</v>
      </c>
      <c r="C33" s="87">
        <v>0.1685986884161802</v>
      </c>
      <c r="D33" s="13">
        <v>0.17681795377087786</v>
      </c>
      <c r="E33" s="13">
        <v>0.18168518627089086</v>
      </c>
      <c r="F33" s="13">
        <v>0.18737873149663786</v>
      </c>
      <c r="G33" s="13">
        <v>0.19077171854533351</v>
      </c>
      <c r="H33" s="13">
        <v>0.19109753411422295</v>
      </c>
      <c r="I33" s="13">
        <v>9.7481801711401667E-2</v>
      </c>
      <c r="J33" s="13">
        <v>8.6507193209980265E-2</v>
      </c>
      <c r="K33" s="13">
        <v>8.6531777187226641E-2</v>
      </c>
      <c r="L33" s="13">
        <v>9.0244493717539065E-2</v>
      </c>
      <c r="M33" s="13">
        <v>0.11620384308693717</v>
      </c>
      <c r="N33" s="87">
        <v>0.11733622048993081</v>
      </c>
      <c r="O33" s="126">
        <v>0.10722629590511217</v>
      </c>
    </row>
    <row r="34" spans="1:15" x14ac:dyDescent="0.25">
      <c r="A34" s="42"/>
      <c r="B34" s="51" t="s">
        <v>72</v>
      </c>
      <c r="C34" s="87">
        <v>0.25552636819194485</v>
      </c>
      <c r="D34" s="13">
        <v>0.24889784476289767</v>
      </c>
      <c r="E34" s="13">
        <v>0.2462608083609327</v>
      </c>
      <c r="F34" s="13">
        <v>0.24913270590149225</v>
      </c>
      <c r="G34" s="13">
        <v>0.24982224711505926</v>
      </c>
      <c r="H34" s="13">
        <v>0.23430818223737634</v>
      </c>
      <c r="I34" s="13">
        <v>0.22349888386887709</v>
      </c>
      <c r="J34" s="13">
        <v>0.20182828119158719</v>
      </c>
      <c r="K34" s="13">
        <v>0.19443113899465966</v>
      </c>
      <c r="L34" s="13">
        <v>0.18874165810960106</v>
      </c>
      <c r="M34" s="13">
        <v>0.17274430125375775</v>
      </c>
      <c r="N34" s="87">
        <v>0.17018697809203973</v>
      </c>
      <c r="O34" s="126">
        <v>0.16615664774836542</v>
      </c>
    </row>
    <row r="35" spans="1:15" x14ac:dyDescent="0.25">
      <c r="A35" s="42"/>
      <c r="B35" s="51" t="s">
        <v>73</v>
      </c>
      <c r="C35" s="87">
        <v>0.30559234956281223</v>
      </c>
      <c r="D35" s="13">
        <v>0.27804395819421868</v>
      </c>
      <c r="E35" s="13">
        <v>0.28071794079067974</v>
      </c>
      <c r="F35" s="13">
        <v>0.27615312650986795</v>
      </c>
      <c r="G35" s="13">
        <v>0.28240335539223271</v>
      </c>
      <c r="H35" s="13">
        <v>0.29559968925136559</v>
      </c>
      <c r="I35" s="13">
        <v>0.30909935013556844</v>
      </c>
      <c r="J35" s="13">
        <v>0.30359939216743248</v>
      </c>
      <c r="K35" s="13">
        <v>0.2833232066157178</v>
      </c>
      <c r="L35" s="13">
        <v>0.27439111605353522</v>
      </c>
      <c r="M35" s="13">
        <v>0.21152208962137192</v>
      </c>
      <c r="N35" s="87">
        <v>0.21202133570083886</v>
      </c>
      <c r="O35" s="126">
        <v>0.22039689560761741</v>
      </c>
    </row>
    <row r="36" spans="1:15" ht="13" x14ac:dyDescent="0.3">
      <c r="A36" s="53" t="s">
        <v>76</v>
      </c>
      <c r="B36" s="90"/>
      <c r="C36" s="92">
        <v>144389.47340573679</v>
      </c>
      <c r="D36" s="93">
        <v>158406.91755822176</v>
      </c>
      <c r="E36" s="93">
        <v>153136.96114247746</v>
      </c>
      <c r="F36" s="93">
        <v>147179.29928377573</v>
      </c>
      <c r="G36" s="93">
        <v>142412.11353529899</v>
      </c>
      <c r="H36" s="93">
        <v>140478.93667554442</v>
      </c>
      <c r="I36" s="93">
        <v>144332.46067649234</v>
      </c>
      <c r="J36" s="93">
        <v>166937.90867318079</v>
      </c>
      <c r="K36" s="93">
        <v>179324.56288426666</v>
      </c>
      <c r="L36" s="93">
        <v>176543.28348560751</v>
      </c>
      <c r="M36" s="93">
        <v>207361.33362255656</v>
      </c>
      <c r="N36" s="92">
        <v>194218.68099104776</v>
      </c>
      <c r="O36" s="127">
        <v>189631.2154417944</v>
      </c>
    </row>
    <row r="37" spans="1:15" ht="13" x14ac:dyDescent="0.3">
      <c r="A37" s="58" t="s">
        <v>120</v>
      </c>
      <c r="B37" s="91"/>
      <c r="C37" s="94">
        <v>1</v>
      </c>
      <c r="D37" s="95">
        <v>1</v>
      </c>
      <c r="E37" s="95">
        <v>1</v>
      </c>
      <c r="F37" s="95">
        <v>1</v>
      </c>
      <c r="G37" s="95">
        <v>1</v>
      </c>
      <c r="H37" s="95">
        <v>1</v>
      </c>
      <c r="I37" s="95">
        <v>1</v>
      </c>
      <c r="J37" s="95">
        <v>1</v>
      </c>
      <c r="K37" s="95">
        <v>1</v>
      </c>
      <c r="L37" s="95">
        <v>1</v>
      </c>
      <c r="M37" s="95">
        <v>1</v>
      </c>
      <c r="N37" s="94">
        <v>1</v>
      </c>
      <c r="O37" s="96">
        <v>1</v>
      </c>
    </row>
    <row r="39" spans="1:15" hidden="1" x14ac:dyDescent="0.25"/>
  </sheetData>
  <phoneticPr fontId="0" type="noConversion"/>
  <pageMargins left="0.75" right="0.75" top="1" bottom="1" header="0.5" footer="0.5"/>
  <pageSetup paperSize="9" orientation="portrait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theme="1"/>
  </sheetPr>
  <dimension ref="A5:AP106"/>
  <sheetViews>
    <sheetView showGridLines="0" topLeftCell="B52" workbookViewId="0">
      <selection activeCell="AD79" sqref="AD79"/>
    </sheetView>
  </sheetViews>
  <sheetFormatPr defaultRowHeight="12.5" outlineLevelCol="1" x14ac:dyDescent="0.25"/>
  <cols>
    <col min="1" max="1" width="12" customWidth="1"/>
    <col min="2" max="2" width="17.08984375" customWidth="1"/>
    <col min="3" max="26" width="8.26953125" hidden="1" customWidth="1" outlineLevel="1"/>
    <col min="27" max="29" width="8.6328125" hidden="1" customWidth="1" outlineLevel="1"/>
    <col min="30" max="35" width="7.6328125" hidden="1" customWidth="1" outlineLevel="1"/>
    <col min="36" max="36" width="13.1796875" customWidth="1" collapsed="1"/>
    <col min="37" max="37" width="1.26953125" customWidth="1"/>
    <col min="38" max="39" width="12.54296875" customWidth="1"/>
    <col min="40" max="42" width="12.54296875" hidden="1" customWidth="1"/>
  </cols>
  <sheetData>
    <row r="5" spans="1:2" x14ac:dyDescent="0.25">
      <c r="A5" s="46" t="s">
        <v>4</v>
      </c>
      <c r="B5" s="47" t="s">
        <v>2</v>
      </c>
    </row>
    <row r="6" spans="1:2" x14ac:dyDescent="0.25">
      <c r="A6" s="46" t="s">
        <v>5</v>
      </c>
      <c r="B6" s="47" t="s">
        <v>2</v>
      </c>
    </row>
    <row r="7" spans="1:2" x14ac:dyDescent="0.25">
      <c r="A7" s="46" t="s">
        <v>18</v>
      </c>
      <c r="B7" s="47" t="s">
        <v>2</v>
      </c>
    </row>
    <row r="8" spans="1:2" x14ac:dyDescent="0.25">
      <c r="A8" s="46" t="s">
        <v>19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68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22</v>
      </c>
      <c r="B15" s="47" t="s">
        <v>2</v>
      </c>
    </row>
    <row r="16" spans="1:2" x14ac:dyDescent="0.25">
      <c r="A16" s="46" t="s">
        <v>14</v>
      </c>
      <c r="B16" s="47" t="s">
        <v>2</v>
      </c>
    </row>
    <row r="17" spans="1:29" x14ac:dyDescent="0.25">
      <c r="A17" s="46" t="s">
        <v>15</v>
      </c>
      <c r="B17" s="47" t="s">
        <v>2</v>
      </c>
    </row>
    <row r="18" spans="1:29" x14ac:dyDescent="0.25">
      <c r="A18" s="46" t="s">
        <v>6</v>
      </c>
      <c r="B18" s="47" t="s">
        <v>21</v>
      </c>
    </row>
    <row r="19" spans="1:29" x14ac:dyDescent="0.25">
      <c r="A19" s="46" t="s">
        <v>7</v>
      </c>
      <c r="B19" s="47" t="s">
        <v>2</v>
      </c>
    </row>
    <row r="20" spans="1:29" x14ac:dyDescent="0.25">
      <c r="A20" s="11"/>
    </row>
    <row r="21" spans="1:29" x14ac:dyDescent="0.25">
      <c r="A21" s="39" t="s">
        <v>0</v>
      </c>
      <c r="B21" s="39" t="s">
        <v>1</v>
      </c>
      <c r="C21" s="48" t="s">
        <v>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</row>
    <row r="22" spans="1:29" x14ac:dyDescent="0.25">
      <c r="A22" s="42"/>
      <c r="B22" s="65" t="s">
        <v>135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5" t="s">
        <v>155</v>
      </c>
      <c r="O22" s="121"/>
    </row>
    <row r="23" spans="1:29" ht="13" x14ac:dyDescent="0.3">
      <c r="A23" s="42"/>
      <c r="B23" s="62" t="s">
        <v>136</v>
      </c>
      <c r="C23" s="63" t="s">
        <v>137</v>
      </c>
      <c r="D23" s="63" t="s">
        <v>144</v>
      </c>
      <c r="E23" s="63" t="s">
        <v>145</v>
      </c>
      <c r="F23" s="63" t="s">
        <v>146</v>
      </c>
      <c r="G23" s="63" t="s">
        <v>147</v>
      </c>
      <c r="H23" s="63" t="s">
        <v>148</v>
      </c>
      <c r="I23" s="63" t="s">
        <v>149</v>
      </c>
      <c r="J23" s="63" t="s">
        <v>150</v>
      </c>
      <c r="K23" s="63" t="s">
        <v>152</v>
      </c>
      <c r="L23" s="63" t="s">
        <v>153</v>
      </c>
      <c r="M23" s="63" t="s">
        <v>154</v>
      </c>
      <c r="N23" s="62" t="s">
        <v>156</v>
      </c>
      <c r="O23" s="64" t="s">
        <v>158</v>
      </c>
    </row>
    <row r="24" spans="1:29" ht="13" x14ac:dyDescent="0.3">
      <c r="A24" s="55" t="s">
        <v>24</v>
      </c>
      <c r="B24" s="80">
        <v>139712.51179241284</v>
      </c>
      <c r="C24" s="81">
        <v>144389.47340573688</v>
      </c>
      <c r="D24" s="81">
        <v>158406.91755822173</v>
      </c>
      <c r="E24" s="81">
        <v>153136.96114247755</v>
      </c>
      <c r="F24" s="81">
        <v>147179.29928377591</v>
      </c>
      <c r="G24" s="81">
        <v>142412.11353529902</v>
      </c>
      <c r="H24" s="81">
        <v>140478.93667554439</v>
      </c>
      <c r="I24" s="81">
        <v>144332.46067649237</v>
      </c>
      <c r="J24" s="81">
        <v>166937.90867318076</v>
      </c>
      <c r="K24" s="81">
        <v>179324.56288426658</v>
      </c>
      <c r="L24" s="81">
        <v>176543.28348560756</v>
      </c>
      <c r="M24" s="81">
        <v>207361.3336225563</v>
      </c>
      <c r="N24" s="80">
        <v>194218.68099104788</v>
      </c>
      <c r="O24" s="124">
        <v>189631.21544179451</v>
      </c>
      <c r="AC24" s="26"/>
    </row>
    <row r="25" spans="1:29" x14ac:dyDescent="0.25">
      <c r="AC25" s="26"/>
    </row>
    <row r="26" spans="1:29" x14ac:dyDescent="0.25">
      <c r="AC26" s="26"/>
    </row>
    <row r="28" spans="1:29" x14ac:dyDescent="0.25">
      <c r="AC28" s="26"/>
    </row>
    <row r="29" spans="1:29" x14ac:dyDescent="0.25">
      <c r="AC29" s="26"/>
    </row>
    <row r="30" spans="1:29" x14ac:dyDescent="0.25">
      <c r="AC30" s="26"/>
    </row>
    <row r="32" spans="1:29" x14ac:dyDescent="0.25">
      <c r="AC32" s="26"/>
    </row>
    <row r="33" spans="29:29" x14ac:dyDescent="0.25">
      <c r="AC33" s="26"/>
    </row>
    <row r="34" spans="29:29" x14ac:dyDescent="0.25">
      <c r="AC34" s="26"/>
    </row>
    <row r="36" spans="29:29" x14ac:dyDescent="0.25">
      <c r="AC36" s="26"/>
    </row>
    <row r="37" spans="29:29" x14ac:dyDescent="0.25">
      <c r="AC37" s="26"/>
    </row>
    <row r="38" spans="29:29" x14ac:dyDescent="0.25">
      <c r="AC38" s="26"/>
    </row>
    <row r="40" spans="29:29" x14ac:dyDescent="0.25">
      <c r="AC40" s="26"/>
    </row>
    <row r="41" spans="29:29" x14ac:dyDescent="0.25">
      <c r="AC41" s="26"/>
    </row>
    <row r="42" spans="29:29" x14ac:dyDescent="0.25">
      <c r="AC42" s="26"/>
    </row>
    <row r="44" spans="29:29" x14ac:dyDescent="0.25">
      <c r="AC44" s="26"/>
    </row>
    <row r="45" spans="29:29" x14ac:dyDescent="0.25">
      <c r="AC45" s="26"/>
    </row>
    <row r="46" spans="29:29" x14ac:dyDescent="0.25">
      <c r="AC46" s="26"/>
    </row>
    <row r="48" spans="29:29" x14ac:dyDescent="0.25">
      <c r="AC48" s="26"/>
    </row>
    <row r="49" spans="1:29" x14ac:dyDescent="0.25">
      <c r="AC49" s="26"/>
    </row>
    <row r="59" spans="1:29" x14ac:dyDescent="0.25">
      <c r="C59" s="20" t="s">
        <v>77</v>
      </c>
      <c r="D59" s="21" t="s">
        <v>78</v>
      </c>
      <c r="E59" s="21" t="s">
        <v>79</v>
      </c>
      <c r="F59" s="21" t="s">
        <v>80</v>
      </c>
      <c r="G59" s="21" t="s">
        <v>81</v>
      </c>
      <c r="H59" s="21" t="s">
        <v>82</v>
      </c>
      <c r="I59" s="21" t="s">
        <v>83</v>
      </c>
      <c r="J59" s="21" t="s">
        <v>84</v>
      </c>
      <c r="K59" s="21" t="s">
        <v>85</v>
      </c>
      <c r="L59" s="21" t="s">
        <v>86</v>
      </c>
      <c r="M59" s="21" t="s">
        <v>35</v>
      </c>
      <c r="N59" s="21" t="s">
        <v>36</v>
      </c>
      <c r="O59" s="20" t="s">
        <v>37</v>
      </c>
      <c r="P59" s="21" t="s">
        <v>38</v>
      </c>
      <c r="Q59" s="21" t="s">
        <v>39</v>
      </c>
      <c r="R59" s="21" t="s">
        <v>40</v>
      </c>
      <c r="S59" s="21" t="s">
        <v>41</v>
      </c>
      <c r="T59" s="21" t="s">
        <v>42</v>
      </c>
      <c r="U59" s="21" t="s">
        <v>43</v>
      </c>
      <c r="V59" s="21" t="s">
        <v>44</v>
      </c>
      <c r="W59" s="21" t="s">
        <v>45</v>
      </c>
      <c r="X59" s="21" t="s">
        <v>46</v>
      </c>
      <c r="Y59" s="22" t="s">
        <v>47</v>
      </c>
      <c r="Z59" s="21" t="s">
        <v>99</v>
      </c>
    </row>
    <row r="60" spans="1:29" x14ac:dyDescent="0.25">
      <c r="A60" s="16" t="s">
        <v>61</v>
      </c>
      <c r="B60" s="14" t="s">
        <v>49</v>
      </c>
      <c r="C60" s="10">
        <f>IF(ISERROR(INDEX($B$23:$Z$47,MATCH($B60,$B$23:$B$47,0),MATCH(C$59,$B$23:$Z$23,0))),0,INDEX($B$23:$Z$47,MATCH($B60,$B$23:$B$47,0),MATCH(C$59,$B$23:$Z$23,0)))</f>
        <v>0</v>
      </c>
      <c r="D60" s="10">
        <f t="shared" ref="D60:Z69" si="0">IF(ISERROR(INDEX($B$23:$Z$47,MATCH($B60,$B$23:$B$47,0),MATCH(D$59,$B$23:$Z$23,0))),0,INDEX($B$23:$Z$47,MATCH($B60,$B$23:$B$47,0),MATCH(D$59,$B$23:$Z$23,0)))</f>
        <v>0</v>
      </c>
      <c r="E60" s="10">
        <f t="shared" si="0"/>
        <v>0</v>
      </c>
      <c r="F60" s="10">
        <f t="shared" si="0"/>
        <v>0</v>
      </c>
      <c r="G60" s="10">
        <f t="shared" si="0"/>
        <v>0</v>
      </c>
      <c r="H60" s="10">
        <f t="shared" si="0"/>
        <v>0</v>
      </c>
      <c r="I60" s="10">
        <f t="shared" si="0"/>
        <v>0</v>
      </c>
      <c r="J60" s="10">
        <f t="shared" si="0"/>
        <v>0</v>
      </c>
      <c r="K60" s="10">
        <f t="shared" si="0"/>
        <v>0</v>
      </c>
      <c r="L60" s="10">
        <f t="shared" si="0"/>
        <v>0</v>
      </c>
      <c r="M60" s="10">
        <f t="shared" si="0"/>
        <v>0</v>
      </c>
      <c r="N60" s="10">
        <f t="shared" si="0"/>
        <v>0</v>
      </c>
      <c r="O60" s="10">
        <f t="shared" si="0"/>
        <v>0</v>
      </c>
      <c r="P60" s="10">
        <f t="shared" si="0"/>
        <v>0</v>
      </c>
      <c r="Q60" s="10">
        <f t="shared" si="0"/>
        <v>0</v>
      </c>
      <c r="R60" s="10">
        <f t="shared" si="0"/>
        <v>0</v>
      </c>
      <c r="S60" s="10">
        <f t="shared" si="0"/>
        <v>0</v>
      </c>
      <c r="T60" s="10">
        <f t="shared" si="0"/>
        <v>0</v>
      </c>
      <c r="U60" s="10">
        <f t="shared" si="0"/>
        <v>0</v>
      </c>
      <c r="V60" s="10">
        <f t="shared" si="0"/>
        <v>0</v>
      </c>
      <c r="W60" s="10">
        <f t="shared" si="0"/>
        <v>0</v>
      </c>
      <c r="X60" s="10">
        <f t="shared" si="0"/>
        <v>0</v>
      </c>
      <c r="Y60" s="10">
        <f t="shared" si="0"/>
        <v>0</v>
      </c>
      <c r="Z60" s="10">
        <f t="shared" si="0"/>
        <v>0</v>
      </c>
    </row>
    <row r="61" spans="1:29" x14ac:dyDescent="0.25">
      <c r="A61" s="17"/>
      <c r="B61" s="15" t="s">
        <v>48</v>
      </c>
      <c r="C61" s="10">
        <f t="shared" ref="C61:R69" si="1">IF(ISERROR(INDEX($B$23:$Z$47,MATCH($B61,$B$23:$B$47,0),MATCH(C$59,$B$23:$Z$23,0))),0,INDEX($B$23:$Z$47,MATCH($B61,$B$23:$B$47,0),MATCH(C$59,$B$23:$Z$23,0)))</f>
        <v>0</v>
      </c>
      <c r="D61" s="10">
        <f t="shared" si="1"/>
        <v>0</v>
      </c>
      <c r="E61" s="10">
        <f t="shared" si="1"/>
        <v>0</v>
      </c>
      <c r="F61" s="10">
        <f t="shared" si="1"/>
        <v>0</v>
      </c>
      <c r="G61" s="10">
        <f t="shared" si="1"/>
        <v>0</v>
      </c>
      <c r="H61" s="10">
        <f t="shared" si="1"/>
        <v>0</v>
      </c>
      <c r="I61" s="10">
        <f t="shared" si="1"/>
        <v>0</v>
      </c>
      <c r="J61" s="10">
        <f t="shared" si="1"/>
        <v>0</v>
      </c>
      <c r="K61" s="10">
        <f t="shared" si="1"/>
        <v>0</v>
      </c>
      <c r="L61" s="10">
        <f t="shared" si="1"/>
        <v>0</v>
      </c>
      <c r="M61" s="10">
        <f t="shared" si="1"/>
        <v>0</v>
      </c>
      <c r="N61" s="10">
        <f t="shared" si="1"/>
        <v>0</v>
      </c>
      <c r="O61" s="10">
        <f t="shared" si="1"/>
        <v>0</v>
      </c>
      <c r="P61" s="10">
        <f t="shared" si="1"/>
        <v>0</v>
      </c>
      <c r="Q61" s="10">
        <f t="shared" si="1"/>
        <v>0</v>
      </c>
      <c r="R61" s="10">
        <f t="shared" si="1"/>
        <v>0</v>
      </c>
      <c r="S61" s="10">
        <f t="shared" si="0"/>
        <v>0</v>
      </c>
      <c r="T61" s="10">
        <f t="shared" si="0"/>
        <v>0</v>
      </c>
      <c r="U61" s="10">
        <f t="shared" si="0"/>
        <v>0</v>
      </c>
      <c r="V61" s="10">
        <f t="shared" si="0"/>
        <v>0</v>
      </c>
      <c r="W61" s="10">
        <f t="shared" si="0"/>
        <v>0</v>
      </c>
      <c r="X61" s="10">
        <f t="shared" si="0"/>
        <v>0</v>
      </c>
      <c r="Y61" s="10">
        <f t="shared" si="0"/>
        <v>0</v>
      </c>
      <c r="Z61" s="10">
        <f t="shared" si="0"/>
        <v>0</v>
      </c>
    </row>
    <row r="62" spans="1:29" x14ac:dyDescent="0.25">
      <c r="A62" s="17"/>
      <c r="B62" s="15" t="s">
        <v>50</v>
      </c>
      <c r="C62" s="10">
        <f t="shared" si="1"/>
        <v>0</v>
      </c>
      <c r="D62" s="10">
        <f t="shared" si="0"/>
        <v>0</v>
      </c>
      <c r="E62" s="10">
        <f t="shared" si="0"/>
        <v>0</v>
      </c>
      <c r="F62" s="10">
        <f t="shared" si="0"/>
        <v>0</v>
      </c>
      <c r="G62" s="10">
        <f t="shared" si="0"/>
        <v>0</v>
      </c>
      <c r="H62" s="10">
        <f t="shared" si="0"/>
        <v>0</v>
      </c>
      <c r="I62" s="10">
        <f t="shared" si="0"/>
        <v>0</v>
      </c>
      <c r="J62" s="10">
        <f t="shared" si="0"/>
        <v>0</v>
      </c>
      <c r="K62" s="10">
        <f t="shared" si="0"/>
        <v>0</v>
      </c>
      <c r="L62" s="10">
        <f t="shared" si="0"/>
        <v>0</v>
      </c>
      <c r="M62" s="10">
        <f t="shared" si="0"/>
        <v>0</v>
      </c>
      <c r="N62" s="10">
        <f t="shared" si="0"/>
        <v>0</v>
      </c>
      <c r="O62" s="10">
        <f t="shared" si="0"/>
        <v>0</v>
      </c>
      <c r="P62" s="10">
        <f t="shared" si="0"/>
        <v>0</v>
      </c>
      <c r="Q62" s="10">
        <f t="shared" si="0"/>
        <v>0</v>
      </c>
      <c r="R62" s="10">
        <f t="shared" si="0"/>
        <v>0</v>
      </c>
      <c r="S62" s="10">
        <f t="shared" si="0"/>
        <v>0</v>
      </c>
      <c r="T62" s="10">
        <f t="shared" si="0"/>
        <v>0</v>
      </c>
      <c r="U62" s="10">
        <f t="shared" si="0"/>
        <v>0</v>
      </c>
      <c r="V62" s="10">
        <f t="shared" si="0"/>
        <v>0</v>
      </c>
      <c r="W62" s="10">
        <f t="shared" si="0"/>
        <v>0</v>
      </c>
      <c r="X62" s="10">
        <f t="shared" si="0"/>
        <v>0</v>
      </c>
      <c r="Y62" s="10">
        <f t="shared" si="0"/>
        <v>0</v>
      </c>
      <c r="Z62" s="10">
        <f t="shared" si="0"/>
        <v>0</v>
      </c>
    </row>
    <row r="63" spans="1:29" x14ac:dyDescent="0.25">
      <c r="A63" s="17"/>
      <c r="B63" s="15" t="s">
        <v>51</v>
      </c>
      <c r="C63" s="10">
        <f t="shared" si="1"/>
        <v>0</v>
      </c>
      <c r="D63" s="10">
        <f t="shared" si="0"/>
        <v>0</v>
      </c>
      <c r="E63" s="10">
        <f t="shared" si="0"/>
        <v>0</v>
      </c>
      <c r="F63" s="10">
        <f t="shared" si="0"/>
        <v>0</v>
      </c>
      <c r="G63" s="10">
        <f t="shared" si="0"/>
        <v>0</v>
      </c>
      <c r="H63" s="10">
        <f t="shared" si="0"/>
        <v>0</v>
      </c>
      <c r="I63" s="10">
        <f t="shared" si="0"/>
        <v>0</v>
      </c>
      <c r="J63" s="10">
        <f t="shared" si="0"/>
        <v>0</v>
      </c>
      <c r="K63" s="10">
        <f t="shared" si="0"/>
        <v>0</v>
      </c>
      <c r="L63" s="10">
        <f t="shared" si="0"/>
        <v>0</v>
      </c>
      <c r="M63" s="10">
        <f t="shared" si="0"/>
        <v>0</v>
      </c>
      <c r="N63" s="10">
        <f t="shared" si="0"/>
        <v>0</v>
      </c>
      <c r="O63" s="10">
        <f t="shared" si="0"/>
        <v>0</v>
      </c>
      <c r="P63" s="10">
        <f t="shared" si="0"/>
        <v>0</v>
      </c>
      <c r="Q63" s="10">
        <f t="shared" si="0"/>
        <v>0</v>
      </c>
      <c r="R63" s="10">
        <f t="shared" si="0"/>
        <v>0</v>
      </c>
      <c r="S63" s="10">
        <f t="shared" si="0"/>
        <v>0</v>
      </c>
      <c r="T63" s="10">
        <f t="shared" si="0"/>
        <v>0</v>
      </c>
      <c r="U63" s="10">
        <f t="shared" si="0"/>
        <v>0</v>
      </c>
      <c r="V63" s="10">
        <f t="shared" si="0"/>
        <v>0</v>
      </c>
      <c r="W63" s="10">
        <f t="shared" si="0"/>
        <v>0</v>
      </c>
      <c r="X63" s="10">
        <f t="shared" si="0"/>
        <v>0</v>
      </c>
      <c r="Y63" s="10">
        <f t="shared" si="0"/>
        <v>0</v>
      </c>
      <c r="Z63" s="10">
        <f t="shared" si="0"/>
        <v>0</v>
      </c>
    </row>
    <row r="64" spans="1:29" x14ac:dyDescent="0.25">
      <c r="A64" s="17"/>
      <c r="B64" s="15" t="s">
        <v>93</v>
      </c>
      <c r="C64" s="10">
        <f t="shared" si="1"/>
        <v>0</v>
      </c>
      <c r="D64" s="10">
        <f t="shared" si="0"/>
        <v>0</v>
      </c>
      <c r="E64" s="10">
        <f t="shared" si="0"/>
        <v>0</v>
      </c>
      <c r="F64" s="10">
        <f t="shared" si="0"/>
        <v>0</v>
      </c>
      <c r="G64" s="10">
        <f t="shared" si="0"/>
        <v>0</v>
      </c>
      <c r="H64" s="10">
        <f t="shared" si="0"/>
        <v>0</v>
      </c>
      <c r="I64" s="10">
        <f t="shared" si="0"/>
        <v>0</v>
      </c>
      <c r="J64" s="10">
        <f t="shared" si="0"/>
        <v>0</v>
      </c>
      <c r="K64" s="10">
        <f t="shared" si="0"/>
        <v>0</v>
      </c>
      <c r="L64" s="10">
        <f t="shared" si="0"/>
        <v>0</v>
      </c>
      <c r="M64" s="10">
        <f t="shared" si="0"/>
        <v>0</v>
      </c>
      <c r="N64" s="10">
        <f t="shared" si="0"/>
        <v>0</v>
      </c>
      <c r="O64" s="10">
        <f t="shared" si="0"/>
        <v>0</v>
      </c>
      <c r="P64" s="10">
        <f t="shared" si="0"/>
        <v>0</v>
      </c>
      <c r="Q64" s="10">
        <f t="shared" si="0"/>
        <v>0</v>
      </c>
      <c r="R64" s="10">
        <f t="shared" si="0"/>
        <v>0</v>
      </c>
      <c r="S64" s="10">
        <f t="shared" si="0"/>
        <v>0</v>
      </c>
      <c r="T64" s="10">
        <f t="shared" si="0"/>
        <v>0</v>
      </c>
      <c r="U64" s="10">
        <f t="shared" si="0"/>
        <v>0</v>
      </c>
      <c r="V64" s="10">
        <f t="shared" si="0"/>
        <v>0</v>
      </c>
      <c r="W64" s="10">
        <f t="shared" si="0"/>
        <v>0</v>
      </c>
      <c r="X64" s="10">
        <f t="shared" si="0"/>
        <v>0</v>
      </c>
      <c r="Y64" s="10">
        <f t="shared" si="0"/>
        <v>0</v>
      </c>
      <c r="Z64" s="10">
        <f t="shared" si="0"/>
        <v>0</v>
      </c>
    </row>
    <row r="65" spans="1:31" x14ac:dyDescent="0.25">
      <c r="A65" s="17"/>
      <c r="B65" s="15" t="s">
        <v>52</v>
      </c>
      <c r="C65" s="10">
        <f t="shared" si="1"/>
        <v>0</v>
      </c>
      <c r="D65" s="10">
        <f t="shared" si="0"/>
        <v>0</v>
      </c>
      <c r="E65" s="10">
        <f t="shared" si="0"/>
        <v>0</v>
      </c>
      <c r="F65" s="10">
        <f t="shared" si="0"/>
        <v>0</v>
      </c>
      <c r="G65" s="10">
        <f t="shared" si="0"/>
        <v>0</v>
      </c>
      <c r="H65" s="10">
        <f t="shared" si="0"/>
        <v>0</v>
      </c>
      <c r="I65" s="10">
        <f t="shared" si="0"/>
        <v>0</v>
      </c>
      <c r="J65" s="10">
        <f t="shared" si="0"/>
        <v>0</v>
      </c>
      <c r="K65" s="10">
        <f t="shared" si="0"/>
        <v>0</v>
      </c>
      <c r="L65" s="10">
        <f t="shared" si="0"/>
        <v>0</v>
      </c>
      <c r="M65" s="10">
        <f t="shared" si="0"/>
        <v>0</v>
      </c>
      <c r="N65" s="10">
        <f t="shared" si="0"/>
        <v>0</v>
      </c>
      <c r="O65" s="10">
        <f t="shared" si="0"/>
        <v>0</v>
      </c>
      <c r="P65" s="10">
        <f t="shared" si="0"/>
        <v>0</v>
      </c>
      <c r="Q65" s="10">
        <f t="shared" si="0"/>
        <v>0</v>
      </c>
      <c r="R65" s="10">
        <f t="shared" si="0"/>
        <v>0</v>
      </c>
      <c r="S65" s="10">
        <f t="shared" si="0"/>
        <v>0</v>
      </c>
      <c r="T65" s="10">
        <f t="shared" si="0"/>
        <v>0</v>
      </c>
      <c r="U65" s="10">
        <f t="shared" si="0"/>
        <v>0</v>
      </c>
      <c r="V65" s="10">
        <f t="shared" si="0"/>
        <v>0</v>
      </c>
      <c r="W65" s="10">
        <f t="shared" si="0"/>
        <v>0</v>
      </c>
      <c r="X65" s="10">
        <f t="shared" si="0"/>
        <v>0</v>
      </c>
      <c r="Y65" s="10">
        <f t="shared" si="0"/>
        <v>0</v>
      </c>
      <c r="Z65" s="10">
        <f t="shared" si="0"/>
        <v>0</v>
      </c>
    </row>
    <row r="66" spans="1:31" x14ac:dyDescent="0.25">
      <c r="A66" s="17"/>
      <c r="B66" s="15" t="s">
        <v>94</v>
      </c>
      <c r="C66" s="10">
        <f t="shared" si="1"/>
        <v>0</v>
      </c>
      <c r="D66" s="10">
        <f t="shared" si="0"/>
        <v>0</v>
      </c>
      <c r="E66" s="10">
        <f t="shared" si="0"/>
        <v>0</v>
      </c>
      <c r="F66" s="10">
        <f t="shared" si="0"/>
        <v>0</v>
      </c>
      <c r="G66" s="10">
        <f t="shared" si="0"/>
        <v>0</v>
      </c>
      <c r="H66" s="10">
        <f t="shared" si="0"/>
        <v>0</v>
      </c>
      <c r="I66" s="10">
        <f t="shared" si="0"/>
        <v>0</v>
      </c>
      <c r="J66" s="10">
        <f t="shared" si="0"/>
        <v>0</v>
      </c>
      <c r="K66" s="10">
        <f t="shared" si="0"/>
        <v>0</v>
      </c>
      <c r="L66" s="10">
        <f t="shared" si="0"/>
        <v>0</v>
      </c>
      <c r="M66" s="10">
        <f t="shared" si="0"/>
        <v>0</v>
      </c>
      <c r="N66" s="10">
        <f t="shared" si="0"/>
        <v>0</v>
      </c>
      <c r="O66" s="10">
        <f t="shared" si="0"/>
        <v>0</v>
      </c>
      <c r="P66" s="10">
        <f t="shared" si="0"/>
        <v>0</v>
      </c>
      <c r="Q66" s="10">
        <f t="shared" si="0"/>
        <v>0</v>
      </c>
      <c r="R66" s="10">
        <f t="shared" si="0"/>
        <v>0</v>
      </c>
      <c r="S66" s="10">
        <f t="shared" si="0"/>
        <v>0</v>
      </c>
      <c r="T66" s="10">
        <f t="shared" si="0"/>
        <v>0</v>
      </c>
      <c r="U66" s="10">
        <f t="shared" si="0"/>
        <v>0</v>
      </c>
      <c r="V66" s="10">
        <f t="shared" si="0"/>
        <v>0</v>
      </c>
      <c r="W66" s="10">
        <f t="shared" si="0"/>
        <v>0</v>
      </c>
      <c r="X66" s="10">
        <f t="shared" si="0"/>
        <v>0</v>
      </c>
      <c r="Y66" s="10">
        <f t="shared" si="0"/>
        <v>0</v>
      </c>
      <c r="Z66" s="10">
        <f t="shared" si="0"/>
        <v>0</v>
      </c>
    </row>
    <row r="67" spans="1:31" x14ac:dyDescent="0.25">
      <c r="A67" s="17"/>
      <c r="B67" s="15" t="s">
        <v>95</v>
      </c>
      <c r="C67" s="10">
        <f t="shared" si="1"/>
        <v>0</v>
      </c>
      <c r="D67" s="10">
        <f t="shared" si="0"/>
        <v>0</v>
      </c>
      <c r="E67" s="10">
        <f t="shared" si="0"/>
        <v>0</v>
      </c>
      <c r="F67" s="10">
        <f t="shared" si="0"/>
        <v>0</v>
      </c>
      <c r="G67" s="10">
        <f t="shared" si="0"/>
        <v>0</v>
      </c>
      <c r="H67" s="10">
        <f t="shared" si="0"/>
        <v>0</v>
      </c>
      <c r="I67" s="10">
        <f t="shared" si="0"/>
        <v>0</v>
      </c>
      <c r="J67" s="10">
        <f t="shared" si="0"/>
        <v>0</v>
      </c>
      <c r="K67" s="10">
        <f t="shared" si="0"/>
        <v>0</v>
      </c>
      <c r="L67" s="10">
        <f t="shared" si="0"/>
        <v>0</v>
      </c>
      <c r="M67" s="10">
        <f t="shared" si="0"/>
        <v>0</v>
      </c>
      <c r="N67" s="10">
        <f t="shared" si="0"/>
        <v>0</v>
      </c>
      <c r="O67" s="10">
        <f t="shared" si="0"/>
        <v>0</v>
      </c>
      <c r="P67" s="10">
        <f t="shared" si="0"/>
        <v>0</v>
      </c>
      <c r="Q67" s="10">
        <f t="shared" si="0"/>
        <v>0</v>
      </c>
      <c r="R67" s="10">
        <f t="shared" si="0"/>
        <v>0</v>
      </c>
      <c r="S67" s="10">
        <f t="shared" si="0"/>
        <v>0</v>
      </c>
      <c r="T67" s="10">
        <f t="shared" si="0"/>
        <v>0</v>
      </c>
      <c r="U67" s="10">
        <f t="shared" si="0"/>
        <v>0</v>
      </c>
      <c r="V67" s="10">
        <f t="shared" si="0"/>
        <v>0</v>
      </c>
      <c r="W67" s="10">
        <f t="shared" si="0"/>
        <v>0</v>
      </c>
      <c r="X67" s="10">
        <f t="shared" si="0"/>
        <v>0</v>
      </c>
      <c r="Y67" s="10">
        <f t="shared" si="0"/>
        <v>0</v>
      </c>
      <c r="Z67" s="10">
        <f t="shared" si="0"/>
        <v>0</v>
      </c>
    </row>
    <row r="68" spans="1:31" x14ac:dyDescent="0.25">
      <c r="A68" s="17"/>
      <c r="B68" s="15" t="s">
        <v>96</v>
      </c>
      <c r="C68" s="10">
        <f t="shared" si="1"/>
        <v>0</v>
      </c>
      <c r="D68" s="10">
        <f t="shared" si="0"/>
        <v>0</v>
      </c>
      <c r="E68" s="10">
        <f t="shared" si="0"/>
        <v>0</v>
      </c>
      <c r="F68" s="10">
        <f t="shared" si="0"/>
        <v>0</v>
      </c>
      <c r="G68" s="10">
        <f t="shared" si="0"/>
        <v>0</v>
      </c>
      <c r="H68" s="10">
        <f t="shared" si="0"/>
        <v>0</v>
      </c>
      <c r="I68" s="10">
        <f t="shared" si="0"/>
        <v>0</v>
      </c>
      <c r="J68" s="10">
        <f t="shared" si="0"/>
        <v>0</v>
      </c>
      <c r="K68" s="10">
        <f t="shared" si="0"/>
        <v>0</v>
      </c>
      <c r="L68" s="10">
        <f t="shared" si="0"/>
        <v>0</v>
      </c>
      <c r="M68" s="10">
        <f t="shared" si="0"/>
        <v>0</v>
      </c>
      <c r="N68" s="10">
        <f t="shared" si="0"/>
        <v>0</v>
      </c>
      <c r="O68" s="10">
        <f t="shared" si="0"/>
        <v>0</v>
      </c>
      <c r="P68" s="10">
        <f t="shared" si="0"/>
        <v>0</v>
      </c>
      <c r="Q68" s="10">
        <f t="shared" si="0"/>
        <v>0</v>
      </c>
      <c r="R68" s="10">
        <f t="shared" si="0"/>
        <v>0</v>
      </c>
      <c r="S68" s="10">
        <f t="shared" si="0"/>
        <v>0</v>
      </c>
      <c r="T68" s="10">
        <f t="shared" si="0"/>
        <v>0</v>
      </c>
      <c r="U68" s="10">
        <f t="shared" si="0"/>
        <v>0</v>
      </c>
      <c r="V68" s="10">
        <f t="shared" si="0"/>
        <v>0</v>
      </c>
      <c r="W68" s="10">
        <f t="shared" si="0"/>
        <v>0</v>
      </c>
      <c r="X68" s="10">
        <f t="shared" si="0"/>
        <v>0</v>
      </c>
      <c r="Y68" s="10">
        <f t="shared" si="0"/>
        <v>0</v>
      </c>
      <c r="Z68" s="10">
        <f t="shared" si="0"/>
        <v>0</v>
      </c>
    </row>
    <row r="69" spans="1:31" x14ac:dyDescent="0.25">
      <c r="A69" s="17"/>
      <c r="B69" s="15" t="s">
        <v>97</v>
      </c>
      <c r="C69" s="10">
        <f t="shared" si="1"/>
        <v>0</v>
      </c>
      <c r="D69" s="10">
        <f t="shared" si="0"/>
        <v>0</v>
      </c>
      <c r="E69" s="10">
        <f t="shared" si="0"/>
        <v>0</v>
      </c>
      <c r="F69" s="10">
        <f t="shared" si="0"/>
        <v>0</v>
      </c>
      <c r="G69" s="10">
        <f t="shared" si="0"/>
        <v>0</v>
      </c>
      <c r="H69" s="10">
        <f t="shared" si="0"/>
        <v>0</v>
      </c>
      <c r="I69" s="10">
        <f t="shared" si="0"/>
        <v>0</v>
      </c>
      <c r="J69" s="10">
        <f t="shared" si="0"/>
        <v>0</v>
      </c>
      <c r="K69" s="10">
        <f t="shared" si="0"/>
        <v>0</v>
      </c>
      <c r="L69" s="10">
        <f t="shared" si="0"/>
        <v>0</v>
      </c>
      <c r="M69" s="10">
        <f t="shared" si="0"/>
        <v>0</v>
      </c>
      <c r="N69" s="10">
        <f t="shared" si="0"/>
        <v>0</v>
      </c>
      <c r="O69" s="10">
        <f t="shared" si="0"/>
        <v>0</v>
      </c>
      <c r="P69" s="10">
        <f t="shared" si="0"/>
        <v>0</v>
      </c>
      <c r="Q69" s="10">
        <f t="shared" si="0"/>
        <v>0</v>
      </c>
      <c r="R69" s="10">
        <f t="shared" si="0"/>
        <v>0</v>
      </c>
      <c r="S69" s="10">
        <f t="shared" si="0"/>
        <v>0</v>
      </c>
      <c r="T69" s="10">
        <f t="shared" si="0"/>
        <v>0</v>
      </c>
      <c r="U69" s="10">
        <f t="shared" si="0"/>
        <v>0</v>
      </c>
      <c r="V69" s="10">
        <f t="shared" si="0"/>
        <v>0</v>
      </c>
      <c r="W69" s="10">
        <f t="shared" si="0"/>
        <v>0</v>
      </c>
      <c r="X69" s="10">
        <f t="shared" si="0"/>
        <v>0</v>
      </c>
      <c r="Y69" s="10">
        <f t="shared" si="0"/>
        <v>0</v>
      </c>
      <c r="Z69" s="10">
        <f t="shared" si="0"/>
        <v>0</v>
      </c>
    </row>
    <row r="70" spans="1:31" x14ac:dyDescent="0.25">
      <c r="A70" s="18" t="s">
        <v>62</v>
      </c>
      <c r="B70" s="19"/>
    </row>
    <row r="71" spans="1:31" x14ac:dyDescent="0.25">
      <c r="A71" s="16" t="s">
        <v>65</v>
      </c>
      <c r="B71" s="14" t="s">
        <v>53</v>
      </c>
      <c r="C71" s="10">
        <f>IF(ISERROR(INDEX($B$23:$Z$47,MATCH($B71,$B$23:$B$47,0),MATCH(C$59,$B$23:$Z$23,0))),0,INDEX($B$23:$Z$47,MATCH($B71,$B$23:$B$47,0),MATCH(C$59,$B$23:$Z$23,0)))</f>
        <v>0</v>
      </c>
      <c r="D71" s="10">
        <f t="shared" ref="D71:Z72" si="2">IF(ISERROR(INDEX($B$23:$Z$47,MATCH($B71,$B$23:$B$47,0),MATCH(D$59,$B$23:$Z$23,0))),0,INDEX($B$23:$Z$47,MATCH($B71,$B$23:$B$47,0),MATCH(D$59,$B$23:$Z$23,0)))</f>
        <v>0</v>
      </c>
      <c r="E71" s="10">
        <f t="shared" si="2"/>
        <v>0</v>
      </c>
      <c r="F71" s="10">
        <f t="shared" si="2"/>
        <v>0</v>
      </c>
      <c r="G71" s="10">
        <f t="shared" si="2"/>
        <v>0</v>
      </c>
      <c r="H71" s="10">
        <f t="shared" si="2"/>
        <v>0</v>
      </c>
      <c r="I71" s="10">
        <f t="shared" si="2"/>
        <v>0</v>
      </c>
      <c r="J71" s="10">
        <f t="shared" si="2"/>
        <v>0</v>
      </c>
      <c r="K71" s="10">
        <f t="shared" si="2"/>
        <v>0</v>
      </c>
      <c r="L71" s="10">
        <f t="shared" si="2"/>
        <v>0</v>
      </c>
      <c r="M71" s="10">
        <f t="shared" si="2"/>
        <v>0</v>
      </c>
      <c r="N71" s="10">
        <f t="shared" si="2"/>
        <v>0</v>
      </c>
      <c r="O71" s="10">
        <f t="shared" si="2"/>
        <v>0</v>
      </c>
      <c r="P71" s="10">
        <f t="shared" si="2"/>
        <v>0</v>
      </c>
      <c r="Q71" s="10">
        <f t="shared" si="2"/>
        <v>0</v>
      </c>
      <c r="R71" s="10">
        <f t="shared" si="2"/>
        <v>0</v>
      </c>
      <c r="S71" s="10">
        <f t="shared" si="2"/>
        <v>0</v>
      </c>
      <c r="T71" s="10">
        <f t="shared" si="2"/>
        <v>0</v>
      </c>
      <c r="U71" s="10">
        <f t="shared" si="2"/>
        <v>0</v>
      </c>
      <c r="V71" s="10">
        <f t="shared" si="2"/>
        <v>0</v>
      </c>
      <c r="W71" s="10">
        <f t="shared" si="2"/>
        <v>0</v>
      </c>
      <c r="X71" s="10">
        <f t="shared" si="2"/>
        <v>0</v>
      </c>
      <c r="Y71" s="10">
        <f t="shared" si="2"/>
        <v>0</v>
      </c>
      <c r="Z71" s="10">
        <f t="shared" si="2"/>
        <v>0</v>
      </c>
    </row>
    <row r="72" spans="1:31" x14ac:dyDescent="0.25">
      <c r="A72" s="17"/>
      <c r="B72" s="15" t="s">
        <v>54</v>
      </c>
      <c r="C72" s="10">
        <f>IF(ISERROR(INDEX($B$23:$Z$47,MATCH($B72,$B$23:$B$47,0),MATCH(C$59,$B$23:$Z$23,0))),0,INDEX($B$23:$Z$47,MATCH($B72,$B$23:$B$47,0),MATCH(C$59,$B$23:$Z$23,0)))</f>
        <v>0</v>
      </c>
      <c r="D72" s="10">
        <f t="shared" si="2"/>
        <v>0</v>
      </c>
      <c r="E72" s="10">
        <f t="shared" si="2"/>
        <v>0</v>
      </c>
      <c r="F72" s="10">
        <f t="shared" si="2"/>
        <v>0</v>
      </c>
      <c r="G72" s="10">
        <f t="shared" si="2"/>
        <v>0</v>
      </c>
      <c r="H72" s="10">
        <f t="shared" si="2"/>
        <v>0</v>
      </c>
      <c r="I72" s="10">
        <f t="shared" si="2"/>
        <v>0</v>
      </c>
      <c r="J72" s="10">
        <f t="shared" si="2"/>
        <v>0</v>
      </c>
      <c r="K72" s="10">
        <f t="shared" si="2"/>
        <v>0</v>
      </c>
      <c r="L72" s="10">
        <f t="shared" si="2"/>
        <v>0</v>
      </c>
      <c r="M72" s="10">
        <f t="shared" si="2"/>
        <v>0</v>
      </c>
      <c r="N72" s="10">
        <f t="shared" si="2"/>
        <v>0</v>
      </c>
      <c r="O72" s="10">
        <f t="shared" si="2"/>
        <v>0</v>
      </c>
      <c r="P72" s="10">
        <f t="shared" si="2"/>
        <v>0</v>
      </c>
      <c r="Q72" s="10">
        <f t="shared" si="2"/>
        <v>0</v>
      </c>
      <c r="R72" s="10">
        <f t="shared" si="2"/>
        <v>0</v>
      </c>
      <c r="S72" s="10">
        <f t="shared" si="2"/>
        <v>0</v>
      </c>
      <c r="T72" s="10">
        <f t="shared" si="2"/>
        <v>0</v>
      </c>
      <c r="U72" s="10">
        <f t="shared" si="2"/>
        <v>0</v>
      </c>
      <c r="V72" s="10">
        <f t="shared" si="2"/>
        <v>0</v>
      </c>
      <c r="W72" s="10">
        <f t="shared" si="2"/>
        <v>0</v>
      </c>
      <c r="X72" s="10">
        <f t="shared" si="2"/>
        <v>0</v>
      </c>
      <c r="Y72" s="10">
        <f t="shared" si="2"/>
        <v>0</v>
      </c>
      <c r="Z72" s="10">
        <f t="shared" si="2"/>
        <v>0</v>
      </c>
    </row>
    <row r="73" spans="1:31" x14ac:dyDescent="0.25">
      <c r="A73" s="18" t="s">
        <v>66</v>
      </c>
      <c r="B73" s="19"/>
    </row>
    <row r="74" spans="1:31" x14ac:dyDescent="0.25">
      <c r="A74" s="16" t="s">
        <v>63</v>
      </c>
      <c r="B74" s="14" t="s">
        <v>55</v>
      </c>
      <c r="C74" s="10">
        <f>IF(ISERROR(INDEX($B$23:$Z$47,MATCH($B74,$B$23:$B$47,0),MATCH(C$59,$B$23:$Z$23,0))),0,INDEX($B$23:$Z$47,MATCH($B74,$B$23:$B$47,0),MATCH(C$59,$B$23:$Z$23,0)))</f>
        <v>0</v>
      </c>
      <c r="D74" s="10">
        <f t="shared" ref="D74:Z74" si="3">IF(ISERROR(INDEX($B$23:$Z$47,MATCH($B74,$B$23:$B$47,0),MATCH(D$59,$B$23:$Z$23,0))),0,INDEX($B$23:$Z$47,MATCH($B74,$B$23:$B$47,0),MATCH(D$59,$B$23:$Z$23,0)))</f>
        <v>0</v>
      </c>
      <c r="E74" s="10">
        <f t="shared" si="3"/>
        <v>0</v>
      </c>
      <c r="F74" s="10">
        <f t="shared" si="3"/>
        <v>0</v>
      </c>
      <c r="G74" s="10">
        <f t="shared" si="3"/>
        <v>0</v>
      </c>
      <c r="H74" s="10">
        <f t="shared" si="3"/>
        <v>0</v>
      </c>
      <c r="I74" s="10">
        <f t="shared" si="3"/>
        <v>0</v>
      </c>
      <c r="J74" s="10">
        <f t="shared" si="3"/>
        <v>0</v>
      </c>
      <c r="K74" s="10">
        <f t="shared" si="3"/>
        <v>0</v>
      </c>
      <c r="L74" s="10">
        <f t="shared" si="3"/>
        <v>0</v>
      </c>
      <c r="M74" s="10">
        <f t="shared" si="3"/>
        <v>0</v>
      </c>
      <c r="N74" s="10">
        <f t="shared" si="3"/>
        <v>0</v>
      </c>
      <c r="O74" s="10">
        <f t="shared" si="3"/>
        <v>0</v>
      </c>
      <c r="P74" s="10">
        <f t="shared" si="3"/>
        <v>0</v>
      </c>
      <c r="Q74" s="10">
        <f t="shared" si="3"/>
        <v>0</v>
      </c>
      <c r="R74" s="10">
        <f t="shared" si="3"/>
        <v>0</v>
      </c>
      <c r="S74" s="10">
        <f t="shared" si="3"/>
        <v>0</v>
      </c>
      <c r="T74" s="10">
        <f t="shared" si="3"/>
        <v>0</v>
      </c>
      <c r="U74" s="10">
        <f t="shared" si="3"/>
        <v>0</v>
      </c>
      <c r="V74" s="10">
        <f t="shared" si="3"/>
        <v>0</v>
      </c>
      <c r="W74" s="10">
        <f t="shared" si="3"/>
        <v>0</v>
      </c>
      <c r="X74" s="10">
        <f t="shared" si="3"/>
        <v>0</v>
      </c>
      <c r="Y74" s="10">
        <f t="shared" si="3"/>
        <v>0</v>
      </c>
      <c r="Z74" s="10">
        <f t="shared" si="3"/>
        <v>0</v>
      </c>
    </row>
    <row r="75" spans="1:31" x14ac:dyDescent="0.25">
      <c r="A75" s="18" t="s">
        <v>64</v>
      </c>
      <c r="B75" s="19"/>
    </row>
    <row r="76" spans="1:31" x14ac:dyDescent="0.25">
      <c r="A76" s="16" t="s">
        <v>59</v>
      </c>
      <c r="B76" s="14" t="s">
        <v>56</v>
      </c>
      <c r="C76" s="10">
        <f>IF(ISERROR(INDEX($B$23:$Z$47,MATCH($B76,$B$23:$B$47,0),MATCH(C$59,$B$23:$Z$23,0))),0,INDEX($B$23:$Z$47,MATCH($B76,$B$23:$B$47,0),MATCH(C$59,$B$23:$Z$23,0)))</f>
        <v>0</v>
      </c>
      <c r="D76" s="10">
        <f t="shared" ref="D76:Z76" si="4">IF(ISERROR(INDEX($B$23:$Z$47,MATCH($B76,$B$23:$B$47,0),MATCH(D$59,$B$23:$Z$23,0))),0,INDEX($B$23:$Z$47,MATCH($B76,$B$23:$B$47,0),MATCH(D$59,$B$23:$Z$23,0)))</f>
        <v>0</v>
      </c>
      <c r="E76" s="10">
        <f t="shared" si="4"/>
        <v>0</v>
      </c>
      <c r="F76" s="10">
        <f t="shared" si="4"/>
        <v>0</v>
      </c>
      <c r="G76" s="10">
        <f t="shared" si="4"/>
        <v>0</v>
      </c>
      <c r="H76" s="10">
        <f t="shared" si="4"/>
        <v>0</v>
      </c>
      <c r="I76" s="10">
        <f t="shared" si="4"/>
        <v>0</v>
      </c>
      <c r="J76" s="10">
        <f t="shared" si="4"/>
        <v>0</v>
      </c>
      <c r="K76" s="10">
        <f t="shared" si="4"/>
        <v>0</v>
      </c>
      <c r="L76" s="10">
        <f t="shared" si="4"/>
        <v>0</v>
      </c>
      <c r="M76" s="10">
        <f t="shared" si="4"/>
        <v>0</v>
      </c>
      <c r="N76" s="10">
        <f t="shared" si="4"/>
        <v>0</v>
      </c>
      <c r="O76" s="10">
        <f t="shared" si="4"/>
        <v>0</v>
      </c>
      <c r="P76" s="10">
        <f t="shared" si="4"/>
        <v>0</v>
      </c>
      <c r="Q76" s="10">
        <f t="shared" si="4"/>
        <v>0</v>
      </c>
      <c r="R76" s="10">
        <f t="shared" si="4"/>
        <v>0</v>
      </c>
      <c r="S76" s="10">
        <f t="shared" si="4"/>
        <v>0</v>
      </c>
      <c r="T76" s="10">
        <f t="shared" si="4"/>
        <v>0</v>
      </c>
      <c r="U76" s="10">
        <f t="shared" si="4"/>
        <v>0</v>
      </c>
      <c r="V76" s="10">
        <f t="shared" si="4"/>
        <v>0</v>
      </c>
      <c r="W76" s="10">
        <f t="shared" si="4"/>
        <v>0</v>
      </c>
      <c r="X76" s="10">
        <f t="shared" si="4"/>
        <v>0</v>
      </c>
      <c r="Y76" s="10">
        <f t="shared" si="4"/>
        <v>0</v>
      </c>
      <c r="Z76" s="10">
        <f t="shared" si="4"/>
        <v>0</v>
      </c>
    </row>
    <row r="77" spans="1:31" x14ac:dyDescent="0.25">
      <c r="A77" s="18" t="s">
        <v>60</v>
      </c>
      <c r="B77" s="19"/>
    </row>
    <row r="78" spans="1:31" x14ac:dyDescent="0.25">
      <c r="A78" s="16" t="s">
        <v>57</v>
      </c>
      <c r="B78" s="14" t="s">
        <v>98</v>
      </c>
      <c r="C78" s="10">
        <f t="shared" ref="C78:R79" si="5">IF(ISERROR(INDEX($B$23:$Z$47,MATCH($B78,$B$23:$B$47,0),MATCH(C$59,$B$23:$Z$23,0))),0,INDEX($B$23:$Z$47,MATCH($B78,$B$23:$B$47,0),MATCH(C$59,$B$23:$Z$23,0)))</f>
        <v>0</v>
      </c>
      <c r="D78" s="10">
        <f t="shared" si="5"/>
        <v>0</v>
      </c>
      <c r="E78" s="10">
        <f t="shared" si="5"/>
        <v>0</v>
      </c>
      <c r="F78" s="10">
        <f t="shared" si="5"/>
        <v>0</v>
      </c>
      <c r="G78" s="10">
        <f t="shared" si="5"/>
        <v>0</v>
      </c>
      <c r="H78" s="10">
        <f t="shared" si="5"/>
        <v>0</v>
      </c>
      <c r="I78" s="10">
        <f t="shared" si="5"/>
        <v>0</v>
      </c>
      <c r="J78" s="10">
        <f t="shared" si="5"/>
        <v>0</v>
      </c>
      <c r="K78" s="10">
        <f t="shared" si="5"/>
        <v>0</v>
      </c>
      <c r="L78" s="10">
        <f t="shared" si="5"/>
        <v>0</v>
      </c>
      <c r="M78" s="10">
        <f t="shared" si="5"/>
        <v>0</v>
      </c>
      <c r="N78" s="10">
        <f t="shared" si="5"/>
        <v>0</v>
      </c>
      <c r="O78" s="10">
        <f t="shared" si="5"/>
        <v>0</v>
      </c>
      <c r="P78" s="10">
        <f t="shared" si="5"/>
        <v>0</v>
      </c>
      <c r="Q78" s="10">
        <f t="shared" si="5"/>
        <v>0</v>
      </c>
      <c r="R78" s="10">
        <f t="shared" si="5"/>
        <v>0</v>
      </c>
      <c r="S78" s="10">
        <f t="shared" ref="D78:Z79" si="6">IF(ISERROR(INDEX($B$23:$Z$47,MATCH($B78,$B$23:$B$47,0),MATCH(S$59,$B$23:$Z$23,0))),0,INDEX($B$23:$Z$47,MATCH($B78,$B$23:$B$47,0),MATCH(S$59,$B$23:$Z$23,0)))</f>
        <v>0</v>
      </c>
      <c r="T78" s="10">
        <f t="shared" si="6"/>
        <v>0</v>
      </c>
      <c r="U78" s="10">
        <f t="shared" si="6"/>
        <v>0</v>
      </c>
      <c r="V78" s="10">
        <f t="shared" si="6"/>
        <v>0</v>
      </c>
      <c r="W78" s="10">
        <f t="shared" si="6"/>
        <v>0</v>
      </c>
      <c r="X78" s="10">
        <f t="shared" si="6"/>
        <v>0</v>
      </c>
      <c r="Y78" s="10">
        <f t="shared" si="6"/>
        <v>0</v>
      </c>
      <c r="Z78" s="10">
        <f t="shared" si="6"/>
        <v>0</v>
      </c>
    </row>
    <row r="79" spans="1:31" x14ac:dyDescent="0.25">
      <c r="A79" s="17"/>
      <c r="B79" s="15" t="s">
        <v>57</v>
      </c>
      <c r="C79" s="10">
        <f t="shared" si="5"/>
        <v>0</v>
      </c>
      <c r="D79" s="10">
        <f t="shared" si="6"/>
        <v>0</v>
      </c>
      <c r="E79" s="10">
        <f t="shared" si="6"/>
        <v>0</v>
      </c>
      <c r="F79" s="10">
        <f t="shared" si="6"/>
        <v>0</v>
      </c>
      <c r="G79" s="10">
        <f t="shared" si="6"/>
        <v>0</v>
      </c>
      <c r="H79" s="10">
        <f t="shared" si="6"/>
        <v>0</v>
      </c>
      <c r="I79" s="10">
        <f t="shared" si="6"/>
        <v>0</v>
      </c>
      <c r="J79" s="10">
        <f t="shared" si="6"/>
        <v>0</v>
      </c>
      <c r="K79" s="10">
        <f t="shared" si="6"/>
        <v>0</v>
      </c>
      <c r="L79" s="10">
        <f t="shared" si="6"/>
        <v>0</v>
      </c>
      <c r="M79" s="10">
        <f t="shared" si="6"/>
        <v>0</v>
      </c>
      <c r="N79" s="10">
        <f t="shared" si="6"/>
        <v>0</v>
      </c>
      <c r="O79" s="10">
        <f t="shared" si="6"/>
        <v>0</v>
      </c>
      <c r="P79" s="10">
        <f t="shared" si="6"/>
        <v>0</v>
      </c>
      <c r="Q79" s="10">
        <f t="shared" si="6"/>
        <v>0</v>
      </c>
      <c r="R79" s="10">
        <f t="shared" si="6"/>
        <v>0</v>
      </c>
      <c r="S79" s="10">
        <f t="shared" si="6"/>
        <v>0</v>
      </c>
      <c r="T79" s="10">
        <f t="shared" si="6"/>
        <v>0</v>
      </c>
      <c r="U79" s="10">
        <f t="shared" si="6"/>
        <v>0</v>
      </c>
      <c r="V79" s="10">
        <f t="shared" si="6"/>
        <v>0</v>
      </c>
      <c r="W79" s="10">
        <f t="shared" si="6"/>
        <v>0</v>
      </c>
      <c r="X79" s="10">
        <f t="shared" si="6"/>
        <v>0</v>
      </c>
      <c r="Y79" s="10">
        <f t="shared" si="6"/>
        <v>0</v>
      </c>
      <c r="Z79" s="10">
        <f t="shared" si="6"/>
        <v>0</v>
      </c>
      <c r="AD79" t="s">
        <v>134</v>
      </c>
    </row>
    <row r="80" spans="1:31" x14ac:dyDescent="0.25">
      <c r="A80" s="18" t="s">
        <v>67</v>
      </c>
      <c r="B80" s="19"/>
      <c r="AD80" t="str">
        <f>RIGHT(AD79,4)</f>
        <v>2021</v>
      </c>
      <c r="AE80" t="str">
        <f>AD80</f>
        <v>2021</v>
      </c>
    </row>
    <row r="81" spans="1:42" ht="13" x14ac:dyDescent="0.3">
      <c r="A81" s="23" t="s">
        <v>20</v>
      </c>
      <c r="B81" s="24"/>
      <c r="AD81">
        <f>LEFT(AD79,2)+1</f>
        <v>7</v>
      </c>
      <c r="AE81" t="str">
        <f>LEFT(AD79,2)</f>
        <v>06</v>
      </c>
    </row>
    <row r="82" spans="1:42" x14ac:dyDescent="0.25">
      <c r="AD82" t="str">
        <f>IF(AD81&lt;10,"0"&amp;AD81,AD81)</f>
        <v>07</v>
      </c>
      <c r="AE82" t="str">
        <f>IF(AE81&lt;10,"0"&amp;AE81,AE81)</f>
        <v>06</v>
      </c>
    </row>
    <row r="84" spans="1:42" ht="21" x14ac:dyDescent="0.25">
      <c r="A84" s="32" t="s">
        <v>32</v>
      </c>
      <c r="B84" s="31"/>
      <c r="C84" s="20" t="s">
        <v>77</v>
      </c>
      <c r="D84" s="21" t="s">
        <v>78</v>
      </c>
      <c r="E84" s="21" t="s">
        <v>79</v>
      </c>
      <c r="F84" s="21" t="s">
        <v>80</v>
      </c>
      <c r="G84" s="21" t="s">
        <v>81</v>
      </c>
      <c r="H84" s="21" t="s">
        <v>82</v>
      </c>
      <c r="I84" s="21" t="s">
        <v>83</v>
      </c>
      <c r="J84" s="21" t="s">
        <v>84</v>
      </c>
      <c r="K84" s="21" t="s">
        <v>85</v>
      </c>
      <c r="L84" s="21" t="s">
        <v>86</v>
      </c>
      <c r="M84" s="21" t="s">
        <v>35</v>
      </c>
      <c r="N84" s="21" t="s">
        <v>36</v>
      </c>
      <c r="O84" s="20" t="s">
        <v>37</v>
      </c>
      <c r="P84" s="21" t="s">
        <v>38</v>
      </c>
      <c r="Q84" s="21" t="s">
        <v>39</v>
      </c>
      <c r="R84" s="21" t="s">
        <v>40</v>
      </c>
      <c r="S84" s="21" t="s">
        <v>41</v>
      </c>
      <c r="T84" s="21" t="s">
        <v>42</v>
      </c>
      <c r="U84" s="21" t="s">
        <v>43</v>
      </c>
      <c r="V84" s="21" t="s">
        <v>44</v>
      </c>
      <c r="W84" s="21" t="s">
        <v>45</v>
      </c>
      <c r="X84" s="21" t="s">
        <v>46</v>
      </c>
      <c r="Y84" s="21" t="s">
        <v>47</v>
      </c>
      <c r="Z84" s="21" t="s">
        <v>99</v>
      </c>
      <c r="AC84">
        <v>1</v>
      </c>
      <c r="AD84" t="str">
        <f>AD80&amp;"-"&amp;AD82</f>
        <v>2021-07</v>
      </c>
      <c r="AE84" t="str">
        <f>AE80&amp;"-"&amp;AE82</f>
        <v>2021-06</v>
      </c>
      <c r="AF84" s="25" t="s">
        <v>92</v>
      </c>
      <c r="AG84" t="str">
        <f>AD80-1&amp;"-"&amp;AD82</f>
        <v>2020-07</v>
      </c>
      <c r="AH84" s="25" t="s">
        <v>101</v>
      </c>
      <c r="AI84" s="25"/>
      <c r="AJ84" s="28" t="s">
        <v>100</v>
      </c>
      <c r="AL84" s="28" t="s">
        <v>89</v>
      </c>
      <c r="AM84" s="28" t="s">
        <v>87</v>
      </c>
      <c r="AN84" s="28" t="s">
        <v>88</v>
      </c>
      <c r="AO84" s="28" t="s">
        <v>90</v>
      </c>
      <c r="AP84" s="28" t="s">
        <v>91</v>
      </c>
    </row>
    <row r="85" spans="1:42" x14ac:dyDescent="0.25">
      <c r="A85" s="16" t="s">
        <v>61</v>
      </c>
      <c r="B85" s="14" t="s">
        <v>49</v>
      </c>
      <c r="C85" s="10">
        <f>C60</f>
        <v>0</v>
      </c>
      <c r="D85" s="10">
        <f t="shared" ref="D85:Z85" si="7">D60</f>
        <v>0</v>
      </c>
      <c r="E85" s="10">
        <f t="shared" si="7"/>
        <v>0</v>
      </c>
      <c r="F85" s="10">
        <f t="shared" si="7"/>
        <v>0</v>
      </c>
      <c r="G85" s="10">
        <f t="shared" si="7"/>
        <v>0</v>
      </c>
      <c r="H85" s="10">
        <f t="shared" si="7"/>
        <v>0</v>
      </c>
      <c r="I85" s="10">
        <f t="shared" si="7"/>
        <v>0</v>
      </c>
      <c r="J85" s="10">
        <f t="shared" si="7"/>
        <v>0</v>
      </c>
      <c r="K85" s="10">
        <f t="shared" si="7"/>
        <v>0</v>
      </c>
      <c r="L85" s="10">
        <f t="shared" si="7"/>
        <v>0</v>
      </c>
      <c r="M85" s="10">
        <f t="shared" si="7"/>
        <v>0</v>
      </c>
      <c r="N85" s="10">
        <f t="shared" si="7"/>
        <v>0</v>
      </c>
      <c r="O85" s="10">
        <f t="shared" si="7"/>
        <v>0</v>
      </c>
      <c r="P85" s="10">
        <f t="shared" si="7"/>
        <v>0</v>
      </c>
      <c r="Q85" s="10">
        <f t="shared" si="7"/>
        <v>0</v>
      </c>
      <c r="R85" s="10">
        <f t="shared" si="7"/>
        <v>0</v>
      </c>
      <c r="S85" s="10">
        <f t="shared" si="7"/>
        <v>0</v>
      </c>
      <c r="T85" s="10">
        <f t="shared" si="7"/>
        <v>0</v>
      </c>
      <c r="U85" s="10">
        <f t="shared" si="7"/>
        <v>0</v>
      </c>
      <c r="V85" s="10">
        <f t="shared" si="7"/>
        <v>0</v>
      </c>
      <c r="W85" s="10">
        <f t="shared" si="7"/>
        <v>0</v>
      </c>
      <c r="X85" s="10">
        <f t="shared" si="7"/>
        <v>0</v>
      </c>
      <c r="Y85" s="10">
        <f t="shared" si="7"/>
        <v>0</v>
      </c>
      <c r="Z85" s="10">
        <f t="shared" si="7"/>
        <v>0</v>
      </c>
      <c r="AB85" s="26"/>
      <c r="AC85" s="26">
        <v>2</v>
      </c>
      <c r="AD85" s="10" t="e">
        <f>HLOOKUP(AD$84,$C$84:$Z$101,$AC85,0)</f>
        <v>#N/A</v>
      </c>
      <c r="AE85" s="10" t="e">
        <f t="shared" ref="AE85:AE101" si="8">HLOOKUP(AE$84,$C$84:$Z$101,$AC85,0)</f>
        <v>#N/A</v>
      </c>
      <c r="AF85" s="10">
        <v>0</v>
      </c>
      <c r="AG85" s="10" t="e">
        <f>HLOOKUP(AG$84,$C$84:$Z$101,$AC85,0)</f>
        <v>#N/A</v>
      </c>
      <c r="AH85" s="10">
        <v>1426.1097</v>
      </c>
      <c r="AI85" s="10"/>
      <c r="AJ85" s="29" t="e">
        <f>AD85</f>
        <v>#N/A</v>
      </c>
      <c r="AL85" s="29">
        <v>19521.302280000007</v>
      </c>
      <c r="AM85" s="34" t="e">
        <f t="shared" ref="AM85:AM90" si="9">AD85/AL85</f>
        <v>#N/A</v>
      </c>
      <c r="AN85" s="34" t="e">
        <f t="shared" ref="AN85:AN90" si="10">AE85/AF85</f>
        <v>#N/A</v>
      </c>
      <c r="AO85" s="29">
        <f t="shared" ref="AO85:AO93" si="11">AH85</f>
        <v>1426.1097</v>
      </c>
      <c r="AP85" s="34" t="e">
        <f t="shared" ref="AP85:AP91" si="12">AG85/AH85</f>
        <v>#N/A</v>
      </c>
    </row>
    <row r="86" spans="1:42" x14ac:dyDescent="0.25">
      <c r="A86" s="17"/>
      <c r="B86" s="15" t="s">
        <v>48</v>
      </c>
      <c r="C86" s="10">
        <f>C61</f>
        <v>0</v>
      </c>
      <c r="D86" s="10">
        <f t="shared" ref="D86:Z86" si="13">D61</f>
        <v>0</v>
      </c>
      <c r="E86" s="10">
        <f t="shared" si="13"/>
        <v>0</v>
      </c>
      <c r="F86" s="10">
        <f t="shared" si="13"/>
        <v>0</v>
      </c>
      <c r="G86" s="10">
        <f t="shared" si="13"/>
        <v>0</v>
      </c>
      <c r="H86" s="10">
        <f t="shared" si="13"/>
        <v>0</v>
      </c>
      <c r="I86" s="10">
        <f t="shared" si="13"/>
        <v>0</v>
      </c>
      <c r="J86" s="10">
        <f t="shared" si="13"/>
        <v>0</v>
      </c>
      <c r="K86" s="10">
        <f t="shared" si="13"/>
        <v>0</v>
      </c>
      <c r="L86" s="10">
        <f t="shared" si="13"/>
        <v>0</v>
      </c>
      <c r="M86" s="10">
        <f t="shared" si="13"/>
        <v>0</v>
      </c>
      <c r="N86" s="10">
        <f t="shared" si="13"/>
        <v>0</v>
      </c>
      <c r="O86" s="10">
        <f t="shared" si="13"/>
        <v>0</v>
      </c>
      <c r="P86" s="10">
        <f t="shared" si="13"/>
        <v>0</v>
      </c>
      <c r="Q86" s="10">
        <f t="shared" si="13"/>
        <v>0</v>
      </c>
      <c r="R86" s="10">
        <f t="shared" si="13"/>
        <v>0</v>
      </c>
      <c r="S86" s="10">
        <f t="shared" si="13"/>
        <v>0</v>
      </c>
      <c r="T86" s="10">
        <f t="shared" si="13"/>
        <v>0</v>
      </c>
      <c r="U86" s="10">
        <f t="shared" si="13"/>
        <v>0</v>
      </c>
      <c r="V86" s="10">
        <f t="shared" si="13"/>
        <v>0</v>
      </c>
      <c r="W86" s="10">
        <f t="shared" si="13"/>
        <v>0</v>
      </c>
      <c r="X86" s="10">
        <f t="shared" si="13"/>
        <v>0</v>
      </c>
      <c r="Y86" s="10">
        <f t="shared" si="13"/>
        <v>0</v>
      </c>
      <c r="Z86" s="10">
        <f t="shared" si="13"/>
        <v>0</v>
      </c>
      <c r="AC86" s="26">
        <v>3</v>
      </c>
      <c r="AD86" s="10" t="e">
        <f t="shared" ref="AD86:AD101" si="14">HLOOKUP(AD$84,$C$84:$Z$101,$AC86,0)</f>
        <v>#N/A</v>
      </c>
      <c r="AE86" s="10" t="e">
        <f t="shared" si="8"/>
        <v>#N/A</v>
      </c>
      <c r="AF86" s="10">
        <v>0</v>
      </c>
      <c r="AG86" s="10" t="e">
        <f t="shared" ref="AG86:AG101" si="15">HLOOKUP(AG$84,$C$84:$Z$101,$AC86,0)</f>
        <v>#N/A</v>
      </c>
      <c r="AH86" s="10">
        <v>218</v>
      </c>
      <c r="AJ86" s="29" t="e">
        <f t="shared" ref="AJ86:AJ101" si="16">AD86</f>
        <v>#N/A</v>
      </c>
      <c r="AL86" s="29">
        <v>2121.7165900000005</v>
      </c>
      <c r="AM86" s="34" t="e">
        <f t="shared" si="9"/>
        <v>#N/A</v>
      </c>
      <c r="AN86" s="34" t="e">
        <f t="shared" si="10"/>
        <v>#N/A</v>
      </c>
      <c r="AO86" s="29">
        <f t="shared" si="11"/>
        <v>218</v>
      </c>
      <c r="AP86" s="34" t="e">
        <f t="shared" si="12"/>
        <v>#N/A</v>
      </c>
    </row>
    <row r="87" spans="1:42" x14ac:dyDescent="0.25">
      <c r="A87" s="17"/>
      <c r="B87" s="15" t="s">
        <v>50</v>
      </c>
      <c r="C87" s="10">
        <f>C62+C66+C67</f>
        <v>0</v>
      </c>
      <c r="D87" s="10">
        <f t="shared" ref="D87:Z87" si="17">D62+D66+D67</f>
        <v>0</v>
      </c>
      <c r="E87" s="10">
        <f t="shared" si="17"/>
        <v>0</v>
      </c>
      <c r="F87" s="10">
        <f t="shared" si="17"/>
        <v>0</v>
      </c>
      <c r="G87" s="10">
        <f t="shared" si="17"/>
        <v>0</v>
      </c>
      <c r="H87" s="10">
        <f t="shared" si="17"/>
        <v>0</v>
      </c>
      <c r="I87" s="10">
        <f t="shared" si="17"/>
        <v>0</v>
      </c>
      <c r="J87" s="10">
        <f t="shared" si="17"/>
        <v>0</v>
      </c>
      <c r="K87" s="10">
        <f t="shared" si="17"/>
        <v>0</v>
      </c>
      <c r="L87" s="10">
        <f t="shared" si="17"/>
        <v>0</v>
      </c>
      <c r="M87" s="10">
        <f t="shared" si="17"/>
        <v>0</v>
      </c>
      <c r="N87" s="10">
        <f t="shared" si="17"/>
        <v>0</v>
      </c>
      <c r="O87" s="10">
        <f t="shared" si="17"/>
        <v>0</v>
      </c>
      <c r="P87" s="10">
        <f t="shared" si="17"/>
        <v>0</v>
      </c>
      <c r="Q87" s="10">
        <f t="shared" si="17"/>
        <v>0</v>
      </c>
      <c r="R87" s="10">
        <f t="shared" si="17"/>
        <v>0</v>
      </c>
      <c r="S87" s="10">
        <f t="shared" si="17"/>
        <v>0</v>
      </c>
      <c r="T87" s="10">
        <f t="shared" si="17"/>
        <v>0</v>
      </c>
      <c r="U87" s="10">
        <f t="shared" si="17"/>
        <v>0</v>
      </c>
      <c r="V87" s="10">
        <f t="shared" si="17"/>
        <v>0</v>
      </c>
      <c r="W87" s="10">
        <f t="shared" si="17"/>
        <v>0</v>
      </c>
      <c r="X87" s="10">
        <f t="shared" si="17"/>
        <v>0</v>
      </c>
      <c r="Y87" s="10">
        <f t="shared" si="17"/>
        <v>0</v>
      </c>
      <c r="Z87" s="10">
        <f t="shared" si="17"/>
        <v>0</v>
      </c>
      <c r="AC87" s="26">
        <v>4</v>
      </c>
      <c r="AD87" s="10" t="e">
        <f t="shared" si="14"/>
        <v>#N/A</v>
      </c>
      <c r="AE87" s="10" t="e">
        <f t="shared" si="8"/>
        <v>#N/A</v>
      </c>
      <c r="AF87" s="10">
        <v>0</v>
      </c>
      <c r="AG87" s="10" t="e">
        <f t="shared" si="15"/>
        <v>#N/A</v>
      </c>
      <c r="AH87" s="10">
        <v>-1</v>
      </c>
      <c r="AJ87" s="29" t="e">
        <f t="shared" si="16"/>
        <v>#N/A</v>
      </c>
      <c r="AL87" s="29">
        <v>15916.757750000001</v>
      </c>
      <c r="AM87" s="34" t="e">
        <f t="shared" si="9"/>
        <v>#N/A</v>
      </c>
      <c r="AN87" s="34" t="e">
        <f t="shared" si="10"/>
        <v>#N/A</v>
      </c>
      <c r="AO87" s="29">
        <f t="shared" si="11"/>
        <v>-1</v>
      </c>
      <c r="AP87" s="34" t="e">
        <f t="shared" si="12"/>
        <v>#N/A</v>
      </c>
    </row>
    <row r="88" spans="1:42" x14ac:dyDescent="0.25">
      <c r="A88" s="17"/>
      <c r="B88" s="15" t="s">
        <v>51</v>
      </c>
      <c r="C88" s="10">
        <f>C63+C68+C69</f>
        <v>0</v>
      </c>
      <c r="D88" s="10">
        <f t="shared" ref="D88:Z88" si="18">D63+D68+D69</f>
        <v>0</v>
      </c>
      <c r="E88" s="10">
        <f t="shared" si="18"/>
        <v>0</v>
      </c>
      <c r="F88" s="10">
        <f t="shared" si="18"/>
        <v>0</v>
      </c>
      <c r="G88" s="10">
        <f t="shared" si="18"/>
        <v>0</v>
      </c>
      <c r="H88" s="10">
        <f t="shared" si="18"/>
        <v>0</v>
      </c>
      <c r="I88" s="10">
        <f t="shared" si="18"/>
        <v>0</v>
      </c>
      <c r="J88" s="10">
        <f t="shared" si="18"/>
        <v>0</v>
      </c>
      <c r="K88" s="10">
        <f t="shared" si="18"/>
        <v>0</v>
      </c>
      <c r="L88" s="10">
        <f t="shared" si="18"/>
        <v>0</v>
      </c>
      <c r="M88" s="10">
        <f t="shared" si="18"/>
        <v>0</v>
      </c>
      <c r="N88" s="10">
        <f t="shared" si="18"/>
        <v>0</v>
      </c>
      <c r="O88" s="10">
        <f t="shared" si="18"/>
        <v>0</v>
      </c>
      <c r="P88" s="10">
        <f t="shared" si="18"/>
        <v>0</v>
      </c>
      <c r="Q88" s="10">
        <f t="shared" si="18"/>
        <v>0</v>
      </c>
      <c r="R88" s="10">
        <f t="shared" si="18"/>
        <v>0</v>
      </c>
      <c r="S88" s="10">
        <f t="shared" si="18"/>
        <v>0</v>
      </c>
      <c r="T88" s="10">
        <f t="shared" si="18"/>
        <v>0</v>
      </c>
      <c r="U88" s="10">
        <f t="shared" si="18"/>
        <v>0</v>
      </c>
      <c r="V88" s="10">
        <f t="shared" si="18"/>
        <v>0</v>
      </c>
      <c r="W88" s="10">
        <f t="shared" si="18"/>
        <v>0</v>
      </c>
      <c r="X88" s="10">
        <f t="shared" si="18"/>
        <v>0</v>
      </c>
      <c r="Y88" s="10">
        <f t="shared" si="18"/>
        <v>0</v>
      </c>
      <c r="Z88" s="10">
        <f t="shared" si="18"/>
        <v>0</v>
      </c>
      <c r="AC88">
        <v>5</v>
      </c>
      <c r="AD88" s="10" t="e">
        <f t="shared" si="14"/>
        <v>#N/A</v>
      </c>
      <c r="AE88" s="10" t="e">
        <f t="shared" si="8"/>
        <v>#N/A</v>
      </c>
      <c r="AF88" s="10">
        <v>0</v>
      </c>
      <c r="AG88" s="10" t="e">
        <f t="shared" si="15"/>
        <v>#N/A</v>
      </c>
      <c r="AH88" s="10">
        <v>103.90452999999999</v>
      </c>
      <c r="AJ88" s="29" t="e">
        <f t="shared" si="16"/>
        <v>#N/A</v>
      </c>
      <c r="AL88" s="29">
        <v>7358.4108000000015</v>
      </c>
      <c r="AM88" s="34" t="e">
        <f t="shared" si="9"/>
        <v>#N/A</v>
      </c>
      <c r="AN88" s="34" t="e">
        <f t="shared" si="10"/>
        <v>#N/A</v>
      </c>
      <c r="AO88" s="29">
        <f t="shared" si="11"/>
        <v>103.90452999999999</v>
      </c>
      <c r="AP88" s="34" t="e">
        <f t="shared" si="12"/>
        <v>#N/A</v>
      </c>
    </row>
    <row r="89" spans="1:42" x14ac:dyDescent="0.25">
      <c r="A89" s="17"/>
      <c r="B89" s="15" t="s">
        <v>93</v>
      </c>
      <c r="C89" s="10">
        <f>C64</f>
        <v>0</v>
      </c>
      <c r="D89" s="10">
        <f t="shared" ref="D89:Z89" si="19">D64</f>
        <v>0</v>
      </c>
      <c r="E89" s="10">
        <f t="shared" si="19"/>
        <v>0</v>
      </c>
      <c r="F89" s="10">
        <f t="shared" si="19"/>
        <v>0</v>
      </c>
      <c r="G89" s="10">
        <f t="shared" si="19"/>
        <v>0</v>
      </c>
      <c r="H89" s="10">
        <f t="shared" si="19"/>
        <v>0</v>
      </c>
      <c r="I89" s="10">
        <f t="shared" si="19"/>
        <v>0</v>
      </c>
      <c r="J89" s="10">
        <f t="shared" si="19"/>
        <v>0</v>
      </c>
      <c r="K89" s="10">
        <f t="shared" si="19"/>
        <v>0</v>
      </c>
      <c r="L89" s="10">
        <f t="shared" si="19"/>
        <v>0</v>
      </c>
      <c r="M89" s="10">
        <f t="shared" si="19"/>
        <v>0</v>
      </c>
      <c r="N89" s="10">
        <f t="shared" si="19"/>
        <v>0</v>
      </c>
      <c r="O89" s="10">
        <f t="shared" si="19"/>
        <v>0</v>
      </c>
      <c r="P89" s="10">
        <f t="shared" si="19"/>
        <v>0</v>
      </c>
      <c r="Q89" s="10">
        <f t="shared" si="19"/>
        <v>0</v>
      </c>
      <c r="R89" s="10">
        <f t="shared" si="19"/>
        <v>0</v>
      </c>
      <c r="S89" s="10">
        <f t="shared" si="19"/>
        <v>0</v>
      </c>
      <c r="T89" s="10">
        <f t="shared" si="19"/>
        <v>0</v>
      </c>
      <c r="U89" s="10">
        <f t="shared" si="19"/>
        <v>0</v>
      </c>
      <c r="V89" s="10">
        <f t="shared" si="19"/>
        <v>0</v>
      </c>
      <c r="W89" s="10">
        <f t="shared" si="19"/>
        <v>0</v>
      </c>
      <c r="X89" s="10">
        <f t="shared" si="19"/>
        <v>0</v>
      </c>
      <c r="Y89" s="10">
        <f t="shared" si="19"/>
        <v>0</v>
      </c>
      <c r="Z89" s="10">
        <f t="shared" si="19"/>
        <v>0</v>
      </c>
      <c r="AC89" s="26">
        <v>6</v>
      </c>
      <c r="AD89" s="10" t="e">
        <f t="shared" si="14"/>
        <v>#N/A</v>
      </c>
      <c r="AE89" s="10" t="e">
        <f t="shared" si="8"/>
        <v>#N/A</v>
      </c>
      <c r="AF89" s="10">
        <v>0</v>
      </c>
      <c r="AG89" s="10" t="e">
        <f t="shared" si="15"/>
        <v>#N/A</v>
      </c>
      <c r="AH89" s="10">
        <v>915.03994999999998</v>
      </c>
      <c r="AJ89" s="29" t="e">
        <f t="shared" si="16"/>
        <v>#N/A</v>
      </c>
      <c r="AL89" s="29">
        <v>6650</v>
      </c>
      <c r="AM89" s="34" t="e">
        <f t="shared" si="9"/>
        <v>#N/A</v>
      </c>
      <c r="AN89" s="34" t="e">
        <f t="shared" si="10"/>
        <v>#N/A</v>
      </c>
      <c r="AO89" s="29">
        <f t="shared" si="11"/>
        <v>915.03994999999998</v>
      </c>
      <c r="AP89" s="34" t="e">
        <f t="shared" si="12"/>
        <v>#N/A</v>
      </c>
    </row>
    <row r="90" spans="1:42" x14ac:dyDescent="0.25">
      <c r="A90" s="17"/>
      <c r="B90" s="15" t="s">
        <v>52</v>
      </c>
      <c r="C90" s="10">
        <f>C65</f>
        <v>0</v>
      </c>
      <c r="D90" s="10">
        <f t="shared" ref="D90:Z90" si="20">D65</f>
        <v>0</v>
      </c>
      <c r="E90" s="10">
        <f t="shared" si="20"/>
        <v>0</v>
      </c>
      <c r="F90" s="10">
        <f t="shared" si="20"/>
        <v>0</v>
      </c>
      <c r="G90" s="10">
        <f t="shared" si="20"/>
        <v>0</v>
      </c>
      <c r="H90" s="10">
        <f t="shared" si="20"/>
        <v>0</v>
      </c>
      <c r="I90" s="10">
        <f t="shared" si="20"/>
        <v>0</v>
      </c>
      <c r="J90" s="10">
        <f t="shared" si="20"/>
        <v>0</v>
      </c>
      <c r="K90" s="10">
        <f t="shared" si="20"/>
        <v>0</v>
      </c>
      <c r="L90" s="10">
        <f t="shared" si="20"/>
        <v>0</v>
      </c>
      <c r="M90" s="10">
        <f t="shared" si="20"/>
        <v>0</v>
      </c>
      <c r="N90" s="10">
        <f t="shared" si="20"/>
        <v>0</v>
      </c>
      <c r="O90" s="10">
        <f t="shared" si="20"/>
        <v>0</v>
      </c>
      <c r="P90" s="10">
        <f t="shared" si="20"/>
        <v>0</v>
      </c>
      <c r="Q90" s="10">
        <f t="shared" si="20"/>
        <v>0</v>
      </c>
      <c r="R90" s="10">
        <f t="shared" si="20"/>
        <v>0</v>
      </c>
      <c r="S90" s="10">
        <f t="shared" si="20"/>
        <v>0</v>
      </c>
      <c r="T90" s="10">
        <f t="shared" si="20"/>
        <v>0</v>
      </c>
      <c r="U90" s="10">
        <f t="shared" si="20"/>
        <v>0</v>
      </c>
      <c r="V90" s="10">
        <f t="shared" si="20"/>
        <v>0</v>
      </c>
      <c r="W90" s="10">
        <f t="shared" si="20"/>
        <v>0</v>
      </c>
      <c r="X90" s="10">
        <f t="shared" si="20"/>
        <v>0</v>
      </c>
      <c r="Y90" s="10">
        <f t="shared" si="20"/>
        <v>0</v>
      </c>
      <c r="Z90" s="10">
        <f t="shared" si="20"/>
        <v>0</v>
      </c>
      <c r="AC90" s="26">
        <v>7</v>
      </c>
      <c r="AD90" s="10" t="e">
        <f t="shared" si="14"/>
        <v>#N/A</v>
      </c>
      <c r="AE90" s="10" t="e">
        <f t="shared" si="8"/>
        <v>#N/A</v>
      </c>
      <c r="AF90" s="10">
        <v>0</v>
      </c>
      <c r="AG90" s="10" t="e">
        <f t="shared" si="15"/>
        <v>#N/A</v>
      </c>
      <c r="AH90" s="10">
        <v>552.26062000000002</v>
      </c>
      <c r="AJ90" s="29" t="e">
        <f t="shared" si="16"/>
        <v>#N/A</v>
      </c>
      <c r="AL90" s="29">
        <v>3080.0000000000005</v>
      </c>
      <c r="AM90" s="34" t="e">
        <f t="shared" si="9"/>
        <v>#N/A</v>
      </c>
      <c r="AN90" s="34" t="e">
        <f t="shared" si="10"/>
        <v>#N/A</v>
      </c>
      <c r="AO90" s="29">
        <f t="shared" si="11"/>
        <v>552.26062000000002</v>
      </c>
      <c r="AP90" s="34" t="e">
        <f t="shared" si="12"/>
        <v>#N/A</v>
      </c>
    </row>
    <row r="91" spans="1:42" x14ac:dyDescent="0.25">
      <c r="A91" s="18" t="s">
        <v>62</v>
      </c>
      <c r="B91" s="19"/>
      <c r="C91" s="10">
        <f>SUM(C85:C90)</f>
        <v>0</v>
      </c>
      <c r="D91" s="10">
        <f t="shared" ref="D91:Z91" si="21">SUM(D85:D90)</f>
        <v>0</v>
      </c>
      <c r="E91" s="10">
        <f t="shared" si="21"/>
        <v>0</v>
      </c>
      <c r="F91" s="10">
        <f t="shared" si="21"/>
        <v>0</v>
      </c>
      <c r="G91" s="10">
        <f t="shared" si="21"/>
        <v>0</v>
      </c>
      <c r="H91" s="10">
        <f t="shared" si="21"/>
        <v>0</v>
      </c>
      <c r="I91" s="10">
        <f t="shared" si="21"/>
        <v>0</v>
      </c>
      <c r="J91" s="10">
        <f t="shared" si="21"/>
        <v>0</v>
      </c>
      <c r="K91" s="10">
        <f t="shared" si="21"/>
        <v>0</v>
      </c>
      <c r="L91" s="10">
        <f t="shared" si="21"/>
        <v>0</v>
      </c>
      <c r="M91" s="10">
        <f t="shared" si="21"/>
        <v>0</v>
      </c>
      <c r="N91" s="10">
        <f t="shared" si="21"/>
        <v>0</v>
      </c>
      <c r="O91" s="10">
        <f t="shared" si="21"/>
        <v>0</v>
      </c>
      <c r="P91" s="10">
        <f t="shared" si="21"/>
        <v>0</v>
      </c>
      <c r="Q91" s="10">
        <f t="shared" si="21"/>
        <v>0</v>
      </c>
      <c r="R91" s="10">
        <f t="shared" si="21"/>
        <v>0</v>
      </c>
      <c r="S91" s="10">
        <f t="shared" si="21"/>
        <v>0</v>
      </c>
      <c r="T91" s="10">
        <f t="shared" si="21"/>
        <v>0</v>
      </c>
      <c r="U91" s="10">
        <f t="shared" si="21"/>
        <v>0</v>
      </c>
      <c r="V91" s="10">
        <f t="shared" si="21"/>
        <v>0</v>
      </c>
      <c r="W91" s="10">
        <f t="shared" si="21"/>
        <v>0</v>
      </c>
      <c r="X91" s="10">
        <f t="shared" si="21"/>
        <v>0</v>
      </c>
      <c r="Y91" s="10">
        <f t="shared" si="21"/>
        <v>0</v>
      </c>
      <c r="Z91" s="10">
        <f t="shared" si="21"/>
        <v>0</v>
      </c>
      <c r="AC91" s="26">
        <v>8</v>
      </c>
      <c r="AD91" s="10" t="e">
        <f t="shared" si="14"/>
        <v>#N/A</v>
      </c>
      <c r="AE91" s="10" t="e">
        <f t="shared" si="8"/>
        <v>#N/A</v>
      </c>
      <c r="AF91" s="10">
        <v>0</v>
      </c>
      <c r="AG91" s="10" t="e">
        <f t="shared" si="15"/>
        <v>#N/A</v>
      </c>
      <c r="AH91" s="10">
        <v>9411.4665400000013</v>
      </c>
      <c r="AJ91" s="30" t="e">
        <f t="shared" si="16"/>
        <v>#N/A</v>
      </c>
      <c r="AL91" s="30">
        <v>54648.187420000009</v>
      </c>
      <c r="AM91" s="33" t="e">
        <f>AD91/AL91</f>
        <v>#N/A</v>
      </c>
      <c r="AN91" s="33" t="e">
        <f>AE91/AF91</f>
        <v>#N/A</v>
      </c>
      <c r="AO91" s="30">
        <f t="shared" si="11"/>
        <v>9411.4665400000013</v>
      </c>
      <c r="AP91" s="33" t="e">
        <f t="shared" si="12"/>
        <v>#N/A</v>
      </c>
    </row>
    <row r="92" spans="1:42" x14ac:dyDescent="0.25">
      <c r="A92" s="16" t="s">
        <v>65</v>
      </c>
      <c r="B92" s="14" t="s">
        <v>53</v>
      </c>
      <c r="C92" s="10">
        <f>C71</f>
        <v>0</v>
      </c>
      <c r="D92" s="10">
        <f t="shared" ref="D92:Z92" si="22">D71</f>
        <v>0</v>
      </c>
      <c r="E92" s="10">
        <f t="shared" si="22"/>
        <v>0</v>
      </c>
      <c r="F92" s="10">
        <f t="shared" si="22"/>
        <v>0</v>
      </c>
      <c r="G92" s="10">
        <f t="shared" si="22"/>
        <v>0</v>
      </c>
      <c r="H92" s="10">
        <f t="shared" si="22"/>
        <v>0</v>
      </c>
      <c r="I92" s="10">
        <f t="shared" si="22"/>
        <v>0</v>
      </c>
      <c r="J92" s="10">
        <f t="shared" si="22"/>
        <v>0</v>
      </c>
      <c r="K92" s="10">
        <f t="shared" si="22"/>
        <v>0</v>
      </c>
      <c r="L92" s="10">
        <f t="shared" si="22"/>
        <v>0</v>
      </c>
      <c r="M92" s="10">
        <f t="shared" si="22"/>
        <v>0</v>
      </c>
      <c r="N92" s="10">
        <f t="shared" si="22"/>
        <v>0</v>
      </c>
      <c r="O92" s="10">
        <f t="shared" si="22"/>
        <v>0</v>
      </c>
      <c r="P92" s="10">
        <f t="shared" si="22"/>
        <v>0</v>
      </c>
      <c r="Q92" s="10">
        <f t="shared" si="22"/>
        <v>0</v>
      </c>
      <c r="R92" s="10">
        <f t="shared" si="22"/>
        <v>0</v>
      </c>
      <c r="S92" s="10">
        <f t="shared" si="22"/>
        <v>0</v>
      </c>
      <c r="T92" s="10">
        <f t="shared" si="22"/>
        <v>0</v>
      </c>
      <c r="U92" s="10">
        <f t="shared" si="22"/>
        <v>0</v>
      </c>
      <c r="V92" s="10">
        <f t="shared" si="22"/>
        <v>0</v>
      </c>
      <c r="W92" s="10">
        <f t="shared" si="22"/>
        <v>0</v>
      </c>
      <c r="X92" s="10">
        <f t="shared" si="22"/>
        <v>0</v>
      </c>
      <c r="Y92" s="10">
        <f t="shared" si="22"/>
        <v>0</v>
      </c>
      <c r="Z92" s="10">
        <f t="shared" si="22"/>
        <v>0</v>
      </c>
      <c r="AC92">
        <v>9</v>
      </c>
      <c r="AD92" s="10" t="e">
        <f t="shared" si="14"/>
        <v>#N/A</v>
      </c>
      <c r="AE92" s="10" t="e">
        <f t="shared" si="8"/>
        <v>#N/A</v>
      </c>
      <c r="AF92" s="10">
        <v>0</v>
      </c>
      <c r="AG92" s="10" t="e">
        <f t="shared" si="15"/>
        <v>#N/A</v>
      </c>
      <c r="AH92" s="10">
        <v>8703.9475600000005</v>
      </c>
      <c r="AJ92" s="29" t="e">
        <f t="shared" si="16"/>
        <v>#N/A</v>
      </c>
      <c r="AL92" s="29">
        <v>72413.88502999999</v>
      </c>
      <c r="AM92" s="34" t="e">
        <f t="shared" ref="AM92:AM101" si="23">AD92/AL92</f>
        <v>#N/A</v>
      </c>
      <c r="AN92" s="34" t="e">
        <f t="shared" ref="AN92:AN101" si="24">AE92/AF92</f>
        <v>#N/A</v>
      </c>
      <c r="AO92" s="29">
        <f t="shared" si="11"/>
        <v>8703.9475600000005</v>
      </c>
      <c r="AP92" s="34" t="e">
        <f>AG92/AH92</f>
        <v>#N/A</v>
      </c>
    </row>
    <row r="93" spans="1:42" x14ac:dyDescent="0.25">
      <c r="A93" s="17"/>
      <c r="B93" s="15" t="s">
        <v>54</v>
      </c>
      <c r="C93" s="10">
        <f>C72</f>
        <v>0</v>
      </c>
      <c r="D93" s="10">
        <f t="shared" ref="D93:Z93" si="25">D72</f>
        <v>0</v>
      </c>
      <c r="E93" s="10">
        <f t="shared" si="25"/>
        <v>0</v>
      </c>
      <c r="F93" s="10">
        <f t="shared" si="25"/>
        <v>0</v>
      </c>
      <c r="G93" s="10">
        <f t="shared" si="25"/>
        <v>0</v>
      </c>
      <c r="H93" s="10">
        <f t="shared" si="25"/>
        <v>0</v>
      </c>
      <c r="I93" s="10">
        <f t="shared" si="25"/>
        <v>0</v>
      </c>
      <c r="J93" s="10">
        <f t="shared" si="25"/>
        <v>0</v>
      </c>
      <c r="K93" s="10">
        <f t="shared" si="25"/>
        <v>0</v>
      </c>
      <c r="L93" s="10">
        <f t="shared" si="25"/>
        <v>0</v>
      </c>
      <c r="M93" s="10">
        <f t="shared" si="25"/>
        <v>0</v>
      </c>
      <c r="N93" s="10">
        <f t="shared" si="25"/>
        <v>0</v>
      </c>
      <c r="O93" s="10">
        <f t="shared" si="25"/>
        <v>0</v>
      </c>
      <c r="P93" s="10">
        <f t="shared" si="25"/>
        <v>0</v>
      </c>
      <c r="Q93" s="10">
        <f t="shared" si="25"/>
        <v>0</v>
      </c>
      <c r="R93" s="10">
        <f t="shared" si="25"/>
        <v>0</v>
      </c>
      <c r="S93" s="10">
        <f t="shared" si="25"/>
        <v>0</v>
      </c>
      <c r="T93" s="10">
        <f t="shared" si="25"/>
        <v>0</v>
      </c>
      <c r="U93" s="10">
        <f t="shared" si="25"/>
        <v>0</v>
      </c>
      <c r="V93" s="10">
        <f t="shared" si="25"/>
        <v>0</v>
      </c>
      <c r="W93" s="10">
        <f t="shared" si="25"/>
        <v>0</v>
      </c>
      <c r="X93" s="10">
        <f t="shared" si="25"/>
        <v>0</v>
      </c>
      <c r="Y93" s="10">
        <f t="shared" si="25"/>
        <v>0</v>
      </c>
      <c r="Z93" s="10">
        <f t="shared" si="25"/>
        <v>0</v>
      </c>
      <c r="AC93" s="26">
        <v>10</v>
      </c>
      <c r="AD93" s="10" t="e">
        <f t="shared" si="14"/>
        <v>#N/A</v>
      </c>
      <c r="AE93" s="10" t="e">
        <f t="shared" si="8"/>
        <v>#N/A</v>
      </c>
      <c r="AF93" s="10">
        <v>0</v>
      </c>
      <c r="AG93" s="10" t="e">
        <f t="shared" si="15"/>
        <v>#N/A</v>
      </c>
      <c r="AH93" s="10">
        <v>707.51897999999994</v>
      </c>
      <c r="AJ93" s="29" t="e">
        <f t="shared" si="16"/>
        <v>#N/A</v>
      </c>
      <c r="AL93" s="29">
        <v>7059.7903399999987</v>
      </c>
      <c r="AM93" s="34" t="e">
        <f t="shared" si="23"/>
        <v>#N/A</v>
      </c>
      <c r="AN93" s="34" t="e">
        <f t="shared" si="24"/>
        <v>#N/A</v>
      </c>
      <c r="AO93" s="29">
        <f t="shared" si="11"/>
        <v>707.51897999999994</v>
      </c>
      <c r="AP93" s="34" t="e">
        <f t="shared" ref="AP93:AP101" si="26">AG93/AH93</f>
        <v>#N/A</v>
      </c>
    </row>
    <row r="94" spans="1:42" x14ac:dyDescent="0.25">
      <c r="A94" s="18" t="s">
        <v>66</v>
      </c>
      <c r="B94" s="19"/>
      <c r="C94" s="10">
        <f>SUM(C92:C93)</f>
        <v>0</v>
      </c>
      <c r="D94" s="10">
        <f t="shared" ref="D94:Z94" si="27">SUM(D92:D93)</f>
        <v>0</v>
      </c>
      <c r="E94" s="10">
        <f t="shared" si="27"/>
        <v>0</v>
      </c>
      <c r="F94" s="10">
        <f t="shared" si="27"/>
        <v>0</v>
      </c>
      <c r="G94" s="10">
        <f t="shared" si="27"/>
        <v>0</v>
      </c>
      <c r="H94" s="10">
        <f t="shared" si="27"/>
        <v>0</v>
      </c>
      <c r="I94" s="10">
        <f t="shared" si="27"/>
        <v>0</v>
      </c>
      <c r="J94" s="10">
        <f t="shared" si="27"/>
        <v>0</v>
      </c>
      <c r="K94" s="10">
        <f t="shared" si="27"/>
        <v>0</v>
      </c>
      <c r="L94" s="10">
        <f t="shared" si="27"/>
        <v>0</v>
      </c>
      <c r="M94" s="10">
        <f t="shared" si="27"/>
        <v>0</v>
      </c>
      <c r="N94" s="10">
        <f t="shared" si="27"/>
        <v>0</v>
      </c>
      <c r="O94" s="10">
        <f t="shared" si="27"/>
        <v>0</v>
      </c>
      <c r="P94" s="10">
        <f t="shared" si="27"/>
        <v>0</v>
      </c>
      <c r="Q94" s="10">
        <f t="shared" si="27"/>
        <v>0</v>
      </c>
      <c r="R94" s="10">
        <f t="shared" si="27"/>
        <v>0</v>
      </c>
      <c r="S94" s="10">
        <f t="shared" si="27"/>
        <v>0</v>
      </c>
      <c r="T94" s="10">
        <f t="shared" si="27"/>
        <v>0</v>
      </c>
      <c r="U94" s="10">
        <f t="shared" si="27"/>
        <v>0</v>
      </c>
      <c r="V94" s="10">
        <f t="shared" si="27"/>
        <v>0</v>
      </c>
      <c r="W94" s="10">
        <f t="shared" si="27"/>
        <v>0</v>
      </c>
      <c r="X94" s="10">
        <f t="shared" si="27"/>
        <v>0</v>
      </c>
      <c r="Y94" s="10">
        <f t="shared" si="27"/>
        <v>0</v>
      </c>
      <c r="Z94" s="10">
        <f t="shared" si="27"/>
        <v>0</v>
      </c>
      <c r="AC94" s="26">
        <v>11</v>
      </c>
      <c r="AD94" s="10" t="e">
        <f t="shared" si="14"/>
        <v>#N/A</v>
      </c>
      <c r="AE94" s="10" t="e">
        <f t="shared" si="8"/>
        <v>#N/A</v>
      </c>
      <c r="AF94" s="10">
        <v>0</v>
      </c>
      <c r="AG94" s="10" t="e">
        <f t="shared" si="15"/>
        <v>#N/A</v>
      </c>
      <c r="AH94" s="10">
        <v>0</v>
      </c>
      <c r="AJ94" s="30" t="e">
        <f t="shared" si="16"/>
        <v>#N/A</v>
      </c>
      <c r="AL94" s="30">
        <v>79473.675369999983</v>
      </c>
      <c r="AM94" s="33" t="e">
        <f t="shared" si="23"/>
        <v>#N/A</v>
      </c>
      <c r="AN94" s="33" t="e">
        <f t="shared" si="24"/>
        <v>#N/A</v>
      </c>
      <c r="AO94" s="30">
        <f>AH94</f>
        <v>0</v>
      </c>
      <c r="AP94" s="33" t="e">
        <f t="shared" si="26"/>
        <v>#N/A</v>
      </c>
    </row>
    <row r="95" spans="1:42" x14ac:dyDescent="0.25">
      <c r="A95" s="16" t="s">
        <v>63</v>
      </c>
      <c r="B95" s="14" t="s">
        <v>55</v>
      </c>
      <c r="C95" s="10">
        <f>C74</f>
        <v>0</v>
      </c>
      <c r="D95" s="10">
        <f t="shared" ref="D95:Z95" si="28">D74</f>
        <v>0</v>
      </c>
      <c r="E95" s="10">
        <f t="shared" si="28"/>
        <v>0</v>
      </c>
      <c r="F95" s="10">
        <f t="shared" si="28"/>
        <v>0</v>
      </c>
      <c r="G95" s="10">
        <f t="shared" si="28"/>
        <v>0</v>
      </c>
      <c r="H95" s="10">
        <f t="shared" si="28"/>
        <v>0</v>
      </c>
      <c r="I95" s="10">
        <f t="shared" si="28"/>
        <v>0</v>
      </c>
      <c r="J95" s="10">
        <f t="shared" si="28"/>
        <v>0</v>
      </c>
      <c r="K95" s="10">
        <f t="shared" si="28"/>
        <v>0</v>
      </c>
      <c r="L95" s="10">
        <f t="shared" si="28"/>
        <v>0</v>
      </c>
      <c r="M95" s="10">
        <f t="shared" si="28"/>
        <v>0</v>
      </c>
      <c r="N95" s="10">
        <f t="shared" si="28"/>
        <v>0</v>
      </c>
      <c r="O95" s="10">
        <f t="shared" si="28"/>
        <v>0</v>
      </c>
      <c r="P95" s="10">
        <f t="shared" si="28"/>
        <v>0</v>
      </c>
      <c r="Q95" s="10">
        <f t="shared" si="28"/>
        <v>0</v>
      </c>
      <c r="R95" s="10">
        <f t="shared" si="28"/>
        <v>0</v>
      </c>
      <c r="S95" s="10">
        <f t="shared" si="28"/>
        <v>0</v>
      </c>
      <c r="T95" s="10">
        <f t="shared" si="28"/>
        <v>0</v>
      </c>
      <c r="U95" s="10">
        <f t="shared" si="28"/>
        <v>0</v>
      </c>
      <c r="V95" s="10">
        <f t="shared" si="28"/>
        <v>0</v>
      </c>
      <c r="W95" s="10">
        <f t="shared" si="28"/>
        <v>0</v>
      </c>
      <c r="X95" s="10">
        <f t="shared" si="28"/>
        <v>0</v>
      </c>
      <c r="Y95" s="10">
        <f t="shared" si="28"/>
        <v>0</v>
      </c>
      <c r="Z95" s="10">
        <f t="shared" si="28"/>
        <v>0</v>
      </c>
      <c r="AC95" s="26">
        <v>12</v>
      </c>
      <c r="AD95" s="10" t="e">
        <f t="shared" si="14"/>
        <v>#N/A</v>
      </c>
      <c r="AE95" s="10" t="e">
        <f t="shared" si="8"/>
        <v>#N/A</v>
      </c>
      <c r="AF95" s="10">
        <v>0</v>
      </c>
      <c r="AG95" s="10" t="e">
        <f t="shared" si="15"/>
        <v>#N/A</v>
      </c>
      <c r="AH95" s="10">
        <v>1638.0255100000002</v>
      </c>
      <c r="AJ95" s="29" t="e">
        <f t="shared" si="16"/>
        <v>#N/A</v>
      </c>
      <c r="AL95" s="29">
        <v>9450.2886900000049</v>
      </c>
      <c r="AM95" s="34" t="e">
        <f t="shared" si="23"/>
        <v>#N/A</v>
      </c>
      <c r="AN95" s="34" t="e">
        <f t="shared" si="24"/>
        <v>#N/A</v>
      </c>
      <c r="AO95" s="29">
        <f t="shared" ref="AO95:AO101" si="29">AH95</f>
        <v>1638.0255100000002</v>
      </c>
      <c r="AP95" s="34" t="e">
        <f t="shared" si="26"/>
        <v>#N/A</v>
      </c>
    </row>
    <row r="96" spans="1:42" x14ac:dyDescent="0.25">
      <c r="A96" s="18" t="s">
        <v>64</v>
      </c>
      <c r="B96" s="19"/>
      <c r="C96" s="10">
        <f>SUM(C95)</f>
        <v>0</v>
      </c>
      <c r="D96" s="10">
        <f t="shared" ref="D96:Z96" si="30">SUM(D95)</f>
        <v>0</v>
      </c>
      <c r="E96" s="10">
        <f t="shared" si="30"/>
        <v>0</v>
      </c>
      <c r="F96" s="10">
        <f t="shared" si="30"/>
        <v>0</v>
      </c>
      <c r="G96" s="10">
        <f t="shared" si="30"/>
        <v>0</v>
      </c>
      <c r="H96" s="10">
        <f t="shared" si="30"/>
        <v>0</v>
      </c>
      <c r="I96" s="10">
        <f t="shared" si="30"/>
        <v>0</v>
      </c>
      <c r="J96" s="10">
        <f t="shared" si="30"/>
        <v>0</v>
      </c>
      <c r="K96" s="10">
        <f t="shared" si="30"/>
        <v>0</v>
      </c>
      <c r="L96" s="10">
        <f t="shared" si="30"/>
        <v>0</v>
      </c>
      <c r="M96" s="10">
        <f t="shared" si="30"/>
        <v>0</v>
      </c>
      <c r="N96" s="10">
        <f t="shared" si="30"/>
        <v>0</v>
      </c>
      <c r="O96" s="10">
        <f t="shared" si="30"/>
        <v>0</v>
      </c>
      <c r="P96" s="10">
        <f t="shared" si="30"/>
        <v>0</v>
      </c>
      <c r="Q96" s="10">
        <f t="shared" si="30"/>
        <v>0</v>
      </c>
      <c r="R96" s="10">
        <f t="shared" si="30"/>
        <v>0</v>
      </c>
      <c r="S96" s="10">
        <f t="shared" si="30"/>
        <v>0</v>
      </c>
      <c r="T96" s="10">
        <f t="shared" si="30"/>
        <v>0</v>
      </c>
      <c r="U96" s="10">
        <f t="shared" si="30"/>
        <v>0</v>
      </c>
      <c r="V96" s="10">
        <f t="shared" si="30"/>
        <v>0</v>
      </c>
      <c r="W96" s="10">
        <f t="shared" si="30"/>
        <v>0</v>
      </c>
      <c r="X96" s="10">
        <f t="shared" si="30"/>
        <v>0</v>
      </c>
      <c r="Y96" s="10">
        <f t="shared" si="30"/>
        <v>0</v>
      </c>
      <c r="Z96" s="10">
        <f t="shared" si="30"/>
        <v>0</v>
      </c>
      <c r="AC96">
        <v>13</v>
      </c>
      <c r="AD96" s="10" t="e">
        <f t="shared" si="14"/>
        <v>#N/A</v>
      </c>
      <c r="AE96" s="10" t="e">
        <f t="shared" si="8"/>
        <v>#N/A</v>
      </c>
      <c r="AF96" s="10">
        <v>0</v>
      </c>
      <c r="AG96" s="10" t="e">
        <f t="shared" si="15"/>
        <v>#N/A</v>
      </c>
      <c r="AH96" s="10">
        <v>1638.0255100000002</v>
      </c>
      <c r="AJ96" s="30" t="e">
        <f t="shared" si="16"/>
        <v>#N/A</v>
      </c>
      <c r="AL96" s="30">
        <v>9450.2886900000049</v>
      </c>
      <c r="AM96" s="33" t="e">
        <f t="shared" si="23"/>
        <v>#N/A</v>
      </c>
      <c r="AN96" s="33" t="e">
        <f t="shared" si="24"/>
        <v>#N/A</v>
      </c>
      <c r="AO96" s="30">
        <f t="shared" si="29"/>
        <v>1638.0255100000002</v>
      </c>
      <c r="AP96" s="33" t="e">
        <f t="shared" si="26"/>
        <v>#N/A</v>
      </c>
    </row>
    <row r="97" spans="1:42" x14ac:dyDescent="0.25">
      <c r="A97" s="16" t="s">
        <v>59</v>
      </c>
      <c r="B97" s="14" t="s">
        <v>56</v>
      </c>
      <c r="C97" s="10">
        <f>C76</f>
        <v>0</v>
      </c>
      <c r="D97" s="10">
        <f t="shared" ref="D97:Z97" si="31">D76</f>
        <v>0</v>
      </c>
      <c r="E97" s="10">
        <f t="shared" si="31"/>
        <v>0</v>
      </c>
      <c r="F97" s="10">
        <f t="shared" si="31"/>
        <v>0</v>
      </c>
      <c r="G97" s="10">
        <f t="shared" si="31"/>
        <v>0</v>
      </c>
      <c r="H97" s="10">
        <f t="shared" si="31"/>
        <v>0</v>
      </c>
      <c r="I97" s="10">
        <f t="shared" si="31"/>
        <v>0</v>
      </c>
      <c r="J97" s="10">
        <f t="shared" si="31"/>
        <v>0</v>
      </c>
      <c r="K97" s="10">
        <f t="shared" si="31"/>
        <v>0</v>
      </c>
      <c r="L97" s="10">
        <f t="shared" si="31"/>
        <v>0</v>
      </c>
      <c r="M97" s="10">
        <f t="shared" si="31"/>
        <v>0</v>
      </c>
      <c r="N97" s="10">
        <f t="shared" si="31"/>
        <v>0</v>
      </c>
      <c r="O97" s="10">
        <f t="shared" si="31"/>
        <v>0</v>
      </c>
      <c r="P97" s="10">
        <f t="shared" si="31"/>
        <v>0</v>
      </c>
      <c r="Q97" s="10">
        <f t="shared" si="31"/>
        <v>0</v>
      </c>
      <c r="R97" s="10">
        <f t="shared" si="31"/>
        <v>0</v>
      </c>
      <c r="S97" s="10">
        <f t="shared" si="31"/>
        <v>0</v>
      </c>
      <c r="T97" s="10">
        <f t="shared" si="31"/>
        <v>0</v>
      </c>
      <c r="U97" s="10">
        <f t="shared" si="31"/>
        <v>0</v>
      </c>
      <c r="V97" s="10">
        <f t="shared" si="31"/>
        <v>0</v>
      </c>
      <c r="W97" s="10">
        <f t="shared" si="31"/>
        <v>0</v>
      </c>
      <c r="X97" s="10">
        <f t="shared" si="31"/>
        <v>0</v>
      </c>
      <c r="Y97" s="10">
        <f t="shared" si="31"/>
        <v>0</v>
      </c>
      <c r="Z97" s="10">
        <f t="shared" si="31"/>
        <v>0</v>
      </c>
      <c r="AC97" s="26">
        <v>14</v>
      </c>
      <c r="AD97" s="10" t="e">
        <f t="shared" si="14"/>
        <v>#N/A</v>
      </c>
      <c r="AE97" s="10" t="e">
        <f t="shared" si="8"/>
        <v>#N/A</v>
      </c>
      <c r="AF97" s="10">
        <v>0</v>
      </c>
      <c r="AG97" s="10" t="e">
        <f t="shared" si="15"/>
        <v>#N/A</v>
      </c>
      <c r="AH97" s="10">
        <v>2098.1911099999998</v>
      </c>
      <c r="AJ97" s="29" t="e">
        <f t="shared" si="16"/>
        <v>#N/A</v>
      </c>
      <c r="AL97" s="29">
        <v>8994.0579700000017</v>
      </c>
      <c r="AM97" s="34" t="e">
        <f t="shared" si="23"/>
        <v>#N/A</v>
      </c>
      <c r="AN97" s="34" t="e">
        <f t="shared" si="24"/>
        <v>#N/A</v>
      </c>
      <c r="AO97" s="29">
        <f t="shared" si="29"/>
        <v>2098.1911099999998</v>
      </c>
      <c r="AP97" s="34" t="e">
        <f t="shared" si="26"/>
        <v>#N/A</v>
      </c>
    </row>
    <row r="98" spans="1:42" x14ac:dyDescent="0.25">
      <c r="A98" s="18" t="s">
        <v>60</v>
      </c>
      <c r="B98" s="19"/>
      <c r="C98" s="10">
        <f>SUM(C97)</f>
        <v>0</v>
      </c>
      <c r="D98" s="10">
        <f t="shared" ref="D98:Z98" si="32">SUM(D97)</f>
        <v>0</v>
      </c>
      <c r="E98" s="10">
        <f t="shared" si="32"/>
        <v>0</v>
      </c>
      <c r="F98" s="10">
        <f t="shared" si="32"/>
        <v>0</v>
      </c>
      <c r="G98" s="10">
        <f t="shared" si="32"/>
        <v>0</v>
      </c>
      <c r="H98" s="10">
        <f t="shared" si="32"/>
        <v>0</v>
      </c>
      <c r="I98" s="10">
        <f t="shared" si="32"/>
        <v>0</v>
      </c>
      <c r="J98" s="10">
        <f t="shared" si="32"/>
        <v>0</v>
      </c>
      <c r="K98" s="10">
        <f t="shared" si="32"/>
        <v>0</v>
      </c>
      <c r="L98" s="10">
        <f t="shared" si="32"/>
        <v>0</v>
      </c>
      <c r="M98" s="10">
        <f t="shared" si="32"/>
        <v>0</v>
      </c>
      <c r="N98" s="10">
        <f t="shared" si="32"/>
        <v>0</v>
      </c>
      <c r="O98" s="10">
        <f t="shared" si="32"/>
        <v>0</v>
      </c>
      <c r="P98" s="10">
        <f t="shared" si="32"/>
        <v>0</v>
      </c>
      <c r="Q98" s="10">
        <f t="shared" si="32"/>
        <v>0</v>
      </c>
      <c r="R98" s="10">
        <f t="shared" si="32"/>
        <v>0</v>
      </c>
      <c r="S98" s="10">
        <f t="shared" si="32"/>
        <v>0</v>
      </c>
      <c r="T98" s="10">
        <f t="shared" si="32"/>
        <v>0</v>
      </c>
      <c r="U98" s="10">
        <f t="shared" si="32"/>
        <v>0</v>
      </c>
      <c r="V98" s="10">
        <f t="shared" si="32"/>
        <v>0</v>
      </c>
      <c r="W98" s="10">
        <f t="shared" si="32"/>
        <v>0</v>
      </c>
      <c r="X98" s="10">
        <f t="shared" si="32"/>
        <v>0</v>
      </c>
      <c r="Y98" s="10">
        <f t="shared" si="32"/>
        <v>0</v>
      </c>
      <c r="Z98" s="10">
        <f t="shared" si="32"/>
        <v>0</v>
      </c>
      <c r="AC98" s="26">
        <v>15</v>
      </c>
      <c r="AD98" s="10" t="e">
        <f t="shared" si="14"/>
        <v>#N/A</v>
      </c>
      <c r="AE98" s="10" t="e">
        <f t="shared" si="8"/>
        <v>#N/A</v>
      </c>
      <c r="AF98" s="10">
        <v>0</v>
      </c>
      <c r="AG98" s="10" t="e">
        <f t="shared" si="15"/>
        <v>#N/A</v>
      </c>
      <c r="AH98" s="10">
        <v>2098.1911099999998</v>
      </c>
      <c r="AJ98" s="30" t="e">
        <f t="shared" si="16"/>
        <v>#N/A</v>
      </c>
      <c r="AL98" s="30">
        <v>8994.0579700000017</v>
      </c>
      <c r="AM98" s="33" t="e">
        <f t="shared" si="23"/>
        <v>#N/A</v>
      </c>
      <c r="AN98" s="33" t="e">
        <f t="shared" si="24"/>
        <v>#N/A</v>
      </c>
      <c r="AO98" s="30">
        <f t="shared" si="29"/>
        <v>2098.1911099999998</v>
      </c>
      <c r="AP98" s="33" t="e">
        <f t="shared" si="26"/>
        <v>#N/A</v>
      </c>
    </row>
    <row r="99" spans="1:42" x14ac:dyDescent="0.25">
      <c r="A99" s="16" t="s">
        <v>57</v>
      </c>
      <c r="B99" s="14" t="s">
        <v>57</v>
      </c>
      <c r="C99" s="10">
        <f>C78+C79</f>
        <v>0</v>
      </c>
      <c r="D99" s="10">
        <f t="shared" ref="D99:Z99" si="33">D78+D79</f>
        <v>0</v>
      </c>
      <c r="E99" s="10">
        <f t="shared" si="33"/>
        <v>0</v>
      </c>
      <c r="F99" s="10">
        <f t="shared" si="33"/>
        <v>0</v>
      </c>
      <c r="G99" s="10">
        <f t="shared" si="33"/>
        <v>0</v>
      </c>
      <c r="H99" s="10">
        <f t="shared" si="33"/>
        <v>0</v>
      </c>
      <c r="I99" s="10">
        <f t="shared" si="33"/>
        <v>0</v>
      </c>
      <c r="J99" s="10">
        <f t="shared" si="33"/>
        <v>0</v>
      </c>
      <c r="K99" s="10">
        <f t="shared" si="33"/>
        <v>0</v>
      </c>
      <c r="L99" s="10">
        <f t="shared" si="33"/>
        <v>0</v>
      </c>
      <c r="M99" s="10">
        <f t="shared" si="33"/>
        <v>0</v>
      </c>
      <c r="N99" s="10">
        <f t="shared" si="33"/>
        <v>0</v>
      </c>
      <c r="O99" s="10">
        <f t="shared" si="33"/>
        <v>0</v>
      </c>
      <c r="P99" s="10">
        <f t="shared" si="33"/>
        <v>0</v>
      </c>
      <c r="Q99" s="10">
        <f t="shared" si="33"/>
        <v>0</v>
      </c>
      <c r="R99" s="10">
        <f t="shared" si="33"/>
        <v>0</v>
      </c>
      <c r="S99" s="10">
        <f t="shared" si="33"/>
        <v>0</v>
      </c>
      <c r="T99" s="10">
        <f t="shared" si="33"/>
        <v>0</v>
      </c>
      <c r="U99" s="10">
        <f t="shared" si="33"/>
        <v>0</v>
      </c>
      <c r="V99" s="10">
        <f t="shared" si="33"/>
        <v>0</v>
      </c>
      <c r="W99" s="10">
        <f t="shared" si="33"/>
        <v>0</v>
      </c>
      <c r="X99" s="10">
        <f t="shared" si="33"/>
        <v>0</v>
      </c>
      <c r="Y99" s="10">
        <f t="shared" si="33"/>
        <v>0</v>
      </c>
      <c r="Z99" s="10">
        <f t="shared" si="33"/>
        <v>0</v>
      </c>
      <c r="AC99" s="26">
        <v>16</v>
      </c>
      <c r="AD99" s="10" t="e">
        <f t="shared" si="14"/>
        <v>#N/A</v>
      </c>
      <c r="AE99" s="10" t="e">
        <f t="shared" si="8"/>
        <v>#N/A</v>
      </c>
      <c r="AF99" s="10">
        <v>0</v>
      </c>
      <c r="AG99" s="10" t="e">
        <f t="shared" si="15"/>
        <v>#N/A</v>
      </c>
      <c r="AH99" s="10">
        <v>5078.5879700000005</v>
      </c>
      <c r="AJ99" s="29" t="e">
        <f t="shared" si="16"/>
        <v>#N/A</v>
      </c>
      <c r="AL99" s="29">
        <v>9843.0941100000018</v>
      </c>
      <c r="AM99" s="34" t="e">
        <f t="shared" si="23"/>
        <v>#N/A</v>
      </c>
      <c r="AN99" s="34" t="e">
        <f t="shared" si="24"/>
        <v>#N/A</v>
      </c>
      <c r="AO99" s="29">
        <f t="shared" si="29"/>
        <v>5078.5879700000005</v>
      </c>
      <c r="AP99" s="34" t="e">
        <f t="shared" si="26"/>
        <v>#N/A</v>
      </c>
    </row>
    <row r="100" spans="1:42" x14ac:dyDescent="0.25">
      <c r="A100" s="18" t="s">
        <v>67</v>
      </c>
      <c r="B100" s="19"/>
      <c r="C100" s="10">
        <f>SUM(C99)</f>
        <v>0</v>
      </c>
      <c r="D100" s="10">
        <f t="shared" ref="D100:Z100" si="34">SUM(D99)</f>
        <v>0</v>
      </c>
      <c r="E100" s="10">
        <f t="shared" si="34"/>
        <v>0</v>
      </c>
      <c r="F100" s="10">
        <f t="shared" si="34"/>
        <v>0</v>
      </c>
      <c r="G100" s="10">
        <f t="shared" si="34"/>
        <v>0</v>
      </c>
      <c r="H100" s="10">
        <f t="shared" si="34"/>
        <v>0</v>
      </c>
      <c r="I100" s="10">
        <f t="shared" si="34"/>
        <v>0</v>
      </c>
      <c r="J100" s="10">
        <f t="shared" si="34"/>
        <v>0</v>
      </c>
      <c r="K100" s="10">
        <f t="shared" si="34"/>
        <v>0</v>
      </c>
      <c r="L100" s="10">
        <f t="shared" si="34"/>
        <v>0</v>
      </c>
      <c r="M100" s="10">
        <f t="shared" si="34"/>
        <v>0</v>
      </c>
      <c r="N100" s="10">
        <f t="shared" si="34"/>
        <v>0</v>
      </c>
      <c r="O100" s="10">
        <f t="shared" si="34"/>
        <v>0</v>
      </c>
      <c r="P100" s="10">
        <f t="shared" si="34"/>
        <v>0</v>
      </c>
      <c r="Q100" s="10">
        <f t="shared" si="34"/>
        <v>0</v>
      </c>
      <c r="R100" s="10">
        <f t="shared" si="34"/>
        <v>0</v>
      </c>
      <c r="S100" s="10">
        <f t="shared" si="34"/>
        <v>0</v>
      </c>
      <c r="T100" s="10">
        <f t="shared" si="34"/>
        <v>0</v>
      </c>
      <c r="U100" s="10">
        <f t="shared" si="34"/>
        <v>0</v>
      </c>
      <c r="V100" s="10">
        <f t="shared" si="34"/>
        <v>0</v>
      </c>
      <c r="W100" s="10">
        <f t="shared" si="34"/>
        <v>0</v>
      </c>
      <c r="X100" s="10">
        <f t="shared" si="34"/>
        <v>0</v>
      </c>
      <c r="Y100" s="10">
        <f t="shared" si="34"/>
        <v>0</v>
      </c>
      <c r="Z100" s="10">
        <f t="shared" si="34"/>
        <v>0</v>
      </c>
      <c r="AC100">
        <v>17</v>
      </c>
      <c r="AD100" s="10" t="e">
        <f t="shared" si="14"/>
        <v>#N/A</v>
      </c>
      <c r="AE100" s="10" t="e">
        <f t="shared" si="8"/>
        <v>#N/A</v>
      </c>
      <c r="AF100" s="10">
        <v>0</v>
      </c>
      <c r="AG100" s="10" t="e">
        <f t="shared" si="15"/>
        <v>#N/A</v>
      </c>
      <c r="AH100" s="10">
        <v>5078.5879700000005</v>
      </c>
      <c r="AJ100" s="30" t="e">
        <f t="shared" si="16"/>
        <v>#N/A</v>
      </c>
      <c r="AL100" s="30">
        <v>9843.0941100000018</v>
      </c>
      <c r="AM100" s="33" t="e">
        <f t="shared" si="23"/>
        <v>#N/A</v>
      </c>
      <c r="AN100" s="33" t="e">
        <f t="shared" si="24"/>
        <v>#N/A</v>
      </c>
      <c r="AO100" s="30">
        <f t="shared" si="29"/>
        <v>5078.5879700000005</v>
      </c>
      <c r="AP100" s="33" t="e">
        <f t="shared" si="26"/>
        <v>#N/A</v>
      </c>
    </row>
    <row r="101" spans="1:42" ht="13" x14ac:dyDescent="0.3">
      <c r="A101" s="27" t="s">
        <v>102</v>
      </c>
      <c r="B101" s="24"/>
      <c r="C101" s="10">
        <f>SUM(C100,C98,C96,C94,C91)</f>
        <v>0</v>
      </c>
      <c r="D101" s="10">
        <f t="shared" ref="D101:Z101" si="35">SUM(D100,D98,D96,D94,D91)</f>
        <v>0</v>
      </c>
      <c r="E101" s="10">
        <f t="shared" si="35"/>
        <v>0</v>
      </c>
      <c r="F101" s="10">
        <f t="shared" si="35"/>
        <v>0</v>
      </c>
      <c r="G101" s="10">
        <f t="shared" si="35"/>
        <v>0</v>
      </c>
      <c r="H101" s="10">
        <f t="shared" si="35"/>
        <v>0</v>
      </c>
      <c r="I101" s="10">
        <f t="shared" si="35"/>
        <v>0</v>
      </c>
      <c r="J101" s="10">
        <f t="shared" si="35"/>
        <v>0</v>
      </c>
      <c r="K101" s="10">
        <f t="shared" si="35"/>
        <v>0</v>
      </c>
      <c r="L101" s="10">
        <f t="shared" si="35"/>
        <v>0</v>
      </c>
      <c r="M101" s="10">
        <f t="shared" si="35"/>
        <v>0</v>
      </c>
      <c r="N101" s="10">
        <f t="shared" si="35"/>
        <v>0</v>
      </c>
      <c r="O101" s="10">
        <f t="shared" si="35"/>
        <v>0</v>
      </c>
      <c r="P101" s="10">
        <f t="shared" si="35"/>
        <v>0</v>
      </c>
      <c r="Q101" s="10">
        <f t="shared" si="35"/>
        <v>0</v>
      </c>
      <c r="R101" s="10">
        <f t="shared" si="35"/>
        <v>0</v>
      </c>
      <c r="S101" s="10">
        <f t="shared" si="35"/>
        <v>0</v>
      </c>
      <c r="T101" s="10">
        <f t="shared" si="35"/>
        <v>0</v>
      </c>
      <c r="U101" s="10">
        <f t="shared" si="35"/>
        <v>0</v>
      </c>
      <c r="V101" s="10">
        <f t="shared" si="35"/>
        <v>0</v>
      </c>
      <c r="W101" s="10">
        <f t="shared" si="35"/>
        <v>0</v>
      </c>
      <c r="X101" s="10">
        <f t="shared" si="35"/>
        <v>0</v>
      </c>
      <c r="Y101" s="10">
        <f t="shared" si="35"/>
        <v>0</v>
      </c>
      <c r="Z101" s="10">
        <f t="shared" si="35"/>
        <v>0</v>
      </c>
      <c r="AC101" s="26">
        <v>18</v>
      </c>
      <c r="AD101" s="10" t="e">
        <f t="shared" si="14"/>
        <v>#N/A</v>
      </c>
      <c r="AE101" s="10" t="e">
        <f t="shared" si="8"/>
        <v>#N/A</v>
      </c>
      <c r="AF101" s="10">
        <f>AF91+AF94+AF96+AF98+AF100</f>
        <v>0</v>
      </c>
      <c r="AG101" s="10" t="e">
        <f t="shared" si="15"/>
        <v>#N/A</v>
      </c>
      <c r="AH101" s="10">
        <v>102.90452999999999</v>
      </c>
      <c r="AJ101" s="30" t="e">
        <f t="shared" si="16"/>
        <v>#N/A</v>
      </c>
      <c r="AL101" s="30">
        <f>AL91+AL94+AL96+AL98+AL100</f>
        <v>162409.30356</v>
      </c>
      <c r="AM101" s="33" t="e">
        <f t="shared" si="23"/>
        <v>#N/A</v>
      </c>
      <c r="AN101" s="33" t="e">
        <f t="shared" si="24"/>
        <v>#N/A</v>
      </c>
      <c r="AO101" s="30">
        <f t="shared" si="29"/>
        <v>102.90452999999999</v>
      </c>
      <c r="AP101" s="33" t="e">
        <f t="shared" si="26"/>
        <v>#N/A</v>
      </c>
    </row>
    <row r="106" spans="1:42" x14ac:dyDescent="0.25">
      <c r="AJ106">
        <v>1</v>
      </c>
      <c r="AL106">
        <v>2</v>
      </c>
      <c r="AM106">
        <v>3</v>
      </c>
      <c r="AN106">
        <v>4</v>
      </c>
      <c r="AO106">
        <v>5</v>
      </c>
      <c r="AP106">
        <v>6</v>
      </c>
    </row>
  </sheetData>
  <conditionalFormatting sqref="AL91">
    <cfRule type="expression" dxfId="193" priority="2">
      <formula>AL91&lt;&gt;SUM(AL85:AL90)</formula>
    </cfRule>
  </conditionalFormatting>
  <conditionalFormatting sqref="AL94">
    <cfRule type="expression" dxfId="192" priority="1">
      <formula>AL94&lt;&gt;SUM(AL92:AL93)</formula>
    </cfRule>
  </conditionalFormatting>
  <pageMargins left="0.75" right="0.75" top="1" bottom="1" header="0.5" footer="0.5"/>
  <pageSetup paperSize="9" orientation="landscape" r:id="rId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theme="1"/>
  </sheetPr>
  <dimension ref="A5:AP101"/>
  <sheetViews>
    <sheetView showGridLines="0" topLeftCell="A73" workbookViewId="0">
      <selection activeCell="BB114" sqref="BB114"/>
    </sheetView>
  </sheetViews>
  <sheetFormatPr defaultRowHeight="12.5" outlineLevelCol="1" x14ac:dyDescent="0.25"/>
  <cols>
    <col min="1" max="1" width="12" customWidth="1"/>
    <col min="2" max="2" width="17.08984375" customWidth="1"/>
    <col min="3" max="29" width="8.6328125" hidden="1" customWidth="1" outlineLevel="1"/>
    <col min="30" max="35" width="7.6328125" hidden="1" customWidth="1" outlineLevel="1"/>
    <col min="36" max="36" width="13.1796875" customWidth="1" collapsed="1"/>
    <col min="37" max="37" width="1.26953125" customWidth="1"/>
    <col min="38" max="39" width="12.54296875" customWidth="1"/>
    <col min="40" max="42" width="12.54296875" hidden="1" customWidth="1"/>
  </cols>
  <sheetData>
    <row r="5" spans="1:2" x14ac:dyDescent="0.25">
      <c r="A5" s="46" t="s">
        <v>4</v>
      </c>
      <c r="B5" s="47" t="s">
        <v>2</v>
      </c>
    </row>
    <row r="6" spans="1:2" x14ac:dyDescent="0.25">
      <c r="A6" s="46" t="s">
        <v>5</v>
      </c>
      <c r="B6" s="47" t="s">
        <v>2</v>
      </c>
    </row>
    <row r="7" spans="1:2" x14ac:dyDescent="0.25">
      <c r="A7" s="46" t="s">
        <v>18</v>
      </c>
      <c r="B7" s="47" t="s">
        <v>2</v>
      </c>
    </row>
    <row r="8" spans="1:2" x14ac:dyDescent="0.25">
      <c r="A8" s="46" t="s">
        <v>19</v>
      </c>
      <c r="B8" s="47" t="s">
        <v>2</v>
      </c>
    </row>
    <row r="9" spans="1:2" x14ac:dyDescent="0.25">
      <c r="A9" s="46" t="s">
        <v>8</v>
      </c>
      <c r="B9" s="47" t="s">
        <v>2</v>
      </c>
    </row>
    <row r="10" spans="1:2" x14ac:dyDescent="0.25">
      <c r="A10" s="46" t="s">
        <v>9</v>
      </c>
      <c r="B10" s="47" t="s">
        <v>2</v>
      </c>
    </row>
    <row r="11" spans="1:2" x14ac:dyDescent="0.25">
      <c r="A11" s="46" t="s">
        <v>10</v>
      </c>
      <c r="B11" s="47" t="s">
        <v>69</v>
      </c>
    </row>
    <row r="12" spans="1:2" ht="13" x14ac:dyDescent="0.3">
      <c r="A12" s="61" t="s">
        <v>11</v>
      </c>
      <c r="B12" s="54" t="s">
        <v>2</v>
      </c>
    </row>
    <row r="13" spans="1:2" x14ac:dyDescent="0.25">
      <c r="A13" s="46" t="s">
        <v>12</v>
      </c>
      <c r="B13" s="47" t="s">
        <v>2</v>
      </c>
    </row>
    <row r="14" spans="1:2" x14ac:dyDescent="0.25">
      <c r="A14" s="46" t="s">
        <v>13</v>
      </c>
      <c r="B14" s="47" t="s">
        <v>2</v>
      </c>
    </row>
    <row r="15" spans="1:2" x14ac:dyDescent="0.25">
      <c r="A15" s="46" t="s">
        <v>22</v>
      </c>
      <c r="B15" s="47" t="s">
        <v>2</v>
      </c>
    </row>
    <row r="16" spans="1:2" x14ac:dyDescent="0.25">
      <c r="A16" s="46" t="s">
        <v>14</v>
      </c>
      <c r="B16" s="47" t="s">
        <v>2</v>
      </c>
    </row>
    <row r="17" spans="1:29" x14ac:dyDescent="0.25">
      <c r="A17" s="46" t="s">
        <v>15</v>
      </c>
      <c r="B17" s="47" t="s">
        <v>2</v>
      </c>
    </row>
    <row r="18" spans="1:29" x14ac:dyDescent="0.25">
      <c r="A18" s="46" t="s">
        <v>6</v>
      </c>
      <c r="B18" s="47" t="s">
        <v>21</v>
      </c>
    </row>
    <row r="19" spans="1:29" x14ac:dyDescent="0.25">
      <c r="A19" s="46" t="s">
        <v>7</v>
      </c>
      <c r="B19" s="47" t="s">
        <v>2</v>
      </c>
    </row>
    <row r="20" spans="1:29" x14ac:dyDescent="0.25">
      <c r="A20" s="11"/>
    </row>
    <row r="21" spans="1:29" x14ac:dyDescent="0.25">
      <c r="A21" s="39" t="s">
        <v>0</v>
      </c>
      <c r="B21" s="39" t="s">
        <v>1</v>
      </c>
      <c r="C21" s="48" t="s">
        <v>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</row>
    <row r="22" spans="1:29" x14ac:dyDescent="0.25">
      <c r="A22" s="42"/>
      <c r="B22" s="65" t="s">
        <v>135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5" t="s">
        <v>155</v>
      </c>
      <c r="O22" s="121"/>
    </row>
    <row r="23" spans="1:29" ht="13" x14ac:dyDescent="0.3">
      <c r="A23" s="42"/>
      <c r="B23" s="62" t="s">
        <v>136</v>
      </c>
      <c r="C23" s="63" t="s">
        <v>137</v>
      </c>
      <c r="D23" s="63" t="s">
        <v>144</v>
      </c>
      <c r="E23" s="63" t="s">
        <v>145</v>
      </c>
      <c r="F23" s="63" t="s">
        <v>146</v>
      </c>
      <c r="G23" s="63" t="s">
        <v>147</v>
      </c>
      <c r="H23" s="63" t="s">
        <v>148</v>
      </c>
      <c r="I23" s="63" t="s">
        <v>149</v>
      </c>
      <c r="J23" s="63" t="s">
        <v>150</v>
      </c>
      <c r="K23" s="63" t="s">
        <v>152</v>
      </c>
      <c r="L23" s="63" t="s">
        <v>153</v>
      </c>
      <c r="M23" s="63" t="s">
        <v>154</v>
      </c>
      <c r="N23" s="62" t="s">
        <v>156</v>
      </c>
      <c r="O23" s="64" t="s">
        <v>158</v>
      </c>
    </row>
    <row r="24" spans="1:29" ht="13" x14ac:dyDescent="0.3">
      <c r="A24" s="55" t="s">
        <v>24</v>
      </c>
      <c r="B24" s="80">
        <v>4081.1045757442785</v>
      </c>
      <c r="C24" s="81">
        <v>4073.6677674464058</v>
      </c>
      <c r="D24" s="81">
        <v>4072.5330829783215</v>
      </c>
      <c r="E24" s="81">
        <v>4065.4436329783211</v>
      </c>
      <c r="F24" s="81">
        <v>3985.8928357442778</v>
      </c>
      <c r="G24" s="81">
        <v>3929.8941378719364</v>
      </c>
      <c r="H24" s="81">
        <v>3757.5771063826787</v>
      </c>
      <c r="I24" s="81">
        <v>2911.463737233742</v>
      </c>
      <c r="J24" s="81">
        <v>2955.5559147595518</v>
      </c>
      <c r="K24" s="81">
        <v>1079.2773033147578</v>
      </c>
      <c r="L24" s="81">
        <v>1035.2082399997344</v>
      </c>
      <c r="M24" s="81">
        <v>597.90946829760719</v>
      </c>
      <c r="N24" s="80">
        <v>593.9596199999279</v>
      </c>
      <c r="O24" s="124">
        <v>593.96151780212574</v>
      </c>
      <c r="AC24" s="26"/>
    </row>
    <row r="25" spans="1:29" x14ac:dyDescent="0.25">
      <c r="AC25" s="26"/>
    </row>
    <row r="26" spans="1:29" x14ac:dyDescent="0.25">
      <c r="AC26" s="26"/>
    </row>
    <row r="28" spans="1:29" x14ac:dyDescent="0.25">
      <c r="AC28" s="26"/>
    </row>
    <row r="29" spans="1:29" x14ac:dyDescent="0.25">
      <c r="AC29" s="26"/>
    </row>
    <row r="30" spans="1:29" x14ac:dyDescent="0.25">
      <c r="AC30" s="26"/>
    </row>
    <row r="32" spans="1:29" x14ac:dyDescent="0.25">
      <c r="AC32" s="26"/>
    </row>
    <row r="33" spans="29:29" x14ac:dyDescent="0.25">
      <c r="AC33" s="26"/>
    </row>
    <row r="34" spans="29:29" x14ac:dyDescent="0.25">
      <c r="AC34" s="26"/>
    </row>
    <row r="36" spans="29:29" x14ac:dyDescent="0.25">
      <c r="AC36" s="26"/>
    </row>
    <row r="37" spans="29:29" x14ac:dyDescent="0.25">
      <c r="AC37" s="26"/>
    </row>
    <row r="38" spans="29:29" x14ac:dyDescent="0.25">
      <c r="AC38" s="26"/>
    </row>
    <row r="40" spans="29:29" x14ac:dyDescent="0.25">
      <c r="AC40" s="26"/>
    </row>
    <row r="41" spans="29:29" x14ac:dyDescent="0.25">
      <c r="AC41" s="26"/>
    </row>
    <row r="42" spans="29:29" x14ac:dyDescent="0.25">
      <c r="AC42" s="26"/>
    </row>
    <row r="44" spans="29:29" x14ac:dyDescent="0.25">
      <c r="AC44" s="26"/>
    </row>
    <row r="45" spans="29:29" x14ac:dyDescent="0.25">
      <c r="AC45" s="26"/>
    </row>
    <row r="46" spans="29:29" x14ac:dyDescent="0.25">
      <c r="AC46" s="26"/>
    </row>
    <row r="48" spans="29:29" x14ac:dyDescent="0.25">
      <c r="AC48" s="26"/>
    </row>
    <row r="49" spans="1:29" x14ac:dyDescent="0.25">
      <c r="AC49" s="26"/>
    </row>
    <row r="59" spans="1:29" x14ac:dyDescent="0.25">
      <c r="C59" s="20" t="s">
        <v>77</v>
      </c>
      <c r="D59" s="21" t="s">
        <v>78</v>
      </c>
      <c r="E59" s="21" t="s">
        <v>79</v>
      </c>
      <c r="F59" s="21" t="s">
        <v>80</v>
      </c>
      <c r="G59" s="21" t="s">
        <v>81</v>
      </c>
      <c r="H59" s="21" t="s">
        <v>82</v>
      </c>
      <c r="I59" s="21" t="s">
        <v>83</v>
      </c>
      <c r="J59" s="21" t="s">
        <v>84</v>
      </c>
      <c r="K59" s="21" t="s">
        <v>85</v>
      </c>
      <c r="L59" s="21" t="s">
        <v>86</v>
      </c>
      <c r="M59" s="21" t="s">
        <v>35</v>
      </c>
      <c r="N59" s="21" t="s">
        <v>36</v>
      </c>
      <c r="O59" s="20" t="s">
        <v>37</v>
      </c>
      <c r="P59" s="21" t="s">
        <v>38</v>
      </c>
      <c r="Q59" s="21" t="s">
        <v>39</v>
      </c>
      <c r="R59" s="21" t="s">
        <v>40</v>
      </c>
      <c r="S59" s="21" t="s">
        <v>41</v>
      </c>
      <c r="T59" s="21" t="s">
        <v>42</v>
      </c>
      <c r="U59" s="21" t="s">
        <v>43</v>
      </c>
      <c r="V59" s="21" t="s">
        <v>44</v>
      </c>
      <c r="W59" s="21" t="s">
        <v>45</v>
      </c>
      <c r="X59" s="21" t="s">
        <v>46</v>
      </c>
      <c r="Y59" s="22" t="s">
        <v>47</v>
      </c>
      <c r="Z59" s="21" t="s">
        <v>99</v>
      </c>
    </row>
    <row r="60" spans="1:29" x14ac:dyDescent="0.25">
      <c r="A60" s="16" t="s">
        <v>61</v>
      </c>
      <c r="B60" s="14" t="s">
        <v>49</v>
      </c>
      <c r="C60" s="10">
        <f>IF(ISERROR(INDEX($B$23:$Z$47,MATCH($B60,$B$23:$B$47,0),MATCH(C$59,$B$23:$Z$23,0))),0,INDEX($B$23:$Z$47,MATCH($B60,$B$23:$B$47,0),MATCH(C$59,$B$23:$Z$23,0)))</f>
        <v>0</v>
      </c>
      <c r="D60" s="10">
        <f t="shared" ref="D60:Z69" si="0">IF(ISERROR(INDEX($B$23:$Z$47,MATCH($B60,$B$23:$B$47,0),MATCH(D$59,$B$23:$Z$23,0))),0,INDEX($B$23:$Z$47,MATCH($B60,$B$23:$B$47,0),MATCH(D$59,$B$23:$Z$23,0)))</f>
        <v>0</v>
      </c>
      <c r="E60" s="10">
        <f t="shared" si="0"/>
        <v>0</v>
      </c>
      <c r="F60" s="10">
        <f t="shared" si="0"/>
        <v>0</v>
      </c>
      <c r="G60" s="10">
        <f t="shared" si="0"/>
        <v>0</v>
      </c>
      <c r="H60" s="10">
        <f t="shared" si="0"/>
        <v>0</v>
      </c>
      <c r="I60" s="10">
        <f t="shared" si="0"/>
        <v>0</v>
      </c>
      <c r="J60" s="10">
        <f t="shared" si="0"/>
        <v>0</v>
      </c>
      <c r="K60" s="10">
        <f t="shared" si="0"/>
        <v>0</v>
      </c>
      <c r="L60" s="10">
        <f t="shared" si="0"/>
        <v>0</v>
      </c>
      <c r="M60" s="10">
        <f t="shared" si="0"/>
        <v>0</v>
      </c>
      <c r="N60" s="10">
        <f t="shared" si="0"/>
        <v>0</v>
      </c>
      <c r="O60" s="10">
        <f t="shared" si="0"/>
        <v>0</v>
      </c>
      <c r="P60" s="10">
        <f t="shared" si="0"/>
        <v>0</v>
      </c>
      <c r="Q60" s="10">
        <f t="shared" si="0"/>
        <v>0</v>
      </c>
      <c r="R60" s="10">
        <f t="shared" si="0"/>
        <v>0</v>
      </c>
      <c r="S60" s="10">
        <f t="shared" si="0"/>
        <v>0</v>
      </c>
      <c r="T60" s="10">
        <f t="shared" si="0"/>
        <v>0</v>
      </c>
      <c r="U60" s="10">
        <f t="shared" si="0"/>
        <v>0</v>
      </c>
      <c r="V60" s="10">
        <f t="shared" si="0"/>
        <v>0</v>
      </c>
      <c r="W60" s="10">
        <f t="shared" si="0"/>
        <v>0</v>
      </c>
      <c r="X60" s="10">
        <f t="shared" si="0"/>
        <v>0</v>
      </c>
      <c r="Y60" s="10">
        <f t="shared" si="0"/>
        <v>0</v>
      </c>
      <c r="Z60" s="10">
        <f t="shared" si="0"/>
        <v>0</v>
      </c>
    </row>
    <row r="61" spans="1:29" x14ac:dyDescent="0.25">
      <c r="A61" s="17"/>
      <c r="B61" s="15" t="s">
        <v>48</v>
      </c>
      <c r="C61" s="10">
        <f t="shared" ref="C61:R69" si="1">IF(ISERROR(INDEX($B$23:$Z$47,MATCH($B61,$B$23:$B$47,0),MATCH(C$59,$B$23:$Z$23,0))),0,INDEX($B$23:$Z$47,MATCH($B61,$B$23:$B$47,0),MATCH(C$59,$B$23:$Z$23,0)))</f>
        <v>0</v>
      </c>
      <c r="D61" s="10">
        <f t="shared" si="1"/>
        <v>0</v>
      </c>
      <c r="E61" s="10">
        <f t="shared" si="1"/>
        <v>0</v>
      </c>
      <c r="F61" s="10">
        <f t="shared" si="1"/>
        <v>0</v>
      </c>
      <c r="G61" s="10">
        <f t="shared" si="1"/>
        <v>0</v>
      </c>
      <c r="H61" s="10">
        <f t="shared" si="1"/>
        <v>0</v>
      </c>
      <c r="I61" s="10">
        <f t="shared" si="1"/>
        <v>0</v>
      </c>
      <c r="J61" s="10">
        <f t="shared" si="1"/>
        <v>0</v>
      </c>
      <c r="K61" s="10">
        <f t="shared" si="1"/>
        <v>0</v>
      </c>
      <c r="L61" s="10">
        <f t="shared" si="1"/>
        <v>0</v>
      </c>
      <c r="M61" s="10">
        <f t="shared" si="1"/>
        <v>0</v>
      </c>
      <c r="N61" s="10">
        <f t="shared" si="1"/>
        <v>0</v>
      </c>
      <c r="O61" s="10">
        <f t="shared" si="1"/>
        <v>0</v>
      </c>
      <c r="P61" s="10">
        <f t="shared" si="1"/>
        <v>0</v>
      </c>
      <c r="Q61" s="10">
        <f t="shared" si="1"/>
        <v>0</v>
      </c>
      <c r="R61" s="10">
        <f t="shared" si="1"/>
        <v>0</v>
      </c>
      <c r="S61" s="10">
        <f t="shared" si="0"/>
        <v>0</v>
      </c>
      <c r="T61" s="10">
        <f t="shared" si="0"/>
        <v>0</v>
      </c>
      <c r="U61" s="10">
        <f t="shared" si="0"/>
        <v>0</v>
      </c>
      <c r="V61" s="10">
        <f t="shared" si="0"/>
        <v>0</v>
      </c>
      <c r="W61" s="10">
        <f t="shared" si="0"/>
        <v>0</v>
      </c>
      <c r="X61" s="10">
        <f t="shared" si="0"/>
        <v>0</v>
      </c>
      <c r="Y61" s="10">
        <f t="shared" si="0"/>
        <v>0</v>
      </c>
      <c r="Z61" s="10">
        <f t="shared" si="0"/>
        <v>0</v>
      </c>
    </row>
    <row r="62" spans="1:29" x14ac:dyDescent="0.25">
      <c r="A62" s="17"/>
      <c r="B62" s="15" t="s">
        <v>50</v>
      </c>
      <c r="C62" s="10">
        <f t="shared" si="1"/>
        <v>0</v>
      </c>
      <c r="D62" s="10">
        <f t="shared" si="0"/>
        <v>0</v>
      </c>
      <c r="E62" s="10">
        <f t="shared" si="0"/>
        <v>0</v>
      </c>
      <c r="F62" s="10">
        <f t="shared" si="0"/>
        <v>0</v>
      </c>
      <c r="G62" s="10">
        <f t="shared" si="0"/>
        <v>0</v>
      </c>
      <c r="H62" s="10">
        <f t="shared" si="0"/>
        <v>0</v>
      </c>
      <c r="I62" s="10">
        <f t="shared" si="0"/>
        <v>0</v>
      </c>
      <c r="J62" s="10">
        <f t="shared" si="0"/>
        <v>0</v>
      </c>
      <c r="K62" s="10">
        <f t="shared" si="0"/>
        <v>0</v>
      </c>
      <c r="L62" s="10">
        <f t="shared" si="0"/>
        <v>0</v>
      </c>
      <c r="M62" s="10">
        <f t="shared" si="0"/>
        <v>0</v>
      </c>
      <c r="N62" s="10">
        <f t="shared" si="0"/>
        <v>0</v>
      </c>
      <c r="O62" s="10">
        <f t="shared" si="0"/>
        <v>0</v>
      </c>
      <c r="P62" s="10">
        <f t="shared" si="0"/>
        <v>0</v>
      </c>
      <c r="Q62" s="10">
        <f t="shared" si="0"/>
        <v>0</v>
      </c>
      <c r="R62" s="10">
        <f t="shared" si="0"/>
        <v>0</v>
      </c>
      <c r="S62" s="10">
        <f t="shared" si="0"/>
        <v>0</v>
      </c>
      <c r="T62" s="10">
        <f t="shared" si="0"/>
        <v>0</v>
      </c>
      <c r="U62" s="10">
        <f t="shared" si="0"/>
        <v>0</v>
      </c>
      <c r="V62" s="10">
        <f t="shared" si="0"/>
        <v>0</v>
      </c>
      <c r="W62" s="10">
        <f t="shared" si="0"/>
        <v>0</v>
      </c>
      <c r="X62" s="10">
        <f t="shared" si="0"/>
        <v>0</v>
      </c>
      <c r="Y62" s="10">
        <f t="shared" si="0"/>
        <v>0</v>
      </c>
      <c r="Z62" s="10">
        <f t="shared" si="0"/>
        <v>0</v>
      </c>
    </row>
    <row r="63" spans="1:29" x14ac:dyDescent="0.25">
      <c r="A63" s="17"/>
      <c r="B63" s="15" t="s">
        <v>51</v>
      </c>
      <c r="C63" s="10">
        <f t="shared" si="1"/>
        <v>0</v>
      </c>
      <c r="D63" s="10">
        <f t="shared" si="0"/>
        <v>0</v>
      </c>
      <c r="E63" s="10">
        <f t="shared" si="0"/>
        <v>0</v>
      </c>
      <c r="F63" s="10">
        <f t="shared" si="0"/>
        <v>0</v>
      </c>
      <c r="G63" s="10">
        <f t="shared" si="0"/>
        <v>0</v>
      </c>
      <c r="H63" s="10">
        <f t="shared" si="0"/>
        <v>0</v>
      </c>
      <c r="I63" s="10">
        <f t="shared" si="0"/>
        <v>0</v>
      </c>
      <c r="J63" s="10">
        <f t="shared" si="0"/>
        <v>0</v>
      </c>
      <c r="K63" s="10">
        <f t="shared" si="0"/>
        <v>0</v>
      </c>
      <c r="L63" s="10">
        <f t="shared" si="0"/>
        <v>0</v>
      </c>
      <c r="M63" s="10">
        <f t="shared" si="0"/>
        <v>0</v>
      </c>
      <c r="N63" s="10">
        <f t="shared" si="0"/>
        <v>0</v>
      </c>
      <c r="O63" s="10">
        <f t="shared" si="0"/>
        <v>0</v>
      </c>
      <c r="P63" s="10">
        <f t="shared" si="0"/>
        <v>0</v>
      </c>
      <c r="Q63" s="10">
        <f t="shared" si="0"/>
        <v>0</v>
      </c>
      <c r="R63" s="10">
        <f t="shared" si="0"/>
        <v>0</v>
      </c>
      <c r="S63" s="10">
        <f t="shared" si="0"/>
        <v>0</v>
      </c>
      <c r="T63" s="10">
        <f t="shared" si="0"/>
        <v>0</v>
      </c>
      <c r="U63" s="10">
        <f t="shared" si="0"/>
        <v>0</v>
      </c>
      <c r="V63" s="10">
        <f t="shared" si="0"/>
        <v>0</v>
      </c>
      <c r="W63" s="10">
        <f t="shared" si="0"/>
        <v>0</v>
      </c>
      <c r="X63" s="10">
        <f t="shared" si="0"/>
        <v>0</v>
      </c>
      <c r="Y63" s="10">
        <f t="shared" si="0"/>
        <v>0</v>
      </c>
      <c r="Z63" s="10">
        <f t="shared" si="0"/>
        <v>0</v>
      </c>
    </row>
    <row r="64" spans="1:29" x14ac:dyDescent="0.25">
      <c r="A64" s="17"/>
      <c r="B64" s="15" t="s">
        <v>93</v>
      </c>
      <c r="C64" s="10">
        <f t="shared" si="1"/>
        <v>0</v>
      </c>
      <c r="D64" s="10">
        <f t="shared" si="0"/>
        <v>0</v>
      </c>
      <c r="E64" s="10">
        <f t="shared" si="0"/>
        <v>0</v>
      </c>
      <c r="F64" s="10">
        <f t="shared" si="0"/>
        <v>0</v>
      </c>
      <c r="G64" s="10">
        <f t="shared" si="0"/>
        <v>0</v>
      </c>
      <c r="H64" s="10">
        <f t="shared" si="0"/>
        <v>0</v>
      </c>
      <c r="I64" s="10">
        <f t="shared" si="0"/>
        <v>0</v>
      </c>
      <c r="J64" s="10">
        <f t="shared" si="0"/>
        <v>0</v>
      </c>
      <c r="K64" s="10">
        <f t="shared" si="0"/>
        <v>0</v>
      </c>
      <c r="L64" s="10">
        <f t="shared" si="0"/>
        <v>0</v>
      </c>
      <c r="M64" s="10">
        <f t="shared" si="0"/>
        <v>0</v>
      </c>
      <c r="N64" s="10">
        <f t="shared" si="0"/>
        <v>0</v>
      </c>
      <c r="O64" s="10">
        <f t="shared" si="0"/>
        <v>0</v>
      </c>
      <c r="P64" s="10">
        <f t="shared" si="0"/>
        <v>0</v>
      </c>
      <c r="Q64" s="10">
        <f t="shared" si="0"/>
        <v>0</v>
      </c>
      <c r="R64" s="10">
        <f t="shared" si="0"/>
        <v>0</v>
      </c>
      <c r="S64" s="10">
        <f t="shared" si="0"/>
        <v>0</v>
      </c>
      <c r="T64" s="10">
        <f t="shared" si="0"/>
        <v>0</v>
      </c>
      <c r="U64" s="10">
        <f t="shared" si="0"/>
        <v>0</v>
      </c>
      <c r="V64" s="10">
        <f t="shared" si="0"/>
        <v>0</v>
      </c>
      <c r="W64" s="10">
        <f t="shared" si="0"/>
        <v>0</v>
      </c>
      <c r="X64" s="10">
        <f t="shared" si="0"/>
        <v>0</v>
      </c>
      <c r="Y64" s="10">
        <f t="shared" si="0"/>
        <v>0</v>
      </c>
      <c r="Z64" s="10">
        <f t="shared" si="0"/>
        <v>0</v>
      </c>
    </row>
    <row r="65" spans="1:31" x14ac:dyDescent="0.25">
      <c r="A65" s="17"/>
      <c r="B65" s="15" t="s">
        <v>52</v>
      </c>
      <c r="C65" s="10">
        <f t="shared" si="1"/>
        <v>0</v>
      </c>
      <c r="D65" s="10">
        <f t="shared" si="0"/>
        <v>0</v>
      </c>
      <c r="E65" s="10">
        <f t="shared" si="0"/>
        <v>0</v>
      </c>
      <c r="F65" s="10">
        <f t="shared" si="0"/>
        <v>0</v>
      </c>
      <c r="G65" s="10">
        <f t="shared" si="0"/>
        <v>0</v>
      </c>
      <c r="H65" s="10">
        <f t="shared" si="0"/>
        <v>0</v>
      </c>
      <c r="I65" s="10">
        <f t="shared" si="0"/>
        <v>0</v>
      </c>
      <c r="J65" s="10">
        <f t="shared" si="0"/>
        <v>0</v>
      </c>
      <c r="K65" s="10">
        <f t="shared" si="0"/>
        <v>0</v>
      </c>
      <c r="L65" s="10">
        <f t="shared" si="0"/>
        <v>0</v>
      </c>
      <c r="M65" s="10">
        <f t="shared" si="0"/>
        <v>0</v>
      </c>
      <c r="N65" s="10">
        <f t="shared" si="0"/>
        <v>0</v>
      </c>
      <c r="O65" s="10">
        <f t="shared" si="0"/>
        <v>0</v>
      </c>
      <c r="P65" s="10">
        <f t="shared" si="0"/>
        <v>0</v>
      </c>
      <c r="Q65" s="10">
        <f t="shared" si="0"/>
        <v>0</v>
      </c>
      <c r="R65" s="10">
        <f t="shared" si="0"/>
        <v>0</v>
      </c>
      <c r="S65" s="10">
        <f t="shared" si="0"/>
        <v>0</v>
      </c>
      <c r="T65" s="10">
        <f t="shared" si="0"/>
        <v>0</v>
      </c>
      <c r="U65" s="10">
        <f t="shared" si="0"/>
        <v>0</v>
      </c>
      <c r="V65" s="10">
        <f t="shared" si="0"/>
        <v>0</v>
      </c>
      <c r="W65" s="10">
        <f t="shared" si="0"/>
        <v>0</v>
      </c>
      <c r="X65" s="10">
        <f t="shared" si="0"/>
        <v>0</v>
      </c>
      <c r="Y65" s="10">
        <f t="shared" si="0"/>
        <v>0</v>
      </c>
      <c r="Z65" s="10">
        <f t="shared" si="0"/>
        <v>0</v>
      </c>
    </row>
    <row r="66" spans="1:31" x14ac:dyDescent="0.25">
      <c r="A66" s="17"/>
      <c r="B66" s="15" t="s">
        <v>94</v>
      </c>
      <c r="C66" s="10">
        <f t="shared" si="1"/>
        <v>0</v>
      </c>
      <c r="D66" s="10">
        <f t="shared" si="0"/>
        <v>0</v>
      </c>
      <c r="E66" s="10">
        <f t="shared" si="0"/>
        <v>0</v>
      </c>
      <c r="F66" s="10">
        <f t="shared" si="0"/>
        <v>0</v>
      </c>
      <c r="G66" s="10">
        <f t="shared" si="0"/>
        <v>0</v>
      </c>
      <c r="H66" s="10">
        <f t="shared" si="0"/>
        <v>0</v>
      </c>
      <c r="I66" s="10">
        <f t="shared" si="0"/>
        <v>0</v>
      </c>
      <c r="J66" s="10">
        <f t="shared" si="0"/>
        <v>0</v>
      </c>
      <c r="K66" s="10">
        <f t="shared" si="0"/>
        <v>0</v>
      </c>
      <c r="L66" s="10">
        <f t="shared" si="0"/>
        <v>0</v>
      </c>
      <c r="M66" s="10">
        <f t="shared" si="0"/>
        <v>0</v>
      </c>
      <c r="N66" s="10">
        <f t="shared" si="0"/>
        <v>0</v>
      </c>
      <c r="O66" s="10">
        <f t="shared" si="0"/>
        <v>0</v>
      </c>
      <c r="P66" s="10">
        <f t="shared" si="0"/>
        <v>0</v>
      </c>
      <c r="Q66" s="10">
        <f t="shared" si="0"/>
        <v>0</v>
      </c>
      <c r="R66" s="10">
        <f t="shared" si="0"/>
        <v>0</v>
      </c>
      <c r="S66" s="10">
        <f t="shared" si="0"/>
        <v>0</v>
      </c>
      <c r="T66" s="10">
        <f t="shared" si="0"/>
        <v>0</v>
      </c>
      <c r="U66" s="10">
        <f t="shared" si="0"/>
        <v>0</v>
      </c>
      <c r="V66" s="10">
        <f t="shared" si="0"/>
        <v>0</v>
      </c>
      <c r="W66" s="10">
        <f t="shared" si="0"/>
        <v>0</v>
      </c>
      <c r="X66" s="10">
        <f t="shared" si="0"/>
        <v>0</v>
      </c>
      <c r="Y66" s="10">
        <f t="shared" si="0"/>
        <v>0</v>
      </c>
      <c r="Z66" s="10">
        <f t="shared" si="0"/>
        <v>0</v>
      </c>
    </row>
    <row r="67" spans="1:31" x14ac:dyDescent="0.25">
      <c r="A67" s="17"/>
      <c r="B67" s="15" t="s">
        <v>95</v>
      </c>
      <c r="C67" s="10">
        <f t="shared" si="1"/>
        <v>0</v>
      </c>
      <c r="D67" s="10">
        <f t="shared" si="0"/>
        <v>0</v>
      </c>
      <c r="E67" s="10">
        <f t="shared" si="0"/>
        <v>0</v>
      </c>
      <c r="F67" s="10">
        <f t="shared" si="0"/>
        <v>0</v>
      </c>
      <c r="G67" s="10">
        <f t="shared" si="0"/>
        <v>0</v>
      </c>
      <c r="H67" s="10">
        <f t="shared" si="0"/>
        <v>0</v>
      </c>
      <c r="I67" s="10">
        <f t="shared" si="0"/>
        <v>0</v>
      </c>
      <c r="J67" s="10">
        <f t="shared" si="0"/>
        <v>0</v>
      </c>
      <c r="K67" s="10">
        <f t="shared" si="0"/>
        <v>0</v>
      </c>
      <c r="L67" s="10">
        <f t="shared" si="0"/>
        <v>0</v>
      </c>
      <c r="M67" s="10">
        <f t="shared" si="0"/>
        <v>0</v>
      </c>
      <c r="N67" s="10">
        <f t="shared" si="0"/>
        <v>0</v>
      </c>
      <c r="O67" s="10">
        <f t="shared" si="0"/>
        <v>0</v>
      </c>
      <c r="P67" s="10">
        <f t="shared" si="0"/>
        <v>0</v>
      </c>
      <c r="Q67" s="10">
        <f t="shared" si="0"/>
        <v>0</v>
      </c>
      <c r="R67" s="10">
        <f t="shared" si="0"/>
        <v>0</v>
      </c>
      <c r="S67" s="10">
        <f t="shared" si="0"/>
        <v>0</v>
      </c>
      <c r="T67" s="10">
        <f t="shared" si="0"/>
        <v>0</v>
      </c>
      <c r="U67" s="10">
        <f t="shared" si="0"/>
        <v>0</v>
      </c>
      <c r="V67" s="10">
        <f t="shared" si="0"/>
        <v>0</v>
      </c>
      <c r="W67" s="10">
        <f t="shared" si="0"/>
        <v>0</v>
      </c>
      <c r="X67" s="10">
        <f t="shared" si="0"/>
        <v>0</v>
      </c>
      <c r="Y67" s="10">
        <f t="shared" si="0"/>
        <v>0</v>
      </c>
      <c r="Z67" s="10">
        <f t="shared" si="0"/>
        <v>0</v>
      </c>
    </row>
    <row r="68" spans="1:31" x14ac:dyDescent="0.25">
      <c r="A68" s="17"/>
      <c r="B68" s="15" t="s">
        <v>96</v>
      </c>
      <c r="C68" s="10">
        <f t="shared" si="1"/>
        <v>0</v>
      </c>
      <c r="D68" s="10">
        <f t="shared" si="0"/>
        <v>0</v>
      </c>
      <c r="E68" s="10">
        <f t="shared" si="0"/>
        <v>0</v>
      </c>
      <c r="F68" s="10">
        <f t="shared" si="0"/>
        <v>0</v>
      </c>
      <c r="G68" s="10">
        <f t="shared" si="0"/>
        <v>0</v>
      </c>
      <c r="H68" s="10">
        <f t="shared" si="0"/>
        <v>0</v>
      </c>
      <c r="I68" s="10">
        <f t="shared" si="0"/>
        <v>0</v>
      </c>
      <c r="J68" s="10">
        <f t="shared" si="0"/>
        <v>0</v>
      </c>
      <c r="K68" s="10">
        <f t="shared" si="0"/>
        <v>0</v>
      </c>
      <c r="L68" s="10">
        <f t="shared" si="0"/>
        <v>0</v>
      </c>
      <c r="M68" s="10">
        <f t="shared" si="0"/>
        <v>0</v>
      </c>
      <c r="N68" s="10">
        <f t="shared" si="0"/>
        <v>0</v>
      </c>
      <c r="O68" s="10">
        <f t="shared" si="0"/>
        <v>0</v>
      </c>
      <c r="P68" s="10">
        <f t="shared" si="0"/>
        <v>0</v>
      </c>
      <c r="Q68" s="10">
        <f t="shared" si="0"/>
        <v>0</v>
      </c>
      <c r="R68" s="10">
        <f t="shared" si="0"/>
        <v>0</v>
      </c>
      <c r="S68" s="10">
        <f t="shared" si="0"/>
        <v>0</v>
      </c>
      <c r="T68" s="10">
        <f t="shared" si="0"/>
        <v>0</v>
      </c>
      <c r="U68" s="10">
        <f t="shared" si="0"/>
        <v>0</v>
      </c>
      <c r="V68" s="10">
        <f t="shared" si="0"/>
        <v>0</v>
      </c>
      <c r="W68" s="10">
        <f t="shared" si="0"/>
        <v>0</v>
      </c>
      <c r="X68" s="10">
        <f t="shared" si="0"/>
        <v>0</v>
      </c>
      <c r="Y68" s="10">
        <f t="shared" si="0"/>
        <v>0</v>
      </c>
      <c r="Z68" s="10">
        <f t="shared" si="0"/>
        <v>0</v>
      </c>
    </row>
    <row r="69" spans="1:31" x14ac:dyDescent="0.25">
      <c r="A69" s="17"/>
      <c r="B69" s="15" t="s">
        <v>97</v>
      </c>
      <c r="C69" s="10">
        <f t="shared" si="1"/>
        <v>0</v>
      </c>
      <c r="D69" s="10">
        <f t="shared" si="0"/>
        <v>0</v>
      </c>
      <c r="E69" s="10">
        <f t="shared" si="0"/>
        <v>0</v>
      </c>
      <c r="F69" s="10">
        <f t="shared" si="0"/>
        <v>0</v>
      </c>
      <c r="G69" s="10">
        <f t="shared" si="0"/>
        <v>0</v>
      </c>
      <c r="H69" s="10">
        <f t="shared" si="0"/>
        <v>0</v>
      </c>
      <c r="I69" s="10">
        <f t="shared" si="0"/>
        <v>0</v>
      </c>
      <c r="J69" s="10">
        <f t="shared" si="0"/>
        <v>0</v>
      </c>
      <c r="K69" s="10">
        <f t="shared" si="0"/>
        <v>0</v>
      </c>
      <c r="L69" s="10">
        <f t="shared" si="0"/>
        <v>0</v>
      </c>
      <c r="M69" s="10">
        <f t="shared" si="0"/>
        <v>0</v>
      </c>
      <c r="N69" s="10">
        <f t="shared" si="0"/>
        <v>0</v>
      </c>
      <c r="O69" s="10">
        <f t="shared" si="0"/>
        <v>0</v>
      </c>
      <c r="P69" s="10">
        <f t="shared" si="0"/>
        <v>0</v>
      </c>
      <c r="Q69" s="10">
        <f t="shared" si="0"/>
        <v>0</v>
      </c>
      <c r="R69" s="10">
        <f t="shared" si="0"/>
        <v>0</v>
      </c>
      <c r="S69" s="10">
        <f t="shared" si="0"/>
        <v>0</v>
      </c>
      <c r="T69" s="10">
        <f t="shared" si="0"/>
        <v>0</v>
      </c>
      <c r="U69" s="10">
        <f t="shared" si="0"/>
        <v>0</v>
      </c>
      <c r="V69" s="10">
        <f t="shared" si="0"/>
        <v>0</v>
      </c>
      <c r="W69" s="10">
        <f t="shared" si="0"/>
        <v>0</v>
      </c>
      <c r="X69" s="10">
        <f t="shared" si="0"/>
        <v>0</v>
      </c>
      <c r="Y69" s="10">
        <f t="shared" si="0"/>
        <v>0</v>
      </c>
      <c r="Z69" s="10">
        <f t="shared" si="0"/>
        <v>0</v>
      </c>
    </row>
    <row r="70" spans="1:31" x14ac:dyDescent="0.25">
      <c r="A70" s="18" t="s">
        <v>62</v>
      </c>
      <c r="B70" s="19"/>
    </row>
    <row r="71" spans="1:31" x14ac:dyDescent="0.25">
      <c r="A71" s="16" t="s">
        <v>65</v>
      </c>
      <c r="B71" s="14" t="s">
        <v>53</v>
      </c>
      <c r="C71" s="10">
        <f>IF(ISERROR(INDEX($B$23:$Z$47,MATCH($B71,$B$23:$B$47,0),MATCH(C$59,$B$23:$Z$23,0))),0,INDEX($B$23:$Z$47,MATCH($B71,$B$23:$B$47,0),MATCH(C$59,$B$23:$Z$23,0)))</f>
        <v>0</v>
      </c>
      <c r="D71" s="10">
        <f t="shared" ref="D71:Z72" si="2">IF(ISERROR(INDEX($B$23:$Z$47,MATCH($B71,$B$23:$B$47,0),MATCH(D$59,$B$23:$Z$23,0))),0,INDEX($B$23:$Z$47,MATCH($B71,$B$23:$B$47,0),MATCH(D$59,$B$23:$Z$23,0)))</f>
        <v>0</v>
      </c>
      <c r="E71" s="10">
        <f t="shared" si="2"/>
        <v>0</v>
      </c>
      <c r="F71" s="10">
        <f t="shared" si="2"/>
        <v>0</v>
      </c>
      <c r="G71" s="10">
        <f t="shared" si="2"/>
        <v>0</v>
      </c>
      <c r="H71" s="10">
        <f t="shared" si="2"/>
        <v>0</v>
      </c>
      <c r="I71" s="10">
        <f t="shared" si="2"/>
        <v>0</v>
      </c>
      <c r="J71" s="10">
        <f t="shared" si="2"/>
        <v>0</v>
      </c>
      <c r="K71" s="10">
        <f t="shared" si="2"/>
        <v>0</v>
      </c>
      <c r="L71" s="10">
        <f t="shared" si="2"/>
        <v>0</v>
      </c>
      <c r="M71" s="10">
        <f t="shared" si="2"/>
        <v>0</v>
      </c>
      <c r="N71" s="10">
        <f t="shared" si="2"/>
        <v>0</v>
      </c>
      <c r="O71" s="10">
        <f t="shared" si="2"/>
        <v>0</v>
      </c>
      <c r="P71" s="10">
        <f t="shared" si="2"/>
        <v>0</v>
      </c>
      <c r="Q71" s="10">
        <f t="shared" si="2"/>
        <v>0</v>
      </c>
      <c r="R71" s="10">
        <f t="shared" si="2"/>
        <v>0</v>
      </c>
      <c r="S71" s="10">
        <f t="shared" si="2"/>
        <v>0</v>
      </c>
      <c r="T71" s="10">
        <f t="shared" si="2"/>
        <v>0</v>
      </c>
      <c r="U71" s="10">
        <f t="shared" si="2"/>
        <v>0</v>
      </c>
      <c r="V71" s="10">
        <f t="shared" si="2"/>
        <v>0</v>
      </c>
      <c r="W71" s="10">
        <f t="shared" si="2"/>
        <v>0</v>
      </c>
      <c r="X71" s="10">
        <f t="shared" si="2"/>
        <v>0</v>
      </c>
      <c r="Y71" s="10">
        <f t="shared" si="2"/>
        <v>0</v>
      </c>
      <c r="Z71" s="10">
        <f t="shared" si="2"/>
        <v>0</v>
      </c>
    </row>
    <row r="72" spans="1:31" x14ac:dyDescent="0.25">
      <c r="A72" s="17"/>
      <c r="B72" s="15" t="s">
        <v>54</v>
      </c>
      <c r="C72" s="10">
        <f>IF(ISERROR(INDEX($B$23:$Z$47,MATCH($B72,$B$23:$B$47,0),MATCH(C$59,$B$23:$Z$23,0))),0,INDEX($B$23:$Z$47,MATCH($B72,$B$23:$B$47,0),MATCH(C$59,$B$23:$Z$23,0)))</f>
        <v>0</v>
      </c>
      <c r="D72" s="10">
        <f t="shared" si="2"/>
        <v>0</v>
      </c>
      <c r="E72" s="10">
        <f t="shared" si="2"/>
        <v>0</v>
      </c>
      <c r="F72" s="10">
        <f t="shared" si="2"/>
        <v>0</v>
      </c>
      <c r="G72" s="10">
        <f t="shared" si="2"/>
        <v>0</v>
      </c>
      <c r="H72" s="10">
        <f t="shared" si="2"/>
        <v>0</v>
      </c>
      <c r="I72" s="10">
        <f t="shared" si="2"/>
        <v>0</v>
      </c>
      <c r="J72" s="10">
        <f t="shared" si="2"/>
        <v>0</v>
      </c>
      <c r="K72" s="10">
        <f t="shared" si="2"/>
        <v>0</v>
      </c>
      <c r="L72" s="10">
        <f t="shared" si="2"/>
        <v>0</v>
      </c>
      <c r="M72" s="10">
        <f t="shared" si="2"/>
        <v>0</v>
      </c>
      <c r="N72" s="10">
        <f t="shared" si="2"/>
        <v>0</v>
      </c>
      <c r="O72" s="10">
        <f t="shared" si="2"/>
        <v>0</v>
      </c>
      <c r="P72" s="10">
        <f t="shared" si="2"/>
        <v>0</v>
      </c>
      <c r="Q72" s="10">
        <f t="shared" si="2"/>
        <v>0</v>
      </c>
      <c r="R72" s="10">
        <f t="shared" si="2"/>
        <v>0</v>
      </c>
      <c r="S72" s="10">
        <f t="shared" si="2"/>
        <v>0</v>
      </c>
      <c r="T72" s="10">
        <f t="shared" si="2"/>
        <v>0</v>
      </c>
      <c r="U72" s="10">
        <f t="shared" si="2"/>
        <v>0</v>
      </c>
      <c r="V72" s="10">
        <f t="shared" si="2"/>
        <v>0</v>
      </c>
      <c r="W72" s="10">
        <f t="shared" si="2"/>
        <v>0</v>
      </c>
      <c r="X72" s="10">
        <f t="shared" si="2"/>
        <v>0</v>
      </c>
      <c r="Y72" s="10">
        <f t="shared" si="2"/>
        <v>0</v>
      </c>
      <c r="Z72" s="10">
        <f t="shared" si="2"/>
        <v>0</v>
      </c>
    </row>
    <row r="73" spans="1:31" x14ac:dyDescent="0.25">
      <c r="A73" s="18" t="s">
        <v>66</v>
      </c>
      <c r="B73" s="19"/>
    </row>
    <row r="74" spans="1:31" x14ac:dyDescent="0.25">
      <c r="A74" s="16" t="s">
        <v>63</v>
      </c>
      <c r="B74" s="14" t="s">
        <v>55</v>
      </c>
      <c r="C74" s="10">
        <f>IF(ISERROR(INDEX($B$23:$Z$47,MATCH($B74,$B$23:$B$47,0),MATCH(C$59,$B$23:$Z$23,0))),0,INDEX($B$23:$Z$47,MATCH($B74,$B$23:$B$47,0),MATCH(C$59,$B$23:$Z$23,0)))</f>
        <v>0</v>
      </c>
      <c r="D74" s="10">
        <f t="shared" ref="D74:Z74" si="3">IF(ISERROR(INDEX($B$23:$Z$47,MATCH($B74,$B$23:$B$47,0),MATCH(D$59,$B$23:$Z$23,0))),0,INDEX($B$23:$Z$47,MATCH($B74,$B$23:$B$47,0),MATCH(D$59,$B$23:$Z$23,0)))</f>
        <v>0</v>
      </c>
      <c r="E74" s="10">
        <f t="shared" si="3"/>
        <v>0</v>
      </c>
      <c r="F74" s="10">
        <f t="shared" si="3"/>
        <v>0</v>
      </c>
      <c r="G74" s="10">
        <f t="shared" si="3"/>
        <v>0</v>
      </c>
      <c r="H74" s="10">
        <f t="shared" si="3"/>
        <v>0</v>
      </c>
      <c r="I74" s="10">
        <f t="shared" si="3"/>
        <v>0</v>
      </c>
      <c r="J74" s="10">
        <f t="shared" si="3"/>
        <v>0</v>
      </c>
      <c r="K74" s="10">
        <f t="shared" si="3"/>
        <v>0</v>
      </c>
      <c r="L74" s="10">
        <f t="shared" si="3"/>
        <v>0</v>
      </c>
      <c r="M74" s="10">
        <f t="shared" si="3"/>
        <v>0</v>
      </c>
      <c r="N74" s="10">
        <f t="shared" si="3"/>
        <v>0</v>
      </c>
      <c r="O74" s="10">
        <f t="shared" si="3"/>
        <v>0</v>
      </c>
      <c r="P74" s="10">
        <f t="shared" si="3"/>
        <v>0</v>
      </c>
      <c r="Q74" s="10">
        <f t="shared" si="3"/>
        <v>0</v>
      </c>
      <c r="R74" s="10">
        <f t="shared" si="3"/>
        <v>0</v>
      </c>
      <c r="S74" s="10">
        <f t="shared" si="3"/>
        <v>0</v>
      </c>
      <c r="T74" s="10">
        <f t="shared" si="3"/>
        <v>0</v>
      </c>
      <c r="U74" s="10">
        <f t="shared" si="3"/>
        <v>0</v>
      </c>
      <c r="V74" s="10">
        <f t="shared" si="3"/>
        <v>0</v>
      </c>
      <c r="W74" s="10">
        <f t="shared" si="3"/>
        <v>0</v>
      </c>
      <c r="X74" s="10">
        <f t="shared" si="3"/>
        <v>0</v>
      </c>
      <c r="Y74" s="10">
        <f t="shared" si="3"/>
        <v>0</v>
      </c>
      <c r="Z74" s="10">
        <f t="shared" si="3"/>
        <v>0</v>
      </c>
    </row>
    <row r="75" spans="1:31" x14ac:dyDescent="0.25">
      <c r="A75" s="18" t="s">
        <v>64</v>
      </c>
      <c r="B75" s="19"/>
    </row>
    <row r="76" spans="1:31" x14ac:dyDescent="0.25">
      <c r="A76" s="16" t="s">
        <v>59</v>
      </c>
      <c r="B76" s="14" t="s">
        <v>56</v>
      </c>
      <c r="C76" s="10">
        <f>IF(ISERROR(INDEX($B$23:$Z$47,MATCH($B76,$B$23:$B$47,0),MATCH(C$59,$B$23:$Z$23,0))),0,INDEX($B$23:$Z$47,MATCH($B76,$B$23:$B$47,0),MATCH(C$59,$B$23:$Z$23,0)))</f>
        <v>0</v>
      </c>
      <c r="D76" s="10">
        <f t="shared" ref="D76:Z76" si="4">IF(ISERROR(INDEX($B$23:$Z$47,MATCH($B76,$B$23:$B$47,0),MATCH(D$59,$B$23:$Z$23,0))),0,INDEX($B$23:$Z$47,MATCH($B76,$B$23:$B$47,0),MATCH(D$59,$B$23:$Z$23,0)))</f>
        <v>0</v>
      </c>
      <c r="E76" s="10">
        <f t="shared" si="4"/>
        <v>0</v>
      </c>
      <c r="F76" s="10">
        <f t="shared" si="4"/>
        <v>0</v>
      </c>
      <c r="G76" s="10">
        <f t="shared" si="4"/>
        <v>0</v>
      </c>
      <c r="H76" s="10">
        <f t="shared" si="4"/>
        <v>0</v>
      </c>
      <c r="I76" s="10">
        <f t="shared" si="4"/>
        <v>0</v>
      </c>
      <c r="J76" s="10">
        <f t="shared" si="4"/>
        <v>0</v>
      </c>
      <c r="K76" s="10">
        <f t="shared" si="4"/>
        <v>0</v>
      </c>
      <c r="L76" s="10">
        <f t="shared" si="4"/>
        <v>0</v>
      </c>
      <c r="M76" s="10">
        <f t="shared" si="4"/>
        <v>0</v>
      </c>
      <c r="N76" s="10">
        <f t="shared" si="4"/>
        <v>0</v>
      </c>
      <c r="O76" s="10">
        <f t="shared" si="4"/>
        <v>0</v>
      </c>
      <c r="P76" s="10">
        <f t="shared" si="4"/>
        <v>0</v>
      </c>
      <c r="Q76" s="10">
        <f t="shared" si="4"/>
        <v>0</v>
      </c>
      <c r="R76" s="10">
        <f t="shared" si="4"/>
        <v>0</v>
      </c>
      <c r="S76" s="10">
        <f t="shared" si="4"/>
        <v>0</v>
      </c>
      <c r="T76" s="10">
        <f t="shared" si="4"/>
        <v>0</v>
      </c>
      <c r="U76" s="10">
        <f t="shared" si="4"/>
        <v>0</v>
      </c>
      <c r="V76" s="10">
        <f t="shared" si="4"/>
        <v>0</v>
      </c>
      <c r="W76" s="10">
        <f t="shared" si="4"/>
        <v>0</v>
      </c>
      <c r="X76" s="10">
        <f t="shared" si="4"/>
        <v>0</v>
      </c>
      <c r="Y76" s="10">
        <f t="shared" si="4"/>
        <v>0</v>
      </c>
      <c r="Z76" s="10">
        <f t="shared" si="4"/>
        <v>0</v>
      </c>
    </row>
    <row r="77" spans="1:31" x14ac:dyDescent="0.25">
      <c r="A77" s="18" t="s">
        <v>60</v>
      </c>
      <c r="B77" s="19"/>
    </row>
    <row r="78" spans="1:31" x14ac:dyDescent="0.25">
      <c r="A78" s="16" t="s">
        <v>57</v>
      </c>
      <c r="B78" s="14" t="s">
        <v>98</v>
      </c>
      <c r="C78" s="10">
        <f t="shared" ref="C78:R79" si="5">IF(ISERROR(INDEX($B$23:$Z$47,MATCH($B78,$B$23:$B$47,0),MATCH(C$59,$B$23:$Z$23,0))),0,INDEX($B$23:$Z$47,MATCH($B78,$B$23:$B$47,0),MATCH(C$59,$B$23:$Z$23,0)))</f>
        <v>0</v>
      </c>
      <c r="D78" s="10">
        <f t="shared" si="5"/>
        <v>0</v>
      </c>
      <c r="E78" s="10">
        <f t="shared" si="5"/>
        <v>0</v>
      </c>
      <c r="F78" s="10">
        <f t="shared" si="5"/>
        <v>0</v>
      </c>
      <c r="G78" s="10">
        <f t="shared" si="5"/>
        <v>0</v>
      </c>
      <c r="H78" s="10">
        <f t="shared" si="5"/>
        <v>0</v>
      </c>
      <c r="I78" s="10">
        <f t="shared" si="5"/>
        <v>0</v>
      </c>
      <c r="J78" s="10">
        <f t="shared" si="5"/>
        <v>0</v>
      </c>
      <c r="K78" s="10">
        <f t="shared" si="5"/>
        <v>0</v>
      </c>
      <c r="L78" s="10">
        <f t="shared" si="5"/>
        <v>0</v>
      </c>
      <c r="M78" s="10">
        <f t="shared" si="5"/>
        <v>0</v>
      </c>
      <c r="N78" s="10">
        <f t="shared" si="5"/>
        <v>0</v>
      </c>
      <c r="O78" s="10">
        <f t="shared" si="5"/>
        <v>0</v>
      </c>
      <c r="P78" s="10">
        <f t="shared" si="5"/>
        <v>0</v>
      </c>
      <c r="Q78" s="10">
        <f t="shared" si="5"/>
        <v>0</v>
      </c>
      <c r="R78" s="10">
        <f t="shared" si="5"/>
        <v>0</v>
      </c>
      <c r="S78" s="10">
        <f t="shared" ref="S78:Z79" si="6">IF(ISERROR(INDEX($B$23:$Z$47,MATCH($B78,$B$23:$B$47,0),MATCH(S$59,$B$23:$Z$23,0))),0,INDEX($B$23:$Z$47,MATCH($B78,$B$23:$B$47,0),MATCH(S$59,$B$23:$Z$23,0)))</f>
        <v>0</v>
      </c>
      <c r="T78" s="10">
        <f t="shared" si="6"/>
        <v>0</v>
      </c>
      <c r="U78" s="10">
        <f t="shared" si="6"/>
        <v>0</v>
      </c>
      <c r="V78" s="10">
        <f t="shared" si="6"/>
        <v>0</v>
      </c>
      <c r="W78" s="10">
        <f t="shared" si="6"/>
        <v>0</v>
      </c>
      <c r="X78" s="10">
        <f t="shared" si="6"/>
        <v>0</v>
      </c>
      <c r="Y78" s="10">
        <f t="shared" si="6"/>
        <v>0</v>
      </c>
      <c r="Z78" s="10">
        <f t="shared" si="6"/>
        <v>0</v>
      </c>
    </row>
    <row r="79" spans="1:31" x14ac:dyDescent="0.25">
      <c r="A79" s="17"/>
      <c r="B79" s="15" t="s">
        <v>57</v>
      </c>
      <c r="C79" s="10">
        <f t="shared" si="5"/>
        <v>0</v>
      </c>
      <c r="D79" s="10">
        <f t="shared" si="5"/>
        <v>0</v>
      </c>
      <c r="E79" s="10">
        <f t="shared" si="5"/>
        <v>0</v>
      </c>
      <c r="F79" s="10">
        <f t="shared" si="5"/>
        <v>0</v>
      </c>
      <c r="G79" s="10">
        <f t="shared" si="5"/>
        <v>0</v>
      </c>
      <c r="H79" s="10">
        <f t="shared" si="5"/>
        <v>0</v>
      </c>
      <c r="I79" s="10">
        <f t="shared" si="5"/>
        <v>0</v>
      </c>
      <c r="J79" s="10">
        <f t="shared" si="5"/>
        <v>0</v>
      </c>
      <c r="K79" s="10">
        <f t="shared" si="5"/>
        <v>0</v>
      </c>
      <c r="L79" s="10">
        <f t="shared" si="5"/>
        <v>0</v>
      </c>
      <c r="M79" s="10">
        <f t="shared" si="5"/>
        <v>0</v>
      </c>
      <c r="N79" s="10">
        <f t="shared" si="5"/>
        <v>0</v>
      </c>
      <c r="O79" s="10">
        <f t="shared" si="5"/>
        <v>0</v>
      </c>
      <c r="P79" s="10">
        <f t="shared" si="5"/>
        <v>0</v>
      </c>
      <c r="Q79" s="10">
        <f t="shared" si="5"/>
        <v>0</v>
      </c>
      <c r="R79" s="10">
        <f t="shared" si="5"/>
        <v>0</v>
      </c>
      <c r="S79" s="10">
        <f t="shared" si="6"/>
        <v>0</v>
      </c>
      <c r="T79" s="10">
        <f t="shared" si="6"/>
        <v>0</v>
      </c>
      <c r="U79" s="10">
        <f t="shared" si="6"/>
        <v>0</v>
      </c>
      <c r="V79" s="10">
        <f t="shared" si="6"/>
        <v>0</v>
      </c>
      <c r="W79" s="10">
        <f t="shared" si="6"/>
        <v>0</v>
      </c>
      <c r="X79" s="10">
        <f t="shared" si="6"/>
        <v>0</v>
      </c>
      <c r="Y79" s="10">
        <f t="shared" si="6"/>
        <v>0</v>
      </c>
      <c r="Z79" s="10">
        <f t="shared" si="6"/>
        <v>0</v>
      </c>
      <c r="AD79" t="s">
        <v>134</v>
      </c>
    </row>
    <row r="80" spans="1:31" x14ac:dyDescent="0.25">
      <c r="A80" s="18" t="s">
        <v>67</v>
      </c>
      <c r="B80" s="19"/>
      <c r="AD80" t="str">
        <f>RIGHT(AD79,4)</f>
        <v>2021</v>
      </c>
      <c r="AE80" t="str">
        <f>AD80</f>
        <v>2021</v>
      </c>
    </row>
    <row r="81" spans="1:42" ht="13" x14ac:dyDescent="0.3">
      <c r="A81" s="23" t="s">
        <v>20</v>
      </c>
      <c r="B81" s="24"/>
      <c r="AD81">
        <f>LEFT(AD79,2)+1</f>
        <v>7</v>
      </c>
      <c r="AE81" t="str">
        <f>LEFT(AD79,2)</f>
        <v>06</v>
      </c>
    </row>
    <row r="82" spans="1:42" x14ac:dyDescent="0.25">
      <c r="AD82" t="str">
        <f>IF(AD81&lt;10,"0"&amp;AD81,AD81)</f>
        <v>07</v>
      </c>
      <c r="AE82" t="str">
        <f>IF(AE81&lt;10,"0"&amp;AE81,AE81)</f>
        <v>06</v>
      </c>
    </row>
    <row r="84" spans="1:42" ht="21" x14ac:dyDescent="0.25">
      <c r="A84" s="32" t="s">
        <v>34</v>
      </c>
      <c r="B84" s="31"/>
      <c r="C84" s="20" t="s">
        <v>77</v>
      </c>
      <c r="D84" s="21" t="s">
        <v>78</v>
      </c>
      <c r="E84" s="21" t="s">
        <v>79</v>
      </c>
      <c r="F84" s="21" t="s">
        <v>80</v>
      </c>
      <c r="G84" s="21" t="s">
        <v>81</v>
      </c>
      <c r="H84" s="21" t="s">
        <v>82</v>
      </c>
      <c r="I84" s="21" t="s">
        <v>83</v>
      </c>
      <c r="J84" s="21" t="s">
        <v>84</v>
      </c>
      <c r="K84" s="21" t="s">
        <v>85</v>
      </c>
      <c r="L84" s="21" t="s">
        <v>86</v>
      </c>
      <c r="M84" s="21" t="s">
        <v>35</v>
      </c>
      <c r="N84" s="21" t="s">
        <v>36</v>
      </c>
      <c r="O84" s="20" t="s">
        <v>37</v>
      </c>
      <c r="P84" s="21" t="s">
        <v>38</v>
      </c>
      <c r="Q84" s="21" t="s">
        <v>39</v>
      </c>
      <c r="R84" s="21" t="s">
        <v>40</v>
      </c>
      <c r="S84" s="21" t="s">
        <v>41</v>
      </c>
      <c r="T84" s="21" t="s">
        <v>42</v>
      </c>
      <c r="U84" s="21" t="s">
        <v>43</v>
      </c>
      <c r="V84" s="21" t="s">
        <v>44</v>
      </c>
      <c r="W84" s="21" t="s">
        <v>45</v>
      </c>
      <c r="X84" s="21" t="s">
        <v>46</v>
      </c>
      <c r="Y84" s="21" t="s">
        <v>47</v>
      </c>
      <c r="Z84" s="21" t="s">
        <v>99</v>
      </c>
      <c r="AC84">
        <v>1</v>
      </c>
      <c r="AD84" t="str">
        <f>AD80&amp;"-"&amp;AD82</f>
        <v>2021-07</v>
      </c>
      <c r="AE84" t="str">
        <f>AE80&amp;"-"&amp;AE82</f>
        <v>2021-06</v>
      </c>
      <c r="AF84" t="s">
        <v>92</v>
      </c>
      <c r="AG84" t="str">
        <f>AD80-1&amp;"-"&amp;AD82</f>
        <v>2020-07</v>
      </c>
      <c r="AH84" t="s">
        <v>101</v>
      </c>
      <c r="AI84" s="25"/>
      <c r="AJ84" s="28" t="s">
        <v>100</v>
      </c>
      <c r="AL84" s="28" t="s">
        <v>89</v>
      </c>
      <c r="AM84" s="28" t="s">
        <v>87</v>
      </c>
      <c r="AN84" s="28" t="s">
        <v>88</v>
      </c>
      <c r="AO84" s="28" t="s">
        <v>90</v>
      </c>
      <c r="AP84" s="28" t="s">
        <v>91</v>
      </c>
    </row>
    <row r="85" spans="1:42" x14ac:dyDescent="0.25">
      <c r="A85" s="16" t="s">
        <v>61</v>
      </c>
      <c r="B85" s="14" t="s">
        <v>49</v>
      </c>
      <c r="C85" s="10">
        <f>C60</f>
        <v>0</v>
      </c>
      <c r="D85" s="10">
        <f t="shared" ref="D85:Z86" si="7">D60</f>
        <v>0</v>
      </c>
      <c r="E85" s="10">
        <f t="shared" si="7"/>
        <v>0</v>
      </c>
      <c r="F85" s="10">
        <f t="shared" si="7"/>
        <v>0</v>
      </c>
      <c r="G85" s="10">
        <f t="shared" si="7"/>
        <v>0</v>
      </c>
      <c r="H85" s="10">
        <f t="shared" si="7"/>
        <v>0</v>
      </c>
      <c r="I85" s="10">
        <f t="shared" si="7"/>
        <v>0</v>
      </c>
      <c r="J85" s="10">
        <f t="shared" si="7"/>
        <v>0</v>
      </c>
      <c r="K85" s="10">
        <f t="shared" si="7"/>
        <v>0</v>
      </c>
      <c r="L85" s="10">
        <f t="shared" si="7"/>
        <v>0</v>
      </c>
      <c r="M85" s="10">
        <f t="shared" si="7"/>
        <v>0</v>
      </c>
      <c r="N85" s="10">
        <f t="shared" si="7"/>
        <v>0</v>
      </c>
      <c r="O85" s="10">
        <f t="shared" si="7"/>
        <v>0</v>
      </c>
      <c r="P85" s="10">
        <f t="shared" si="7"/>
        <v>0</v>
      </c>
      <c r="Q85" s="10">
        <f t="shared" si="7"/>
        <v>0</v>
      </c>
      <c r="R85" s="10">
        <f t="shared" si="7"/>
        <v>0</v>
      </c>
      <c r="S85" s="10">
        <f t="shared" si="7"/>
        <v>0</v>
      </c>
      <c r="T85" s="10">
        <f t="shared" si="7"/>
        <v>0</v>
      </c>
      <c r="U85" s="10">
        <f t="shared" si="7"/>
        <v>0</v>
      </c>
      <c r="V85" s="10">
        <f t="shared" si="7"/>
        <v>0</v>
      </c>
      <c r="W85" s="10">
        <f t="shared" si="7"/>
        <v>0</v>
      </c>
      <c r="X85" s="10">
        <f t="shared" si="7"/>
        <v>0</v>
      </c>
      <c r="Y85" s="10">
        <f t="shared" si="7"/>
        <v>0</v>
      </c>
      <c r="Z85" s="10">
        <f t="shared" si="7"/>
        <v>0</v>
      </c>
      <c r="AB85" s="26"/>
      <c r="AC85" s="26">
        <v>2</v>
      </c>
      <c r="AD85" s="10" t="e">
        <f>HLOOKUP(AD$84,$C$84:$Z$101,$AC85,0)</f>
        <v>#N/A</v>
      </c>
      <c r="AE85" s="10" t="e">
        <f t="shared" ref="AE85:AE101" si="8">HLOOKUP(AE$84,$C$84:$Z$101,$AC85,0)</f>
        <v>#N/A</v>
      </c>
      <c r="AF85" s="10">
        <v>0</v>
      </c>
      <c r="AG85" s="10" t="e">
        <f>HLOOKUP(AG$84,$C$84:$Z$101,$AC85,0)</f>
        <v>#N/A</v>
      </c>
      <c r="AH85" s="10">
        <v>5062.1080600000005</v>
      </c>
      <c r="AI85" s="10"/>
      <c r="AJ85" s="29" t="e">
        <f>AD85</f>
        <v>#N/A</v>
      </c>
      <c r="AL85" s="29">
        <v>58123.759339999982</v>
      </c>
      <c r="AM85" s="34" t="str">
        <f>IF(ISERROR(AD85/AL85),"",AD85/AL85)</f>
        <v/>
      </c>
      <c r="AN85" s="34" t="str">
        <f>IF(ISERROR(AE85/AF85),"",AE85/AF85)</f>
        <v/>
      </c>
      <c r="AO85" s="29">
        <f t="shared" ref="AO85:AO93" si="9">AH85</f>
        <v>5062.1080600000005</v>
      </c>
      <c r="AP85" s="34" t="str">
        <f>IF(ISERROR(AG85/AH85),"",AG85/AH85)</f>
        <v/>
      </c>
    </row>
    <row r="86" spans="1:42" x14ac:dyDescent="0.25">
      <c r="A86" s="17"/>
      <c r="B86" s="15" t="s">
        <v>48</v>
      </c>
      <c r="C86" s="10">
        <f>C61</f>
        <v>0</v>
      </c>
      <c r="D86" s="10">
        <f t="shared" si="7"/>
        <v>0</v>
      </c>
      <c r="E86" s="10">
        <f t="shared" si="7"/>
        <v>0</v>
      </c>
      <c r="F86" s="10">
        <f t="shared" si="7"/>
        <v>0</v>
      </c>
      <c r="G86" s="10">
        <f t="shared" si="7"/>
        <v>0</v>
      </c>
      <c r="H86" s="10">
        <f t="shared" si="7"/>
        <v>0</v>
      </c>
      <c r="I86" s="10">
        <f t="shared" si="7"/>
        <v>0</v>
      </c>
      <c r="J86" s="10">
        <f t="shared" si="7"/>
        <v>0</v>
      </c>
      <c r="K86" s="10">
        <f t="shared" si="7"/>
        <v>0</v>
      </c>
      <c r="L86" s="10">
        <f t="shared" si="7"/>
        <v>0</v>
      </c>
      <c r="M86" s="10">
        <f t="shared" si="7"/>
        <v>0</v>
      </c>
      <c r="N86" s="10">
        <f t="shared" si="7"/>
        <v>0</v>
      </c>
      <c r="O86" s="10">
        <f t="shared" si="7"/>
        <v>0</v>
      </c>
      <c r="P86" s="10">
        <f t="shared" si="7"/>
        <v>0</v>
      </c>
      <c r="Q86" s="10">
        <f t="shared" si="7"/>
        <v>0</v>
      </c>
      <c r="R86" s="10">
        <f t="shared" si="7"/>
        <v>0</v>
      </c>
      <c r="S86" s="10">
        <f t="shared" si="7"/>
        <v>0</v>
      </c>
      <c r="T86" s="10">
        <f t="shared" si="7"/>
        <v>0</v>
      </c>
      <c r="U86" s="10">
        <f t="shared" si="7"/>
        <v>0</v>
      </c>
      <c r="V86" s="10">
        <f t="shared" si="7"/>
        <v>0</v>
      </c>
      <c r="W86" s="10">
        <f t="shared" si="7"/>
        <v>0</v>
      </c>
      <c r="X86" s="10">
        <f t="shared" si="7"/>
        <v>0</v>
      </c>
      <c r="Y86" s="10">
        <f t="shared" si="7"/>
        <v>0</v>
      </c>
      <c r="Z86" s="10">
        <f t="shared" si="7"/>
        <v>0</v>
      </c>
      <c r="AC86" s="26">
        <v>3</v>
      </c>
      <c r="AD86" s="10" t="e">
        <f t="shared" ref="AD86:AD101" si="10">HLOOKUP(AD$84,$C$84:$Z$101,$AC86,0)</f>
        <v>#N/A</v>
      </c>
      <c r="AE86" s="10" t="e">
        <f t="shared" si="8"/>
        <v>#N/A</v>
      </c>
      <c r="AF86" s="10">
        <v>0</v>
      </c>
      <c r="AG86" s="10" t="e">
        <f t="shared" ref="AG86:AG101" si="11">HLOOKUP(AG$84,$C$84:$Z$101,$AC86,0)</f>
        <v>#N/A</v>
      </c>
      <c r="AH86" s="10">
        <v>1554.49027</v>
      </c>
      <c r="AJ86" s="29" t="e">
        <f t="shared" ref="AJ86:AJ101" si="12">AD86</f>
        <v>#N/A</v>
      </c>
      <c r="AL86" s="29">
        <v>25445.933610000004</v>
      </c>
      <c r="AM86" s="34" t="str">
        <f t="shared" ref="AM86:AM101" si="13">IF(ISERROR(AD86/AL86),"",AD86/AL86)</f>
        <v/>
      </c>
      <c r="AN86" s="34" t="str">
        <f t="shared" ref="AN86:AN101" si="14">IF(ISERROR(AE86/AF86),"",AE86/AF86)</f>
        <v/>
      </c>
      <c r="AO86" s="29">
        <f t="shared" si="9"/>
        <v>1554.49027</v>
      </c>
      <c r="AP86" s="34" t="str">
        <f t="shared" ref="AP86:AP101" si="15">IF(ISERROR(AG86/AH86),"",AG86/AH86)</f>
        <v/>
      </c>
    </row>
    <row r="87" spans="1:42" x14ac:dyDescent="0.25">
      <c r="A87" s="17"/>
      <c r="B87" s="15" t="s">
        <v>50</v>
      </c>
      <c r="C87" s="10">
        <f>C62+C66+C67</f>
        <v>0</v>
      </c>
      <c r="D87" s="10">
        <f t="shared" ref="D87:Z87" si="16">D62+D66+D67</f>
        <v>0</v>
      </c>
      <c r="E87" s="10">
        <f t="shared" si="16"/>
        <v>0</v>
      </c>
      <c r="F87" s="10">
        <f t="shared" si="16"/>
        <v>0</v>
      </c>
      <c r="G87" s="10">
        <f t="shared" si="16"/>
        <v>0</v>
      </c>
      <c r="H87" s="10">
        <f t="shared" si="16"/>
        <v>0</v>
      </c>
      <c r="I87" s="10">
        <f t="shared" si="16"/>
        <v>0</v>
      </c>
      <c r="J87" s="10">
        <f t="shared" si="16"/>
        <v>0</v>
      </c>
      <c r="K87" s="10">
        <f t="shared" si="16"/>
        <v>0</v>
      </c>
      <c r="L87" s="10">
        <f t="shared" si="16"/>
        <v>0</v>
      </c>
      <c r="M87" s="10">
        <f t="shared" si="16"/>
        <v>0</v>
      </c>
      <c r="N87" s="10">
        <f t="shared" si="16"/>
        <v>0</v>
      </c>
      <c r="O87" s="10">
        <f t="shared" si="16"/>
        <v>0</v>
      </c>
      <c r="P87" s="10">
        <f t="shared" si="16"/>
        <v>0</v>
      </c>
      <c r="Q87" s="10">
        <f t="shared" si="16"/>
        <v>0</v>
      </c>
      <c r="R87" s="10">
        <f t="shared" si="16"/>
        <v>0</v>
      </c>
      <c r="S87" s="10">
        <f t="shared" si="16"/>
        <v>0</v>
      </c>
      <c r="T87" s="10">
        <f t="shared" si="16"/>
        <v>0</v>
      </c>
      <c r="U87" s="10">
        <f t="shared" si="16"/>
        <v>0</v>
      </c>
      <c r="V87" s="10">
        <f t="shared" si="16"/>
        <v>0</v>
      </c>
      <c r="W87" s="10">
        <f t="shared" si="16"/>
        <v>0</v>
      </c>
      <c r="X87" s="10">
        <f t="shared" si="16"/>
        <v>0</v>
      </c>
      <c r="Y87" s="10">
        <f t="shared" si="16"/>
        <v>0</v>
      </c>
      <c r="Z87" s="10">
        <f t="shared" si="16"/>
        <v>0</v>
      </c>
      <c r="AC87" s="26">
        <v>4</v>
      </c>
      <c r="AD87" s="10" t="e">
        <f t="shared" si="10"/>
        <v>#N/A</v>
      </c>
      <c r="AE87" s="10" t="e">
        <f t="shared" si="8"/>
        <v>#N/A</v>
      </c>
      <c r="AF87" s="10">
        <v>0</v>
      </c>
      <c r="AG87" s="10" t="e">
        <f t="shared" si="11"/>
        <v>#N/A</v>
      </c>
      <c r="AH87" s="10">
        <v>0</v>
      </c>
      <c r="AJ87" s="29" t="e">
        <f t="shared" si="12"/>
        <v>#N/A</v>
      </c>
      <c r="AL87" s="29">
        <v>1559.7398500000002</v>
      </c>
      <c r="AM87" s="34" t="str">
        <f t="shared" si="13"/>
        <v/>
      </c>
      <c r="AN87" s="34" t="str">
        <f t="shared" si="14"/>
        <v/>
      </c>
      <c r="AO87" s="29">
        <f t="shared" si="9"/>
        <v>0</v>
      </c>
      <c r="AP87" s="34" t="str">
        <f t="shared" si="15"/>
        <v/>
      </c>
    </row>
    <row r="88" spans="1:42" x14ac:dyDescent="0.25">
      <c r="A88" s="17"/>
      <c r="B88" s="15" t="s">
        <v>51</v>
      </c>
      <c r="C88" s="10">
        <f>C63+C68+C69</f>
        <v>0</v>
      </c>
      <c r="D88" s="10">
        <f t="shared" ref="D88:Z88" si="17">D63+D68+D69</f>
        <v>0</v>
      </c>
      <c r="E88" s="10">
        <f t="shared" si="17"/>
        <v>0</v>
      </c>
      <c r="F88" s="10">
        <f t="shared" si="17"/>
        <v>0</v>
      </c>
      <c r="G88" s="10">
        <f t="shared" si="17"/>
        <v>0</v>
      </c>
      <c r="H88" s="10">
        <f t="shared" si="17"/>
        <v>0</v>
      </c>
      <c r="I88" s="10">
        <f t="shared" si="17"/>
        <v>0</v>
      </c>
      <c r="J88" s="10">
        <f t="shared" si="17"/>
        <v>0</v>
      </c>
      <c r="K88" s="10">
        <f t="shared" si="17"/>
        <v>0</v>
      </c>
      <c r="L88" s="10">
        <f t="shared" si="17"/>
        <v>0</v>
      </c>
      <c r="M88" s="10">
        <f t="shared" si="17"/>
        <v>0</v>
      </c>
      <c r="N88" s="10">
        <f t="shared" si="17"/>
        <v>0</v>
      </c>
      <c r="O88" s="10">
        <f t="shared" si="17"/>
        <v>0</v>
      </c>
      <c r="P88" s="10">
        <f t="shared" si="17"/>
        <v>0</v>
      </c>
      <c r="Q88" s="10">
        <f t="shared" si="17"/>
        <v>0</v>
      </c>
      <c r="R88" s="10">
        <f t="shared" si="17"/>
        <v>0</v>
      </c>
      <c r="S88" s="10">
        <f t="shared" si="17"/>
        <v>0</v>
      </c>
      <c r="T88" s="10">
        <f t="shared" si="17"/>
        <v>0</v>
      </c>
      <c r="U88" s="10">
        <f t="shared" si="17"/>
        <v>0</v>
      </c>
      <c r="V88" s="10">
        <f t="shared" si="17"/>
        <v>0</v>
      </c>
      <c r="W88" s="10">
        <f t="shared" si="17"/>
        <v>0</v>
      </c>
      <c r="X88" s="10">
        <f t="shared" si="17"/>
        <v>0</v>
      </c>
      <c r="Y88" s="10">
        <f t="shared" si="17"/>
        <v>0</v>
      </c>
      <c r="Z88" s="10">
        <f t="shared" si="17"/>
        <v>0</v>
      </c>
      <c r="AC88">
        <v>5</v>
      </c>
      <c r="AD88" s="10" t="e">
        <f t="shared" si="10"/>
        <v>#N/A</v>
      </c>
      <c r="AE88" s="10" t="e">
        <f t="shared" si="8"/>
        <v>#N/A</v>
      </c>
      <c r="AF88" s="10">
        <v>0</v>
      </c>
      <c r="AG88" s="10" t="e">
        <f t="shared" si="11"/>
        <v>#N/A</v>
      </c>
      <c r="AH88" s="10">
        <v>0</v>
      </c>
      <c r="AJ88" s="29" t="e">
        <f t="shared" si="12"/>
        <v>#N/A</v>
      </c>
      <c r="AL88" s="29">
        <v>180</v>
      </c>
      <c r="AM88" s="34" t="str">
        <f t="shared" si="13"/>
        <v/>
      </c>
      <c r="AN88" s="34" t="str">
        <f t="shared" si="14"/>
        <v/>
      </c>
      <c r="AO88" s="29">
        <f t="shared" si="9"/>
        <v>0</v>
      </c>
      <c r="AP88" s="34" t="str">
        <f t="shared" si="15"/>
        <v/>
      </c>
    </row>
    <row r="89" spans="1:42" x14ac:dyDescent="0.25">
      <c r="A89" s="17"/>
      <c r="B89" s="15" t="s">
        <v>93</v>
      </c>
      <c r="C89" s="10">
        <f>C64</f>
        <v>0</v>
      </c>
      <c r="D89" s="10">
        <f t="shared" ref="D89:Z90" si="18">D64</f>
        <v>0</v>
      </c>
      <c r="E89" s="10">
        <f t="shared" si="18"/>
        <v>0</v>
      </c>
      <c r="F89" s="10">
        <f t="shared" si="18"/>
        <v>0</v>
      </c>
      <c r="G89" s="10">
        <f t="shared" si="18"/>
        <v>0</v>
      </c>
      <c r="H89" s="10">
        <f t="shared" si="18"/>
        <v>0</v>
      </c>
      <c r="I89" s="10">
        <f t="shared" si="18"/>
        <v>0</v>
      </c>
      <c r="J89" s="10">
        <f t="shared" si="18"/>
        <v>0</v>
      </c>
      <c r="K89" s="10">
        <f t="shared" si="18"/>
        <v>0</v>
      </c>
      <c r="L89" s="10">
        <f t="shared" si="18"/>
        <v>0</v>
      </c>
      <c r="M89" s="10">
        <f t="shared" si="18"/>
        <v>0</v>
      </c>
      <c r="N89" s="10">
        <f t="shared" si="18"/>
        <v>0</v>
      </c>
      <c r="O89" s="10">
        <f t="shared" si="18"/>
        <v>0</v>
      </c>
      <c r="P89" s="10">
        <f t="shared" si="18"/>
        <v>0</v>
      </c>
      <c r="Q89" s="10">
        <f t="shared" si="18"/>
        <v>0</v>
      </c>
      <c r="R89" s="10">
        <f t="shared" si="18"/>
        <v>0</v>
      </c>
      <c r="S89" s="10">
        <f t="shared" si="18"/>
        <v>0</v>
      </c>
      <c r="T89" s="10">
        <f t="shared" si="18"/>
        <v>0</v>
      </c>
      <c r="U89" s="10">
        <f t="shared" si="18"/>
        <v>0</v>
      </c>
      <c r="V89" s="10">
        <f t="shared" si="18"/>
        <v>0</v>
      </c>
      <c r="W89" s="10">
        <f t="shared" si="18"/>
        <v>0</v>
      </c>
      <c r="X89" s="10">
        <f t="shared" si="18"/>
        <v>0</v>
      </c>
      <c r="Y89" s="10">
        <f t="shared" si="18"/>
        <v>0</v>
      </c>
      <c r="Z89" s="10">
        <f t="shared" si="18"/>
        <v>0</v>
      </c>
      <c r="AC89" s="26">
        <v>6</v>
      </c>
      <c r="AD89" s="10" t="e">
        <f t="shared" si="10"/>
        <v>#N/A</v>
      </c>
      <c r="AE89" s="10" t="e">
        <f t="shared" si="8"/>
        <v>#N/A</v>
      </c>
      <c r="AF89" s="10">
        <v>0</v>
      </c>
      <c r="AG89" s="10" t="e">
        <f t="shared" si="11"/>
        <v>#N/A</v>
      </c>
      <c r="AH89" s="10">
        <v>0</v>
      </c>
      <c r="AJ89" s="29" t="e">
        <f t="shared" si="12"/>
        <v>#N/A</v>
      </c>
      <c r="AL89" s="29">
        <v>0</v>
      </c>
      <c r="AM89" s="34" t="str">
        <f t="shared" si="13"/>
        <v/>
      </c>
      <c r="AN89" s="34" t="str">
        <f t="shared" si="14"/>
        <v/>
      </c>
      <c r="AO89" s="29">
        <f t="shared" si="9"/>
        <v>0</v>
      </c>
      <c r="AP89" s="34" t="str">
        <f t="shared" si="15"/>
        <v/>
      </c>
    </row>
    <row r="90" spans="1:42" x14ac:dyDescent="0.25">
      <c r="A90" s="17"/>
      <c r="B90" s="15" t="s">
        <v>52</v>
      </c>
      <c r="C90" s="10">
        <f>C65</f>
        <v>0</v>
      </c>
      <c r="D90" s="10">
        <f t="shared" si="18"/>
        <v>0</v>
      </c>
      <c r="E90" s="10">
        <f t="shared" si="18"/>
        <v>0</v>
      </c>
      <c r="F90" s="10">
        <f t="shared" si="18"/>
        <v>0</v>
      </c>
      <c r="G90" s="10">
        <f t="shared" si="18"/>
        <v>0</v>
      </c>
      <c r="H90" s="10">
        <f t="shared" si="18"/>
        <v>0</v>
      </c>
      <c r="I90" s="10">
        <f t="shared" si="18"/>
        <v>0</v>
      </c>
      <c r="J90" s="10">
        <f t="shared" si="18"/>
        <v>0</v>
      </c>
      <c r="K90" s="10">
        <f t="shared" si="18"/>
        <v>0</v>
      </c>
      <c r="L90" s="10">
        <f t="shared" si="18"/>
        <v>0</v>
      </c>
      <c r="M90" s="10">
        <f t="shared" si="18"/>
        <v>0</v>
      </c>
      <c r="N90" s="10">
        <f t="shared" si="18"/>
        <v>0</v>
      </c>
      <c r="O90" s="10">
        <f t="shared" si="18"/>
        <v>0</v>
      </c>
      <c r="P90" s="10">
        <f t="shared" si="18"/>
        <v>0</v>
      </c>
      <c r="Q90" s="10">
        <f t="shared" si="18"/>
        <v>0</v>
      </c>
      <c r="R90" s="10">
        <f t="shared" si="18"/>
        <v>0</v>
      </c>
      <c r="S90" s="10">
        <f t="shared" si="18"/>
        <v>0</v>
      </c>
      <c r="T90" s="10">
        <f t="shared" si="18"/>
        <v>0</v>
      </c>
      <c r="U90" s="10">
        <f t="shared" si="18"/>
        <v>0</v>
      </c>
      <c r="V90" s="10">
        <f t="shared" si="18"/>
        <v>0</v>
      </c>
      <c r="W90" s="10">
        <f t="shared" si="18"/>
        <v>0</v>
      </c>
      <c r="X90" s="10">
        <f t="shared" si="18"/>
        <v>0</v>
      </c>
      <c r="Y90" s="10">
        <f t="shared" si="18"/>
        <v>0</v>
      </c>
      <c r="Z90" s="10">
        <f t="shared" si="18"/>
        <v>0</v>
      </c>
      <c r="AC90" s="26">
        <v>7</v>
      </c>
      <c r="AD90" s="10" t="e">
        <f t="shared" si="10"/>
        <v>#N/A</v>
      </c>
      <c r="AE90" s="10" t="e">
        <f t="shared" si="8"/>
        <v>#N/A</v>
      </c>
      <c r="AF90" s="10">
        <v>0</v>
      </c>
      <c r="AG90" s="10" t="e">
        <f t="shared" si="11"/>
        <v>#N/A</v>
      </c>
      <c r="AH90" s="10">
        <v>0</v>
      </c>
      <c r="AJ90" s="29" t="e">
        <f t="shared" si="12"/>
        <v>#N/A</v>
      </c>
      <c r="AL90" s="29">
        <v>0</v>
      </c>
      <c r="AM90" s="34" t="str">
        <f t="shared" si="13"/>
        <v/>
      </c>
      <c r="AN90" s="34" t="str">
        <f t="shared" si="14"/>
        <v/>
      </c>
      <c r="AO90" s="29">
        <f t="shared" si="9"/>
        <v>0</v>
      </c>
      <c r="AP90" s="34" t="str">
        <f t="shared" si="15"/>
        <v/>
      </c>
    </row>
    <row r="91" spans="1:42" x14ac:dyDescent="0.25">
      <c r="A91" s="18" t="s">
        <v>62</v>
      </c>
      <c r="B91" s="19"/>
      <c r="C91" s="10">
        <f>SUM(C85:C90)</f>
        <v>0</v>
      </c>
      <c r="D91" s="10">
        <f t="shared" ref="D91:Z91" si="19">SUM(D85:D90)</f>
        <v>0</v>
      </c>
      <c r="E91" s="10">
        <f t="shared" si="19"/>
        <v>0</v>
      </c>
      <c r="F91" s="10">
        <f t="shared" si="19"/>
        <v>0</v>
      </c>
      <c r="G91" s="10">
        <f t="shared" si="19"/>
        <v>0</v>
      </c>
      <c r="H91" s="10">
        <f t="shared" si="19"/>
        <v>0</v>
      </c>
      <c r="I91" s="10">
        <f t="shared" si="19"/>
        <v>0</v>
      </c>
      <c r="J91" s="10">
        <f t="shared" si="19"/>
        <v>0</v>
      </c>
      <c r="K91" s="10">
        <f t="shared" si="19"/>
        <v>0</v>
      </c>
      <c r="L91" s="10">
        <f t="shared" si="19"/>
        <v>0</v>
      </c>
      <c r="M91" s="10">
        <f t="shared" si="19"/>
        <v>0</v>
      </c>
      <c r="N91" s="10">
        <f t="shared" si="19"/>
        <v>0</v>
      </c>
      <c r="O91" s="10">
        <f t="shared" si="19"/>
        <v>0</v>
      </c>
      <c r="P91" s="10">
        <f t="shared" si="19"/>
        <v>0</v>
      </c>
      <c r="Q91" s="10">
        <f t="shared" si="19"/>
        <v>0</v>
      </c>
      <c r="R91" s="10">
        <f t="shared" si="19"/>
        <v>0</v>
      </c>
      <c r="S91" s="10">
        <f t="shared" si="19"/>
        <v>0</v>
      </c>
      <c r="T91" s="10">
        <f t="shared" si="19"/>
        <v>0</v>
      </c>
      <c r="U91" s="10">
        <f t="shared" si="19"/>
        <v>0</v>
      </c>
      <c r="V91" s="10">
        <f t="shared" si="19"/>
        <v>0</v>
      </c>
      <c r="W91" s="10">
        <f t="shared" si="19"/>
        <v>0</v>
      </c>
      <c r="X91" s="10">
        <f t="shared" si="19"/>
        <v>0</v>
      </c>
      <c r="Y91" s="10">
        <f t="shared" si="19"/>
        <v>0</v>
      </c>
      <c r="Z91" s="10">
        <f t="shared" si="19"/>
        <v>0</v>
      </c>
      <c r="AC91" s="26">
        <v>8</v>
      </c>
      <c r="AD91" s="10" t="e">
        <f t="shared" si="10"/>
        <v>#N/A</v>
      </c>
      <c r="AE91" s="10" t="e">
        <f t="shared" si="8"/>
        <v>#N/A</v>
      </c>
      <c r="AF91" s="10">
        <v>0</v>
      </c>
      <c r="AG91" s="10" t="e">
        <f t="shared" si="11"/>
        <v>#N/A</v>
      </c>
      <c r="AH91" s="10">
        <v>0</v>
      </c>
      <c r="AJ91" s="30" t="e">
        <f t="shared" si="12"/>
        <v>#N/A</v>
      </c>
      <c r="AL91" s="30">
        <v>85309.43279999998</v>
      </c>
      <c r="AM91" s="33" t="str">
        <f t="shared" si="13"/>
        <v/>
      </c>
      <c r="AN91" s="33" t="str">
        <f t="shared" si="14"/>
        <v/>
      </c>
      <c r="AO91" s="30">
        <f t="shared" si="9"/>
        <v>0</v>
      </c>
      <c r="AP91" s="33" t="str">
        <f t="shared" si="15"/>
        <v/>
      </c>
    </row>
    <row r="92" spans="1:42" x14ac:dyDescent="0.25">
      <c r="A92" s="16" t="s">
        <v>65</v>
      </c>
      <c r="B92" s="14" t="s">
        <v>53</v>
      </c>
      <c r="C92" s="10">
        <f>C71</f>
        <v>0</v>
      </c>
      <c r="D92" s="10">
        <f t="shared" ref="D92:Z93" si="20">D71</f>
        <v>0</v>
      </c>
      <c r="E92" s="10">
        <f t="shared" si="20"/>
        <v>0</v>
      </c>
      <c r="F92" s="10">
        <f t="shared" si="20"/>
        <v>0</v>
      </c>
      <c r="G92" s="10">
        <f t="shared" si="20"/>
        <v>0</v>
      </c>
      <c r="H92" s="10">
        <f t="shared" si="20"/>
        <v>0</v>
      </c>
      <c r="I92" s="10">
        <f t="shared" si="20"/>
        <v>0</v>
      </c>
      <c r="J92" s="10">
        <f t="shared" si="20"/>
        <v>0</v>
      </c>
      <c r="K92" s="10">
        <f t="shared" si="20"/>
        <v>0</v>
      </c>
      <c r="L92" s="10">
        <f t="shared" si="20"/>
        <v>0</v>
      </c>
      <c r="M92" s="10">
        <f t="shared" si="20"/>
        <v>0</v>
      </c>
      <c r="N92" s="10">
        <f t="shared" si="20"/>
        <v>0</v>
      </c>
      <c r="O92" s="10">
        <f t="shared" si="20"/>
        <v>0</v>
      </c>
      <c r="P92" s="10">
        <f t="shared" si="20"/>
        <v>0</v>
      </c>
      <c r="Q92" s="10">
        <f t="shared" si="20"/>
        <v>0</v>
      </c>
      <c r="R92" s="10">
        <f t="shared" si="20"/>
        <v>0</v>
      </c>
      <c r="S92" s="10">
        <f t="shared" si="20"/>
        <v>0</v>
      </c>
      <c r="T92" s="10">
        <f t="shared" si="20"/>
        <v>0</v>
      </c>
      <c r="U92" s="10">
        <f t="shared" si="20"/>
        <v>0</v>
      </c>
      <c r="V92" s="10">
        <f t="shared" si="20"/>
        <v>0</v>
      </c>
      <c r="W92" s="10">
        <f t="shared" si="20"/>
        <v>0</v>
      </c>
      <c r="X92" s="10">
        <f t="shared" si="20"/>
        <v>0</v>
      </c>
      <c r="Y92" s="10">
        <f t="shared" si="20"/>
        <v>0</v>
      </c>
      <c r="Z92" s="10">
        <f t="shared" si="20"/>
        <v>0</v>
      </c>
      <c r="AC92">
        <v>9</v>
      </c>
      <c r="AD92" s="10" t="e">
        <f t="shared" si="10"/>
        <v>#N/A</v>
      </c>
      <c r="AE92" s="10" t="e">
        <f t="shared" si="8"/>
        <v>#N/A</v>
      </c>
      <c r="AF92" s="10">
        <v>0</v>
      </c>
      <c r="AG92" s="10" t="e">
        <f t="shared" si="11"/>
        <v>#N/A</v>
      </c>
      <c r="AH92" s="10">
        <v>0</v>
      </c>
      <c r="AJ92" s="29" t="e">
        <f t="shared" si="12"/>
        <v>#N/A</v>
      </c>
      <c r="AL92" s="29">
        <v>399.99997999999999</v>
      </c>
      <c r="AM92" s="34" t="str">
        <f t="shared" si="13"/>
        <v/>
      </c>
      <c r="AN92" s="34" t="str">
        <f t="shared" si="14"/>
        <v/>
      </c>
      <c r="AO92" s="29">
        <f t="shared" si="9"/>
        <v>0</v>
      </c>
      <c r="AP92" s="34" t="str">
        <f t="shared" si="15"/>
        <v/>
      </c>
    </row>
    <row r="93" spans="1:42" x14ac:dyDescent="0.25">
      <c r="A93" s="17"/>
      <c r="B93" s="15" t="s">
        <v>54</v>
      </c>
      <c r="C93" s="10">
        <f>C72</f>
        <v>0</v>
      </c>
      <c r="D93" s="10">
        <f t="shared" si="20"/>
        <v>0</v>
      </c>
      <c r="E93" s="10">
        <f t="shared" si="20"/>
        <v>0</v>
      </c>
      <c r="F93" s="10">
        <f t="shared" si="20"/>
        <v>0</v>
      </c>
      <c r="G93" s="10">
        <f t="shared" si="20"/>
        <v>0</v>
      </c>
      <c r="H93" s="10">
        <f t="shared" si="20"/>
        <v>0</v>
      </c>
      <c r="I93" s="10">
        <f t="shared" si="20"/>
        <v>0</v>
      </c>
      <c r="J93" s="10">
        <f t="shared" si="20"/>
        <v>0</v>
      </c>
      <c r="K93" s="10">
        <f t="shared" si="20"/>
        <v>0</v>
      </c>
      <c r="L93" s="10">
        <f t="shared" si="20"/>
        <v>0</v>
      </c>
      <c r="M93" s="10">
        <f t="shared" si="20"/>
        <v>0</v>
      </c>
      <c r="N93" s="10">
        <f t="shared" si="20"/>
        <v>0</v>
      </c>
      <c r="O93" s="10">
        <f t="shared" si="20"/>
        <v>0</v>
      </c>
      <c r="P93" s="10">
        <f t="shared" si="20"/>
        <v>0</v>
      </c>
      <c r="Q93" s="10">
        <f t="shared" si="20"/>
        <v>0</v>
      </c>
      <c r="R93" s="10">
        <f t="shared" si="20"/>
        <v>0</v>
      </c>
      <c r="S93" s="10">
        <f t="shared" si="20"/>
        <v>0</v>
      </c>
      <c r="T93" s="10">
        <f t="shared" si="20"/>
        <v>0</v>
      </c>
      <c r="U93" s="10">
        <f t="shared" si="20"/>
        <v>0</v>
      </c>
      <c r="V93" s="10">
        <f t="shared" si="20"/>
        <v>0</v>
      </c>
      <c r="W93" s="10">
        <f t="shared" si="20"/>
        <v>0</v>
      </c>
      <c r="X93" s="10">
        <f t="shared" si="20"/>
        <v>0</v>
      </c>
      <c r="Y93" s="10">
        <f t="shared" si="20"/>
        <v>0</v>
      </c>
      <c r="Z93" s="10">
        <f t="shared" si="20"/>
        <v>0</v>
      </c>
      <c r="AC93" s="26">
        <v>10</v>
      </c>
      <c r="AD93" s="10" t="e">
        <f t="shared" si="10"/>
        <v>#N/A</v>
      </c>
      <c r="AE93" s="10" t="e">
        <f t="shared" si="8"/>
        <v>#N/A</v>
      </c>
      <c r="AF93" s="10">
        <v>0</v>
      </c>
      <c r="AG93" s="10" t="e">
        <f t="shared" si="11"/>
        <v>#N/A</v>
      </c>
      <c r="AH93" s="10">
        <v>0</v>
      </c>
      <c r="AJ93" s="29" t="e">
        <f t="shared" si="12"/>
        <v>#N/A</v>
      </c>
      <c r="AL93" s="29">
        <v>0</v>
      </c>
      <c r="AM93" s="34" t="str">
        <f t="shared" si="13"/>
        <v/>
      </c>
      <c r="AN93" s="34" t="str">
        <f t="shared" si="14"/>
        <v/>
      </c>
      <c r="AO93" s="29">
        <f t="shared" si="9"/>
        <v>0</v>
      </c>
      <c r="AP93" s="34" t="str">
        <f t="shared" si="15"/>
        <v/>
      </c>
    </row>
    <row r="94" spans="1:42" x14ac:dyDescent="0.25">
      <c r="A94" s="18" t="s">
        <v>66</v>
      </c>
      <c r="B94" s="19"/>
      <c r="C94" s="10">
        <f>SUM(C92:C93)</f>
        <v>0</v>
      </c>
      <c r="D94" s="10">
        <f t="shared" ref="D94:Z94" si="21">SUM(D92:D93)</f>
        <v>0</v>
      </c>
      <c r="E94" s="10">
        <f t="shared" si="21"/>
        <v>0</v>
      </c>
      <c r="F94" s="10">
        <f t="shared" si="21"/>
        <v>0</v>
      </c>
      <c r="G94" s="10">
        <f t="shared" si="21"/>
        <v>0</v>
      </c>
      <c r="H94" s="10">
        <f t="shared" si="21"/>
        <v>0</v>
      </c>
      <c r="I94" s="10">
        <f t="shared" si="21"/>
        <v>0</v>
      </c>
      <c r="J94" s="10">
        <f t="shared" si="21"/>
        <v>0</v>
      </c>
      <c r="K94" s="10">
        <f t="shared" si="21"/>
        <v>0</v>
      </c>
      <c r="L94" s="10">
        <f t="shared" si="21"/>
        <v>0</v>
      </c>
      <c r="M94" s="10">
        <f t="shared" si="21"/>
        <v>0</v>
      </c>
      <c r="N94" s="10">
        <f t="shared" si="21"/>
        <v>0</v>
      </c>
      <c r="O94" s="10">
        <f t="shared" si="21"/>
        <v>0</v>
      </c>
      <c r="P94" s="10">
        <f t="shared" si="21"/>
        <v>0</v>
      </c>
      <c r="Q94" s="10">
        <f t="shared" si="21"/>
        <v>0</v>
      </c>
      <c r="R94" s="10">
        <f t="shared" si="21"/>
        <v>0</v>
      </c>
      <c r="S94" s="10">
        <f t="shared" si="21"/>
        <v>0</v>
      </c>
      <c r="T94" s="10">
        <f t="shared" si="21"/>
        <v>0</v>
      </c>
      <c r="U94" s="10">
        <f t="shared" si="21"/>
        <v>0</v>
      </c>
      <c r="V94" s="10">
        <f t="shared" si="21"/>
        <v>0</v>
      </c>
      <c r="W94" s="10">
        <f t="shared" si="21"/>
        <v>0</v>
      </c>
      <c r="X94" s="10">
        <f t="shared" si="21"/>
        <v>0</v>
      </c>
      <c r="Y94" s="10">
        <f t="shared" si="21"/>
        <v>0</v>
      </c>
      <c r="Z94" s="10">
        <f t="shared" si="21"/>
        <v>0</v>
      </c>
      <c r="AC94" s="26">
        <v>11</v>
      </c>
      <c r="AD94" s="10" t="e">
        <f t="shared" si="10"/>
        <v>#N/A</v>
      </c>
      <c r="AE94" s="10" t="e">
        <f t="shared" si="8"/>
        <v>#N/A</v>
      </c>
      <c r="AF94" s="10">
        <v>0</v>
      </c>
      <c r="AG94" s="10" t="e">
        <f t="shared" si="11"/>
        <v>#N/A</v>
      </c>
      <c r="AH94" s="10">
        <v>0</v>
      </c>
      <c r="AJ94" s="30" t="e">
        <f t="shared" si="12"/>
        <v>#N/A</v>
      </c>
      <c r="AL94" s="30">
        <v>399.99997999999999</v>
      </c>
      <c r="AM94" s="33" t="str">
        <f t="shared" si="13"/>
        <v/>
      </c>
      <c r="AN94" s="33" t="str">
        <f t="shared" si="14"/>
        <v/>
      </c>
      <c r="AO94" s="30">
        <f>AH94</f>
        <v>0</v>
      </c>
      <c r="AP94" s="33" t="str">
        <f t="shared" si="15"/>
        <v/>
      </c>
    </row>
    <row r="95" spans="1:42" x14ac:dyDescent="0.25">
      <c r="A95" s="16" t="s">
        <v>63</v>
      </c>
      <c r="B95" s="14" t="s">
        <v>55</v>
      </c>
      <c r="C95" s="10">
        <f>C74</f>
        <v>0</v>
      </c>
      <c r="D95" s="10">
        <f t="shared" ref="D95:Z95" si="22">D74</f>
        <v>0</v>
      </c>
      <c r="E95" s="10">
        <f t="shared" si="22"/>
        <v>0</v>
      </c>
      <c r="F95" s="10">
        <f t="shared" si="22"/>
        <v>0</v>
      </c>
      <c r="G95" s="10">
        <f t="shared" si="22"/>
        <v>0</v>
      </c>
      <c r="H95" s="10">
        <f t="shared" si="22"/>
        <v>0</v>
      </c>
      <c r="I95" s="10">
        <f t="shared" si="22"/>
        <v>0</v>
      </c>
      <c r="J95" s="10">
        <f t="shared" si="22"/>
        <v>0</v>
      </c>
      <c r="K95" s="10">
        <f t="shared" si="22"/>
        <v>0</v>
      </c>
      <c r="L95" s="10">
        <f t="shared" si="22"/>
        <v>0</v>
      </c>
      <c r="M95" s="10">
        <f t="shared" si="22"/>
        <v>0</v>
      </c>
      <c r="N95" s="10">
        <f t="shared" si="22"/>
        <v>0</v>
      </c>
      <c r="O95" s="10">
        <f t="shared" si="22"/>
        <v>0</v>
      </c>
      <c r="P95" s="10">
        <f t="shared" si="22"/>
        <v>0</v>
      </c>
      <c r="Q95" s="10">
        <f t="shared" si="22"/>
        <v>0</v>
      </c>
      <c r="R95" s="10">
        <f t="shared" si="22"/>
        <v>0</v>
      </c>
      <c r="S95" s="10">
        <f t="shared" si="22"/>
        <v>0</v>
      </c>
      <c r="T95" s="10">
        <f t="shared" si="22"/>
        <v>0</v>
      </c>
      <c r="U95" s="10">
        <f t="shared" si="22"/>
        <v>0</v>
      </c>
      <c r="V95" s="10">
        <f t="shared" si="22"/>
        <v>0</v>
      </c>
      <c r="W95" s="10">
        <f t="shared" si="22"/>
        <v>0</v>
      </c>
      <c r="X95" s="10">
        <f t="shared" si="22"/>
        <v>0</v>
      </c>
      <c r="Y95" s="10">
        <f t="shared" si="22"/>
        <v>0</v>
      </c>
      <c r="Z95" s="10">
        <f t="shared" si="22"/>
        <v>0</v>
      </c>
      <c r="AC95" s="26">
        <v>12</v>
      </c>
      <c r="AD95" s="10" t="e">
        <f t="shared" si="10"/>
        <v>#N/A</v>
      </c>
      <c r="AE95" s="10" t="e">
        <f t="shared" si="8"/>
        <v>#N/A</v>
      </c>
      <c r="AF95" s="10">
        <v>0</v>
      </c>
      <c r="AG95" s="10" t="e">
        <f t="shared" si="11"/>
        <v>#N/A</v>
      </c>
      <c r="AH95" s="10">
        <v>457.73185000000001</v>
      </c>
      <c r="AJ95" s="29" t="e">
        <f t="shared" si="12"/>
        <v>#N/A</v>
      </c>
      <c r="AL95" s="29">
        <v>1515.2891699999991</v>
      </c>
      <c r="AM95" s="34" t="str">
        <f t="shared" si="13"/>
        <v/>
      </c>
      <c r="AN95" s="34" t="str">
        <f t="shared" si="14"/>
        <v/>
      </c>
      <c r="AO95" s="29">
        <f t="shared" ref="AO95:AO101" si="23">AH95</f>
        <v>457.73185000000001</v>
      </c>
      <c r="AP95" s="34" t="str">
        <f t="shared" si="15"/>
        <v/>
      </c>
    </row>
    <row r="96" spans="1:42" x14ac:dyDescent="0.25">
      <c r="A96" s="18" t="s">
        <v>64</v>
      </c>
      <c r="B96" s="19"/>
      <c r="C96" s="10">
        <f>SUM(C95)</f>
        <v>0</v>
      </c>
      <c r="D96" s="10">
        <f t="shared" ref="D96:Z96" si="24">SUM(D95)</f>
        <v>0</v>
      </c>
      <c r="E96" s="10">
        <f t="shared" si="24"/>
        <v>0</v>
      </c>
      <c r="F96" s="10">
        <f t="shared" si="24"/>
        <v>0</v>
      </c>
      <c r="G96" s="10">
        <f t="shared" si="24"/>
        <v>0</v>
      </c>
      <c r="H96" s="10">
        <f t="shared" si="24"/>
        <v>0</v>
      </c>
      <c r="I96" s="10">
        <f t="shared" si="24"/>
        <v>0</v>
      </c>
      <c r="J96" s="10">
        <f t="shared" si="24"/>
        <v>0</v>
      </c>
      <c r="K96" s="10">
        <f t="shared" si="24"/>
        <v>0</v>
      </c>
      <c r="L96" s="10">
        <f t="shared" si="24"/>
        <v>0</v>
      </c>
      <c r="M96" s="10">
        <f t="shared" si="24"/>
        <v>0</v>
      </c>
      <c r="N96" s="10">
        <f t="shared" si="24"/>
        <v>0</v>
      </c>
      <c r="O96" s="10">
        <f t="shared" si="24"/>
        <v>0</v>
      </c>
      <c r="P96" s="10">
        <f t="shared" si="24"/>
        <v>0</v>
      </c>
      <c r="Q96" s="10">
        <f t="shared" si="24"/>
        <v>0</v>
      </c>
      <c r="R96" s="10">
        <f t="shared" si="24"/>
        <v>0</v>
      </c>
      <c r="S96" s="10">
        <f t="shared" si="24"/>
        <v>0</v>
      </c>
      <c r="T96" s="10">
        <f t="shared" si="24"/>
        <v>0</v>
      </c>
      <c r="U96" s="10">
        <f t="shared" si="24"/>
        <v>0</v>
      </c>
      <c r="V96" s="10">
        <f t="shared" si="24"/>
        <v>0</v>
      </c>
      <c r="W96" s="10">
        <f t="shared" si="24"/>
        <v>0</v>
      </c>
      <c r="X96" s="10">
        <f t="shared" si="24"/>
        <v>0</v>
      </c>
      <c r="Y96" s="10">
        <f t="shared" si="24"/>
        <v>0</v>
      </c>
      <c r="Z96" s="10">
        <f t="shared" si="24"/>
        <v>0</v>
      </c>
      <c r="AC96">
        <v>13</v>
      </c>
      <c r="AD96" s="10" t="e">
        <f t="shared" si="10"/>
        <v>#N/A</v>
      </c>
      <c r="AE96" s="10" t="e">
        <f t="shared" si="8"/>
        <v>#N/A</v>
      </c>
      <c r="AF96" s="10">
        <v>0</v>
      </c>
      <c r="AG96" s="10" t="e">
        <f t="shared" si="11"/>
        <v>#N/A</v>
      </c>
      <c r="AH96" s="10">
        <v>457.73185000000001</v>
      </c>
      <c r="AJ96" s="30" t="e">
        <f t="shared" si="12"/>
        <v>#N/A</v>
      </c>
      <c r="AL96" s="30">
        <v>1515.2891699999991</v>
      </c>
      <c r="AM96" s="33" t="str">
        <f t="shared" si="13"/>
        <v/>
      </c>
      <c r="AN96" s="33" t="str">
        <f t="shared" si="14"/>
        <v/>
      </c>
      <c r="AO96" s="30">
        <f t="shared" si="23"/>
        <v>457.73185000000001</v>
      </c>
      <c r="AP96" s="33" t="str">
        <f t="shared" si="15"/>
        <v/>
      </c>
    </row>
    <row r="97" spans="1:42" x14ac:dyDescent="0.25">
      <c r="A97" s="16" t="s">
        <v>59</v>
      </c>
      <c r="B97" s="14" t="s">
        <v>56</v>
      </c>
      <c r="C97" s="10">
        <f>C76</f>
        <v>0</v>
      </c>
      <c r="D97" s="10">
        <f t="shared" ref="D97:Z97" si="25">D76</f>
        <v>0</v>
      </c>
      <c r="E97" s="10">
        <f t="shared" si="25"/>
        <v>0</v>
      </c>
      <c r="F97" s="10">
        <f t="shared" si="25"/>
        <v>0</v>
      </c>
      <c r="G97" s="10">
        <f t="shared" si="25"/>
        <v>0</v>
      </c>
      <c r="H97" s="10">
        <f t="shared" si="25"/>
        <v>0</v>
      </c>
      <c r="I97" s="10">
        <f t="shared" si="25"/>
        <v>0</v>
      </c>
      <c r="J97" s="10">
        <f t="shared" si="25"/>
        <v>0</v>
      </c>
      <c r="K97" s="10">
        <f t="shared" si="25"/>
        <v>0</v>
      </c>
      <c r="L97" s="10">
        <f t="shared" si="25"/>
        <v>0</v>
      </c>
      <c r="M97" s="10">
        <f t="shared" si="25"/>
        <v>0</v>
      </c>
      <c r="N97" s="10">
        <f t="shared" si="25"/>
        <v>0</v>
      </c>
      <c r="O97" s="10">
        <f t="shared" si="25"/>
        <v>0</v>
      </c>
      <c r="P97" s="10">
        <f t="shared" si="25"/>
        <v>0</v>
      </c>
      <c r="Q97" s="10">
        <f t="shared" si="25"/>
        <v>0</v>
      </c>
      <c r="R97" s="10">
        <f t="shared" si="25"/>
        <v>0</v>
      </c>
      <c r="S97" s="10">
        <f t="shared" si="25"/>
        <v>0</v>
      </c>
      <c r="T97" s="10">
        <f t="shared" si="25"/>
        <v>0</v>
      </c>
      <c r="U97" s="10">
        <f t="shared" si="25"/>
        <v>0</v>
      </c>
      <c r="V97" s="10">
        <f t="shared" si="25"/>
        <v>0</v>
      </c>
      <c r="W97" s="10">
        <f t="shared" si="25"/>
        <v>0</v>
      </c>
      <c r="X97" s="10">
        <f t="shared" si="25"/>
        <v>0</v>
      </c>
      <c r="Y97" s="10">
        <f t="shared" si="25"/>
        <v>0</v>
      </c>
      <c r="Z97" s="10">
        <f t="shared" si="25"/>
        <v>0</v>
      </c>
      <c r="AC97" s="26">
        <v>14</v>
      </c>
      <c r="AD97" s="10" t="e">
        <f t="shared" si="10"/>
        <v>#N/A</v>
      </c>
      <c r="AE97" s="10" t="e">
        <f t="shared" si="8"/>
        <v>#N/A</v>
      </c>
      <c r="AF97" s="10">
        <v>0</v>
      </c>
      <c r="AG97" s="10" t="e">
        <f t="shared" si="11"/>
        <v>#N/A</v>
      </c>
      <c r="AH97" s="10">
        <v>0</v>
      </c>
      <c r="AJ97" s="29" t="e">
        <f t="shared" si="12"/>
        <v>#N/A</v>
      </c>
      <c r="AL97" s="29">
        <v>0</v>
      </c>
      <c r="AM97" s="34" t="str">
        <f t="shared" si="13"/>
        <v/>
      </c>
      <c r="AN97" s="34" t="str">
        <f t="shared" si="14"/>
        <v/>
      </c>
      <c r="AO97" s="29">
        <f t="shared" si="23"/>
        <v>0</v>
      </c>
      <c r="AP97" s="34" t="str">
        <f t="shared" si="15"/>
        <v/>
      </c>
    </row>
    <row r="98" spans="1:42" x14ac:dyDescent="0.25">
      <c r="A98" s="18" t="s">
        <v>60</v>
      </c>
      <c r="B98" s="19"/>
      <c r="C98" s="10">
        <f>SUM(C97)</f>
        <v>0</v>
      </c>
      <c r="D98" s="10">
        <f t="shared" ref="D98:Z98" si="26">SUM(D97)</f>
        <v>0</v>
      </c>
      <c r="E98" s="10">
        <f t="shared" si="26"/>
        <v>0</v>
      </c>
      <c r="F98" s="10">
        <f t="shared" si="26"/>
        <v>0</v>
      </c>
      <c r="G98" s="10">
        <f t="shared" si="26"/>
        <v>0</v>
      </c>
      <c r="H98" s="10">
        <f t="shared" si="26"/>
        <v>0</v>
      </c>
      <c r="I98" s="10">
        <f t="shared" si="26"/>
        <v>0</v>
      </c>
      <c r="J98" s="10">
        <f t="shared" si="26"/>
        <v>0</v>
      </c>
      <c r="K98" s="10">
        <f t="shared" si="26"/>
        <v>0</v>
      </c>
      <c r="L98" s="10">
        <f t="shared" si="26"/>
        <v>0</v>
      </c>
      <c r="M98" s="10">
        <f t="shared" si="26"/>
        <v>0</v>
      </c>
      <c r="N98" s="10">
        <f t="shared" si="26"/>
        <v>0</v>
      </c>
      <c r="O98" s="10">
        <f t="shared" si="26"/>
        <v>0</v>
      </c>
      <c r="P98" s="10">
        <f t="shared" si="26"/>
        <v>0</v>
      </c>
      <c r="Q98" s="10">
        <f t="shared" si="26"/>
        <v>0</v>
      </c>
      <c r="R98" s="10">
        <f t="shared" si="26"/>
        <v>0</v>
      </c>
      <c r="S98" s="10">
        <f t="shared" si="26"/>
        <v>0</v>
      </c>
      <c r="T98" s="10">
        <f t="shared" si="26"/>
        <v>0</v>
      </c>
      <c r="U98" s="10">
        <f t="shared" si="26"/>
        <v>0</v>
      </c>
      <c r="V98" s="10">
        <f t="shared" si="26"/>
        <v>0</v>
      </c>
      <c r="W98" s="10">
        <f t="shared" si="26"/>
        <v>0</v>
      </c>
      <c r="X98" s="10">
        <f t="shared" si="26"/>
        <v>0</v>
      </c>
      <c r="Y98" s="10">
        <f t="shared" si="26"/>
        <v>0</v>
      </c>
      <c r="Z98" s="10">
        <f t="shared" si="26"/>
        <v>0</v>
      </c>
      <c r="AC98" s="26">
        <v>15</v>
      </c>
      <c r="AD98" s="10" t="e">
        <f t="shared" si="10"/>
        <v>#N/A</v>
      </c>
      <c r="AE98" s="10" t="e">
        <f t="shared" si="8"/>
        <v>#N/A</v>
      </c>
      <c r="AF98" s="10">
        <v>0</v>
      </c>
      <c r="AG98" s="10" t="e">
        <f t="shared" si="11"/>
        <v>#N/A</v>
      </c>
      <c r="AH98" s="10">
        <v>0</v>
      </c>
      <c r="AJ98" s="30" t="e">
        <f t="shared" si="12"/>
        <v>#N/A</v>
      </c>
      <c r="AL98" s="30">
        <v>0</v>
      </c>
      <c r="AM98" s="33" t="str">
        <f t="shared" si="13"/>
        <v/>
      </c>
      <c r="AN98" s="33" t="str">
        <f t="shared" si="14"/>
        <v/>
      </c>
      <c r="AO98" s="30">
        <f t="shared" si="23"/>
        <v>0</v>
      </c>
      <c r="AP98" s="33" t="str">
        <f t="shared" si="15"/>
        <v/>
      </c>
    </row>
    <row r="99" spans="1:42" x14ac:dyDescent="0.25">
      <c r="A99" s="16" t="s">
        <v>57</v>
      </c>
      <c r="B99" s="14" t="s">
        <v>57</v>
      </c>
      <c r="C99" s="10">
        <f>C78+C79</f>
        <v>0</v>
      </c>
      <c r="D99" s="10">
        <f t="shared" ref="D99:Z99" si="27">D78+D79</f>
        <v>0</v>
      </c>
      <c r="E99" s="10">
        <f t="shared" si="27"/>
        <v>0</v>
      </c>
      <c r="F99" s="10">
        <f t="shared" si="27"/>
        <v>0</v>
      </c>
      <c r="G99" s="10">
        <f t="shared" si="27"/>
        <v>0</v>
      </c>
      <c r="H99" s="10">
        <f t="shared" si="27"/>
        <v>0</v>
      </c>
      <c r="I99" s="10">
        <f t="shared" si="27"/>
        <v>0</v>
      </c>
      <c r="J99" s="10">
        <f t="shared" si="27"/>
        <v>0</v>
      </c>
      <c r="K99" s="10">
        <f t="shared" si="27"/>
        <v>0</v>
      </c>
      <c r="L99" s="10">
        <f t="shared" si="27"/>
        <v>0</v>
      </c>
      <c r="M99" s="10">
        <f t="shared" si="27"/>
        <v>0</v>
      </c>
      <c r="N99" s="10">
        <f t="shared" si="27"/>
        <v>0</v>
      </c>
      <c r="O99" s="10">
        <f t="shared" si="27"/>
        <v>0</v>
      </c>
      <c r="P99" s="10">
        <f t="shared" si="27"/>
        <v>0</v>
      </c>
      <c r="Q99" s="10">
        <f t="shared" si="27"/>
        <v>0</v>
      </c>
      <c r="R99" s="10">
        <f t="shared" si="27"/>
        <v>0</v>
      </c>
      <c r="S99" s="10">
        <f t="shared" si="27"/>
        <v>0</v>
      </c>
      <c r="T99" s="10">
        <f t="shared" si="27"/>
        <v>0</v>
      </c>
      <c r="U99" s="10">
        <f t="shared" si="27"/>
        <v>0</v>
      </c>
      <c r="V99" s="10">
        <f t="shared" si="27"/>
        <v>0</v>
      </c>
      <c r="W99" s="10">
        <f t="shared" si="27"/>
        <v>0</v>
      </c>
      <c r="X99" s="10">
        <f t="shared" si="27"/>
        <v>0</v>
      </c>
      <c r="Y99" s="10">
        <f t="shared" si="27"/>
        <v>0</v>
      </c>
      <c r="Z99" s="10">
        <f t="shared" si="27"/>
        <v>0</v>
      </c>
      <c r="AC99" s="26">
        <v>16</v>
      </c>
      <c r="AD99" s="10" t="e">
        <f t="shared" si="10"/>
        <v>#N/A</v>
      </c>
      <c r="AE99" s="10" t="e">
        <f t="shared" si="8"/>
        <v>#N/A</v>
      </c>
      <c r="AF99" s="10">
        <v>0</v>
      </c>
      <c r="AG99" s="10" t="e">
        <f t="shared" si="11"/>
        <v>#N/A</v>
      </c>
      <c r="AH99" s="10">
        <v>471.54568000000006</v>
      </c>
      <c r="AJ99" s="29" t="e">
        <f t="shared" si="12"/>
        <v>#N/A</v>
      </c>
      <c r="AL99" s="29">
        <v>600.00398999999993</v>
      </c>
      <c r="AM99" s="34" t="str">
        <f t="shared" si="13"/>
        <v/>
      </c>
      <c r="AN99" s="34" t="str">
        <f t="shared" si="14"/>
        <v/>
      </c>
      <c r="AO99" s="29">
        <f t="shared" si="23"/>
        <v>471.54568000000006</v>
      </c>
      <c r="AP99" s="34" t="str">
        <f t="shared" si="15"/>
        <v/>
      </c>
    </row>
    <row r="100" spans="1:42" x14ac:dyDescent="0.25">
      <c r="A100" s="18" t="s">
        <v>67</v>
      </c>
      <c r="B100" s="19"/>
      <c r="C100" s="10">
        <f>SUM(C99)</f>
        <v>0</v>
      </c>
      <c r="D100" s="10">
        <f t="shared" ref="D100:Z100" si="28">SUM(D99)</f>
        <v>0</v>
      </c>
      <c r="E100" s="10">
        <f t="shared" si="28"/>
        <v>0</v>
      </c>
      <c r="F100" s="10">
        <f t="shared" si="28"/>
        <v>0</v>
      </c>
      <c r="G100" s="10">
        <f t="shared" si="28"/>
        <v>0</v>
      </c>
      <c r="H100" s="10">
        <f t="shared" si="28"/>
        <v>0</v>
      </c>
      <c r="I100" s="10">
        <f t="shared" si="28"/>
        <v>0</v>
      </c>
      <c r="J100" s="10">
        <f t="shared" si="28"/>
        <v>0</v>
      </c>
      <c r="K100" s="10">
        <f t="shared" si="28"/>
        <v>0</v>
      </c>
      <c r="L100" s="10">
        <f t="shared" si="28"/>
        <v>0</v>
      </c>
      <c r="M100" s="10">
        <f t="shared" si="28"/>
        <v>0</v>
      </c>
      <c r="N100" s="10">
        <f t="shared" si="28"/>
        <v>0</v>
      </c>
      <c r="O100" s="10">
        <f t="shared" si="28"/>
        <v>0</v>
      </c>
      <c r="P100" s="10">
        <f t="shared" si="28"/>
        <v>0</v>
      </c>
      <c r="Q100" s="10">
        <f t="shared" si="28"/>
        <v>0</v>
      </c>
      <c r="R100" s="10">
        <f t="shared" si="28"/>
        <v>0</v>
      </c>
      <c r="S100" s="10">
        <f t="shared" si="28"/>
        <v>0</v>
      </c>
      <c r="T100" s="10">
        <f t="shared" si="28"/>
        <v>0</v>
      </c>
      <c r="U100" s="10">
        <f t="shared" si="28"/>
        <v>0</v>
      </c>
      <c r="V100" s="10">
        <f t="shared" si="28"/>
        <v>0</v>
      </c>
      <c r="W100" s="10">
        <f t="shared" si="28"/>
        <v>0</v>
      </c>
      <c r="X100" s="10">
        <f t="shared" si="28"/>
        <v>0</v>
      </c>
      <c r="Y100" s="10">
        <f t="shared" si="28"/>
        <v>0</v>
      </c>
      <c r="Z100" s="10">
        <f t="shared" si="28"/>
        <v>0</v>
      </c>
      <c r="AC100">
        <v>17</v>
      </c>
      <c r="AD100" s="10" t="e">
        <f t="shared" si="10"/>
        <v>#N/A</v>
      </c>
      <c r="AE100" s="10" t="e">
        <f t="shared" si="8"/>
        <v>#N/A</v>
      </c>
      <c r="AF100" s="10">
        <v>0</v>
      </c>
      <c r="AG100" s="10" t="e">
        <f t="shared" si="11"/>
        <v>#N/A</v>
      </c>
      <c r="AH100" s="10">
        <v>471.54568000000006</v>
      </c>
      <c r="AJ100" s="30" t="e">
        <f t="shared" si="12"/>
        <v>#N/A</v>
      </c>
      <c r="AL100" s="30">
        <v>600.00398999999993</v>
      </c>
      <c r="AM100" s="33" t="str">
        <f t="shared" si="13"/>
        <v/>
      </c>
      <c r="AN100" s="33" t="str">
        <f t="shared" si="14"/>
        <v/>
      </c>
      <c r="AO100" s="30">
        <f t="shared" si="23"/>
        <v>471.54568000000006</v>
      </c>
      <c r="AP100" s="33" t="str">
        <f t="shared" si="15"/>
        <v/>
      </c>
    </row>
    <row r="101" spans="1:42" ht="13" x14ac:dyDescent="0.3">
      <c r="A101" s="27" t="s">
        <v>102</v>
      </c>
      <c r="B101" s="24"/>
      <c r="C101" s="10">
        <f>SUM(C100,C98,C96,C94,C91)</f>
        <v>0</v>
      </c>
      <c r="D101" s="10">
        <f t="shared" ref="D101:Z101" si="29">SUM(D100,D98,D96,D94,D91)</f>
        <v>0</v>
      </c>
      <c r="E101" s="10">
        <f t="shared" si="29"/>
        <v>0</v>
      </c>
      <c r="F101" s="10">
        <f t="shared" si="29"/>
        <v>0</v>
      </c>
      <c r="G101" s="10">
        <f t="shared" si="29"/>
        <v>0</v>
      </c>
      <c r="H101" s="10">
        <f t="shared" si="29"/>
        <v>0</v>
      </c>
      <c r="I101" s="10">
        <f t="shared" si="29"/>
        <v>0</v>
      </c>
      <c r="J101" s="10">
        <f t="shared" si="29"/>
        <v>0</v>
      </c>
      <c r="K101" s="10">
        <f t="shared" si="29"/>
        <v>0</v>
      </c>
      <c r="L101" s="10">
        <f t="shared" si="29"/>
        <v>0</v>
      </c>
      <c r="M101" s="10">
        <f t="shared" si="29"/>
        <v>0</v>
      </c>
      <c r="N101" s="10">
        <f t="shared" si="29"/>
        <v>0</v>
      </c>
      <c r="O101" s="10">
        <f t="shared" si="29"/>
        <v>0</v>
      </c>
      <c r="P101" s="10">
        <f t="shared" si="29"/>
        <v>0</v>
      </c>
      <c r="Q101" s="10">
        <f t="shared" si="29"/>
        <v>0</v>
      </c>
      <c r="R101" s="10">
        <f t="shared" si="29"/>
        <v>0</v>
      </c>
      <c r="S101" s="10">
        <f t="shared" si="29"/>
        <v>0</v>
      </c>
      <c r="T101" s="10">
        <f t="shared" si="29"/>
        <v>0</v>
      </c>
      <c r="U101" s="10">
        <f t="shared" si="29"/>
        <v>0</v>
      </c>
      <c r="V101" s="10">
        <f t="shared" si="29"/>
        <v>0</v>
      </c>
      <c r="W101" s="10">
        <f t="shared" si="29"/>
        <v>0</v>
      </c>
      <c r="X101" s="10">
        <f t="shared" si="29"/>
        <v>0</v>
      </c>
      <c r="Y101" s="10">
        <f t="shared" si="29"/>
        <v>0</v>
      </c>
      <c r="Z101" s="10">
        <f t="shared" si="29"/>
        <v>0</v>
      </c>
      <c r="AC101" s="26">
        <v>18</v>
      </c>
      <c r="AD101" s="10" t="e">
        <f t="shared" si="10"/>
        <v>#N/A</v>
      </c>
      <c r="AE101" s="10" t="e">
        <f t="shared" si="8"/>
        <v>#N/A</v>
      </c>
      <c r="AF101" s="10">
        <f>AF91+AF94+AF96+AF98+AF100</f>
        <v>0</v>
      </c>
      <c r="AG101" s="10" t="e">
        <f t="shared" si="11"/>
        <v>#N/A</v>
      </c>
      <c r="AH101" s="10">
        <v>0</v>
      </c>
      <c r="AJ101" s="30" t="e">
        <f t="shared" si="12"/>
        <v>#N/A</v>
      </c>
      <c r="AL101" s="30">
        <f>AL91+AL94+AL96+AL98+AL100</f>
        <v>87824.725939999975</v>
      </c>
      <c r="AM101" s="33" t="str">
        <f t="shared" si="13"/>
        <v/>
      </c>
      <c r="AN101" s="33" t="str">
        <f t="shared" si="14"/>
        <v/>
      </c>
      <c r="AO101" s="30">
        <f t="shared" si="23"/>
        <v>0</v>
      </c>
      <c r="AP101" s="33" t="str">
        <f t="shared" si="15"/>
        <v/>
      </c>
    </row>
  </sheetData>
  <conditionalFormatting sqref="AL91">
    <cfRule type="expression" dxfId="181" priority="2">
      <formula>AL91&lt;&gt;SUM(AL85:AL90)</formula>
    </cfRule>
  </conditionalFormatting>
  <conditionalFormatting sqref="AL94">
    <cfRule type="expression" dxfId="180" priority="1">
      <formula>AL94&lt;&gt;SUM(AL92:AL93)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2:P43"/>
  <sheetViews>
    <sheetView showGridLines="0" topLeftCell="A21" zoomScale="80" zoomScaleNormal="80" workbookViewId="0">
      <selection activeCell="D25" sqref="D25"/>
    </sheetView>
  </sheetViews>
  <sheetFormatPr defaultRowHeight="12.5" x14ac:dyDescent="0.25"/>
  <cols>
    <col min="1" max="1" width="14.26953125" customWidth="1"/>
    <col min="2" max="2" width="25.26953125" customWidth="1"/>
    <col min="3" max="3" width="20.54296875" bestFit="1" customWidth="1"/>
    <col min="4" max="17" width="9.1796875" bestFit="1" customWidth="1"/>
    <col min="18" max="18" width="7.90625" bestFit="1" customWidth="1"/>
    <col min="19" max="26" width="7.6328125" bestFit="1" customWidth="1"/>
  </cols>
  <sheetData>
    <row r="2" spans="1:2" x14ac:dyDescent="0.25">
      <c r="A2" s="46" t="s">
        <v>4</v>
      </c>
      <c r="B2" s="47" t="s">
        <v>2</v>
      </c>
    </row>
    <row r="3" spans="1:2" x14ac:dyDescent="0.25">
      <c r="A3" s="46" t="s">
        <v>5</v>
      </c>
      <c r="B3" s="47" t="s">
        <v>2</v>
      </c>
    </row>
    <row r="4" spans="1:2" x14ac:dyDescent="0.25">
      <c r="A4" s="46" t="s">
        <v>105</v>
      </c>
      <c r="B4" s="47" t="s">
        <v>2</v>
      </c>
    </row>
    <row r="5" spans="1:2" x14ac:dyDescent="0.25">
      <c r="A5" s="46" t="s">
        <v>106</v>
      </c>
      <c r="B5" s="47" t="s">
        <v>2</v>
      </c>
    </row>
    <row r="6" spans="1:2" x14ac:dyDescent="0.25">
      <c r="A6" s="46" t="s">
        <v>107</v>
      </c>
      <c r="B6" s="47" t="s">
        <v>2</v>
      </c>
    </row>
    <row r="7" spans="1:2" x14ac:dyDescent="0.25">
      <c r="A7" s="46" t="s">
        <v>108</v>
      </c>
      <c r="B7" s="47" t="s">
        <v>2</v>
      </c>
    </row>
    <row r="8" spans="1:2" x14ac:dyDescent="0.25">
      <c r="A8" s="46" t="s">
        <v>109</v>
      </c>
      <c r="B8" s="47" t="s">
        <v>2</v>
      </c>
    </row>
    <row r="9" spans="1:2" x14ac:dyDescent="0.25">
      <c r="A9" s="46" t="s">
        <v>18</v>
      </c>
      <c r="B9" s="47" t="s">
        <v>2</v>
      </c>
    </row>
    <row r="10" spans="1:2" x14ac:dyDescent="0.25">
      <c r="A10" s="46" t="s">
        <v>19</v>
      </c>
      <c r="B10" s="47" t="s">
        <v>2</v>
      </c>
    </row>
    <row r="11" spans="1:2" x14ac:dyDescent="0.25">
      <c r="A11" s="46" t="s">
        <v>121</v>
      </c>
      <c r="B11" s="47" t="s">
        <v>2</v>
      </c>
    </row>
    <row r="12" spans="1:2" x14ac:dyDescent="0.25">
      <c r="A12" s="46" t="s">
        <v>8</v>
      </c>
      <c r="B12" s="47" t="s">
        <v>25</v>
      </c>
    </row>
    <row r="13" spans="1:2" x14ac:dyDescent="0.25">
      <c r="A13" s="46" t="s">
        <v>9</v>
      </c>
      <c r="B13" s="47" t="s">
        <v>2</v>
      </c>
    </row>
    <row r="14" spans="1:2" x14ac:dyDescent="0.25">
      <c r="A14" s="46" t="s">
        <v>10</v>
      </c>
      <c r="B14" s="47" t="s">
        <v>68</v>
      </c>
    </row>
    <row r="15" spans="1:2" ht="13" x14ac:dyDescent="0.3">
      <c r="A15" s="61" t="s">
        <v>11</v>
      </c>
      <c r="B15" s="54" t="s">
        <v>2</v>
      </c>
    </row>
    <row r="16" spans="1:2" x14ac:dyDescent="0.25">
      <c r="A16" s="46" t="s">
        <v>12</v>
      </c>
      <c r="B16" s="47" t="s">
        <v>2</v>
      </c>
    </row>
    <row r="17" spans="1:16" x14ac:dyDescent="0.25">
      <c r="A17" s="46" t="s">
        <v>13</v>
      </c>
      <c r="B17" s="47" t="s">
        <v>2</v>
      </c>
    </row>
    <row r="18" spans="1:16" x14ac:dyDescent="0.25">
      <c r="A18" s="46" t="s">
        <v>14</v>
      </c>
      <c r="B18" s="47" t="s">
        <v>2</v>
      </c>
    </row>
    <row r="19" spans="1:16" x14ac:dyDescent="0.25">
      <c r="A19" s="46" t="s">
        <v>15</v>
      </c>
      <c r="B19" s="47" t="s">
        <v>2</v>
      </c>
    </row>
    <row r="20" spans="1:16" x14ac:dyDescent="0.25">
      <c r="A20" s="46" t="s">
        <v>6</v>
      </c>
      <c r="B20" s="47" t="s">
        <v>21</v>
      </c>
    </row>
    <row r="21" spans="1:16" x14ac:dyDescent="0.25">
      <c r="A21" s="46" t="s">
        <v>7</v>
      </c>
      <c r="B21" s="47" t="s">
        <v>2</v>
      </c>
    </row>
    <row r="23" spans="1:16" x14ac:dyDescent="0.25">
      <c r="A23" s="43"/>
      <c r="B23" s="40"/>
      <c r="C23" s="40"/>
      <c r="D23" s="39" t="s">
        <v>1</v>
      </c>
      <c r="E23" s="48" t="s">
        <v>3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/>
    </row>
    <row r="24" spans="1:16" ht="13" x14ac:dyDescent="0.3">
      <c r="A24" s="42"/>
      <c r="B24" s="12"/>
      <c r="C24" s="12"/>
      <c r="D24" s="97" t="s">
        <v>135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43" t="s">
        <v>155</v>
      </c>
      <c r="P24" s="41"/>
    </row>
    <row r="25" spans="1:16" ht="13" x14ac:dyDescent="0.3">
      <c r="A25" s="67" t="s">
        <v>75</v>
      </c>
      <c r="B25" s="67" t="s">
        <v>125</v>
      </c>
      <c r="C25" s="67" t="s">
        <v>22</v>
      </c>
      <c r="D25" s="62" t="s">
        <v>137</v>
      </c>
      <c r="E25" s="63" t="s">
        <v>144</v>
      </c>
      <c r="F25" s="63" t="s">
        <v>145</v>
      </c>
      <c r="G25" s="63" t="s">
        <v>146</v>
      </c>
      <c r="H25" s="63" t="s">
        <v>147</v>
      </c>
      <c r="I25" s="63" t="s">
        <v>148</v>
      </c>
      <c r="J25" s="63" t="s">
        <v>149</v>
      </c>
      <c r="K25" s="63" t="s">
        <v>150</v>
      </c>
      <c r="L25" s="63" t="s">
        <v>152</v>
      </c>
      <c r="M25" s="63" t="s">
        <v>153</v>
      </c>
      <c r="N25" s="63" t="s">
        <v>154</v>
      </c>
      <c r="O25" s="62" t="s">
        <v>156</v>
      </c>
      <c r="P25" s="64" t="s">
        <v>158</v>
      </c>
    </row>
    <row r="26" spans="1:16" x14ac:dyDescent="0.25">
      <c r="A26" s="43" t="s">
        <v>0</v>
      </c>
      <c r="B26" s="43" t="s">
        <v>130</v>
      </c>
      <c r="C26" s="43" t="s">
        <v>71</v>
      </c>
      <c r="D26" s="49">
        <v>8098.2358159894511</v>
      </c>
      <c r="E26" s="50">
        <v>9103.8372524298084</v>
      </c>
      <c r="F26" s="50">
        <v>7418.3633956365084</v>
      </c>
      <c r="G26" s="50">
        <v>6761.0468132268988</v>
      </c>
      <c r="H26" s="50">
        <v>7125.4875272527825</v>
      </c>
      <c r="I26" s="50">
        <v>7397.9605579052622</v>
      </c>
      <c r="J26" s="50">
        <v>21068.929325443944</v>
      </c>
      <c r="K26" s="50">
        <v>27655.600142457672</v>
      </c>
      <c r="L26" s="50">
        <v>29469.972909557328</v>
      </c>
      <c r="M26" s="50">
        <v>28827.358082240993</v>
      </c>
      <c r="N26" s="50">
        <v>36785.045455795516</v>
      </c>
      <c r="O26" s="49">
        <v>34506.552779173784</v>
      </c>
      <c r="P26" s="117">
        <v>35674.225232094934</v>
      </c>
    </row>
    <row r="27" spans="1:16" x14ac:dyDescent="0.25">
      <c r="A27" s="42"/>
      <c r="B27" s="42"/>
      <c r="C27" s="51" t="s">
        <v>70</v>
      </c>
      <c r="D27" s="52">
        <v>24343.875837310155</v>
      </c>
      <c r="E27" s="35">
        <v>28009.187025796917</v>
      </c>
      <c r="F27" s="35">
        <v>27822.717310129196</v>
      </c>
      <c r="G27" s="35">
        <v>27578.270402357917</v>
      </c>
      <c r="H27" s="35">
        <v>27168.203640802141</v>
      </c>
      <c r="I27" s="35">
        <v>26845.178393684615</v>
      </c>
      <c r="J27" s="35">
        <v>14069.788312184504</v>
      </c>
      <c r="K27" s="35">
        <v>14441.329919660891</v>
      </c>
      <c r="L27" s="35">
        <v>15517.273119698175</v>
      </c>
      <c r="M27" s="35">
        <v>15932.059237390624</v>
      </c>
      <c r="N27" s="35">
        <v>24096.183874573591</v>
      </c>
      <c r="O27" s="52">
        <v>22788.885976029112</v>
      </c>
      <c r="P27" s="118">
        <v>20333.452819807921</v>
      </c>
    </row>
    <row r="28" spans="1:16" x14ac:dyDescent="0.25">
      <c r="A28" s="42"/>
      <c r="B28" s="43" t="s">
        <v>132</v>
      </c>
      <c r="C28" s="40"/>
      <c r="D28" s="49">
        <v>32442.111653299606</v>
      </c>
      <c r="E28" s="50">
        <v>37113.024278226723</v>
      </c>
      <c r="F28" s="50">
        <v>35241.080705765708</v>
      </c>
      <c r="G28" s="50">
        <v>34339.317215584815</v>
      </c>
      <c r="H28" s="50">
        <v>34293.691168054924</v>
      </c>
      <c r="I28" s="50">
        <v>34243.138951589877</v>
      </c>
      <c r="J28" s="50">
        <v>35138.717637628448</v>
      </c>
      <c r="K28" s="50">
        <v>42096.930062118561</v>
      </c>
      <c r="L28" s="50">
        <v>44987.246029255504</v>
      </c>
      <c r="M28" s="50">
        <v>44759.417319631619</v>
      </c>
      <c r="N28" s="50">
        <v>60881.229330369111</v>
      </c>
      <c r="O28" s="49">
        <v>57295.438755202893</v>
      </c>
      <c r="P28" s="117">
        <v>56007.678051902854</v>
      </c>
    </row>
    <row r="29" spans="1:16" x14ac:dyDescent="0.25">
      <c r="A29" s="42"/>
      <c r="B29" s="43" t="s">
        <v>131</v>
      </c>
      <c r="C29" s="43" t="s">
        <v>74</v>
      </c>
      <c r="D29" s="49">
        <v>30927.72557772557</v>
      </c>
      <c r="E29" s="50">
        <v>37822.666540986371</v>
      </c>
      <c r="F29" s="50">
        <v>37195.956204969902</v>
      </c>
      <c r="G29" s="50">
        <v>35528.781330192061</v>
      </c>
      <c r="H29" s="50">
        <v>32323.049436582689</v>
      </c>
      <c r="I29" s="50">
        <v>31794.903401215037</v>
      </c>
      <c r="J29" s="50">
        <v>32322.529373048001</v>
      </c>
      <c r="K29" s="50">
        <v>40465.939834955927</v>
      </c>
      <c r="L29" s="50">
        <v>48664.227662371348</v>
      </c>
      <c r="M29" s="50">
        <v>50020.885525417478</v>
      </c>
      <c r="N29" s="50">
        <v>66798.113013993963</v>
      </c>
      <c r="O29" s="49">
        <v>62691.247667179516</v>
      </c>
      <c r="P29" s="117">
        <v>60320.919129964161</v>
      </c>
    </row>
    <row r="30" spans="1:16" x14ac:dyDescent="0.25">
      <c r="A30" s="42"/>
      <c r="B30" s="42"/>
      <c r="C30" s="51" t="s">
        <v>72</v>
      </c>
      <c r="D30" s="52">
        <v>36895.317744515327</v>
      </c>
      <c r="E30" s="35">
        <v>39427.140375775409</v>
      </c>
      <c r="F30" s="35">
        <v>37711.631840883238</v>
      </c>
      <c r="G30" s="35">
        <v>36667.177083252609</v>
      </c>
      <c r="H30" s="35">
        <v>35577.714219793343</v>
      </c>
      <c r="I30" s="35">
        <v>32915.364295086314</v>
      </c>
      <c r="J30" s="35">
        <v>32258.143867244631</v>
      </c>
      <c r="K30" s="35">
        <v>33692.791173226236</v>
      </c>
      <c r="L30" s="35">
        <v>34866.279011307437</v>
      </c>
      <c r="M30" s="35">
        <v>33321.072053186908</v>
      </c>
      <c r="N30" s="35">
        <v>35820.488683675874</v>
      </c>
      <c r="O30" s="52">
        <v>33053.490406888297</v>
      </c>
      <c r="P30" s="118">
        <v>31508.487066256625</v>
      </c>
    </row>
    <row r="31" spans="1:16" x14ac:dyDescent="0.25">
      <c r="A31" s="42"/>
      <c r="B31" s="42"/>
      <c r="C31" s="51" t="s">
        <v>73</v>
      </c>
      <c r="D31" s="52">
        <v>44124.318430196297</v>
      </c>
      <c r="E31" s="35">
        <v>44044.086363233255</v>
      </c>
      <c r="F31" s="35">
        <v>42988.292390858609</v>
      </c>
      <c r="G31" s="35">
        <v>40644.023654746241</v>
      </c>
      <c r="H31" s="35">
        <v>40217.65871086804</v>
      </c>
      <c r="I31" s="35">
        <v>41525.5300276532</v>
      </c>
      <c r="J31" s="35">
        <v>44613.069798571269</v>
      </c>
      <c r="K31" s="35">
        <v>50682.247602880045</v>
      </c>
      <c r="L31" s="35">
        <v>50806.810181332359</v>
      </c>
      <c r="M31" s="35">
        <v>48441.908587371494</v>
      </c>
      <c r="N31" s="35">
        <v>43861.502594517609</v>
      </c>
      <c r="O31" s="52">
        <v>41178.504161777069</v>
      </c>
      <c r="P31" s="118">
        <v>41794.131193670764</v>
      </c>
    </row>
    <row r="32" spans="1:16" x14ac:dyDescent="0.25">
      <c r="A32" s="42"/>
      <c r="B32" s="43" t="s">
        <v>133</v>
      </c>
      <c r="C32" s="40"/>
      <c r="D32" s="49">
        <v>111947.36175243719</v>
      </c>
      <c r="E32" s="50">
        <v>121293.89327999504</v>
      </c>
      <c r="F32" s="50">
        <v>117895.88043671174</v>
      </c>
      <c r="G32" s="50">
        <v>112839.9820681909</v>
      </c>
      <c r="H32" s="50">
        <v>108118.42236724407</v>
      </c>
      <c r="I32" s="50">
        <v>106235.79772395454</v>
      </c>
      <c r="J32" s="50">
        <v>109193.7430388639</v>
      </c>
      <c r="K32" s="50">
        <v>124840.97861106221</v>
      </c>
      <c r="L32" s="50">
        <v>134337.31685501116</v>
      </c>
      <c r="M32" s="50">
        <v>131783.86616597587</v>
      </c>
      <c r="N32" s="50">
        <v>146480.10429218743</v>
      </c>
      <c r="O32" s="49">
        <v>136923.24223584487</v>
      </c>
      <c r="P32" s="117">
        <v>133623.53738989154</v>
      </c>
    </row>
    <row r="33" spans="1:16" x14ac:dyDescent="0.25">
      <c r="A33" s="43" t="s">
        <v>119</v>
      </c>
      <c r="B33" s="43" t="s">
        <v>130</v>
      </c>
      <c r="C33" s="43" t="s">
        <v>71</v>
      </c>
      <c r="D33" s="84">
        <v>0.24962110674339535</v>
      </c>
      <c r="E33" s="85">
        <v>0.24530033403316043</v>
      </c>
      <c r="F33" s="85">
        <v>0.21050328897611836</v>
      </c>
      <c r="G33" s="85">
        <v>0.19688937816615684</v>
      </c>
      <c r="H33" s="85">
        <v>0.20777837802103608</v>
      </c>
      <c r="I33" s="85">
        <v>0.21604212652245136</v>
      </c>
      <c r="J33" s="85">
        <v>0.59959300571863183</v>
      </c>
      <c r="K33" s="85">
        <v>0.65695052113417418</v>
      </c>
      <c r="L33" s="85">
        <v>0.65507394896750981</v>
      </c>
      <c r="M33" s="85">
        <v>0.64405123677955534</v>
      </c>
      <c r="N33" s="85">
        <v>0.60420996521248294</v>
      </c>
      <c r="O33" s="84">
        <v>0.60225654133838546</v>
      </c>
      <c r="P33" s="86">
        <v>0.63695240497267691</v>
      </c>
    </row>
    <row r="34" spans="1:16" x14ac:dyDescent="0.25">
      <c r="A34" s="42"/>
      <c r="B34" s="42"/>
      <c r="C34" s="51" t="s">
        <v>70</v>
      </c>
      <c r="D34" s="87">
        <v>0.75037889325660467</v>
      </c>
      <c r="E34" s="13">
        <v>0.75469966596683957</v>
      </c>
      <c r="F34" s="13">
        <v>0.78949671102388153</v>
      </c>
      <c r="G34" s="13">
        <v>0.80311062183384319</v>
      </c>
      <c r="H34" s="13">
        <v>0.79222162197896395</v>
      </c>
      <c r="I34" s="13">
        <v>0.78395787347754864</v>
      </c>
      <c r="J34" s="13">
        <v>0.40040699428136817</v>
      </c>
      <c r="K34" s="13">
        <v>0.34304947886582587</v>
      </c>
      <c r="L34" s="13">
        <v>0.34492605103249019</v>
      </c>
      <c r="M34" s="13">
        <v>0.35594876322044466</v>
      </c>
      <c r="N34" s="13">
        <v>0.39579003478751701</v>
      </c>
      <c r="O34" s="87">
        <v>0.39774345866161459</v>
      </c>
      <c r="P34" s="126">
        <v>0.36304759502732309</v>
      </c>
    </row>
    <row r="35" spans="1:16" x14ac:dyDescent="0.25">
      <c r="A35" s="42"/>
      <c r="B35" s="43" t="s">
        <v>132</v>
      </c>
      <c r="C35" s="40"/>
      <c r="D35" s="84">
        <v>0.22468474250984169</v>
      </c>
      <c r="E35" s="85">
        <v>0.23428916394756558</v>
      </c>
      <c r="F35" s="85">
        <v>0.23012785706892586</v>
      </c>
      <c r="G35" s="85">
        <v>0.23331621622532212</v>
      </c>
      <c r="H35" s="85">
        <v>0.24080599828718022</v>
      </c>
      <c r="I35" s="85">
        <v>0.24375995264456732</v>
      </c>
      <c r="J35" s="85">
        <v>0.24345679047479543</v>
      </c>
      <c r="K35" s="85">
        <v>0.25217118386533133</v>
      </c>
      <c r="L35" s="85">
        <v>0.25087051826965606</v>
      </c>
      <c r="M35" s="85">
        <v>0.2535322581290983</v>
      </c>
      <c r="N35" s="85">
        <v>0.29359971922820671</v>
      </c>
      <c r="O35" s="84">
        <v>0.29500477741296083</v>
      </c>
      <c r="P35" s="86">
        <v>0.2953505198045514</v>
      </c>
    </row>
    <row r="36" spans="1:16" x14ac:dyDescent="0.25">
      <c r="A36" s="42"/>
      <c r="B36" s="43" t="s">
        <v>131</v>
      </c>
      <c r="C36" s="43" t="s">
        <v>74</v>
      </c>
      <c r="D36" s="84">
        <v>0.27627024963857394</v>
      </c>
      <c r="E36" s="85">
        <v>0.31182663461610932</v>
      </c>
      <c r="F36" s="85">
        <v>0.31549835386264613</v>
      </c>
      <c r="G36" s="85">
        <v>0.31485986331264643</v>
      </c>
      <c r="H36" s="85">
        <v>0.29895968447256394</v>
      </c>
      <c r="I36" s="85">
        <v>0.29928615478401754</v>
      </c>
      <c r="J36" s="85">
        <v>0.29601081960844466</v>
      </c>
      <c r="K36" s="85">
        <v>0.32413988007115979</v>
      </c>
      <c r="L36" s="85">
        <v>0.36225397977014928</v>
      </c>
      <c r="M36" s="85">
        <v>0.37956759792142097</v>
      </c>
      <c r="N36" s="85">
        <v>0.45602174668547574</v>
      </c>
      <c r="O36" s="84">
        <v>0.45785687399365199</v>
      </c>
      <c r="P36" s="86">
        <v>0.45142435463265446</v>
      </c>
    </row>
    <row r="37" spans="1:16" x14ac:dyDescent="0.25">
      <c r="A37" s="42"/>
      <c r="B37" s="42"/>
      <c r="C37" s="51" t="s">
        <v>72</v>
      </c>
      <c r="D37" s="87">
        <v>0.32957737607167936</v>
      </c>
      <c r="E37" s="13">
        <v>0.32505461989551054</v>
      </c>
      <c r="F37" s="13">
        <v>0.31987234584610785</v>
      </c>
      <c r="G37" s="13">
        <v>0.3249484483353966</v>
      </c>
      <c r="H37" s="13">
        <v>0.3290624617046955</v>
      </c>
      <c r="I37" s="13">
        <v>0.30983307887059247</v>
      </c>
      <c r="J37" s="13">
        <v>0.2954211749638751</v>
      </c>
      <c r="K37" s="13">
        <v>0.26988567013876891</v>
      </c>
      <c r="L37" s="13">
        <v>0.25954276762084094</v>
      </c>
      <c r="M37" s="13">
        <v>0.25284636900256452</v>
      </c>
      <c r="N37" s="13">
        <v>0.24454166561913332</v>
      </c>
      <c r="O37" s="87">
        <v>0.24140160477616332</v>
      </c>
      <c r="P37" s="126">
        <v>0.2358004261952745</v>
      </c>
    </row>
    <row r="38" spans="1:16" x14ac:dyDescent="0.25">
      <c r="A38" s="42"/>
      <c r="B38" s="42"/>
      <c r="C38" s="51" t="s">
        <v>73</v>
      </c>
      <c r="D38" s="87">
        <v>0.3941523742897467</v>
      </c>
      <c r="E38" s="13">
        <v>0.36311874548838008</v>
      </c>
      <c r="F38" s="13">
        <v>0.36462930029124607</v>
      </c>
      <c r="G38" s="13">
        <v>0.36019168835195708</v>
      </c>
      <c r="H38" s="13">
        <v>0.37197785382274057</v>
      </c>
      <c r="I38" s="13">
        <v>0.3908807663453901</v>
      </c>
      <c r="J38" s="13">
        <v>0.40856800542768024</v>
      </c>
      <c r="K38" s="13">
        <v>0.40597444979007136</v>
      </c>
      <c r="L38" s="13">
        <v>0.37820325260900967</v>
      </c>
      <c r="M38" s="13">
        <v>0.36758603307601467</v>
      </c>
      <c r="N38" s="13">
        <v>0.29943658769539105</v>
      </c>
      <c r="O38" s="87">
        <v>0.30074152123018477</v>
      </c>
      <c r="P38" s="126">
        <v>0.31277521917207107</v>
      </c>
    </row>
    <row r="39" spans="1:16" x14ac:dyDescent="0.25">
      <c r="A39" s="42"/>
      <c r="B39" s="43" t="s">
        <v>133</v>
      </c>
      <c r="C39" s="40"/>
      <c r="D39" s="84">
        <v>0.77531525749015839</v>
      </c>
      <c r="E39" s="85">
        <v>0.76571083605243451</v>
      </c>
      <c r="F39" s="85">
        <v>0.76987214293107409</v>
      </c>
      <c r="G39" s="85">
        <v>0.76668378377467783</v>
      </c>
      <c r="H39" s="85">
        <v>0.75919400171281981</v>
      </c>
      <c r="I39" s="85">
        <v>0.75624004735543271</v>
      </c>
      <c r="J39" s="85">
        <v>0.75654320952520471</v>
      </c>
      <c r="K39" s="85">
        <v>0.74782881613466856</v>
      </c>
      <c r="L39" s="85">
        <v>0.74912948173034399</v>
      </c>
      <c r="M39" s="85">
        <v>0.74646774187090159</v>
      </c>
      <c r="N39" s="85">
        <v>0.70640028077179318</v>
      </c>
      <c r="O39" s="84">
        <v>0.70499522258703917</v>
      </c>
      <c r="P39" s="86">
        <v>0.7046494801954486</v>
      </c>
    </row>
    <row r="40" spans="1:16" ht="13" x14ac:dyDescent="0.3">
      <c r="A40" s="53" t="s">
        <v>76</v>
      </c>
      <c r="B40" s="90"/>
      <c r="C40" s="90"/>
      <c r="D40" s="92">
        <v>144389.47340573679</v>
      </c>
      <c r="E40" s="93">
        <v>158406.91755822176</v>
      </c>
      <c r="F40" s="93">
        <v>153136.96114247746</v>
      </c>
      <c r="G40" s="93">
        <v>147179.29928377573</v>
      </c>
      <c r="H40" s="93">
        <v>142412.11353529899</v>
      </c>
      <c r="I40" s="93">
        <v>140478.93667554442</v>
      </c>
      <c r="J40" s="93">
        <v>144332.46067649234</v>
      </c>
      <c r="K40" s="93">
        <v>166937.90867318079</v>
      </c>
      <c r="L40" s="93">
        <v>179324.56288426666</v>
      </c>
      <c r="M40" s="93">
        <v>176543.28348560751</v>
      </c>
      <c r="N40" s="93">
        <v>207361.33362255656</v>
      </c>
      <c r="O40" s="92">
        <v>194218.68099104776</v>
      </c>
      <c r="P40" s="127">
        <v>189631.2154417944</v>
      </c>
    </row>
    <row r="41" spans="1:16" ht="13" x14ac:dyDescent="0.3">
      <c r="A41" s="58" t="s">
        <v>120</v>
      </c>
      <c r="B41" s="91"/>
      <c r="C41" s="91"/>
      <c r="D41" s="94">
        <v>1</v>
      </c>
      <c r="E41" s="95">
        <v>1</v>
      </c>
      <c r="F41" s="95">
        <v>1</v>
      </c>
      <c r="G41" s="95">
        <v>1</v>
      </c>
      <c r="H41" s="95">
        <v>1</v>
      </c>
      <c r="I41" s="95">
        <v>1</v>
      </c>
      <c r="J41" s="95">
        <v>1</v>
      </c>
      <c r="K41" s="95">
        <v>1</v>
      </c>
      <c r="L41" s="95">
        <v>1</v>
      </c>
      <c r="M41" s="95">
        <v>1</v>
      </c>
      <c r="N41" s="95">
        <v>1</v>
      </c>
      <c r="O41" s="94">
        <v>1</v>
      </c>
      <c r="P41" s="96">
        <v>1</v>
      </c>
    </row>
    <row r="43" spans="1:16" hidden="1" x14ac:dyDescent="0.25"/>
  </sheetData>
  <pageMargins left="0.75" right="0.75" top="1" bottom="1" header="0.5" footer="0.5"/>
  <pageSetup paperSize="9" orientation="portrait" r:id="rId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3:F43"/>
  <sheetViews>
    <sheetView showGridLines="0" topLeftCell="A7" zoomScale="80" zoomScaleNormal="80" workbookViewId="0">
      <selection activeCell="I40" sqref="I40"/>
    </sheetView>
  </sheetViews>
  <sheetFormatPr defaultRowHeight="12.5" x14ac:dyDescent="0.25"/>
  <cols>
    <col min="1" max="1" width="15.26953125" customWidth="1"/>
    <col min="2" max="2" width="12.26953125" customWidth="1"/>
    <col min="3" max="3" width="23.26953125" customWidth="1"/>
    <col min="4" max="4" width="20.54296875" bestFit="1" customWidth="1"/>
    <col min="5" max="6" width="9.1796875" bestFit="1" customWidth="1"/>
    <col min="7" max="9" width="8.26953125" customWidth="1"/>
    <col min="10" max="10" width="9.1796875" customWidth="1"/>
    <col min="11" max="18" width="7.6328125" customWidth="1"/>
    <col min="19" max="26" width="7.6328125" bestFit="1" customWidth="1"/>
  </cols>
  <sheetData>
    <row r="3" spans="1:2" x14ac:dyDescent="0.25">
      <c r="A3" s="46" t="s">
        <v>4</v>
      </c>
      <c r="B3" s="47" t="s">
        <v>2</v>
      </c>
    </row>
    <row r="4" spans="1:2" x14ac:dyDescent="0.25">
      <c r="A4" s="46" t="s">
        <v>5</v>
      </c>
      <c r="B4" s="47" t="s">
        <v>2</v>
      </c>
    </row>
    <row r="5" spans="1:2" x14ac:dyDescent="0.25">
      <c r="A5" s="46" t="s">
        <v>105</v>
      </c>
      <c r="B5" s="47" t="s">
        <v>2</v>
      </c>
    </row>
    <row r="6" spans="1:2" x14ac:dyDescent="0.25">
      <c r="A6" s="46" t="s">
        <v>106</v>
      </c>
      <c r="B6" s="47" t="s">
        <v>2</v>
      </c>
    </row>
    <row r="7" spans="1:2" x14ac:dyDescent="0.25">
      <c r="A7" s="46" t="s">
        <v>107</v>
      </c>
      <c r="B7" s="47" t="s">
        <v>2</v>
      </c>
    </row>
    <row r="8" spans="1:2" x14ac:dyDescent="0.25">
      <c r="A8" s="46" t="s">
        <v>108</v>
      </c>
      <c r="B8" s="47" t="s">
        <v>2</v>
      </c>
    </row>
    <row r="9" spans="1:2" x14ac:dyDescent="0.25">
      <c r="A9" s="46" t="s">
        <v>109</v>
      </c>
      <c r="B9" s="47" t="s">
        <v>2</v>
      </c>
    </row>
    <row r="10" spans="1:2" x14ac:dyDescent="0.25">
      <c r="A10" s="46" t="s">
        <v>18</v>
      </c>
      <c r="B10" s="47" t="s">
        <v>2</v>
      </c>
    </row>
    <row r="11" spans="1:2" x14ac:dyDescent="0.25">
      <c r="A11" s="46" t="s">
        <v>19</v>
      </c>
      <c r="B11" s="47" t="s">
        <v>2</v>
      </c>
    </row>
    <row r="12" spans="1:2" x14ac:dyDescent="0.25">
      <c r="A12" s="46" t="s">
        <v>121</v>
      </c>
      <c r="B12" s="47" t="s">
        <v>123</v>
      </c>
    </row>
    <row r="13" spans="1:2" x14ac:dyDescent="0.25">
      <c r="A13" s="46" t="s">
        <v>8</v>
      </c>
      <c r="B13" s="47" t="s">
        <v>25</v>
      </c>
    </row>
    <row r="14" spans="1:2" x14ac:dyDescent="0.25">
      <c r="A14" s="46" t="s">
        <v>9</v>
      </c>
      <c r="B14" s="47" t="s">
        <v>2</v>
      </c>
    </row>
    <row r="15" spans="1:2" x14ac:dyDescent="0.25">
      <c r="A15" s="46" t="s">
        <v>10</v>
      </c>
      <c r="B15" s="47" t="s">
        <v>69</v>
      </c>
    </row>
    <row r="16" spans="1:2" x14ac:dyDescent="0.25">
      <c r="A16" s="46" t="s">
        <v>12</v>
      </c>
      <c r="B16" s="47" t="s">
        <v>2</v>
      </c>
    </row>
    <row r="17" spans="1:6" x14ac:dyDescent="0.25">
      <c r="A17" s="46" t="s">
        <v>13</v>
      </c>
      <c r="B17" s="47" t="s">
        <v>2</v>
      </c>
    </row>
    <row r="18" spans="1:6" x14ac:dyDescent="0.25">
      <c r="A18" s="46" t="s">
        <v>14</v>
      </c>
      <c r="B18" s="47" t="s">
        <v>2</v>
      </c>
    </row>
    <row r="19" spans="1:6" x14ac:dyDescent="0.25">
      <c r="A19" s="46" t="s">
        <v>15</v>
      </c>
      <c r="B19" s="47" t="s">
        <v>2</v>
      </c>
    </row>
    <row r="20" spans="1:6" x14ac:dyDescent="0.25">
      <c r="A20" s="46" t="s">
        <v>6</v>
      </c>
      <c r="B20" s="47" t="s">
        <v>21</v>
      </c>
    </row>
    <row r="21" spans="1:6" x14ac:dyDescent="0.25">
      <c r="A21" s="46" t="s">
        <v>7</v>
      </c>
      <c r="B21" s="47" t="s">
        <v>2</v>
      </c>
    </row>
    <row r="23" spans="1:6" x14ac:dyDescent="0.25">
      <c r="A23" s="43"/>
      <c r="B23" s="40"/>
      <c r="C23" s="40"/>
      <c r="D23" s="40"/>
      <c r="E23" s="39" t="s">
        <v>1</v>
      </c>
      <c r="F23" s="99" t="s">
        <v>3</v>
      </c>
    </row>
    <row r="24" spans="1:6" x14ac:dyDescent="0.25">
      <c r="A24" s="42"/>
      <c r="B24" s="12"/>
      <c r="C24" s="12"/>
      <c r="D24" s="12"/>
      <c r="E24" s="43" t="s">
        <v>135</v>
      </c>
      <c r="F24" s="41"/>
    </row>
    <row r="25" spans="1:6" ht="13" x14ac:dyDescent="0.3">
      <c r="A25" s="39" t="s">
        <v>75</v>
      </c>
      <c r="B25" s="53" t="s">
        <v>11</v>
      </c>
      <c r="C25" s="39" t="s">
        <v>125</v>
      </c>
      <c r="D25" s="39" t="s">
        <v>22</v>
      </c>
      <c r="E25" s="62" t="s">
        <v>150</v>
      </c>
      <c r="F25" s="64" t="s">
        <v>152</v>
      </c>
    </row>
    <row r="26" spans="1:6" ht="13" x14ac:dyDescent="0.3">
      <c r="A26" s="43" t="s">
        <v>0</v>
      </c>
      <c r="B26" s="100" t="s">
        <v>34</v>
      </c>
      <c r="C26" s="43" t="s">
        <v>131</v>
      </c>
      <c r="D26" s="43" t="s">
        <v>72</v>
      </c>
      <c r="E26" s="76">
        <v>44.075720930065003</v>
      </c>
      <c r="F26" s="78">
        <v>44.075813953320903</v>
      </c>
    </row>
    <row r="27" spans="1:6" ht="13" x14ac:dyDescent="0.3">
      <c r="A27" s="42"/>
      <c r="B27" s="101"/>
      <c r="C27" s="43" t="s">
        <v>133</v>
      </c>
      <c r="D27" s="40"/>
      <c r="E27" s="76">
        <v>44.075720930065003</v>
      </c>
      <c r="F27" s="78">
        <v>44.075813953320903</v>
      </c>
    </row>
    <row r="28" spans="1:6" ht="13" x14ac:dyDescent="0.3">
      <c r="A28" s="42"/>
      <c r="B28" s="106" t="s">
        <v>151</v>
      </c>
      <c r="C28" s="107"/>
      <c r="D28" s="107"/>
      <c r="E28" s="102">
        <v>44.075720930065003</v>
      </c>
      <c r="F28" s="103">
        <v>44.075813953320903</v>
      </c>
    </row>
    <row r="29" spans="1:6" ht="13" x14ac:dyDescent="0.3">
      <c r="A29" s="43" t="s">
        <v>119</v>
      </c>
      <c r="B29" s="100" t="s">
        <v>34</v>
      </c>
      <c r="C29" s="43" t="s">
        <v>131</v>
      </c>
      <c r="D29" s="43" t="s">
        <v>72</v>
      </c>
      <c r="E29" s="84">
        <v>1</v>
      </c>
      <c r="F29" s="86">
        <v>1</v>
      </c>
    </row>
    <row r="30" spans="1:6" ht="13" x14ac:dyDescent="0.3">
      <c r="A30" s="42"/>
      <c r="B30" s="101"/>
      <c r="C30" s="43" t="s">
        <v>133</v>
      </c>
      <c r="D30" s="40"/>
      <c r="E30" s="84">
        <v>1</v>
      </c>
      <c r="F30" s="86">
        <v>1</v>
      </c>
    </row>
    <row r="31" spans="1:6" ht="13" x14ac:dyDescent="0.3">
      <c r="A31" s="42"/>
      <c r="B31" s="106" t="s">
        <v>151</v>
      </c>
      <c r="C31" s="107"/>
      <c r="D31" s="107"/>
      <c r="E31" s="108">
        <v>1</v>
      </c>
      <c r="F31" s="109">
        <v>1</v>
      </c>
    </row>
    <row r="32" spans="1:6" ht="13" x14ac:dyDescent="0.3">
      <c r="A32" s="53" t="s">
        <v>76</v>
      </c>
      <c r="B32" s="90"/>
      <c r="C32" s="90"/>
      <c r="D32" s="90"/>
      <c r="E32" s="104">
        <v>44.075720930065003</v>
      </c>
      <c r="F32" s="105">
        <v>44.075813953320903</v>
      </c>
    </row>
    <row r="33" spans="1:6" ht="13" x14ac:dyDescent="0.3">
      <c r="A33" s="58" t="s">
        <v>120</v>
      </c>
      <c r="B33" s="91"/>
      <c r="C33" s="91"/>
      <c r="D33" s="91"/>
      <c r="E33" s="94">
        <v>1</v>
      </c>
      <c r="F33" s="96">
        <v>1</v>
      </c>
    </row>
    <row r="43" spans="1:6" hidden="1" x14ac:dyDescent="0.25"/>
  </sheetData>
  <pageMargins left="0.75" right="0.75" top="1" bottom="1" header="0.5" footer="0.5"/>
  <pageSetup paperSize="9" orientation="portrait" r:id="rId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3:F41"/>
  <sheetViews>
    <sheetView showGridLines="0" topLeftCell="A12" zoomScale="80" zoomScaleNormal="80" workbookViewId="0">
      <selection activeCell="E24" sqref="E24"/>
    </sheetView>
  </sheetViews>
  <sheetFormatPr defaultRowHeight="12.5" x14ac:dyDescent="0.25"/>
  <cols>
    <col min="1" max="1" width="15.26953125" customWidth="1"/>
    <col min="2" max="2" width="12.26953125" customWidth="1"/>
    <col min="3" max="3" width="23.26953125" customWidth="1"/>
    <col min="4" max="4" width="9.90625" bestFit="1" customWidth="1"/>
    <col min="5" max="5" width="7.453125" bestFit="1" customWidth="1"/>
    <col min="6" max="7" width="9.1796875" bestFit="1" customWidth="1"/>
    <col min="8" max="8" width="7.90625" bestFit="1" customWidth="1"/>
    <col min="9" max="9" width="7.6328125" bestFit="1" customWidth="1"/>
    <col min="10" max="11" width="7.90625" bestFit="1" customWidth="1"/>
    <col min="12" max="12" width="7.6328125" customWidth="1"/>
    <col min="13" max="18" width="7.90625" bestFit="1" customWidth="1"/>
    <col min="19" max="26" width="7.6328125" bestFit="1" customWidth="1"/>
  </cols>
  <sheetData>
    <row r="3" spans="1:2" x14ac:dyDescent="0.25">
      <c r="A3" s="46" t="s">
        <v>4</v>
      </c>
      <c r="B3" s="47" t="s">
        <v>2</v>
      </c>
    </row>
    <row r="4" spans="1:2" x14ac:dyDescent="0.25">
      <c r="A4" s="46" t="s">
        <v>5</v>
      </c>
      <c r="B4" s="47" t="s">
        <v>2</v>
      </c>
    </row>
    <row r="5" spans="1:2" x14ac:dyDescent="0.25">
      <c r="A5" s="46" t="s">
        <v>105</v>
      </c>
      <c r="B5" s="47" t="s">
        <v>2</v>
      </c>
    </row>
    <row r="6" spans="1:2" x14ac:dyDescent="0.25">
      <c r="A6" s="46" t="s">
        <v>106</v>
      </c>
      <c r="B6" s="47" t="s">
        <v>2</v>
      </c>
    </row>
    <row r="7" spans="1:2" x14ac:dyDescent="0.25">
      <c r="A7" s="46" t="s">
        <v>107</v>
      </c>
      <c r="B7" s="47" t="s">
        <v>2</v>
      </c>
    </row>
    <row r="8" spans="1:2" x14ac:dyDescent="0.25">
      <c r="A8" s="46" t="s">
        <v>108</v>
      </c>
      <c r="B8" s="47" t="s">
        <v>2</v>
      </c>
    </row>
    <row r="9" spans="1:2" x14ac:dyDescent="0.25">
      <c r="A9" s="46" t="s">
        <v>109</v>
      </c>
      <c r="B9" s="47" t="s">
        <v>2</v>
      </c>
    </row>
    <row r="10" spans="1:2" x14ac:dyDescent="0.25">
      <c r="A10" s="46" t="s">
        <v>18</v>
      </c>
      <c r="B10" s="47" t="s">
        <v>2</v>
      </c>
    </row>
    <row r="11" spans="1:2" x14ac:dyDescent="0.25">
      <c r="A11" s="46" t="s">
        <v>19</v>
      </c>
      <c r="B11" s="47" t="s">
        <v>2</v>
      </c>
    </row>
    <row r="12" spans="1:2" x14ac:dyDescent="0.25">
      <c r="A12" s="46" t="s">
        <v>121</v>
      </c>
      <c r="B12" s="47" t="s">
        <v>123</v>
      </c>
    </row>
    <row r="13" spans="1:2" x14ac:dyDescent="0.25">
      <c r="A13" s="46" t="s">
        <v>8</v>
      </c>
      <c r="B13" s="47" t="s">
        <v>25</v>
      </c>
    </row>
    <row r="14" spans="1:2" x14ac:dyDescent="0.25">
      <c r="A14" s="46" t="s">
        <v>9</v>
      </c>
      <c r="B14" s="47" t="s">
        <v>2</v>
      </c>
    </row>
    <row r="15" spans="1:2" x14ac:dyDescent="0.25">
      <c r="A15" s="46" t="s">
        <v>10</v>
      </c>
      <c r="B15" s="47" t="s">
        <v>124</v>
      </c>
    </row>
    <row r="16" spans="1:2" x14ac:dyDescent="0.25">
      <c r="A16" s="46" t="s">
        <v>12</v>
      </c>
      <c r="B16" s="47" t="s">
        <v>2</v>
      </c>
    </row>
    <row r="17" spans="1:6" x14ac:dyDescent="0.25">
      <c r="A17" s="46" t="s">
        <v>13</v>
      </c>
      <c r="B17" s="47" t="s">
        <v>2</v>
      </c>
    </row>
    <row r="18" spans="1:6" x14ac:dyDescent="0.25">
      <c r="A18" s="46" t="s">
        <v>14</v>
      </c>
      <c r="B18" s="47" t="s">
        <v>2</v>
      </c>
    </row>
    <row r="19" spans="1:6" x14ac:dyDescent="0.25">
      <c r="A19" s="46" t="s">
        <v>15</v>
      </c>
      <c r="B19" s="47" t="s">
        <v>2</v>
      </c>
    </row>
    <row r="20" spans="1:6" x14ac:dyDescent="0.25">
      <c r="A20" s="46" t="s">
        <v>6</v>
      </c>
      <c r="B20" s="47" t="s">
        <v>21</v>
      </c>
    </row>
    <row r="21" spans="1:6" x14ac:dyDescent="0.25">
      <c r="A21" s="46" t="s">
        <v>7</v>
      </c>
      <c r="B21" s="47" t="s">
        <v>2</v>
      </c>
    </row>
    <row r="23" spans="1:6" x14ac:dyDescent="0.25">
      <c r="A23" s="43"/>
      <c r="B23" s="40"/>
      <c r="C23" s="40"/>
      <c r="D23" s="40"/>
      <c r="E23" s="39" t="s">
        <v>1</v>
      </c>
      <c r="F23" s="99" t="s">
        <v>3</v>
      </c>
    </row>
    <row r="24" spans="1:6" x14ac:dyDescent="0.25">
      <c r="A24" s="42"/>
      <c r="B24" s="12"/>
      <c r="C24" s="12"/>
      <c r="D24" s="12"/>
      <c r="E24" s="42"/>
      <c r="F24" s="111"/>
    </row>
    <row r="25" spans="1:6" ht="13" x14ac:dyDescent="0.3">
      <c r="A25" s="53" t="s">
        <v>75</v>
      </c>
      <c r="B25" s="53" t="s">
        <v>11</v>
      </c>
      <c r="C25" s="53" t="s">
        <v>125</v>
      </c>
      <c r="D25" s="53" t="s">
        <v>22</v>
      </c>
      <c r="E25" s="42"/>
      <c r="F25" s="112"/>
    </row>
    <row r="26" spans="1:6" ht="13" x14ac:dyDescent="0.3">
      <c r="A26" s="53" t="s">
        <v>76</v>
      </c>
      <c r="B26" s="90"/>
      <c r="C26" s="90"/>
      <c r="D26" s="90"/>
      <c r="E26" s="53"/>
      <c r="F26" s="44"/>
    </row>
    <row r="27" spans="1:6" ht="13" x14ac:dyDescent="0.3">
      <c r="A27" s="58" t="s">
        <v>120</v>
      </c>
      <c r="B27" s="91"/>
      <c r="C27" s="91"/>
      <c r="D27" s="91"/>
      <c r="E27" s="114"/>
      <c r="F27" s="113"/>
    </row>
    <row r="41" hidden="1" x14ac:dyDescent="0.25"/>
  </sheetData>
  <pageMargins left="0.75" right="0.75" top="1" bottom="1" header="0.5" footer="0.5"/>
  <pageSetup paperSize="9" orientation="portrait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/>
  <dimension ref="A1:O30"/>
  <sheetViews>
    <sheetView showGridLines="0" topLeftCell="A4" zoomScale="80" zoomScaleNormal="80" workbookViewId="0">
      <selection activeCell="C24" sqref="C24"/>
    </sheetView>
  </sheetViews>
  <sheetFormatPr defaultRowHeight="12.5" x14ac:dyDescent="0.25"/>
  <cols>
    <col min="1" max="1" width="13.6328125" customWidth="1"/>
    <col min="2" max="2" width="20.08984375" bestFit="1" customWidth="1"/>
    <col min="3" max="16" width="9.1796875" bestFit="1" customWidth="1"/>
    <col min="17" max="26" width="7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106</v>
      </c>
      <c r="B4" s="47" t="s">
        <v>2</v>
      </c>
    </row>
    <row r="5" spans="1:2" x14ac:dyDescent="0.25">
      <c r="A5" s="46" t="s">
        <v>107</v>
      </c>
      <c r="B5" s="47" t="s">
        <v>2</v>
      </c>
    </row>
    <row r="6" spans="1:2" x14ac:dyDescent="0.25">
      <c r="A6" s="46" t="s">
        <v>108</v>
      </c>
      <c r="B6" s="47" t="s">
        <v>2</v>
      </c>
    </row>
    <row r="7" spans="1:2" x14ac:dyDescent="0.25">
      <c r="A7" s="46" t="s">
        <v>109</v>
      </c>
      <c r="B7" s="47" t="s">
        <v>2</v>
      </c>
    </row>
    <row r="8" spans="1:2" x14ac:dyDescent="0.25">
      <c r="A8" s="46" t="s">
        <v>18</v>
      </c>
      <c r="B8" s="47" t="s">
        <v>2</v>
      </c>
    </row>
    <row r="9" spans="1:2" x14ac:dyDescent="0.25">
      <c r="A9" s="46" t="s">
        <v>19</v>
      </c>
      <c r="B9" s="47" t="s">
        <v>2</v>
      </c>
    </row>
    <row r="10" spans="1:2" x14ac:dyDescent="0.25">
      <c r="A10" s="46" t="s">
        <v>121</v>
      </c>
      <c r="B10" s="47" t="s">
        <v>2</v>
      </c>
    </row>
    <row r="11" spans="1:2" x14ac:dyDescent="0.25">
      <c r="A11" s="46" t="s">
        <v>8</v>
      </c>
      <c r="B11" s="47" t="s">
        <v>2</v>
      </c>
    </row>
    <row r="12" spans="1:2" x14ac:dyDescent="0.25">
      <c r="A12" s="46" t="s">
        <v>9</v>
      </c>
      <c r="B12" s="47" t="s">
        <v>2</v>
      </c>
    </row>
    <row r="13" spans="1:2" x14ac:dyDescent="0.25">
      <c r="A13" s="46" t="s">
        <v>10</v>
      </c>
      <c r="B13" s="47" t="s">
        <v>68</v>
      </c>
    </row>
    <row r="14" spans="1:2" x14ac:dyDescent="0.25">
      <c r="A14" s="46" t="s">
        <v>12</v>
      </c>
      <c r="B14" s="47" t="s">
        <v>103</v>
      </c>
    </row>
    <row r="15" spans="1:2" x14ac:dyDescent="0.25">
      <c r="A15" s="46" t="s">
        <v>13</v>
      </c>
      <c r="B15" s="47" t="s">
        <v>2</v>
      </c>
    </row>
    <row r="16" spans="1:2" x14ac:dyDescent="0.25">
      <c r="A16" s="46" t="s">
        <v>22</v>
      </c>
      <c r="B16" s="47" t="s">
        <v>2</v>
      </c>
    </row>
    <row r="17" spans="1:15" x14ac:dyDescent="0.25">
      <c r="A17" s="46" t="s">
        <v>14</v>
      </c>
      <c r="B17" s="47" t="s">
        <v>2</v>
      </c>
    </row>
    <row r="18" spans="1:15" x14ac:dyDescent="0.25">
      <c r="A18" s="46" t="s">
        <v>15</v>
      </c>
      <c r="B18" s="47" t="s">
        <v>2</v>
      </c>
    </row>
    <row r="19" spans="1:15" x14ac:dyDescent="0.25">
      <c r="A19" s="46" t="s">
        <v>6</v>
      </c>
      <c r="B19" s="47" t="s">
        <v>21</v>
      </c>
    </row>
    <row r="20" spans="1:15" x14ac:dyDescent="0.25">
      <c r="A20" s="46" t="s">
        <v>7</v>
      </c>
      <c r="B20" s="47" t="s">
        <v>2</v>
      </c>
    </row>
    <row r="22" spans="1:15" x14ac:dyDescent="0.25">
      <c r="A22" s="39" t="s">
        <v>0</v>
      </c>
      <c r="B22" s="40"/>
      <c r="C22" s="39" t="s">
        <v>1</v>
      </c>
      <c r="D22" s="48" t="s">
        <v>3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</row>
    <row r="23" spans="1:15" x14ac:dyDescent="0.25">
      <c r="A23" s="42"/>
      <c r="B23" s="12"/>
      <c r="C23" s="68" t="s">
        <v>135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5" t="s">
        <v>155</v>
      </c>
      <c r="O23" s="121"/>
    </row>
    <row r="24" spans="1:15" ht="13" x14ac:dyDescent="0.3">
      <c r="A24" s="53" t="s">
        <v>11</v>
      </c>
      <c r="B24" s="53" t="s">
        <v>104</v>
      </c>
      <c r="C24" s="62" t="s">
        <v>137</v>
      </c>
      <c r="D24" s="63" t="s">
        <v>144</v>
      </c>
      <c r="E24" s="63" t="s">
        <v>145</v>
      </c>
      <c r="F24" s="63" t="s">
        <v>146</v>
      </c>
      <c r="G24" s="63" t="s">
        <v>147</v>
      </c>
      <c r="H24" s="63" t="s">
        <v>148</v>
      </c>
      <c r="I24" s="63" t="s">
        <v>149</v>
      </c>
      <c r="J24" s="63" t="s">
        <v>150</v>
      </c>
      <c r="K24" s="63" t="s">
        <v>152</v>
      </c>
      <c r="L24" s="63" t="s">
        <v>153</v>
      </c>
      <c r="M24" s="63" t="s">
        <v>154</v>
      </c>
      <c r="N24" s="62" t="s">
        <v>156</v>
      </c>
      <c r="O24" s="64" t="s">
        <v>158</v>
      </c>
    </row>
    <row r="25" spans="1:15" ht="13" x14ac:dyDescent="0.3">
      <c r="A25" s="100" t="s">
        <v>32</v>
      </c>
      <c r="B25" s="43" t="s">
        <v>27</v>
      </c>
      <c r="C25" s="76">
        <v>48239.575041063676</v>
      </c>
      <c r="D25" s="77">
        <v>47729.427606305464</v>
      </c>
      <c r="E25" s="77">
        <v>49177.96184933927</v>
      </c>
      <c r="F25" s="77">
        <v>46201.359734974911</v>
      </c>
      <c r="G25" s="77">
        <v>38710.548095688951</v>
      </c>
      <c r="H25" s="77">
        <v>37177.973580119193</v>
      </c>
      <c r="I25" s="77">
        <v>27211.308241339895</v>
      </c>
      <c r="J25" s="77">
        <v>18692.550869988085</v>
      </c>
      <c r="K25" s="77">
        <v>21145.79597090574</v>
      </c>
      <c r="L25" s="77">
        <v>14570.698063518752</v>
      </c>
      <c r="M25" s="77">
        <v>12234.521086531666</v>
      </c>
      <c r="N25" s="76">
        <v>76060.628849400397</v>
      </c>
      <c r="O25" s="78">
        <v>75834.881208582126</v>
      </c>
    </row>
    <row r="26" spans="1:15" ht="13" x14ac:dyDescent="0.3">
      <c r="A26" s="101"/>
      <c r="B26" s="51" t="s">
        <v>31</v>
      </c>
      <c r="C26" s="79">
        <v>78503.05577022121</v>
      </c>
      <c r="D26" s="10">
        <v>95073.916590275679</v>
      </c>
      <c r="E26" s="10">
        <v>88802.712022706837</v>
      </c>
      <c r="F26" s="10">
        <v>88803.989004981369</v>
      </c>
      <c r="G26" s="10">
        <v>88517.713977566673</v>
      </c>
      <c r="H26" s="10">
        <v>89285.704042398182</v>
      </c>
      <c r="I26" s="10">
        <v>95786.547296011078</v>
      </c>
      <c r="J26" s="10">
        <v>129985.69816231534</v>
      </c>
      <c r="K26" s="10">
        <v>144298.38080783957</v>
      </c>
      <c r="L26" s="10">
        <v>149223.14039415217</v>
      </c>
      <c r="M26" s="10">
        <v>169850.32841187238</v>
      </c>
      <c r="N26" s="79">
        <v>90095.076091919036</v>
      </c>
      <c r="O26" s="123">
        <v>97066.488857973745</v>
      </c>
    </row>
    <row r="27" spans="1:15" ht="13" x14ac:dyDescent="0.3">
      <c r="A27" s="101"/>
      <c r="B27" s="51" t="s">
        <v>28</v>
      </c>
      <c r="C27" s="79">
        <v>7511.4354495431489</v>
      </c>
      <c r="D27" s="10">
        <v>6998.1162009828495</v>
      </c>
      <c r="E27" s="10">
        <v>7839.1730504994548</v>
      </c>
      <c r="F27" s="10">
        <v>5050.454827492159</v>
      </c>
      <c r="G27" s="10">
        <v>6831.3096396464261</v>
      </c>
      <c r="H27" s="10">
        <v>6177.7688008419555</v>
      </c>
      <c r="I27" s="10">
        <v>10959.760665356305</v>
      </c>
      <c r="J27" s="10">
        <v>9269.5503190618438</v>
      </c>
      <c r="K27" s="10">
        <v>9039.4203671884716</v>
      </c>
      <c r="L27" s="10">
        <v>8020.5370300367213</v>
      </c>
      <c r="M27" s="10">
        <v>20817.113192095276</v>
      </c>
      <c r="N27" s="79">
        <v>25068.468267124616</v>
      </c>
      <c r="O27" s="123">
        <v>13412.501654771644</v>
      </c>
    </row>
    <row r="28" spans="1:15" ht="13" x14ac:dyDescent="0.3">
      <c r="A28" s="101"/>
      <c r="B28" s="51" t="s">
        <v>114</v>
      </c>
      <c r="C28" s="79">
        <v>5884.9183787807533</v>
      </c>
      <c r="D28" s="10">
        <v>4585.1508830362955</v>
      </c>
      <c r="E28" s="10">
        <v>3610.3507808987961</v>
      </c>
      <c r="F28" s="10">
        <v>3617.4827700158585</v>
      </c>
      <c r="G28" s="10">
        <v>5132.1262909321231</v>
      </c>
      <c r="H28" s="10">
        <v>5030.33084332607</v>
      </c>
      <c r="I28" s="10">
        <v>7499.1120776927482</v>
      </c>
      <c r="J28" s="10">
        <v>6309.5890484537067</v>
      </c>
      <c r="K28" s="10">
        <v>2274.1908081447737</v>
      </c>
      <c r="L28" s="10">
        <v>2381.8565210804886</v>
      </c>
      <c r="M28" s="10">
        <v>2385.4950741080079</v>
      </c>
      <c r="N28" s="79">
        <v>1297.0223038762383</v>
      </c>
      <c r="O28" s="123">
        <v>1674.4559621118992</v>
      </c>
    </row>
    <row r="29" spans="1:15" ht="13" x14ac:dyDescent="0.3">
      <c r="A29" s="88" t="s">
        <v>33</v>
      </c>
      <c r="B29" s="89"/>
      <c r="C29" s="102">
        <v>140138.98463960877</v>
      </c>
      <c r="D29" s="110">
        <v>154386.61128060028</v>
      </c>
      <c r="E29" s="110">
        <v>149430.19770344437</v>
      </c>
      <c r="F29" s="110">
        <v>143673.28633746429</v>
      </c>
      <c r="G29" s="110">
        <v>139191.69800383417</v>
      </c>
      <c r="H29" s="110">
        <v>137671.77726668541</v>
      </c>
      <c r="I29" s="110">
        <v>141456.72828040004</v>
      </c>
      <c r="J29" s="110">
        <v>164257.38839981897</v>
      </c>
      <c r="K29" s="110">
        <v>176757.78795407855</v>
      </c>
      <c r="L29" s="110">
        <v>174196.23200878815</v>
      </c>
      <c r="M29" s="110">
        <v>205287.45776460733</v>
      </c>
      <c r="N29" s="102">
        <v>192521.19551232026</v>
      </c>
      <c r="O29" s="103">
        <v>187988.32768343942</v>
      </c>
    </row>
    <row r="30" spans="1:15" ht="13" x14ac:dyDescent="0.3">
      <c r="A30" s="55" t="s">
        <v>20</v>
      </c>
      <c r="B30" s="70"/>
      <c r="C30" s="80">
        <v>140138.98463960877</v>
      </c>
      <c r="D30" s="81">
        <v>154386.61128060028</v>
      </c>
      <c r="E30" s="81">
        <v>149430.19770344437</v>
      </c>
      <c r="F30" s="81">
        <v>143673.28633746429</v>
      </c>
      <c r="G30" s="81">
        <v>139191.69800383417</v>
      </c>
      <c r="H30" s="81">
        <v>137671.77726668541</v>
      </c>
      <c r="I30" s="81">
        <v>141456.72828040004</v>
      </c>
      <c r="J30" s="81">
        <v>164257.38839981897</v>
      </c>
      <c r="K30" s="81">
        <v>176757.78795407855</v>
      </c>
      <c r="L30" s="81">
        <v>174196.23200878815</v>
      </c>
      <c r="M30" s="81">
        <v>205287.45776460733</v>
      </c>
      <c r="N30" s="80">
        <v>192521.19551232026</v>
      </c>
      <c r="O30" s="124">
        <v>187988.32768343942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5" x14ac:dyDescent="0.25"/>
  <sheetData>
    <row r="1" spans="1:1" x14ac:dyDescent="0.25">
      <c r="A1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O44"/>
  <sheetViews>
    <sheetView showGridLines="0" topLeftCell="A18" zoomScale="80" zoomScaleNormal="80" workbookViewId="0">
      <selection activeCell="C24" sqref="C24"/>
    </sheetView>
  </sheetViews>
  <sheetFormatPr defaultRowHeight="12.5" x14ac:dyDescent="0.25"/>
  <cols>
    <col min="1" max="1" width="20.26953125" customWidth="1"/>
    <col min="2" max="2" width="20.08984375" bestFit="1" customWidth="1"/>
    <col min="3" max="16" width="9.1796875" bestFit="1" customWidth="1"/>
  </cols>
  <sheetData>
    <row r="1" spans="1:2" x14ac:dyDescent="0.25">
      <c r="A1" s="46" t="s">
        <v>4</v>
      </c>
      <c r="B1" s="47" t="s">
        <v>2</v>
      </c>
    </row>
    <row r="2" spans="1:2" x14ac:dyDescent="0.25">
      <c r="A2" s="46" t="s">
        <v>5</v>
      </c>
      <c r="B2" s="47" t="s">
        <v>2</v>
      </c>
    </row>
    <row r="3" spans="1:2" x14ac:dyDescent="0.25">
      <c r="A3" s="46" t="s">
        <v>105</v>
      </c>
      <c r="B3" s="47" t="s">
        <v>2</v>
      </c>
    </row>
    <row r="4" spans="1:2" x14ac:dyDescent="0.25">
      <c r="A4" s="46" t="s">
        <v>107</v>
      </c>
      <c r="B4" s="47" t="s">
        <v>2</v>
      </c>
    </row>
    <row r="5" spans="1:2" x14ac:dyDescent="0.25">
      <c r="A5" s="46" t="s">
        <v>108</v>
      </c>
      <c r="B5" s="47" t="s">
        <v>2</v>
      </c>
    </row>
    <row r="6" spans="1:2" x14ac:dyDescent="0.25">
      <c r="A6" s="46" t="s">
        <v>109</v>
      </c>
      <c r="B6" s="47" t="s">
        <v>2</v>
      </c>
    </row>
    <row r="7" spans="1:2" x14ac:dyDescent="0.25">
      <c r="A7" s="46" t="s">
        <v>18</v>
      </c>
      <c r="B7" s="47" t="s">
        <v>2</v>
      </c>
    </row>
    <row r="8" spans="1:2" x14ac:dyDescent="0.25">
      <c r="A8" s="46" t="s">
        <v>19</v>
      </c>
      <c r="B8" s="47" t="s">
        <v>2</v>
      </c>
    </row>
    <row r="9" spans="1:2" x14ac:dyDescent="0.25">
      <c r="A9" s="46" t="s">
        <v>121</v>
      </c>
      <c r="B9" s="47" t="s">
        <v>2</v>
      </c>
    </row>
    <row r="10" spans="1:2" x14ac:dyDescent="0.25">
      <c r="A10" s="46" t="s">
        <v>8</v>
      </c>
      <c r="B10" s="47" t="s">
        <v>2</v>
      </c>
    </row>
    <row r="11" spans="1:2" x14ac:dyDescent="0.25">
      <c r="A11" s="46" t="s">
        <v>9</v>
      </c>
      <c r="B11" s="47" t="s">
        <v>2</v>
      </c>
    </row>
    <row r="12" spans="1:2" x14ac:dyDescent="0.25">
      <c r="A12" s="46" t="s">
        <v>10</v>
      </c>
      <c r="B12" s="47" t="s">
        <v>68</v>
      </c>
    </row>
    <row r="13" spans="1:2" ht="13" x14ac:dyDescent="0.3">
      <c r="A13" s="61" t="s">
        <v>11</v>
      </c>
      <c r="B13" s="54" t="s">
        <v>2</v>
      </c>
    </row>
    <row r="14" spans="1:2" x14ac:dyDescent="0.25">
      <c r="A14" s="46" t="s">
        <v>12</v>
      </c>
      <c r="B14" s="47" t="s">
        <v>103</v>
      </c>
    </row>
    <row r="15" spans="1:2" x14ac:dyDescent="0.25">
      <c r="A15" s="46" t="s">
        <v>13</v>
      </c>
      <c r="B15" s="47" t="s">
        <v>2</v>
      </c>
    </row>
    <row r="16" spans="1:2" x14ac:dyDescent="0.25">
      <c r="A16" s="46" t="s">
        <v>22</v>
      </c>
      <c r="B16" s="47" t="s">
        <v>2</v>
      </c>
    </row>
    <row r="17" spans="1:15" x14ac:dyDescent="0.25">
      <c r="A17" s="46" t="s">
        <v>14</v>
      </c>
      <c r="B17" s="47" t="s">
        <v>2</v>
      </c>
    </row>
    <row r="18" spans="1:15" x14ac:dyDescent="0.25">
      <c r="A18" s="46" t="s">
        <v>15</v>
      </c>
      <c r="B18" s="47" t="s">
        <v>2</v>
      </c>
    </row>
    <row r="19" spans="1:15" x14ac:dyDescent="0.25">
      <c r="A19" s="46" t="s">
        <v>6</v>
      </c>
      <c r="B19" s="47" t="s">
        <v>21</v>
      </c>
    </row>
    <row r="20" spans="1:15" x14ac:dyDescent="0.25">
      <c r="A20" s="46" t="s">
        <v>7</v>
      </c>
      <c r="B20" s="47" t="s">
        <v>2</v>
      </c>
    </row>
    <row r="22" spans="1:15" x14ac:dyDescent="0.25">
      <c r="A22" s="39" t="s">
        <v>0</v>
      </c>
      <c r="B22" s="40"/>
      <c r="C22" s="39" t="s">
        <v>1</v>
      </c>
      <c r="D22" s="48" t="s">
        <v>3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</row>
    <row r="23" spans="1:15" x14ac:dyDescent="0.25">
      <c r="A23" s="42"/>
      <c r="B23" s="12"/>
      <c r="C23" s="68" t="s">
        <v>135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5" t="s">
        <v>155</v>
      </c>
      <c r="O23" s="121"/>
    </row>
    <row r="24" spans="1:15" ht="13" x14ac:dyDescent="0.3">
      <c r="A24" s="67" t="s">
        <v>106</v>
      </c>
      <c r="B24" s="67" t="s">
        <v>104</v>
      </c>
      <c r="C24" s="62" t="s">
        <v>137</v>
      </c>
      <c r="D24" s="63" t="s">
        <v>144</v>
      </c>
      <c r="E24" s="63" t="s">
        <v>145</v>
      </c>
      <c r="F24" s="63" t="s">
        <v>146</v>
      </c>
      <c r="G24" s="63" t="s">
        <v>147</v>
      </c>
      <c r="H24" s="63" t="s">
        <v>148</v>
      </c>
      <c r="I24" s="63" t="s">
        <v>149</v>
      </c>
      <c r="J24" s="63" t="s">
        <v>150</v>
      </c>
      <c r="K24" s="63" t="s">
        <v>152</v>
      </c>
      <c r="L24" s="63" t="s">
        <v>153</v>
      </c>
      <c r="M24" s="63" t="s">
        <v>154</v>
      </c>
      <c r="N24" s="62" t="s">
        <v>156</v>
      </c>
      <c r="O24" s="64" t="s">
        <v>158</v>
      </c>
    </row>
    <row r="25" spans="1:15" x14ac:dyDescent="0.25">
      <c r="A25" s="43" t="s">
        <v>110</v>
      </c>
      <c r="B25" s="43" t="s">
        <v>27</v>
      </c>
      <c r="C25" s="76">
        <v>8675.2948511146678</v>
      </c>
      <c r="D25" s="77">
        <v>8709.2411880076816</v>
      </c>
      <c r="E25" s="77">
        <v>8158.9934380585746</v>
      </c>
      <c r="F25" s="77">
        <v>7057.6689878113229</v>
      </c>
      <c r="G25" s="77">
        <v>7030.6279648713298</v>
      </c>
      <c r="H25" s="77">
        <v>6475.0209884692158</v>
      </c>
      <c r="I25" s="77">
        <v>4573.5066415908468</v>
      </c>
      <c r="J25" s="77">
        <v>3157.3707782736665</v>
      </c>
      <c r="K25" s="77">
        <v>2322.5808084178948</v>
      </c>
      <c r="L25" s="77">
        <v>1137.0455402732071</v>
      </c>
      <c r="M25" s="77">
        <v>1142.3958555674758</v>
      </c>
      <c r="N25" s="76">
        <v>10135.237063370534</v>
      </c>
      <c r="O25" s="78">
        <v>10346.149466881912</v>
      </c>
    </row>
    <row r="26" spans="1:15" x14ac:dyDescent="0.25">
      <c r="A26" s="42"/>
      <c r="B26" s="51" t="s">
        <v>31</v>
      </c>
      <c r="C26" s="79">
        <v>10460.623915301641</v>
      </c>
      <c r="D26" s="10">
        <v>12240.315126972633</v>
      </c>
      <c r="E26" s="10">
        <v>13282.719652608308</v>
      </c>
      <c r="F26" s="10">
        <v>13524.222397299231</v>
      </c>
      <c r="G26" s="10">
        <v>13178.063535967573</v>
      </c>
      <c r="H26" s="10">
        <v>13346.874507723689</v>
      </c>
      <c r="I26" s="10">
        <v>13757.720564412815</v>
      </c>
      <c r="J26" s="10">
        <v>23751.952002689744</v>
      </c>
      <c r="K26" s="10">
        <v>30345.488617655425</v>
      </c>
      <c r="L26" s="10">
        <v>32259.086614013511</v>
      </c>
      <c r="M26" s="10">
        <v>28979.643455380014</v>
      </c>
      <c r="N26" s="79">
        <v>18235.972193374844</v>
      </c>
      <c r="O26" s="123">
        <v>18731.046110355033</v>
      </c>
    </row>
    <row r="27" spans="1:15" x14ac:dyDescent="0.25">
      <c r="A27" s="42"/>
      <c r="B27" s="51" t="s">
        <v>28</v>
      </c>
      <c r="C27" s="79">
        <v>4394.2380592494565</v>
      </c>
      <c r="D27" s="10">
        <v>4706.1638693281602</v>
      </c>
      <c r="E27" s="10">
        <v>5959.9741580593545</v>
      </c>
      <c r="F27" s="10">
        <v>2811.2468535139296</v>
      </c>
      <c r="G27" s="10">
        <v>1949.0185486456062</v>
      </c>
      <c r="H27" s="10">
        <v>2051.9298321194169</v>
      </c>
      <c r="I27" s="10">
        <v>2140.9108437583095</v>
      </c>
      <c r="J27" s="10">
        <v>1133.4422119288113</v>
      </c>
      <c r="K27" s="10">
        <v>763.30606075460241</v>
      </c>
      <c r="L27" s="10">
        <v>943.29324594591776</v>
      </c>
      <c r="M27" s="10">
        <v>8749.7383848880781</v>
      </c>
      <c r="N27" s="79">
        <v>8034.9785843989603</v>
      </c>
      <c r="O27" s="123">
        <v>726.36785973333633</v>
      </c>
    </row>
    <row r="28" spans="1:15" x14ac:dyDescent="0.25">
      <c r="A28" s="42"/>
      <c r="B28" s="51" t="s">
        <v>114</v>
      </c>
      <c r="C28" s="79">
        <v>4234.7509362242554</v>
      </c>
      <c r="D28" s="10">
        <v>3560.6102404797934</v>
      </c>
      <c r="E28" s="10">
        <v>2554.132761598139</v>
      </c>
      <c r="F28" s="10">
        <v>2532.9360486220689</v>
      </c>
      <c r="G28" s="10">
        <v>4460.7720695383332</v>
      </c>
      <c r="H28" s="10">
        <v>4394.184947513796</v>
      </c>
      <c r="I28" s="10">
        <v>6896.0644520996784</v>
      </c>
      <c r="J28" s="10">
        <v>5069.3056370599188</v>
      </c>
      <c r="K28" s="10">
        <v>1853.7975037262584</v>
      </c>
      <c r="L28" s="10">
        <v>1964.0910266619724</v>
      </c>
      <c r="M28" s="10">
        <v>1968.5916596894924</v>
      </c>
      <c r="N28" s="79">
        <v>1231.5095497854024</v>
      </c>
      <c r="O28" s="123">
        <v>1145.4881380210836</v>
      </c>
    </row>
    <row r="29" spans="1:15" ht="13" x14ac:dyDescent="0.3">
      <c r="A29" s="71" t="s">
        <v>112</v>
      </c>
      <c r="B29" s="72"/>
      <c r="C29" s="82">
        <v>27764.907761890023</v>
      </c>
      <c r="D29" s="83">
        <v>29216.330424788266</v>
      </c>
      <c r="E29" s="83">
        <v>29955.820010324376</v>
      </c>
      <c r="F29" s="83">
        <v>25926.074287246553</v>
      </c>
      <c r="G29" s="83">
        <v>26618.482119022843</v>
      </c>
      <c r="H29" s="83">
        <v>26268.01027582612</v>
      </c>
      <c r="I29" s="83">
        <v>27368.202501861651</v>
      </c>
      <c r="J29" s="83">
        <v>33112.070629952141</v>
      </c>
      <c r="K29" s="83">
        <v>35285.17299055418</v>
      </c>
      <c r="L29" s="83">
        <v>36303.51642689461</v>
      </c>
      <c r="M29" s="83">
        <v>40840.369355525057</v>
      </c>
      <c r="N29" s="82">
        <v>37637.697390929745</v>
      </c>
      <c r="O29" s="125">
        <v>30949.051574991365</v>
      </c>
    </row>
    <row r="30" spans="1:15" x14ac:dyDescent="0.25">
      <c r="A30" s="43" t="s">
        <v>111</v>
      </c>
      <c r="B30" s="43" t="s">
        <v>27</v>
      </c>
      <c r="C30" s="76">
        <v>25645.346208613519</v>
      </c>
      <c r="D30" s="77">
        <v>25616.389389431297</v>
      </c>
      <c r="E30" s="77">
        <v>27732.822814396401</v>
      </c>
      <c r="F30" s="77">
        <v>25491.081508354182</v>
      </c>
      <c r="G30" s="77">
        <v>18776.18561633335</v>
      </c>
      <c r="H30" s="77">
        <v>18334.069639456033</v>
      </c>
      <c r="I30" s="77">
        <v>11954.310098016556</v>
      </c>
      <c r="J30" s="77">
        <v>7904.6127887489247</v>
      </c>
      <c r="K30" s="77">
        <v>11939.064062236323</v>
      </c>
      <c r="L30" s="77">
        <v>9950.2452967366844</v>
      </c>
      <c r="M30" s="77">
        <v>9789.5924589430615</v>
      </c>
      <c r="N30" s="76">
        <v>40191.883417799225</v>
      </c>
      <c r="O30" s="78">
        <v>39886.825588060114</v>
      </c>
    </row>
    <row r="31" spans="1:15" x14ac:dyDescent="0.25">
      <c r="A31" s="42"/>
      <c r="B31" s="51" t="s">
        <v>31</v>
      </c>
      <c r="C31" s="79">
        <v>53466.089793554187</v>
      </c>
      <c r="D31" s="10">
        <v>66024.523904847418</v>
      </c>
      <c r="E31" s="10">
        <v>58201.877626675589</v>
      </c>
      <c r="F31" s="10">
        <v>58287.756192503868</v>
      </c>
      <c r="G31" s="10">
        <v>57662.324539950401</v>
      </c>
      <c r="H31" s="10">
        <v>57874.134479320033</v>
      </c>
      <c r="I31" s="10">
        <v>62868.352278846221</v>
      </c>
      <c r="J31" s="10">
        <v>80152.98679425467</v>
      </c>
      <c r="K31" s="10">
        <v>86150.171370939293</v>
      </c>
      <c r="L31" s="10">
        <v>88248.101996527228</v>
      </c>
      <c r="M31" s="10">
        <v>107805.8920707598</v>
      </c>
      <c r="N31" s="79">
        <v>54843.935735605424</v>
      </c>
      <c r="O31" s="123">
        <v>59675.182450238062</v>
      </c>
    </row>
    <row r="32" spans="1:15" x14ac:dyDescent="0.25">
      <c r="A32" s="42"/>
      <c r="B32" s="51" t="s">
        <v>28</v>
      </c>
      <c r="C32" s="79">
        <v>1230.2635336590999</v>
      </c>
      <c r="D32" s="10">
        <v>749.48662881191717</v>
      </c>
      <c r="E32" s="10">
        <v>675.48692288587586</v>
      </c>
      <c r="F32" s="10">
        <v>990.38465738850448</v>
      </c>
      <c r="G32" s="10">
        <v>3545.1423427949303</v>
      </c>
      <c r="H32" s="10">
        <v>2919.392477930694</v>
      </c>
      <c r="I32" s="10">
        <v>7332.3636408035527</v>
      </c>
      <c r="J32" s="10">
        <v>7171.7714072304452</v>
      </c>
      <c r="K32" s="10">
        <v>7293.867565363109</v>
      </c>
      <c r="L32" s="10">
        <v>5493.3410874328238</v>
      </c>
      <c r="M32" s="10">
        <v>11322.588395264878</v>
      </c>
      <c r="N32" s="79">
        <v>15999.741086526166</v>
      </c>
      <c r="O32" s="123">
        <v>11861.267853074592</v>
      </c>
    </row>
    <row r="33" spans="1:15" ht="13" x14ac:dyDescent="0.3">
      <c r="A33" s="71" t="s">
        <v>113</v>
      </c>
      <c r="B33" s="72"/>
      <c r="C33" s="82">
        <v>80341.699535826803</v>
      </c>
      <c r="D33" s="83">
        <v>92390.399923090634</v>
      </c>
      <c r="E33" s="83">
        <v>86610.18736395787</v>
      </c>
      <c r="F33" s="83">
        <v>84769.222358246552</v>
      </c>
      <c r="G33" s="83">
        <v>79983.652499078686</v>
      </c>
      <c r="H33" s="83">
        <v>79127.59659670676</v>
      </c>
      <c r="I33" s="83">
        <v>82155.026017666329</v>
      </c>
      <c r="J33" s="83">
        <v>95229.370990234049</v>
      </c>
      <c r="K33" s="83">
        <v>105383.10299853873</v>
      </c>
      <c r="L33" s="83">
        <v>103691.68838069674</v>
      </c>
      <c r="M33" s="83">
        <v>128918.07292496774</v>
      </c>
      <c r="N33" s="82">
        <v>111035.56023993081</v>
      </c>
      <c r="O33" s="125">
        <v>111423.27589137276</v>
      </c>
    </row>
    <row r="34" spans="1:15" x14ac:dyDescent="0.25">
      <c r="A34" s="43" t="s">
        <v>138</v>
      </c>
      <c r="B34" s="43" t="s">
        <v>27</v>
      </c>
      <c r="C34" s="76">
        <v>11031.47738133546</v>
      </c>
      <c r="D34" s="77">
        <v>10539.509178866474</v>
      </c>
      <c r="E34" s="77">
        <v>10708.182746884275</v>
      </c>
      <c r="F34" s="77">
        <v>11328.157928809409</v>
      </c>
      <c r="G34" s="77">
        <v>11235.381454484252</v>
      </c>
      <c r="H34" s="77">
        <v>10943.04173219394</v>
      </c>
      <c r="I34" s="77">
        <v>9551.4286217324989</v>
      </c>
      <c r="J34" s="77">
        <v>6738.5561729654955</v>
      </c>
      <c r="K34" s="77">
        <v>6305.7250302515313</v>
      </c>
      <c r="L34" s="77">
        <v>3181.0420665088614</v>
      </c>
      <c r="M34" s="77">
        <v>1054.1560320211299</v>
      </c>
      <c r="N34" s="76">
        <v>20754.404948230629</v>
      </c>
      <c r="O34" s="78">
        <v>21080.645713640115</v>
      </c>
    </row>
    <row r="35" spans="1:15" x14ac:dyDescent="0.25">
      <c r="A35" s="42"/>
      <c r="B35" s="51" t="s">
        <v>31</v>
      </c>
      <c r="C35" s="79">
        <v>13231.813791365343</v>
      </c>
      <c r="D35" s="10">
        <v>14034.31983845566</v>
      </c>
      <c r="E35" s="10">
        <v>14480.269183422974</v>
      </c>
      <c r="F35" s="10">
        <v>14333.870955178252</v>
      </c>
      <c r="G35" s="10">
        <v>14706.641381648689</v>
      </c>
      <c r="H35" s="10">
        <v>14562.421545354504</v>
      </c>
      <c r="I35" s="10">
        <v>15626.611612752089</v>
      </c>
      <c r="J35" s="10">
        <v>21609.793465370934</v>
      </c>
      <c r="K35" s="10">
        <v>22387.409239244858</v>
      </c>
      <c r="L35" s="10">
        <v>24380.09333361137</v>
      </c>
      <c r="M35" s="10">
        <v>25684.749055732635</v>
      </c>
      <c r="N35" s="79">
        <v>13164.959992938824</v>
      </c>
      <c r="O35" s="123">
        <v>15019.095797380684</v>
      </c>
    </row>
    <row r="36" spans="1:15" x14ac:dyDescent="0.25">
      <c r="A36" s="42"/>
      <c r="B36" s="51" t="s">
        <v>28</v>
      </c>
      <c r="C36" s="79">
        <v>1415.2481666345911</v>
      </c>
      <c r="D36" s="10">
        <v>1226.2461428427744</v>
      </c>
      <c r="E36" s="10">
        <v>812.78010955422474</v>
      </c>
      <c r="F36" s="10">
        <v>850.71528658972795</v>
      </c>
      <c r="G36" s="10">
        <v>864.59194820589278</v>
      </c>
      <c r="H36" s="10">
        <v>812.04813079184657</v>
      </c>
      <c r="I36" s="10">
        <v>901.07964079444616</v>
      </c>
      <c r="J36" s="10">
        <v>699.39747990258854</v>
      </c>
      <c r="K36" s="10">
        <v>941.71881107075887</v>
      </c>
      <c r="L36" s="10">
        <v>1460.1723766579787</v>
      </c>
      <c r="M36" s="10">
        <v>518.05765194231901</v>
      </c>
      <c r="N36" s="79">
        <v>717.77094619948502</v>
      </c>
      <c r="O36" s="123">
        <v>442.64681196371106</v>
      </c>
    </row>
    <row r="37" spans="1:15" x14ac:dyDescent="0.25">
      <c r="A37" s="42"/>
      <c r="B37" s="51" t="s">
        <v>114</v>
      </c>
      <c r="C37" s="79">
        <v>806.11623255649965</v>
      </c>
      <c r="D37" s="10">
        <v>812.20880255649968</v>
      </c>
      <c r="E37" s="10">
        <v>825.71577930065689</v>
      </c>
      <c r="F37" s="10">
        <v>842.85415139379006</v>
      </c>
      <c r="G37" s="10">
        <v>502.85512139379</v>
      </c>
      <c r="H37" s="10">
        <v>467.64679581227381</v>
      </c>
      <c r="I37" s="10">
        <v>438.83234559306993</v>
      </c>
      <c r="J37" s="10">
        <v>410.16158139379002</v>
      </c>
      <c r="K37" s="10">
        <v>23.337174418516</v>
      </c>
      <c r="L37" s="10">
        <v>23.337174418516</v>
      </c>
      <c r="M37" s="10">
        <v>23.337174418516</v>
      </c>
      <c r="N37" s="79">
        <v>33.906784090836098</v>
      </c>
      <c r="O37" s="123">
        <v>503.13330409081573</v>
      </c>
    </row>
    <row r="38" spans="1:15" ht="13" x14ac:dyDescent="0.3">
      <c r="A38" s="71" t="s">
        <v>139</v>
      </c>
      <c r="B38" s="72"/>
      <c r="C38" s="82">
        <v>26484.655571891893</v>
      </c>
      <c r="D38" s="83">
        <v>26612.283962721405</v>
      </c>
      <c r="E38" s="83">
        <v>26826.947819162127</v>
      </c>
      <c r="F38" s="83">
        <v>27355.598321971178</v>
      </c>
      <c r="G38" s="83">
        <v>27309.469905732625</v>
      </c>
      <c r="H38" s="83">
        <v>26785.158204152562</v>
      </c>
      <c r="I38" s="83">
        <v>26517.952220872103</v>
      </c>
      <c r="J38" s="83">
        <v>29457.908699632808</v>
      </c>
      <c r="K38" s="83">
        <v>29658.190254985664</v>
      </c>
      <c r="L38" s="83">
        <v>29044.644951196726</v>
      </c>
      <c r="M38" s="83">
        <v>27280.299914114599</v>
      </c>
      <c r="N38" s="82">
        <v>34671.042671459771</v>
      </c>
      <c r="O38" s="125">
        <v>37045.521627075323</v>
      </c>
    </row>
    <row r="39" spans="1:15" x14ac:dyDescent="0.25">
      <c r="A39" s="43" t="s">
        <v>140</v>
      </c>
      <c r="B39" s="43" t="s">
        <v>27</v>
      </c>
      <c r="C39" s="76">
        <v>2887.4566</v>
      </c>
      <c r="D39" s="77">
        <v>2864.2878500000002</v>
      </c>
      <c r="E39" s="77">
        <v>2577.9628500000003</v>
      </c>
      <c r="F39" s="77">
        <v>2324.4513099999999</v>
      </c>
      <c r="G39" s="77">
        <v>1668.3530600000001</v>
      </c>
      <c r="H39" s="77">
        <v>1425.84122</v>
      </c>
      <c r="I39" s="77">
        <v>1132.06288</v>
      </c>
      <c r="J39" s="77">
        <v>892.01113000000021</v>
      </c>
      <c r="K39" s="77">
        <v>578.42606999999998</v>
      </c>
      <c r="L39" s="77">
        <v>302.36515999999995</v>
      </c>
      <c r="M39" s="77">
        <v>248.37673999999998</v>
      </c>
      <c r="N39" s="76">
        <v>4979.1034199999995</v>
      </c>
      <c r="O39" s="78">
        <v>4521.26044</v>
      </c>
    </row>
    <row r="40" spans="1:15" x14ac:dyDescent="0.25">
      <c r="A40" s="42"/>
      <c r="B40" s="51" t="s">
        <v>31</v>
      </c>
      <c r="C40" s="79">
        <v>1344.52827</v>
      </c>
      <c r="D40" s="10">
        <v>2774.7577200000001</v>
      </c>
      <c r="E40" s="10">
        <v>2837.8455600000002</v>
      </c>
      <c r="F40" s="10">
        <v>2658.1394600000003</v>
      </c>
      <c r="G40" s="10">
        <v>2970.6845200000002</v>
      </c>
      <c r="H40" s="10">
        <v>3502.27351</v>
      </c>
      <c r="I40" s="10">
        <v>3533.8628400000002</v>
      </c>
      <c r="J40" s="10">
        <v>4470.9659000000001</v>
      </c>
      <c r="K40" s="10">
        <v>5415.3115800000014</v>
      </c>
      <c r="L40" s="10">
        <v>4335.8584500000006</v>
      </c>
      <c r="M40" s="10">
        <v>7380.0438299999987</v>
      </c>
      <c r="N40" s="79">
        <v>3850.2081699999999</v>
      </c>
      <c r="O40" s="123">
        <v>3641.1644999999994</v>
      </c>
    </row>
    <row r="41" spans="1:15" x14ac:dyDescent="0.25">
      <c r="A41" s="42"/>
      <c r="B41" s="51" t="s">
        <v>28</v>
      </c>
      <c r="C41" s="79">
        <v>471.68568999999997</v>
      </c>
      <c r="D41" s="10">
        <v>316.21956</v>
      </c>
      <c r="E41" s="10">
        <v>390.93186000000003</v>
      </c>
      <c r="F41" s="10">
        <v>398.10803000000004</v>
      </c>
      <c r="G41" s="10">
        <v>472.55680000000001</v>
      </c>
      <c r="H41" s="10">
        <v>394.39835999999997</v>
      </c>
      <c r="I41" s="10">
        <v>585.40653999999995</v>
      </c>
      <c r="J41" s="10">
        <v>264.93922000000003</v>
      </c>
      <c r="K41" s="10">
        <v>40.527929999999998</v>
      </c>
      <c r="L41" s="10">
        <v>123.73031999999999</v>
      </c>
      <c r="M41" s="10">
        <v>226.72875999999999</v>
      </c>
      <c r="N41" s="79">
        <v>315.97764999999998</v>
      </c>
      <c r="O41" s="123">
        <v>382.21912999999995</v>
      </c>
    </row>
    <row r="42" spans="1:15" x14ac:dyDescent="0.25">
      <c r="A42" s="42"/>
      <c r="B42" s="51" t="s">
        <v>114</v>
      </c>
      <c r="C42" s="79">
        <v>844.05121000000008</v>
      </c>
      <c r="D42" s="10">
        <v>212.33183999999997</v>
      </c>
      <c r="E42" s="10">
        <v>230.50224</v>
      </c>
      <c r="F42" s="10">
        <v>241.69256999999999</v>
      </c>
      <c r="G42" s="10">
        <v>168.49910000000003</v>
      </c>
      <c r="H42" s="10">
        <v>168.49910000000003</v>
      </c>
      <c r="I42" s="10">
        <v>164.21528000000001</v>
      </c>
      <c r="J42" s="10">
        <v>830.12183000000005</v>
      </c>
      <c r="K42" s="10">
        <v>397.05613</v>
      </c>
      <c r="L42" s="10">
        <v>394.42831999999999</v>
      </c>
      <c r="M42" s="10">
        <v>393.56623999999999</v>
      </c>
      <c r="N42" s="79">
        <v>31.605969999999999</v>
      </c>
      <c r="O42" s="123">
        <v>25.834520000000001</v>
      </c>
    </row>
    <row r="43" spans="1:15" ht="13" x14ac:dyDescent="0.3">
      <c r="A43" s="71" t="s">
        <v>141</v>
      </c>
      <c r="B43" s="72"/>
      <c r="C43" s="82">
        <v>5547.7217700000001</v>
      </c>
      <c r="D43" s="83">
        <v>6167.5969699999996</v>
      </c>
      <c r="E43" s="83">
        <v>6037.24251</v>
      </c>
      <c r="F43" s="83">
        <v>5622.3913700000012</v>
      </c>
      <c r="G43" s="83">
        <v>5280.0934800000005</v>
      </c>
      <c r="H43" s="83">
        <v>5491.0121900000004</v>
      </c>
      <c r="I43" s="83">
        <v>5415.5475400000005</v>
      </c>
      <c r="J43" s="83">
        <v>6458.0380800000003</v>
      </c>
      <c r="K43" s="83">
        <v>6431.3217100000011</v>
      </c>
      <c r="L43" s="83">
        <v>5156.3822500000006</v>
      </c>
      <c r="M43" s="83">
        <v>8248.7155699999985</v>
      </c>
      <c r="N43" s="82">
        <v>9176.8952100000006</v>
      </c>
      <c r="O43" s="125">
        <v>8570.4785899999988</v>
      </c>
    </row>
    <row r="44" spans="1:15" ht="13" x14ac:dyDescent="0.3">
      <c r="A44" s="55" t="s">
        <v>20</v>
      </c>
      <c r="B44" s="70"/>
      <c r="C44" s="80">
        <v>140138.98463960874</v>
      </c>
      <c r="D44" s="81">
        <v>154386.61128060031</v>
      </c>
      <c r="E44" s="81">
        <v>149430.1977034444</v>
      </c>
      <c r="F44" s="81">
        <v>143673.28633746429</v>
      </c>
      <c r="G44" s="81">
        <v>139191.69800383417</v>
      </c>
      <c r="H44" s="81">
        <v>137671.77726668544</v>
      </c>
      <c r="I44" s="81">
        <v>141456.7282804001</v>
      </c>
      <c r="J44" s="81">
        <v>164257.38839981897</v>
      </c>
      <c r="K44" s="81">
        <v>176757.78795407858</v>
      </c>
      <c r="L44" s="81">
        <v>174196.23200878809</v>
      </c>
      <c r="M44" s="81">
        <v>205287.45776460739</v>
      </c>
      <c r="N44" s="80">
        <v>192521.19551232029</v>
      </c>
      <c r="O44" s="124">
        <v>187988.32768343951</v>
      </c>
    </row>
  </sheetData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3:C23"/>
  <sheetViews>
    <sheetView showGridLines="0" workbookViewId="0">
      <selection activeCell="A21" sqref="A21"/>
    </sheetView>
  </sheetViews>
  <sheetFormatPr defaultRowHeight="12.5" x14ac:dyDescent="0.25"/>
  <cols>
    <col min="1" max="1" width="14.1796875" customWidth="1"/>
    <col min="2" max="2" width="17.26953125" customWidth="1"/>
    <col min="3" max="3" width="11.26953125" customWidth="1"/>
    <col min="4" max="4" width="5.54296875" customWidth="1"/>
    <col min="5" max="12" width="4.6328125" bestFit="1" customWidth="1"/>
  </cols>
  <sheetData>
    <row r="3" spans="1:2" x14ac:dyDescent="0.25">
      <c r="A3" s="2" t="s">
        <v>1</v>
      </c>
      <c r="B3" s="3" t="s">
        <v>30</v>
      </c>
    </row>
    <row r="4" spans="1:2" x14ac:dyDescent="0.25">
      <c r="A4" s="2" t="s">
        <v>3</v>
      </c>
      <c r="B4" s="3" t="s">
        <v>2</v>
      </c>
    </row>
    <row r="5" spans="1:2" x14ac:dyDescent="0.25">
      <c r="A5" s="2" t="s">
        <v>4</v>
      </c>
      <c r="B5" s="3" t="s">
        <v>2</v>
      </c>
    </row>
    <row r="6" spans="1:2" x14ac:dyDescent="0.25">
      <c r="A6" s="2" t="s">
        <v>17</v>
      </c>
      <c r="B6" s="3" t="s">
        <v>2</v>
      </c>
    </row>
    <row r="7" spans="1:2" x14ac:dyDescent="0.25">
      <c r="A7" s="2" t="s">
        <v>18</v>
      </c>
      <c r="B7" s="3" t="s">
        <v>2</v>
      </c>
    </row>
    <row r="8" spans="1:2" x14ac:dyDescent="0.25">
      <c r="A8" s="2" t="s">
        <v>19</v>
      </c>
      <c r="B8" s="3" t="s">
        <v>2</v>
      </c>
    </row>
    <row r="9" spans="1:2" x14ac:dyDescent="0.25">
      <c r="A9" s="2" t="s">
        <v>8</v>
      </c>
      <c r="B9" s="3" t="s">
        <v>2</v>
      </c>
    </row>
    <row r="10" spans="1:2" x14ac:dyDescent="0.25">
      <c r="A10" s="2" t="s">
        <v>9</v>
      </c>
      <c r="B10" s="3" t="s">
        <v>2</v>
      </c>
    </row>
    <row r="11" spans="1:2" x14ac:dyDescent="0.25">
      <c r="A11" s="2" t="s">
        <v>10</v>
      </c>
      <c r="B11" s="3" t="s">
        <v>26</v>
      </c>
    </row>
    <row r="12" spans="1:2" x14ac:dyDescent="0.25">
      <c r="A12" s="2" t="s">
        <v>11</v>
      </c>
      <c r="B12" s="3" t="s">
        <v>2</v>
      </c>
    </row>
    <row r="13" spans="1:2" x14ac:dyDescent="0.25">
      <c r="A13" s="2" t="s">
        <v>12</v>
      </c>
      <c r="B13" s="3" t="s">
        <v>2</v>
      </c>
    </row>
    <row r="14" spans="1:2" x14ac:dyDescent="0.25">
      <c r="A14" s="2" t="s">
        <v>13</v>
      </c>
      <c r="B14" s="3" t="s">
        <v>2</v>
      </c>
    </row>
    <row r="15" spans="1:2" x14ac:dyDescent="0.25">
      <c r="A15" s="2" t="s">
        <v>22</v>
      </c>
      <c r="B15" s="3" t="s">
        <v>2</v>
      </c>
    </row>
    <row r="16" spans="1:2" x14ac:dyDescent="0.25">
      <c r="A16" s="2" t="s">
        <v>14</v>
      </c>
      <c r="B16" s="3" t="s">
        <v>2</v>
      </c>
    </row>
    <row r="17" spans="1:3" x14ac:dyDescent="0.25">
      <c r="A17" s="2" t="s">
        <v>15</v>
      </c>
      <c r="B17" s="3" t="s">
        <v>2</v>
      </c>
    </row>
    <row r="18" spans="1:3" x14ac:dyDescent="0.25">
      <c r="A18" s="2" t="s">
        <v>6</v>
      </c>
      <c r="B18" s="3" t="s">
        <v>21</v>
      </c>
    </row>
    <row r="19" spans="1:3" x14ac:dyDescent="0.25">
      <c r="A19" s="2" t="s">
        <v>7</v>
      </c>
      <c r="B19" s="3" t="s">
        <v>2</v>
      </c>
    </row>
    <row r="21" spans="1:3" x14ac:dyDescent="0.25">
      <c r="A21" s="1" t="s">
        <v>0</v>
      </c>
      <c r="B21" s="4"/>
      <c r="C21" s="7" t="s">
        <v>5</v>
      </c>
    </row>
    <row r="22" spans="1:3" x14ac:dyDescent="0.25">
      <c r="A22" s="1" t="s">
        <v>23</v>
      </c>
      <c r="B22" s="1" t="s">
        <v>16</v>
      </c>
      <c r="C22" s="8"/>
    </row>
    <row r="23" spans="1:3" x14ac:dyDescent="0.25">
      <c r="A23" s="5" t="s">
        <v>20</v>
      </c>
      <c r="B23" s="6"/>
      <c r="C23" s="9"/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ab1cca059afdcc7808f72683f696f59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77f4f5bd174f8ff4fcc35dfc90908527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3E1CC-8E35-4338-96DB-94A910BCCD52}">
  <ds:schemaRefs>
    <ds:schemaRef ds:uri="http://www.sap.com/ip/bi/bexanalyzer/excel/application"/>
  </ds:schemaRefs>
</ds:datastoreItem>
</file>

<file path=customXml/itemProps2.xml><?xml version="1.0" encoding="utf-8"?>
<ds:datastoreItem xmlns:ds="http://schemas.openxmlformats.org/officeDocument/2006/customXml" ds:itemID="{D73B6404-6D3B-444A-B0BD-625E79E98FDD}"/>
</file>

<file path=customXml/itemProps3.xml><?xml version="1.0" encoding="utf-8"?>
<ds:datastoreItem xmlns:ds="http://schemas.openxmlformats.org/officeDocument/2006/customXml" ds:itemID="{BB808F78-D42B-4A5A-8255-79945DA700B3}"/>
</file>

<file path=customXml/itemProps4.xml><?xml version="1.0" encoding="utf-8"?>
<ds:datastoreItem xmlns:ds="http://schemas.openxmlformats.org/officeDocument/2006/customXml" ds:itemID="{C9E30C6C-9D2D-4EB3-98D4-B1D7D75B2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Default pivot</vt:lpstr>
      <vt:lpstr>Total OB evo</vt:lpstr>
      <vt:lpstr>S1 per region</vt:lpstr>
      <vt:lpstr>S1 per RevStr</vt:lpstr>
      <vt:lpstr>S1 per RevStr (2)</vt:lpstr>
      <vt:lpstr>S2 per region</vt:lpstr>
      <vt:lpstr>S2 per RevStr</vt:lpstr>
      <vt:lpstr>S4 per region</vt:lpstr>
      <vt:lpstr>S4 per RevStr</vt:lpstr>
      <vt:lpstr>IT per RevStr</vt:lpstr>
      <vt:lpstr>S1 per region (2)</vt:lpstr>
      <vt:lpstr>S2 per region (2)</vt:lpstr>
      <vt:lpstr>IT per RevStr Grp</vt:lpstr>
      <vt:lpstr>IT per RevStr (2)</vt:lpstr>
      <vt:lpstr>IT per RevStr (3)</vt:lpstr>
      <vt:lpstr>S1 OB EI</vt:lpstr>
      <vt:lpstr>S1 OB EI per region</vt:lpstr>
      <vt:lpstr>H1 per Region</vt:lpstr>
    </vt:vector>
  </TitlesOfParts>
  <Company>Agfa Gevaert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amfjz</dc:creator>
  <cp:lastModifiedBy>Burney, Mohd Fahad</cp:lastModifiedBy>
  <cp:lastPrinted>2016-12-15T14:17:17Z</cp:lastPrinted>
  <dcterms:created xsi:type="dcterms:W3CDTF">2014-03-27T16:20:04Z</dcterms:created>
  <dcterms:modified xsi:type="dcterms:W3CDTF">2026-03-09T12:05:06Z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7.14 Order Book Overview pivot (BRM HQ views).xlsx</vt:lpwstr>
  </property>
  <property fmtid="{D5CDD505-2E9C-101B-9397-08002B2CF9AE}" pid="3" name="ContentTypeId">
    <vt:lpwstr>0x010100808A743A69AE0643AA6C477D52605EDC</vt:lpwstr>
  </property>
</Properties>
</file>